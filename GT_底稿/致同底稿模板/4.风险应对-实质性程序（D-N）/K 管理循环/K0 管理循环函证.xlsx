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K 管理循环\"/>
    </mc:Choice>
  </mc:AlternateContent>
  <bookViews>
    <workbookView xWindow="-120" yWindow="-120" windowWidth="29040" windowHeight="15528" tabRatio="800"/>
  </bookViews>
  <sheets>
    <sheet name="底稿目录" sheetId="1" r:id="rId1"/>
    <sheet name="函证程序表K0A" sheetId="82" r:id="rId2"/>
    <sheet name="函证结果汇总表K0-1" sheetId="83" r:id="rId3"/>
    <sheet name="核实被函证单位信息K0-2" sheetId="84" r:id="rId4"/>
    <sheet name="跟函函证过程控制K0-3" sheetId="85" r:id="rId5"/>
    <sheet name="函证差异调节表K0-4" sheetId="86" r:id="rId6"/>
    <sheet name="其他应收款替代程序K0-5" sheetId="87" r:id="rId7"/>
    <sheet name="其他应付款替代程序K0-6" sheetId="97" r:id="rId8"/>
    <sheet name="邮件传真回函可靠性验证K0-7" sheetId="89" r:id="rId9"/>
    <sheet name="函证程序舞弊风险评价表K0-8" sheetId="90" r:id="rId10"/>
    <sheet name="GT_Custom" sheetId="43" state="hidden" r:id="rId11"/>
  </sheets>
  <definedNames>
    <definedName name="_xlnm.Print_Area" localSheetId="4">'跟函函证过程控制K0-3'!$A$1:$F$27</definedName>
    <definedName name="_xlnm.Print_Area" localSheetId="5">'函证差异调节表K0-4'!$A$1:$I$21</definedName>
    <definedName name="_xlnm.Print_Area" localSheetId="1">函证程序表K0A!$A$1:$F$17</definedName>
    <definedName name="_xlnm.Print_Area" localSheetId="9">'函证程序舞弊风险评价表K0-8'!$A$1:$I$30</definedName>
    <definedName name="_xlnm.Print_Area" localSheetId="2">'函证结果汇总表K0-1'!$A$1:$AB$39</definedName>
    <definedName name="_xlnm.Print_Area" localSheetId="3">'核实被函证单位信息K0-2'!$A$1:$AL$26</definedName>
    <definedName name="_xlnm.Print_Area" localSheetId="7">'其他应付款替代程序K0-6'!$A$1:$N$63</definedName>
    <definedName name="_xlnm.Print_Area" localSheetId="6">'其他应收款替代程序K0-5'!$A$1:$N$63</definedName>
    <definedName name="_xlnm.Print_Area" localSheetId="8">'邮件传真回函可靠性验证K0-7'!$A$1:$N$22</definedName>
    <definedName name="_xlnm.Print_Titles" localSheetId="1">函证程序表K0A!$5:$5</definedName>
    <definedName name="_xlnm.Print_Titles" localSheetId="2">'函证结果汇总表K0-1'!$B:$B</definedName>
    <definedName name="_xlnm.Print_Titles" localSheetId="3">'核实被函证单位信息K0-2'!$A:$B</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2" i="83" l="1"/>
  <c r="E30" i="83"/>
  <c r="R8" i="83"/>
  <c r="R9" i="83"/>
  <c r="R10" i="83"/>
  <c r="R11" i="83"/>
  <c r="R12" i="83"/>
  <c r="R13" i="83"/>
  <c r="R14" i="83"/>
  <c r="R15" i="83"/>
  <c r="R16" i="83"/>
  <c r="R17" i="83"/>
  <c r="R18" i="83"/>
  <c r="R19" i="83"/>
  <c r="R20" i="83"/>
  <c r="R21" i="83"/>
  <c r="R22" i="83"/>
  <c r="R23" i="83"/>
  <c r="R24" i="83"/>
  <c r="R25" i="83"/>
  <c r="R26" i="83"/>
  <c r="R7" i="83"/>
  <c r="Q8" i="83"/>
  <c r="Q9" i="83"/>
  <c r="Q10" i="83"/>
  <c r="Q11" i="83"/>
  <c r="Q12" i="83"/>
  <c r="Q13" i="83"/>
  <c r="Q14" i="83"/>
  <c r="Q15" i="83"/>
  <c r="Q16" i="83"/>
  <c r="Q17" i="83"/>
  <c r="Q18" i="83"/>
  <c r="Q19" i="83"/>
  <c r="Q20" i="83"/>
  <c r="Q21" i="83"/>
  <c r="Q22" i="83"/>
  <c r="Q23" i="83"/>
  <c r="Q24" i="83"/>
  <c r="Q25" i="83"/>
  <c r="Q26" i="83"/>
  <c r="Q7" i="83"/>
  <c r="M8" i="83"/>
  <c r="M9" i="83"/>
  <c r="M10" i="83"/>
  <c r="M11" i="83"/>
  <c r="M12" i="83"/>
  <c r="M13" i="83"/>
  <c r="M14" i="83"/>
  <c r="M15" i="83"/>
  <c r="M16" i="83"/>
  <c r="M17" i="83"/>
  <c r="M18" i="83"/>
  <c r="M19" i="83"/>
  <c r="M20" i="83"/>
  <c r="M21" i="83"/>
  <c r="M22" i="83"/>
  <c r="M23" i="83"/>
  <c r="M24" i="83"/>
  <c r="M25" i="83"/>
  <c r="M26" i="83"/>
  <c r="M7" i="83"/>
  <c r="K8" i="83"/>
  <c r="K9" i="83"/>
  <c r="K10" i="83"/>
  <c r="K11" i="83"/>
  <c r="K12" i="83"/>
  <c r="K13" i="83"/>
  <c r="K14" i="83"/>
  <c r="K15" i="83"/>
  <c r="K16" i="83"/>
  <c r="K17" i="83"/>
  <c r="K18" i="83"/>
  <c r="K19" i="83"/>
  <c r="K20" i="83"/>
  <c r="K21" i="83"/>
  <c r="K22" i="83"/>
  <c r="K23" i="83"/>
  <c r="K24" i="83"/>
  <c r="K25" i="83"/>
  <c r="K26" i="83"/>
  <c r="K7" i="83"/>
  <c r="J8" i="83"/>
  <c r="J9" i="83"/>
  <c r="J10" i="83"/>
  <c r="J11" i="83"/>
  <c r="J12" i="83"/>
  <c r="J13" i="83"/>
  <c r="J14" i="83"/>
  <c r="J15" i="83"/>
  <c r="J16" i="83"/>
  <c r="J17" i="83"/>
  <c r="J18" i="83"/>
  <c r="J19" i="83"/>
  <c r="J20" i="83"/>
  <c r="J21" i="83"/>
  <c r="J22" i="83"/>
  <c r="J23" i="83"/>
  <c r="J24" i="83"/>
  <c r="J25" i="83"/>
  <c r="J26" i="83"/>
  <c r="J7" i="83"/>
  <c r="G8" i="83"/>
  <c r="G9" i="83"/>
  <c r="G10" i="83"/>
  <c r="G11" i="83"/>
  <c r="G12" i="83"/>
  <c r="G13" i="83"/>
  <c r="G14" i="83"/>
  <c r="G15" i="83"/>
  <c r="G16" i="83"/>
  <c r="G17" i="83"/>
  <c r="G18" i="83"/>
  <c r="G19" i="83"/>
  <c r="G20" i="83"/>
  <c r="G21" i="83"/>
  <c r="G22" i="83"/>
  <c r="G23" i="83"/>
  <c r="G24" i="83"/>
  <c r="G25" i="83"/>
  <c r="G26" i="83"/>
  <c r="G7" i="83"/>
  <c r="D8" i="83"/>
  <c r="D9" i="83"/>
  <c r="D10" i="83"/>
  <c r="D11" i="83"/>
  <c r="D12" i="83"/>
  <c r="D13" i="83"/>
  <c r="D14" i="83"/>
  <c r="D15" i="83"/>
  <c r="D16" i="83"/>
  <c r="D17" i="83"/>
  <c r="D18" i="83"/>
  <c r="D19" i="83"/>
  <c r="D20" i="83"/>
  <c r="D21" i="83"/>
  <c r="D22" i="83"/>
  <c r="D23" i="83"/>
  <c r="D24" i="83"/>
  <c r="D25" i="83"/>
  <c r="D26" i="83"/>
  <c r="D7" i="83"/>
  <c r="I3" i="90" l="1"/>
  <c r="N3" i="89"/>
  <c r="N3" i="97"/>
  <c r="N3" i="87"/>
  <c r="I3" i="86"/>
  <c r="F3" i="85"/>
  <c r="AL3" i="84"/>
  <c r="O3" i="84"/>
  <c r="AB3" i="83"/>
  <c r="R3" i="83"/>
  <c r="F3" i="82"/>
  <c r="J23" i="97"/>
  <c r="E56" i="97" l="1"/>
  <c r="E46" i="97"/>
  <c r="E34" i="97"/>
  <c r="E23" i="97"/>
  <c r="E12" i="97"/>
  <c r="J4" i="97"/>
  <c r="F4" i="97"/>
  <c r="A4" i="97"/>
  <c r="J3" i="97"/>
  <c r="F3" i="97"/>
  <c r="A3" i="97"/>
  <c r="H23" i="87" l="1"/>
  <c r="E46" i="87"/>
  <c r="AA3" i="84" l="1"/>
  <c r="F35" i="83"/>
  <c r="E35" i="83"/>
  <c r="F32" i="83"/>
  <c r="F34" i="83" s="1"/>
  <c r="E34" i="83"/>
  <c r="E31" i="83"/>
  <c r="F30" i="83"/>
  <c r="F31" i="83" s="1"/>
  <c r="F36" i="83" l="1"/>
  <c r="F33" i="83"/>
  <c r="E33" i="83"/>
  <c r="E36" i="83"/>
  <c r="T8" i="83" l="1"/>
  <c r="T9" i="83"/>
  <c r="T10" i="83"/>
  <c r="T11" i="83"/>
  <c r="T12" i="83"/>
  <c r="T13" i="83"/>
  <c r="T14" i="83"/>
  <c r="T15" i="83"/>
  <c r="T16" i="83"/>
  <c r="T17" i="83"/>
  <c r="T18" i="83"/>
  <c r="T19" i="83"/>
  <c r="T20" i="83"/>
  <c r="T21" i="83"/>
  <c r="T22" i="83"/>
  <c r="T23" i="83"/>
  <c r="T24" i="83"/>
  <c r="T25" i="83"/>
  <c r="T26" i="83"/>
  <c r="T7" i="83"/>
  <c r="E56" i="87" l="1"/>
  <c r="M46" i="87"/>
  <c r="E23" i="87"/>
  <c r="S3" i="83" l="1"/>
  <c r="S4" i="83"/>
  <c r="F4" i="90" l="1"/>
  <c r="F3" i="90"/>
  <c r="D4" i="90"/>
  <c r="D3" i="90"/>
  <c r="A4" i="90"/>
  <c r="A3" i="90"/>
  <c r="H4" i="89"/>
  <c r="H3" i="89"/>
  <c r="E4" i="89"/>
  <c r="E3" i="89"/>
  <c r="A4" i="89"/>
  <c r="A3" i="89"/>
  <c r="I4" i="87"/>
  <c r="I3" i="87"/>
  <c r="F4" i="87"/>
  <c r="F3" i="87"/>
  <c r="A4" i="87"/>
  <c r="A3" i="87"/>
  <c r="G4" i="86"/>
  <c r="G3" i="86"/>
  <c r="D4" i="86"/>
  <c r="D3" i="86"/>
  <c r="A4" i="86"/>
  <c r="A3" i="86"/>
  <c r="D4" i="85"/>
  <c r="D3" i="85"/>
  <c r="C4" i="85"/>
  <c r="C3" i="85"/>
  <c r="A4" i="85"/>
  <c r="A3" i="85"/>
  <c r="AH4" i="84"/>
  <c r="AH3" i="84"/>
  <c r="AE4" i="84"/>
  <c r="AE3" i="84"/>
  <c r="AB4" i="84"/>
  <c r="AB3" i="84"/>
  <c r="W4" i="84"/>
  <c r="W3" i="84"/>
  <c r="T4" i="84"/>
  <c r="T3" i="84"/>
  <c r="P4" i="84"/>
  <c r="P3" i="84"/>
  <c r="K4" i="84"/>
  <c r="K3" i="84"/>
  <c r="F4" i="84"/>
  <c r="F3" i="84"/>
  <c r="C4" i="84"/>
  <c r="C3" i="84"/>
  <c r="Y4" i="83"/>
  <c r="Y3" i="83"/>
  <c r="W4" i="83"/>
  <c r="W3" i="83"/>
  <c r="M4" i="83"/>
  <c r="M3" i="83"/>
  <c r="I4" i="83"/>
  <c r="I3" i="83"/>
  <c r="C4" i="83"/>
  <c r="C3" i="83"/>
  <c r="D4" i="82" l="1"/>
  <c r="D3" i="82"/>
  <c r="C4" i="82"/>
  <c r="C3" i="82"/>
  <c r="A4" i="82"/>
  <c r="A3" i="82"/>
  <c r="E34" i="87"/>
  <c r="E12" i="87"/>
  <c r="E21" i="86"/>
  <c r="D21" i="86"/>
  <c r="F20" i="86"/>
  <c r="F19" i="86"/>
  <c r="F18" i="86"/>
  <c r="F17" i="86"/>
  <c r="F16" i="86"/>
  <c r="F15" i="86"/>
  <c r="F14" i="86"/>
  <c r="F13" i="86"/>
  <c r="F12" i="86"/>
  <c r="F11" i="86"/>
  <c r="F10" i="86"/>
  <c r="F9" i="86"/>
  <c r="F8" i="86"/>
  <c r="F7" i="86"/>
  <c r="F6" i="86"/>
  <c r="F21" i="86" l="1"/>
</calcChain>
</file>

<file path=xl/comments1.xml><?xml version="1.0" encoding="utf-8"?>
<comments xmlns="http://schemas.openxmlformats.org/spreadsheetml/2006/main">
  <authors>
    <author>何先琴</author>
  </authors>
  <commentList>
    <comment ref="L5" authorId="0" shapeId="0">
      <text>
        <r>
          <rPr>
            <b/>
            <sz val="9"/>
            <color indexed="81"/>
            <rFont val="宋体"/>
            <family val="3"/>
            <charset val="134"/>
          </rPr>
          <t>专业技术部:</t>
        </r>
        <r>
          <rPr>
            <sz val="9"/>
            <color indexed="81"/>
            <rFont val="宋体"/>
            <family val="3"/>
            <charset val="134"/>
          </rPr>
          <t xml:space="preserve">
对收到的回函重点检查：
1.确认与发出的询证函是否为同一份、是否为原件；
2.检查回函发出地址、快递物流信息，核实回函地址是否与发函收件地址一致，对比回函印章是否与被询证着名称一致、加盖印章和签名是否清晰可辨认等；必要时进一步与被审计单位持有的其他文件进行核对或亲自前往被询证者进行核实；
3.关注回函中是否包含免责或其他限制性条款；
4.检查函证信息是否相符，对回函不符的询证函事项查明原因确定是否存在错报，考虑是否存在舞弊的可能性。</t>
        </r>
      </text>
    </comment>
  </commentList>
</comments>
</file>

<file path=xl/comments2.xml><?xml version="1.0" encoding="utf-8"?>
<comments xmlns="http://schemas.openxmlformats.org/spreadsheetml/2006/main">
  <authors>
    <author>Windows 用户</author>
  </authors>
  <commentList>
    <comment ref="A17" authorId="0" shapeId="0">
      <text>
        <r>
          <rPr>
            <b/>
            <sz val="9"/>
            <color indexed="81"/>
            <rFont val="宋体"/>
            <family val="3"/>
            <charset val="134"/>
          </rPr>
          <t>Windows 用户:</t>
        </r>
        <r>
          <rPr>
            <sz val="9"/>
            <color indexed="81"/>
            <rFont val="宋体"/>
            <family val="3"/>
            <charset val="134"/>
          </rPr>
          <t xml:space="preserve">
应将将执行可靠性验证确认过程的审计人员姓名及日期、获得被询证者电话的方式、被询证者联络人员姓名及所属部门、沟通的过程及其结果等内容清晰地记录在审计工作底稿中</t>
        </r>
      </text>
    </comment>
  </commentList>
</comments>
</file>

<file path=xl/sharedStrings.xml><?xml version="1.0" encoding="utf-8"?>
<sst xmlns="http://schemas.openxmlformats.org/spreadsheetml/2006/main" count="627" uniqueCount="450">
  <si>
    <t>C1</t>
  </si>
  <si>
    <t>Custom 1</t>
  </si>
  <si>
    <t>C2</t>
  </si>
  <si>
    <t>Custom 2</t>
  </si>
  <si>
    <t>C3</t>
  </si>
  <si>
    <t>Custom 3</t>
  </si>
  <si>
    <t>C4</t>
  </si>
  <si>
    <t>Custom 4</t>
  </si>
  <si>
    <t>C5</t>
  </si>
  <si>
    <t>Custom 5</t>
  </si>
  <si>
    <t>C6</t>
  </si>
  <si>
    <t>Custom 6</t>
  </si>
  <si>
    <t>C7</t>
  </si>
  <si>
    <t>Custom 7</t>
  </si>
  <si>
    <t>C8</t>
  </si>
  <si>
    <t>Custom 8</t>
  </si>
  <si>
    <t>致同会计师事务所</t>
  </si>
  <si>
    <t>页次：</t>
  </si>
  <si>
    <r>
      <rPr>
        <sz val="10"/>
        <rFont val="宋体"/>
        <family val="3"/>
        <charset val="134"/>
      </rPr>
      <t>页次：</t>
    </r>
  </si>
  <si>
    <r>
      <rPr>
        <b/>
        <sz val="10"/>
        <rFont val="宋体"/>
        <family val="3"/>
        <charset val="134"/>
      </rPr>
      <t>函证索引</t>
    </r>
  </si>
  <si>
    <r>
      <rPr>
        <b/>
        <sz val="10"/>
        <rFont val="宋体"/>
        <family val="3"/>
        <charset val="134"/>
      </rPr>
      <t>经核实的原因</t>
    </r>
  </si>
  <si>
    <r>
      <rPr>
        <b/>
        <sz val="10"/>
        <color theme="1"/>
        <rFont val="宋体"/>
        <family val="3"/>
        <charset val="134"/>
      </rPr>
      <t>是否进行第二次发函？
（是</t>
    </r>
    <r>
      <rPr>
        <b/>
        <sz val="10"/>
        <color theme="1"/>
        <rFont val="Arial Narrow"/>
        <family val="2"/>
      </rPr>
      <t>/</t>
    </r>
    <r>
      <rPr>
        <b/>
        <sz val="10"/>
        <color theme="1"/>
        <rFont val="宋体"/>
        <family val="3"/>
        <charset val="134"/>
      </rPr>
      <t>否）</t>
    </r>
  </si>
  <si>
    <r>
      <rPr>
        <b/>
        <sz val="10"/>
        <rFont val="宋体"/>
        <family val="3"/>
        <charset val="134"/>
      </rPr>
      <t>第二次发函的被函证单位信息</t>
    </r>
  </si>
  <si>
    <r>
      <rPr>
        <b/>
        <sz val="10"/>
        <rFont val="宋体"/>
        <family val="3"/>
        <charset val="134"/>
      </rPr>
      <t>邮编</t>
    </r>
  </si>
  <si>
    <r>
      <rPr>
        <b/>
        <sz val="10"/>
        <rFont val="宋体"/>
        <family val="3"/>
        <charset val="134"/>
      </rPr>
      <t>联系人</t>
    </r>
  </si>
  <si>
    <r>
      <rPr>
        <b/>
        <sz val="10"/>
        <rFont val="宋体"/>
        <family val="3"/>
        <charset val="134"/>
      </rPr>
      <t>联系电话</t>
    </r>
  </si>
  <si>
    <r>
      <rPr>
        <b/>
        <sz val="10"/>
        <rFont val="宋体"/>
        <family val="3"/>
        <charset val="134"/>
      </rPr>
      <t>传真</t>
    </r>
  </si>
  <si>
    <r>
      <rPr>
        <b/>
        <sz val="10"/>
        <color indexed="8"/>
        <rFont val="宋体"/>
        <family val="3"/>
        <charset val="134"/>
      </rPr>
      <t>序号</t>
    </r>
  </si>
  <si>
    <r>
      <rPr>
        <b/>
        <sz val="10"/>
        <color indexed="8"/>
        <rFont val="宋体"/>
        <family val="3"/>
        <charset val="134"/>
      </rPr>
      <t>索引号</t>
    </r>
  </si>
  <si>
    <r>
      <rPr>
        <b/>
        <sz val="10"/>
        <color indexed="8"/>
        <rFont val="宋体"/>
        <family val="3"/>
        <charset val="134"/>
      </rPr>
      <t>备注</t>
    </r>
  </si>
  <si>
    <r>
      <rPr>
        <b/>
        <sz val="10"/>
        <color rgb="FF0000FF"/>
        <rFont val="宋体"/>
        <family val="3"/>
        <charset val="134"/>
      </rPr>
      <t>提示：</t>
    </r>
  </si>
  <si>
    <r>
      <t>[</t>
    </r>
    <r>
      <rPr>
        <sz val="10"/>
        <rFont val="宋体"/>
        <family val="3"/>
        <charset val="134"/>
      </rPr>
      <t>我们</t>
    </r>
    <r>
      <rPr>
        <sz val="10"/>
        <rFont val="Arial Narrow"/>
        <family val="2"/>
      </rPr>
      <t>]</t>
    </r>
    <r>
      <rPr>
        <sz val="10"/>
        <rFont val="宋体"/>
        <family val="3"/>
        <charset val="134"/>
      </rPr>
      <t>无法现场即时确认该函证，需要做详细查询后才可以确认，并同意将确认的函证直接寄回致同会计师事务</t>
    </r>
    <r>
      <rPr>
        <sz val="10"/>
        <rFont val="Arial Narrow"/>
        <family val="2"/>
      </rPr>
      <t>XX</t>
    </r>
    <r>
      <rPr>
        <sz val="10"/>
        <rFont val="宋体"/>
        <family val="3"/>
        <charset val="134"/>
      </rPr>
      <t>办公室</t>
    </r>
    <r>
      <rPr>
        <sz val="10"/>
        <rFont val="Arial Narrow"/>
        <family val="2"/>
      </rPr>
      <t>](</t>
    </r>
    <r>
      <rPr>
        <sz val="10"/>
        <rFont val="宋体"/>
        <family val="3"/>
        <charset val="134"/>
      </rPr>
      <t>可以根据实际情况进行修改</t>
    </r>
    <r>
      <rPr>
        <sz val="10"/>
        <rFont val="Arial Narrow"/>
        <family val="2"/>
      </rPr>
      <t>)</t>
    </r>
    <r>
      <rPr>
        <sz val="10"/>
        <rFont val="宋体"/>
        <family val="3"/>
        <charset val="134"/>
      </rPr>
      <t>。</t>
    </r>
  </si>
  <si>
    <r>
      <rPr>
        <sz val="10"/>
        <rFont val="宋体"/>
        <family val="3"/>
        <charset val="134"/>
      </rPr>
      <t>注：如果在完成本备忘录之后才收回函证，建议在本备忘录中作如下记录：</t>
    </r>
  </si>
  <si>
    <r>
      <rPr>
        <b/>
        <sz val="10"/>
        <rFont val="宋体"/>
        <family val="3"/>
        <charset val="134"/>
      </rPr>
      <t>审计项目组成员签名：</t>
    </r>
    <r>
      <rPr>
        <b/>
        <sz val="10"/>
        <rFont val="Arial Narrow"/>
        <family val="2"/>
      </rPr>
      <t xml:space="preserve">__________________      </t>
    </r>
    <r>
      <rPr>
        <b/>
        <sz val="10"/>
        <rFont val="宋体"/>
        <family val="3"/>
        <charset val="134"/>
      </rPr>
      <t>日期：</t>
    </r>
    <r>
      <rPr>
        <b/>
        <sz val="10"/>
        <rFont val="Arial Narrow"/>
        <family val="2"/>
      </rPr>
      <t>_____________________</t>
    </r>
  </si>
  <si>
    <t>凭证编号</t>
  </si>
  <si>
    <t>业务内容</t>
  </si>
  <si>
    <r>
      <rPr>
        <sz val="10"/>
        <rFont val="宋体"/>
        <family val="3"/>
        <charset val="134"/>
      </rPr>
      <t>索引号：</t>
    </r>
  </si>
  <si>
    <r>
      <rPr>
        <sz val="10"/>
        <color indexed="12"/>
        <rFont val="宋体"/>
        <family val="3"/>
        <charset val="134"/>
      </rPr>
      <t>《中国注册会计师审计准则第</t>
    </r>
    <r>
      <rPr>
        <sz val="10"/>
        <color indexed="12"/>
        <rFont val="Arial Narrow"/>
        <family val="2"/>
      </rPr>
      <t>1312</t>
    </r>
    <r>
      <rPr>
        <sz val="10"/>
        <color indexed="12"/>
        <rFont val="宋体"/>
        <family val="3"/>
        <charset val="134"/>
      </rPr>
      <t>号</t>
    </r>
    <r>
      <rPr>
        <sz val="10"/>
        <color indexed="12"/>
        <rFont val="Arial Narrow"/>
        <family val="2"/>
      </rPr>
      <t>——</t>
    </r>
    <r>
      <rPr>
        <sz val="10"/>
        <color indexed="12"/>
        <rFont val="宋体"/>
        <family val="3"/>
        <charset val="134"/>
      </rPr>
      <t>函证》第十条注册会计师采用审计抽样或其他选取测试项目的方法</t>
    </r>
  </si>
  <si>
    <r>
      <rPr>
        <sz val="10"/>
        <color indexed="12"/>
        <rFont val="宋体"/>
        <family val="3"/>
        <charset val="134"/>
      </rPr>
      <t>（一）金额较大的项目；</t>
    </r>
  </si>
  <si>
    <r>
      <rPr>
        <sz val="10"/>
        <color indexed="12"/>
        <rFont val="宋体"/>
        <family val="3"/>
        <charset val="134"/>
      </rPr>
      <t>　　（二）账龄较长的项目；</t>
    </r>
  </si>
  <si>
    <r>
      <rPr>
        <sz val="10"/>
        <color indexed="12"/>
        <rFont val="宋体"/>
        <family val="3"/>
        <charset val="134"/>
      </rPr>
      <t>　　（三）交易频繁但期末余额较小的项目；</t>
    </r>
  </si>
  <si>
    <r>
      <rPr>
        <sz val="10"/>
        <color indexed="12"/>
        <rFont val="宋体"/>
        <family val="3"/>
        <charset val="134"/>
      </rPr>
      <t>　　（四）重大关联方交易；</t>
    </r>
  </si>
  <si>
    <r>
      <rPr>
        <sz val="10"/>
        <color indexed="12"/>
        <rFont val="宋体"/>
        <family val="3"/>
        <charset val="134"/>
      </rPr>
      <t>　　（五）重大或异常的交易；</t>
    </r>
  </si>
  <si>
    <r>
      <rPr>
        <sz val="10"/>
        <color indexed="12"/>
        <rFont val="宋体"/>
        <family val="3"/>
        <charset val="134"/>
      </rPr>
      <t>　　（六）可能存在争议以及产生重大舞弊或错误的交易。</t>
    </r>
  </si>
  <si>
    <r>
      <rPr>
        <sz val="10"/>
        <color indexed="12"/>
        <rFont val="宋体"/>
        <family val="3"/>
        <charset val="134"/>
      </rPr>
      <t>①严格控制发函过程（亲自发函；直接回函）；</t>
    </r>
  </si>
  <si>
    <r>
      <rPr>
        <sz val="10"/>
        <color indexed="12"/>
        <rFont val="宋体"/>
        <family val="3"/>
        <charset val="134"/>
      </rPr>
      <t>③同一客户的多项往来在同一张询证函列示；</t>
    </r>
  </si>
  <si>
    <r>
      <rPr>
        <sz val="10"/>
        <color indexed="12"/>
        <rFont val="宋体"/>
        <family val="3"/>
        <charset val="134"/>
      </rPr>
      <t>④关联往来核对一致；</t>
    </r>
  </si>
  <si>
    <r>
      <rPr>
        <sz val="10"/>
        <color indexed="12"/>
        <rFont val="宋体"/>
        <family val="3"/>
        <charset val="134"/>
      </rPr>
      <t>⑤收信人尽量写清楚；</t>
    </r>
  </si>
  <si>
    <r>
      <rPr>
        <sz val="10"/>
        <color indexed="12"/>
        <rFont val="宋体"/>
        <family val="3"/>
        <charset val="134"/>
      </rPr>
      <t>⑦回函有差异须进一步核对原因；</t>
    </r>
  </si>
  <si>
    <t>四、审计结论</t>
    <phoneticPr fontId="16" type="noConversion"/>
  </si>
  <si>
    <t>索引号</t>
    <phoneticPr fontId="16" type="noConversion"/>
  </si>
  <si>
    <t>……</t>
    <phoneticPr fontId="16" type="noConversion"/>
  </si>
  <si>
    <t>其他应收款</t>
  </si>
  <si>
    <t>金额</t>
  </si>
  <si>
    <t>索引号：</t>
    <phoneticPr fontId="16" type="noConversion"/>
  </si>
  <si>
    <t>底稿索引号</t>
    <phoneticPr fontId="16" type="noConversion"/>
  </si>
  <si>
    <t>页  次：</t>
    <phoneticPr fontId="49" type="noConversion"/>
  </si>
  <si>
    <t>序号</t>
    <phoneticPr fontId="16" type="noConversion"/>
  </si>
  <si>
    <t>审计程序</t>
    <phoneticPr fontId="49" type="noConversion"/>
  </si>
  <si>
    <t>程序分类</t>
    <phoneticPr fontId="16" type="noConversion"/>
  </si>
  <si>
    <t>1</t>
    <phoneticPr fontId="16" type="noConversion"/>
  </si>
  <si>
    <t>常规★</t>
    <phoneticPr fontId="49" type="noConversion"/>
  </si>
  <si>
    <t>2</t>
    <phoneticPr fontId="16" type="noConversion"/>
  </si>
  <si>
    <t>3</t>
    <phoneticPr fontId="16" type="noConversion"/>
  </si>
  <si>
    <t>致同会计师事务所</t>
    <phoneticPr fontId="16" type="noConversion"/>
  </si>
  <si>
    <r>
      <rPr>
        <sz val="10"/>
        <rFont val="宋体"/>
        <family val="3"/>
        <charset val="134"/>
      </rPr>
      <t>页</t>
    </r>
    <r>
      <rPr>
        <sz val="10"/>
        <rFont val="Arial Narrow"/>
        <family val="2"/>
      </rPr>
      <t xml:space="preserve"> </t>
    </r>
    <r>
      <rPr>
        <sz val="10"/>
        <rFont val="宋体"/>
        <family val="3"/>
        <charset val="134"/>
      </rPr>
      <t>次：</t>
    </r>
    <phoneticPr fontId="16" type="noConversion"/>
  </si>
  <si>
    <t>序号</t>
  </si>
  <si>
    <t>询证函索引号</t>
    <phoneticPr fontId="16" type="noConversion"/>
  </si>
  <si>
    <t>发函询证纪要</t>
  </si>
  <si>
    <t>4、未收到回函的替代程序</t>
    <phoneticPr fontId="16" type="noConversion"/>
  </si>
  <si>
    <t>审计结论</t>
    <phoneticPr fontId="16" type="noConversion"/>
  </si>
  <si>
    <t>选取样本目的</t>
    <phoneticPr fontId="16" type="noConversion"/>
  </si>
  <si>
    <t>被询证单位名称</t>
    <phoneticPr fontId="16" type="noConversion"/>
  </si>
  <si>
    <t>函证方式</t>
    <phoneticPr fontId="16" type="noConversion"/>
  </si>
  <si>
    <t>发函日期</t>
    <phoneticPr fontId="16" type="noConversion"/>
  </si>
  <si>
    <t>收件地址</t>
    <phoneticPr fontId="16" type="noConversion"/>
  </si>
  <si>
    <t>地址核查是否一致</t>
    <phoneticPr fontId="16" type="noConversion"/>
  </si>
  <si>
    <t>是否收到回函</t>
    <phoneticPr fontId="16" type="noConversion"/>
  </si>
  <si>
    <t>回函方式</t>
    <phoneticPr fontId="16" type="noConversion"/>
  </si>
  <si>
    <t>是否相符</t>
    <phoneticPr fontId="16" type="noConversion"/>
  </si>
  <si>
    <t>回函日期</t>
    <phoneticPr fontId="16" type="noConversion"/>
  </si>
  <si>
    <t>回函快递单号</t>
    <phoneticPr fontId="16" type="noConversion"/>
  </si>
  <si>
    <t>回函发出地址</t>
    <phoneticPr fontId="16" type="noConversion"/>
  </si>
  <si>
    <t>发函地址与回函地址是否一致</t>
    <phoneticPr fontId="16" type="noConversion"/>
  </si>
  <si>
    <t>其他说明/备注</t>
    <phoneticPr fontId="16" type="noConversion"/>
  </si>
  <si>
    <t>是否采取替代程序</t>
    <phoneticPr fontId="16" type="noConversion"/>
  </si>
  <si>
    <t>替代后不可确认金额</t>
    <phoneticPr fontId="16" type="noConversion"/>
  </si>
  <si>
    <t>替代程序索引号</t>
    <phoneticPr fontId="16" type="noConversion"/>
  </si>
  <si>
    <t>测试范围：</t>
    <phoneticPr fontId="16" type="noConversion"/>
  </si>
  <si>
    <t>界定误差构成条件：［不符事项的金额高于或低于账户余额人民币</t>
    <phoneticPr fontId="49" type="noConversion"/>
  </si>
  <si>
    <r>
      <rPr>
        <sz val="10"/>
        <color indexed="12"/>
        <rFont val="宋体"/>
        <family val="3"/>
        <charset val="134"/>
      </rPr>
      <t>⑥收到回函编制函证控制表（函证结果汇总表），保留回函信封，注明选样标准；</t>
    </r>
    <phoneticPr fontId="16" type="noConversion"/>
  </si>
  <si>
    <r>
      <rPr>
        <b/>
        <sz val="10"/>
        <color indexed="12"/>
        <rFont val="宋体"/>
        <family val="3"/>
        <charset val="134"/>
      </rPr>
      <t>参考结论：</t>
    </r>
    <r>
      <rPr>
        <sz val="12"/>
        <rFont val="Arial Narrow"/>
        <family val="2"/>
      </rPr>
      <t/>
    </r>
    <phoneticPr fontId="16" type="noConversion"/>
  </si>
  <si>
    <r>
      <rPr>
        <sz val="10"/>
        <color indexed="12"/>
        <rFont val="宋体"/>
        <family val="3"/>
        <charset val="134"/>
      </rPr>
      <t>除以下重大不符事项应当作为调整事项予以调整外，其余未见异常。</t>
    </r>
    <phoneticPr fontId="16" type="noConversion"/>
  </si>
  <si>
    <t>致同会计师事务所</t>
    <phoneticPr fontId="16" type="noConversion"/>
  </si>
  <si>
    <t>致同会计师事务所</t>
    <phoneticPr fontId="16" type="noConversion"/>
  </si>
  <si>
    <r>
      <t>被审计单位提供的被函证单位信息及核对（核实被函证单位信息）</t>
    </r>
    <r>
      <rPr>
        <b/>
        <sz val="10"/>
        <color rgb="FFFF0000"/>
        <rFont val="宋体"/>
        <family val="3"/>
        <charset val="134"/>
      </rPr>
      <t>（注1）</t>
    </r>
    <phoneticPr fontId="16" type="noConversion"/>
  </si>
  <si>
    <t>回函信息情况（回函核对记录）</t>
    <phoneticPr fontId="16" type="noConversion"/>
  </si>
  <si>
    <r>
      <rPr>
        <b/>
        <sz val="10"/>
        <color indexed="8"/>
        <rFont val="宋体"/>
        <family val="3"/>
        <charset val="134"/>
      </rPr>
      <t>第一次发函结果？（送抵</t>
    </r>
    <r>
      <rPr>
        <b/>
        <sz val="10"/>
        <color indexed="8"/>
        <rFont val="Arial Narrow"/>
        <family val="2"/>
      </rPr>
      <t>/</t>
    </r>
    <r>
      <rPr>
        <b/>
        <sz val="10"/>
        <color indexed="8"/>
        <rFont val="宋体"/>
        <family val="3"/>
        <charset val="134"/>
      </rPr>
      <t>退回）（</t>
    </r>
    <r>
      <rPr>
        <b/>
        <sz val="10"/>
        <color indexed="10"/>
        <rFont val="宋体"/>
        <family val="3"/>
        <charset val="134"/>
      </rPr>
      <t>注</t>
    </r>
    <r>
      <rPr>
        <b/>
        <sz val="10"/>
        <color indexed="10"/>
        <rFont val="Arial Narrow"/>
        <family val="2"/>
      </rPr>
      <t>2</t>
    </r>
    <r>
      <rPr>
        <b/>
        <sz val="10"/>
        <color indexed="8"/>
        <rFont val="宋体"/>
        <family val="3"/>
        <charset val="134"/>
      </rPr>
      <t>）</t>
    </r>
    <phoneticPr fontId="16" type="noConversion"/>
  </si>
  <si>
    <r>
      <rPr>
        <b/>
        <sz val="10"/>
        <rFont val="宋体"/>
        <family val="3"/>
        <charset val="134"/>
      </rPr>
      <t>该原因是否合理（是</t>
    </r>
    <r>
      <rPr>
        <b/>
        <sz val="10"/>
        <rFont val="Arial Narrow"/>
        <family val="2"/>
      </rPr>
      <t>/</t>
    </r>
    <r>
      <rPr>
        <b/>
        <sz val="10"/>
        <rFont val="宋体"/>
        <family val="3"/>
        <charset val="134"/>
      </rPr>
      <t xml:space="preserve">否）
</t>
    </r>
    <r>
      <rPr>
        <b/>
        <sz val="10"/>
        <color indexed="10"/>
        <rFont val="宋体"/>
        <family val="3"/>
        <charset val="134"/>
      </rPr>
      <t>（注</t>
    </r>
    <r>
      <rPr>
        <b/>
        <sz val="10"/>
        <color indexed="10"/>
        <rFont val="Arial Narrow"/>
        <family val="2"/>
      </rPr>
      <t>3</t>
    </r>
    <r>
      <rPr>
        <b/>
        <sz val="10"/>
        <color indexed="10"/>
        <rFont val="宋体"/>
        <family val="3"/>
        <charset val="134"/>
      </rPr>
      <t>）</t>
    </r>
    <phoneticPr fontId="16" type="noConversion"/>
  </si>
  <si>
    <r>
      <rPr>
        <b/>
        <sz val="10"/>
        <color theme="1"/>
        <rFont val="宋体"/>
        <family val="3"/>
        <charset val="134"/>
      </rPr>
      <t>第二次发函结果？（送抵</t>
    </r>
    <r>
      <rPr>
        <b/>
        <sz val="10"/>
        <color theme="1"/>
        <rFont val="Arial Narrow"/>
        <family val="2"/>
      </rPr>
      <t>/</t>
    </r>
    <r>
      <rPr>
        <b/>
        <sz val="10"/>
        <color theme="1"/>
        <rFont val="宋体"/>
        <family val="3"/>
        <charset val="134"/>
      </rPr>
      <t xml:space="preserve">退回）
</t>
    </r>
    <r>
      <rPr>
        <b/>
        <sz val="10"/>
        <color indexed="10"/>
        <rFont val="宋体"/>
        <family val="3"/>
        <charset val="134"/>
      </rPr>
      <t>（注</t>
    </r>
    <r>
      <rPr>
        <b/>
        <sz val="10"/>
        <color indexed="10"/>
        <rFont val="Arial Narrow"/>
        <family val="2"/>
      </rPr>
      <t>4</t>
    </r>
    <r>
      <rPr>
        <b/>
        <sz val="10"/>
        <color indexed="10"/>
        <rFont val="宋体"/>
        <family val="3"/>
        <charset val="134"/>
      </rPr>
      <t>）</t>
    </r>
    <phoneticPr fontId="49" type="noConversion"/>
  </si>
  <si>
    <t>被询证单位全称</t>
    <phoneticPr fontId="16" type="noConversion"/>
  </si>
  <si>
    <t>函证方式</t>
    <phoneticPr fontId="16" type="noConversion"/>
  </si>
  <si>
    <t>收件地址</t>
    <phoneticPr fontId="16" type="noConversion"/>
  </si>
  <si>
    <t>邮编</t>
    <phoneticPr fontId="16" type="noConversion"/>
  </si>
  <si>
    <t>邮箱/传真</t>
    <phoneticPr fontId="16" type="noConversion"/>
  </si>
  <si>
    <r>
      <rPr>
        <b/>
        <sz val="10"/>
        <color rgb="FFFF0000"/>
        <rFont val="宋体"/>
        <family val="3"/>
        <charset val="134"/>
      </rPr>
      <t>企查查</t>
    </r>
    <r>
      <rPr>
        <b/>
        <sz val="10"/>
        <rFont val="宋体"/>
        <family val="3"/>
        <charset val="134"/>
      </rPr>
      <t>地址</t>
    </r>
    <phoneticPr fontId="16" type="noConversion"/>
  </si>
  <si>
    <r>
      <t>发函地址与</t>
    </r>
    <r>
      <rPr>
        <b/>
        <sz val="10"/>
        <color rgb="FFFF0000"/>
        <rFont val="宋体"/>
        <family val="3"/>
        <charset val="134"/>
      </rPr>
      <t>企查查</t>
    </r>
    <r>
      <rPr>
        <b/>
        <sz val="10"/>
        <rFont val="宋体"/>
        <family val="3"/>
        <charset val="134"/>
      </rPr>
      <t>地址是否一致</t>
    </r>
    <phoneticPr fontId="16" type="noConversion"/>
  </si>
  <si>
    <t>地址核查不一致的说明</t>
    <phoneticPr fontId="16" type="noConversion"/>
  </si>
  <si>
    <t>地址不一致的核实方式</t>
    <phoneticPr fontId="16" type="noConversion"/>
  </si>
  <si>
    <t>核实的支持性文件或其他公开信息索引号</t>
    <phoneticPr fontId="16" type="noConversion"/>
  </si>
  <si>
    <t>不一致说明是否合理</t>
    <phoneticPr fontId="16" type="noConversion"/>
  </si>
  <si>
    <t>备注</t>
    <phoneticPr fontId="16" type="noConversion"/>
  </si>
  <si>
    <t>回函方式</t>
    <phoneticPr fontId="16" type="noConversion"/>
  </si>
  <si>
    <t>是否为原件</t>
    <phoneticPr fontId="16" type="noConversion"/>
  </si>
  <si>
    <t>是否直接收到回函</t>
    <phoneticPr fontId="16" type="noConversion"/>
  </si>
  <si>
    <t>回函寄件人</t>
    <phoneticPr fontId="16" type="noConversion"/>
  </si>
  <si>
    <t>回函电话</t>
    <phoneticPr fontId="16" type="noConversion"/>
  </si>
  <si>
    <t>发函地址与回函地址是否一致</t>
    <phoneticPr fontId="16" type="noConversion"/>
  </si>
  <si>
    <t>发函收件人与回函寄件人是否一致</t>
    <phoneticPr fontId="16" type="noConversion"/>
  </si>
  <si>
    <t>发函收件人电话与回函寄件人电话是否一致</t>
    <phoneticPr fontId="16" type="noConversion"/>
  </si>
  <si>
    <t>不一致的说明</t>
    <phoneticPr fontId="16" type="noConversion"/>
  </si>
  <si>
    <t>核实支持性证据索引号</t>
    <phoneticPr fontId="16" type="noConversion"/>
  </si>
  <si>
    <t>地址</t>
    <phoneticPr fontId="49" type="noConversion"/>
  </si>
  <si>
    <t>信息是否核查一致</t>
    <phoneticPr fontId="16" type="noConversion"/>
  </si>
  <si>
    <r>
      <rPr>
        <i/>
        <sz val="10"/>
        <color indexed="12"/>
        <rFont val="宋体"/>
        <family val="3"/>
        <charset val="134"/>
      </rPr>
      <t>编制说明：</t>
    </r>
    <phoneticPr fontId="16" type="noConversion"/>
  </si>
  <si>
    <r>
      <rPr>
        <b/>
        <sz val="10"/>
        <color rgb="FF0000FF"/>
        <rFont val="宋体"/>
        <family val="3"/>
        <charset val="134"/>
      </rPr>
      <t>说明</t>
    </r>
    <r>
      <rPr>
        <b/>
        <sz val="10"/>
        <color rgb="FF0000FF"/>
        <rFont val="Arial Narrow"/>
        <family val="2"/>
      </rPr>
      <t>1</t>
    </r>
    <r>
      <rPr>
        <b/>
        <sz val="10"/>
        <color rgb="FF0000FF"/>
        <rFont val="宋体"/>
        <family val="3"/>
        <charset val="134"/>
      </rPr>
      <t>：</t>
    </r>
    <phoneticPr fontId="16" type="noConversion"/>
  </si>
  <si>
    <r>
      <rPr>
        <sz val="10"/>
        <color rgb="FF0000FF"/>
        <rFont val="宋体"/>
        <family val="3"/>
        <charset val="134"/>
      </rPr>
      <t>进行核实的信息应该包括单位名称，地址，以及联系人和电话。</t>
    </r>
  </si>
  <si>
    <r>
      <t>1.</t>
    </r>
    <r>
      <rPr>
        <sz val="10"/>
        <color rgb="FF0000FF"/>
        <rFont val="宋体"/>
        <family val="3"/>
        <charset val="134"/>
      </rPr>
      <t>项目组可利用函证中心对接的企查查获取被函证单位地址，如果不一致的应使用多种方法来核实被函证单位的信息，如查找相关发票</t>
    </r>
    <r>
      <rPr>
        <sz val="10"/>
        <color rgb="FF0000FF"/>
        <rFont val="Arial Narrow"/>
        <family val="2"/>
      </rPr>
      <t>/</t>
    </r>
    <r>
      <rPr>
        <sz val="10"/>
        <color rgb="FF0000FF"/>
        <rFont val="宋体"/>
        <family val="3"/>
        <charset val="134"/>
      </rPr>
      <t>合同，网站搜索，电话确认，邮件确认等，请详细记录核实的方式</t>
    </r>
    <phoneticPr fontId="16" type="noConversion"/>
  </si>
  <si>
    <r>
      <t>2.</t>
    </r>
    <r>
      <rPr>
        <sz val="10"/>
        <color rgb="FF0000FF"/>
        <rFont val="宋体"/>
        <family val="3"/>
        <charset val="134"/>
      </rPr>
      <t>若检查了相关支持性文件或其他公开信息，请记录所检查的详细内容。</t>
    </r>
  </si>
  <si>
    <r>
      <t>3.</t>
    </r>
    <r>
      <rPr>
        <sz val="10"/>
        <color rgb="FF0000FF"/>
        <rFont val="宋体"/>
        <family val="3"/>
        <charset val="134"/>
      </rPr>
      <t>请记录确认联系人身份的过程。</t>
    </r>
    <r>
      <rPr>
        <u/>
        <sz val="10"/>
        <color rgb="FF0000FF"/>
        <rFont val="宋体"/>
        <family val="3"/>
        <charset val="134"/>
      </rPr>
      <t>注意：在银行函证中，也应注意核实联系人的身份并记录工号（若有）</t>
    </r>
  </si>
  <si>
    <r>
      <t>4.</t>
    </r>
    <r>
      <rPr>
        <sz val="10"/>
        <color rgb="FF0000FF"/>
        <rFont val="宋体"/>
        <family val="3"/>
        <charset val="134"/>
      </rPr>
      <t>在核实结果中，应注明所检查的信息（包括单位名称、地址、联系人及电话等）是否与被函证单位信息相符。</t>
    </r>
  </si>
  <si>
    <r>
      <rPr>
        <b/>
        <sz val="10"/>
        <color rgb="FF0000FF"/>
        <rFont val="宋体"/>
        <family val="3"/>
        <charset val="134"/>
      </rPr>
      <t>说明</t>
    </r>
    <r>
      <rPr>
        <b/>
        <sz val="10"/>
        <color rgb="FF0000FF"/>
        <rFont val="Arial Narrow"/>
        <family val="2"/>
      </rPr>
      <t>2</t>
    </r>
    <r>
      <rPr>
        <b/>
        <sz val="10"/>
        <color rgb="FF0000FF"/>
        <rFont val="宋体"/>
        <family val="3"/>
        <charset val="134"/>
      </rPr>
      <t>：</t>
    </r>
    <phoneticPr fontId="16" type="noConversion"/>
  </si>
  <si>
    <r>
      <rPr>
        <sz val="10"/>
        <color rgb="FF0000FF"/>
        <rFont val="宋体"/>
        <family val="3"/>
        <charset val="134"/>
      </rPr>
      <t>请详细记录核实函证被退回原因所进行的程序，</t>
    </r>
    <r>
      <rPr>
        <sz val="10"/>
        <color rgb="FF0000FF"/>
        <rFont val="Arial Narrow"/>
        <family val="2"/>
      </rPr>
      <t xml:space="preserve"> </t>
    </r>
    <r>
      <rPr>
        <sz val="10"/>
        <color rgb="FF0000FF"/>
        <rFont val="宋体"/>
        <family val="3"/>
        <charset val="134"/>
      </rPr>
      <t>例如：询问，检查等程序的具体内容</t>
    </r>
  </si>
  <si>
    <r>
      <rPr>
        <b/>
        <sz val="10"/>
        <color rgb="FF0000FF"/>
        <rFont val="宋体"/>
        <family val="3"/>
        <charset val="134"/>
      </rPr>
      <t>说明</t>
    </r>
    <r>
      <rPr>
        <b/>
        <sz val="10"/>
        <color rgb="FF0000FF"/>
        <rFont val="Arial Narrow"/>
        <family val="2"/>
      </rPr>
      <t>3</t>
    </r>
    <r>
      <rPr>
        <b/>
        <sz val="10"/>
        <color rgb="FF0000FF"/>
        <rFont val="宋体"/>
        <family val="3"/>
        <charset val="134"/>
      </rPr>
      <t>：</t>
    </r>
    <phoneticPr fontId="16" type="noConversion"/>
  </si>
  <si>
    <r>
      <rPr>
        <sz val="10"/>
        <color rgb="FF0000FF"/>
        <rFont val="宋体"/>
        <family val="3"/>
        <charset val="134"/>
      </rPr>
      <t>若退回的原因不合理或存在舞弊可能，审计项目组人员应及时告知项目负责人，并咨询有关针对舞弊的审计应对措施</t>
    </r>
    <phoneticPr fontId="106" type="noConversion"/>
  </si>
  <si>
    <r>
      <rPr>
        <b/>
        <sz val="10"/>
        <color rgb="FF0000FF"/>
        <rFont val="宋体"/>
        <family val="3"/>
        <charset val="134"/>
      </rPr>
      <t>说明</t>
    </r>
    <r>
      <rPr>
        <b/>
        <sz val="10"/>
        <color rgb="FF0000FF"/>
        <rFont val="Arial Narrow"/>
        <family val="2"/>
      </rPr>
      <t>4</t>
    </r>
    <r>
      <rPr>
        <b/>
        <sz val="10"/>
        <color rgb="FF0000FF"/>
        <rFont val="宋体"/>
        <family val="3"/>
        <charset val="134"/>
      </rPr>
      <t>：</t>
    </r>
    <phoneticPr fontId="16" type="noConversion"/>
  </si>
  <si>
    <r>
      <rPr>
        <sz val="10"/>
        <color rgb="FF0000FF"/>
        <rFont val="宋体"/>
        <family val="3"/>
        <charset val="134"/>
      </rPr>
      <t>请跟进第二次发函的结果，记录是否送抵被函证方，对于仍被退回的函证，应进行进一步调查并考虑舞弊的可能，同时在相应底稿中记录与之相关的审计风险与对审计的影响。</t>
    </r>
    <phoneticPr fontId="16" type="noConversion"/>
  </si>
  <si>
    <r>
      <rPr>
        <b/>
        <sz val="10"/>
        <color rgb="FF0000FF"/>
        <rFont val="宋体"/>
        <family val="3"/>
        <charset val="134"/>
      </rPr>
      <t>说明</t>
    </r>
    <r>
      <rPr>
        <b/>
        <sz val="10"/>
        <color rgb="FF0000FF"/>
        <rFont val="Arial Narrow"/>
        <family val="2"/>
      </rPr>
      <t>5</t>
    </r>
    <r>
      <rPr>
        <b/>
        <sz val="10"/>
        <color rgb="FF0000FF"/>
        <rFont val="宋体"/>
        <family val="3"/>
        <charset val="134"/>
      </rPr>
      <t>：</t>
    </r>
    <phoneticPr fontId="16" type="noConversion"/>
  </si>
  <si>
    <t>如果被询证者以传真、电子邮件方式回函，审计项目组应当直接接收，并验证传真、电子邮件回函的可靠性，要求被询证者在审计报告日之前寄回询证函原件</t>
    <phoneticPr fontId="16" type="noConversion"/>
  </si>
  <si>
    <t>跟函函证过程控制</t>
    <phoneticPr fontId="16" type="noConversion"/>
  </si>
  <si>
    <r>
      <rPr>
        <b/>
        <sz val="10"/>
        <rFont val="宋体"/>
        <family val="3"/>
        <charset val="134"/>
      </rPr>
      <t>直接至被函证方公司进行函证（</t>
    </r>
    <r>
      <rPr>
        <b/>
        <sz val="10"/>
        <rFont val="Arial Narrow"/>
        <family val="2"/>
      </rPr>
      <t>“</t>
    </r>
    <r>
      <rPr>
        <b/>
        <sz val="10"/>
        <rFont val="宋体"/>
        <family val="3"/>
        <charset val="134"/>
      </rPr>
      <t>跟函</t>
    </r>
    <r>
      <rPr>
        <b/>
        <sz val="10"/>
        <rFont val="Arial Narrow"/>
        <family val="2"/>
      </rPr>
      <t>”</t>
    </r>
    <r>
      <rPr>
        <b/>
        <sz val="10"/>
        <rFont val="宋体"/>
        <family val="3"/>
        <charset val="134"/>
      </rPr>
      <t>）程序的记录</t>
    </r>
    <r>
      <rPr>
        <sz val="10"/>
        <rFont val="Arial Narrow"/>
        <family val="2"/>
      </rPr>
      <t xml:space="preserve">   </t>
    </r>
  </si>
  <si>
    <t>是否了解处理函证的通常流程和处理人员</t>
    <phoneticPr fontId="16" type="noConversion"/>
  </si>
  <si>
    <t>是否确认询证函处理人员的身份及权限</t>
    <phoneticPr fontId="16" type="noConversion"/>
  </si>
  <si>
    <t>处理人员是否按正常流程处理</t>
    <phoneticPr fontId="16" type="noConversion"/>
  </si>
  <si>
    <t>被询证单位名称</t>
    <phoneticPr fontId="16" type="noConversion"/>
  </si>
  <si>
    <t>差异</t>
    <phoneticPr fontId="16" type="noConversion"/>
  </si>
  <si>
    <t>差异原因</t>
    <phoneticPr fontId="16" type="noConversion"/>
  </si>
  <si>
    <t>相关支持性证据</t>
    <phoneticPr fontId="16" type="noConversion"/>
  </si>
  <si>
    <r>
      <rPr>
        <b/>
        <sz val="10"/>
        <rFont val="宋体"/>
        <family val="3"/>
        <charset val="134"/>
      </rPr>
      <t>合计</t>
    </r>
    <phoneticPr fontId="16" type="noConversion"/>
  </si>
  <si>
    <t>一、样本选取标准与规模：</t>
    <phoneticPr fontId="23" type="noConversion"/>
  </si>
  <si>
    <t>二、检查过程记录：</t>
    <phoneticPr fontId="23" type="noConversion"/>
  </si>
  <si>
    <t>函证项目</t>
    <phoneticPr fontId="16" type="noConversion"/>
  </si>
  <si>
    <t>年初余额</t>
  </si>
  <si>
    <t>借方发生额</t>
  </si>
  <si>
    <t>贷方发生额</t>
  </si>
  <si>
    <t>期末余额</t>
    <phoneticPr fontId="16" type="noConversion"/>
  </si>
  <si>
    <t>记账凭证</t>
    <phoneticPr fontId="16" type="noConversion"/>
  </si>
  <si>
    <t>……</t>
    <phoneticPr fontId="16" type="noConversion"/>
  </si>
  <si>
    <t>索引号</t>
    <phoneticPr fontId="16" type="noConversion"/>
  </si>
  <si>
    <t>是否异常</t>
    <phoneticPr fontId="16" type="noConversion"/>
  </si>
  <si>
    <t>日期</t>
  </si>
  <si>
    <t>对方科目</t>
    <phoneticPr fontId="49" type="noConversion"/>
  </si>
  <si>
    <t>记账凭证</t>
    <phoneticPr fontId="16" type="noConversion"/>
  </si>
  <si>
    <t>付款审批单</t>
    <phoneticPr fontId="16" type="noConversion"/>
  </si>
  <si>
    <t>……</t>
    <phoneticPr fontId="16" type="noConversion"/>
  </si>
  <si>
    <r>
      <rPr>
        <b/>
        <sz val="9"/>
        <rFont val="宋体"/>
        <family val="3"/>
        <charset val="134"/>
      </rPr>
      <t>合计</t>
    </r>
    <phoneticPr fontId="16" type="noConversion"/>
  </si>
  <si>
    <t>对方科目</t>
    <phoneticPr fontId="49" type="noConversion"/>
  </si>
  <si>
    <t>三、审计说明：</t>
    <phoneticPr fontId="23" type="noConversion"/>
  </si>
  <si>
    <t>四、审计结论：</t>
    <phoneticPr fontId="23" type="noConversion"/>
  </si>
  <si>
    <r>
      <t xml:space="preserve">                      </t>
    </r>
    <r>
      <rPr>
        <sz val="10"/>
        <color indexed="12"/>
        <rFont val="宋体"/>
        <family val="3"/>
        <charset val="134"/>
      </rPr>
      <t>（</t>
    </r>
    <r>
      <rPr>
        <sz val="10"/>
        <color indexed="12"/>
        <rFont val="Arial Narrow"/>
        <family val="2"/>
      </rPr>
      <t>2</t>
    </r>
    <r>
      <rPr>
        <sz val="10"/>
        <color indexed="12"/>
        <rFont val="宋体"/>
        <family val="3"/>
        <charset val="134"/>
      </rPr>
      <t>）拟调整事项及其调整分录、未调整事项及其影响，审计范围受到限制情况及其影响。</t>
    </r>
    <phoneticPr fontId="16" type="noConversion"/>
  </si>
  <si>
    <t>邮件/传真回函可靠性验证记录</t>
    <phoneticPr fontId="16" type="noConversion"/>
  </si>
  <si>
    <r>
      <rPr>
        <b/>
        <sz val="10"/>
        <rFont val="宋体"/>
        <family val="3"/>
        <charset val="134"/>
      </rPr>
      <t>序号</t>
    </r>
    <phoneticPr fontId="16" type="noConversion"/>
  </si>
  <si>
    <t>函证索引号</t>
    <phoneticPr fontId="16" type="noConversion"/>
  </si>
  <si>
    <t>被询证单位名称</t>
    <phoneticPr fontId="16" type="noConversion"/>
  </si>
  <si>
    <t>回函方式</t>
    <phoneticPr fontId="49" type="noConversion"/>
  </si>
  <si>
    <r>
      <rPr>
        <b/>
        <sz val="10"/>
        <rFont val="宋体"/>
        <family val="3"/>
        <charset val="134"/>
      </rPr>
      <t>是否由审计项目组直接接收</t>
    </r>
    <phoneticPr fontId="49" type="noConversion"/>
  </si>
  <si>
    <r>
      <rPr>
        <b/>
        <sz val="10"/>
        <rFont val="宋体"/>
        <family val="3"/>
        <charset val="134"/>
      </rPr>
      <t>是否寄回原件</t>
    </r>
    <phoneticPr fontId="49" type="noConversion"/>
  </si>
  <si>
    <t>期末未收回原件函证可靠性验证</t>
    <phoneticPr fontId="49" type="noConversion"/>
  </si>
  <si>
    <r>
      <rPr>
        <b/>
        <sz val="10"/>
        <rFont val="宋体"/>
        <family val="3"/>
        <charset val="134"/>
      </rPr>
      <t>回函可靠性结论</t>
    </r>
    <phoneticPr fontId="16" type="noConversion"/>
  </si>
  <si>
    <t>发函及回函传真信息及验证</t>
    <phoneticPr fontId="49" type="noConversion"/>
  </si>
  <si>
    <t>发函邮箱</t>
    <phoneticPr fontId="49" type="noConversion"/>
  </si>
  <si>
    <t>回函邮箱</t>
    <phoneticPr fontId="49" type="noConversion"/>
  </si>
  <si>
    <t>是否致电被函证者确认</t>
    <phoneticPr fontId="49" type="noConversion"/>
  </si>
  <si>
    <t>审计结论：</t>
    <phoneticPr fontId="16" type="noConversion"/>
  </si>
  <si>
    <t>致同会计师事务所</t>
    <phoneticPr fontId="16" type="noConversion"/>
  </si>
  <si>
    <t>函证程序舞弊风险评价表</t>
    <phoneticPr fontId="16" type="noConversion"/>
  </si>
  <si>
    <t>与函证程序有关的舞弊风险迹象</t>
    <phoneticPr fontId="16" type="noConversion"/>
  </si>
  <si>
    <t>是否存在</t>
    <phoneticPr fontId="16" type="noConversion"/>
  </si>
  <si>
    <t>索引号或信息来源</t>
    <phoneticPr fontId="49" type="noConversion"/>
  </si>
  <si>
    <t>应对措施</t>
    <phoneticPr fontId="49" type="noConversion"/>
  </si>
  <si>
    <t>……</t>
    <phoneticPr fontId="49" type="noConversion"/>
  </si>
  <si>
    <t>B50</t>
    <phoneticPr fontId="49" type="noConversion"/>
  </si>
  <si>
    <t>审计说明：</t>
    <phoneticPr fontId="16" type="noConversion"/>
  </si>
  <si>
    <t>索引号：</t>
    <phoneticPr fontId="49" type="noConversion"/>
  </si>
  <si>
    <t>索引号：</t>
    <phoneticPr fontId="16" type="noConversion"/>
  </si>
  <si>
    <t>索引号：</t>
    <phoneticPr fontId="16" type="noConversion"/>
  </si>
  <si>
    <t>其他应收款函证结果汇总表</t>
    <phoneticPr fontId="16" type="noConversion"/>
  </si>
  <si>
    <t>（）万元，并且被审计单位不能合理解释其差异并提供相应依据］</t>
    <phoneticPr fontId="49" type="noConversion"/>
  </si>
  <si>
    <t>其他应收款</t>
    <phoneticPr fontId="16" type="noConversion"/>
  </si>
  <si>
    <t>支持性文件1</t>
    <phoneticPr fontId="49" type="noConversion"/>
  </si>
  <si>
    <r>
      <rPr>
        <sz val="10"/>
        <rFont val="宋体"/>
        <family val="3"/>
        <charset val="134"/>
      </rPr>
      <t>（</t>
    </r>
    <r>
      <rPr>
        <sz val="10"/>
        <rFont val="Arial Narrow"/>
        <family val="2"/>
      </rPr>
      <t>1</t>
    </r>
    <r>
      <rPr>
        <sz val="10"/>
        <rFont val="宋体"/>
        <family val="3"/>
        <charset val="134"/>
      </rPr>
      <t>）本期借方发生额</t>
    </r>
    <phoneticPr fontId="49" type="noConversion"/>
  </si>
  <si>
    <r>
      <rPr>
        <sz val="10"/>
        <rFont val="宋体"/>
        <family val="3"/>
        <charset val="134"/>
      </rPr>
      <t>（</t>
    </r>
    <r>
      <rPr>
        <sz val="10"/>
        <rFont val="Arial Narrow"/>
        <family val="2"/>
      </rPr>
      <t>2</t>
    </r>
    <r>
      <rPr>
        <sz val="10"/>
        <rFont val="宋体"/>
        <family val="3"/>
        <charset val="134"/>
      </rPr>
      <t>）本期贷方发生额</t>
    </r>
    <phoneticPr fontId="49" type="noConversion"/>
  </si>
  <si>
    <r>
      <rPr>
        <b/>
        <sz val="9"/>
        <rFont val="宋体"/>
        <family val="3"/>
        <charset val="134"/>
      </rPr>
      <t>记账凭证</t>
    </r>
    <phoneticPr fontId="49" type="noConversion"/>
  </si>
  <si>
    <t>审计结论：</t>
    <phoneticPr fontId="16" type="noConversion"/>
  </si>
  <si>
    <t>5</t>
  </si>
  <si>
    <t>9</t>
  </si>
  <si>
    <t>10</t>
  </si>
  <si>
    <t>11</t>
  </si>
  <si>
    <r>
      <rPr>
        <sz val="10"/>
        <color rgb="FF0000FF"/>
        <rFont val="宋体"/>
        <family val="3"/>
        <charset val="134"/>
      </rPr>
      <t>检查的关键证据和要素根据被审计单位具体情况修改</t>
    </r>
    <phoneticPr fontId="16" type="noConversion"/>
  </si>
  <si>
    <r>
      <rPr>
        <sz val="10"/>
        <rFont val="宋体"/>
        <family val="3"/>
        <charset val="134"/>
      </rPr>
      <t>汇总上述所有已发现的舞弊迹象，在</t>
    </r>
    <r>
      <rPr>
        <sz val="10"/>
        <rFont val="Arial Narrow"/>
        <family val="2"/>
      </rPr>
      <t>“</t>
    </r>
    <r>
      <rPr>
        <sz val="10"/>
        <rFont val="宋体"/>
        <family val="3"/>
        <charset val="134"/>
      </rPr>
      <t>汇总识别的风险因素</t>
    </r>
    <r>
      <rPr>
        <sz val="10"/>
        <rFont val="Arial Narrow"/>
        <family val="2"/>
      </rPr>
      <t>”</t>
    </r>
    <r>
      <rPr>
        <sz val="10"/>
        <rFont val="宋体"/>
        <family val="3"/>
        <charset val="134"/>
      </rPr>
      <t>中记录并区分财务报表层次的风险和认定层次的风险，制订初步的应对措施。</t>
    </r>
    <phoneticPr fontId="49" type="noConversion"/>
  </si>
  <si>
    <t>12</t>
  </si>
  <si>
    <t>发函单号/跟函记录索引号</t>
    <phoneticPr fontId="16" type="noConversion"/>
  </si>
  <si>
    <r>
      <t>1.</t>
    </r>
    <r>
      <rPr>
        <sz val="10"/>
        <rFont val="宋体"/>
        <family val="3"/>
        <charset val="134"/>
      </rPr>
      <t>对询证函保持的控制的说明</t>
    </r>
    <phoneticPr fontId="16" type="noConversion"/>
  </si>
  <si>
    <r>
      <t>2.</t>
    </r>
    <r>
      <rPr>
        <sz val="10"/>
        <rFont val="宋体"/>
        <family val="3"/>
        <charset val="134"/>
      </rPr>
      <t>对误差的分析</t>
    </r>
    <phoneticPr fontId="16" type="noConversion"/>
  </si>
  <si>
    <r>
      <t>4.</t>
    </r>
    <r>
      <rPr>
        <sz val="10"/>
        <rFont val="宋体"/>
        <family val="3"/>
        <charset val="134"/>
      </rPr>
      <t>针对不符事项的程序</t>
    </r>
    <phoneticPr fontId="16" type="noConversion"/>
  </si>
  <si>
    <r>
      <t>5.</t>
    </r>
    <r>
      <rPr>
        <sz val="10"/>
        <rFont val="宋体"/>
        <family val="3"/>
        <charset val="134"/>
      </rPr>
      <t>针对未回函的替代程序</t>
    </r>
    <phoneticPr fontId="16" type="noConversion"/>
  </si>
  <si>
    <r>
      <t>1.</t>
    </r>
    <r>
      <rPr>
        <b/>
        <sz val="10"/>
        <color rgb="FF000000"/>
        <rFont val="宋体"/>
        <family val="3"/>
        <charset val="134"/>
      </rPr>
      <t>其他应收款检查</t>
    </r>
    <r>
      <rPr>
        <b/>
        <sz val="10"/>
        <color rgb="FF000000"/>
        <rFont val="Arial Narrow"/>
        <family val="2"/>
      </rPr>
      <t>-</t>
    </r>
    <r>
      <rPr>
        <b/>
        <sz val="10"/>
        <color rgb="FF000000"/>
        <rFont val="宋体"/>
        <family val="3"/>
        <charset val="134"/>
      </rPr>
      <t>检查期后收款</t>
    </r>
    <phoneticPr fontId="16" type="noConversion"/>
  </si>
  <si>
    <r>
      <t>2.</t>
    </r>
    <r>
      <rPr>
        <b/>
        <sz val="10"/>
        <color rgb="FF000000"/>
        <rFont val="宋体"/>
        <family val="3"/>
        <charset val="134"/>
      </rPr>
      <t>其他应收款检查</t>
    </r>
    <r>
      <rPr>
        <b/>
        <sz val="10"/>
        <color rgb="FF000000"/>
        <rFont val="Arial Narrow"/>
        <family val="2"/>
      </rPr>
      <t>-</t>
    </r>
    <r>
      <rPr>
        <b/>
        <sz val="10"/>
        <color rgb="FF000000"/>
        <rFont val="宋体"/>
        <family val="3"/>
        <charset val="134"/>
      </rPr>
      <t>形成期末余额的合同、付款审批单、支出凭单等支持性证据检查</t>
    </r>
    <phoneticPr fontId="16" type="noConversion"/>
  </si>
  <si>
    <r>
      <t>3.</t>
    </r>
    <r>
      <rPr>
        <b/>
        <sz val="10"/>
        <rFont val="宋体"/>
        <family val="3"/>
        <charset val="134"/>
      </rPr>
      <t>检查本期发生额：</t>
    </r>
    <phoneticPr fontId="49" type="noConversion"/>
  </si>
  <si>
    <r>
      <t>1</t>
    </r>
    <r>
      <rPr>
        <b/>
        <sz val="10"/>
        <rFont val="宋体"/>
        <family val="3"/>
        <charset val="134"/>
      </rPr>
      <t>、发函信息</t>
    </r>
    <phoneticPr fontId="16" type="noConversion"/>
  </si>
  <si>
    <r>
      <t>·</t>
    </r>
    <r>
      <rPr>
        <b/>
        <sz val="10"/>
        <color rgb="FF0000FF"/>
        <rFont val="宋体"/>
        <family val="3"/>
        <charset val="134"/>
      </rPr>
      <t>本记录应由执行跟函程序的项目组成员针对每一份经由跟函程序取得的函证编制，并由该跟函人员在记录底稿上手书签署姓名。</t>
    </r>
    <phoneticPr fontId="16" type="noConversion"/>
  </si>
  <si>
    <r>
      <t>·</t>
    </r>
    <r>
      <rPr>
        <b/>
        <sz val="10"/>
        <color rgb="FF0000FF"/>
        <rFont val="Arial Narrow"/>
        <family val="2"/>
      </rPr>
      <t>[  ]</t>
    </r>
    <r>
      <rPr>
        <b/>
        <sz val="10"/>
        <color rgb="FF0000FF"/>
        <rFont val="宋体"/>
        <family val="3"/>
        <charset val="134"/>
      </rPr>
      <t>中的斜体字请根据实际情况填写。</t>
    </r>
    <phoneticPr fontId="16" type="noConversion"/>
  </si>
  <si>
    <r>
      <rPr>
        <sz val="10"/>
        <rFont val="宋体"/>
        <family val="3"/>
        <charset val="134"/>
      </rPr>
      <t>该函证是在</t>
    </r>
    <r>
      <rPr>
        <sz val="10"/>
        <color rgb="FFFF0000"/>
        <rFont val="Arial Narrow"/>
        <family val="2"/>
      </rPr>
      <t>[</t>
    </r>
    <r>
      <rPr>
        <i/>
        <sz val="10"/>
        <color rgb="FFFF0000"/>
        <rFont val="Arial Narrow"/>
        <family val="2"/>
      </rPr>
      <t>XX</t>
    </r>
    <r>
      <rPr>
        <i/>
        <sz val="10"/>
        <color rgb="FFFF0000"/>
        <rFont val="宋体"/>
        <family val="3"/>
        <charset val="134"/>
      </rPr>
      <t>公司</t>
    </r>
    <r>
      <rPr>
        <sz val="10"/>
        <color rgb="FFFF0000"/>
        <rFont val="Arial Narrow"/>
        <family val="2"/>
      </rPr>
      <t>]</t>
    </r>
    <r>
      <rPr>
        <sz val="10"/>
        <rFont val="宋体"/>
        <family val="3"/>
        <charset val="134"/>
      </rPr>
      <t>的财务部</t>
    </r>
    <r>
      <rPr>
        <i/>
        <sz val="10"/>
        <color rgb="FFFF0000"/>
        <rFont val="Arial Narrow"/>
        <family val="2"/>
      </rPr>
      <t>/[</t>
    </r>
    <r>
      <rPr>
        <i/>
        <sz val="10"/>
        <color rgb="FFFF0000"/>
        <rFont val="宋体"/>
        <family val="3"/>
        <charset val="134"/>
      </rPr>
      <t>或者其他执行类似职能的</t>
    </r>
    <r>
      <rPr>
        <i/>
        <sz val="10"/>
        <color rgb="FFFF0000"/>
        <rFont val="Arial Narrow"/>
        <family val="2"/>
      </rPr>
      <t>XX</t>
    </r>
    <r>
      <rPr>
        <i/>
        <sz val="10"/>
        <color rgb="FFFF0000"/>
        <rFont val="宋体"/>
        <family val="3"/>
        <charset val="134"/>
      </rPr>
      <t>部门</t>
    </r>
    <r>
      <rPr>
        <i/>
        <sz val="10"/>
        <color rgb="FFFF0000"/>
        <rFont val="Arial Narrow"/>
        <family val="2"/>
      </rPr>
      <t>]</t>
    </r>
    <r>
      <rPr>
        <sz val="10"/>
        <rFont val="宋体"/>
        <family val="3"/>
        <charset val="134"/>
      </rPr>
      <t>办理，确认函证的被函证单位工作人员姓名为</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t>
    </r>
    <phoneticPr fontId="16" type="noConversion"/>
  </si>
  <si>
    <r>
      <rPr>
        <sz val="10"/>
        <rFont val="宋体"/>
        <family val="3"/>
        <charset val="134"/>
      </rPr>
      <t>跟函人员（或者项目组其他成员）</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在</t>
    </r>
    <r>
      <rPr>
        <sz val="10"/>
        <color rgb="FFFF0000"/>
        <rFont val="Arial Narrow"/>
        <family val="2"/>
      </rPr>
      <t>[</t>
    </r>
    <r>
      <rPr>
        <i/>
        <sz val="10"/>
        <color rgb="FFFF0000"/>
        <rFont val="Arial Narrow"/>
        <family val="2"/>
      </rPr>
      <t>XX]</t>
    </r>
    <r>
      <rPr>
        <sz val="10"/>
        <color rgb="FFFF0000"/>
        <rFont val="宋体"/>
        <family val="3"/>
        <charset val="134"/>
      </rPr>
      <t>年</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月</t>
    </r>
    <r>
      <rPr>
        <sz val="10"/>
        <color rgb="FFFF0000"/>
        <rFont val="Arial Narrow"/>
        <family val="2"/>
      </rPr>
      <t>[</t>
    </r>
    <r>
      <rPr>
        <i/>
        <sz val="10"/>
        <color rgb="FFFF0000"/>
        <rFont val="Arial Narrow"/>
        <family val="2"/>
      </rPr>
      <t>XX</t>
    </r>
    <r>
      <rPr>
        <sz val="10"/>
        <color rgb="FFFF0000"/>
        <rFont val="Arial Narrow"/>
        <family val="2"/>
      </rPr>
      <t>]</t>
    </r>
    <r>
      <rPr>
        <sz val="10"/>
        <color rgb="FFFF0000"/>
        <rFont val="宋体"/>
        <family val="3"/>
        <charset val="134"/>
      </rPr>
      <t>日</t>
    </r>
    <r>
      <rPr>
        <sz val="10"/>
        <rFont val="宋体"/>
        <family val="3"/>
        <charset val="134"/>
      </rPr>
      <t>致电</t>
    </r>
    <r>
      <rPr>
        <i/>
        <sz val="10"/>
        <color rgb="FFFF0000"/>
        <rFont val="Arial Narrow"/>
        <family val="2"/>
      </rPr>
      <t>[</t>
    </r>
    <r>
      <rPr>
        <i/>
        <sz val="10"/>
        <color rgb="FFFF0000"/>
        <rFont val="宋体"/>
        <family val="3"/>
        <charset val="134"/>
      </rPr>
      <t>被函证方全称</t>
    </r>
    <r>
      <rPr>
        <i/>
        <sz val="10"/>
        <color rgb="FFFF0000"/>
        <rFont val="Arial Narrow"/>
        <family val="2"/>
      </rPr>
      <t>]</t>
    </r>
    <r>
      <rPr>
        <sz val="10"/>
        <rFont val="宋体"/>
        <family val="3"/>
        <charset val="134"/>
      </rPr>
      <t>对外公开电话，号码为</t>
    </r>
    <r>
      <rPr>
        <i/>
        <sz val="10"/>
        <color rgb="FFFF0000"/>
        <rFont val="Arial Narrow"/>
        <family val="2"/>
      </rPr>
      <t>[XX]</t>
    </r>
    <r>
      <rPr>
        <sz val="10"/>
        <rFont val="宋体"/>
        <family val="3"/>
        <charset val="134"/>
      </rPr>
      <t>，并与被函证单位工作人员确认其确实于</t>
    </r>
    <r>
      <rPr>
        <i/>
        <sz val="10"/>
        <color rgb="FF7428FC"/>
        <rFont val="宋体"/>
        <family val="3"/>
        <charset val="134"/>
        <scheme val="minor"/>
      </rPr>
      <t/>
    </r>
    <phoneticPr fontId="16" type="noConversion"/>
  </si>
  <si>
    <r>
      <t>·</t>
    </r>
    <r>
      <rPr>
        <b/>
        <sz val="10"/>
        <color rgb="FF0000FF"/>
        <rFont val="宋体"/>
        <family val="3"/>
        <charset val="134"/>
      </rPr>
      <t>本记录是针对审计项目组成员不通过寄送，而是直接至被函证方公司进行函证（</t>
    </r>
    <r>
      <rPr>
        <b/>
        <sz val="10"/>
        <color rgb="FF0000FF"/>
        <rFont val="Arial Narrow"/>
        <family val="2"/>
      </rPr>
      <t>“</t>
    </r>
    <r>
      <rPr>
        <b/>
        <sz val="10"/>
        <color rgb="FF0000FF"/>
        <rFont val="宋体"/>
        <family val="3"/>
        <charset val="134"/>
      </rPr>
      <t>跟函</t>
    </r>
    <r>
      <rPr>
        <b/>
        <sz val="10"/>
        <color rgb="FF0000FF"/>
        <rFont val="Arial Narrow"/>
        <family val="2"/>
      </rPr>
      <t>”</t>
    </r>
    <r>
      <rPr>
        <b/>
        <sz val="10"/>
        <color rgb="FF0000FF"/>
        <rFont val="宋体"/>
        <family val="3"/>
        <charset val="134"/>
      </rPr>
      <t>）的情况。</t>
    </r>
    <phoneticPr fontId="16" type="noConversion"/>
  </si>
  <si>
    <r>
      <t>*</t>
    </r>
    <r>
      <rPr>
        <sz val="10"/>
        <color rgb="FF0000FF"/>
        <rFont val="宋体"/>
        <family val="3"/>
        <charset val="134"/>
      </rPr>
      <t>若被函证单位无法即时确认函证，而要求跟函人员将函证留下，待确认后再寄回事务所相关办公室则考虑使用以下内容</t>
    </r>
    <phoneticPr fontId="16" type="noConversion"/>
  </si>
  <si>
    <r>
      <rPr>
        <sz val="10"/>
        <color rgb="FFFF0000"/>
        <rFont val="Arial Narrow"/>
        <family val="2"/>
      </rPr>
      <t>[</t>
    </r>
    <r>
      <rPr>
        <i/>
        <sz val="10"/>
        <color rgb="FFFF0000"/>
        <rFont val="宋体"/>
        <family val="3"/>
        <charset val="134"/>
      </rPr>
      <t>我，或者我们</t>
    </r>
    <r>
      <rPr>
        <sz val="10"/>
        <color rgb="FFFF0000"/>
        <rFont val="Arial Narrow"/>
        <family val="2"/>
      </rPr>
      <t>]</t>
    </r>
    <r>
      <rPr>
        <sz val="10"/>
        <rFont val="宋体"/>
        <family val="3"/>
        <charset val="134"/>
      </rPr>
      <t>亲自将该函证交给被函证单位的人员</t>
    </r>
    <r>
      <rPr>
        <sz val="10"/>
        <color rgb="FFFF0000"/>
        <rFont val="Arial Narrow"/>
        <family val="2"/>
      </rPr>
      <t>[</t>
    </r>
    <r>
      <rPr>
        <i/>
        <sz val="10"/>
        <color rgb="FFFF0000"/>
        <rFont val="宋体"/>
        <family val="3"/>
        <charset val="134"/>
      </rPr>
      <t>姓名</t>
    </r>
    <r>
      <rPr>
        <i/>
        <sz val="10"/>
        <color rgb="FFFF0000"/>
        <rFont val="Arial Narrow"/>
        <family val="2"/>
      </rPr>
      <t>XX</t>
    </r>
    <r>
      <rPr>
        <sz val="10"/>
        <color rgb="FFFF0000"/>
        <rFont val="Arial Narrow"/>
        <family val="2"/>
      </rPr>
      <t>]</t>
    </r>
    <r>
      <rPr>
        <sz val="10"/>
        <rFont val="宋体"/>
        <family val="3"/>
        <charset val="134"/>
      </rPr>
      <t>，工号为</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（如有）办理。并将致同会计师事务</t>
    </r>
    <r>
      <rPr>
        <sz val="10"/>
        <color rgb="FFFF0000"/>
        <rFont val="Arial Narrow"/>
        <family val="2"/>
      </rPr>
      <t>XX</t>
    </r>
    <r>
      <rPr>
        <sz val="10"/>
        <rFont val="宋体"/>
        <family val="3"/>
        <charset val="134"/>
      </rPr>
      <t>办公室的函证回邮信封留给该工作人员。</t>
    </r>
    <phoneticPr fontId="16" type="noConversion"/>
  </si>
  <si>
    <r>
      <rPr>
        <sz val="10"/>
        <rFont val="宋体"/>
        <family val="3"/>
        <charset val="134"/>
      </rPr>
      <t>审计项目组成员</t>
    </r>
    <r>
      <rPr>
        <i/>
        <sz val="10"/>
        <color rgb="FFFF0000"/>
        <rFont val="Arial Narrow"/>
        <family val="2"/>
      </rPr>
      <t>[XXX…]</t>
    </r>
    <r>
      <rPr>
        <sz val="10"/>
        <rFont val="宋体"/>
        <family val="3"/>
        <charset val="134"/>
      </rPr>
      <t>于</t>
    </r>
    <r>
      <rPr>
        <sz val="10"/>
        <color rgb="FFFF0000"/>
        <rFont val="Arial Narrow"/>
        <family val="2"/>
      </rPr>
      <t>[</t>
    </r>
    <r>
      <rPr>
        <i/>
        <sz val="10"/>
        <color rgb="FFFF0000"/>
        <rFont val="Arial Narrow"/>
        <family val="2"/>
      </rPr>
      <t>202X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sz val="10"/>
        <color rgb="FFFF0000"/>
        <rFont val="Arial Narrow"/>
        <family val="2"/>
      </rPr>
      <t>]</t>
    </r>
    <r>
      <rPr>
        <sz val="10"/>
        <rFont val="宋体"/>
        <family val="3"/>
        <charset val="134"/>
      </rPr>
      <t>与</t>
    </r>
    <r>
      <rPr>
        <i/>
        <sz val="10"/>
        <color rgb="FFFF0000"/>
        <rFont val="Arial Narrow"/>
        <family val="2"/>
      </rPr>
      <t>[</t>
    </r>
    <r>
      <rPr>
        <i/>
        <sz val="10"/>
        <color rgb="FFFF0000"/>
        <rFont val="宋体"/>
        <family val="3"/>
        <charset val="134"/>
      </rPr>
      <t>被审计单位</t>
    </r>
    <r>
      <rPr>
        <i/>
        <sz val="10"/>
        <color rgb="FFFF0000"/>
        <rFont val="Arial Narrow"/>
        <family val="2"/>
      </rPr>
      <t>XX</t>
    </r>
    <r>
      <rPr>
        <i/>
        <sz val="10"/>
        <color rgb="FFFF0000"/>
        <rFont val="宋体"/>
        <family val="3"/>
        <charset val="134"/>
      </rPr>
      <t>部</t>
    </r>
    <r>
      <rPr>
        <i/>
        <sz val="10"/>
        <color rgb="FFFF0000"/>
        <rFont val="Arial Narrow"/>
        <family val="2"/>
      </rPr>
      <t>XX]</t>
    </r>
    <r>
      <rPr>
        <sz val="10"/>
        <rFont val="宋体"/>
        <family val="3"/>
        <charset val="134"/>
      </rPr>
      <t>一同</t>
    </r>
    <r>
      <rPr>
        <sz val="10"/>
        <rFont val="Arial Narrow"/>
        <family val="2"/>
      </rPr>
      <t>/</t>
    </r>
    <r>
      <rPr>
        <sz val="10"/>
        <rFont val="宋体"/>
        <family val="3"/>
        <charset val="134"/>
      </rPr>
      <t>或者在无被审计单位人员陪同下独立至</t>
    </r>
    <phoneticPr fontId="16" type="noConversion"/>
  </si>
  <si>
    <r>
      <rPr>
        <sz val="10"/>
        <rFont val="宋体"/>
        <family val="3"/>
        <charset val="134"/>
      </rPr>
      <t>审计项目组成员</t>
    </r>
    <r>
      <rPr>
        <sz val="10"/>
        <color rgb="FFFF0000"/>
        <rFont val="Arial Narrow"/>
        <family val="2"/>
      </rPr>
      <t>[</t>
    </r>
    <r>
      <rPr>
        <i/>
        <sz val="10"/>
        <color rgb="FFFF0000"/>
        <rFont val="Arial Narrow"/>
        <family val="2"/>
      </rPr>
      <t>XX…</t>
    </r>
    <r>
      <rPr>
        <sz val="10"/>
        <color rgb="FFFF0000"/>
        <rFont val="Arial Narrow"/>
        <family val="2"/>
      </rPr>
      <t>]</t>
    </r>
    <r>
      <rPr>
        <sz val="10"/>
        <rFont val="宋体"/>
        <family val="3"/>
        <charset val="134"/>
      </rPr>
      <t>于</t>
    </r>
    <r>
      <rPr>
        <sz val="10"/>
        <color rgb="FFFF0000"/>
        <rFont val="Arial Narrow"/>
        <family val="2"/>
      </rPr>
      <t>[</t>
    </r>
    <r>
      <rPr>
        <i/>
        <sz val="10"/>
        <color rgb="FFFF0000"/>
        <rFont val="Arial Narrow"/>
        <family val="2"/>
      </rPr>
      <t>202X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sz val="10"/>
        <color rgb="FFFF0000"/>
        <rFont val="Arial Narrow"/>
        <family val="2"/>
      </rPr>
      <t>]</t>
    </r>
    <r>
      <rPr>
        <sz val="10"/>
        <rFont val="宋体"/>
        <family val="3"/>
        <charset val="134"/>
      </rPr>
      <t>至</t>
    </r>
    <r>
      <rPr>
        <sz val="10"/>
        <color rgb="FFFF0000"/>
        <rFont val="Arial Narrow"/>
        <family val="2"/>
      </rPr>
      <t>[</t>
    </r>
    <r>
      <rPr>
        <i/>
        <sz val="10"/>
        <color rgb="FFFF0000"/>
        <rFont val="宋体"/>
        <family val="3"/>
        <charset val="134"/>
      </rPr>
      <t>被函证单位全称</t>
    </r>
    <r>
      <rPr>
        <sz val="10"/>
        <color rgb="FFFF0000"/>
        <rFont val="Arial Narrow"/>
        <family val="2"/>
      </rPr>
      <t>]</t>
    </r>
    <r>
      <rPr>
        <sz val="10"/>
        <color rgb="FFFF0000"/>
        <rFont val="宋体"/>
        <family val="3"/>
        <charset val="134"/>
      </rPr>
      <t>（</t>
    </r>
    <r>
      <rPr>
        <sz val="10"/>
        <color rgb="FFFF0000"/>
        <rFont val="Arial Narrow"/>
        <family val="2"/>
      </rPr>
      <t>[</t>
    </r>
    <r>
      <rPr>
        <i/>
        <sz val="10"/>
        <color rgb="FFFF0000"/>
        <rFont val="宋体"/>
        <family val="3"/>
        <charset val="134"/>
      </rPr>
      <t>地址</t>
    </r>
    <r>
      <rPr>
        <sz val="10"/>
        <color rgb="FFFF0000"/>
        <rFont val="Arial Narrow"/>
        <family val="2"/>
      </rPr>
      <t>]</t>
    </r>
    <r>
      <rPr>
        <sz val="10"/>
        <color rgb="FFFF0000"/>
        <rFont val="宋体"/>
        <family val="3"/>
        <charset val="134"/>
      </rPr>
      <t>）</t>
    </r>
    <r>
      <rPr>
        <sz val="10"/>
        <rFont val="宋体"/>
        <family val="3"/>
        <charset val="134"/>
      </rPr>
      <t>实行函证程序，</t>
    </r>
    <r>
      <rPr>
        <i/>
        <sz val="10"/>
        <rFont val="宋体"/>
        <family val="3"/>
        <charset val="134"/>
      </rPr>
      <t>被函证单位</t>
    </r>
    <r>
      <rPr>
        <sz val="10"/>
        <rFont val="宋体"/>
        <family val="3"/>
        <charset val="134"/>
      </rPr>
      <t>人员</t>
    </r>
    <r>
      <rPr>
        <i/>
        <sz val="10"/>
        <color rgb="FFFF0000"/>
        <rFont val="Arial Narrow"/>
        <family val="2"/>
      </rPr>
      <t>XX</t>
    </r>
    <r>
      <rPr>
        <sz val="10"/>
        <rFont val="宋体"/>
        <family val="3"/>
        <charset val="134"/>
      </rPr>
      <t>告知我</t>
    </r>
    <r>
      <rPr>
        <sz val="10"/>
        <rFont val="Arial Narrow"/>
        <family val="2"/>
      </rPr>
      <t>/</t>
    </r>
    <phoneticPr fontId="16" type="noConversion"/>
  </si>
  <si>
    <r>
      <rPr>
        <sz val="10"/>
        <rFont val="宋体"/>
        <family val="3"/>
        <charset val="134"/>
      </rPr>
      <t>该函证于</t>
    </r>
    <r>
      <rPr>
        <i/>
        <sz val="10"/>
        <color rgb="FFFF0000"/>
        <rFont val="Arial Narrow"/>
        <family val="2"/>
      </rPr>
      <t>[202X</t>
    </r>
    <r>
      <rPr>
        <i/>
        <sz val="10"/>
        <color rgb="FFFF0000"/>
        <rFont val="宋体"/>
        <family val="3"/>
        <charset val="134"/>
      </rPr>
      <t>年</t>
    </r>
    <r>
      <rPr>
        <i/>
        <sz val="10"/>
        <color rgb="FFFF0000"/>
        <rFont val="Arial Narrow"/>
        <family val="2"/>
      </rPr>
      <t>XX</t>
    </r>
    <r>
      <rPr>
        <i/>
        <sz val="10"/>
        <color rgb="FFFF0000"/>
        <rFont val="宋体"/>
        <family val="3"/>
        <charset val="134"/>
      </rPr>
      <t>月</t>
    </r>
    <r>
      <rPr>
        <i/>
        <sz val="10"/>
        <color rgb="FFFF0000"/>
        <rFont val="Arial Narrow"/>
        <family val="2"/>
      </rPr>
      <t>XX</t>
    </r>
    <r>
      <rPr>
        <i/>
        <sz val="10"/>
        <color rgb="FFFF0000"/>
        <rFont val="宋体"/>
        <family val="3"/>
        <charset val="134"/>
      </rPr>
      <t>日</t>
    </r>
    <r>
      <rPr>
        <i/>
        <sz val="10"/>
        <color rgb="FFFF0000"/>
        <rFont val="Arial Narrow"/>
        <family val="2"/>
      </rPr>
      <t>]</t>
    </r>
    <r>
      <rPr>
        <sz val="10"/>
        <rFont val="宋体"/>
        <family val="3"/>
        <charset val="134"/>
      </rPr>
      <t>寄回致同会计师事务</t>
    </r>
    <r>
      <rPr>
        <i/>
        <sz val="10"/>
        <color rgb="FFFF0000"/>
        <rFont val="Arial Narrow"/>
        <family val="2"/>
      </rPr>
      <t>XX</t>
    </r>
    <r>
      <rPr>
        <sz val="10"/>
        <rFont val="宋体"/>
        <family val="3"/>
        <charset val="134"/>
      </rPr>
      <t>办公室。</t>
    </r>
    <r>
      <rPr>
        <i/>
        <sz val="10"/>
        <rFont val="宋体"/>
        <family val="3"/>
        <charset val="134"/>
      </rPr>
      <t>函证索引号为</t>
    </r>
    <r>
      <rPr>
        <i/>
        <sz val="10"/>
        <color rgb="FFFF0000"/>
        <rFont val="Arial Narrow"/>
        <family val="2"/>
      </rPr>
      <t>[XX]</t>
    </r>
    <phoneticPr fontId="16" type="noConversion"/>
  </si>
  <si>
    <r>
      <rPr>
        <sz val="10"/>
        <color rgb="FFFF0000"/>
        <rFont val="Arial Narrow"/>
        <family val="2"/>
      </rPr>
      <t>[202X]</t>
    </r>
    <r>
      <rPr>
        <sz val="10"/>
        <color rgb="FFFF0000"/>
        <rFont val="宋体"/>
        <family val="3"/>
        <charset val="134"/>
      </rPr>
      <t>年</t>
    </r>
    <r>
      <rPr>
        <sz val="10"/>
        <color rgb="FFFF0000"/>
        <rFont val="Arial Narrow"/>
        <family val="2"/>
      </rPr>
      <t>[XX]</t>
    </r>
    <r>
      <rPr>
        <sz val="10"/>
        <color rgb="FFFF0000"/>
        <rFont val="宋体"/>
        <family val="3"/>
        <charset val="134"/>
      </rPr>
      <t>月</t>
    </r>
    <r>
      <rPr>
        <sz val="10"/>
        <color rgb="FFFF0000"/>
        <rFont val="Arial Narrow"/>
        <family val="2"/>
      </rPr>
      <t>[XX]</t>
    </r>
    <r>
      <rPr>
        <sz val="10"/>
        <color rgb="FFFF0000"/>
        <rFont val="宋体"/>
        <family val="3"/>
        <charset val="134"/>
      </rPr>
      <t>日</t>
    </r>
    <r>
      <rPr>
        <sz val="10"/>
        <rFont val="宋体"/>
        <family val="3"/>
        <charset val="134"/>
      </rPr>
      <t>接待我们的跟函人员，确认</t>
    </r>
    <r>
      <rPr>
        <sz val="10"/>
        <color rgb="FFFF0000"/>
        <rFont val="Arial Narrow"/>
        <family val="2"/>
      </rPr>
      <t>[</t>
    </r>
    <r>
      <rPr>
        <sz val="10"/>
        <color rgb="FFFF0000"/>
        <rFont val="宋体"/>
        <family val="3"/>
        <charset val="134"/>
      </rPr>
      <t>发函公司名称</t>
    </r>
    <r>
      <rPr>
        <sz val="10"/>
        <color rgb="FFFF0000"/>
        <rFont val="Arial Narrow"/>
        <family val="2"/>
      </rPr>
      <t>]</t>
    </r>
    <r>
      <rPr>
        <sz val="10"/>
        <rFont val="宋体"/>
        <family val="3"/>
        <charset val="134"/>
      </rPr>
      <t>的函证。</t>
    </r>
    <phoneticPr fontId="16" type="noConversion"/>
  </si>
  <si>
    <r>
      <rPr>
        <sz val="10"/>
        <rFont val="宋体"/>
        <family val="3"/>
        <charset val="134"/>
      </rPr>
      <t>工号为</t>
    </r>
    <r>
      <rPr>
        <sz val="10"/>
        <color rgb="FFFF0000"/>
        <rFont val="Arial Narrow"/>
        <family val="2"/>
      </rPr>
      <t>[XX]</t>
    </r>
    <r>
      <rPr>
        <sz val="10"/>
        <color rgb="FFFF0000"/>
        <rFont val="宋体"/>
        <family val="3"/>
        <charset val="134"/>
      </rPr>
      <t>（如有）</t>
    </r>
    <r>
      <rPr>
        <sz val="10"/>
        <rFont val="宋体"/>
        <family val="3"/>
        <charset val="134"/>
      </rPr>
      <t>，我们取得了由被函证方公司确认的函证，函证索引号为</t>
    </r>
    <r>
      <rPr>
        <sz val="10"/>
        <color rgb="FFFF0000"/>
        <rFont val="Arial Narrow"/>
        <family val="2"/>
      </rPr>
      <t>[XX]</t>
    </r>
    <r>
      <rPr>
        <sz val="10"/>
        <rFont val="宋体"/>
        <family val="3"/>
        <charset val="134"/>
      </rPr>
      <t>。</t>
    </r>
    <phoneticPr fontId="16" type="noConversion"/>
  </si>
  <si>
    <r>
      <rPr>
        <sz val="10"/>
        <color rgb="FFFF0000"/>
        <rFont val="Arial Narrow"/>
        <family val="2"/>
      </rPr>
      <t>[</t>
    </r>
    <r>
      <rPr>
        <sz val="10"/>
        <color rgb="FFFF0000"/>
        <rFont val="宋体"/>
        <family val="3"/>
        <charset val="134"/>
      </rPr>
      <t>被函证方单位</t>
    </r>
    <r>
      <rPr>
        <sz val="10"/>
        <color rgb="FFFF0000"/>
        <rFont val="Arial Narrow"/>
        <family val="2"/>
      </rPr>
      <t>XX</t>
    </r>
    <r>
      <rPr>
        <sz val="10"/>
        <color rgb="FFFF0000"/>
        <rFont val="宋体"/>
        <family val="3"/>
        <charset val="134"/>
      </rPr>
      <t>财务部</t>
    </r>
    <r>
      <rPr>
        <sz val="10"/>
        <color rgb="FFFF0000"/>
        <rFont val="Arial Narrow"/>
        <family val="2"/>
      </rPr>
      <t>/[</t>
    </r>
    <r>
      <rPr>
        <sz val="10"/>
        <color rgb="FFFF0000"/>
        <rFont val="宋体"/>
        <family val="3"/>
        <charset val="134"/>
      </rPr>
      <t>或者其他执行类似职能的</t>
    </r>
    <r>
      <rPr>
        <sz val="10"/>
        <color rgb="FFFF0000"/>
        <rFont val="Arial Narrow"/>
        <family val="2"/>
      </rPr>
      <t>XXX</t>
    </r>
    <r>
      <rPr>
        <sz val="10"/>
        <color rgb="FFFF0000"/>
        <rFont val="宋体"/>
        <family val="3"/>
        <charset val="134"/>
      </rPr>
      <t>部门</t>
    </r>
    <r>
      <rPr>
        <sz val="10"/>
        <color rgb="FFFF0000"/>
        <rFont val="Arial Narrow"/>
        <family val="2"/>
      </rPr>
      <t>]]</t>
    </r>
    <r>
      <rPr>
        <sz val="10"/>
        <rFont val="宋体"/>
        <family val="3"/>
        <charset val="134"/>
      </rPr>
      <t>（</t>
    </r>
    <r>
      <rPr>
        <sz val="10"/>
        <rFont val="Arial Narrow"/>
        <family val="2"/>
      </rPr>
      <t>[</t>
    </r>
    <r>
      <rPr>
        <sz val="10"/>
        <rFont val="宋体"/>
        <family val="3"/>
        <charset val="134"/>
      </rPr>
      <t>地址</t>
    </r>
    <r>
      <rPr>
        <sz val="10"/>
        <rFont val="Arial Narrow"/>
        <family val="2"/>
      </rPr>
      <t>]</t>
    </r>
    <r>
      <rPr>
        <sz val="10"/>
        <rFont val="宋体"/>
        <family val="3"/>
        <charset val="134"/>
      </rPr>
      <t>）执行函证程序。</t>
    </r>
    <phoneticPr fontId="16" type="noConversion"/>
  </si>
  <si>
    <r>
      <rPr>
        <sz val="10"/>
        <color rgb="FF0000FF"/>
        <rFont val="宋体"/>
        <family val="3"/>
        <charset val="134"/>
      </rPr>
      <t>检查的关键证据和要素根据被审计单位具体情况修改</t>
    </r>
    <phoneticPr fontId="16" type="noConversion"/>
  </si>
  <si>
    <r>
      <rPr>
        <sz val="10"/>
        <color rgb="FF0000FF"/>
        <rFont val="宋体"/>
        <family val="3"/>
        <charset val="134"/>
      </rPr>
      <t>检查的关键证据和要素根据被审计单位具体情况修改</t>
    </r>
    <phoneticPr fontId="16" type="noConversion"/>
  </si>
  <si>
    <r>
      <rPr>
        <sz val="10"/>
        <color theme="1"/>
        <rFont val="宋体"/>
        <family val="3"/>
        <charset val="134"/>
      </rPr>
      <t>分析核实退回或无法寄到的函证、未回函、回函率较低的原因，考虑与被询证者联系，要求对方作出回应或再次寄发询证函，必要时增加现场走访等程序，关注是否存在账面记录与外部证据矛盾的审计证据；</t>
    </r>
    <phoneticPr fontId="16" type="noConversion"/>
  </si>
  <si>
    <r>
      <rPr>
        <sz val="10"/>
        <color theme="1"/>
        <rFont val="宋体"/>
        <family val="3"/>
        <charset val="134"/>
      </rPr>
      <t>如果被询证者以传真、电子邮件等方式回函，审计项目组应当直接接收，并验证传真、电邮邮件回函的可靠性，要求被询证者在审计报告日之前寄回询证函原件</t>
    </r>
    <phoneticPr fontId="16" type="noConversion"/>
  </si>
  <si>
    <r>
      <rPr>
        <sz val="10"/>
        <color theme="1"/>
        <rFont val="宋体"/>
        <family val="3"/>
        <charset val="134"/>
      </rPr>
      <t>结合风险评估情况及函证程序执行过程中的舞弊风险迹象，考虑串通舞弊、伪造交易的可能性等，对函证程序的舞弊风险进行评价；</t>
    </r>
    <phoneticPr fontId="16" type="noConversion"/>
  </si>
  <si>
    <r>
      <rPr>
        <b/>
        <sz val="10"/>
        <color indexed="8"/>
        <rFont val="宋体"/>
        <family val="3"/>
        <charset val="134"/>
      </rPr>
      <t>内容</t>
    </r>
  </si>
  <si>
    <t>核实被函证单位信息</t>
    <phoneticPr fontId="16" type="noConversion"/>
  </si>
  <si>
    <t>核实被函证单位信息</t>
    <phoneticPr fontId="16" type="noConversion"/>
  </si>
  <si>
    <r>
      <rPr>
        <b/>
        <sz val="12"/>
        <rFont val="宋体"/>
        <family val="3"/>
        <charset val="134"/>
        <scheme val="minor"/>
      </rPr>
      <t>致同会计师事务所</t>
    </r>
  </si>
  <si>
    <t>特定样本：</t>
    <phoneticPr fontId="16" type="noConversion"/>
  </si>
  <si>
    <t>抽样总体：</t>
    <phoneticPr fontId="16" type="noConversion"/>
  </si>
  <si>
    <t>确定的抽样样本量：</t>
    <phoneticPr fontId="16" type="noConversion"/>
  </si>
  <si>
    <t>抽样方法：</t>
    <phoneticPr fontId="16" type="noConversion"/>
  </si>
  <si>
    <t>抽样过程：</t>
    <phoneticPr fontId="16" type="noConversion"/>
  </si>
  <si>
    <r>
      <rPr>
        <sz val="10"/>
        <color rgb="FF0000FF"/>
        <rFont val="宋体"/>
        <family val="3"/>
        <charset val="134"/>
      </rPr>
      <t>测试总体扣除特定样本以外的样本，共</t>
    </r>
    <r>
      <rPr>
        <sz val="10"/>
        <color rgb="FF0000FF"/>
        <rFont val="Arial Narrow"/>
        <family val="2"/>
      </rPr>
      <t>XX</t>
    </r>
    <r>
      <rPr>
        <sz val="10"/>
        <color rgb="FF0000FF"/>
        <rFont val="宋体"/>
        <family val="3"/>
        <charset val="134"/>
      </rPr>
      <t>笔、金额</t>
    </r>
    <r>
      <rPr>
        <sz val="10"/>
        <color rgb="FF0000FF"/>
        <rFont val="Arial Narrow"/>
        <family val="2"/>
      </rPr>
      <t>XX</t>
    </r>
    <phoneticPr fontId="16" type="noConversion"/>
  </si>
  <si>
    <r>
      <t>XX</t>
    </r>
    <r>
      <rPr>
        <sz val="10"/>
        <color rgb="FF0000FF"/>
        <rFont val="宋体"/>
        <family val="3"/>
        <charset val="134"/>
      </rPr>
      <t>金额以上（大额）、关联方</t>
    </r>
    <r>
      <rPr>
        <sz val="10"/>
        <color rgb="FF0000FF"/>
        <rFont val="Arial Narrow"/>
        <family val="2"/>
      </rPr>
      <t>/</t>
    </r>
    <r>
      <rPr>
        <sz val="10"/>
        <color rgb="FF0000FF"/>
        <rFont val="宋体"/>
        <family val="3"/>
        <charset val="134"/>
      </rPr>
      <t>关联交易形成的款项、</t>
    </r>
    <r>
      <rPr>
        <sz val="10"/>
        <color rgb="FF0000FF"/>
        <rFont val="Arial Narrow"/>
        <family val="2"/>
      </rPr>
      <t>XX</t>
    </r>
    <r>
      <rPr>
        <sz val="10"/>
        <color rgb="FF0000FF"/>
        <rFont val="宋体"/>
        <family val="3"/>
        <charset val="134"/>
      </rPr>
      <t>异常款项全部测试，共</t>
    </r>
    <r>
      <rPr>
        <sz val="10"/>
        <color rgb="FF0000FF"/>
        <rFont val="Arial Narrow"/>
        <family val="2"/>
      </rPr>
      <t>XX</t>
    </r>
    <r>
      <rPr>
        <sz val="10"/>
        <color rgb="FF0000FF"/>
        <rFont val="宋体"/>
        <family val="3"/>
        <charset val="134"/>
      </rPr>
      <t>笔；</t>
    </r>
    <phoneticPr fontId="16" type="noConversion"/>
  </si>
  <si>
    <r>
      <rPr>
        <sz val="10"/>
        <color rgb="FF0000FF"/>
        <rFont val="宋体"/>
        <family val="3"/>
        <charset val="134"/>
      </rPr>
      <t>抽取</t>
    </r>
    <r>
      <rPr>
        <sz val="10"/>
        <color rgb="FF0000FF"/>
        <rFont val="Arial Narrow"/>
        <family val="2"/>
      </rPr>
      <t>XX</t>
    </r>
    <r>
      <rPr>
        <sz val="10"/>
        <color rgb="FF0000FF"/>
        <rFont val="宋体"/>
        <family val="3"/>
        <charset val="134"/>
      </rPr>
      <t>笔</t>
    </r>
    <phoneticPr fontId="16" type="noConversion"/>
  </si>
  <si>
    <r>
      <rPr>
        <sz val="10"/>
        <color rgb="FF0000FF"/>
        <rFont val="宋体"/>
        <family val="3"/>
        <charset val="134"/>
      </rPr>
      <t>（如果使用了样本计算器计算样本量，样本量计算过程见</t>
    </r>
    <r>
      <rPr>
        <sz val="10"/>
        <color rgb="FF0000FF"/>
        <rFont val="Arial Narrow"/>
        <family val="2"/>
      </rPr>
      <t>&lt;XX&gt;</t>
    </r>
    <r>
      <rPr>
        <sz val="10"/>
        <color rgb="FF0000FF"/>
        <rFont val="宋体"/>
        <family val="3"/>
        <charset val="134"/>
      </rPr>
      <t>底稿）</t>
    </r>
    <phoneticPr fontId="16" type="noConversion"/>
  </si>
  <si>
    <r>
      <rPr>
        <sz val="10"/>
        <color rgb="FF0000FF"/>
        <rFont val="宋体"/>
        <family val="3"/>
        <charset val="134"/>
      </rPr>
      <t>使用</t>
    </r>
    <r>
      <rPr>
        <sz val="10"/>
        <color rgb="FF0000FF"/>
        <rFont val="Arial Narrow"/>
        <family val="2"/>
      </rPr>
      <t>IDEA</t>
    </r>
    <r>
      <rPr>
        <sz val="10"/>
        <color rgb="FF0000FF"/>
        <rFont val="宋体"/>
        <family val="3"/>
        <charset val="134"/>
      </rPr>
      <t>（</t>
    </r>
    <r>
      <rPr>
        <sz val="10"/>
        <color rgb="FF0000FF"/>
        <rFont val="Arial Narrow"/>
        <family val="2"/>
      </rPr>
      <t>XX</t>
    </r>
    <r>
      <rPr>
        <sz val="10"/>
        <color rgb="FF0000FF"/>
        <rFont val="宋体"/>
        <family val="3"/>
        <charset val="134"/>
      </rPr>
      <t>抽样工具）选择</t>
    </r>
    <r>
      <rPr>
        <sz val="10"/>
        <color rgb="FF0000FF"/>
        <rFont val="Arial Narrow"/>
        <family val="2"/>
      </rPr>
      <t>XX</t>
    </r>
    <r>
      <rPr>
        <sz val="10"/>
        <color rgb="FF0000FF"/>
        <rFont val="宋体"/>
        <family val="3"/>
        <charset val="134"/>
      </rPr>
      <t>数量占比</t>
    </r>
    <r>
      <rPr>
        <sz val="10"/>
        <color rgb="FF0000FF"/>
        <rFont val="Arial Narrow"/>
        <family val="2"/>
      </rPr>
      <t>XX%</t>
    </r>
    <r>
      <rPr>
        <sz val="10"/>
        <color rgb="FF0000FF"/>
        <rFont val="宋体"/>
        <family val="3"/>
        <charset val="134"/>
      </rPr>
      <t>的样本进行测试，抽样工具中的样本选择过程和结果见</t>
    </r>
    <r>
      <rPr>
        <sz val="10"/>
        <color rgb="FF0000FF"/>
        <rFont val="Arial Narrow"/>
        <family val="2"/>
      </rPr>
      <t>XX</t>
    </r>
    <r>
      <rPr>
        <sz val="10"/>
        <color rgb="FF0000FF"/>
        <rFont val="宋体"/>
        <family val="3"/>
        <charset val="134"/>
      </rPr>
      <t>底稿</t>
    </r>
    <phoneticPr fontId="16" type="noConversion"/>
  </si>
  <si>
    <r>
      <rPr>
        <sz val="10"/>
        <color rgb="FF0000FF"/>
        <rFont val="宋体"/>
        <family val="3"/>
        <charset val="134"/>
      </rPr>
      <t>如借方发生额所有凭证共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r>
      <rPr>
        <sz val="10"/>
        <color rgb="FF0000FF"/>
        <rFont val="宋体"/>
        <family val="3"/>
        <charset val="134"/>
      </rPr>
      <t>、贷方发生额所有凭证共</t>
    </r>
    <r>
      <rPr>
        <sz val="10"/>
        <color rgb="FF0000FF"/>
        <rFont val="Arial Narrow"/>
        <family val="2"/>
      </rPr>
      <t>XX</t>
    </r>
    <r>
      <rPr>
        <sz val="10"/>
        <color rgb="FF0000FF"/>
        <rFont val="宋体"/>
        <family val="3"/>
        <charset val="134"/>
      </rPr>
      <t>笔金额</t>
    </r>
    <r>
      <rPr>
        <sz val="10"/>
        <color rgb="FF0000FF"/>
        <rFont val="Arial Narrow"/>
        <family val="2"/>
      </rPr>
      <t>XX</t>
    </r>
    <phoneticPr fontId="16" type="noConversion"/>
  </si>
  <si>
    <r>
      <rPr>
        <b/>
        <sz val="10"/>
        <rFont val="宋体"/>
        <family val="3"/>
        <charset val="134"/>
      </rPr>
      <t>回函金额</t>
    </r>
    <phoneticPr fontId="49" type="noConversion"/>
  </si>
  <si>
    <r>
      <rPr>
        <b/>
        <sz val="10"/>
        <rFont val="宋体"/>
        <family val="3"/>
        <charset val="134"/>
      </rPr>
      <t>差异</t>
    </r>
    <phoneticPr fontId="49" type="noConversion"/>
  </si>
  <si>
    <r>
      <rPr>
        <b/>
        <sz val="10"/>
        <rFont val="宋体"/>
        <family val="3"/>
        <charset val="134"/>
      </rPr>
      <t>可确认金额</t>
    </r>
    <phoneticPr fontId="16" type="noConversion"/>
  </si>
  <si>
    <t>替代后可确认金额</t>
    <phoneticPr fontId="16" type="noConversion"/>
  </si>
  <si>
    <r>
      <t>3</t>
    </r>
    <r>
      <rPr>
        <b/>
        <sz val="10"/>
        <rFont val="宋体"/>
        <family val="3"/>
        <charset val="134"/>
      </rPr>
      <t>、回函金额确认</t>
    </r>
    <phoneticPr fontId="16" type="noConversion"/>
  </si>
  <si>
    <r>
      <rPr>
        <sz val="10"/>
        <rFont val="宋体"/>
        <family val="3"/>
        <charset val="134"/>
      </rPr>
      <t>索引号：</t>
    </r>
    <phoneticPr fontId="49" type="noConversion"/>
  </si>
  <si>
    <r>
      <rPr>
        <sz val="10"/>
        <rFont val="宋体"/>
        <family val="3"/>
        <charset val="134"/>
      </rPr>
      <t>页</t>
    </r>
    <r>
      <rPr>
        <sz val="10"/>
        <rFont val="Arial Narrow"/>
        <family val="2"/>
      </rPr>
      <t xml:space="preserve"> </t>
    </r>
    <r>
      <rPr>
        <sz val="10"/>
        <rFont val="宋体"/>
        <family val="3"/>
        <charset val="134"/>
      </rPr>
      <t>次：</t>
    </r>
    <phoneticPr fontId="16" type="noConversion"/>
  </si>
  <si>
    <r>
      <rPr>
        <b/>
        <sz val="10"/>
        <rFont val="宋体"/>
        <family val="3"/>
        <charset val="134"/>
      </rPr>
      <t>跟函函证控制过程（</t>
    </r>
    <r>
      <rPr>
        <b/>
        <sz val="10"/>
        <rFont val="Arial Narrow"/>
        <family val="2"/>
      </rPr>
      <t>K1-11</t>
    </r>
    <r>
      <rPr>
        <b/>
        <sz val="10"/>
        <rFont val="宋体"/>
        <family val="3"/>
        <charset val="134"/>
      </rPr>
      <t>）</t>
    </r>
    <phoneticPr fontId="16" type="noConversion"/>
  </si>
  <si>
    <t>发函金额</t>
    <phoneticPr fontId="16" type="noConversion"/>
  </si>
  <si>
    <t>回函金额</t>
    <phoneticPr fontId="16" type="noConversion"/>
  </si>
  <si>
    <r>
      <rPr>
        <b/>
        <sz val="10"/>
        <rFont val="宋体"/>
        <family val="3"/>
        <charset val="134"/>
      </rPr>
      <t>询证函索引号</t>
    </r>
    <phoneticPr fontId="16" type="noConversion"/>
  </si>
  <si>
    <r>
      <rPr>
        <b/>
        <sz val="10"/>
        <rFont val="宋体"/>
        <family val="3"/>
        <charset val="134"/>
      </rPr>
      <t>底稿开列时，可先在以下单元格填写有关内容，以便其他底稿引用有关数据：</t>
    </r>
    <phoneticPr fontId="16" type="noConversion"/>
  </si>
  <si>
    <r>
      <rPr>
        <sz val="10"/>
        <rFont val="宋体"/>
        <family val="3"/>
        <charset val="134"/>
      </rPr>
      <t>抽样总体：</t>
    </r>
    <phoneticPr fontId="16" type="noConversion"/>
  </si>
  <si>
    <r>
      <rPr>
        <sz val="10"/>
        <rFont val="宋体"/>
        <family val="3"/>
        <charset val="134"/>
      </rPr>
      <t>本期（期末）账面金额：</t>
    </r>
    <phoneticPr fontId="49" type="noConversion"/>
  </si>
  <si>
    <r>
      <rPr>
        <sz val="10"/>
        <rFont val="宋体"/>
        <family val="3"/>
        <charset val="134"/>
      </rPr>
      <t>抽取样本的发函金额：</t>
    </r>
    <phoneticPr fontId="49" type="noConversion"/>
  </si>
  <si>
    <r>
      <rPr>
        <sz val="10"/>
        <rFont val="宋体"/>
        <family val="3"/>
        <charset val="134"/>
      </rPr>
      <t>发函金额占账面金额的比例</t>
    </r>
    <r>
      <rPr>
        <sz val="10"/>
        <rFont val="Arial Narrow"/>
        <family val="2"/>
      </rPr>
      <t>(%)</t>
    </r>
    <r>
      <rPr>
        <sz val="10"/>
        <rFont val="宋体"/>
        <family val="3"/>
        <charset val="134"/>
      </rPr>
      <t>：</t>
    </r>
    <phoneticPr fontId="49" type="noConversion"/>
  </si>
  <si>
    <t>回函确认金额：</t>
    <phoneticPr fontId="49" type="noConversion"/>
  </si>
  <si>
    <r>
      <rPr>
        <sz val="10"/>
        <rFont val="宋体"/>
        <family val="3"/>
        <charset val="134"/>
      </rPr>
      <t>回函可确认金额占发函金额的比例</t>
    </r>
    <r>
      <rPr>
        <sz val="10"/>
        <rFont val="Arial Narrow"/>
        <family val="2"/>
      </rPr>
      <t>(%)</t>
    </r>
    <r>
      <rPr>
        <sz val="10"/>
        <rFont val="宋体"/>
        <family val="3"/>
        <charset val="134"/>
      </rPr>
      <t>：</t>
    </r>
    <phoneticPr fontId="49" type="noConversion"/>
  </si>
  <si>
    <r>
      <rPr>
        <sz val="10"/>
        <rFont val="宋体"/>
        <family val="3"/>
        <charset val="134"/>
      </rPr>
      <t>回函可确认金额占账面金额的比例</t>
    </r>
    <r>
      <rPr>
        <sz val="10"/>
        <rFont val="Arial Narrow"/>
        <family val="2"/>
      </rPr>
      <t>(%)</t>
    </r>
    <r>
      <rPr>
        <sz val="10"/>
        <rFont val="宋体"/>
        <family val="3"/>
        <charset val="134"/>
      </rPr>
      <t>：</t>
    </r>
    <phoneticPr fontId="49" type="noConversion"/>
  </si>
  <si>
    <t>替代测试确认金额：</t>
    <phoneticPr fontId="49" type="noConversion"/>
  </si>
  <si>
    <r>
      <rPr>
        <sz val="10"/>
        <rFont val="宋体"/>
        <family val="3"/>
        <charset val="134"/>
      </rPr>
      <t>回函和替代确认金额占账面金额的比例</t>
    </r>
    <r>
      <rPr>
        <sz val="10"/>
        <rFont val="Arial Narrow"/>
        <family val="2"/>
      </rPr>
      <t>(%)</t>
    </r>
    <r>
      <rPr>
        <sz val="10"/>
        <rFont val="宋体"/>
        <family val="3"/>
        <charset val="134"/>
      </rPr>
      <t>：</t>
    </r>
    <phoneticPr fontId="49" type="noConversion"/>
  </si>
  <si>
    <r>
      <rPr>
        <sz val="10"/>
        <rFont val="宋体"/>
        <family val="3"/>
        <charset val="134"/>
      </rPr>
      <t>测试范围：</t>
    </r>
    <phoneticPr fontId="16" type="noConversion"/>
  </si>
  <si>
    <t>一、函证情况</t>
    <phoneticPr fontId="49" type="noConversion"/>
  </si>
  <si>
    <t>二、样本选择</t>
    <phoneticPr fontId="16" type="noConversion"/>
  </si>
  <si>
    <t>三、审计说明</t>
    <phoneticPr fontId="16" type="noConversion"/>
  </si>
  <si>
    <t>付款方</t>
    <phoneticPr fontId="16" type="noConversion"/>
  </si>
  <si>
    <r>
      <rPr>
        <b/>
        <sz val="10"/>
        <rFont val="宋体"/>
        <family val="3"/>
        <charset val="134"/>
      </rPr>
      <t>被函证者身份确认（注</t>
    </r>
    <r>
      <rPr>
        <b/>
        <sz val="10"/>
        <rFont val="Arial Narrow"/>
        <family val="2"/>
      </rPr>
      <t>1</t>
    </r>
    <r>
      <rPr>
        <b/>
        <sz val="10"/>
        <rFont val="宋体"/>
        <family val="3"/>
        <charset val="134"/>
      </rPr>
      <t>）</t>
    </r>
    <phoneticPr fontId="49" type="noConversion"/>
  </si>
  <si>
    <r>
      <rPr>
        <b/>
        <sz val="10"/>
        <rFont val="宋体"/>
        <family val="3"/>
        <charset val="134"/>
      </rPr>
      <t>邮箱可靠性验证（注</t>
    </r>
    <r>
      <rPr>
        <b/>
        <sz val="10"/>
        <rFont val="Arial Narrow"/>
        <family val="2"/>
      </rPr>
      <t>2</t>
    </r>
    <r>
      <rPr>
        <b/>
        <sz val="10"/>
        <rFont val="宋体"/>
        <family val="3"/>
        <charset val="134"/>
      </rPr>
      <t>）</t>
    </r>
    <phoneticPr fontId="49" type="noConversion"/>
  </si>
  <si>
    <r>
      <rPr>
        <b/>
        <sz val="10"/>
        <rFont val="宋体"/>
        <family val="3"/>
        <charset val="134"/>
      </rPr>
      <t>对函证信息可靠性的考虑（注</t>
    </r>
    <r>
      <rPr>
        <b/>
        <sz val="10"/>
        <rFont val="Arial Narrow"/>
        <family val="2"/>
      </rPr>
      <t>3</t>
    </r>
    <r>
      <rPr>
        <b/>
        <sz val="10"/>
        <rFont val="宋体"/>
        <family val="3"/>
        <charset val="134"/>
      </rPr>
      <t>）</t>
    </r>
    <phoneticPr fontId="49" type="noConversion"/>
  </si>
  <si>
    <r>
      <rPr>
        <sz val="10"/>
        <color rgb="FF0000FF"/>
        <rFont val="宋体"/>
        <family val="3"/>
        <charset val="134"/>
      </rPr>
      <t>提示：第三方电子询证函平台的安全性评估内容相关要点详见函证技术提示</t>
    </r>
    <r>
      <rPr>
        <sz val="10"/>
        <color rgb="FF0000FF"/>
        <rFont val="Arial Narrow"/>
        <family val="2"/>
      </rPr>
      <t>3</t>
    </r>
    <r>
      <rPr>
        <sz val="10"/>
        <color rgb="FF0000FF"/>
        <rFont val="宋体"/>
        <family val="3"/>
        <charset val="134"/>
      </rPr>
      <t>号，链接为：</t>
    </r>
    <r>
      <rPr>
        <sz val="10"/>
        <color rgb="FF0000FF"/>
        <rFont val="Arial Narrow"/>
        <family val="2"/>
      </rPr>
      <t>https://www.gt-china.com.cn/article_view.php?id=9682</t>
    </r>
    <r>
      <rPr>
        <sz val="10"/>
        <color rgb="FF0000FF"/>
        <rFont val="宋体"/>
        <family val="3"/>
        <charset val="134"/>
      </rPr>
      <t>；</t>
    </r>
    <phoneticPr fontId="49" type="noConversion"/>
  </si>
  <si>
    <t>提示：如果被询证者以传真、电子邮件等方式回函，审计项目组应当直接接收，并验证传真、电子邮件回函的可靠性，要求被询证者在审计报告日之前寄回询证函原件</t>
    <phoneticPr fontId="49" type="noConversion"/>
  </si>
  <si>
    <r>
      <rPr>
        <sz val="10"/>
        <color indexed="12"/>
        <rFont val="宋体"/>
        <family val="3"/>
        <charset val="134"/>
      </rPr>
      <t>（</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</si>
  <si>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宋体"/>
        <family val="3"/>
        <charset val="134"/>
      </rPr>
      <t>未见异常。</t>
    </r>
    <phoneticPr fontId="16" type="noConversion"/>
  </si>
  <si>
    <r>
      <rPr>
        <sz val="10"/>
        <color indexed="12"/>
        <rFont val="宋体"/>
        <family val="3"/>
        <charset val="134"/>
      </rPr>
      <t>选择函证样本时，样本应当足以代表总体，并包括：</t>
    </r>
    <phoneticPr fontId="16" type="noConversion"/>
  </si>
  <si>
    <r>
      <rPr>
        <sz val="10"/>
        <color indexed="12"/>
        <rFont val="宋体"/>
        <family val="3"/>
        <charset val="134"/>
      </rPr>
      <t>②传真件、电子邮件回函可以作为证据，但可靠性低于原件且需严格控制并记录函证过程；</t>
    </r>
    <phoneticPr fontId="16" type="noConversion"/>
  </si>
  <si>
    <r>
      <t>B</t>
    </r>
    <r>
      <rPr>
        <sz val="10"/>
        <color indexed="12"/>
        <rFont val="宋体"/>
        <family val="3"/>
        <charset val="134"/>
      </rPr>
      <t>、</t>
    </r>
    <phoneticPr fontId="16" type="noConversion"/>
  </si>
  <si>
    <r>
      <t>C</t>
    </r>
    <r>
      <rPr>
        <sz val="10"/>
        <color indexed="12"/>
        <rFont val="宋体"/>
        <family val="3"/>
        <charset val="134"/>
      </rPr>
      <t>、</t>
    </r>
    <phoneticPr fontId="16" type="noConversion"/>
  </si>
  <si>
    <r>
      <rPr>
        <b/>
        <sz val="10"/>
        <color indexed="10"/>
        <rFont val="宋体"/>
        <family val="3"/>
        <charset val="134"/>
      </rPr>
      <t>后附审计证据：询证函回函、不符事项相关资料、替代程序资料等。</t>
    </r>
    <phoneticPr fontId="16" type="noConversion"/>
  </si>
  <si>
    <r>
      <rPr>
        <b/>
        <sz val="10"/>
        <color indexed="12"/>
        <rFont val="宋体"/>
        <family val="3"/>
        <charset val="134"/>
      </rPr>
      <t>编制说明：</t>
    </r>
    <phoneticPr fontId="16" type="noConversion"/>
  </si>
  <si>
    <r>
      <t>1</t>
    </r>
    <r>
      <rPr>
        <b/>
        <sz val="10"/>
        <color indexed="12"/>
        <rFont val="宋体"/>
        <family val="3"/>
        <charset val="134"/>
      </rPr>
      <t>、函证样本的选择：</t>
    </r>
    <phoneticPr fontId="16" type="noConversion"/>
  </si>
  <si>
    <r>
      <t>2</t>
    </r>
    <r>
      <rPr>
        <b/>
        <sz val="10"/>
        <color indexed="12"/>
        <rFont val="宋体"/>
        <family val="3"/>
        <charset val="134"/>
      </rPr>
      <t>、函证注意事项：</t>
    </r>
    <phoneticPr fontId="16" type="noConversion"/>
  </si>
  <si>
    <r>
      <rPr>
        <sz val="10"/>
        <color indexed="12"/>
        <rFont val="宋体"/>
        <family val="3"/>
        <charset val="134"/>
      </rPr>
      <t>⑧未回函的</t>
    </r>
    <r>
      <rPr>
        <u/>
        <sz val="10"/>
        <color indexed="10"/>
        <rFont val="宋体"/>
        <family val="3"/>
        <charset val="134"/>
      </rPr>
      <t>全部</t>
    </r>
    <r>
      <rPr>
        <sz val="10"/>
        <color indexed="12"/>
        <rFont val="宋体"/>
        <family val="3"/>
        <charset val="134"/>
      </rPr>
      <t>执行替代程序。</t>
    </r>
    <phoneticPr fontId="16" type="noConversion"/>
  </si>
  <si>
    <r>
      <t>3</t>
    </r>
    <r>
      <rPr>
        <b/>
        <sz val="10"/>
        <color indexed="12"/>
        <rFont val="宋体"/>
        <family val="3"/>
        <charset val="134"/>
      </rPr>
      <t>、概述：（</t>
    </r>
    <r>
      <rPr>
        <b/>
        <sz val="10"/>
        <color indexed="12"/>
        <rFont val="Arial Narrow"/>
        <family val="2"/>
      </rPr>
      <t>1</t>
    </r>
    <r>
      <rPr>
        <b/>
        <sz val="10"/>
        <color indexed="12"/>
        <rFont val="宋体"/>
        <family val="3"/>
        <charset val="134"/>
      </rPr>
      <t>）程序的测试情况、结果；</t>
    </r>
    <phoneticPr fontId="16" type="noConversion"/>
  </si>
  <si>
    <r>
      <t>A</t>
    </r>
    <r>
      <rPr>
        <sz val="10"/>
        <color indexed="12"/>
        <rFont val="宋体"/>
        <family val="3"/>
        <charset val="134"/>
      </rPr>
      <t>、</t>
    </r>
    <phoneticPr fontId="16" type="noConversion"/>
  </si>
  <si>
    <r>
      <rPr>
        <sz val="10"/>
        <color indexed="12"/>
        <rFont val="宋体"/>
        <family val="3"/>
        <charset val="134"/>
      </rPr>
      <t>由于存在以下重大未调整事项（或审计范围受到限制无法获取充分、适当证据），不可确认。</t>
    </r>
    <phoneticPr fontId="16" type="noConversion"/>
  </si>
  <si>
    <r>
      <rPr>
        <sz val="10"/>
        <color indexed="12"/>
        <rFont val="宋体"/>
        <family val="3"/>
        <charset val="134"/>
      </rPr>
      <t>③对回函可能性不高的、余额重大的，发函同时执行替代程序。</t>
    </r>
  </si>
  <si>
    <r>
      <t>2</t>
    </r>
    <r>
      <rPr>
        <sz val="10"/>
        <color indexed="12"/>
        <rFont val="宋体"/>
        <family val="3"/>
        <charset val="134"/>
      </rPr>
      <t>、概述：（</t>
    </r>
    <r>
      <rPr>
        <sz val="10"/>
        <color indexed="12"/>
        <rFont val="Arial Narrow"/>
        <family val="2"/>
      </rPr>
      <t>1</t>
    </r>
    <r>
      <rPr>
        <sz val="10"/>
        <color indexed="12"/>
        <rFont val="宋体"/>
        <family val="3"/>
        <charset val="134"/>
      </rPr>
      <t>）程序的测试情况、结果；</t>
    </r>
  </si>
  <si>
    <r>
      <rPr>
        <i/>
        <sz val="10"/>
        <color indexed="12"/>
        <rFont val="宋体"/>
        <family val="3"/>
        <charset val="134"/>
      </rPr>
      <t>编制说明：</t>
    </r>
    <phoneticPr fontId="16" type="noConversion"/>
  </si>
  <si>
    <r>
      <t>1</t>
    </r>
    <r>
      <rPr>
        <sz val="10"/>
        <color indexed="12"/>
        <rFont val="宋体"/>
        <family val="3"/>
        <charset val="134"/>
      </rPr>
      <t>、函证替代程序：</t>
    </r>
    <phoneticPr fontId="16" type="noConversion"/>
  </si>
  <si>
    <r>
      <rPr>
        <sz val="10"/>
        <color indexed="12"/>
        <rFont val="宋体"/>
        <family val="3"/>
        <charset val="134"/>
      </rPr>
      <t>①检查本期付款、期后收货或回收；</t>
    </r>
    <phoneticPr fontId="16" type="noConversion"/>
  </si>
  <si>
    <r>
      <rPr>
        <sz val="10"/>
        <color indexed="12"/>
        <rFont val="宋体"/>
        <family val="3"/>
        <charset val="134"/>
      </rPr>
      <t>②检查原始凭证：合同、订货单、发票或收据、银行回单、支票存根等；</t>
    </r>
    <phoneticPr fontId="16" type="noConversion"/>
  </si>
  <si>
    <r>
      <t>2</t>
    </r>
    <r>
      <rPr>
        <sz val="10"/>
        <color rgb="FF0000FF"/>
        <rFont val="宋体"/>
        <family val="3"/>
        <charset val="134"/>
      </rPr>
      <t>、身份确认方式：（</t>
    </r>
    <r>
      <rPr>
        <sz val="10"/>
        <color rgb="FF0000FF"/>
        <rFont val="Arial Narrow"/>
        <family val="2"/>
      </rPr>
      <t>1</t>
    </r>
    <r>
      <rPr>
        <sz val="10"/>
        <color rgb="FF0000FF"/>
        <rFont val="宋体"/>
        <family val="3"/>
        <charset val="134"/>
      </rPr>
      <t>）获取回函者名片；（</t>
    </r>
    <r>
      <rPr>
        <sz val="10"/>
        <color rgb="FF0000FF"/>
        <rFont val="Arial Narrow"/>
        <family val="2"/>
      </rPr>
      <t>2</t>
    </r>
    <r>
      <rPr>
        <sz val="10"/>
        <color rgb="FF0000FF"/>
        <rFont val="宋体"/>
        <family val="3"/>
        <charset val="134"/>
      </rPr>
      <t>）可通过被询证者的网站或其他公开网站核对回函者的姓名和身份信息；（</t>
    </r>
    <r>
      <rPr>
        <sz val="10"/>
        <color rgb="FF0000FF"/>
        <rFont val="Arial Narrow"/>
        <family val="2"/>
      </rPr>
      <t>3</t>
    </r>
    <r>
      <rPr>
        <sz val="10"/>
        <color rgb="FF0000FF"/>
        <rFont val="宋体"/>
        <family val="3"/>
        <charset val="134"/>
      </rPr>
      <t>）将回函者的信息与被审计单位持有的相关信息</t>
    </r>
    <phoneticPr fontId="49" type="noConversion"/>
  </si>
  <si>
    <r>
      <rPr>
        <b/>
        <sz val="10"/>
        <color rgb="FF0000FF"/>
        <rFont val="宋体"/>
        <family val="3"/>
        <charset val="134"/>
      </rPr>
      <t>注</t>
    </r>
    <r>
      <rPr>
        <b/>
        <sz val="10"/>
        <color rgb="FF0000FF"/>
        <rFont val="Arial Narrow"/>
        <family val="2"/>
      </rPr>
      <t>2</t>
    </r>
    <r>
      <rPr>
        <b/>
        <sz val="10"/>
        <color rgb="FF0000FF"/>
        <rFont val="宋体"/>
        <family val="3"/>
        <charset val="134"/>
      </rPr>
      <t>：回函邮箱的可靠性验证</t>
    </r>
    <phoneticPr fontId="49" type="noConversion"/>
  </si>
  <si>
    <r>
      <rPr>
        <sz val="10"/>
        <color rgb="FF0000FF"/>
        <rFont val="宋体"/>
        <family val="3"/>
        <charset val="134"/>
      </rPr>
      <t>采用电子邮件方式收到回函的控制要点详见函证技术提示</t>
    </r>
    <r>
      <rPr>
        <sz val="10"/>
        <color rgb="FF0000FF"/>
        <rFont val="Arial Narrow"/>
        <family val="2"/>
      </rPr>
      <t>4</t>
    </r>
    <r>
      <rPr>
        <sz val="10"/>
        <color rgb="FF0000FF"/>
        <rFont val="宋体"/>
        <family val="3"/>
        <charset val="134"/>
      </rPr>
      <t>号，链接为：</t>
    </r>
    <r>
      <rPr>
        <sz val="10"/>
        <color rgb="FF0000FF"/>
        <rFont val="Arial Narrow"/>
        <family val="2"/>
      </rPr>
      <t>https://www.gt-china.com.cn/article_view.php?id=9691</t>
    </r>
    <r>
      <rPr>
        <sz val="10"/>
        <color rgb="FF0000FF"/>
        <rFont val="宋体"/>
        <family val="3"/>
        <charset val="134"/>
      </rPr>
      <t>；</t>
    </r>
    <phoneticPr fontId="49" type="noConversion"/>
  </si>
  <si>
    <r>
      <t>1</t>
    </r>
    <r>
      <rPr>
        <sz val="10"/>
        <color rgb="FF0000FF"/>
        <rFont val="宋体"/>
        <family val="3"/>
        <charset val="134"/>
      </rPr>
      <t>、从私人电子信箱发送的回函不可靠。</t>
    </r>
    <phoneticPr fontId="49" type="noConversion"/>
  </si>
  <si>
    <r>
      <t>2</t>
    </r>
    <r>
      <rPr>
        <sz val="10"/>
        <color rgb="FF0000FF"/>
        <rFont val="宋体"/>
        <family val="3"/>
        <charset val="134"/>
      </rPr>
      <t>、邮箱验证方式：（</t>
    </r>
    <r>
      <rPr>
        <sz val="10"/>
        <color rgb="FF0000FF"/>
        <rFont val="Arial Narrow"/>
        <family val="2"/>
      </rPr>
      <t>1</t>
    </r>
    <r>
      <rPr>
        <sz val="10"/>
        <color rgb="FF0000FF"/>
        <rFont val="宋体"/>
        <family val="3"/>
        <charset val="134"/>
      </rPr>
      <t>）验证回函邮箱是否为回函者所在单位的工作邮箱（如后缀），验证公司邮箱发送的回函中电子数码签名的可靠性；（</t>
    </r>
    <r>
      <rPr>
        <sz val="10"/>
        <color rgb="FF0000FF"/>
        <rFont val="Arial Narrow"/>
        <family val="2"/>
      </rPr>
      <t>2</t>
    </r>
    <r>
      <rPr>
        <sz val="10"/>
        <color rgb="FF0000FF"/>
        <rFont val="宋体"/>
        <family val="3"/>
        <charset val="134"/>
      </rPr>
      <t>）通过电话联系被询证者，确定</t>
    </r>
    <phoneticPr fontId="49" type="noConversion"/>
  </si>
  <si>
    <r>
      <rPr>
        <sz val="10"/>
        <color rgb="FF0000FF"/>
        <rFont val="宋体"/>
        <family val="3"/>
        <charset val="134"/>
      </rPr>
      <t>被询证者是否发送了回函，是否授权回函者回函。</t>
    </r>
    <phoneticPr fontId="49" type="noConversion"/>
  </si>
  <si>
    <r>
      <t>2</t>
    </r>
    <r>
      <rPr>
        <sz val="10"/>
        <color rgb="FF0000FF"/>
        <rFont val="宋体"/>
        <family val="3"/>
        <charset val="134"/>
      </rPr>
      <t>、电子签名：按照《电子签名法》要求，核查相关平台是否经国务院信息产业主管部门核准，并获取充分适当的审计证据，如相关平台的认证证书、境内核准情况等，在必要时，</t>
    </r>
    <phoneticPr fontId="49" type="noConversion"/>
  </si>
  <si>
    <r>
      <rPr>
        <sz val="10"/>
        <color rgb="FF0000FF"/>
        <rFont val="宋体"/>
        <family val="3"/>
        <charset val="134"/>
      </rPr>
      <t>可能还需要对相关平台的安全可靠性进行专门评价。</t>
    </r>
    <phoneticPr fontId="49" type="noConversion"/>
  </si>
  <si>
    <r>
      <rPr>
        <b/>
        <sz val="10"/>
        <color rgb="FF0000FF"/>
        <rFont val="宋体"/>
        <family val="3"/>
        <charset val="134"/>
      </rPr>
      <t>注</t>
    </r>
    <r>
      <rPr>
        <b/>
        <sz val="10"/>
        <color rgb="FF0000FF"/>
        <rFont val="Arial Narrow"/>
        <family val="2"/>
      </rPr>
      <t>3</t>
    </r>
    <r>
      <rPr>
        <b/>
        <sz val="10"/>
        <color rgb="FF0000FF"/>
        <rFont val="宋体"/>
        <family val="3"/>
        <charset val="134"/>
      </rPr>
      <t>：函证信息可靠性的考虑</t>
    </r>
    <phoneticPr fontId="49" type="noConversion"/>
  </si>
  <si>
    <r>
      <t>1</t>
    </r>
    <r>
      <rPr>
        <sz val="10"/>
        <color rgb="FF0000FF"/>
        <rFont val="宋体"/>
        <family val="3"/>
        <charset val="134"/>
      </rPr>
      <t>、为了降低被询证者对所列示的信息不验证是否正确就予以回函确认的风险，注册会计师可以选择在询证函中不列明账户余额（或其他信息），而是要求被询证者填列有关信息</t>
    </r>
    <phoneticPr fontId="49" type="noConversion"/>
  </si>
  <si>
    <r>
      <rPr>
        <sz val="10"/>
        <color rgb="FF0000FF"/>
        <rFont val="宋体"/>
        <family val="3"/>
        <charset val="134"/>
      </rPr>
      <t>或进一步提供信息。</t>
    </r>
    <phoneticPr fontId="49" type="noConversion"/>
  </si>
  <si>
    <r>
      <t>2</t>
    </r>
    <r>
      <rPr>
        <sz val="10"/>
        <color rgb="FF0000FF"/>
        <rFont val="宋体"/>
        <family val="3"/>
        <charset val="134"/>
      </rPr>
      <t>、询证函应增加不可编辑的水印、不易复制的特定标识；收到回函后检查是否为发出的函件，是否存在篡改迹象，印章（如有）是否与其他文书一致。</t>
    </r>
    <phoneticPr fontId="49" type="noConversion"/>
  </si>
  <si>
    <r>
      <rPr>
        <b/>
        <sz val="10"/>
        <color rgb="FF0000FF"/>
        <rFont val="宋体"/>
        <family val="3"/>
        <charset val="134"/>
      </rPr>
      <t>注</t>
    </r>
    <r>
      <rPr>
        <b/>
        <sz val="10"/>
        <color rgb="FF0000FF"/>
        <rFont val="Arial Narrow"/>
        <family val="2"/>
      </rPr>
      <t>1</t>
    </r>
    <r>
      <rPr>
        <b/>
        <sz val="10"/>
        <color rgb="FF0000FF"/>
        <rFont val="宋体"/>
        <family val="3"/>
        <charset val="134"/>
      </rPr>
      <t>：回函者的身份确认</t>
    </r>
    <phoneticPr fontId="49" type="noConversion"/>
  </si>
  <si>
    <r>
      <t>1</t>
    </r>
    <r>
      <rPr>
        <sz val="10"/>
        <color rgb="FF0000FF"/>
        <rFont val="宋体"/>
        <family val="3"/>
        <charset val="134"/>
      </rPr>
      <t>、需确定回函者是否属于被询证者或由被询证者授权回函的人员，回函者对所函证信息是否知情、是否具有客观性。</t>
    </r>
    <phoneticPr fontId="49" type="noConversion"/>
  </si>
  <si>
    <t>（例如客户或供应商清单、相关销售或采购合同、被审计单位收到或开具的增值税发票等）中的联系人信息进行核对。</t>
    <phoneticPr fontId="49" type="noConversion"/>
  </si>
  <si>
    <r>
      <rPr>
        <sz val="10"/>
        <color rgb="FF0000FF"/>
        <rFont val="宋体"/>
        <family val="2"/>
        <charset val="134"/>
      </rPr>
      <t>例如：银行函证未回函；与以前年度相比，回函率异常偏高或回函率重大变动；向被审计单位债权人发送的询证函回函率很低；</t>
    </r>
    <phoneticPr fontId="49" type="noConversion"/>
  </si>
  <si>
    <r>
      <rPr>
        <sz val="10"/>
        <color rgb="FF0000FF"/>
        <rFont val="宋体"/>
        <family val="3"/>
        <charset val="134"/>
      </rPr>
      <t>例如：被审计单位及其管理层能够对被询证者施加重大影响以使其向注册会计师提供虚假或误导信息（如被审计单位是被询证者唯一或重要的客户或供应商）；被询证者既是被审计单位资产的保管人又是资产的管理者。</t>
    </r>
    <phoneticPr fontId="49" type="noConversion"/>
  </si>
  <si>
    <t>函证程序表</t>
    <phoneticPr fontId="16" type="noConversion"/>
  </si>
  <si>
    <t>函证结果汇总表</t>
    <phoneticPr fontId="16" type="noConversion"/>
  </si>
  <si>
    <t>核实被函证单位信息</t>
    <phoneticPr fontId="16" type="noConversion"/>
  </si>
  <si>
    <t>函证差异调节表</t>
    <phoneticPr fontId="49" type="noConversion"/>
  </si>
  <si>
    <t>邮件传真回函可靠性验证</t>
    <phoneticPr fontId="16" type="noConversion"/>
  </si>
  <si>
    <r>
      <t>其他应收款/其他应付款/</t>
    </r>
    <r>
      <rPr>
        <b/>
        <sz val="14"/>
        <color rgb="FFFF0000"/>
        <rFont val="宋体"/>
        <family val="3"/>
        <charset val="134"/>
        <scheme val="minor"/>
      </rPr>
      <t>……</t>
    </r>
    <r>
      <rPr>
        <b/>
        <sz val="14"/>
        <rFont val="宋体"/>
        <family val="3"/>
        <charset val="134"/>
        <scheme val="minor"/>
      </rPr>
      <t>函证程序</t>
    </r>
    <phoneticPr fontId="16" type="noConversion"/>
  </si>
  <si>
    <t>比较当年度及以前年度的增减变动、具体构成、账龄及主要交易对手的变化，针对舞弊风险较大的债务/债权人，考虑对合同条款、交易条件、是否存在关联方关系、是否存在担保以及补充协议等实施函证程序。</t>
    <phoneticPr fontId="16" type="noConversion"/>
  </si>
  <si>
    <t>舞弊应对/IPO/上市/新三板/重组</t>
  </si>
  <si>
    <t>4</t>
  </si>
  <si>
    <t>6</t>
  </si>
  <si>
    <t>7</t>
  </si>
  <si>
    <t>8</t>
  </si>
  <si>
    <r>
      <rPr>
        <sz val="10"/>
        <color theme="1"/>
        <rFont val="宋体"/>
        <family val="3"/>
        <charset val="134"/>
      </rPr>
      <t>设计询证函，考虑制作询证函防伪标识，并在发函前核实被函证单位信息（函证科目、单位名称、地址、联系人、联系电话、邮政编码、函证人等），对于函证地址与注册地址、办公地址等不一致，不同客户或供应商的函证地址相近、电话号段相邻，函证联系人非被询证单位员工等情况，需核查并记录原因。</t>
    </r>
    <phoneticPr fontId="16" type="noConversion"/>
  </si>
  <si>
    <r>
      <rPr>
        <sz val="10"/>
        <color theme="1"/>
        <rFont val="宋体"/>
        <family val="3"/>
        <charset val="134"/>
      </rPr>
      <t>注册会计师直接收发询证函，跟函时观察实地场所以及函证核对过程，确认处理函证的人员身份和权限，防范询证函被拦截、篡改或发生串通舞弊，并在底稿中记录或留存控制过程；</t>
    </r>
    <phoneticPr fontId="16" type="noConversion"/>
  </si>
  <si>
    <r>
      <rPr>
        <sz val="10"/>
        <color theme="1"/>
        <rFont val="宋体"/>
        <family val="3"/>
        <charset val="134"/>
      </rPr>
      <t>留存亲自寄发函证的寄送单回执及被审计单位盖章确认的询证函复印件，核实发函快递物流信息；</t>
    </r>
    <phoneticPr fontId="16" type="noConversion"/>
  </si>
  <si>
    <r>
      <rPr>
        <sz val="10"/>
        <color theme="1"/>
        <rFont val="宋体"/>
        <family val="3"/>
        <charset val="134"/>
      </rPr>
      <t>如果利用第三方函证平台收发函证的，考虑评估第三方函证平台服务的可靠性，了解资质认证或有关控制设计及运行的有效性。</t>
    </r>
    <phoneticPr fontId="16" type="noConversion"/>
  </si>
  <si>
    <r>
      <rPr>
        <sz val="10"/>
        <color theme="1"/>
        <rFont val="宋体"/>
        <family val="3"/>
        <charset val="134"/>
      </rPr>
      <t>针对再次发函未回函的项目，评价其重大错报风险以及其他审计程序的性质、时间安排和范围的影响实施替代审计程序，包括：
（</t>
    </r>
    <r>
      <rPr>
        <sz val="10"/>
        <color theme="1"/>
        <rFont val="Arial Narrow"/>
        <family val="2"/>
      </rPr>
      <t>1</t>
    </r>
    <r>
      <rPr>
        <sz val="10"/>
        <color theme="1"/>
        <rFont val="宋体"/>
        <family val="3"/>
        <charset val="134"/>
      </rPr>
      <t>）检查交易发生的记账凭证和相关的支持性证据；</t>
    </r>
    <r>
      <rPr>
        <sz val="10"/>
        <color theme="1"/>
        <rFont val="Arial Narrow"/>
        <family val="2"/>
      </rPr>
      <t xml:space="preserve"> 
</t>
    </r>
    <r>
      <rPr>
        <sz val="10"/>
        <color theme="1"/>
        <rFont val="宋体"/>
        <family val="3"/>
        <charset val="134"/>
      </rPr>
      <t>（</t>
    </r>
    <r>
      <rPr>
        <sz val="10"/>
        <color theme="1"/>
        <rFont val="Arial Narrow"/>
        <family val="2"/>
      </rPr>
      <t>2</t>
    </r>
    <r>
      <rPr>
        <sz val="10"/>
        <color theme="1"/>
        <rFont val="宋体"/>
        <family val="3"/>
        <charset val="134"/>
      </rPr>
      <t>）检查资产负债表日后收款、付款情况</t>
    </r>
    <phoneticPr fontId="16" type="noConversion"/>
  </si>
  <si>
    <r>
      <rPr>
        <sz val="10"/>
        <color theme="1"/>
        <rFont val="宋体"/>
        <family val="3"/>
        <charset val="134"/>
      </rPr>
      <t>如果管理层不允许寄发询证函的原因不合理、或者认为回函不可靠，列出交易对手清单，实施替代审计程序，并评价对评估的重大错报风险以及其他审计程序的性质、时间安排和范围的影响，考虑其对审计工作和审计意见的影响；</t>
    </r>
    <phoneticPr fontId="16" type="noConversion"/>
  </si>
  <si>
    <t>账户/交易</t>
  </si>
  <si>
    <t>其他应付款</t>
  </si>
  <si>
    <t>K0A</t>
    <phoneticPr fontId="16" type="noConversion"/>
  </si>
  <si>
    <t>K0-1</t>
  </si>
  <si>
    <t>K0-2</t>
  </si>
  <si>
    <t>K0-3</t>
  </si>
  <si>
    <t>K0-4</t>
  </si>
  <si>
    <t>K0-5</t>
  </si>
  <si>
    <t>K0-6</t>
  </si>
  <si>
    <t>K0-7</t>
  </si>
  <si>
    <t>K0-8</t>
  </si>
  <si>
    <r>
      <rPr>
        <b/>
        <sz val="10"/>
        <rFont val="宋体"/>
        <family val="3"/>
        <charset val="134"/>
      </rPr>
      <t>调节索引（</t>
    </r>
    <r>
      <rPr>
        <b/>
        <sz val="10"/>
        <rFont val="Arial Narrow"/>
        <family val="2"/>
      </rPr>
      <t>K1-12</t>
    </r>
    <r>
      <rPr>
        <b/>
        <sz val="10"/>
        <rFont val="宋体"/>
        <family val="3"/>
        <charset val="134"/>
      </rPr>
      <t>）</t>
    </r>
    <phoneticPr fontId="16" type="noConversion"/>
  </si>
  <si>
    <t>项目</t>
    <phoneticPr fontId="49" type="noConversion"/>
  </si>
  <si>
    <t>特定样本：</t>
    <phoneticPr fontId="16" type="noConversion"/>
  </si>
  <si>
    <t>其他应收款XX金额以上（大额）……、关联方/关联交易形成的款项、XX异常款项全部测试，共XX个债务人；</t>
    <phoneticPr fontId="16" type="noConversion"/>
  </si>
  <si>
    <t>如其他应收款账面余额XX、债务人XX个；其他应付款账面余额XX、债权人XX个；……</t>
    <phoneticPr fontId="16" type="noConversion"/>
  </si>
  <si>
    <t>测试总体扣除特定样本以外的样本，其他应收款共XX个债务人、金额XX，其他应付款共XX个债权人、金额XX，……；</t>
    <phoneticPr fontId="16" type="noConversion"/>
  </si>
  <si>
    <t>确定的抽样样本量：</t>
    <phoneticPr fontId="16" type="noConversion"/>
  </si>
  <si>
    <t>（如果使用了样本计算器计算样本量，样本量计算过程见&lt;XX&gt;底稿）</t>
    <phoneticPr fontId="16" type="noConversion"/>
  </si>
  <si>
    <t>随机选样/系统选样/货币单元抽样/随意选样</t>
    <phoneticPr fontId="16" type="noConversion"/>
  </si>
  <si>
    <t>抽样过程：</t>
    <phoneticPr fontId="16" type="noConversion"/>
  </si>
  <si>
    <r>
      <t>抽样工具中的样本选择过程和结果见</t>
    </r>
    <r>
      <rPr>
        <sz val="10"/>
        <color rgb="FF0000FF"/>
        <rFont val="Arial Narrow"/>
        <family val="2"/>
      </rPr>
      <t>&lt;XX&gt;</t>
    </r>
    <r>
      <rPr>
        <sz val="10"/>
        <color rgb="FF0000FF"/>
        <rFont val="宋体"/>
        <family val="3"/>
        <charset val="134"/>
      </rPr>
      <t>底稿</t>
    </r>
    <phoneticPr fontId="16" type="noConversion"/>
  </si>
  <si>
    <t>其他应收款、其他应付款分别抽取XX个、XX个单位；</t>
    <phoneticPr fontId="16" type="noConversion"/>
  </si>
  <si>
    <t>使用IDEA（XX抽样工具）选取样本进行函证，其他应收款选择XX个债务人、金额XX的样本，</t>
    <phoneticPr fontId="16" type="noConversion"/>
  </si>
  <si>
    <t>其他应付款选择XX个债权人、金额XX的样本，……</t>
    <phoneticPr fontId="49" type="noConversion"/>
  </si>
  <si>
    <r>
      <t>3.</t>
    </r>
    <r>
      <rPr>
        <sz val="10"/>
        <rFont val="宋体"/>
        <family val="3"/>
        <charset val="134"/>
      </rPr>
      <t>对以传真或电子邮件形式收到的回函的可靠性的考虑（</t>
    </r>
    <r>
      <rPr>
        <sz val="10"/>
        <rFont val="Arial Narrow"/>
        <family val="2"/>
      </rPr>
      <t>K0-6</t>
    </r>
    <r>
      <rPr>
        <sz val="10"/>
        <rFont val="宋体"/>
        <family val="3"/>
        <charset val="134"/>
      </rPr>
      <t>）</t>
    </r>
    <phoneticPr fontId="16" type="noConversion"/>
  </si>
  <si>
    <t>索引号：</t>
    <phoneticPr fontId="16" type="noConversion"/>
  </si>
  <si>
    <t>页  次：</t>
    <phoneticPr fontId="49" type="noConversion"/>
  </si>
  <si>
    <t>是否调整</t>
  </si>
  <si>
    <r>
      <t>其他应收款/其他应付款/</t>
    </r>
    <r>
      <rPr>
        <b/>
        <sz val="14"/>
        <color rgb="FFFF0000"/>
        <rFont val="宋体"/>
        <family val="3"/>
        <charset val="134"/>
      </rPr>
      <t>……</t>
    </r>
    <r>
      <rPr>
        <b/>
        <sz val="14"/>
        <rFont val="宋体"/>
        <family val="3"/>
        <charset val="134"/>
      </rPr>
      <t>函证结果汇总表</t>
    </r>
    <phoneticPr fontId="16" type="noConversion"/>
  </si>
  <si>
    <r>
      <t>其他应收款/其他应付款/</t>
    </r>
    <r>
      <rPr>
        <b/>
        <sz val="14"/>
        <color rgb="FFFF0000"/>
        <rFont val="宋体"/>
        <family val="3"/>
        <charset val="134"/>
      </rPr>
      <t>……</t>
    </r>
    <r>
      <rPr>
        <b/>
        <sz val="14"/>
        <rFont val="宋体"/>
        <family val="3"/>
        <charset val="134"/>
      </rPr>
      <t>函证差异调节表</t>
    </r>
    <phoneticPr fontId="16" type="noConversion"/>
  </si>
  <si>
    <r>
      <rPr>
        <b/>
        <sz val="10"/>
        <color rgb="FF000000"/>
        <rFont val="宋体"/>
        <family val="3"/>
        <charset val="134"/>
      </rPr>
      <t>银行回单</t>
    </r>
    <phoneticPr fontId="16" type="noConversion"/>
  </si>
  <si>
    <r>
      <rPr>
        <b/>
        <sz val="10"/>
        <rFont val="宋体"/>
        <family val="3"/>
        <charset val="134"/>
      </rPr>
      <t>日期</t>
    </r>
    <phoneticPr fontId="16" type="noConversion"/>
  </si>
  <si>
    <r>
      <rPr>
        <b/>
        <sz val="10"/>
        <rFont val="宋体"/>
        <family val="3"/>
        <charset val="134"/>
      </rPr>
      <t>金额</t>
    </r>
    <phoneticPr fontId="16" type="noConversion"/>
  </si>
  <si>
    <r>
      <t>其他应收款替代程序检查表-</t>
    </r>
    <r>
      <rPr>
        <b/>
        <sz val="14"/>
        <color rgb="FFFF0000"/>
        <rFont val="宋体"/>
        <family val="3"/>
        <charset val="134"/>
        <scheme val="minor"/>
      </rPr>
      <t>XX公司</t>
    </r>
    <phoneticPr fontId="16" type="noConversion"/>
  </si>
  <si>
    <t>债务人名称：</t>
    <phoneticPr fontId="16" type="noConversion"/>
  </si>
  <si>
    <t>识别特征</t>
  </si>
  <si>
    <t>信息1</t>
  </si>
  <si>
    <t>信息2</t>
  </si>
  <si>
    <t>支持性文件2</t>
    <phoneticPr fontId="49" type="noConversion"/>
  </si>
  <si>
    <t>信息1</t>
    <phoneticPr fontId="16" type="noConversion"/>
  </si>
  <si>
    <t>提示：对以电子形式收到的回函（如传真或电子邮件），由于回函者的身份及其授权情况很难确定，对回函的更改也难以发觉，因此可靠性存在风险。注册会计师和回函者采用一定的程序为电子形式的回函创造安全环境，可以降低该风险。</t>
    <phoneticPr fontId="49" type="noConversion"/>
  </si>
  <si>
    <r>
      <t xml:space="preserve">编制说明：
1、本底稿系根据《中国注册会计师审计准则问题解答第2号——函证》的要求，对执行函证程序过程中需要关注的舞弊风险迹象厘定。在进行了解时，应考虑上述表格中列示的项目，但考虑内容不限于这些内容。
2、在记录了解的内容时，如果涉及到多个项目，可以综合考虑并予以记录。
3、通过访谈、询问等程序获知上述信息的，应注明被调查人姓名、职位、相关的信息来源及相关工作底稿（若有）索引。 
</t>
    </r>
    <r>
      <rPr>
        <b/>
        <sz val="10"/>
        <color rgb="FF0000FF"/>
        <rFont val="宋体"/>
        <family val="3"/>
        <charset val="134"/>
      </rPr>
      <t>4、上述内容如果项目组的回答为“是”，应说明初步的审计应对措施计划，并在总体审计策略和具体审计计划中体现对所涉及的舞弊风险等重大错报风险评估结果的影响。</t>
    </r>
    <phoneticPr fontId="49" type="noConversion"/>
  </si>
  <si>
    <t>其他应收款替代程序检查表</t>
    <phoneticPr fontId="16" type="noConversion"/>
  </si>
  <si>
    <t>其他应付款替代程序检查表</t>
    <phoneticPr fontId="16" type="noConversion"/>
  </si>
  <si>
    <t>其他应付款</t>
    <phoneticPr fontId="16" type="noConversion"/>
  </si>
  <si>
    <r>
      <t>1.</t>
    </r>
    <r>
      <rPr>
        <b/>
        <sz val="10"/>
        <color rgb="FF000000"/>
        <rFont val="宋体"/>
        <family val="3"/>
        <charset val="134"/>
      </rPr>
      <t>其他应付款检查</t>
    </r>
    <r>
      <rPr>
        <b/>
        <sz val="10"/>
        <color rgb="FF000000"/>
        <rFont val="Arial Narrow"/>
        <family val="2"/>
      </rPr>
      <t>-</t>
    </r>
    <r>
      <rPr>
        <b/>
        <sz val="10"/>
        <color rgb="FF000000"/>
        <rFont val="宋体"/>
        <family val="3"/>
        <charset val="134"/>
      </rPr>
      <t>检查期后付款</t>
    </r>
    <phoneticPr fontId="16" type="noConversion"/>
  </si>
  <si>
    <r>
      <t>其他应付款替代程序检查表-</t>
    </r>
    <r>
      <rPr>
        <b/>
        <sz val="14"/>
        <color rgb="FFFF0000"/>
        <rFont val="宋体"/>
        <family val="3"/>
        <charset val="134"/>
        <scheme val="minor"/>
      </rPr>
      <t>XX公司</t>
    </r>
    <phoneticPr fontId="16" type="noConversion"/>
  </si>
  <si>
    <t>债权人名称：</t>
    <phoneticPr fontId="16" type="noConversion"/>
  </si>
  <si>
    <t>收款方</t>
    <phoneticPr fontId="16" type="noConversion"/>
  </si>
  <si>
    <t>日期/编号</t>
    <phoneticPr fontId="16" type="noConversion"/>
  </si>
  <si>
    <t>是否经过恰当审批</t>
    <phoneticPr fontId="16" type="noConversion"/>
  </si>
  <si>
    <r>
      <t>2.</t>
    </r>
    <r>
      <rPr>
        <b/>
        <sz val="10"/>
        <color rgb="FF000000"/>
        <rFont val="宋体"/>
        <family val="3"/>
        <charset val="134"/>
      </rPr>
      <t>其他应付款检查</t>
    </r>
    <r>
      <rPr>
        <b/>
        <sz val="10"/>
        <color rgb="FF000000"/>
        <rFont val="Arial Narrow"/>
        <family val="2"/>
      </rPr>
      <t>-</t>
    </r>
    <r>
      <rPr>
        <b/>
        <sz val="10"/>
        <color rgb="FF000000"/>
        <rFont val="宋体"/>
        <family val="3"/>
        <charset val="134"/>
      </rPr>
      <t>形成期末余额的合同、支出凭单、发票等支持性证据检查</t>
    </r>
    <phoneticPr fontId="16" type="noConversion"/>
  </si>
  <si>
    <r>
      <rPr>
        <b/>
        <sz val="9"/>
        <rFont val="宋体"/>
        <family val="3"/>
        <charset val="134"/>
      </rPr>
      <t>合计</t>
    </r>
    <phoneticPr fontId="16" type="noConversion"/>
  </si>
  <si>
    <r>
      <rPr>
        <b/>
        <sz val="9"/>
        <rFont val="宋体"/>
        <family val="3"/>
        <charset val="134"/>
      </rPr>
      <t>合计</t>
    </r>
    <phoneticPr fontId="16" type="noConversion"/>
  </si>
  <si>
    <r>
      <rPr>
        <b/>
        <sz val="9"/>
        <rFont val="宋体"/>
        <family val="3"/>
        <charset val="134"/>
      </rPr>
      <t>合计</t>
    </r>
    <phoneticPr fontId="16" type="noConversion"/>
  </si>
  <si>
    <r>
      <rPr>
        <sz val="10"/>
        <rFont val="宋体"/>
        <family val="3"/>
        <charset val="134"/>
      </rPr>
      <t>被审计单位：</t>
    </r>
    <r>
      <rPr>
        <sz val="10"/>
        <rFont val="Arial Narrow"/>
        <family val="2"/>
      </rPr>
      <t/>
    </r>
    <phoneticPr fontId="16" type="noConversion"/>
  </si>
  <si>
    <t>编制人：</t>
    <phoneticPr fontId="16" type="noConversion"/>
  </si>
  <si>
    <t>编制日期：</t>
    <phoneticPr fontId="16" type="noConversion"/>
  </si>
  <si>
    <t>复核人：</t>
    <phoneticPr fontId="16" type="noConversion"/>
  </si>
  <si>
    <t>复核日期：</t>
    <phoneticPr fontId="16" type="noConversion"/>
  </si>
  <si>
    <r>
      <t>以积极方式对其他应收款、其他应付款、</t>
    </r>
    <r>
      <rPr>
        <sz val="10"/>
        <color rgb="FFFF0000"/>
        <rFont val="宋体"/>
        <family val="3"/>
        <charset val="134"/>
      </rPr>
      <t>……</t>
    </r>
    <r>
      <rPr>
        <sz val="10"/>
        <rFont val="宋体"/>
        <family val="3"/>
        <charset val="134"/>
      </rPr>
      <t>进行函证。</t>
    </r>
    <phoneticPr fontId="16" type="noConversion"/>
  </si>
  <si>
    <t>K0-1</t>
    <phoneticPr fontId="16" type="noConversion"/>
  </si>
  <si>
    <t>K0-1</t>
    <phoneticPr fontId="16" type="noConversion"/>
  </si>
  <si>
    <t>K0-2</t>
    <phoneticPr fontId="16" type="noConversion"/>
  </si>
  <si>
    <t>K0-1/K0-3</t>
    <phoneticPr fontId="16" type="noConversion"/>
  </si>
  <si>
    <t>K0-1/K0-2</t>
    <phoneticPr fontId="16" type="noConversion"/>
  </si>
  <si>
    <t>备选</t>
    <phoneticPr fontId="49" type="noConversion"/>
  </si>
  <si>
    <t>备选</t>
    <phoneticPr fontId="49" type="noConversion"/>
  </si>
  <si>
    <t>K0-1/K0-7</t>
    <phoneticPr fontId="16" type="noConversion"/>
  </si>
  <si>
    <t>K0-1/K0-2</t>
    <phoneticPr fontId="16" type="noConversion"/>
  </si>
  <si>
    <t>K0-1/K0-5/K0-6</t>
    <phoneticPr fontId="16" type="noConversion"/>
  </si>
  <si>
    <t>K0-8</t>
    <phoneticPr fontId="16" type="noConversion"/>
  </si>
  <si>
    <t>K0-1/K0-2//K0-4</t>
    <phoneticPr fontId="16" type="noConversion"/>
  </si>
  <si>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</si>
  <si>
    <t>关于工作底稿与审计程序索引号对应的说明</t>
    <phoneticPr fontId="16"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</si>
  <si>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16"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</si>
  <si>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16"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</si>
  <si>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16" type="noConversion"/>
  </si>
  <si>
    <t>如果回函中存在未函证的其他信息，应考虑未函证信息的影响，并考虑实施进一步审计程序</t>
    <phoneticPr fontId="49" type="noConversion"/>
  </si>
  <si>
    <r>
      <rPr>
        <sz val="10"/>
        <color rgb="FFFF0000"/>
        <rFont val="Arial Narrow"/>
        <family val="2"/>
      </rPr>
      <t>2.</t>
    </r>
    <r>
      <rPr>
        <sz val="10"/>
        <color rgb="FFFF0000"/>
        <rFont val="宋体"/>
        <family val="3"/>
        <charset val="134"/>
      </rPr>
      <t>采用电子函证方式的应记录并检查回函能够证明电子地址或身份的信息，关注被审计单位、注册会计师和被询证者在电子询证函平台操作的具体时间、回函经办人（如适用）、意见反馈等信息（如适用）</t>
    </r>
    <phoneticPr fontId="106" type="noConversion"/>
  </si>
  <si>
    <r>
      <t>1.</t>
    </r>
    <r>
      <rPr>
        <sz val="10"/>
        <rFont val="宋体"/>
        <family val="3"/>
        <charset val="134"/>
      </rPr>
      <t>管理层不允许寄发询证函；</t>
    </r>
    <phoneticPr fontId="49" type="noConversion"/>
  </si>
  <si>
    <r>
      <t>2.</t>
    </r>
    <r>
      <rPr>
        <sz val="10"/>
        <rFont val="宋体"/>
        <family val="3"/>
        <charset val="134"/>
      </rPr>
      <t>管理层过度热情配合函证程序；</t>
    </r>
    <phoneticPr fontId="49" type="noConversion"/>
  </si>
  <si>
    <r>
      <t>3.</t>
    </r>
    <r>
      <rPr>
        <sz val="10"/>
        <rFont val="宋体"/>
        <family val="3"/>
        <charset val="134"/>
      </rPr>
      <t>管理层试图干预、拦截、篡改询证函或回函，如坚持以特定的方式发送询证函；</t>
    </r>
    <phoneticPr fontId="16" type="noConversion"/>
  </si>
  <si>
    <r>
      <t>4.</t>
    </r>
    <r>
      <rPr>
        <sz val="10"/>
        <rFont val="宋体"/>
        <family val="3"/>
        <charset val="134"/>
      </rPr>
      <t>管理层提供的函证相关信息含糊、矛盾、不完整或有缺失；</t>
    </r>
    <phoneticPr fontId="49" type="noConversion"/>
  </si>
  <si>
    <r>
      <t>5.</t>
    </r>
    <r>
      <rPr>
        <sz val="10"/>
        <rFont val="宋体"/>
        <family val="3"/>
        <charset val="134"/>
      </rPr>
      <t>被询证者将回函寄至被审计单位，被审计单位将其转交注册会计师；</t>
    </r>
    <phoneticPr fontId="49" type="noConversion"/>
  </si>
  <si>
    <r>
      <t>6.</t>
    </r>
    <r>
      <rPr>
        <sz val="10"/>
        <rFont val="宋体"/>
        <family val="3"/>
        <charset val="134"/>
      </rPr>
      <t>注册会计师跟进访问被询证者，发现回函信息与被询证者记录不一致；</t>
    </r>
    <phoneticPr fontId="49" type="noConversion"/>
  </si>
  <si>
    <r>
      <t>7.</t>
    </r>
    <r>
      <rPr>
        <sz val="10"/>
        <rFont val="宋体"/>
        <family val="3"/>
        <charset val="134"/>
      </rPr>
      <t>从私人电子信箱发送的回函；</t>
    </r>
    <phoneticPr fontId="49" type="noConversion"/>
  </si>
  <si>
    <r>
      <t>8.</t>
    </r>
    <r>
      <rPr>
        <sz val="10"/>
        <rFont val="宋体"/>
        <family val="3"/>
        <charset val="134"/>
      </rPr>
      <t>收到同一日期发回的、相同笔迹的多份回函；</t>
    </r>
    <phoneticPr fontId="49" type="noConversion"/>
  </si>
  <si>
    <r>
      <t>9.</t>
    </r>
    <r>
      <rPr>
        <sz val="10"/>
        <rFont val="宋体"/>
        <family val="3"/>
        <charset val="134"/>
      </rPr>
      <t>收到的回函与发出的询证函不是同一份、不是原件；</t>
    </r>
    <phoneticPr fontId="49" type="noConversion"/>
  </si>
  <si>
    <r>
      <t>10.</t>
    </r>
    <r>
      <rPr>
        <sz val="10"/>
        <rFont val="宋体"/>
        <family val="3"/>
        <charset val="134"/>
      </rPr>
      <t>不同被询证者回函信封上的联系方式（地址、电话等）相同或相近；位于不同地址的多家被询证者的回函邮戳显示的发函地址相同；</t>
    </r>
    <phoneticPr fontId="49" type="noConversion"/>
  </si>
  <si>
    <r>
      <t>11.</t>
    </r>
    <r>
      <rPr>
        <sz val="10"/>
        <rFont val="宋体"/>
        <family val="3"/>
        <charset val="134"/>
      </rPr>
      <t>印章模糊不清难以核对，或印章存在明显瑕疵，或与被询证者不一致；</t>
    </r>
    <phoneticPr fontId="49" type="noConversion"/>
  </si>
  <si>
    <r>
      <t>12.</t>
    </r>
    <r>
      <rPr>
        <sz val="10"/>
        <rFont val="宋体"/>
        <family val="3"/>
        <charset val="134"/>
      </rPr>
      <t>收到不同被询证者用快递寄回的回函，但快递的交寄人或发件人是同一个人或是被审计单位的员工（或关联方），或者虽然寄件人名字不同，但手机号或其他联系方式相同，或者不同被询证者回函单号相连或相近；</t>
    </r>
    <phoneticPr fontId="49" type="noConversion"/>
  </si>
  <si>
    <r>
      <t>13.</t>
    </r>
    <r>
      <rPr>
        <sz val="10"/>
        <rFont val="宋体"/>
        <family val="3"/>
        <charset val="134"/>
      </rPr>
      <t>回函显示的发函地址与被审计单位记录的被询证者的地址不一致；</t>
    </r>
    <phoneticPr fontId="49" type="noConversion"/>
  </si>
  <si>
    <r>
      <t>14.</t>
    </r>
    <r>
      <rPr>
        <sz val="10"/>
        <rFont val="宋体"/>
        <family val="3"/>
        <charset val="134"/>
      </rPr>
      <t>不正常的回函率；</t>
    </r>
    <phoneticPr fontId="49" type="noConversion"/>
  </si>
  <si>
    <r>
      <t>16.</t>
    </r>
    <r>
      <rPr>
        <sz val="10"/>
        <rFont val="宋体"/>
        <family val="3"/>
        <charset val="134"/>
      </rPr>
      <t>管理层不愿意提高函证所涉及信息（如抵押、担保等信息）的披露质量，使财务报表更为完整透明，但又不能提供合理解释；</t>
    </r>
    <phoneticPr fontId="49" type="noConversion"/>
  </si>
  <si>
    <r>
      <t>17.</t>
    </r>
    <r>
      <rPr>
        <sz val="10"/>
        <color rgb="FFFF0000"/>
        <rFont val="宋体"/>
        <family val="3"/>
        <charset val="134"/>
      </rPr>
      <t>回函印章与以前期间收到的回函印章不一致</t>
    </r>
    <phoneticPr fontId="49" type="noConversion"/>
  </si>
  <si>
    <r>
      <t>18.</t>
    </r>
    <r>
      <rPr>
        <sz val="10"/>
        <color rgb="FFFF0000"/>
        <rFont val="宋体"/>
        <family val="3"/>
        <charset val="134"/>
      </rPr>
      <t>回函中包含免责或其他限制性条款</t>
    </r>
    <phoneticPr fontId="49" type="noConversion"/>
  </si>
  <si>
    <r>
      <rPr>
        <b/>
        <sz val="10"/>
        <rFont val="宋体"/>
        <family val="3"/>
        <charset val="134"/>
      </rPr>
      <t>审计说明：</t>
    </r>
    <r>
      <rPr>
        <sz val="10"/>
        <color rgb="FFFF0000"/>
        <rFont val="Arial Narrow"/>
        <family val="2"/>
      </rPr>
      <t>1.</t>
    </r>
    <r>
      <rPr>
        <sz val="10"/>
        <color rgb="FFFF0000"/>
        <rFont val="宋体"/>
        <family val="3"/>
        <charset val="134"/>
      </rPr>
      <t>采用电子函证方式的无需核对发函地址信息，无需核对回函发出地址、回函寄件人信息等；</t>
    </r>
    <phoneticPr fontId="106" type="noConversion"/>
  </si>
  <si>
    <t>随机选样/系统选样/货币单元抽样/随意选样（非统计抽样适用）</t>
    <phoneticPr fontId="16" type="noConversion"/>
  </si>
  <si>
    <r>
      <rPr>
        <sz val="10"/>
        <color rgb="FF0000FF"/>
        <rFont val="宋体"/>
        <family val="3"/>
        <charset val="134"/>
      </rPr>
      <t>抽取</t>
    </r>
    <r>
      <rPr>
        <sz val="10"/>
        <color rgb="FF0000FF"/>
        <rFont val="Arial Narrow"/>
        <family val="2"/>
      </rPr>
      <t>XX</t>
    </r>
    <r>
      <rPr>
        <sz val="10"/>
        <color rgb="FF0000FF"/>
        <rFont val="宋体"/>
        <family val="3"/>
        <charset val="134"/>
      </rPr>
      <t>笔（如果使用了样本计算器计算样本量，样本量计算过程见</t>
    </r>
    <r>
      <rPr>
        <sz val="10"/>
        <color rgb="FF0000FF"/>
        <rFont val="Arial Narrow"/>
        <family val="2"/>
      </rPr>
      <t>&lt;XX&gt;</t>
    </r>
    <r>
      <rPr>
        <sz val="10"/>
        <color rgb="FF0000FF"/>
        <rFont val="宋体"/>
        <family val="3"/>
        <charset val="134"/>
      </rPr>
      <t>底稿）</t>
    </r>
    <phoneticPr fontId="16" type="noConversion"/>
  </si>
  <si>
    <t>应将将执行可靠性验证确认过程的审计人员姓名及日期、获得被询证者电话的方式、被询证者联络人员姓名及所属部门、沟通的过程及其结果等内容清晰地记录在审计工作底稿中</t>
    <phoneticPr fontId="16" type="noConversion"/>
  </si>
  <si>
    <r>
      <t>15.</t>
    </r>
    <r>
      <rPr>
        <sz val="10"/>
        <rFont val="宋体"/>
        <family val="3"/>
        <charset val="134"/>
      </rPr>
      <t>被询证者缺乏独立性；配合被审计单位，向注册会计师提供不真实或不准确的回函信息，隐瞒相关事实和情况；</t>
    </r>
    <phoneticPr fontId="49" type="noConversion"/>
  </si>
  <si>
    <r>
      <t>19.</t>
    </r>
    <r>
      <rPr>
        <sz val="10"/>
        <color rgb="FFFF0000"/>
        <rFont val="宋体"/>
        <family val="3"/>
        <charset val="134"/>
      </rPr>
      <t>第三方对函证信息有误的询证函作出与函证信息相符的回函，或对前后两次函证信息有差异的询证函均作出信息相符的回函。</t>
    </r>
    <phoneticPr fontId="49" type="noConversion"/>
  </si>
  <si>
    <t>收到的回函应为被询证者书面答复，可以采取纸质、电子或其它介质等形式：
（1）确认与发出的询证函是否为同一份、是否为原件；
（2）检查回函发出地址、快递物流信息，核实回函地址是否与发函收件地址一致，比对回函印章和签字，确认回函的真实性；
（3）检查函证信息是否相符，对回函不符的询证函，查明不符事项的原因确定是否存在错报，考虑是否存在舞弊的可能性；</t>
    <phoneticPr fontId="16" type="noConversion"/>
  </si>
  <si>
    <r>
      <t>2</t>
    </r>
    <r>
      <rPr>
        <b/>
        <sz val="10"/>
        <rFont val="宋体"/>
        <family val="3"/>
        <charset val="134"/>
      </rPr>
      <t>、收到回函</t>
    </r>
    <phoneticPr fontId="16" type="noConversion"/>
  </si>
  <si>
    <t>回函发出地址（含物流信息中的地址）</t>
    <phoneticPr fontId="16" type="noConversion"/>
  </si>
  <si>
    <t>提示：</t>
    <phoneticPr fontId="49" type="noConversion"/>
  </si>
  <si>
    <t>通过跟函收到的回函应了解被询证者处理函证的通常流程和人员，确认处理询证函人员的身份和处理询证函的权限，如索要名片、观察员工卡或姓名牌等；</t>
    <phoneticPr fontId="49" type="noConversion"/>
  </si>
  <si>
    <t>观察处理询证函的人员是否按照正常流程认真处理询证函，例如，该人员是否在其计算机系统或相关记录中核对相关信息。</t>
    <phoneticPr fontId="49" type="noConversion"/>
  </si>
  <si>
    <t>审计说明：</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</si>
</sst>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0">
    <numFmt numFmtId="43" formatCode="_ * #,##0.00_ ;_ * \-#,##0.00_ ;_ * &quot;-&quot;??_ ;_ @_ "/>
    <numFmt numFmtId="176" formatCode="_(* #,##0_);_(* \(#,##0\);_(* &quot;-&quot;_);_(@_)"/>
    <numFmt numFmtId="177" formatCode="_(* #,##0.00_);_(* \(#,##0.00\);_(* &quot;-&quot;??_);_(@_)"/>
    <numFmt numFmtId="178" formatCode="&quot;$&quot;#,##0_);\(&quot;$&quot;#,##0\)"/>
    <numFmt numFmtId="179" formatCode="&quot;\&quot;#,##0;&quot;\&quot;&quot;\&quot;\-#,##0"/>
    <numFmt numFmtId="180" formatCode="&quot;\&quot;#,##0;[Red]&quot;\&quot;&quot;\&quot;\-#,##0"/>
    <numFmt numFmtId="181" formatCode="_-#,##0.00_-;\(#,##0.00\);_-\ \ &quot;-&quot;_-;_-@_-"/>
    <numFmt numFmtId="182" formatCode="mmm/yyyy;_-\ &quot;N/A&quot;_-;_-\ &quot;-&quot;_-"/>
    <numFmt numFmtId="183" formatCode="mmm/dd/yyyy;_-\ &quot;N/A&quot;_-;_-\ &quot;-&quot;_-"/>
    <numFmt numFmtId="184" formatCode="_-#,##0_-;\(#,##0\);_-\ \ &quot;-&quot;_-;_-@_-"/>
    <numFmt numFmtId="185" formatCode="_-#,##0%_-;\(#,##0%\);_-\ &quot;-&quot;_-"/>
    <numFmt numFmtId="186" formatCode="_-#,###,_-;\(#,###,\);_-\ \ &quot;-&quot;_-;_-@_-"/>
    <numFmt numFmtId="187" formatCode="_-#,###.00,_-;\(#,###.00,\);_-\ \ &quot;-&quot;_-;_-@_-"/>
    <numFmt numFmtId="188" formatCode="_([$€-2]* #,##0.00_);_([$€-2]* \(#,##0.00\);_([$€-2]* &quot;-&quot;??_)"/>
    <numFmt numFmtId="189" formatCode="_-#0&quot;.&quot;0000_-;\(#0&quot;.&quot;0000\);_-\ \ &quot;-&quot;_-;_-@_-"/>
    <numFmt numFmtId="190" formatCode="_-#0&quot;.&quot;0,_-;\(#0&quot;.&quot;0,\);_-\ \ &quot;-&quot;_-;_-@_-"/>
    <numFmt numFmtId="191" formatCode="0%;\(0%\)"/>
    <numFmt numFmtId="192" formatCode="0.0%"/>
    <numFmt numFmtId="193" formatCode="#,##0;\-#,##0;&quot;-&quot;"/>
    <numFmt numFmtId="194" formatCode="&quot;$&quot;#,##0;[Red]&quot;$&quot;&quot;$&quot;&quot;$&quot;&quot;$&quot;&quot;$&quot;&quot;$&quot;&quot;$&quot;\-#,##0"/>
    <numFmt numFmtId="195" formatCode="#,##0.0_);\(#,##0.0\)"/>
    <numFmt numFmtId="196" formatCode="&quot;$&quot;#,##0.00_);\(&quot;$&quot;#,##0.00\)"/>
    <numFmt numFmtId="197" formatCode=";;;"/>
    <numFmt numFmtId="198" formatCode="_(&quot;$&quot;* #,##0_);_(&quot;$&quot;* \(#,##0\);_(&quot;$&quot;* &quot;-&quot;_);_(@_)"/>
    <numFmt numFmtId="199" formatCode="_(&quot;$&quot;* #,##0.00_);_(&quot;$&quot;* \(#,##0.00\);_(&quot;$&quot;* &quot;-&quot;??_);_(@_)"/>
    <numFmt numFmtId="200" formatCode="_-* #,##0_-;\-* #,##0_-;_-* &quot;-&quot;??_-;_-@_-"/>
    <numFmt numFmtId="201" formatCode="0.00000000000_);[Red]\(0.00000000000\)"/>
    <numFmt numFmtId="202" formatCode="0%_);\(0%\)"/>
    <numFmt numFmtId="203"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 numFmtId="204" formatCode="&quot;¥&quot;#,##0;\-&quot;¥&quot;#,##0"/>
    <numFmt numFmtId="205" formatCode="#.\ \ "/>
    <numFmt numFmtId="206" formatCode="##.\ \ "/>
    <numFmt numFmtId="207" formatCode="\(#,##0\)\ "/>
    <numFmt numFmtId="208" formatCode="[Blue]0.0%;[Blue]\(0.0%\)"/>
    <numFmt numFmtId="209" formatCode="0.0%;\(0.0%\)"/>
    <numFmt numFmtId="210" formatCode="[Red]0.0%;[Red]\(0.0%\)"/>
    <numFmt numFmtId="211" formatCode="[Blue]#,##0_);[Blue]\(#,##0\)"/>
    <numFmt numFmtId="212" formatCode="#,##0_);[Blue]\(#,##0\)"/>
    <numFmt numFmtId="213" formatCode="#,##0;\(#,##0\)"/>
    <numFmt numFmtId="214" formatCode="\$#,##0.00;\(\$#,##0.00\)"/>
    <numFmt numFmtId="215" formatCode="#,##0.000000"/>
    <numFmt numFmtId="216" formatCode="\$#,##0;\(\$#,##0\)"/>
    <numFmt numFmtId="217" formatCode="&quot;?#,##0;\-&quot;?#,##0"/>
    <numFmt numFmtId="218" formatCode="_-* #,##0&quot;¥&quot;_-;\-* #,##0&quot;¥&quot;_-;_-* &quot;-&quot;&quot;¥&quot;_-;_-@_-"/>
    <numFmt numFmtId="219" formatCode="&quot;$&quot;#,##0;\-&quot;$&quot;#,##0"/>
    <numFmt numFmtId="220" formatCode="#,##0&quot; $&quot;;[Red]\-#,##0&quot; $&quot;"/>
    <numFmt numFmtId="221" formatCode="\ \ @"/>
    <numFmt numFmtId="222" formatCode="#,##0_);\(#,##0_)"/>
    <numFmt numFmtId="223" formatCode="_-* #,##0\ _k_r_-;\-* #,##0\ _k_r_-;_-* &quot;-&quot;\ _k_r_-;_-@_-"/>
    <numFmt numFmtId="224" formatCode="_-* #,##0.00\ _k_r_-;\-* #,##0.00\ _k_r_-;_-* &quot;-&quot;??\ _k_r_-;_-@_-"/>
    <numFmt numFmtId="225" formatCode="#,##0.00_);#,##0.00\)"/>
    <numFmt numFmtId="226" formatCode="0.00000&quot;  &quot;"/>
    <numFmt numFmtId="227" formatCode="_-* #,##0_-;\-* #,##0_-;_-* &quot;-&quot;_-;_-@_-"/>
    <numFmt numFmtId="228" formatCode="_-* #,##0.00_-;\-* #,##0.00_-;_-* &quot;-&quot;??_-;_-@_-"/>
    <numFmt numFmtId="229" formatCode="_-&quot;$&quot;* #,##0_-;\-&quot;$&quot;* #,##0_-;_-&quot;$&quot;* &quot;-&quot;_-;_-@_-"/>
    <numFmt numFmtId="230" formatCode="_-&quot;$&quot;* #,##0.00_-;\-&quot;$&quot;* #,##0.00_-;_-&quot;$&quot;* &quot;-&quot;??_-;_-@_-"/>
    <numFmt numFmtId="231" formatCode="&quot;\&quot;#,##0.00;[Red]&quot;\&quot;&quot;\&quot;&quot;\&quot;&quot;\&quot;&quot;\&quot;&quot;\&quot;\-#,##0.00"/>
    <numFmt numFmtId="232" formatCode="&quot;\&quot;#,##0.00;[Red]&quot;\&quot;\-#,##0.00"/>
    <numFmt numFmtId="233" formatCode="&quot;\&quot;#,##0;[Red]&quot;\&quot;\-#,##0"/>
    <numFmt numFmtId="234" formatCode="0_);[Red]\(0\)"/>
  </numFmts>
  <fonts count="185">
    <font>
      <sz val="12"/>
      <name val="宋体"/>
      <charset val="134"/>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11"/>
      <color theme="1"/>
      <name val="宋体"/>
      <family val="2"/>
      <charset val="134"/>
      <scheme val="minor"/>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2"/>
      <name val="宋体"/>
      <family val="3"/>
      <charset val="134"/>
    </font>
    <font>
      <sz val="10"/>
      <name val="Courier"/>
      <family val="3"/>
    </font>
    <font>
      <sz val="7"/>
      <color indexed="10"/>
      <name val="Helv"/>
      <family val="2"/>
    </font>
    <font>
      <u/>
      <sz val="12"/>
      <color indexed="12"/>
      <name val="宋体"/>
      <family val="3"/>
      <charset val="134"/>
    </font>
    <font>
      <sz val="9"/>
      <name val="宋体"/>
      <family val="3"/>
      <charset val="134"/>
    </font>
    <font>
      <sz val="10"/>
      <name val="宋体"/>
      <family val="3"/>
      <charset val="134"/>
    </font>
    <font>
      <b/>
      <sz val="12"/>
      <name val="宋体"/>
      <family val="3"/>
      <charset val="134"/>
    </font>
    <font>
      <sz val="10.5"/>
      <name val="宋体"/>
      <family val="3"/>
      <charset val="134"/>
    </font>
    <font>
      <sz val="10"/>
      <name val="Times New Roman"/>
      <family val="1"/>
    </font>
    <font>
      <sz val="10"/>
      <color indexed="12"/>
      <name val="宋体"/>
      <family val="3"/>
      <charset val="134"/>
    </font>
    <font>
      <sz val="12"/>
      <name val="Times New Roman"/>
      <family val="1"/>
    </font>
    <font>
      <sz val="18"/>
      <color indexed="48"/>
      <name val="魏碑"/>
      <family val="3"/>
      <charset val="134"/>
    </font>
    <font>
      <sz val="10"/>
      <name val="Arial Narrow"/>
      <family val="2"/>
    </font>
    <font>
      <b/>
      <sz val="10"/>
      <name val="Arial Narrow"/>
      <family val="2"/>
    </font>
    <font>
      <sz val="12"/>
      <name val="Arial"/>
      <family val="2"/>
    </font>
    <font>
      <sz val="10.5"/>
      <name val="Arial"/>
      <family val="2"/>
    </font>
    <font>
      <b/>
      <sz val="10"/>
      <color indexed="10"/>
      <name val="Arial"/>
      <family val="2"/>
    </font>
    <font>
      <b/>
      <sz val="12"/>
      <name val="Arial"/>
      <family val="2"/>
    </font>
    <font>
      <u val="singleAccounting"/>
      <vertAlign val="subscript"/>
      <sz val="10"/>
      <name val="Times New Roman"/>
      <family val="1"/>
    </font>
    <font>
      <i/>
      <sz val="9"/>
      <name val="Times New Roman"/>
      <family val="1"/>
    </font>
    <font>
      <u/>
      <sz val="10"/>
      <name val="Arial Narrow"/>
      <family val="2"/>
    </font>
    <font>
      <sz val="10"/>
      <color indexed="12"/>
      <name val="Arial Narrow"/>
      <family val="2"/>
    </font>
    <font>
      <b/>
      <sz val="12"/>
      <name val="Arial Narrow"/>
      <family val="2"/>
    </font>
    <font>
      <sz val="12"/>
      <name val="Arial Narrow"/>
      <family val="2"/>
    </font>
    <font>
      <b/>
      <sz val="10"/>
      <color indexed="8"/>
      <name val="Arial Narrow"/>
      <family val="2"/>
    </font>
    <font>
      <b/>
      <sz val="10"/>
      <name val="宋体"/>
      <family val="3"/>
      <charset val="134"/>
    </font>
    <font>
      <b/>
      <sz val="10"/>
      <color indexed="12"/>
      <name val="宋体"/>
      <family val="3"/>
      <charset val="134"/>
    </font>
    <font>
      <i/>
      <sz val="10"/>
      <color indexed="12"/>
      <name val="宋体"/>
      <family val="3"/>
      <charset val="134"/>
    </font>
    <font>
      <u/>
      <sz val="10"/>
      <color indexed="10"/>
      <name val="宋体"/>
      <family val="3"/>
      <charset val="134"/>
    </font>
    <font>
      <b/>
      <sz val="10"/>
      <color indexed="10"/>
      <name val="宋体"/>
      <family val="3"/>
      <charset val="134"/>
    </font>
    <font>
      <b/>
      <sz val="10"/>
      <color indexed="8"/>
      <name val="宋体"/>
      <family val="3"/>
      <charset val="134"/>
    </font>
    <font>
      <sz val="10"/>
      <color rgb="FFFF0000"/>
      <name val="Arial Narrow"/>
      <family val="2"/>
    </font>
    <font>
      <sz val="10"/>
      <color rgb="FFFF0000"/>
      <name val="宋体"/>
      <family val="3"/>
      <charset val="134"/>
    </font>
    <font>
      <i/>
      <sz val="10"/>
      <color indexed="12"/>
      <name val="Arial Narrow"/>
      <family val="2"/>
    </font>
    <font>
      <sz val="11"/>
      <color theme="1"/>
      <name val="宋体"/>
      <family val="2"/>
      <scheme val="minor"/>
    </font>
    <font>
      <sz val="10"/>
      <color indexed="8"/>
      <name val="Arial"/>
      <family val="2"/>
    </font>
    <font>
      <sz val="10"/>
      <color rgb="FF0000FF"/>
      <name val="宋体"/>
      <family val="3"/>
      <charset val="134"/>
    </font>
    <font>
      <sz val="9"/>
      <name val="宋体"/>
      <family val="2"/>
      <charset val="134"/>
      <scheme val="minor"/>
    </font>
    <font>
      <i/>
      <sz val="10"/>
      <name val="Arial Narrow"/>
      <family val="2"/>
    </font>
    <font>
      <sz val="10"/>
      <color rgb="FF0000FF"/>
      <name val="Arial Narrow"/>
      <family val="2"/>
    </font>
    <font>
      <sz val="9"/>
      <color indexed="8"/>
      <name val="宋体"/>
      <family val="3"/>
      <charset val="134"/>
    </font>
    <font>
      <b/>
      <sz val="9"/>
      <name val="宋体"/>
      <family val="3"/>
      <charset val="134"/>
    </font>
    <font>
      <b/>
      <sz val="10"/>
      <color rgb="FFFF0000"/>
      <name val="宋体"/>
      <family val="3"/>
      <charset val="134"/>
    </font>
    <font>
      <b/>
      <sz val="10"/>
      <color indexed="10"/>
      <name val="Arial Narrow"/>
      <family val="2"/>
    </font>
    <font>
      <b/>
      <sz val="10"/>
      <color theme="1"/>
      <name val="Arial Narrow"/>
      <family val="2"/>
    </font>
    <font>
      <b/>
      <sz val="10"/>
      <color theme="1"/>
      <name val="宋体"/>
      <family val="3"/>
      <charset val="134"/>
    </font>
    <font>
      <b/>
      <sz val="10"/>
      <color rgb="FF0000FF"/>
      <name val="宋体"/>
      <family val="3"/>
      <charset val="134"/>
    </font>
    <font>
      <u/>
      <sz val="10"/>
      <color indexed="12"/>
      <name val="宋体"/>
      <family val="3"/>
      <charset val="134"/>
    </font>
    <font>
      <sz val="10"/>
      <color theme="1"/>
      <name val="Arial Narrow"/>
      <family val="2"/>
    </font>
    <font>
      <b/>
      <sz val="10"/>
      <color rgb="FF0000FF"/>
      <name val="Arial Narrow"/>
      <family val="2"/>
    </font>
    <font>
      <sz val="11"/>
      <color theme="1"/>
      <name val="Arial Narrow"/>
      <family val="2"/>
    </font>
    <font>
      <sz val="10"/>
      <color indexed="8"/>
      <name val="Arial Narrow"/>
      <family val="2"/>
    </font>
    <font>
      <i/>
      <sz val="10"/>
      <color rgb="FFFF0000"/>
      <name val="Arial Narrow"/>
      <family val="2"/>
    </font>
    <font>
      <i/>
      <sz val="10"/>
      <color rgb="FFFF0000"/>
      <name val="宋体"/>
      <family val="3"/>
      <charset val="134"/>
    </font>
    <font>
      <i/>
      <sz val="10"/>
      <name val="宋体"/>
      <family val="3"/>
      <charset val="134"/>
    </font>
    <font>
      <i/>
      <sz val="10"/>
      <color rgb="FF7428FC"/>
      <name val="宋体"/>
      <family val="3"/>
      <charset val="134"/>
      <scheme val="minor"/>
    </font>
    <font>
      <sz val="11"/>
      <color theme="1"/>
      <name val="宋体"/>
      <family val="2"/>
      <charset val="134"/>
      <scheme val="minor"/>
    </font>
    <font>
      <i/>
      <u/>
      <sz val="10"/>
      <color indexed="12"/>
      <name val="Arial Narrow"/>
      <family val="2"/>
    </font>
    <font>
      <sz val="13"/>
      <name val="Tms Rm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9"/>
      <name val="Times New Roman"/>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sz val="11"/>
      <color theme="1"/>
      <name val="宋体"/>
      <family val="3"/>
      <charset val="134"/>
      <scheme val="minor"/>
    </font>
    <font>
      <sz val="11"/>
      <name val="ＭＳ Ｐゴシック"/>
      <family val="2"/>
    </font>
    <font>
      <sz val="12"/>
      <name val="바탕체"/>
      <family val="3"/>
    </font>
    <font>
      <b/>
      <sz val="10"/>
      <color indexed="12"/>
      <name val="Arial Narrow"/>
      <family val="2"/>
    </font>
    <font>
      <sz val="9"/>
      <name val="宋体"/>
      <family val="3"/>
      <charset val="134"/>
      <scheme val="minor"/>
    </font>
    <font>
      <sz val="12"/>
      <name val="???"/>
      <family val="1"/>
    </font>
    <font>
      <sz val="10"/>
      <name val="Helv"/>
      <family val="2"/>
    </font>
    <font>
      <sz val="10"/>
      <name val="Book Antiqua"/>
      <family val="1"/>
    </font>
    <font>
      <b/>
      <sz val="10"/>
      <name val="Book Antiqua"/>
      <family val="1"/>
    </font>
    <font>
      <sz val="12"/>
      <color indexed="8"/>
      <name val="宋体"/>
      <family val="3"/>
      <charset val="134"/>
    </font>
    <font>
      <sz val="12"/>
      <color indexed="9"/>
      <name val="宋体"/>
      <family val="3"/>
      <charset val="134"/>
    </font>
    <font>
      <sz val="8"/>
      <name val="Times New Roman"/>
      <family val="1"/>
    </font>
    <font>
      <b/>
      <sz val="10"/>
      <name val="Helv"/>
      <family val="2"/>
    </font>
    <font>
      <sz val="10"/>
      <name val="MS Serif"/>
      <family val="1"/>
    </font>
    <font>
      <sz val="12"/>
      <name val="Tms Rmn"/>
      <family val="1"/>
    </font>
    <font>
      <sz val="10"/>
      <color indexed="16"/>
      <name val="MS Serif"/>
      <family val="1"/>
    </font>
    <font>
      <b/>
      <sz val="12"/>
      <name val="Helv"/>
      <family val="2"/>
    </font>
    <font>
      <sz val="12"/>
      <name val="Helv"/>
      <family val="2"/>
    </font>
    <font>
      <sz val="12"/>
      <color indexed="9"/>
      <name val="Helv"/>
      <family val="2"/>
    </font>
    <font>
      <b/>
      <sz val="11"/>
      <name val="Helv"/>
      <family val="2"/>
    </font>
    <font>
      <sz val="10"/>
      <name val="Tms Rmn"/>
      <family val="1"/>
    </font>
    <font>
      <b/>
      <sz val="10"/>
      <color indexed="8"/>
      <name val="Arial"/>
      <family val="2"/>
    </font>
    <font>
      <b/>
      <sz val="10"/>
      <color indexed="39"/>
      <name val="Arial"/>
      <family val="2"/>
    </font>
    <font>
      <b/>
      <sz val="12"/>
      <color indexed="8"/>
      <name val="Arial"/>
      <family val="2"/>
    </font>
    <font>
      <sz val="10"/>
      <color indexed="39"/>
      <name val="Arial"/>
      <family val="2"/>
    </font>
    <font>
      <sz val="19"/>
      <color indexed="48"/>
      <name val="Arial"/>
      <family val="2"/>
    </font>
    <font>
      <sz val="10"/>
      <color indexed="10"/>
      <name val="Arial"/>
      <family val="2"/>
    </font>
    <font>
      <b/>
      <sz val="8"/>
      <color indexed="8"/>
      <name val="Helv"/>
      <family val="2"/>
    </font>
    <font>
      <sz val="14"/>
      <name val="柧挬"/>
      <family val="2"/>
    </font>
    <font>
      <b/>
      <sz val="18"/>
      <color indexed="62"/>
      <name val="宋体"/>
      <family val="3"/>
      <charset val="134"/>
    </font>
    <font>
      <sz val="11"/>
      <color indexed="26"/>
      <name val="宋体"/>
      <family val="3"/>
      <charset val="134"/>
    </font>
    <font>
      <sz val="11"/>
      <color indexed="20"/>
      <name val="宋体"/>
      <family val="3"/>
      <charset val="134"/>
    </font>
    <font>
      <sz val="12"/>
      <color indexed="16"/>
      <name val="宋体"/>
      <family val="3"/>
      <charset val="134"/>
    </font>
    <font>
      <sz val="11"/>
      <color indexed="9"/>
      <name val="宋体"/>
      <family val="3"/>
      <charset val="134"/>
    </font>
    <font>
      <sz val="11"/>
      <color rgb="FF9C0006"/>
      <name val="宋体"/>
      <family val="3"/>
      <charset val="134"/>
      <scheme val="minor"/>
    </font>
    <font>
      <sz val="12"/>
      <color indexed="20"/>
      <name val="宋体"/>
      <family val="3"/>
      <charset val="134"/>
    </font>
    <font>
      <sz val="10"/>
      <color indexed="20"/>
      <name val="Times New Roman"/>
      <family val="1"/>
    </font>
    <font>
      <u/>
      <sz val="9"/>
      <color indexed="12"/>
      <name val="Times New Roman"/>
      <family val="1"/>
    </font>
    <font>
      <u/>
      <sz val="11"/>
      <color theme="10"/>
      <name val="宋体"/>
      <family val="3"/>
      <charset val="134"/>
    </font>
    <font>
      <sz val="11"/>
      <color indexed="38"/>
      <name val="宋体"/>
      <family val="3"/>
      <charset val="134"/>
    </font>
    <font>
      <sz val="11"/>
      <color indexed="17"/>
      <name val="宋体"/>
      <family val="3"/>
      <charset val="134"/>
    </font>
    <font>
      <sz val="12"/>
      <color indexed="17"/>
      <name val="宋体"/>
      <family val="3"/>
      <charset val="134"/>
    </font>
    <font>
      <sz val="11"/>
      <color rgb="FF006100"/>
      <name val="宋体"/>
      <family val="3"/>
      <charset val="134"/>
      <scheme val="minor"/>
    </font>
    <font>
      <sz val="10"/>
      <color indexed="17"/>
      <name val="Times New Roman"/>
      <family val="1"/>
    </font>
    <font>
      <sz val="11"/>
      <color indexed="21"/>
      <name val="宋体"/>
      <family val="3"/>
      <charset val="134"/>
    </font>
    <font>
      <sz val="12"/>
      <name val="新細明體"/>
      <family val="1"/>
    </font>
    <font>
      <sz val="12"/>
      <name val="官帕眉"/>
      <family val="2"/>
    </font>
    <font>
      <sz val="10"/>
      <name val="奔覆眉"/>
      <family val="2"/>
    </font>
    <font>
      <b/>
      <sz val="12"/>
      <color indexed="8"/>
      <name val="宋体"/>
      <family val="3"/>
      <charset val="134"/>
    </font>
    <font>
      <sz val="12"/>
      <name val="柧挬"/>
      <family val="2"/>
    </font>
    <font>
      <b/>
      <sz val="14"/>
      <name val="宋体"/>
      <family val="3"/>
      <charset val="134"/>
    </font>
    <font>
      <b/>
      <sz val="10"/>
      <color theme="0" tint="-0.499984740745262"/>
      <name val="Arial Narrow"/>
      <family val="2"/>
    </font>
    <font>
      <sz val="10"/>
      <color theme="1"/>
      <name val="宋体"/>
      <family val="3"/>
      <charset val="134"/>
    </font>
    <font>
      <b/>
      <sz val="10"/>
      <color rgb="FF000000"/>
      <name val="宋体"/>
      <family val="3"/>
      <charset val="134"/>
    </font>
    <font>
      <sz val="10"/>
      <color rgb="FF000000"/>
      <name val="宋体"/>
      <family val="2"/>
      <charset val="134"/>
    </font>
    <font>
      <b/>
      <sz val="10"/>
      <color rgb="FF000000"/>
      <name val="Arial Narrow"/>
      <family val="2"/>
    </font>
    <font>
      <u/>
      <sz val="10"/>
      <color indexed="12"/>
      <name val="Arial Narrow"/>
      <family val="2"/>
    </font>
    <font>
      <sz val="9"/>
      <color rgb="FF000000"/>
      <name val="宋体"/>
      <family val="3"/>
      <charset val="134"/>
    </font>
    <font>
      <b/>
      <sz val="14"/>
      <name val="Arial Narrow"/>
      <family val="2"/>
    </font>
    <font>
      <b/>
      <sz val="10"/>
      <color theme="0" tint="-0.499984740745262"/>
      <name val="宋体"/>
      <family val="3"/>
      <charset val="134"/>
    </font>
    <font>
      <b/>
      <sz val="11"/>
      <color theme="1"/>
      <name val="Arial Narrow"/>
      <family val="2"/>
    </font>
    <font>
      <sz val="10"/>
      <color rgb="FF0000CC"/>
      <name val="Arial Narrow"/>
      <family val="2"/>
    </font>
    <font>
      <u/>
      <sz val="10"/>
      <color rgb="FF0000FF"/>
      <name val="宋体"/>
      <family val="3"/>
      <charset val="134"/>
    </font>
    <font>
      <u/>
      <sz val="11"/>
      <color indexed="12"/>
      <name val="宋体"/>
      <family val="3"/>
      <charset val="134"/>
    </font>
    <font>
      <b/>
      <sz val="9"/>
      <color rgb="FF000000"/>
      <name val="宋体"/>
      <family val="3"/>
      <charset val="134"/>
    </font>
    <font>
      <sz val="9"/>
      <color rgb="FF000000"/>
      <name val="Arial Narrow"/>
      <family val="2"/>
    </font>
    <font>
      <b/>
      <sz val="9"/>
      <color rgb="FFFF0000"/>
      <name val="宋体"/>
      <family val="3"/>
      <charset val="134"/>
    </font>
    <font>
      <sz val="12"/>
      <color rgb="FF0000FF"/>
      <name val="宋体"/>
      <family val="3"/>
      <charset val="134"/>
    </font>
    <font>
      <b/>
      <sz val="9"/>
      <name val="Arial Narrow"/>
      <family val="2"/>
    </font>
    <font>
      <sz val="12"/>
      <color rgb="FF0000FF"/>
      <name val="Arial Narrow"/>
      <family val="2"/>
    </font>
    <font>
      <b/>
      <sz val="14"/>
      <color indexed="8"/>
      <name val="Arial Narrow"/>
      <family val="2"/>
    </font>
    <font>
      <b/>
      <sz val="14"/>
      <color rgb="FFFF0000"/>
      <name val="宋体"/>
      <family val="3"/>
      <charset val="134"/>
    </font>
    <font>
      <b/>
      <sz val="14"/>
      <name val="宋体"/>
      <family val="3"/>
      <charset val="134"/>
      <scheme val="minor"/>
    </font>
    <font>
      <b/>
      <sz val="12"/>
      <name val="宋体"/>
      <family val="3"/>
      <charset val="134"/>
      <scheme val="minor"/>
    </font>
    <font>
      <u/>
      <sz val="14"/>
      <color indexed="12"/>
      <name val="宋体"/>
      <family val="3"/>
      <charset val="134"/>
    </font>
    <font>
      <sz val="12"/>
      <name val="宋体"/>
      <family val="3"/>
      <charset val="134"/>
      <scheme val="minor"/>
    </font>
    <font>
      <b/>
      <sz val="14"/>
      <color rgb="FFFF0000"/>
      <name val="宋体"/>
      <family val="3"/>
      <charset val="134"/>
      <scheme val="minor"/>
    </font>
    <font>
      <b/>
      <sz val="12"/>
      <color indexed="8"/>
      <name val="Arial Narrow"/>
      <family val="2"/>
    </font>
    <font>
      <b/>
      <sz val="14"/>
      <color indexed="8"/>
      <name val="宋体"/>
      <family val="3"/>
      <charset val="134"/>
    </font>
    <font>
      <sz val="10"/>
      <color rgb="FF0000FF"/>
      <name val="宋体"/>
      <family val="2"/>
      <charset val="134"/>
    </font>
    <font>
      <b/>
      <sz val="9"/>
      <color rgb="FF000000"/>
      <name val="Arial Narrow"/>
      <family val="2"/>
    </font>
    <font>
      <b/>
      <sz val="9"/>
      <color indexed="81"/>
      <name val="宋体"/>
      <family val="3"/>
      <charset val="134"/>
    </font>
    <font>
      <sz val="9"/>
      <color indexed="81"/>
      <name val="宋体"/>
      <family val="3"/>
      <charset val="134"/>
    </font>
  </fonts>
  <fills count="6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theme="7" tint="0.79998168889431442"/>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rgb="FFC6EFCE"/>
      </patternFill>
    </fill>
    <fill>
      <patternFill patternType="solid">
        <fgColor rgb="FFFFC7CE"/>
      </patternFill>
    </fill>
    <fill>
      <patternFill patternType="solid">
        <fgColor indexed="65"/>
        <bgColor indexed="64"/>
      </patternFill>
    </fill>
    <fill>
      <patternFill patternType="gray0625">
        <fgColor indexed="10"/>
      </patternFill>
    </fill>
    <fill>
      <patternFill patternType="solid">
        <fgColor indexed="31"/>
        <bgColor indexed="31"/>
      </patternFill>
    </fill>
    <fill>
      <patternFill patternType="solid">
        <fgColor indexed="44"/>
        <bgColor indexed="44"/>
      </patternFill>
    </fill>
    <fill>
      <patternFill patternType="solid">
        <fgColor indexed="26"/>
        <bgColor indexed="26"/>
      </patternFill>
    </fill>
    <fill>
      <patternFill patternType="solid">
        <fgColor indexed="22"/>
        <bgColor indexed="22"/>
      </patternFill>
    </fill>
    <fill>
      <patternFill patternType="solid">
        <fgColor indexed="55"/>
        <bgColor indexed="55"/>
      </patternFill>
    </fill>
    <fill>
      <patternFill patternType="solid">
        <fgColor indexed="42"/>
        <bgColor indexed="42"/>
      </patternFill>
    </fill>
    <fill>
      <patternFill patternType="solid">
        <fgColor indexed="27"/>
        <bgColor indexed="27"/>
      </patternFill>
    </fill>
    <fill>
      <patternFill patternType="solid">
        <fgColor indexed="47"/>
        <bgColor indexed="47"/>
      </patternFill>
    </fill>
    <fill>
      <patternFill patternType="solid">
        <fgColor indexed="15"/>
      </patternFill>
    </fill>
    <fill>
      <patternFill patternType="solid">
        <fgColor indexed="12"/>
      </patternFill>
    </fill>
    <fill>
      <patternFill patternType="solid">
        <fgColor indexed="9"/>
      </patternFill>
    </fill>
    <fill>
      <patternFill patternType="solid">
        <fgColor indexed="43"/>
        <bgColor indexed="64"/>
      </patternFill>
    </fill>
    <fill>
      <patternFill patternType="solid">
        <fgColor indexed="40"/>
        <bgColor indexed="64"/>
      </patternFill>
    </fill>
    <fill>
      <patternFill patternType="solid">
        <fgColor indexed="50"/>
      </patternFill>
    </fill>
    <fill>
      <patternFill patternType="lightUp">
        <fgColor indexed="48"/>
        <bgColor indexed="41"/>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44"/>
        <bgColor indexed="64"/>
      </patternFill>
    </fill>
    <fill>
      <patternFill patternType="solid">
        <fgColor indexed="41"/>
        <bgColor indexed="64"/>
      </patternFill>
    </fill>
    <fill>
      <patternFill patternType="solid">
        <fgColor indexed="45"/>
        <bgColor indexed="45"/>
      </patternFill>
    </fill>
    <fill>
      <patternFill patternType="solid">
        <fgColor indexed="13"/>
      </patternFill>
    </fill>
    <fill>
      <patternFill patternType="solid">
        <fgColor indexed="56"/>
      </patternFill>
    </fill>
    <fill>
      <patternFill patternType="solid">
        <fgColor indexed="18"/>
      </patternFill>
    </fill>
    <fill>
      <patternFill patternType="solid">
        <fgColor indexed="58"/>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theme="0" tint="-0.14999847407452621"/>
        <bgColor indexed="64"/>
      </patternFill>
    </fill>
    <fill>
      <patternFill patternType="solid">
        <fgColor rgb="FFE4DFEC"/>
        <bgColor indexed="64"/>
      </patternFill>
    </fill>
    <fill>
      <patternFill patternType="solid">
        <fgColor rgb="FFFF0000"/>
        <bgColor indexed="64"/>
      </patternFill>
    </fill>
    <fill>
      <patternFill patternType="solid">
        <fgColor rgb="FFE4DFEC"/>
        <bgColor rgb="FFB7DEE8"/>
      </patternFill>
    </fill>
    <fill>
      <patternFill patternType="solid">
        <fgColor theme="2" tint="-9.9978637043366805E-2"/>
        <bgColor indexed="64"/>
      </patternFill>
    </fill>
  </fills>
  <borders count="30">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right/>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diagonal/>
    </border>
    <border>
      <left style="hair">
        <color indexed="64"/>
      </left>
      <right/>
      <top style="hair">
        <color indexed="64"/>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diagonal/>
    </border>
    <border>
      <left/>
      <right/>
      <top/>
      <bottom style="thin">
        <color indexed="64"/>
      </bottom>
      <diagonal/>
    </border>
    <border>
      <left/>
      <right/>
      <top/>
      <bottom style="medium">
        <color indexed="64"/>
      </bottom>
      <diagonal/>
    </border>
    <border>
      <left/>
      <right/>
      <top style="medium">
        <color indexed="64"/>
      </top>
      <bottom style="medium">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auto="1"/>
      </left>
      <right/>
      <top/>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s>
  <cellStyleXfs count="605">
    <xf numFmtId="188" fontId="0" fillId="0" borderId="0">
      <protection locked="0"/>
    </xf>
    <xf numFmtId="49" fontId="20" fillId="0" borderId="0" applyProtection="0">
      <alignment horizontal="left"/>
    </xf>
    <xf numFmtId="184" fontId="20" fillId="0" borderId="0" applyFill="0" applyBorder="0" applyProtection="0">
      <alignment horizontal="right"/>
    </xf>
    <xf numFmtId="181" fontId="20" fillId="0" borderId="0" applyFill="0" applyBorder="0" applyProtection="0">
      <alignment horizontal="right"/>
    </xf>
    <xf numFmtId="183" fontId="30" fillId="0" borderId="0" applyFill="0" applyBorder="0" applyProtection="0">
      <alignment horizontal="center"/>
    </xf>
    <xf numFmtId="182" fontId="30" fillId="0" borderId="0" applyFill="0" applyBorder="0" applyProtection="0">
      <alignment horizontal="center"/>
    </xf>
    <xf numFmtId="185" fontId="31" fillId="0" borderId="0" applyFill="0" applyBorder="0" applyProtection="0">
      <alignment horizontal="right"/>
    </xf>
    <xf numFmtId="186" fontId="20" fillId="0" borderId="0" applyFill="0" applyBorder="0" applyProtection="0">
      <alignment horizontal="right"/>
    </xf>
    <xf numFmtId="187" fontId="20" fillId="0" borderId="0" applyFill="0" applyBorder="0" applyProtection="0">
      <alignment horizontal="right"/>
    </xf>
    <xf numFmtId="190" fontId="20" fillId="0" borderId="0" applyFill="0" applyBorder="0" applyProtection="0">
      <alignment horizontal="right"/>
    </xf>
    <xf numFmtId="189" fontId="20" fillId="0" borderId="0" applyFill="0" applyBorder="0" applyProtection="0">
      <alignment horizontal="right"/>
    </xf>
    <xf numFmtId="3" fontId="6" fillId="0" borderId="0"/>
    <xf numFmtId="178" fontId="7" fillId="0" borderId="1" applyAlignment="0" applyProtection="0"/>
    <xf numFmtId="176" fontId="8" fillId="0" borderId="0" applyFont="0" applyFill="0" applyBorder="0" applyAlignment="0" applyProtection="0"/>
    <xf numFmtId="177" fontId="8" fillId="0" borderId="0" applyFont="0" applyFill="0" applyBorder="0" applyAlignment="0" applyProtection="0"/>
    <xf numFmtId="188" fontId="20" fillId="0" borderId="0" applyFont="0" applyFill="0" applyBorder="0" applyAlignment="0" applyProtection="0"/>
    <xf numFmtId="188" fontId="9" fillId="0" borderId="0" applyNumberFormat="0" applyFill="0" applyBorder="0" applyAlignment="0" applyProtection="0">
      <alignment vertical="top"/>
      <protection locked="0"/>
    </xf>
    <xf numFmtId="38" fontId="10" fillId="2" borderId="0" applyNumberFormat="0" applyBorder="0" applyAlignment="0" applyProtection="0"/>
    <xf numFmtId="188" fontId="11" fillId="0" borderId="0" applyNumberFormat="0" applyFill="0" applyBorder="0" applyAlignment="0" applyProtection="0">
      <alignment vertical="top"/>
      <protection locked="0"/>
    </xf>
    <xf numFmtId="10" fontId="10" fillId="3" borderId="2" applyNumberFormat="0" applyBorder="0" applyAlignment="0" applyProtection="0"/>
    <xf numFmtId="188" fontId="13" fillId="0" borderId="0"/>
    <xf numFmtId="179" fontId="12" fillId="0" borderId="0"/>
    <xf numFmtId="10" fontId="8" fillId="0" borderId="0" applyFont="0" applyFill="0" applyBorder="0" applyAlignment="0" applyProtection="0"/>
    <xf numFmtId="3" fontId="14" fillId="0" borderId="0"/>
    <xf numFmtId="188" fontId="12" fillId="0" borderId="0">
      <alignment vertical="center"/>
    </xf>
    <xf numFmtId="188" fontId="12" fillId="0" borderId="0"/>
    <xf numFmtId="188" fontId="12" fillId="0" borderId="0" applyFill="0" applyBorder="0"/>
    <xf numFmtId="188" fontId="15" fillId="0" borderId="0" applyNumberFormat="0" applyFill="0" applyBorder="0" applyAlignment="0" applyProtection="0">
      <alignment vertical="top"/>
      <protection locked="0"/>
    </xf>
    <xf numFmtId="177" fontId="12" fillId="0" borderId="0" applyFont="0" applyFill="0" applyBorder="0" applyAlignment="0" applyProtection="0"/>
    <xf numFmtId="188" fontId="46" fillId="0" borderId="0"/>
    <xf numFmtId="188" fontId="47" fillId="0" borderId="0">
      <alignment vertical="top"/>
    </xf>
    <xf numFmtId="188" fontId="12" fillId="0" borderId="0">
      <protection locked="0"/>
    </xf>
    <xf numFmtId="188" fontId="8" fillId="0" borderId="0"/>
    <xf numFmtId="188" fontId="22" fillId="0" borderId="0">
      <alignment vertical="center" shrinkToFit="1"/>
    </xf>
    <xf numFmtId="177" fontId="12" fillId="0" borderId="0" applyFont="0" applyFill="0" applyBorder="0" applyAlignment="0" applyProtection="0">
      <alignment vertical="center"/>
    </xf>
    <xf numFmtId="188" fontId="17" fillId="0" borderId="0"/>
    <xf numFmtId="188" fontId="12" fillId="0" borderId="0"/>
    <xf numFmtId="188" fontId="12" fillId="0" borderId="0">
      <protection locked="0"/>
    </xf>
    <xf numFmtId="188" fontId="68" fillId="0" borderId="0">
      <alignment vertical="center"/>
    </xf>
    <xf numFmtId="188" fontId="12" fillId="0" borderId="0">
      <alignment vertical="center"/>
      <protection locked="0"/>
    </xf>
    <xf numFmtId="188" fontId="8" fillId="0" borderId="0"/>
    <xf numFmtId="188" fontId="8" fillId="0" borderId="0"/>
    <xf numFmtId="188" fontId="8" fillId="0" borderId="0"/>
    <xf numFmtId="188" fontId="8" fillId="0" borderId="0"/>
    <xf numFmtId="188" fontId="47" fillId="0" borderId="0">
      <alignment vertical="top"/>
      <protection locked="0"/>
    </xf>
    <xf numFmtId="188" fontId="47" fillId="0" borderId="0">
      <alignment vertical="top"/>
      <protection locked="0"/>
    </xf>
    <xf numFmtId="188" fontId="47" fillId="0" borderId="0">
      <alignment vertical="top"/>
      <protection locked="0"/>
    </xf>
    <xf numFmtId="188" fontId="47" fillId="0" borderId="0">
      <alignment vertical="top"/>
    </xf>
    <xf numFmtId="188" fontId="47" fillId="0" borderId="0">
      <alignment vertical="top"/>
    </xf>
    <xf numFmtId="188" fontId="47" fillId="0" borderId="0">
      <alignment vertical="top"/>
      <protection locked="0"/>
    </xf>
    <xf numFmtId="188" fontId="47" fillId="0" borderId="0">
      <alignment vertical="top"/>
    </xf>
    <xf numFmtId="188" fontId="47" fillId="0" borderId="0">
      <alignment vertical="top"/>
    </xf>
    <xf numFmtId="188" fontId="47" fillId="0" borderId="0">
      <alignment vertical="top"/>
      <protection locked="0"/>
    </xf>
    <xf numFmtId="188" fontId="47" fillId="0" borderId="0">
      <alignment vertical="top"/>
      <protection locked="0"/>
    </xf>
    <xf numFmtId="188" fontId="47" fillId="0" borderId="0">
      <alignment vertical="top"/>
      <protection locked="0"/>
    </xf>
    <xf numFmtId="188" fontId="47" fillId="0" borderId="0">
      <alignment vertical="top"/>
    </xf>
    <xf numFmtId="188" fontId="47" fillId="0" borderId="0">
      <alignment vertical="top"/>
    </xf>
    <xf numFmtId="188" fontId="47" fillId="0" borderId="0">
      <alignment vertical="top"/>
      <protection locked="0"/>
    </xf>
    <xf numFmtId="188" fontId="47" fillId="0" borderId="0">
      <alignment vertical="top"/>
    </xf>
    <xf numFmtId="188" fontId="47" fillId="0" borderId="0">
      <alignment vertical="top"/>
    </xf>
    <xf numFmtId="188" fontId="47" fillId="0" borderId="0">
      <alignment vertical="top"/>
    </xf>
    <xf numFmtId="188" fontId="47" fillId="0" borderId="0">
      <alignment vertical="top"/>
      <protection locked="0"/>
    </xf>
    <xf numFmtId="188" fontId="47" fillId="0" borderId="0">
      <alignment vertical="top"/>
    </xf>
    <xf numFmtId="188" fontId="47" fillId="0" borderId="0">
      <alignment vertical="top"/>
      <protection locked="0"/>
    </xf>
    <xf numFmtId="188" fontId="47" fillId="0" borderId="0">
      <alignment vertical="top"/>
      <protection locked="0"/>
    </xf>
    <xf numFmtId="188" fontId="47" fillId="0" borderId="0">
      <alignment vertical="top"/>
      <protection locked="0"/>
    </xf>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47" fillId="0" borderId="0">
      <alignment vertical="top"/>
      <protection locked="0"/>
    </xf>
    <xf numFmtId="188" fontId="47" fillId="0" borderId="0">
      <alignment vertical="top"/>
      <protection locked="0"/>
    </xf>
    <xf numFmtId="188" fontId="47" fillId="0" borderId="0">
      <alignment vertical="top"/>
    </xf>
    <xf numFmtId="188" fontId="47" fillId="0" borderId="0">
      <alignment vertical="top"/>
      <protection locked="0"/>
    </xf>
    <xf numFmtId="191" fontId="70" fillId="0" borderId="0" applyFont="0" applyFill="0" applyBorder="0" applyAlignment="0" applyProtection="0"/>
    <xf numFmtId="192" fontId="70" fillId="0" borderId="0" applyFont="0" applyFill="0" applyBorder="0" applyAlignment="0" applyProtection="0"/>
    <xf numFmtId="10" fontId="70" fillId="0" borderId="0" applyFont="0" applyFill="0" applyBorder="0" applyAlignment="0" applyProtection="0"/>
    <xf numFmtId="188" fontId="71" fillId="7" borderId="0" applyNumberFormat="0" applyBorder="0" applyAlignment="0" applyProtection="0"/>
    <xf numFmtId="188" fontId="71" fillId="8" borderId="0" applyNumberFormat="0" applyBorder="0" applyAlignment="0" applyProtection="0"/>
    <xf numFmtId="188" fontId="71" fillId="9" borderId="0" applyNumberFormat="0" applyBorder="0" applyAlignment="0" applyProtection="0"/>
    <xf numFmtId="188" fontId="71" fillId="10" borderId="0" applyNumberFormat="0" applyBorder="0" applyAlignment="0" applyProtection="0"/>
    <xf numFmtId="188" fontId="71" fillId="11" borderId="0" applyNumberFormat="0" applyBorder="0" applyAlignment="0" applyProtection="0"/>
    <xf numFmtId="188" fontId="71" fillId="12" borderId="0" applyNumberFormat="0" applyBorder="0" applyAlignment="0" applyProtection="0"/>
    <xf numFmtId="188" fontId="71" fillId="13" borderId="0" applyNumberFormat="0" applyBorder="0" applyAlignment="0" applyProtection="0"/>
    <xf numFmtId="188" fontId="71" fillId="14" borderId="0" applyNumberFormat="0" applyBorder="0" applyAlignment="0" applyProtection="0"/>
    <xf numFmtId="188" fontId="71" fillId="15" borderId="0" applyNumberFormat="0" applyBorder="0" applyAlignment="0" applyProtection="0"/>
    <xf numFmtId="188" fontId="71" fillId="10" borderId="0" applyNumberFormat="0" applyBorder="0" applyAlignment="0" applyProtection="0"/>
    <xf numFmtId="188" fontId="71" fillId="13" borderId="0" applyNumberFormat="0" applyBorder="0" applyAlignment="0" applyProtection="0"/>
    <xf numFmtId="188" fontId="71" fillId="16" borderId="0" applyNumberFormat="0" applyBorder="0" applyAlignment="0" applyProtection="0"/>
    <xf numFmtId="188" fontId="72" fillId="17" borderId="0" applyNumberFormat="0" applyBorder="0" applyAlignment="0" applyProtection="0"/>
    <xf numFmtId="188" fontId="72" fillId="14" borderId="0" applyNumberFormat="0" applyBorder="0" applyAlignment="0" applyProtection="0"/>
    <xf numFmtId="188" fontId="72" fillId="15" borderId="0" applyNumberFormat="0" applyBorder="0" applyAlignment="0" applyProtection="0"/>
    <xf numFmtId="188" fontId="72" fillId="18" borderId="0" applyNumberFormat="0" applyBorder="0" applyAlignment="0" applyProtection="0"/>
    <xf numFmtId="188" fontId="72" fillId="19" borderId="0" applyNumberFormat="0" applyBorder="0" applyAlignment="0" applyProtection="0"/>
    <xf numFmtId="188" fontId="72" fillId="20" borderId="0" applyNumberFormat="0" applyBorder="0" applyAlignment="0" applyProtection="0"/>
    <xf numFmtId="188" fontId="72" fillId="21" borderId="0" applyNumberFormat="0" applyBorder="0" applyAlignment="0" applyProtection="0"/>
    <xf numFmtId="188" fontId="72" fillId="22" borderId="0" applyNumberFormat="0" applyBorder="0" applyAlignment="0" applyProtection="0"/>
    <xf numFmtId="188" fontId="72" fillId="23" borderId="0" applyNumberFormat="0" applyBorder="0" applyAlignment="0" applyProtection="0"/>
    <xf numFmtId="188" fontId="72" fillId="18" borderId="0" applyNumberFormat="0" applyBorder="0" applyAlignment="0" applyProtection="0"/>
    <xf numFmtId="188" fontId="72" fillId="19" borderId="0" applyNumberFormat="0" applyBorder="0" applyAlignment="0" applyProtection="0"/>
    <xf numFmtId="188" fontId="72" fillId="24" borderId="0" applyNumberFormat="0" applyBorder="0" applyAlignment="0" applyProtection="0"/>
    <xf numFmtId="188" fontId="73" fillId="8" borderId="0" applyNumberFormat="0" applyBorder="0" applyAlignment="0" applyProtection="0"/>
    <xf numFmtId="193" fontId="47" fillId="0" borderId="0" applyFill="0" applyBorder="0" applyAlignment="0"/>
    <xf numFmtId="188" fontId="74" fillId="25" borderId="16" applyNumberFormat="0" applyAlignment="0" applyProtection="0"/>
    <xf numFmtId="188" fontId="75" fillId="26" borderId="17" applyNumberFormat="0" applyAlignment="0" applyProtection="0"/>
    <xf numFmtId="188" fontId="76" fillId="0" borderId="11" applyNumberFormat="0" applyFill="0" applyProtection="0">
      <alignment horizontal="center"/>
    </xf>
    <xf numFmtId="188" fontId="77" fillId="0" borderId="18">
      <alignment horizontal="center"/>
    </xf>
    <xf numFmtId="194" fontId="8" fillId="0" borderId="0"/>
    <xf numFmtId="194" fontId="8" fillId="0" borderId="0"/>
    <xf numFmtId="194" fontId="8" fillId="0" borderId="0"/>
    <xf numFmtId="194" fontId="8" fillId="0" borderId="0"/>
    <xf numFmtId="194" fontId="8" fillId="0" borderId="0"/>
    <xf numFmtId="194" fontId="8" fillId="0" borderId="0"/>
    <xf numFmtId="194" fontId="8" fillId="0" borderId="0"/>
    <xf numFmtId="194" fontId="8" fillId="0" borderId="0"/>
    <xf numFmtId="37" fontId="70" fillId="0" borderId="0" applyFont="0" applyFill="0" applyBorder="0" applyAlignment="0" applyProtection="0"/>
    <xf numFmtId="195" fontId="70" fillId="0" borderId="0" applyFont="0" applyFill="0" applyBorder="0" applyAlignment="0" applyProtection="0"/>
    <xf numFmtId="39" fontId="70" fillId="0" borderId="0" applyFont="0" applyFill="0" applyBorder="0" applyAlignment="0" applyProtection="0"/>
    <xf numFmtId="40" fontId="78" fillId="0" borderId="0" applyFont="0" applyFill="0" applyBorder="0" applyAlignment="0" applyProtection="0"/>
    <xf numFmtId="178" fontId="70" fillId="0" borderId="0" applyFont="0" applyFill="0" applyBorder="0" applyAlignment="0" applyProtection="0"/>
    <xf numFmtId="196" fontId="70" fillId="0" borderId="0" applyFont="0" applyFill="0" applyBorder="0" applyAlignment="0" applyProtection="0"/>
    <xf numFmtId="197" fontId="12" fillId="0" borderId="0" applyFont="0" applyFill="0" applyBorder="0" applyAlignment="0" applyProtection="0"/>
    <xf numFmtId="188" fontId="79" fillId="0" borderId="0">
      <alignment horizontal="left"/>
    </xf>
    <xf numFmtId="188" fontId="10" fillId="27" borderId="2"/>
    <xf numFmtId="188" fontId="80" fillId="0" borderId="0" applyNumberFormat="0" applyFill="0" applyBorder="0" applyAlignment="0" applyProtection="0"/>
    <xf numFmtId="188" fontId="81" fillId="9" borderId="0" applyNumberFormat="0" applyBorder="0" applyAlignment="0" applyProtection="0"/>
    <xf numFmtId="188" fontId="29" fillId="0" borderId="13" applyNumberFormat="0" applyAlignment="0" applyProtection="0">
      <alignment horizontal="left" vertical="center"/>
    </xf>
    <xf numFmtId="188" fontId="29" fillId="0" borderId="19">
      <alignment horizontal="left" vertical="center"/>
    </xf>
    <xf numFmtId="14" fontId="82" fillId="28" borderId="12">
      <alignment horizontal="center" vertical="center" wrapText="1"/>
    </xf>
    <xf numFmtId="188" fontId="83" fillId="0" borderId="20" applyNumberFormat="0" applyFill="0" applyAlignment="0" applyProtection="0"/>
    <xf numFmtId="188" fontId="84" fillId="0" borderId="21" applyNumberFormat="0" applyFill="0" applyAlignment="0" applyProtection="0"/>
    <xf numFmtId="188" fontId="85" fillId="0" borderId="22" applyNumberFormat="0" applyFill="0" applyAlignment="0" applyProtection="0"/>
    <xf numFmtId="188" fontId="85" fillId="0" borderId="0" applyNumberFormat="0" applyFill="0" applyBorder="0" applyAlignment="0" applyProtection="0"/>
    <xf numFmtId="188" fontId="86" fillId="12" borderId="16" applyNumberFormat="0" applyAlignment="0" applyProtection="0"/>
    <xf numFmtId="188" fontId="20" fillId="0" borderId="0" applyNumberFormat="0" applyFont="0" applyFill="0" applyBorder="0" applyProtection="0">
      <alignment horizontal="left" vertical="center"/>
    </xf>
    <xf numFmtId="188" fontId="87" fillId="0" borderId="23" applyNumberFormat="0" applyFill="0" applyAlignment="0" applyProtection="0"/>
    <xf numFmtId="176" fontId="8" fillId="0" borderId="0" applyFont="0" applyFill="0" applyBorder="0" applyAlignment="0" applyProtection="0"/>
    <xf numFmtId="177" fontId="8" fillId="0" borderId="0" applyFont="0" applyFill="0" applyBorder="0" applyAlignment="0" applyProtection="0"/>
    <xf numFmtId="198" fontId="8" fillId="0" borderId="0" applyFont="0" applyFill="0" applyBorder="0" applyAlignment="0" applyProtection="0"/>
    <xf numFmtId="199" fontId="8" fillId="0" borderId="0" applyFont="0" applyFill="0" applyBorder="0" applyAlignment="0" applyProtection="0"/>
    <xf numFmtId="200" fontId="8" fillId="0" borderId="0" applyFont="0" applyFill="0" applyBorder="0" applyAlignment="0" applyProtection="0"/>
    <xf numFmtId="201" fontId="12" fillId="0" borderId="0" applyFont="0" applyFill="0" applyBorder="0" applyAlignment="0" applyProtection="0"/>
    <xf numFmtId="188" fontId="88" fillId="29" borderId="0" applyNumberFormat="0" applyBorder="0" applyAlignment="0" applyProtection="0"/>
    <xf numFmtId="37" fontId="89" fillId="0" borderId="0"/>
    <xf numFmtId="188" fontId="8" fillId="0" borderId="0"/>
    <xf numFmtId="188" fontId="12" fillId="0" borderId="0">
      <alignment vertical="center"/>
    </xf>
    <xf numFmtId="188" fontId="78" fillId="0" borderId="0"/>
    <xf numFmtId="188" fontId="90" fillId="0" borderId="0"/>
    <xf numFmtId="188" fontId="8" fillId="30" borderId="24" applyNumberFormat="0" applyFont="0" applyAlignment="0" applyProtection="0"/>
    <xf numFmtId="188" fontId="91" fillId="25" borderId="25" applyNumberFormat="0" applyAlignment="0" applyProtection="0"/>
    <xf numFmtId="202" fontId="8" fillId="0" borderId="0" applyFont="0" applyFill="0" applyBorder="0" applyAlignment="0" applyProtection="0"/>
    <xf numFmtId="188" fontId="10" fillId="2" borderId="2"/>
    <xf numFmtId="4" fontId="79" fillId="0" borderId="0">
      <alignment horizontal="right"/>
    </xf>
    <xf numFmtId="4" fontId="92" fillId="0" borderId="0">
      <alignment horizontal="right"/>
    </xf>
    <xf numFmtId="188" fontId="93" fillId="0" borderId="0">
      <alignment horizontal="left"/>
    </xf>
    <xf numFmtId="188" fontId="94" fillId="0" borderId="2">
      <alignment horizontal="center"/>
    </xf>
    <xf numFmtId="188" fontId="94" fillId="0" borderId="0">
      <alignment horizontal="center" vertical="center"/>
    </xf>
    <xf numFmtId="188" fontId="95" fillId="31" borderId="0" applyNumberFormat="0" applyFill="0">
      <alignment horizontal="left" vertical="center"/>
    </xf>
    <xf numFmtId="188" fontId="28" fillId="0" borderId="0" applyFill="0" applyBorder="0" applyProtection="0">
      <alignment horizontal="left" vertical="top"/>
    </xf>
    <xf numFmtId="188" fontId="96" fillId="0" borderId="0">
      <alignment horizontal="center"/>
    </xf>
    <xf numFmtId="188" fontId="97" fillId="0" borderId="26" applyNumberFormat="0" applyFill="0" applyAlignment="0" applyProtection="0"/>
    <xf numFmtId="188" fontId="98" fillId="0" borderId="0" applyNumberFormat="0" applyFill="0" applyBorder="0" applyAlignment="0" applyProtection="0"/>
    <xf numFmtId="188" fontId="99" fillId="0" borderId="0" applyNumberFormat="0" applyFont="0" applyFill="0" applyBorder="0" applyProtection="0">
      <alignment horizontal="center" vertical="center" wrapText="1"/>
    </xf>
    <xf numFmtId="9" fontId="100" fillId="0" borderId="0" applyFont="0" applyFill="0" applyBorder="0" applyAlignment="0" applyProtection="0"/>
    <xf numFmtId="9" fontId="8" fillId="0" borderId="0" applyFont="0" applyFill="0" applyBorder="0" applyAlignment="0" applyProtection="0"/>
    <xf numFmtId="9" fontId="12" fillId="0" borderId="0" applyFont="0" applyFill="0" applyBorder="0" applyAlignment="0" applyProtection="0"/>
    <xf numFmtId="4" fontId="101" fillId="0" borderId="0">
      <alignment horizontal="right"/>
    </xf>
    <xf numFmtId="188" fontId="8" fillId="0" borderId="0"/>
    <xf numFmtId="188" fontId="46" fillId="0" borderId="0"/>
    <xf numFmtId="188" fontId="12" fillId="0" borderId="0">
      <protection locked="0"/>
    </xf>
    <xf numFmtId="188" fontId="12" fillId="0" borderId="0">
      <alignment vertical="center"/>
      <protection locked="0"/>
    </xf>
    <xf numFmtId="188" fontId="102" fillId="0" borderId="0">
      <alignment vertical="center"/>
    </xf>
    <xf numFmtId="188" fontId="15" fillId="0" borderId="0" applyNumberFormat="0" applyFill="0" applyBorder="0" applyAlignment="0" applyProtection="0">
      <alignment vertical="top"/>
      <protection locked="0"/>
    </xf>
    <xf numFmtId="188" fontId="15" fillId="0" borderId="0" applyNumberFormat="0" applyFill="0" applyBorder="0" applyAlignment="0" applyProtection="0">
      <alignment vertical="top"/>
      <protection locked="0"/>
    </xf>
    <xf numFmtId="188" fontId="7" fillId="0" borderId="0" applyNumberFormat="0" applyFill="0" applyBorder="0" applyAlignment="0" applyProtection="0"/>
    <xf numFmtId="4" fontId="99" fillId="0" borderId="0" applyFont="0" applyFill="0" applyBorder="0" applyAlignment="0" applyProtection="0"/>
    <xf numFmtId="176" fontId="8" fillId="0" borderId="0" applyFont="0" applyFill="0" applyBorder="0" applyAlignment="0" applyProtection="0"/>
    <xf numFmtId="188" fontId="20" fillId="0" borderId="0"/>
    <xf numFmtId="176" fontId="20" fillId="0" borderId="0" applyFont="0" applyFill="0" applyBorder="0" applyAlignment="0" applyProtection="0"/>
    <xf numFmtId="177" fontId="20" fillId="0" borderId="0" applyFont="0" applyFill="0" applyBorder="0" applyAlignment="0" applyProtection="0"/>
    <xf numFmtId="188" fontId="8" fillId="0" borderId="0" applyFont="0" applyFill="0" applyBorder="0" applyAlignment="0" applyProtection="0"/>
    <xf numFmtId="199" fontId="8" fillId="0" borderId="0" applyFont="0" applyFill="0" applyBorder="0" applyAlignment="0" applyProtection="0"/>
    <xf numFmtId="203" fontId="99" fillId="0" borderId="0" applyFont="0" applyFill="0" applyBorder="0" applyAlignment="0" applyProtection="0"/>
    <xf numFmtId="188" fontId="47" fillId="0" borderId="0">
      <alignment vertical="top"/>
    </xf>
    <xf numFmtId="38" fontId="103" fillId="0" borderId="0" applyFont="0" applyFill="0" applyBorder="0" applyAlignment="0" applyProtection="0"/>
    <xf numFmtId="40" fontId="103" fillId="0" borderId="0" applyFont="0" applyFill="0" applyBorder="0" applyAlignment="0" applyProtection="0"/>
    <xf numFmtId="188" fontId="103" fillId="0" borderId="0" applyFont="0" applyFill="0" applyBorder="0" applyAlignment="0" applyProtection="0"/>
    <xf numFmtId="188" fontId="103" fillId="0" borderId="0" applyFont="0" applyFill="0" applyBorder="0" applyAlignment="0" applyProtection="0"/>
    <xf numFmtId="188" fontId="104" fillId="0" borderId="0"/>
    <xf numFmtId="188" fontId="5" fillId="0" borderId="0">
      <alignment vertical="center"/>
    </xf>
    <xf numFmtId="188" fontId="4" fillId="0" borderId="0">
      <alignment vertical="center"/>
    </xf>
    <xf numFmtId="188" fontId="3" fillId="0" borderId="0">
      <alignment vertical="center"/>
    </xf>
    <xf numFmtId="188" fontId="3" fillId="0" borderId="0">
      <alignment vertical="center"/>
    </xf>
    <xf numFmtId="188" fontId="3" fillId="0" borderId="0">
      <alignment vertical="center"/>
    </xf>
    <xf numFmtId="188" fontId="3" fillId="0" borderId="0">
      <alignment vertical="center"/>
    </xf>
    <xf numFmtId="188" fontId="3" fillId="0" borderId="0">
      <alignment vertical="center"/>
    </xf>
    <xf numFmtId="188" fontId="8" fillId="0" borderId="0"/>
    <xf numFmtId="188" fontId="8" fillId="0" borderId="0"/>
    <xf numFmtId="188" fontId="12" fillId="0" borderId="0" applyNumberFormat="0" applyFill="0" applyBorder="0" applyAlignment="0" applyProtection="0"/>
    <xf numFmtId="188" fontId="103" fillId="0" borderId="0" applyFont="0" applyFill="0" applyBorder="0" applyAlignment="0" applyProtection="0"/>
    <xf numFmtId="188" fontId="103" fillId="0" borderId="0" applyFont="0" applyFill="0" applyBorder="0" applyAlignment="0" applyProtection="0"/>
    <xf numFmtId="188" fontId="107" fillId="0" borderId="0"/>
    <xf numFmtId="49" fontId="20" fillId="0" borderId="0" applyProtection="0">
      <alignment horizontal="left"/>
    </xf>
    <xf numFmtId="188" fontId="47" fillId="0" borderId="0">
      <alignment vertical="top"/>
      <protection locked="0"/>
    </xf>
    <xf numFmtId="188" fontId="47" fillId="0" borderId="0">
      <alignment vertical="top"/>
    </xf>
    <xf numFmtId="188" fontId="8" fillId="0" borderId="0" applyNumberFormat="0" applyFill="0" applyBorder="0" applyAlignment="0">
      <protection locked="0"/>
    </xf>
    <xf numFmtId="188" fontId="47" fillId="0" borderId="0">
      <alignment vertical="top"/>
      <protection locked="0"/>
    </xf>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47" fillId="0" borderId="0">
      <alignment vertical="top"/>
      <protection locked="0"/>
    </xf>
    <xf numFmtId="188" fontId="47" fillId="0" borderId="0">
      <alignment vertical="top"/>
      <protection locked="0"/>
    </xf>
    <xf numFmtId="188" fontId="47" fillId="0" borderId="0">
      <alignment vertical="top"/>
      <protection locked="0"/>
    </xf>
    <xf numFmtId="188" fontId="47" fillId="0" borderId="0">
      <alignment vertical="top"/>
      <protection locked="0"/>
    </xf>
    <xf numFmtId="188" fontId="8" fillId="0" borderId="0" applyNumberFormat="0" applyFill="0" applyBorder="0" applyAlignment="0">
      <protection locked="0"/>
    </xf>
    <xf numFmtId="188" fontId="108" fillId="0" borderId="0"/>
    <xf numFmtId="188" fontId="108" fillId="0" borderId="0"/>
    <xf numFmtId="188" fontId="108" fillId="0" borderId="0"/>
    <xf numFmtId="188" fontId="108" fillId="0" borderId="0"/>
    <xf numFmtId="188" fontId="108" fillId="0" borderId="0"/>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108" fillId="0" borderId="0"/>
    <xf numFmtId="188" fontId="108" fillId="0" borderId="0"/>
    <xf numFmtId="188" fontId="108" fillId="0" borderId="0"/>
    <xf numFmtId="188" fontId="108" fillId="0" borderId="0"/>
    <xf numFmtId="188" fontId="108" fillId="0" borderId="0"/>
    <xf numFmtId="188" fontId="47" fillId="0" borderId="0">
      <alignment vertical="top"/>
    </xf>
    <xf numFmtId="188" fontId="108" fillId="0" borderId="0"/>
    <xf numFmtId="188" fontId="108" fillId="0" borderId="0"/>
    <xf numFmtId="188" fontId="108" fillId="0" borderId="0"/>
    <xf numFmtId="188" fontId="108" fillId="0" borderId="0"/>
    <xf numFmtId="188" fontId="108" fillId="0" borderId="0"/>
    <xf numFmtId="188" fontId="47" fillId="0" borderId="0">
      <alignment vertical="top"/>
    </xf>
    <xf numFmtId="188" fontId="8" fillId="0" borderId="0" applyNumberFormat="0" applyFill="0" applyBorder="0" applyAlignment="0" applyProtection="0"/>
    <xf numFmtId="188" fontId="47" fillId="0" borderId="0">
      <alignment vertical="top"/>
      <protection locked="0"/>
    </xf>
    <xf numFmtId="188" fontId="47" fillId="0" borderId="0">
      <alignment vertical="top"/>
      <protection locked="0"/>
    </xf>
    <xf numFmtId="188" fontId="47" fillId="0" borderId="0">
      <alignment vertical="top"/>
      <protection locked="0"/>
    </xf>
    <xf numFmtId="188" fontId="47" fillId="0" borderId="0">
      <alignment vertical="top"/>
    </xf>
    <xf numFmtId="188" fontId="47" fillId="0" borderId="0">
      <alignment vertical="top"/>
    </xf>
    <xf numFmtId="188" fontId="22" fillId="0" borderId="0"/>
    <xf numFmtId="188" fontId="47" fillId="0" borderId="0">
      <alignment vertical="top"/>
    </xf>
    <xf numFmtId="188" fontId="47" fillId="0" borderId="0">
      <alignment vertical="top"/>
      <protection locked="0"/>
    </xf>
    <xf numFmtId="188" fontId="108" fillId="0" borderId="0"/>
    <xf numFmtId="188" fontId="108" fillId="0" borderId="0"/>
    <xf numFmtId="188" fontId="108" fillId="0" borderId="0"/>
    <xf numFmtId="188" fontId="108" fillId="0" borderId="0"/>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108" fillId="0" borderId="0"/>
    <xf numFmtId="188" fontId="47" fillId="0" borderId="0">
      <alignment vertical="top"/>
      <protection locked="0"/>
    </xf>
    <xf numFmtId="188" fontId="47" fillId="0" borderId="0">
      <alignment vertical="top"/>
      <protection locked="0"/>
    </xf>
    <xf numFmtId="188" fontId="47" fillId="0" borderId="0">
      <alignment vertical="top"/>
    </xf>
    <xf numFmtId="188" fontId="47" fillId="0" borderId="0">
      <alignment vertical="top"/>
    </xf>
    <xf numFmtId="188" fontId="47" fillId="0" borderId="0">
      <alignment vertical="top"/>
    </xf>
    <xf numFmtId="188" fontId="47" fillId="0" borderId="0">
      <alignment vertical="top"/>
    </xf>
    <xf numFmtId="188" fontId="47" fillId="0" borderId="0">
      <alignment vertical="top"/>
      <protection locked="0"/>
    </xf>
    <xf numFmtId="188" fontId="108" fillId="0" borderId="0"/>
    <xf numFmtId="188" fontId="47" fillId="0" borderId="0">
      <alignment vertical="top"/>
      <protection locked="0"/>
    </xf>
    <xf numFmtId="188" fontId="47" fillId="0" borderId="0">
      <alignment vertical="top"/>
      <protection locked="0"/>
    </xf>
    <xf numFmtId="188" fontId="47" fillId="0" borderId="0">
      <alignment vertical="top"/>
      <protection locked="0"/>
    </xf>
    <xf numFmtId="188" fontId="47" fillId="0" borderId="0">
      <alignment vertical="top"/>
    </xf>
    <xf numFmtId="188" fontId="47" fillId="0" borderId="0">
      <alignment vertical="top"/>
      <protection locked="0"/>
    </xf>
    <xf numFmtId="188" fontId="47" fillId="0" borderId="0">
      <alignment vertical="top"/>
    </xf>
    <xf numFmtId="188" fontId="47" fillId="0" borderId="0">
      <alignment vertical="top"/>
      <protection locked="0"/>
    </xf>
    <xf numFmtId="188" fontId="108" fillId="0" borderId="0"/>
    <xf numFmtId="188" fontId="47" fillId="0" borderId="0">
      <alignment vertical="top"/>
      <protection locked="0"/>
    </xf>
    <xf numFmtId="188" fontId="108" fillId="0" borderId="0"/>
    <xf numFmtId="188" fontId="22" fillId="0" borderId="0"/>
    <xf numFmtId="204" fontId="12" fillId="0" borderId="0" applyFont="0" applyFill="0" applyBorder="0" applyAlignment="0" applyProtection="0"/>
    <xf numFmtId="188" fontId="109" fillId="0" borderId="2">
      <alignment horizontal="center"/>
    </xf>
    <xf numFmtId="188" fontId="110" fillId="0" borderId="0"/>
    <xf numFmtId="188" fontId="110" fillId="0" borderId="12" applyFill="0">
      <alignment horizontal="center"/>
      <protection locked="0"/>
    </xf>
    <xf numFmtId="188" fontId="109" fillId="0" borderId="0" applyFill="0">
      <alignment horizontal="center"/>
      <protection locked="0"/>
    </xf>
    <xf numFmtId="188" fontId="109" fillId="34" borderId="0"/>
    <xf numFmtId="188" fontId="109" fillId="0" borderId="0">
      <protection locked="0"/>
    </xf>
    <xf numFmtId="188" fontId="109" fillId="0" borderId="0"/>
    <xf numFmtId="205" fontId="109" fillId="0" borderId="0"/>
    <xf numFmtId="206" fontId="109" fillId="0" borderId="0"/>
    <xf numFmtId="188" fontId="110" fillId="35" borderId="0">
      <alignment horizontal="right"/>
    </xf>
    <xf numFmtId="188" fontId="109" fillId="0" borderId="0"/>
    <xf numFmtId="188" fontId="111" fillId="36" borderId="0" applyNumberFormat="0" applyBorder="0" applyAlignment="0" applyProtection="0"/>
    <xf numFmtId="188" fontId="111" fillId="36" borderId="0" applyNumberFormat="0" applyBorder="0" applyAlignment="0" applyProtection="0"/>
    <xf numFmtId="188" fontId="112" fillId="37" borderId="0" applyNumberFormat="0" applyBorder="0" applyAlignment="0" applyProtection="0"/>
    <xf numFmtId="188" fontId="111" fillId="38" borderId="0" applyNumberFormat="0" applyBorder="0" applyAlignment="0" applyProtection="0"/>
    <xf numFmtId="188" fontId="111" fillId="39" borderId="0" applyNumberFormat="0" applyBorder="0" applyAlignment="0" applyProtection="0"/>
    <xf numFmtId="188" fontId="112" fillId="40" borderId="0" applyNumberFormat="0" applyBorder="0" applyAlignment="0" applyProtection="0"/>
    <xf numFmtId="188" fontId="111" fillId="38" borderId="0" applyNumberFormat="0" applyBorder="0" applyAlignment="0" applyProtection="0"/>
    <xf numFmtId="188" fontId="111" fillId="41" borderId="0" applyNumberFormat="0" applyBorder="0" applyAlignment="0" applyProtection="0"/>
    <xf numFmtId="188" fontId="112" fillId="39" borderId="0" applyNumberFormat="0" applyBorder="0" applyAlignment="0" applyProtection="0"/>
    <xf numFmtId="188" fontId="111" fillId="36" borderId="0" applyNumberFormat="0" applyBorder="0" applyAlignment="0" applyProtection="0"/>
    <xf numFmtId="188" fontId="111" fillId="39" borderId="0" applyNumberFormat="0" applyBorder="0" applyAlignment="0" applyProtection="0"/>
    <xf numFmtId="188" fontId="112" fillId="39" borderId="0" applyNumberFormat="0" applyBorder="0" applyAlignment="0" applyProtection="0"/>
    <xf numFmtId="188" fontId="111" fillId="42" borderId="0" applyNumberFormat="0" applyBorder="0" applyAlignment="0" applyProtection="0"/>
    <xf numFmtId="188" fontId="111" fillId="36" borderId="0" applyNumberFormat="0" applyBorder="0" applyAlignment="0" applyProtection="0"/>
    <xf numFmtId="188" fontId="112" fillId="37" borderId="0" applyNumberFormat="0" applyBorder="0" applyAlignment="0" applyProtection="0"/>
    <xf numFmtId="188" fontId="111" fillId="38" borderId="0" applyNumberFormat="0" applyBorder="0" applyAlignment="0" applyProtection="0"/>
    <xf numFmtId="188" fontId="111" fillId="43" borderId="0" applyNumberFormat="0" applyBorder="0" applyAlignment="0" applyProtection="0"/>
    <xf numFmtId="188" fontId="112" fillId="43" borderId="0" applyNumberFormat="0" applyBorder="0" applyAlignment="0" applyProtection="0"/>
    <xf numFmtId="188" fontId="113" fillId="0" borderId="0">
      <alignment horizontal="center" wrapText="1"/>
      <protection locked="0"/>
    </xf>
    <xf numFmtId="207" fontId="8" fillId="0" borderId="0" applyFill="0" applyBorder="0" applyAlignment="0"/>
    <xf numFmtId="208" fontId="8" fillId="0" borderId="0" applyFill="0" applyBorder="0" applyAlignment="0"/>
    <xf numFmtId="209" fontId="8" fillId="0" borderId="0" applyFill="0" applyBorder="0" applyAlignment="0"/>
    <xf numFmtId="210" fontId="8" fillId="0" borderId="0" applyFill="0" applyBorder="0" applyAlignment="0"/>
    <xf numFmtId="211" fontId="8" fillId="0" borderId="0" applyFill="0" applyBorder="0" applyAlignment="0"/>
    <xf numFmtId="212" fontId="8" fillId="0" borderId="0" applyFill="0" applyBorder="0" applyAlignment="0"/>
    <xf numFmtId="207" fontId="8" fillId="0" borderId="0" applyFill="0" applyBorder="0" applyAlignment="0"/>
    <xf numFmtId="188" fontId="114" fillId="0" borderId="0"/>
    <xf numFmtId="198" fontId="12" fillId="0" borderId="0" applyFont="0" applyFill="0" applyBorder="0" applyAlignment="0" applyProtection="0"/>
    <xf numFmtId="211" fontId="8" fillId="0" borderId="0" applyFont="0" applyFill="0" applyBorder="0" applyAlignment="0" applyProtection="0"/>
    <xf numFmtId="177" fontId="12" fillId="0" borderId="0" applyFont="0" applyFill="0" applyBorder="0" applyAlignment="0" applyProtection="0"/>
    <xf numFmtId="213" fontId="20" fillId="0" borderId="0"/>
    <xf numFmtId="188" fontId="115" fillId="0" borderId="0" applyNumberFormat="0" applyAlignment="0">
      <alignment horizontal="left"/>
    </xf>
    <xf numFmtId="188" fontId="13" fillId="0" borderId="0" applyNumberFormat="0" applyAlignment="0"/>
    <xf numFmtId="198" fontId="26" fillId="0" borderId="0" applyFont="0" applyFill="0" applyBorder="0" applyAlignment="0" applyProtection="0"/>
    <xf numFmtId="207" fontId="8" fillId="0" borderId="0" applyFont="0" applyFill="0" applyBorder="0" applyAlignment="0" applyProtection="0"/>
    <xf numFmtId="214" fontId="20" fillId="0" borderId="0"/>
    <xf numFmtId="215" fontId="8" fillId="0" borderId="0">
      <protection locked="0"/>
    </xf>
    <xf numFmtId="14" fontId="47" fillId="0" borderId="0" applyFill="0" applyBorder="0" applyAlignment="0"/>
    <xf numFmtId="215" fontId="8" fillId="0" borderId="0">
      <protection locked="0"/>
    </xf>
    <xf numFmtId="216" fontId="20" fillId="0" borderId="0"/>
    <xf numFmtId="188" fontId="116" fillId="0" borderId="0" applyNumberFormat="0" applyFill="0" applyBorder="0" applyAlignment="0" applyProtection="0"/>
    <xf numFmtId="211" fontId="8" fillId="0" borderId="0" applyFill="0" applyBorder="0" applyAlignment="0"/>
    <xf numFmtId="207" fontId="8" fillId="0" borderId="0" applyFill="0" applyBorder="0" applyAlignment="0"/>
    <xf numFmtId="211" fontId="8" fillId="0" borderId="0" applyFill="0" applyBorder="0" applyAlignment="0"/>
    <xf numFmtId="212" fontId="8" fillId="0" borderId="0" applyFill="0" applyBorder="0" applyAlignment="0"/>
    <xf numFmtId="207" fontId="8" fillId="0" borderId="0" applyFill="0" applyBorder="0" applyAlignment="0"/>
    <xf numFmtId="188" fontId="117" fillId="0" borderId="0" applyNumberFormat="0" applyAlignment="0">
      <alignment horizontal="left"/>
    </xf>
    <xf numFmtId="215" fontId="8" fillId="0" borderId="0">
      <protection locked="0"/>
    </xf>
    <xf numFmtId="215" fontId="8" fillId="0" borderId="0">
      <protection locked="0"/>
    </xf>
    <xf numFmtId="215" fontId="8" fillId="0" borderId="0">
      <protection locked="0"/>
    </xf>
    <xf numFmtId="215" fontId="8" fillId="0" borderId="0">
      <protection locked="0"/>
    </xf>
    <xf numFmtId="215" fontId="8" fillId="0" borderId="0">
      <protection locked="0"/>
    </xf>
    <xf numFmtId="215" fontId="8" fillId="0" borderId="0">
      <protection locked="0"/>
    </xf>
    <xf numFmtId="215" fontId="8" fillId="0" borderId="0">
      <protection locked="0"/>
    </xf>
    <xf numFmtId="215" fontId="8" fillId="0" borderId="0">
      <protection locked="0"/>
    </xf>
    <xf numFmtId="188" fontId="118" fillId="0" borderId="0">
      <alignment horizontal="left"/>
    </xf>
    <xf numFmtId="215" fontId="8" fillId="0" borderId="0">
      <protection locked="0"/>
    </xf>
    <xf numFmtId="215" fontId="8" fillId="0" borderId="0">
      <protection locked="0"/>
    </xf>
    <xf numFmtId="195" fontId="119" fillId="44" borderId="0"/>
    <xf numFmtId="211" fontId="8" fillId="0" borderId="0" applyFill="0" applyBorder="0" applyAlignment="0"/>
    <xf numFmtId="207" fontId="8" fillId="0" borderId="0" applyFill="0" applyBorder="0" applyAlignment="0"/>
    <xf numFmtId="211" fontId="8" fillId="0" borderId="0" applyFill="0" applyBorder="0" applyAlignment="0"/>
    <xf numFmtId="212" fontId="8" fillId="0" borderId="0" applyFill="0" applyBorder="0" applyAlignment="0"/>
    <xf numFmtId="207" fontId="8" fillId="0" borderId="0" applyFill="0" applyBorder="0" applyAlignment="0"/>
    <xf numFmtId="195" fontId="120" fillId="45" borderId="0"/>
    <xf numFmtId="188" fontId="8" fillId="0" borderId="0" applyFont="0" applyFill="0" applyBorder="0" applyAlignment="0" applyProtection="0"/>
    <xf numFmtId="188" fontId="8" fillId="0" borderId="0" applyFont="0" applyFill="0" applyBorder="0" applyAlignment="0" applyProtection="0"/>
    <xf numFmtId="188" fontId="121" fillId="0" borderId="12"/>
    <xf numFmtId="188" fontId="8" fillId="0" borderId="0" applyFont="0" applyFill="0" applyBorder="0" applyAlignment="0" applyProtection="0"/>
    <xf numFmtId="188" fontId="8" fillId="0" borderId="0" applyFont="0" applyFill="0" applyBorder="0" applyAlignment="0" applyProtection="0"/>
    <xf numFmtId="188" fontId="20" fillId="0" borderId="0"/>
    <xf numFmtId="188" fontId="12" fillId="0" borderId="0"/>
    <xf numFmtId="217" fontId="12" fillId="0" borderId="0" applyFont="0" applyFill="0" applyBorder="0" applyAlignment="0" applyProtection="0"/>
    <xf numFmtId="218" fontId="12" fillId="0" borderId="0" applyFont="0" applyFill="0" applyBorder="0" applyAlignment="0" applyProtection="0"/>
    <xf numFmtId="14" fontId="113" fillId="0" borderId="0">
      <alignment horizontal="center" wrapText="1"/>
      <protection locked="0"/>
    </xf>
    <xf numFmtId="210" fontId="8" fillId="0" borderId="0" applyFont="0" applyFill="0" applyBorder="0" applyAlignment="0" applyProtection="0"/>
    <xf numFmtId="191" fontId="8" fillId="0" borderId="0" applyFont="0" applyFill="0" applyBorder="0" applyAlignment="0" applyProtection="0"/>
    <xf numFmtId="9" fontId="108" fillId="0" borderId="0" applyFont="0" applyFill="0" applyBorder="0" applyAlignment="0" applyProtection="0"/>
    <xf numFmtId="13" fontId="8" fillId="0" borderId="0" applyFont="0" applyFill="0" applyProtection="0"/>
    <xf numFmtId="211" fontId="8" fillId="0" borderId="0" applyFill="0" applyBorder="0" applyAlignment="0"/>
    <xf numFmtId="207" fontId="8" fillId="0" borderId="0" applyFill="0" applyBorder="0" applyAlignment="0"/>
    <xf numFmtId="211" fontId="8" fillId="0" borderId="0" applyFill="0" applyBorder="0" applyAlignment="0"/>
    <xf numFmtId="212" fontId="8" fillId="0" borderId="0" applyFill="0" applyBorder="0" applyAlignment="0"/>
    <xf numFmtId="207" fontId="8" fillId="0" borderId="0" applyFill="0" applyBorder="0" applyAlignment="0"/>
    <xf numFmtId="219" fontId="122" fillId="0" borderId="0"/>
    <xf numFmtId="188" fontId="78" fillId="0" borderId="0" applyNumberFormat="0" applyFont="0" applyFill="0" applyBorder="0" applyAlignment="0" applyProtection="0">
      <alignment horizontal="left"/>
    </xf>
    <xf numFmtId="188" fontId="7" fillId="0" borderId="12">
      <alignment horizontal="center"/>
    </xf>
    <xf numFmtId="220" fontId="22" fillId="0" borderId="0" applyNumberFormat="0" applyFill="0" applyBorder="0" applyAlignment="0" applyProtection="0">
      <alignment horizontal="left"/>
    </xf>
    <xf numFmtId="176" fontId="20" fillId="0" borderId="0" applyFont="0" applyFill="0" applyBorder="0" applyAlignment="0" applyProtection="0"/>
    <xf numFmtId="188" fontId="52" fillId="46" borderId="0">
      <alignment horizontal="left" vertical="center"/>
    </xf>
    <xf numFmtId="188" fontId="52" fillId="46" borderId="0">
      <alignment horizontal="right" vertical="center"/>
    </xf>
    <xf numFmtId="4" fontId="123" fillId="29" borderId="28" applyNumberFormat="0" applyProtection="0">
      <alignment vertical="center"/>
    </xf>
    <xf numFmtId="4" fontId="124" fillId="47" borderId="28" applyNumberFormat="0" applyProtection="0">
      <alignment vertical="center"/>
    </xf>
    <xf numFmtId="4" fontId="123" fillId="47" borderId="28" applyNumberFormat="0" applyProtection="0">
      <alignment horizontal="left" vertical="center" indent="1"/>
    </xf>
    <xf numFmtId="188" fontId="123" fillId="47" borderId="28" applyNumberFormat="0" applyProtection="0">
      <alignment horizontal="left" vertical="top" indent="1"/>
    </xf>
    <xf numFmtId="4" fontId="123" fillId="48" borderId="0" applyNumberFormat="0" applyProtection="0">
      <alignment horizontal="left" vertical="center" indent="1"/>
    </xf>
    <xf numFmtId="4" fontId="47" fillId="8" borderId="28" applyNumberFormat="0" applyProtection="0">
      <alignment horizontal="right" vertical="center"/>
    </xf>
    <xf numFmtId="4" fontId="47" fillId="14" borderId="28" applyNumberFormat="0" applyProtection="0">
      <alignment horizontal="right" vertical="center"/>
    </xf>
    <xf numFmtId="4" fontId="47" fillId="22" borderId="28" applyNumberFormat="0" applyProtection="0">
      <alignment horizontal="right" vertical="center"/>
    </xf>
    <xf numFmtId="4" fontId="47" fillId="16" borderId="28" applyNumberFormat="0" applyProtection="0">
      <alignment horizontal="right" vertical="center"/>
    </xf>
    <xf numFmtId="4" fontId="47" fillId="20" borderId="28" applyNumberFormat="0" applyProtection="0">
      <alignment horizontal="right" vertical="center"/>
    </xf>
    <xf numFmtId="4" fontId="47" fillId="24" borderId="28" applyNumberFormat="0" applyProtection="0">
      <alignment horizontal="right" vertical="center"/>
    </xf>
    <xf numFmtId="4" fontId="47" fillId="23" borderId="28" applyNumberFormat="0" applyProtection="0">
      <alignment horizontal="right" vertical="center"/>
    </xf>
    <xf numFmtId="4" fontId="47" fillId="49" borderId="28" applyNumberFormat="0" applyProtection="0">
      <alignment horizontal="right" vertical="center"/>
    </xf>
    <xf numFmtId="4" fontId="47" fillId="15" borderId="28" applyNumberFormat="0" applyProtection="0">
      <alignment horizontal="right" vertical="center"/>
    </xf>
    <xf numFmtId="4" fontId="123" fillId="50" borderId="29" applyNumberFormat="0" applyProtection="0">
      <alignment horizontal="left" vertical="center" indent="1"/>
    </xf>
    <xf numFmtId="4" fontId="47" fillId="51" borderId="0" applyNumberFormat="0" applyProtection="0">
      <alignment horizontal="left" vertical="center" indent="1"/>
    </xf>
    <xf numFmtId="4" fontId="125" fillId="52" borderId="0" applyNumberFormat="0" applyProtection="0">
      <alignment horizontal="left" vertical="center" indent="1"/>
    </xf>
    <xf numFmtId="4" fontId="47" fillId="53" borderId="28" applyNumberFormat="0" applyProtection="0">
      <alignment horizontal="right" vertical="center"/>
    </xf>
    <xf numFmtId="4" fontId="47" fillId="51" borderId="0" applyNumberFormat="0" applyProtection="0">
      <alignment horizontal="left" vertical="center" indent="1"/>
    </xf>
    <xf numFmtId="4" fontId="47" fillId="48" borderId="0" applyNumberFormat="0" applyProtection="0">
      <alignment horizontal="left" vertical="center" indent="1"/>
    </xf>
    <xf numFmtId="188" fontId="8" fillId="52" borderId="28" applyNumberFormat="0" applyProtection="0">
      <alignment horizontal="left" vertical="center" indent="1"/>
    </xf>
    <xf numFmtId="188" fontId="8" fillId="52" borderId="28" applyNumberFormat="0" applyProtection="0">
      <alignment horizontal="left" vertical="top" indent="1"/>
    </xf>
    <xf numFmtId="188" fontId="8" fillId="48" borderId="28" applyNumberFormat="0" applyProtection="0">
      <alignment horizontal="left" vertical="center" indent="1"/>
    </xf>
    <xf numFmtId="188" fontId="8" fillId="48" borderId="28" applyNumberFormat="0" applyProtection="0">
      <alignment horizontal="left" vertical="top" indent="1"/>
    </xf>
    <xf numFmtId="188" fontId="8" fillId="54" borderId="28" applyNumberFormat="0" applyProtection="0">
      <alignment horizontal="left" vertical="center" indent="1"/>
    </xf>
    <xf numFmtId="188" fontId="8" fillId="54" borderId="28" applyNumberFormat="0" applyProtection="0">
      <alignment horizontal="left" vertical="top" indent="1"/>
    </xf>
    <xf numFmtId="188" fontId="8" fillId="55" borderId="28" applyNumberFormat="0" applyProtection="0">
      <alignment horizontal="left" vertical="center" indent="1"/>
    </xf>
    <xf numFmtId="188" fontId="8" fillId="55" borderId="28" applyNumberFormat="0" applyProtection="0">
      <alignment horizontal="left" vertical="top" indent="1"/>
    </xf>
    <xf numFmtId="4" fontId="47" fillId="3" borderId="28" applyNumberFormat="0" applyProtection="0">
      <alignment vertical="center"/>
    </xf>
    <xf numFmtId="4" fontId="126" fillId="3" borderId="28" applyNumberFormat="0" applyProtection="0">
      <alignment vertical="center"/>
    </xf>
    <xf numFmtId="4" fontId="47" fillId="3" borderId="28" applyNumberFormat="0" applyProtection="0">
      <alignment horizontal="left" vertical="center" indent="1"/>
    </xf>
    <xf numFmtId="188" fontId="47" fillId="3" borderId="28" applyNumberFormat="0" applyProtection="0">
      <alignment horizontal="left" vertical="top" indent="1"/>
    </xf>
    <xf numFmtId="4" fontId="47" fillId="51" borderId="28" applyNumberFormat="0" applyProtection="0">
      <alignment horizontal="right" vertical="center"/>
    </xf>
    <xf numFmtId="4" fontId="126" fillId="51" borderId="28" applyNumberFormat="0" applyProtection="0">
      <alignment horizontal="right" vertical="center"/>
    </xf>
    <xf numFmtId="4" fontId="47" fillId="53" borderId="28" applyNumberFormat="0" applyProtection="0">
      <alignment horizontal="left" vertical="center" indent="1"/>
    </xf>
    <xf numFmtId="188" fontId="47" fillId="48" borderId="28" applyNumberFormat="0" applyProtection="0">
      <alignment horizontal="left" vertical="top" indent="1"/>
    </xf>
    <xf numFmtId="4" fontId="127" fillId="44" borderId="0" applyNumberFormat="0" applyProtection="0">
      <alignment horizontal="left" vertical="center" indent="1"/>
    </xf>
    <xf numFmtId="4" fontId="128" fillId="51" borderId="28" applyNumberFormat="0" applyProtection="0">
      <alignment horizontal="right" vertical="center"/>
    </xf>
    <xf numFmtId="177" fontId="10" fillId="0" borderId="3"/>
    <xf numFmtId="188" fontId="90" fillId="0" borderId="0"/>
    <xf numFmtId="188" fontId="121" fillId="0" borderId="0"/>
    <xf numFmtId="40" fontId="129" fillId="0" borderId="0" applyBorder="0">
      <alignment horizontal="right"/>
    </xf>
    <xf numFmtId="49" fontId="47" fillId="0" borderId="0" applyFill="0" applyBorder="0" applyAlignment="0"/>
    <xf numFmtId="221" fontId="47" fillId="0" borderId="0" applyFill="0" applyBorder="0" applyAlignment="0"/>
    <xf numFmtId="222" fontId="8" fillId="0" borderId="0" applyFill="0" applyBorder="0" applyAlignment="0"/>
    <xf numFmtId="223" fontId="8" fillId="0" borderId="0" applyFont="0" applyFill="0" applyBorder="0" applyAlignment="0" applyProtection="0"/>
    <xf numFmtId="224" fontId="8" fillId="0" borderId="0" applyFont="0" applyFill="0" applyBorder="0" applyAlignment="0" applyProtection="0"/>
    <xf numFmtId="225" fontId="12" fillId="0" borderId="0" applyFont="0" applyFill="0" applyBorder="0" applyAlignment="0" applyProtection="0"/>
    <xf numFmtId="226" fontId="12" fillId="0" borderId="0" applyFont="0" applyFill="0" applyBorder="0" applyAlignment="0" applyProtection="0"/>
    <xf numFmtId="188" fontId="22" fillId="0" borderId="0"/>
    <xf numFmtId="188" fontId="24" fillId="0" borderId="0"/>
    <xf numFmtId="227" fontId="22" fillId="0" borderId="0" applyFont="0" applyFill="0" applyBorder="0" applyAlignment="0" applyProtection="0"/>
    <xf numFmtId="228" fontId="22" fillId="0" borderId="0" applyFont="0" applyFill="0" applyBorder="0" applyAlignment="0" applyProtection="0"/>
    <xf numFmtId="176" fontId="8" fillId="0" borderId="0" applyFont="0" applyFill="0" applyBorder="0" applyAlignment="0" applyProtection="0"/>
    <xf numFmtId="9" fontId="22" fillId="0" borderId="0" applyFont="0" applyFill="0" applyBorder="0" applyAlignment="0" applyProtection="0"/>
    <xf numFmtId="188" fontId="130" fillId="0" borderId="0" applyFont="0" applyFill="0" applyBorder="0" applyAlignment="0" applyProtection="0"/>
    <xf numFmtId="188" fontId="130" fillId="0" borderId="0" applyFont="0" applyFill="0" applyBorder="0" applyAlignment="0" applyProtection="0"/>
    <xf numFmtId="188" fontId="131" fillId="0" borderId="0" applyNumberFormat="0" applyFill="0" applyBorder="0" applyAlignment="0" applyProtection="0"/>
    <xf numFmtId="188" fontId="132" fillId="16" borderId="0" applyNumberFormat="0" applyBorder="0" applyAlignment="0" applyProtection="0">
      <alignment vertical="center"/>
    </xf>
    <xf numFmtId="188" fontId="133" fillId="8" borderId="0" applyNumberFormat="0" applyBorder="0" applyAlignment="0" applyProtection="0">
      <alignment vertical="center"/>
    </xf>
    <xf numFmtId="188" fontId="133" fillId="8" borderId="0" applyNumberFormat="0" applyBorder="0" applyAlignment="0" applyProtection="0">
      <alignment vertical="center"/>
    </xf>
    <xf numFmtId="188" fontId="132" fillId="16" borderId="0" applyNumberFormat="0" applyBorder="0" applyAlignment="0" applyProtection="0">
      <alignment vertical="center"/>
    </xf>
    <xf numFmtId="188" fontId="134" fillId="56" borderId="0" applyNumberFormat="0" applyBorder="0" applyAlignment="0" applyProtection="0"/>
    <xf numFmtId="188" fontId="133" fillId="8" borderId="0" applyNumberFormat="0" applyBorder="0" applyAlignment="0" applyProtection="0">
      <alignment vertical="center"/>
    </xf>
    <xf numFmtId="188" fontId="133" fillId="8" borderId="0" applyNumberFormat="0" applyBorder="0" applyAlignment="0" applyProtection="0">
      <alignment vertical="center"/>
    </xf>
    <xf numFmtId="188" fontId="133" fillId="8" borderId="0" applyNumberFormat="0" applyBorder="0" applyAlignment="0" applyProtection="0">
      <alignment vertical="center"/>
    </xf>
    <xf numFmtId="188" fontId="133" fillId="8" borderId="0" applyNumberFormat="0" applyBorder="0" applyAlignment="0" applyProtection="0">
      <alignment vertical="center"/>
    </xf>
    <xf numFmtId="188" fontId="133" fillId="8" borderId="0" applyNumberFormat="0" applyBorder="0" applyAlignment="0" applyProtection="0">
      <alignment vertical="center"/>
    </xf>
    <xf numFmtId="188" fontId="133" fillId="8" borderId="0" applyNumberFormat="0" applyBorder="0" applyAlignment="0" applyProtection="0">
      <alignment vertical="center"/>
    </xf>
    <xf numFmtId="188" fontId="133" fillId="8" borderId="0" applyNumberFormat="0" applyBorder="0" applyAlignment="0" applyProtection="0">
      <alignment vertical="center"/>
    </xf>
    <xf numFmtId="188" fontId="133" fillId="8"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5" fillId="57" borderId="0" applyNumberFormat="0" applyBorder="0" applyAlignment="0" applyProtection="0">
      <alignment vertical="center"/>
    </xf>
    <xf numFmtId="188" fontId="133" fillId="8" borderId="0" applyNumberFormat="0" applyBorder="0" applyAlignment="0" applyProtection="0">
      <alignment vertical="center"/>
    </xf>
    <xf numFmtId="188" fontId="136" fillId="33" borderId="0" applyNumberFormat="0" applyBorder="0" applyAlignment="0" applyProtection="0">
      <alignment vertical="center"/>
    </xf>
    <xf numFmtId="188" fontId="137" fillId="8" borderId="0" applyNumberFormat="0" applyBorder="0" applyAlignment="0" applyProtection="0">
      <alignment vertical="center"/>
    </xf>
    <xf numFmtId="188" fontId="137" fillId="8"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5" fillId="57"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3" fillId="8" borderId="0" applyNumberFormat="0" applyBorder="0" applyAlignment="0" applyProtection="0">
      <alignment vertical="center"/>
    </xf>
    <xf numFmtId="188" fontId="132" fillId="16" borderId="0" applyNumberFormat="0" applyBorder="0" applyAlignment="0" applyProtection="0">
      <alignment vertical="center"/>
    </xf>
    <xf numFmtId="188" fontId="133" fillId="8"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2" fillId="24" borderId="0" applyNumberFormat="0" applyBorder="0" applyAlignment="0" applyProtection="0">
      <alignment vertical="center"/>
    </xf>
    <xf numFmtId="188" fontId="132" fillId="16" borderId="0" applyNumberFormat="0" applyBorder="0" applyAlignment="0" applyProtection="0">
      <alignment vertical="center"/>
    </xf>
    <xf numFmtId="188" fontId="132" fillId="16" borderId="0" applyNumberFormat="0" applyBorder="0" applyAlignment="0" applyProtection="0">
      <alignment vertical="center"/>
    </xf>
    <xf numFmtId="188" fontId="138" fillId="10" borderId="0" applyNumberFormat="0" applyBorder="0" applyAlignment="0" applyProtection="0">
      <alignment vertical="center"/>
    </xf>
    <xf numFmtId="188" fontId="12" fillId="0" borderId="0">
      <alignment vertical="center"/>
      <protection locked="0"/>
    </xf>
    <xf numFmtId="188" fontId="46" fillId="0" borderId="0"/>
    <xf numFmtId="188" fontId="12" fillId="0" borderId="0"/>
    <xf numFmtId="188" fontId="12" fillId="0" borderId="0">
      <protection locked="0"/>
    </xf>
    <xf numFmtId="188" fontId="17" fillId="0" borderId="0"/>
    <xf numFmtId="188" fontId="12" fillId="0" borderId="0"/>
    <xf numFmtId="188" fontId="102" fillId="0" borderId="0">
      <alignment vertical="center"/>
    </xf>
    <xf numFmtId="188" fontId="139" fillId="0" borderId="0" applyNumberFormat="0" applyFill="0" applyBorder="0" applyAlignment="0" applyProtection="0">
      <alignment vertical="top"/>
      <protection locked="0"/>
    </xf>
    <xf numFmtId="188" fontId="140" fillId="0" borderId="0" applyNumberFormat="0" applyFill="0" applyBorder="0" applyAlignment="0" applyProtection="0">
      <alignment vertical="top"/>
      <protection locked="0"/>
    </xf>
    <xf numFmtId="188" fontId="141" fillId="58" borderId="0" applyNumberFormat="0" applyBorder="0" applyAlignment="0" applyProtection="0">
      <alignment vertical="center"/>
    </xf>
    <xf numFmtId="188" fontId="142" fillId="9" borderId="0" applyNumberFormat="0" applyBorder="0" applyAlignment="0" applyProtection="0">
      <alignment vertical="center"/>
    </xf>
    <xf numFmtId="188" fontId="142" fillId="58" borderId="0" applyNumberFormat="0" applyBorder="0" applyAlignment="0" applyProtection="0">
      <alignment vertical="center"/>
    </xf>
    <xf numFmtId="188" fontId="142" fillId="58" borderId="0" applyNumberFormat="0" applyBorder="0" applyAlignment="0" applyProtection="0">
      <alignment vertical="center"/>
    </xf>
    <xf numFmtId="188" fontId="142" fillId="58" borderId="0" applyNumberFormat="0" applyBorder="0" applyAlignment="0" applyProtection="0">
      <alignment vertical="center"/>
    </xf>
    <xf numFmtId="188" fontId="142" fillId="9" borderId="0" applyNumberFormat="0" applyBorder="0" applyAlignment="0" applyProtection="0">
      <alignment vertical="center"/>
    </xf>
    <xf numFmtId="188" fontId="141" fillId="58" borderId="0" applyNumberFormat="0" applyBorder="0" applyAlignment="0" applyProtection="0">
      <alignment vertical="center"/>
    </xf>
    <xf numFmtId="188" fontId="143" fillId="41" borderId="0" applyNumberFormat="0" applyBorder="0" applyAlignment="0" applyProtection="0"/>
    <xf numFmtId="188" fontId="142" fillId="9" borderId="0" applyNumberFormat="0" applyBorder="0" applyAlignment="0" applyProtection="0">
      <alignment vertical="center"/>
    </xf>
    <xf numFmtId="188" fontId="142" fillId="9" borderId="0" applyNumberFormat="0" applyBorder="0" applyAlignment="0" applyProtection="0">
      <alignment vertical="center"/>
    </xf>
    <xf numFmtId="188" fontId="142" fillId="9" borderId="0" applyNumberFormat="0" applyBorder="0" applyAlignment="0" applyProtection="0">
      <alignment vertical="center"/>
    </xf>
    <xf numFmtId="188" fontId="142" fillId="9" borderId="0" applyNumberFormat="0" applyBorder="0" applyAlignment="0" applyProtection="0">
      <alignment vertical="center"/>
    </xf>
    <xf numFmtId="188" fontId="142" fillId="9" borderId="0" applyNumberFormat="0" applyBorder="0" applyAlignment="0" applyProtection="0">
      <alignment vertical="center"/>
    </xf>
    <xf numFmtId="188" fontId="142" fillId="9" borderId="0" applyNumberFormat="0" applyBorder="0" applyAlignment="0" applyProtection="0">
      <alignment vertical="center"/>
    </xf>
    <xf numFmtId="188" fontId="142" fillId="9" borderId="0" applyNumberFormat="0" applyBorder="0" applyAlignment="0" applyProtection="0">
      <alignment vertical="center"/>
    </xf>
    <xf numFmtId="188" fontId="142" fillId="9" borderId="0" applyNumberFormat="0" applyBorder="0" applyAlignment="0" applyProtection="0">
      <alignment vertical="center"/>
    </xf>
    <xf numFmtId="188" fontId="142" fillId="58" borderId="0" applyNumberFormat="0" applyBorder="0" applyAlignment="0" applyProtection="0">
      <alignment vertical="center"/>
    </xf>
    <xf numFmtId="188" fontId="141" fillId="58" borderId="0" applyNumberFormat="0" applyBorder="0" applyAlignment="0" applyProtection="0">
      <alignment vertical="center"/>
    </xf>
    <xf numFmtId="188" fontId="142" fillId="9" borderId="0" applyNumberFormat="0" applyBorder="0" applyAlignment="0" applyProtection="0">
      <alignment vertical="center"/>
    </xf>
    <xf numFmtId="188" fontId="144" fillId="32" borderId="0" applyNumberFormat="0" applyBorder="0" applyAlignment="0" applyProtection="0">
      <alignment vertical="center"/>
    </xf>
    <xf numFmtId="188" fontId="145" fillId="9" borderId="0" applyNumberFormat="0" applyBorder="0" applyAlignment="0" applyProtection="0">
      <alignment vertical="center"/>
    </xf>
    <xf numFmtId="188" fontId="143" fillId="9" borderId="0" applyNumberFormat="0" applyBorder="0" applyAlignment="0" applyProtection="0">
      <alignment vertical="center"/>
    </xf>
    <xf numFmtId="188" fontId="141" fillId="58" borderId="0" applyNumberFormat="0" applyBorder="0" applyAlignment="0" applyProtection="0">
      <alignment vertical="center"/>
    </xf>
    <xf numFmtId="188" fontId="142" fillId="58" borderId="0" applyNumberFormat="0" applyBorder="0" applyAlignment="0" applyProtection="0">
      <alignment vertical="center"/>
    </xf>
    <xf numFmtId="188" fontId="141" fillId="58" borderId="0" applyNumberFormat="0" applyBorder="0" applyAlignment="0" applyProtection="0">
      <alignment vertical="center"/>
    </xf>
    <xf numFmtId="188" fontId="141" fillId="58" borderId="0" applyNumberFormat="0" applyBorder="0" applyAlignment="0" applyProtection="0">
      <alignment vertical="center"/>
    </xf>
    <xf numFmtId="188" fontId="141" fillId="58" borderId="0" applyNumberFormat="0" applyBorder="0" applyAlignment="0" applyProtection="0">
      <alignment vertical="center"/>
    </xf>
    <xf numFmtId="188" fontId="146" fillId="59" borderId="0" applyNumberFormat="0" applyBorder="0" applyAlignment="0" applyProtection="0">
      <alignment vertical="center"/>
    </xf>
    <xf numFmtId="188" fontId="141" fillId="58" borderId="0" applyNumberFormat="0" applyBorder="0" applyAlignment="0" applyProtection="0">
      <alignment vertical="center"/>
    </xf>
    <xf numFmtId="188" fontId="146" fillId="59" borderId="0" applyNumberFormat="0" applyBorder="0" applyAlignment="0" applyProtection="0">
      <alignment vertical="center"/>
    </xf>
    <xf numFmtId="188" fontId="142" fillId="58" borderId="0" applyNumberFormat="0" applyBorder="0" applyAlignment="0" applyProtection="0">
      <alignment vertical="center"/>
    </xf>
    <xf numFmtId="188" fontId="141" fillId="58" borderId="0" applyNumberFormat="0" applyBorder="0" applyAlignment="0" applyProtection="0">
      <alignment vertical="center"/>
    </xf>
    <xf numFmtId="188" fontId="141" fillId="58" borderId="0" applyNumberFormat="0" applyBorder="0" applyAlignment="0" applyProtection="0">
      <alignment vertical="center"/>
    </xf>
    <xf numFmtId="188" fontId="142" fillId="9" borderId="0" applyNumberFormat="0" applyBorder="0" applyAlignment="0" applyProtection="0">
      <alignment vertical="center"/>
    </xf>
    <xf numFmtId="188" fontId="141" fillId="58" borderId="0" applyNumberFormat="0" applyBorder="0" applyAlignment="0" applyProtection="0">
      <alignment vertical="center"/>
    </xf>
    <xf numFmtId="188" fontId="142" fillId="9" borderId="0" applyNumberFormat="0" applyBorder="0" applyAlignment="0" applyProtection="0">
      <alignment vertical="center"/>
    </xf>
    <xf numFmtId="188" fontId="141" fillId="58" borderId="0" applyNumberFormat="0" applyBorder="0" applyAlignment="0" applyProtection="0">
      <alignment vertical="center"/>
    </xf>
    <xf numFmtId="188" fontId="142" fillId="58" borderId="0" applyNumberFormat="0" applyBorder="0" applyAlignment="0" applyProtection="0">
      <alignment vertical="center"/>
    </xf>
    <xf numFmtId="188" fontId="141" fillId="58" borderId="0" applyNumberFormat="0" applyBorder="0" applyAlignment="0" applyProtection="0">
      <alignment vertical="center"/>
    </xf>
    <xf numFmtId="188" fontId="142" fillId="58" borderId="0" applyNumberFormat="0" applyBorder="0" applyAlignment="0" applyProtection="0">
      <alignment vertical="center"/>
    </xf>
    <xf numFmtId="188" fontId="141" fillId="58" borderId="0" applyNumberFormat="0" applyBorder="0" applyAlignment="0" applyProtection="0">
      <alignment vertical="center"/>
    </xf>
    <xf numFmtId="188" fontId="141" fillId="58" borderId="0" applyNumberFormat="0" applyBorder="0" applyAlignment="0" applyProtection="0">
      <alignment vertical="center"/>
    </xf>
    <xf numFmtId="188" fontId="142" fillId="58" borderId="0" applyNumberFormat="0" applyBorder="0" applyAlignment="0" applyProtection="0">
      <alignment vertical="center"/>
    </xf>
    <xf numFmtId="188" fontId="141" fillId="58" borderId="0" applyNumberFormat="0" applyBorder="0" applyAlignment="0" applyProtection="0">
      <alignment vertical="center"/>
    </xf>
    <xf numFmtId="188" fontId="141" fillId="58" borderId="0" applyNumberFormat="0" applyBorder="0" applyAlignment="0" applyProtection="0">
      <alignment vertical="center"/>
    </xf>
    <xf numFmtId="188" fontId="141" fillId="58" borderId="0" applyNumberFormat="0" applyBorder="0" applyAlignment="0" applyProtection="0">
      <alignment vertical="center"/>
    </xf>
    <xf numFmtId="188" fontId="142" fillId="58" borderId="0" applyNumberFormat="0" applyBorder="0" applyAlignment="0" applyProtection="0">
      <alignment vertical="center"/>
    </xf>
    <xf numFmtId="188" fontId="141" fillId="58" borderId="0" applyNumberFormat="0" applyBorder="0" applyAlignment="0" applyProtection="0">
      <alignment vertical="center"/>
    </xf>
    <xf numFmtId="188" fontId="141" fillId="58" borderId="0" applyNumberFormat="0" applyBorder="0" applyAlignment="0" applyProtection="0">
      <alignment vertical="center"/>
    </xf>
    <xf numFmtId="188" fontId="141" fillId="58" borderId="0" applyNumberFormat="0" applyBorder="0" applyAlignment="0" applyProtection="0">
      <alignment vertical="center"/>
    </xf>
    <xf numFmtId="188" fontId="142" fillId="58" borderId="0" applyNumberFormat="0" applyBorder="0" applyAlignment="0" applyProtection="0">
      <alignment vertical="center"/>
    </xf>
    <xf numFmtId="188" fontId="141" fillId="58" borderId="0" applyNumberFormat="0" applyBorder="0" applyAlignment="0" applyProtection="0">
      <alignment vertical="center"/>
    </xf>
    <xf numFmtId="188" fontId="142" fillId="60" borderId="0" applyNumberFormat="0" applyBorder="0" applyAlignment="0" applyProtection="0">
      <alignment vertical="center"/>
    </xf>
    <xf numFmtId="188" fontId="141" fillId="58" borderId="0" applyNumberFormat="0" applyBorder="0" applyAlignment="0" applyProtection="0">
      <alignment vertical="center"/>
    </xf>
    <xf numFmtId="188" fontId="146" fillId="59" borderId="0" applyNumberFormat="0" applyBorder="0" applyAlignment="0" applyProtection="0">
      <alignment vertical="center"/>
    </xf>
    <xf numFmtId="188" fontId="141" fillId="58" borderId="0" applyNumberFormat="0" applyBorder="0" applyAlignment="0" applyProtection="0">
      <alignment vertical="center"/>
    </xf>
    <xf numFmtId="188" fontId="146" fillId="59" borderId="0" applyNumberFormat="0" applyBorder="0" applyAlignment="0" applyProtection="0">
      <alignment vertical="center"/>
    </xf>
    <xf numFmtId="188" fontId="142" fillId="58" borderId="0" applyNumberFormat="0" applyBorder="0" applyAlignment="0" applyProtection="0">
      <alignment vertical="center"/>
    </xf>
    <xf numFmtId="188" fontId="145" fillId="11" borderId="0" applyNumberFormat="0" applyBorder="0" applyAlignment="0" applyProtection="0">
      <alignment vertical="center"/>
    </xf>
    <xf numFmtId="229" fontId="147" fillId="0" borderId="0" applyFont="0" applyFill="0" applyBorder="0" applyAlignment="0" applyProtection="0"/>
    <xf numFmtId="230" fontId="147" fillId="0" borderId="0" applyFont="0" applyFill="0" applyBorder="0" applyAlignment="0" applyProtection="0"/>
    <xf numFmtId="180" fontId="8" fillId="0" borderId="0" applyFont="0" applyFill="0" applyBorder="0" applyAlignment="0" applyProtection="0"/>
    <xf numFmtId="231" fontId="8" fillId="0" borderId="0" applyFont="0" applyFill="0" applyBorder="0" applyAlignment="0" applyProtection="0"/>
    <xf numFmtId="188" fontId="22" fillId="0" borderId="0"/>
    <xf numFmtId="1" fontId="22" fillId="0" borderId="0"/>
    <xf numFmtId="232" fontId="148" fillId="0" borderId="0" applyFont="0" applyFill="0" applyBorder="0" applyAlignment="0" applyProtection="0"/>
    <xf numFmtId="233" fontId="148" fillId="0" borderId="0" applyFont="0" applyFill="0" applyBorder="0" applyAlignment="0" applyProtection="0"/>
    <xf numFmtId="229" fontId="22" fillId="0" borderId="0" applyFont="0" applyFill="0" applyBorder="0" applyAlignment="0" applyProtection="0"/>
    <xf numFmtId="230" fontId="22" fillId="0" borderId="0" applyFont="0" applyFill="0" applyBorder="0" applyAlignment="0" applyProtection="0"/>
    <xf numFmtId="176" fontId="22" fillId="0" borderId="0" applyFont="0" applyFill="0" applyBorder="0" applyAlignment="0" applyProtection="0"/>
    <xf numFmtId="177" fontId="22" fillId="0" borderId="0" applyFont="0" applyFill="0" applyBorder="0" applyAlignment="0" applyProtection="0"/>
    <xf numFmtId="177" fontId="12" fillId="0" borderId="0" applyFont="0" applyFill="0" applyBorder="0" applyAlignment="0" applyProtection="0"/>
    <xf numFmtId="177" fontId="12" fillId="0" borderId="0" applyFont="0" applyFill="0" applyBorder="0" applyAlignment="0" applyProtection="0">
      <alignment vertical="center"/>
    </xf>
    <xf numFmtId="177" fontId="17" fillId="0" borderId="0" applyFont="0" applyFill="0" applyBorder="0" applyAlignment="0" applyProtection="0"/>
    <xf numFmtId="177" fontId="12" fillId="0" borderId="0" applyFont="0" applyFill="0" applyBorder="0" applyAlignment="0" applyProtection="0"/>
    <xf numFmtId="177" fontId="12" fillId="0" borderId="0" applyFont="0" applyFill="0" applyBorder="0" applyAlignment="0" applyProtection="0"/>
    <xf numFmtId="177" fontId="102" fillId="0" borderId="0" applyFont="0" applyFill="0" applyBorder="0" applyAlignment="0" applyProtection="0">
      <alignment vertical="center"/>
    </xf>
    <xf numFmtId="176" fontId="12" fillId="0" borderId="0" applyFont="0" applyFill="0" applyBorder="0" applyAlignment="0" applyProtection="0"/>
    <xf numFmtId="188" fontId="149" fillId="0" borderId="0"/>
    <xf numFmtId="188" fontId="150" fillId="61" borderId="0" applyNumberFormat="0" applyBorder="0" applyAlignment="0" applyProtection="0"/>
    <xf numFmtId="188" fontId="150" fillId="62" borderId="0" applyNumberFormat="0" applyBorder="0" applyAlignment="0" applyProtection="0"/>
    <xf numFmtId="188" fontId="150" fillId="63" borderId="0" applyNumberFormat="0" applyBorder="0" applyAlignment="0" applyProtection="0"/>
    <xf numFmtId="188" fontId="147" fillId="0" borderId="0"/>
    <xf numFmtId="188" fontId="151" fillId="0" borderId="0"/>
    <xf numFmtId="40" fontId="130" fillId="0" borderId="0" applyFont="0" applyFill="0" applyBorder="0" applyAlignment="0" applyProtection="0"/>
    <xf numFmtId="38" fontId="130" fillId="0" borderId="0" applyFont="0" applyFill="0" applyBorder="0" applyAlignment="0" applyProtection="0"/>
    <xf numFmtId="228" fontId="8" fillId="0" borderId="2" applyNumberFormat="0"/>
    <xf numFmtId="188" fontId="102" fillId="0" borderId="0">
      <alignment vertical="center"/>
    </xf>
    <xf numFmtId="188" fontId="102" fillId="0" borderId="0">
      <alignment vertical="center"/>
    </xf>
    <xf numFmtId="188" fontId="15" fillId="0" borderId="0" applyNumberFormat="0" applyFill="0" applyBorder="0" applyAlignment="0" applyProtection="0">
      <alignment vertical="top"/>
      <protection locked="0"/>
    </xf>
    <xf numFmtId="9" fontId="12" fillId="0" borderId="0" applyFont="0" applyFill="0" applyBorder="0" applyAlignment="0" applyProtection="0"/>
    <xf numFmtId="188" fontId="12" fillId="0" borderId="0">
      <alignment vertical="center"/>
    </xf>
    <xf numFmtId="188" fontId="2" fillId="0" borderId="0">
      <alignment vertical="center"/>
    </xf>
    <xf numFmtId="43" fontId="12" fillId="0" borderId="0" applyFont="0" applyFill="0" applyBorder="0" applyAlignment="0" applyProtection="0">
      <alignment vertical="center"/>
    </xf>
    <xf numFmtId="188" fontId="2" fillId="0" borderId="0">
      <alignment vertical="center"/>
    </xf>
    <xf numFmtId="188" fontId="46" fillId="0" borderId="0"/>
    <xf numFmtId="188" fontId="2" fillId="0" borderId="0">
      <alignment vertical="center"/>
    </xf>
    <xf numFmtId="9" fontId="12" fillId="0" borderId="0" applyFont="0" applyFill="0" applyBorder="0" applyAlignment="0" applyProtection="0">
      <alignment vertical="center"/>
    </xf>
    <xf numFmtId="188" fontId="12" fillId="0" borderId="0">
      <alignment vertical="center"/>
    </xf>
    <xf numFmtId="188" fontId="22" fillId="0" borderId="0"/>
    <xf numFmtId="43" fontId="12" fillId="0" borderId="0" applyFont="0" applyFill="0" applyBorder="0" applyAlignment="0" applyProtection="0"/>
    <xf numFmtId="188" fontId="46" fillId="0" borderId="0"/>
    <xf numFmtId="188" fontId="12" fillId="0" borderId="0">
      <protection locked="0"/>
    </xf>
    <xf numFmtId="188" fontId="8" fillId="0" borderId="0"/>
    <xf numFmtId="9" fontId="17" fillId="0" borderId="0" applyFont="0" applyFill="0" applyBorder="0" applyAlignment="0" applyProtection="0">
      <alignment vertical="center"/>
    </xf>
    <xf numFmtId="188" fontId="12" fillId="0" borderId="0">
      <protection locked="0"/>
    </xf>
    <xf numFmtId="177" fontId="12" fillId="0" borderId="0" applyFont="0" applyFill="0" applyBorder="0" applyAlignment="0" applyProtection="0">
      <alignment vertical="center"/>
    </xf>
    <xf numFmtId="188" fontId="1" fillId="0" borderId="0">
      <alignment vertical="center"/>
    </xf>
    <xf numFmtId="0" fontId="12" fillId="0" borderId="0">
      <alignment vertical="center"/>
    </xf>
  </cellStyleXfs>
  <cellXfs count="412">
    <xf numFmtId="188" fontId="0" fillId="0" borderId="0" xfId="0">
      <protection locked="0"/>
    </xf>
    <xf numFmtId="188" fontId="19" fillId="0" borderId="0" xfId="0" applyFont="1" applyAlignment="1">
      <alignment horizontal="justify" wrapText="1"/>
      <protection locked="0"/>
    </xf>
    <xf numFmtId="188" fontId="19" fillId="0" borderId="0" xfId="0" applyFont="1" applyAlignment="1">
      <alignment horizontal="justify" vertical="top" wrapText="1"/>
      <protection locked="0"/>
    </xf>
    <xf numFmtId="188" fontId="0" fillId="0" borderId="0" xfId="0" applyAlignment="1">
      <alignment vertical="center"/>
      <protection locked="0"/>
    </xf>
    <xf numFmtId="188" fontId="26" fillId="0" borderId="0" xfId="0" applyFont="1" applyAlignment="1">
      <alignment vertical="center"/>
      <protection locked="0"/>
    </xf>
    <xf numFmtId="188" fontId="27" fillId="0" borderId="0" xfId="0" applyFont="1" applyAlignment="1">
      <alignment horizontal="justify" wrapText="1"/>
      <protection locked="0"/>
    </xf>
    <xf numFmtId="188" fontId="26" fillId="0" borderId="0" xfId="0" applyFont="1">
      <protection locked="0"/>
    </xf>
    <xf numFmtId="188" fontId="8" fillId="0" borderId="0" xfId="0" applyFont="1">
      <protection locked="0"/>
    </xf>
    <xf numFmtId="49" fontId="24" fillId="0" borderId="0" xfId="26" applyNumberFormat="1" applyFont="1" applyBorder="1" applyAlignment="1">
      <alignment vertical="center"/>
    </xf>
    <xf numFmtId="188" fontId="12" fillId="0" borderId="0" xfId="0" applyFont="1" applyAlignment="1">
      <alignment horizontal="center" vertical="center"/>
      <protection locked="0"/>
    </xf>
    <xf numFmtId="188" fontId="12" fillId="0" borderId="11" xfId="0" applyFont="1" applyBorder="1" applyAlignment="1">
      <alignment horizontal="center" vertical="center"/>
      <protection locked="0"/>
    </xf>
    <xf numFmtId="188" fontId="17" fillId="0" borderId="0" xfId="0" applyFont="1">
      <protection locked="0"/>
    </xf>
    <xf numFmtId="188" fontId="17" fillId="0" borderId="0" xfId="0" applyFont="1" applyAlignment="1">
      <alignment vertical="center"/>
      <protection locked="0"/>
    </xf>
    <xf numFmtId="188" fontId="36" fillId="0" borderId="2" xfId="0" applyFont="1" applyBorder="1" applyAlignment="1" applyProtection="1">
      <alignment horizontal="center" vertical="center"/>
    </xf>
    <xf numFmtId="188" fontId="36" fillId="0" borderId="2" xfId="0" applyFont="1" applyBorder="1" applyAlignment="1" applyProtection="1">
      <alignment vertical="center"/>
    </xf>
    <xf numFmtId="188" fontId="63" fillId="0" borderId="2" xfId="0" applyFont="1" applyBorder="1" applyAlignment="1" applyProtection="1">
      <alignment vertical="center"/>
    </xf>
    <xf numFmtId="188" fontId="25" fillId="0" borderId="0" xfId="0" applyFont="1" applyAlignment="1">
      <alignment vertical="center"/>
      <protection locked="0"/>
    </xf>
    <xf numFmtId="188" fontId="24" fillId="0" borderId="0" xfId="37" applyFont="1" applyAlignment="1">
      <alignment vertical="center"/>
      <protection locked="0"/>
    </xf>
    <xf numFmtId="188" fontId="25" fillId="0" borderId="0" xfId="37" applyFont="1" applyAlignment="1">
      <alignment vertical="center"/>
      <protection locked="0"/>
    </xf>
    <xf numFmtId="188" fontId="24" fillId="0" borderId="0" xfId="37" applyFont="1" applyAlignment="1">
      <alignment horizontal="right" vertical="center"/>
      <protection locked="0"/>
    </xf>
    <xf numFmtId="188" fontId="69" fillId="0" borderId="0" xfId="27" applyFont="1" applyBorder="1" applyAlignment="1" applyProtection="1">
      <alignment vertical="center"/>
      <protection locked="0"/>
    </xf>
    <xf numFmtId="188" fontId="34" fillId="0" borderId="0" xfId="37" applyFont="1" applyAlignment="1">
      <alignment vertical="center"/>
      <protection locked="0"/>
    </xf>
    <xf numFmtId="188" fontId="105" fillId="0" borderId="0" xfId="37" applyFont="1" applyAlignment="1">
      <alignment vertical="center"/>
      <protection locked="0"/>
    </xf>
    <xf numFmtId="188" fontId="35" fillId="0" borderId="0" xfId="37" applyFont="1" applyAlignment="1">
      <alignment vertical="center"/>
      <protection locked="0"/>
    </xf>
    <xf numFmtId="188" fontId="33" fillId="0" borderId="0" xfId="37" applyFont="1" applyAlignment="1">
      <alignment vertical="center"/>
      <protection locked="0"/>
    </xf>
    <xf numFmtId="188" fontId="45" fillId="0" borderId="0" xfId="37" applyFont="1" applyAlignment="1">
      <alignment vertical="center"/>
      <protection locked="0"/>
    </xf>
    <xf numFmtId="188" fontId="24" fillId="0" borderId="0" xfId="37" applyFont="1" applyAlignment="1">
      <alignment vertical="center" wrapText="1"/>
      <protection locked="0"/>
    </xf>
    <xf numFmtId="188" fontId="12" fillId="0" borderId="0" xfId="37" applyAlignment="1">
      <alignment vertical="center"/>
      <protection locked="0"/>
    </xf>
    <xf numFmtId="188" fontId="37" fillId="0" borderId="0" xfId="37" applyFont="1" applyAlignment="1">
      <alignment vertical="center"/>
      <protection locked="0"/>
    </xf>
    <xf numFmtId="188" fontId="24" fillId="0" borderId="3" xfId="37" applyFont="1" applyBorder="1" applyAlignment="1">
      <alignment vertical="center"/>
      <protection locked="0"/>
    </xf>
    <xf numFmtId="188" fontId="20" fillId="0" borderId="0" xfId="0" applyFont="1" applyAlignment="1">
      <alignment horizontal="justify" wrapText="1"/>
      <protection locked="0"/>
    </xf>
    <xf numFmtId="188" fontId="0" fillId="0" borderId="2" xfId="0" applyBorder="1">
      <protection locked="0"/>
    </xf>
    <xf numFmtId="188" fontId="156" fillId="0" borderId="2" xfId="0" applyFont="1" applyBorder="1" applyAlignment="1" applyProtection="1">
      <alignment vertical="center"/>
    </xf>
    <xf numFmtId="188" fontId="17" fillId="0" borderId="0" xfId="37" applyFont="1" applyAlignment="1">
      <alignment horizontal="right" vertical="center"/>
      <protection locked="0"/>
    </xf>
    <xf numFmtId="188" fontId="24" fillId="4" borderId="0" xfId="0" applyFont="1" applyFill="1" applyAlignment="1">
      <alignment horizontal="justify" vertical="center" wrapText="1"/>
      <protection locked="0"/>
    </xf>
    <xf numFmtId="188" fontId="24" fillId="0" borderId="0" xfId="37" applyFont="1" applyAlignment="1">
      <alignment horizontal="left" vertical="center"/>
      <protection locked="0"/>
    </xf>
    <xf numFmtId="188" fontId="60" fillId="0" borderId="0" xfId="588" applyFont="1" applyFill="1">
      <alignment vertical="center"/>
    </xf>
    <xf numFmtId="188" fontId="62" fillId="0" borderId="0" xfId="588" applyFont="1" applyFill="1">
      <alignment vertical="center"/>
    </xf>
    <xf numFmtId="188" fontId="15" fillId="0" borderId="0" xfId="27" applyNumberFormat="1" applyFill="1" applyAlignment="1" applyProtection="1">
      <alignment vertical="center"/>
    </xf>
    <xf numFmtId="188" fontId="24" fillId="0" borderId="0" xfId="588" applyFont="1" applyFill="1" applyBorder="1" applyAlignment="1" applyProtection="1">
      <alignment vertical="center"/>
      <protection locked="0"/>
    </xf>
    <xf numFmtId="188" fontId="24" fillId="0" borderId="0" xfId="31" applyFont="1" applyFill="1" applyBorder="1" applyAlignment="1">
      <alignment horizontal="left" vertical="center"/>
      <protection locked="0"/>
    </xf>
    <xf numFmtId="188" fontId="24" fillId="0" borderId="0" xfId="588" applyFont="1" applyFill="1" applyBorder="1" applyAlignment="1" applyProtection="1">
      <alignment vertical="center" wrapText="1"/>
      <protection locked="0"/>
    </xf>
    <xf numFmtId="188" fontId="17" fillId="0" borderId="0" xfId="588" applyFont="1" applyFill="1" applyBorder="1" applyAlignment="1" applyProtection="1">
      <alignment vertical="center"/>
      <protection locked="0"/>
    </xf>
    <xf numFmtId="188" fontId="153" fillId="64" borderId="0" xfId="588" applyFont="1" applyFill="1" applyAlignment="1" applyProtection="1">
      <alignment horizontal="center" vertical="center"/>
      <protection locked="0"/>
    </xf>
    <xf numFmtId="49" fontId="24" fillId="0" borderId="3" xfId="588" applyNumberFormat="1" applyFont="1" applyFill="1" applyBorder="1" applyAlignment="1" applyProtection="1">
      <alignment horizontal="center" vertical="center"/>
      <protection locked="0"/>
    </xf>
    <xf numFmtId="188" fontId="154" fillId="0" borderId="3" xfId="588" applyFont="1" applyFill="1" applyBorder="1" applyAlignment="1">
      <alignment horizontal="center" vertical="center" wrapText="1"/>
    </xf>
    <xf numFmtId="188" fontId="153" fillId="64" borderId="0" xfId="588" applyFont="1" applyFill="1" applyAlignment="1" applyProtection="1">
      <alignment horizontal="left" vertical="center"/>
      <protection locked="0"/>
    </xf>
    <xf numFmtId="188" fontId="161" fillId="64" borderId="0" xfId="588" applyFont="1" applyFill="1" applyAlignment="1" applyProtection="1">
      <alignment horizontal="center" vertical="center"/>
      <protection locked="0"/>
    </xf>
    <xf numFmtId="188" fontId="162" fillId="0" borderId="0" xfId="588" applyFont="1" applyFill="1">
      <alignment vertical="center"/>
    </xf>
    <xf numFmtId="188" fontId="51" fillId="0" borderId="0" xfId="588" applyFont="1" applyFill="1" applyAlignment="1" applyProtection="1">
      <alignment horizontal="left" vertical="center"/>
      <protection locked="0"/>
    </xf>
    <xf numFmtId="188" fontId="34" fillId="0" borderId="0" xfId="24" applyFont="1" applyAlignment="1">
      <alignment vertical="center"/>
    </xf>
    <xf numFmtId="188" fontId="18" fillId="0" borderId="0" xfId="37" applyFont="1" applyAlignment="1">
      <alignment vertical="center"/>
      <protection locked="0"/>
    </xf>
    <xf numFmtId="188" fontId="15" fillId="0" borderId="0" xfId="27" applyNumberFormat="1" applyFont="1" applyFill="1" applyAlignment="1" applyProtection="1">
      <alignment vertical="center"/>
    </xf>
    <xf numFmtId="43" fontId="24" fillId="0" borderId="0" xfId="26" applyNumberFormat="1" applyFont="1" applyBorder="1" applyAlignment="1">
      <alignment vertical="center"/>
    </xf>
    <xf numFmtId="188" fontId="17" fillId="0" borderId="0" xfId="37" applyFont="1" applyBorder="1" applyAlignment="1">
      <alignment vertical="center"/>
      <protection locked="0"/>
    </xf>
    <xf numFmtId="188" fontId="24" fillId="0" borderId="0" xfId="37" applyFont="1" applyBorder="1" applyAlignment="1">
      <alignment vertical="center"/>
      <protection locked="0"/>
    </xf>
    <xf numFmtId="188" fontId="25" fillId="0" borderId="0" xfId="37" applyFont="1" applyAlignment="1" applyProtection="1">
      <alignment vertical="center"/>
      <protection locked="0"/>
    </xf>
    <xf numFmtId="188" fontId="24" fillId="0" borderId="3" xfId="37" applyFont="1" applyBorder="1" applyAlignment="1" applyProtection="1">
      <alignment horizontal="center" vertical="center" wrapText="1"/>
      <protection locked="0"/>
    </xf>
    <xf numFmtId="188" fontId="24" fillId="0" borderId="3" xfId="37" applyFont="1" applyBorder="1" applyAlignment="1" applyProtection="1">
      <alignment horizontal="left" vertical="center" wrapText="1"/>
      <protection locked="0"/>
    </xf>
    <xf numFmtId="188" fontId="17" fillId="0" borderId="3" xfId="37" applyFont="1" applyBorder="1" applyAlignment="1" applyProtection="1">
      <alignment horizontal="left" vertical="center" wrapText="1"/>
      <protection locked="0"/>
    </xf>
    <xf numFmtId="43" fontId="24" fillId="0" borderId="3" xfId="589" applyFont="1" applyBorder="1" applyAlignment="1" applyProtection="1">
      <alignment horizontal="right" vertical="center" wrapText="1"/>
      <protection locked="0"/>
    </xf>
    <xf numFmtId="14" fontId="24" fillId="0" borderId="3" xfId="37" applyNumberFormat="1" applyFont="1" applyBorder="1" applyAlignment="1" applyProtection="1">
      <alignment horizontal="center" vertical="center" wrapText="1"/>
      <protection locked="0"/>
    </xf>
    <xf numFmtId="43" fontId="24" fillId="0" borderId="3" xfId="37" applyNumberFormat="1" applyFont="1" applyBorder="1" applyAlignment="1" applyProtection="1">
      <alignment horizontal="center" vertical="center" wrapText="1"/>
      <protection locked="0"/>
    </xf>
    <xf numFmtId="43" fontId="17" fillId="0" borderId="3" xfId="37" applyNumberFormat="1" applyFont="1" applyFill="1" applyBorder="1" applyAlignment="1" applyProtection="1">
      <alignment horizontal="center" vertical="center" wrapText="1"/>
      <protection locked="0"/>
    </xf>
    <xf numFmtId="43" fontId="17" fillId="0" borderId="3" xfId="37" applyNumberFormat="1" applyFont="1" applyBorder="1" applyAlignment="1" applyProtection="1">
      <alignment horizontal="center" vertical="center" wrapText="1"/>
      <protection locked="0"/>
    </xf>
    <xf numFmtId="188" fontId="24" fillId="0" borderId="0" xfId="37" applyFont="1" applyAlignment="1" applyProtection="1">
      <alignment vertical="center"/>
      <protection locked="0"/>
    </xf>
    <xf numFmtId="188" fontId="17" fillId="0" borderId="0" xfId="37" applyFont="1" applyFill="1" applyBorder="1" applyAlignment="1" applyProtection="1">
      <alignment horizontal="left" vertical="center"/>
      <protection locked="0"/>
    </xf>
    <xf numFmtId="188" fontId="24" fillId="0" borderId="0" xfId="37" applyFont="1" applyFill="1" applyBorder="1" applyAlignment="1" applyProtection="1">
      <alignment horizontal="left" vertical="center"/>
      <protection locked="0"/>
    </xf>
    <xf numFmtId="43" fontId="24" fillId="0" borderId="10" xfId="37" applyNumberFormat="1" applyFont="1" applyFill="1" applyBorder="1" applyAlignment="1" applyProtection="1">
      <alignment horizontal="left" vertical="center" wrapText="1"/>
      <protection locked="0"/>
    </xf>
    <xf numFmtId="43" fontId="24" fillId="0" borderId="7" xfId="37" applyNumberFormat="1" applyFont="1" applyBorder="1" applyAlignment="1" applyProtection="1">
      <alignment horizontal="left" vertical="center" wrapText="1"/>
      <protection locked="0"/>
    </xf>
    <xf numFmtId="188" fontId="37" fillId="0" borderId="0" xfId="37" applyFont="1" applyBorder="1" applyAlignment="1" applyProtection="1">
      <alignment horizontal="left" vertical="center"/>
      <protection locked="0"/>
    </xf>
    <xf numFmtId="188" fontId="25" fillId="0" borderId="0" xfId="37" applyFont="1" applyBorder="1" applyAlignment="1" applyProtection="1">
      <alignment horizontal="left" vertical="center"/>
      <protection locked="0"/>
    </xf>
    <xf numFmtId="188" fontId="24" fillId="0" borderId="0" xfId="37" applyFont="1" applyBorder="1" applyAlignment="1" applyProtection="1">
      <alignment vertical="center"/>
      <protection locked="0"/>
    </xf>
    <xf numFmtId="188" fontId="25" fillId="0" borderId="0" xfId="37" applyFont="1" applyBorder="1" applyAlignment="1" applyProtection="1">
      <alignment vertical="center"/>
      <protection locked="0"/>
    </xf>
    <xf numFmtId="188" fontId="24" fillId="0" borderId="7" xfId="37" applyFont="1" applyBorder="1" applyAlignment="1" applyProtection="1">
      <alignment vertical="center"/>
      <protection locked="0"/>
    </xf>
    <xf numFmtId="10" fontId="163" fillId="0" borderId="27" xfId="586" applyNumberFormat="1" applyFont="1" applyFill="1" applyBorder="1" applyAlignment="1" applyProtection="1">
      <alignment horizontal="center" vertical="center"/>
      <protection locked="0"/>
    </xf>
    <xf numFmtId="188" fontId="25" fillId="0" borderId="0" xfId="37" applyFont="1" applyBorder="1" applyAlignment="1" applyProtection="1">
      <alignment horizontal="center" vertical="center" wrapText="1"/>
      <protection locked="0"/>
    </xf>
    <xf numFmtId="188" fontId="17" fillId="0" borderId="0" xfId="25" applyFont="1" applyAlignment="1">
      <alignment horizontal="left" vertical="center"/>
    </xf>
    <xf numFmtId="188" fontId="48" fillId="0" borderId="0" xfId="25" applyFont="1" applyAlignment="1">
      <alignment horizontal="left" vertical="center"/>
    </xf>
    <xf numFmtId="43" fontId="24" fillId="0" borderId="0" xfId="37" applyNumberFormat="1" applyFont="1" applyBorder="1" applyAlignment="1" applyProtection="1">
      <alignment horizontal="left" vertical="center" wrapText="1"/>
      <protection locked="0"/>
    </xf>
    <xf numFmtId="188" fontId="51" fillId="0" borderId="0" xfId="37" applyFont="1" applyBorder="1" applyAlignment="1">
      <alignment vertical="center"/>
      <protection locked="0"/>
    </xf>
    <xf numFmtId="188" fontId="33" fillId="0" borderId="0" xfId="37" applyFont="1" applyBorder="1" applyAlignment="1" applyProtection="1">
      <alignment horizontal="left" vertical="center"/>
      <protection locked="0"/>
    </xf>
    <xf numFmtId="188" fontId="48" fillId="0" borderId="0" xfId="37" applyFont="1" applyBorder="1" applyAlignment="1" applyProtection="1">
      <alignment vertical="center"/>
      <protection locked="0"/>
    </xf>
    <xf numFmtId="188" fontId="33" fillId="0" borderId="0" xfId="37" applyFont="1" applyBorder="1" applyAlignment="1" applyProtection="1">
      <alignment horizontal="right" vertical="center"/>
      <protection locked="0"/>
    </xf>
    <xf numFmtId="188" fontId="37" fillId="0" borderId="0" xfId="37" applyFont="1" applyBorder="1" applyAlignment="1" applyProtection="1">
      <alignment vertical="center"/>
      <protection locked="0"/>
    </xf>
    <xf numFmtId="188" fontId="48" fillId="0" borderId="0" xfId="37" applyFont="1" applyBorder="1" applyAlignment="1">
      <alignment vertical="center"/>
      <protection locked="0"/>
    </xf>
    <xf numFmtId="188" fontId="37" fillId="0" borderId="0" xfId="37" applyFont="1" applyAlignment="1">
      <alignment vertical="center" wrapText="1"/>
      <protection locked="0"/>
    </xf>
    <xf numFmtId="188" fontId="105" fillId="0" borderId="0" xfId="37" applyFont="1" applyAlignment="1" applyProtection="1">
      <alignment vertical="center"/>
      <protection locked="0"/>
    </xf>
    <xf numFmtId="188" fontId="33" fillId="0" borderId="0" xfId="37" applyFont="1" applyAlignment="1" applyProtection="1">
      <alignment vertical="center"/>
      <protection locked="0"/>
    </xf>
    <xf numFmtId="188" fontId="33" fillId="0" borderId="0" xfId="37" applyFont="1" applyAlignment="1" applyProtection="1">
      <protection locked="0"/>
    </xf>
    <xf numFmtId="188" fontId="105" fillId="0" borderId="0" xfId="37" applyFont="1" applyAlignment="1" applyProtection="1">
      <alignment horizontal="left"/>
      <protection locked="0"/>
    </xf>
    <xf numFmtId="188" fontId="33" fillId="0" borderId="0" xfId="37" applyFont="1" applyAlignment="1" applyProtection="1">
      <alignment horizontal="right"/>
      <protection locked="0"/>
    </xf>
    <xf numFmtId="188" fontId="37" fillId="0" borderId="0" xfId="591" applyFont="1" applyAlignment="1" applyProtection="1">
      <alignment vertical="center"/>
      <protection locked="0"/>
    </xf>
    <xf numFmtId="188" fontId="34" fillId="0" borderId="0" xfId="591" applyFont="1" applyAlignment="1" applyProtection="1">
      <alignment horizontal="centerContinuous" vertical="center"/>
      <protection locked="0"/>
    </xf>
    <xf numFmtId="188" fontId="24" fillId="0" borderId="0" xfId="591" applyFont="1" applyAlignment="1" applyProtection="1">
      <alignment vertical="center"/>
      <protection locked="0"/>
    </xf>
    <xf numFmtId="188" fontId="24" fillId="0" borderId="0" xfId="591" applyFont="1" applyBorder="1" applyAlignment="1" applyProtection="1">
      <alignment vertical="center"/>
      <protection locked="0"/>
    </xf>
    <xf numFmtId="188" fontId="60" fillId="0" borderId="0" xfId="591" applyFont="1"/>
    <xf numFmtId="188" fontId="37" fillId="65" borderId="3" xfId="30" applyFont="1" applyFill="1" applyBorder="1" applyAlignment="1">
      <alignment horizontal="center" vertical="center" wrapText="1"/>
    </xf>
    <xf numFmtId="188" fontId="25" fillId="65" borderId="3" xfId="30" applyFont="1" applyFill="1" applyBorder="1" applyAlignment="1">
      <alignment horizontal="center" vertical="center" wrapText="1"/>
    </xf>
    <xf numFmtId="49" fontId="37" fillId="65" borderId="3" xfId="30" applyNumberFormat="1" applyFont="1" applyFill="1" applyBorder="1" applyAlignment="1">
      <alignment horizontal="center" vertical="center"/>
    </xf>
    <xf numFmtId="49" fontId="25" fillId="65" borderId="3" xfId="30" applyNumberFormat="1" applyFont="1" applyFill="1" applyBorder="1" applyAlignment="1">
      <alignment horizontal="center" vertical="center"/>
    </xf>
    <xf numFmtId="188" fontId="25" fillId="65" borderId="3" xfId="30" applyFont="1" applyFill="1" applyBorder="1" applyAlignment="1">
      <alignment horizontal="center" vertical="center"/>
    </xf>
    <xf numFmtId="188" fontId="60" fillId="0" borderId="3" xfId="591" applyFont="1" applyBorder="1" applyAlignment="1" applyProtection="1">
      <alignment horizontal="left" vertical="center"/>
    </xf>
    <xf numFmtId="188" fontId="154" fillId="0" borderId="3" xfId="591" applyFont="1" applyBorder="1" applyAlignment="1" applyProtection="1">
      <alignment horizontal="left" vertical="center"/>
    </xf>
    <xf numFmtId="188" fontId="154" fillId="0" borderId="3" xfId="591" applyFont="1" applyBorder="1" applyAlignment="1" applyProtection="1">
      <alignment horizontal="center" vertical="center"/>
    </xf>
    <xf numFmtId="188" fontId="154" fillId="0" borderId="0" xfId="591" applyFont="1" applyAlignment="1">
      <alignment horizontal="left" vertical="center"/>
    </xf>
    <xf numFmtId="188" fontId="60" fillId="0" borderId="0" xfId="591" applyFont="1" applyBorder="1"/>
    <xf numFmtId="188" fontId="61" fillId="0" borderId="0" xfId="591" applyFont="1"/>
    <xf numFmtId="188" fontId="51" fillId="0" borderId="0" xfId="591" applyFont="1"/>
    <xf numFmtId="188" fontId="62" fillId="0" borderId="0" xfId="591" applyFont="1"/>
    <xf numFmtId="188" fontId="62" fillId="0" borderId="0" xfId="591" applyFont="1" applyBorder="1"/>
    <xf numFmtId="188" fontId="60" fillId="0" borderId="0" xfId="591" applyFont="1" applyAlignment="1">
      <alignment horizontal="left" wrapText="1"/>
    </xf>
    <xf numFmtId="188" fontId="48" fillId="0" borderId="0" xfId="591" applyFont="1"/>
    <xf numFmtId="188" fontId="25" fillId="0" borderId="0" xfId="37" applyFont="1" applyBorder="1" applyAlignment="1">
      <alignment vertical="center"/>
      <protection locked="0"/>
    </xf>
    <xf numFmtId="188" fontId="25" fillId="0" borderId="0" xfId="24" applyFont="1" applyBorder="1" applyAlignment="1">
      <alignment vertical="center"/>
    </xf>
    <xf numFmtId="188" fontId="165" fillId="0" borderId="0" xfId="27" applyNumberFormat="1" applyFont="1" applyFill="1" applyAlignment="1" applyProtection="1">
      <alignment vertical="center"/>
    </xf>
    <xf numFmtId="188" fontId="24" fillId="0" borderId="0" xfId="37" applyFont="1" applyBorder="1">
      <protection locked="0"/>
    </xf>
    <xf numFmtId="188" fontId="24" fillId="0" borderId="0" xfId="37" applyFont="1" applyBorder="1" applyAlignment="1">
      <alignment horizontal="justify" vertical="center" wrapText="1"/>
      <protection locked="0"/>
    </xf>
    <xf numFmtId="188" fontId="61" fillId="0" borderId="0" xfId="37" applyFont="1" applyBorder="1" applyAlignment="1">
      <alignment vertical="center"/>
      <protection locked="0"/>
    </xf>
    <xf numFmtId="188" fontId="24" fillId="66" borderId="0" xfId="37" applyFont="1" applyFill="1" applyBorder="1" applyAlignment="1">
      <alignment vertical="center"/>
      <protection locked="0"/>
    </xf>
    <xf numFmtId="188" fontId="45" fillId="0" borderId="0" xfId="37" applyFont="1" applyBorder="1" applyAlignment="1">
      <alignment vertical="center"/>
      <protection locked="0"/>
    </xf>
    <xf numFmtId="188" fontId="33" fillId="0" borderId="0" xfId="37" applyFont="1" applyBorder="1" applyAlignment="1">
      <alignment vertical="center"/>
      <protection locked="0"/>
    </xf>
    <xf numFmtId="43" fontId="24" fillId="0" borderId="3" xfId="589" applyFont="1" applyBorder="1" applyAlignment="1" applyProtection="1">
      <alignment vertical="center"/>
      <protection locked="0"/>
    </xf>
    <xf numFmtId="43" fontId="24" fillId="65" borderId="3" xfId="589" applyFont="1" applyFill="1" applyBorder="1" applyAlignment="1" applyProtection="1">
      <alignment vertical="center"/>
      <protection locked="0"/>
    </xf>
    <xf numFmtId="188" fontId="17" fillId="0" borderId="3" xfId="37" applyFont="1" applyBorder="1" applyAlignment="1">
      <alignment vertical="center"/>
      <protection locked="0"/>
    </xf>
    <xf numFmtId="188" fontId="17" fillId="0" borderId="3" xfId="37" applyFont="1" applyBorder="1" applyAlignment="1">
      <alignment horizontal="center" vertical="center"/>
      <protection locked="0"/>
    </xf>
    <xf numFmtId="188" fontId="24" fillId="0" borderId="3" xfId="37" applyFont="1" applyBorder="1" applyAlignment="1">
      <alignment horizontal="center" vertical="center"/>
      <protection locked="0"/>
    </xf>
    <xf numFmtId="188" fontId="25" fillId="65" borderId="3" xfId="37" applyFont="1" applyFill="1" applyBorder="1" applyAlignment="1">
      <alignment horizontal="center" vertical="center"/>
      <protection locked="0"/>
    </xf>
    <xf numFmtId="188" fontId="24" fillId="65" borderId="3" xfId="37" applyFont="1" applyFill="1" applyBorder="1" applyAlignment="1">
      <alignment vertical="center"/>
      <protection locked="0"/>
    </xf>
    <xf numFmtId="188" fontId="24" fillId="65" borderId="3" xfId="37" applyFont="1" applyFill="1" applyBorder="1" applyAlignment="1">
      <alignment horizontal="center" vertical="center"/>
      <protection locked="0"/>
    </xf>
    <xf numFmtId="188" fontId="34" fillId="0" borderId="0" xfId="37" applyFont="1" applyBorder="1" applyAlignment="1">
      <alignment horizontal="center" vertical="center"/>
      <protection locked="0"/>
    </xf>
    <xf numFmtId="188" fontId="34" fillId="0" borderId="0" xfId="37" applyFont="1" applyBorder="1" applyAlignment="1">
      <alignment vertical="center"/>
      <protection locked="0"/>
    </xf>
    <xf numFmtId="188" fontId="34" fillId="0" borderId="0" xfId="24" applyFont="1" applyBorder="1" applyAlignment="1">
      <alignment vertical="center"/>
    </xf>
    <xf numFmtId="188" fontId="166" fillId="0" borderId="0" xfId="37" applyNumberFormat="1" applyFont="1" applyFill="1" applyBorder="1" applyAlignment="1" applyProtection="1">
      <alignment vertical="center"/>
    </xf>
    <xf numFmtId="188" fontId="24" fillId="0" borderId="0" xfId="33" applyNumberFormat="1" applyFont="1" applyFill="1" applyBorder="1" applyAlignment="1">
      <alignment vertical="center"/>
    </xf>
    <xf numFmtId="188" fontId="24" fillId="0" borderId="0" xfId="25" applyFont="1" applyBorder="1" applyAlignment="1" applyProtection="1">
      <alignment vertical="center"/>
      <protection locked="0"/>
    </xf>
    <xf numFmtId="188" fontId="37" fillId="0" borderId="0" xfId="25" applyFont="1" applyBorder="1" applyAlignment="1">
      <alignment horizontal="left" vertical="center"/>
    </xf>
    <xf numFmtId="188" fontId="25" fillId="0" borderId="0" xfId="25" applyFont="1" applyBorder="1" applyAlignment="1">
      <alignment horizontal="left" vertical="center"/>
    </xf>
    <xf numFmtId="188" fontId="166" fillId="67" borderId="3" xfId="37" applyNumberFormat="1" applyFont="1" applyFill="1" applyBorder="1" applyAlignment="1" applyProtection="1">
      <alignment horizontal="center" vertical="center" wrapText="1"/>
    </xf>
    <xf numFmtId="43" fontId="166" fillId="67" borderId="3" xfId="37" applyNumberFormat="1" applyFont="1" applyFill="1" applyBorder="1" applyAlignment="1" applyProtection="1">
      <alignment horizontal="center" vertical="center" wrapText="1"/>
    </xf>
    <xf numFmtId="188" fontId="25" fillId="0" borderId="0" xfId="25" applyFont="1" applyBorder="1" applyAlignment="1" applyProtection="1">
      <alignment vertical="center"/>
      <protection locked="0"/>
    </xf>
    <xf numFmtId="43" fontId="166" fillId="0" borderId="0" xfId="37" applyNumberFormat="1" applyFont="1" applyFill="1" applyBorder="1" applyAlignment="1" applyProtection="1">
      <alignment vertical="center" wrapText="1"/>
    </xf>
    <xf numFmtId="188" fontId="25" fillId="0" borderId="0" xfId="33" applyNumberFormat="1" applyFont="1" applyFill="1" applyBorder="1" applyAlignment="1">
      <alignment vertical="center"/>
    </xf>
    <xf numFmtId="188" fontId="159" fillId="0" borderId="3" xfId="37" applyNumberFormat="1" applyFont="1" applyFill="1" applyBorder="1" applyAlignment="1" applyProtection="1">
      <alignment vertical="center" wrapText="1"/>
    </xf>
    <xf numFmtId="43" fontId="167" fillId="0" borderId="3" xfId="589" applyFont="1" applyFill="1" applyBorder="1" applyAlignment="1" applyProtection="1">
      <alignment vertical="center" wrapText="1"/>
    </xf>
    <xf numFmtId="43" fontId="167" fillId="65" borderId="3" xfId="589" applyFont="1" applyFill="1" applyBorder="1" applyAlignment="1" applyProtection="1">
      <alignment horizontal="center" vertical="center" wrapText="1"/>
    </xf>
    <xf numFmtId="188" fontId="25" fillId="0" borderId="0" xfId="25" applyFont="1" applyFill="1" applyBorder="1" applyAlignment="1" applyProtection="1">
      <alignment vertical="center"/>
      <protection locked="0"/>
    </xf>
    <xf numFmtId="188" fontId="159" fillId="0" borderId="7" xfId="37" applyNumberFormat="1" applyFont="1" applyFill="1" applyBorder="1" applyAlignment="1" applyProtection="1">
      <alignment horizontal="left" vertical="center" wrapText="1"/>
    </xf>
    <xf numFmtId="188" fontId="159" fillId="0" borderId="0" xfId="37" applyNumberFormat="1" applyFont="1" applyFill="1" applyBorder="1" applyAlignment="1" applyProtection="1">
      <alignment horizontal="left" vertical="center" wrapText="1"/>
    </xf>
    <xf numFmtId="43" fontId="159" fillId="0" borderId="0" xfId="37" applyNumberFormat="1" applyFont="1" applyFill="1" applyBorder="1" applyAlignment="1" applyProtection="1">
      <alignment vertical="center" wrapText="1"/>
    </xf>
    <xf numFmtId="43" fontId="159" fillId="0" borderId="0" xfId="37" applyNumberFormat="1" applyFont="1" applyFill="1" applyBorder="1" applyAlignment="1" applyProtection="1">
      <alignment horizontal="center" vertical="center" wrapText="1"/>
    </xf>
    <xf numFmtId="188" fontId="168" fillId="67" borderId="3" xfId="37" applyNumberFormat="1" applyFont="1" applyFill="1" applyBorder="1" applyAlignment="1" applyProtection="1">
      <alignment horizontal="center" vertical="center"/>
    </xf>
    <xf numFmtId="188" fontId="167" fillId="0" borderId="3" xfId="37" applyNumberFormat="1" applyFont="1" applyFill="1" applyBorder="1" applyAlignment="1" applyProtection="1">
      <alignment horizontal="center" vertical="center" wrapText="1"/>
    </xf>
    <xf numFmtId="14" fontId="167" fillId="0" borderId="3" xfId="37" applyNumberFormat="1" applyFont="1" applyFill="1" applyBorder="1" applyAlignment="1" applyProtection="1">
      <alignment horizontal="center" vertical="center" wrapText="1"/>
    </xf>
    <xf numFmtId="43" fontId="167" fillId="0" borderId="3" xfId="589" applyFont="1" applyFill="1" applyBorder="1" applyAlignment="1" applyProtection="1">
      <alignment horizontal="center" vertical="center" wrapText="1"/>
    </xf>
    <xf numFmtId="43" fontId="167" fillId="0" borderId="3" xfId="37" applyNumberFormat="1" applyFont="1" applyFill="1" applyBorder="1" applyAlignment="1" applyProtection="1">
      <alignment horizontal="center" vertical="center" wrapText="1"/>
    </xf>
    <xf numFmtId="188" fontId="167" fillId="0" borderId="3" xfId="37" applyNumberFormat="1" applyFont="1" applyFill="1" applyBorder="1" applyAlignment="1" applyProtection="1">
      <alignment horizontal="center" vertical="center"/>
    </xf>
    <xf numFmtId="43" fontId="167" fillId="0" borderId="3" xfId="589" applyFont="1" applyFill="1" applyBorder="1" applyAlignment="1" applyProtection="1">
      <alignment horizontal="center" vertical="center"/>
    </xf>
    <xf numFmtId="188" fontId="159" fillId="0" borderId="0" xfId="37" applyNumberFormat="1" applyFont="1" applyFill="1" applyBorder="1" applyAlignment="1" applyProtection="1">
      <alignment horizontal="center" vertical="center"/>
    </xf>
    <xf numFmtId="188" fontId="53" fillId="0" borderId="0" xfId="37" applyNumberFormat="1" applyFont="1" applyFill="1" applyBorder="1" applyAlignment="1" applyProtection="1">
      <alignment horizontal="center" vertical="center" wrapText="1"/>
    </xf>
    <xf numFmtId="188" fontId="159" fillId="0" borderId="0" xfId="37" applyNumberFormat="1" applyFont="1" applyFill="1" applyBorder="1" applyAlignment="1" applyProtection="1">
      <alignment horizontal="center" vertical="center" wrapText="1"/>
    </xf>
    <xf numFmtId="43" fontId="167" fillId="0" borderId="0" xfId="589" applyFont="1" applyFill="1" applyBorder="1" applyAlignment="1" applyProtection="1">
      <alignment horizontal="center" vertical="center" wrapText="1"/>
    </xf>
    <xf numFmtId="43" fontId="167" fillId="0" borderId="0" xfId="37" applyNumberFormat="1" applyFont="1" applyFill="1" applyBorder="1" applyAlignment="1" applyProtection="1">
      <alignment horizontal="center" vertical="center" wrapText="1"/>
    </xf>
    <xf numFmtId="43" fontId="167" fillId="0" borderId="0" xfId="589" applyFont="1" applyFill="1" applyBorder="1" applyAlignment="1" applyProtection="1">
      <alignment horizontal="center" vertical="center"/>
    </xf>
    <xf numFmtId="188" fontId="24" fillId="0" borderId="0" xfId="25" applyFont="1" applyFill="1" applyBorder="1" applyAlignment="1" applyProtection="1">
      <alignment vertical="center"/>
      <protection locked="0"/>
    </xf>
    <xf numFmtId="9" fontId="167" fillId="0" borderId="3" xfId="37" applyNumberFormat="1" applyFont="1" applyFill="1" applyBorder="1" applyAlignment="1" applyProtection="1">
      <alignment horizontal="center" vertical="center"/>
    </xf>
    <xf numFmtId="188" fontId="167" fillId="0" borderId="8" xfId="37" applyNumberFormat="1" applyFont="1" applyFill="1" applyBorder="1" applyAlignment="1" applyProtection="1">
      <alignment horizontal="center" vertical="center"/>
    </xf>
    <xf numFmtId="188" fontId="170" fillId="65" borderId="3" xfId="37" applyNumberFormat="1" applyFont="1" applyFill="1" applyBorder="1" applyAlignment="1" applyProtection="1">
      <alignment horizontal="center" vertical="center" wrapText="1"/>
    </xf>
    <xf numFmtId="188" fontId="159" fillId="0" borderId="7" xfId="37" applyNumberFormat="1" applyFont="1" applyFill="1" applyBorder="1" applyAlignment="1" applyProtection="1">
      <alignment vertical="center" wrapText="1"/>
    </xf>
    <xf numFmtId="188" fontId="159" fillId="0" borderId="0" xfId="37" applyNumberFormat="1" applyFont="1" applyFill="1" applyBorder="1" applyAlignment="1" applyProtection="1">
      <alignment vertical="center" wrapText="1"/>
    </xf>
    <xf numFmtId="188" fontId="35" fillId="0" borderId="0" xfId="37" applyFont="1" applyBorder="1" applyAlignment="1">
      <alignment vertical="center"/>
      <protection locked="0"/>
    </xf>
    <xf numFmtId="188" fontId="17" fillId="0" borderId="0" xfId="37" applyFont="1" applyBorder="1" applyAlignment="1">
      <alignment horizontal="left" vertical="center"/>
      <protection locked="0"/>
    </xf>
    <xf numFmtId="43" fontId="32" fillId="0" borderId="0" xfId="37" applyNumberFormat="1" applyFont="1" applyBorder="1" applyAlignment="1">
      <alignment horizontal="left" vertical="center"/>
      <protection locked="0"/>
    </xf>
    <xf numFmtId="188" fontId="24" fillId="0" borderId="0" xfId="37" applyFont="1" applyBorder="1" applyAlignment="1">
      <alignment horizontal="left" vertical="center"/>
      <protection locked="0"/>
    </xf>
    <xf numFmtId="188" fontId="33" fillId="0" borderId="0" xfId="37" applyFont="1" applyBorder="1" applyAlignment="1">
      <protection locked="0"/>
    </xf>
    <xf numFmtId="188" fontId="33" fillId="0" borderId="0" xfId="37" applyFont="1" applyBorder="1" applyAlignment="1">
      <alignment horizontal="left"/>
      <protection locked="0"/>
    </xf>
    <xf numFmtId="188" fontId="25" fillId="0" borderId="0" xfId="24" applyFont="1" applyAlignment="1">
      <alignment vertical="center"/>
    </xf>
    <xf numFmtId="188" fontId="24" fillId="0" borderId="0" xfId="592" applyFont="1" applyBorder="1" applyAlignment="1" applyProtection="1">
      <alignment vertical="center"/>
      <protection locked="0"/>
    </xf>
    <xf numFmtId="188" fontId="35" fillId="0" borderId="0" xfId="592" applyFont="1" applyFill="1">
      <alignment vertical="center"/>
    </xf>
    <xf numFmtId="188" fontId="37" fillId="65" borderId="3" xfId="592" applyFont="1" applyFill="1" applyBorder="1" applyAlignment="1">
      <alignment horizontal="center" vertical="center" wrapText="1"/>
    </xf>
    <xf numFmtId="188" fontId="169" fillId="0" borderId="0" xfId="592" applyFont="1" applyFill="1">
      <alignment vertical="center"/>
    </xf>
    <xf numFmtId="188" fontId="24" fillId="0" borderId="3" xfId="592" applyFont="1" applyFill="1" applyBorder="1" applyAlignment="1">
      <alignment horizontal="center" vertical="center"/>
    </xf>
    <xf numFmtId="188" fontId="24" fillId="0" borderId="3" xfId="592" applyFont="1" applyFill="1" applyBorder="1" applyAlignment="1">
      <alignment horizontal="left" vertical="center"/>
    </xf>
    <xf numFmtId="49" fontId="24" fillId="0" borderId="3" xfId="592" applyNumberFormat="1" applyFont="1" applyBorder="1" applyAlignment="1" applyProtection="1">
      <alignment horizontal="justify" vertical="center"/>
      <protection locked="0"/>
    </xf>
    <xf numFmtId="49" fontId="24" fillId="0" borderId="3" xfId="592" applyNumberFormat="1" applyFont="1" applyBorder="1" applyAlignment="1" applyProtection="1">
      <alignment horizontal="center" vertical="center"/>
      <protection locked="0"/>
    </xf>
    <xf numFmtId="188" fontId="37" fillId="0" borderId="0" xfId="37" applyFont="1" applyBorder="1" applyAlignment="1">
      <alignment vertical="center"/>
      <protection locked="0"/>
    </xf>
    <xf numFmtId="188" fontId="24" fillId="0" borderId="0" xfId="592" applyFont="1" applyFill="1" applyAlignment="1">
      <alignment vertical="center"/>
    </xf>
    <xf numFmtId="188" fontId="35" fillId="0" borderId="0" xfId="592" applyFont="1" applyFill="1" applyAlignment="1">
      <alignment vertical="center"/>
    </xf>
    <xf numFmtId="188" fontId="171" fillId="0" borderId="0" xfId="592" applyFont="1" applyFill="1" applyAlignment="1">
      <alignment vertical="center"/>
    </xf>
    <xf numFmtId="188" fontId="2" fillId="0" borderId="0" xfId="592">
      <alignment vertical="center"/>
    </xf>
    <xf numFmtId="188" fontId="24" fillId="0" borderId="0" xfId="595" applyFont="1" applyFill="1" applyBorder="1" applyAlignment="1">
      <alignment horizontal="left" vertical="center"/>
    </xf>
    <xf numFmtId="188" fontId="24" fillId="0" borderId="0" xfId="594" applyFont="1" applyFill="1" applyBorder="1" applyAlignment="1">
      <alignment vertical="center"/>
    </xf>
    <xf numFmtId="188" fontId="24" fillId="0" borderId="0" xfId="594" applyFont="1" applyFill="1" applyBorder="1" applyAlignment="1">
      <alignment horizontal="center" vertical="center"/>
    </xf>
    <xf numFmtId="188" fontId="63" fillId="0" borderId="0" xfId="595" applyFont="1" applyFill="1" applyBorder="1" applyAlignment="1">
      <alignment horizontal="left" vertical="center"/>
    </xf>
    <xf numFmtId="188" fontId="37" fillId="65" borderId="3" xfId="594" applyFont="1" applyFill="1" applyBorder="1" applyAlignment="1">
      <alignment horizontal="center" vertical="center" wrapText="1"/>
    </xf>
    <xf numFmtId="188" fontId="24" fillId="6" borderId="3" xfId="594" applyFont="1" applyFill="1" applyBorder="1">
      <alignment vertical="center"/>
    </xf>
    <xf numFmtId="188" fontId="24" fillId="6" borderId="3" xfId="594" applyFont="1" applyFill="1" applyBorder="1" applyAlignment="1">
      <alignment horizontal="center" vertical="center"/>
    </xf>
    <xf numFmtId="188" fontId="37" fillId="0" borderId="7" xfId="37" applyFont="1" applyBorder="1" applyAlignment="1">
      <alignment vertical="center"/>
      <protection locked="0"/>
    </xf>
    <xf numFmtId="188" fontId="17" fillId="0" borderId="0" xfId="37" applyFont="1" applyBorder="1" applyAlignment="1">
      <alignment horizontal="right" vertical="center"/>
      <protection locked="0"/>
    </xf>
    <xf numFmtId="188" fontId="24" fillId="0" borderId="0" xfId="37" applyFont="1" applyBorder="1" applyAlignment="1">
      <alignment horizontal="right" vertical="center"/>
      <protection locked="0"/>
    </xf>
    <xf numFmtId="43" fontId="17" fillId="0" borderId="0" xfId="26" applyNumberFormat="1" applyFont="1" applyBorder="1" applyAlignment="1">
      <alignment horizontal="right" vertical="center"/>
    </xf>
    <xf numFmtId="188" fontId="17" fillId="0" borderId="0" xfId="37" applyFont="1" applyBorder="1" applyAlignment="1">
      <alignment horizontal="right" vertical="center" wrapText="1"/>
      <protection locked="0"/>
    </xf>
    <xf numFmtId="188" fontId="24" fillId="0" borderId="0" xfId="37" applyFont="1" applyBorder="1" applyAlignment="1">
      <alignment horizontal="right" vertical="center" wrapText="1"/>
      <protection locked="0"/>
    </xf>
    <xf numFmtId="188" fontId="17" fillId="0" borderId="0" xfId="594" applyFont="1" applyFill="1" applyBorder="1" applyAlignment="1">
      <alignment horizontal="right" vertical="center"/>
    </xf>
    <xf numFmtId="188" fontId="60" fillId="0" borderId="0" xfId="592" applyFont="1">
      <alignment vertical="center"/>
    </xf>
    <xf numFmtId="188" fontId="37" fillId="65" borderId="3" xfId="37" applyFont="1" applyFill="1" applyBorder="1" applyAlignment="1">
      <alignment horizontal="center" vertical="center"/>
      <protection locked="0"/>
    </xf>
    <xf numFmtId="188" fontId="51" fillId="0" borderId="0" xfId="37" applyFont="1" applyAlignment="1">
      <alignment horizontal="left" vertical="center" wrapText="1"/>
      <protection locked="0"/>
    </xf>
    <xf numFmtId="188" fontId="157" fillId="0" borderId="4" xfId="37" applyNumberFormat="1" applyFont="1" applyFill="1" applyBorder="1" applyAlignment="1" applyProtection="1">
      <alignment vertical="center"/>
    </xf>
    <xf numFmtId="188" fontId="170" fillId="5" borderId="3" xfId="33" applyFont="1" applyFill="1" applyBorder="1" applyAlignment="1">
      <alignment horizontal="centerContinuous" vertical="center"/>
    </xf>
    <xf numFmtId="188" fontId="24" fillId="0" borderId="0" xfId="33" applyFont="1" applyBorder="1" applyAlignment="1">
      <alignment vertical="center"/>
    </xf>
    <xf numFmtId="188" fontId="50" fillId="0" borderId="0" xfId="33" applyFont="1" applyBorder="1" applyAlignment="1">
      <alignment vertical="center"/>
    </xf>
    <xf numFmtId="188" fontId="24" fillId="0" borderId="0" xfId="33" applyFont="1" applyBorder="1" applyAlignment="1">
      <alignment horizontal="center" vertical="center"/>
    </xf>
    <xf numFmtId="188" fontId="24" fillId="0" borderId="9" xfId="33" applyFont="1" applyBorder="1" applyAlignment="1">
      <alignment vertical="center"/>
    </xf>
    <xf numFmtId="188" fontId="25" fillId="0" borderId="0" xfId="33" applyFont="1" applyBorder="1" applyAlignment="1">
      <alignment vertical="center"/>
    </xf>
    <xf numFmtId="188" fontId="154" fillId="0" borderId="3" xfId="195" applyFont="1" applyFill="1" applyBorder="1" applyAlignment="1">
      <alignment horizontal="center" vertical="center" wrapText="1"/>
    </xf>
    <xf numFmtId="188" fontId="24" fillId="0" borderId="0" xfId="25" applyFont="1" applyAlignment="1">
      <alignment horizontal="left" vertical="center"/>
    </xf>
    <xf numFmtId="188" fontId="51" fillId="0" borderId="0" xfId="25" applyFont="1" applyAlignment="1">
      <alignment horizontal="left" vertical="center"/>
    </xf>
    <xf numFmtId="234" fontId="24" fillId="0" borderId="3" xfId="37" applyNumberFormat="1" applyFont="1" applyBorder="1" applyAlignment="1" applyProtection="1">
      <alignment horizontal="center" vertical="center" wrapText="1"/>
      <protection locked="0"/>
    </xf>
    <xf numFmtId="49" fontId="60" fillId="0" borderId="3" xfId="591" applyNumberFormat="1" applyFont="1" applyBorder="1" applyAlignment="1" applyProtection="1">
      <alignment horizontal="center" vertical="center"/>
    </xf>
    <xf numFmtId="49" fontId="24" fillId="0" borderId="3" xfId="592" applyNumberFormat="1" applyFont="1" applyFill="1" applyBorder="1" applyAlignment="1">
      <alignment horizontal="center" vertical="center"/>
    </xf>
    <xf numFmtId="188" fontId="25" fillId="65" borderId="3" xfId="30" applyFont="1" applyFill="1" applyBorder="1" applyAlignment="1">
      <alignment horizontal="center" vertical="center" wrapText="1"/>
    </xf>
    <xf numFmtId="188" fontId="158" fillId="0" borderId="3" xfId="27" applyFont="1" applyBorder="1" applyAlignment="1" applyProtection="1">
      <alignment horizontal="left" vertical="center"/>
    </xf>
    <xf numFmtId="49" fontId="60" fillId="0" borderId="3" xfId="591" applyNumberFormat="1" applyFont="1" applyBorder="1" applyAlignment="1" applyProtection="1">
      <alignment horizontal="left" vertical="center"/>
    </xf>
    <xf numFmtId="49" fontId="167" fillId="0" borderId="3" xfId="28" applyNumberFormat="1" applyFont="1" applyFill="1" applyBorder="1" applyAlignment="1" applyProtection="1">
      <alignment horizontal="center" vertical="center" wrapText="1"/>
    </xf>
    <xf numFmtId="49" fontId="167" fillId="0" borderId="3" xfId="37" applyNumberFormat="1" applyFont="1" applyFill="1" applyBorder="1" applyAlignment="1" applyProtection="1">
      <alignment horizontal="center" vertical="center" wrapText="1"/>
    </xf>
    <xf numFmtId="188" fontId="51" fillId="0" borderId="0" xfId="592" applyFont="1" applyAlignment="1" applyProtection="1">
      <alignment horizontal="left"/>
      <protection locked="0"/>
    </xf>
    <xf numFmtId="234" fontId="63" fillId="0" borderId="2" xfId="0" applyNumberFormat="1" applyFont="1" applyBorder="1" applyAlignment="1" applyProtection="1">
      <alignment horizontal="center" vertical="center"/>
    </xf>
    <xf numFmtId="188" fontId="174" fillId="0" borderId="0" xfId="591" applyFont="1" applyAlignment="1" applyProtection="1">
      <alignment horizontal="centerContinuous" vertical="center"/>
      <protection locked="0"/>
    </xf>
    <xf numFmtId="188" fontId="176" fillId="0" borderId="0" xfId="27" applyNumberFormat="1" applyFont="1" applyFill="1" applyAlignment="1" applyProtection="1">
      <alignment vertical="center"/>
    </xf>
    <xf numFmtId="188" fontId="160" fillId="0" borderId="0" xfId="591" applyFont="1" applyAlignment="1" applyProtection="1">
      <alignment vertical="center"/>
      <protection locked="0"/>
    </xf>
    <xf numFmtId="188" fontId="37" fillId="65" borderId="3" xfId="588" applyFont="1" applyFill="1" applyBorder="1" applyAlignment="1" applyProtection="1">
      <alignment horizontal="center" vertical="center" wrapText="1"/>
      <protection locked="0"/>
    </xf>
    <xf numFmtId="49" fontId="37" fillId="65" borderId="3" xfId="588" applyNumberFormat="1" applyFont="1" applyFill="1" applyBorder="1" applyAlignment="1" applyProtection="1">
      <alignment horizontal="center" vertical="center"/>
      <protection locked="0"/>
    </xf>
    <xf numFmtId="188" fontId="0" fillId="0" borderId="0" xfId="0" applyAlignment="1" applyProtection="1">
      <protection locked="0"/>
    </xf>
    <xf numFmtId="188" fontId="37" fillId="65" borderId="3" xfId="37" applyFont="1" applyFill="1" applyBorder="1" applyAlignment="1" applyProtection="1">
      <alignment horizontal="center" vertical="center" wrapText="1"/>
      <protection locked="0"/>
    </xf>
    <xf numFmtId="188" fontId="37" fillId="65" borderId="14" xfId="37" applyFont="1" applyFill="1" applyBorder="1" applyAlignment="1" applyProtection="1">
      <alignment horizontal="center" vertical="center" wrapText="1"/>
      <protection locked="0"/>
    </xf>
    <xf numFmtId="188" fontId="25" fillId="65" borderId="3" xfId="37" applyFont="1" applyFill="1" applyBorder="1" applyAlignment="1" applyProtection="1">
      <alignment horizontal="center" vertical="center" wrapText="1"/>
      <protection locked="0"/>
    </xf>
    <xf numFmtId="188" fontId="37" fillId="65" borderId="14" xfId="37" applyFont="1" applyFill="1" applyBorder="1" applyAlignment="1">
      <alignment horizontal="center" vertical="center"/>
      <protection locked="0"/>
    </xf>
    <xf numFmtId="188" fontId="37" fillId="65" borderId="3" xfId="37" applyFont="1" applyFill="1" applyBorder="1" applyAlignment="1">
      <alignment horizontal="center" vertical="center" wrapText="1"/>
      <protection locked="0"/>
    </xf>
    <xf numFmtId="188" fontId="37" fillId="65" borderId="14" xfId="37" applyFont="1" applyFill="1" applyBorder="1" applyAlignment="1">
      <alignment horizontal="center" vertical="center" wrapText="1"/>
      <protection locked="0"/>
    </xf>
    <xf numFmtId="188" fontId="25" fillId="65" borderId="14" xfId="37" applyFont="1" applyFill="1" applyBorder="1" applyAlignment="1" applyProtection="1">
      <alignment horizontal="center" vertical="center" wrapText="1"/>
      <protection locked="0"/>
    </xf>
    <xf numFmtId="177" fontId="24" fillId="65" borderId="3" xfId="34" applyFont="1" applyFill="1" applyBorder="1" applyAlignment="1" applyProtection="1">
      <alignment horizontal="center" vertical="center" wrapText="1"/>
      <protection locked="0"/>
    </xf>
    <xf numFmtId="177" fontId="24" fillId="0" borderId="3" xfId="34" applyFont="1" applyBorder="1" applyAlignment="1" applyProtection="1">
      <alignment vertical="center" wrapText="1"/>
      <protection locked="0"/>
    </xf>
    <xf numFmtId="188" fontId="25" fillId="65" borderId="14" xfId="37" applyFont="1" applyFill="1" applyBorder="1" applyAlignment="1">
      <alignment horizontal="center" vertical="center" wrapText="1"/>
      <protection locked="0"/>
    </xf>
    <xf numFmtId="49" fontId="158" fillId="0" borderId="3" xfId="27" applyNumberFormat="1" applyFont="1" applyBorder="1" applyAlignment="1" applyProtection="1">
      <alignment horizontal="justify" vertical="center"/>
      <protection locked="0"/>
    </xf>
    <xf numFmtId="188" fontId="24" fillId="65" borderId="3" xfId="29" applyFont="1" applyFill="1" applyBorder="1" applyAlignment="1" applyProtection="1">
      <alignment vertical="center"/>
      <protection locked="0"/>
    </xf>
    <xf numFmtId="188" fontId="17" fillId="65" borderId="3" xfId="29" applyFont="1" applyFill="1" applyBorder="1" applyAlignment="1" applyProtection="1">
      <alignment vertical="center"/>
      <protection locked="0"/>
    </xf>
    <xf numFmtId="188" fontId="24" fillId="65" borderId="3" xfId="29" applyFont="1" applyFill="1" applyBorder="1" applyAlignment="1" applyProtection="1">
      <alignment horizontal="left" vertical="center"/>
      <protection locked="0"/>
    </xf>
    <xf numFmtId="188" fontId="25" fillId="65" borderId="3" xfId="29" applyFont="1" applyFill="1" applyBorder="1" applyAlignment="1" applyProtection="1">
      <alignment horizontal="left" vertical="center"/>
      <protection locked="0"/>
    </xf>
    <xf numFmtId="43" fontId="24" fillId="65" borderId="3" xfId="589" applyFont="1" applyFill="1" applyBorder="1" applyAlignment="1" applyProtection="1">
      <alignment horizontal="left" vertical="center"/>
      <protection locked="0"/>
    </xf>
    <xf numFmtId="10" fontId="24" fillId="65" borderId="3" xfId="593" applyNumberFormat="1" applyFont="1" applyFill="1" applyBorder="1" applyAlignment="1" applyProtection="1">
      <alignment horizontal="right" vertical="center"/>
      <protection locked="0"/>
    </xf>
    <xf numFmtId="188" fontId="51" fillId="0" borderId="0" xfId="37" applyFont="1" applyAlignment="1">
      <alignment horizontal="left" vertical="center"/>
      <protection locked="0"/>
    </xf>
    <xf numFmtId="188" fontId="60" fillId="0" borderId="0" xfId="590" applyFont="1" applyAlignment="1" applyProtection="1">
      <protection locked="0"/>
    </xf>
    <xf numFmtId="188" fontId="37" fillId="0" borderId="7" xfId="29" applyFont="1" applyFill="1" applyBorder="1" applyAlignment="1" applyProtection="1">
      <alignment vertical="center"/>
      <protection locked="0"/>
    </xf>
    <xf numFmtId="188" fontId="17" fillId="0" borderId="0" xfId="37" applyFont="1" applyBorder="1" applyAlignment="1" applyProtection="1">
      <alignment vertical="center"/>
      <protection locked="0"/>
    </xf>
    <xf numFmtId="188" fontId="25" fillId="65" borderId="3" xfId="592" applyFont="1" applyFill="1" applyBorder="1" applyAlignment="1">
      <alignment horizontal="center" vertical="center" wrapText="1"/>
    </xf>
    <xf numFmtId="188" fontId="55" fillId="0" borderId="0" xfId="37" applyFont="1" applyAlignment="1">
      <alignment vertical="center"/>
      <protection locked="0"/>
    </xf>
    <xf numFmtId="188" fontId="61" fillId="0" borderId="0" xfId="592" applyFont="1" applyFill="1" applyAlignment="1">
      <alignment vertical="center"/>
    </xf>
    <xf numFmtId="188" fontId="51" fillId="0" borderId="0" xfId="592" applyFont="1" applyFill="1" applyAlignment="1">
      <alignment vertical="center"/>
    </xf>
    <xf numFmtId="188" fontId="24" fillId="0" borderId="0" xfId="592" applyFont="1" applyFill="1">
      <alignment vertical="center"/>
    </xf>
    <xf numFmtId="188" fontId="48" fillId="0" borderId="0" xfId="592" applyFont="1" applyFill="1" applyAlignment="1">
      <alignment vertical="center"/>
    </xf>
    <xf numFmtId="188" fontId="48" fillId="0" borderId="0" xfId="592" applyFont="1" applyFill="1">
      <alignment vertical="center"/>
    </xf>
    <xf numFmtId="188" fontId="51" fillId="0" borderId="0" xfId="592" applyFont="1">
      <alignment vertical="center"/>
    </xf>
    <xf numFmtId="188" fontId="37" fillId="65" borderId="14" xfId="37" applyFont="1" applyFill="1" applyBorder="1" applyAlignment="1" applyProtection="1">
      <alignment horizontal="center" vertical="center" wrapText="1"/>
      <protection locked="0"/>
    </xf>
    <xf numFmtId="188" fontId="166" fillId="67" borderId="3" xfId="37" applyNumberFormat="1" applyFont="1" applyFill="1" applyBorder="1" applyAlignment="1" applyProtection="1">
      <alignment horizontal="center" vertical="center" wrapText="1"/>
    </xf>
    <xf numFmtId="188" fontId="51" fillId="0" borderId="0" xfId="37" applyFont="1" applyAlignment="1">
      <alignment horizontal="left" vertical="center" wrapText="1"/>
      <protection locked="0"/>
    </xf>
    <xf numFmtId="188" fontId="25" fillId="0" borderId="0" xfId="29" applyFont="1" applyBorder="1" applyAlignment="1" applyProtection="1">
      <alignment vertical="center"/>
      <protection locked="0"/>
    </xf>
    <xf numFmtId="188" fontId="155" fillId="0" borderId="0" xfId="0" applyFont="1" applyFill="1" applyAlignment="1" applyProtection="1">
      <alignment vertical="center"/>
    </xf>
    <xf numFmtId="188" fontId="0" fillId="0" borderId="0" xfId="0" applyAlignment="1">
      <alignment horizontal="center" vertical="center"/>
      <protection locked="0"/>
    </xf>
    <xf numFmtId="188" fontId="8" fillId="0" borderId="0" xfId="0" applyFont="1" applyAlignment="1">
      <alignment horizontal="center"/>
      <protection locked="0"/>
    </xf>
    <xf numFmtId="188" fontId="63" fillId="0" borderId="2" xfId="0" applyFont="1" applyBorder="1" applyAlignment="1" applyProtection="1">
      <alignment horizontal="center" vertical="center"/>
    </xf>
    <xf numFmtId="188" fontId="59" fillId="0" borderId="2" xfId="27" applyFont="1" applyBorder="1" applyAlignment="1">
      <alignment vertical="center"/>
      <protection locked="0"/>
    </xf>
    <xf numFmtId="43" fontId="24" fillId="0" borderId="3" xfId="37" applyNumberFormat="1" applyFont="1" applyFill="1" applyBorder="1" applyAlignment="1" applyProtection="1">
      <alignment horizontal="left" vertical="center" wrapText="1"/>
      <protection locked="0"/>
    </xf>
    <xf numFmtId="43" fontId="17" fillId="0" borderId="3" xfId="37" applyNumberFormat="1" applyFont="1" applyFill="1" applyBorder="1" applyAlignment="1" applyProtection="1">
      <alignment horizontal="left" vertical="center" wrapText="1"/>
      <protection locked="0"/>
    </xf>
    <xf numFmtId="0" fontId="60" fillId="0" borderId="3" xfId="28" applyNumberFormat="1" applyFont="1" applyBorder="1" applyAlignment="1" applyProtection="1">
      <alignment horizontal="center" vertical="center"/>
    </xf>
    <xf numFmtId="43" fontId="24" fillId="0" borderId="27" xfId="37" applyNumberFormat="1" applyFont="1" applyFill="1" applyBorder="1" applyAlignment="1" applyProtection="1">
      <alignment horizontal="left" vertical="center" wrapText="1"/>
      <protection locked="0"/>
    </xf>
    <xf numFmtId="43" fontId="17" fillId="65" borderId="7" xfId="37" applyNumberFormat="1" applyFont="1" applyFill="1" applyBorder="1" applyAlignment="1" applyProtection="1">
      <alignment horizontal="left" vertical="center" wrapText="1"/>
      <protection locked="0"/>
    </xf>
    <xf numFmtId="43" fontId="24" fillId="0" borderId="0" xfId="29" applyNumberFormat="1" applyFont="1" applyBorder="1" applyAlignment="1" applyProtection="1">
      <alignment horizontal="left" vertical="center" wrapText="1"/>
      <protection locked="0"/>
    </xf>
    <xf numFmtId="0" fontId="25" fillId="67" borderId="3" xfId="29" applyNumberFormat="1" applyFont="1" applyFill="1" applyBorder="1" applyAlignment="1" applyProtection="1">
      <alignment horizontal="center" vertical="center"/>
    </xf>
    <xf numFmtId="0" fontId="37" fillId="67" borderId="3" xfId="29" applyNumberFormat="1" applyFont="1" applyFill="1" applyBorder="1" applyAlignment="1" applyProtection="1">
      <alignment horizontal="center" vertical="center"/>
    </xf>
    <xf numFmtId="0" fontId="166" fillId="67" borderId="3" xfId="29" applyNumberFormat="1" applyFont="1" applyFill="1" applyBorder="1" applyAlignment="1" applyProtection="1">
      <alignment horizontal="center" vertical="center" wrapText="1"/>
    </xf>
    <xf numFmtId="188" fontId="58" fillId="0" borderId="0" xfId="592" applyFont="1" applyFill="1" applyAlignment="1">
      <alignment vertical="center"/>
    </xf>
    <xf numFmtId="188" fontId="155" fillId="0" borderId="0" xfId="37" applyNumberFormat="1" applyFont="1" applyFill="1" applyBorder="1" applyAlignment="1" applyProtection="1">
      <alignment vertical="center"/>
    </xf>
    <xf numFmtId="188" fontId="182" fillId="65" borderId="3" xfId="37" applyNumberFormat="1" applyFont="1" applyFill="1" applyBorder="1" applyAlignment="1" applyProtection="1">
      <alignment horizontal="center" vertical="center" wrapText="1"/>
    </xf>
    <xf numFmtId="43" fontId="182" fillId="65" borderId="3" xfId="589" applyFont="1" applyFill="1" applyBorder="1" applyAlignment="1" applyProtection="1">
      <alignment horizontal="center" vertical="center" wrapText="1"/>
    </xf>
    <xf numFmtId="43" fontId="182" fillId="65" borderId="3" xfId="37" applyNumberFormat="1" applyFont="1" applyFill="1" applyBorder="1" applyAlignment="1" applyProtection="1">
      <alignment horizontal="center" vertical="center" wrapText="1"/>
    </xf>
    <xf numFmtId="188" fontId="182" fillId="65" borderId="3" xfId="37" applyNumberFormat="1" applyFont="1" applyFill="1" applyBorder="1" applyAlignment="1" applyProtection="1">
      <alignment horizontal="center" vertical="center"/>
    </xf>
    <xf numFmtId="43" fontId="182" fillId="65" borderId="3" xfId="589" applyFont="1" applyFill="1" applyBorder="1" applyAlignment="1" applyProtection="1">
      <alignment horizontal="center" vertical="center"/>
    </xf>
    <xf numFmtId="188" fontId="157" fillId="0" borderId="0" xfId="37" applyNumberFormat="1" applyFont="1" applyFill="1" applyBorder="1" applyAlignment="1" applyProtection="1">
      <alignment vertical="center" wrapText="1"/>
    </xf>
    <xf numFmtId="188" fontId="157" fillId="0" borderId="0" xfId="37" applyNumberFormat="1" applyFont="1" applyFill="1" applyBorder="1" applyAlignment="1" applyProtection="1">
      <alignment vertical="center"/>
    </xf>
    <xf numFmtId="188" fontId="157" fillId="0" borderId="0" xfId="37" applyNumberFormat="1" applyFont="1" applyFill="1" applyBorder="1" applyAlignment="1" applyProtection="1">
      <alignment horizontal="left" vertical="center"/>
    </xf>
    <xf numFmtId="188" fontId="182" fillId="65" borderId="8" xfId="37" applyNumberFormat="1" applyFont="1" applyFill="1" applyBorder="1" applyAlignment="1" applyProtection="1">
      <alignment horizontal="center" vertical="center"/>
    </xf>
    <xf numFmtId="188" fontId="33" fillId="0" borderId="0" xfId="27" applyFont="1" applyFill="1" applyBorder="1" applyAlignment="1" applyProtection="1">
      <alignment vertical="center" wrapText="1"/>
      <protection locked="0"/>
    </xf>
    <xf numFmtId="43" fontId="24" fillId="65" borderId="3" xfId="29" applyNumberFormat="1" applyFont="1" applyFill="1" applyBorder="1" applyAlignment="1" applyProtection="1">
      <alignment horizontal="left" vertical="center" wrapText="1"/>
      <protection locked="0"/>
    </xf>
    <xf numFmtId="188" fontId="17" fillId="4" borderId="0" xfId="0" applyFont="1" applyFill="1" applyAlignment="1">
      <alignment horizontal="justify" vertical="center" wrapText="1"/>
      <protection locked="0"/>
    </xf>
    <xf numFmtId="188" fontId="37" fillId="0" borderId="3" xfId="37" applyFont="1" applyFill="1" applyBorder="1" applyAlignment="1">
      <alignment vertical="center"/>
      <protection locked="0"/>
    </xf>
    <xf numFmtId="188" fontId="24" fillId="0" borderId="3" xfId="37" applyFont="1" applyFill="1" applyBorder="1" applyAlignment="1">
      <alignment vertical="center"/>
      <protection locked="0"/>
    </xf>
    <xf numFmtId="188" fontId="24" fillId="0" borderId="3" xfId="37" applyFont="1" applyFill="1" applyBorder="1" applyAlignment="1" applyProtection="1">
      <alignment horizontal="center" vertical="center" wrapText="1"/>
      <protection locked="0"/>
    </xf>
    <xf numFmtId="188" fontId="24" fillId="0" borderId="0" xfId="37" applyFont="1" applyFill="1" applyBorder="1" applyAlignment="1">
      <alignment vertical="center"/>
      <protection locked="0"/>
    </xf>
    <xf numFmtId="188" fontId="24" fillId="4" borderId="0" xfId="29" applyFont="1" applyFill="1" applyBorder="1" applyAlignment="1" applyProtection="1">
      <alignment horizontal="justify" vertical="center" wrapText="1"/>
      <protection locked="0"/>
    </xf>
    <xf numFmtId="188" fontId="152" fillId="0" borderId="0" xfId="0" applyFont="1" applyAlignment="1" applyProtection="1">
      <alignment horizontal="center" vertical="center"/>
      <protection locked="0"/>
    </xf>
    <xf numFmtId="188" fontId="48" fillId="0" borderId="0" xfId="29" applyFont="1" applyAlignment="1" applyProtection="1">
      <alignment vertical="center"/>
      <protection locked="0"/>
    </xf>
    <xf numFmtId="188" fontId="44" fillId="0" borderId="0" xfId="39" applyFont="1" applyBorder="1" applyAlignment="1" applyProtection="1">
      <alignment horizontal="left" vertical="center"/>
    </xf>
    <xf numFmtId="188" fontId="60" fillId="0" borderId="7" xfId="591" applyFont="1" applyBorder="1" applyAlignment="1" applyProtection="1">
      <alignment horizontal="left" vertical="center"/>
    </xf>
    <xf numFmtId="188" fontId="17" fillId="0" borderId="7" xfId="37" applyFont="1" applyBorder="1" applyAlignment="1" applyProtection="1">
      <alignment horizontal="left" vertical="center" wrapText="1"/>
      <protection locked="0"/>
    </xf>
    <xf numFmtId="188" fontId="24" fillId="0" borderId="7" xfId="37" applyFont="1" applyBorder="1" applyAlignment="1" applyProtection="1">
      <alignment horizontal="center" vertical="center" wrapText="1"/>
      <protection locked="0"/>
    </xf>
    <xf numFmtId="188" fontId="154" fillId="0" borderId="7" xfId="591" applyFont="1" applyBorder="1" applyAlignment="1" applyProtection="1">
      <alignment horizontal="left" vertical="center"/>
    </xf>
    <xf numFmtId="49" fontId="60" fillId="0" borderId="7" xfId="591" applyNumberFormat="1" applyFont="1" applyBorder="1" applyAlignment="1" applyProtection="1">
      <alignment horizontal="center" vertical="center"/>
    </xf>
    <xf numFmtId="188" fontId="154" fillId="0" borderId="7" xfId="591" applyFont="1" applyBorder="1" applyAlignment="1" applyProtection="1">
      <alignment horizontal="center" vertical="center"/>
    </xf>
    <xf numFmtId="49" fontId="60" fillId="0" borderId="7" xfId="591" applyNumberFormat="1" applyFont="1" applyBorder="1" applyAlignment="1" applyProtection="1">
      <alignment horizontal="left" vertical="center"/>
    </xf>
    <xf numFmtId="188" fontId="60" fillId="0" borderId="0" xfId="591" applyFont="1" applyBorder="1" applyAlignment="1" applyProtection="1">
      <alignment horizontal="left" vertical="center"/>
    </xf>
    <xf numFmtId="188" fontId="17" fillId="0" borderId="0" xfId="37" applyFont="1" applyBorder="1" applyAlignment="1" applyProtection="1">
      <alignment horizontal="left" vertical="center" wrapText="1"/>
      <protection locked="0"/>
    </xf>
    <xf numFmtId="188" fontId="24" fillId="0" borderId="0" xfId="37" applyFont="1" applyBorder="1" applyAlignment="1" applyProtection="1">
      <alignment horizontal="center" vertical="center" wrapText="1"/>
      <protection locked="0"/>
    </xf>
    <xf numFmtId="188" fontId="154" fillId="0" borderId="0" xfId="591" applyFont="1" applyBorder="1" applyAlignment="1" applyProtection="1">
      <alignment horizontal="left" vertical="center"/>
    </xf>
    <xf numFmtId="49" fontId="60" fillId="0" borderId="0" xfId="591" applyNumberFormat="1" applyFont="1" applyBorder="1" applyAlignment="1" applyProtection="1">
      <alignment horizontal="center" vertical="center"/>
    </xf>
    <xf numFmtId="188" fontId="154" fillId="0" borderId="0" xfId="591" applyFont="1" applyBorder="1" applyAlignment="1" applyProtection="1">
      <alignment horizontal="center" vertical="center"/>
    </xf>
    <xf numFmtId="49" fontId="60" fillId="0" borderId="0" xfId="591" applyNumberFormat="1" applyFont="1" applyBorder="1" applyAlignment="1" applyProtection="1">
      <alignment horizontal="left" vertical="center"/>
    </xf>
    <xf numFmtId="188" fontId="38" fillId="0" borderId="0" xfId="37" applyFont="1" applyBorder="1" applyAlignment="1">
      <alignment vertical="center"/>
      <protection locked="0"/>
    </xf>
    <xf numFmtId="188" fontId="21" fillId="0" borderId="0" xfId="37" applyFont="1" applyBorder="1" applyAlignment="1">
      <alignment vertical="center"/>
      <protection locked="0"/>
    </xf>
    <xf numFmtId="188" fontId="34" fillId="0" borderId="0" xfId="0" applyFont="1" applyAlignment="1" applyProtection="1">
      <alignment horizontal="left" vertical="center" wrapText="1"/>
      <protection locked="0"/>
    </xf>
    <xf numFmtId="188" fontId="35" fillId="0" borderId="0" xfId="0" applyFont="1" applyAlignment="1" applyProtection="1">
      <alignment horizontal="left" vertical="center" wrapText="1"/>
      <protection locked="0"/>
    </xf>
    <xf numFmtId="188" fontId="175" fillId="0" borderId="0" xfId="587" applyFont="1" applyFill="1" applyAlignment="1">
      <alignment horizontal="center" vertical="center"/>
    </xf>
    <xf numFmtId="188" fontId="174" fillId="0" borderId="0" xfId="587" applyFont="1" applyFill="1" applyAlignment="1">
      <alignment horizontal="center" vertical="center"/>
    </xf>
    <xf numFmtId="188" fontId="17" fillId="0" borderId="3" xfId="588" applyFont="1" applyFill="1" applyBorder="1" applyAlignment="1">
      <alignment horizontal="left" vertical="center" wrapText="1"/>
    </xf>
    <xf numFmtId="188" fontId="154" fillId="0" borderId="3" xfId="195" applyFont="1" applyFill="1" applyBorder="1" applyAlignment="1">
      <alignment vertical="center" wrapText="1"/>
    </xf>
    <xf numFmtId="188" fontId="60" fillId="0" borderId="3" xfId="195" applyFont="1" applyFill="1" applyBorder="1" applyAlignment="1">
      <alignment vertical="center" wrapText="1"/>
    </xf>
    <xf numFmtId="188" fontId="37" fillId="65" borderId="3" xfId="588" applyFont="1" applyFill="1" applyBorder="1" applyAlignment="1" applyProtection="1">
      <alignment horizontal="center" vertical="center" wrapText="1"/>
      <protection locked="0"/>
    </xf>
    <xf numFmtId="188" fontId="24" fillId="0" borderId="3" xfId="588" applyFont="1" applyFill="1" applyBorder="1" applyAlignment="1">
      <alignment horizontal="center" vertical="center" wrapText="1"/>
    </xf>
    <xf numFmtId="188" fontId="24" fillId="0" borderId="3" xfId="195" applyFont="1" applyFill="1" applyBorder="1" applyAlignment="1">
      <alignment horizontal="center" vertical="center" wrapText="1"/>
    </xf>
    <xf numFmtId="188" fontId="24" fillId="0" borderId="8" xfId="195" applyFont="1" applyFill="1" applyBorder="1" applyAlignment="1">
      <alignment horizontal="center" vertical="center" wrapText="1"/>
    </xf>
    <xf numFmtId="188" fontId="24" fillId="0" borderId="6" xfId="195" applyFont="1" applyFill="1" applyBorder="1" applyAlignment="1">
      <alignment horizontal="center" vertical="center" wrapText="1"/>
    </xf>
    <xf numFmtId="188" fontId="17" fillId="65" borderId="3" xfId="29" applyFont="1" applyFill="1" applyBorder="1" applyAlignment="1" applyProtection="1">
      <alignment horizontal="center" vertical="center"/>
      <protection locked="0"/>
    </xf>
    <xf numFmtId="188" fontId="18" fillId="0" borderId="0" xfId="37" applyFont="1" applyAlignment="1">
      <alignment horizontal="center" vertical="center"/>
      <protection locked="0"/>
    </xf>
    <xf numFmtId="188" fontId="152" fillId="0" borderId="0" xfId="37" applyFont="1" applyAlignment="1">
      <alignment horizontal="center" vertical="center"/>
      <protection locked="0"/>
    </xf>
    <xf numFmtId="188" fontId="37" fillId="65" borderId="3" xfId="37" applyFont="1" applyFill="1" applyBorder="1" applyAlignment="1" applyProtection="1">
      <alignment horizontal="center" vertical="center" wrapText="1"/>
      <protection locked="0"/>
    </xf>
    <xf numFmtId="188" fontId="25" fillId="65" borderId="3" xfId="37" applyFont="1" applyFill="1" applyBorder="1" applyAlignment="1" applyProtection="1">
      <alignment horizontal="center" vertical="center" wrapText="1"/>
      <protection locked="0"/>
    </xf>
    <xf numFmtId="188" fontId="25" fillId="65" borderId="8" xfId="37" applyFont="1" applyFill="1" applyBorder="1" applyAlignment="1" applyProtection="1">
      <alignment horizontal="center" vertical="center" wrapText="1"/>
      <protection locked="0"/>
    </xf>
    <xf numFmtId="188" fontId="25" fillId="65" borderId="5" xfId="37" applyFont="1" applyFill="1" applyBorder="1" applyAlignment="1" applyProtection="1">
      <alignment horizontal="center" vertical="center" wrapText="1"/>
      <protection locked="0"/>
    </xf>
    <xf numFmtId="188" fontId="25" fillId="65" borderId="6" xfId="37" applyFont="1" applyFill="1" applyBorder="1" applyAlignment="1" applyProtection="1">
      <alignment horizontal="center" vertical="center" wrapText="1"/>
      <protection locked="0"/>
    </xf>
    <xf numFmtId="188" fontId="37" fillId="65" borderId="14" xfId="37" applyFont="1" applyFill="1" applyBorder="1" applyAlignment="1" applyProtection="1">
      <alignment horizontal="center" vertical="center" wrapText="1"/>
      <protection locked="0"/>
    </xf>
    <xf numFmtId="188" fontId="37" fillId="65" borderId="15" xfId="37" applyFont="1" applyFill="1" applyBorder="1" applyAlignment="1" applyProtection="1">
      <alignment horizontal="center" vertical="center" wrapText="1"/>
      <protection locked="0"/>
    </xf>
    <xf numFmtId="188" fontId="37" fillId="65" borderId="8" xfId="37" applyFont="1" applyFill="1" applyBorder="1" applyAlignment="1" applyProtection="1">
      <alignment horizontal="center" vertical="center" wrapText="1"/>
      <protection locked="0"/>
    </xf>
    <xf numFmtId="188" fontId="37" fillId="65" borderId="5" xfId="37" applyFont="1" applyFill="1" applyBorder="1" applyAlignment="1" applyProtection="1">
      <alignment horizontal="center" vertical="center" wrapText="1"/>
      <protection locked="0"/>
    </xf>
    <xf numFmtId="188" fontId="25" fillId="65" borderId="8" xfId="37" applyFont="1" applyFill="1" applyBorder="1" applyAlignment="1" applyProtection="1">
      <alignment horizontal="center" vertical="center"/>
      <protection locked="0"/>
    </xf>
    <xf numFmtId="188" fontId="25" fillId="65" borderId="5" xfId="37" applyFont="1" applyFill="1" applyBorder="1" applyAlignment="1" applyProtection="1">
      <alignment horizontal="center" vertical="center"/>
      <protection locked="0"/>
    </xf>
    <xf numFmtId="188" fontId="25" fillId="65" borderId="6" xfId="37" applyFont="1" applyFill="1" applyBorder="1" applyAlignment="1" applyProtection="1">
      <alignment horizontal="center" vertical="center"/>
      <protection locked="0"/>
    </xf>
    <xf numFmtId="188" fontId="25" fillId="65" borderId="3" xfId="29" applyFont="1" applyFill="1" applyBorder="1" applyAlignment="1" applyProtection="1">
      <alignment horizontal="center" vertical="center"/>
      <protection locked="0"/>
    </xf>
    <xf numFmtId="188" fontId="44" fillId="0" borderId="7" xfId="39" applyFont="1" applyBorder="1" applyAlignment="1" applyProtection="1">
      <alignment horizontal="left" vertical="center"/>
    </xf>
    <xf numFmtId="188" fontId="56" fillId="65" borderId="3" xfId="591" applyFont="1" applyFill="1" applyBorder="1" applyAlignment="1" applyProtection="1">
      <alignment horizontal="center" vertical="center" wrapText="1"/>
    </xf>
    <xf numFmtId="188" fontId="25" fillId="65" borderId="8" xfId="30" applyFont="1" applyFill="1" applyBorder="1" applyAlignment="1">
      <alignment horizontal="center" vertical="center"/>
    </xf>
    <xf numFmtId="188" fontId="25" fillId="65" borderId="5" xfId="30" applyFont="1" applyFill="1" applyBorder="1" applyAlignment="1">
      <alignment horizontal="center" vertical="center"/>
    </xf>
    <xf numFmtId="188" fontId="25" fillId="65" borderId="6" xfId="30" applyFont="1" applyFill="1" applyBorder="1" applyAlignment="1">
      <alignment horizontal="center" vertical="center"/>
    </xf>
    <xf numFmtId="188" fontId="25" fillId="65" borderId="3" xfId="591" applyFont="1" applyFill="1" applyBorder="1" applyAlignment="1" applyProtection="1">
      <alignment horizontal="center" vertical="center" wrapText="1"/>
    </xf>
    <xf numFmtId="188" fontId="37" fillId="65" borderId="8" xfId="30" applyFont="1" applyFill="1" applyBorder="1" applyAlignment="1">
      <alignment horizontal="center" vertical="center" wrapText="1"/>
    </xf>
    <xf numFmtId="188" fontId="37" fillId="65" borderId="5" xfId="30" applyFont="1" applyFill="1" applyBorder="1" applyAlignment="1">
      <alignment horizontal="center" vertical="center" wrapText="1"/>
    </xf>
    <xf numFmtId="188" fontId="37" fillId="65" borderId="6" xfId="30" applyFont="1" applyFill="1" applyBorder="1" applyAlignment="1">
      <alignment horizontal="center" vertical="center" wrapText="1"/>
    </xf>
    <xf numFmtId="188" fontId="25" fillId="65" borderId="3" xfId="30" applyFont="1" applyFill="1" applyBorder="1" applyAlignment="1">
      <alignment horizontal="center" vertical="center" wrapText="1"/>
    </xf>
    <xf numFmtId="188" fontId="18" fillId="0" borderId="0" xfId="591" applyFont="1" applyAlignment="1" applyProtection="1">
      <alignment horizontal="center" vertical="center"/>
      <protection locked="0"/>
    </xf>
    <xf numFmtId="188" fontId="174" fillId="0" borderId="0" xfId="591" applyFont="1" applyAlignment="1" applyProtection="1">
      <alignment horizontal="center" vertical="center"/>
      <protection locked="0"/>
    </xf>
    <xf numFmtId="188" fontId="175" fillId="0" borderId="0" xfId="37" applyFont="1" applyBorder="1" applyAlignment="1">
      <alignment horizontal="center" vertical="center"/>
      <protection locked="0"/>
    </xf>
    <xf numFmtId="188" fontId="152" fillId="0" borderId="0" xfId="37" applyFont="1" applyBorder="1" applyAlignment="1">
      <alignment horizontal="center" vertical="center"/>
      <protection locked="0"/>
    </xf>
    <xf numFmtId="188" fontId="160" fillId="0" borderId="0" xfId="37" applyFont="1" applyBorder="1" applyAlignment="1">
      <alignment horizontal="center" vertical="center"/>
      <protection locked="0"/>
    </xf>
    <xf numFmtId="188" fontId="25" fillId="0" borderId="0" xfId="37" applyFont="1" applyBorder="1" applyAlignment="1">
      <alignment horizontal="center" vertical="center"/>
      <protection locked="0"/>
    </xf>
    <xf numFmtId="188" fontId="175" fillId="0" borderId="0" xfId="37" applyFont="1" applyAlignment="1">
      <alignment horizontal="center" vertical="center"/>
      <protection locked="0"/>
    </xf>
    <xf numFmtId="188" fontId="160" fillId="0" borderId="0" xfId="37" applyFont="1" applyAlignment="1">
      <alignment horizontal="center" vertical="center"/>
      <protection locked="0"/>
    </xf>
    <xf numFmtId="188" fontId="53" fillId="67" borderId="3" xfId="37" applyNumberFormat="1" applyFont="1" applyFill="1" applyBorder="1" applyAlignment="1" applyProtection="1">
      <alignment horizontal="center" vertical="center" wrapText="1"/>
    </xf>
    <xf numFmtId="188" fontId="168" fillId="67" borderId="3" xfId="37" applyNumberFormat="1" applyFont="1" applyFill="1" applyBorder="1" applyAlignment="1" applyProtection="1">
      <alignment horizontal="center" vertical="center" wrapText="1"/>
    </xf>
    <xf numFmtId="177" fontId="168" fillId="5" borderId="8" xfId="34" applyFont="1" applyFill="1" applyBorder="1" applyAlignment="1">
      <alignment horizontal="center" vertical="center" shrinkToFit="1"/>
    </xf>
    <xf numFmtId="177" fontId="168" fillId="5" borderId="5" xfId="34" applyFont="1" applyFill="1" applyBorder="1" applyAlignment="1">
      <alignment horizontal="center" vertical="center" shrinkToFit="1"/>
    </xf>
    <xf numFmtId="177" fontId="168" fillId="5" borderId="6" xfId="34" applyFont="1" applyFill="1" applyBorder="1" applyAlignment="1">
      <alignment horizontal="center" vertical="center" shrinkToFit="1"/>
    </xf>
    <xf numFmtId="188" fontId="166" fillId="67" borderId="8" xfId="37" applyNumberFormat="1" applyFont="1" applyFill="1" applyBorder="1" applyAlignment="1" applyProtection="1">
      <alignment horizontal="center" vertical="center" wrapText="1"/>
    </xf>
    <xf numFmtId="188" fontId="166" fillId="67" borderId="5" xfId="37" applyNumberFormat="1" applyFont="1" applyFill="1" applyBorder="1" applyAlignment="1" applyProtection="1">
      <alignment horizontal="center" vertical="center" wrapText="1"/>
    </xf>
    <xf numFmtId="188" fontId="166" fillId="67" borderId="6" xfId="37" applyNumberFormat="1" applyFont="1" applyFill="1" applyBorder="1" applyAlignment="1" applyProtection="1">
      <alignment horizontal="center" vertical="center" wrapText="1"/>
    </xf>
    <xf numFmtId="188" fontId="168" fillId="67" borderId="14" xfId="37" applyNumberFormat="1" applyFont="1" applyFill="1" applyBorder="1" applyAlignment="1" applyProtection="1">
      <alignment horizontal="center" vertical="center" wrapText="1"/>
    </xf>
    <xf numFmtId="188" fontId="168" fillId="67" borderId="9" xfId="37" applyNumberFormat="1" applyFont="1" applyFill="1" applyBorder="1" applyAlignment="1" applyProtection="1">
      <alignment horizontal="center" vertical="center" wrapText="1"/>
    </xf>
    <xf numFmtId="188" fontId="177" fillId="0" borderId="0" xfId="37" applyFont="1" applyBorder="1" applyAlignment="1">
      <alignment horizontal="center" vertical="center"/>
      <protection locked="0"/>
    </xf>
    <xf numFmtId="188" fontId="174" fillId="0" borderId="0" xfId="37" applyFont="1" applyBorder="1" applyAlignment="1">
      <alignment horizontal="center" vertical="center"/>
      <protection locked="0"/>
    </xf>
    <xf numFmtId="0" fontId="157" fillId="67" borderId="3" xfId="29" applyNumberFormat="1" applyFont="1" applyFill="1" applyBorder="1" applyAlignment="1" applyProtection="1">
      <alignment horizontal="center" vertical="center" wrapText="1"/>
    </xf>
    <xf numFmtId="188" fontId="53" fillId="67" borderId="14" xfId="37" applyNumberFormat="1" applyFont="1" applyFill="1" applyBorder="1" applyAlignment="1" applyProtection="1">
      <alignment horizontal="center" vertical="center" wrapText="1"/>
    </xf>
    <xf numFmtId="188" fontId="53" fillId="67" borderId="9" xfId="37" applyNumberFormat="1" applyFont="1" applyFill="1" applyBorder="1" applyAlignment="1" applyProtection="1">
      <alignment horizontal="center" vertical="center" wrapText="1"/>
    </xf>
    <xf numFmtId="0" fontId="166" fillId="67" borderId="3" xfId="29" applyNumberFormat="1" applyFont="1" applyFill="1" applyBorder="1" applyAlignment="1" applyProtection="1">
      <alignment horizontal="center" vertical="center" wrapText="1"/>
    </xf>
    <xf numFmtId="0" fontId="157" fillId="67" borderId="8" xfId="29" applyNumberFormat="1" applyFont="1" applyFill="1" applyBorder="1" applyAlignment="1" applyProtection="1">
      <alignment horizontal="center" vertical="center" wrapText="1"/>
    </xf>
    <xf numFmtId="0" fontId="157" fillId="67" borderId="5" xfId="29" applyNumberFormat="1" applyFont="1" applyFill="1" applyBorder="1" applyAlignment="1" applyProtection="1">
      <alignment horizontal="center" vertical="center" wrapText="1"/>
    </xf>
    <xf numFmtId="0" fontId="157" fillId="67" borderId="6" xfId="29" applyNumberFormat="1" applyFont="1" applyFill="1" applyBorder="1" applyAlignment="1" applyProtection="1">
      <alignment horizontal="center" vertical="center" wrapText="1"/>
    </xf>
    <xf numFmtId="188" fontId="25" fillId="65" borderId="3" xfId="592" applyFont="1" applyFill="1" applyBorder="1" applyAlignment="1">
      <alignment horizontal="center" vertical="center" wrapText="1"/>
    </xf>
    <xf numFmtId="188" fontId="37" fillId="65" borderId="3" xfId="592" applyFont="1" applyFill="1" applyBorder="1" applyAlignment="1">
      <alignment horizontal="center" vertical="center" wrapText="1"/>
    </xf>
    <xf numFmtId="188" fontId="37" fillId="65" borderId="14" xfId="592" applyFont="1" applyFill="1" applyBorder="1" applyAlignment="1">
      <alignment horizontal="center" vertical="center" wrapText="1"/>
    </xf>
    <xf numFmtId="188" fontId="25" fillId="65" borderId="9" xfId="592" applyFont="1" applyFill="1" applyBorder="1" applyAlignment="1">
      <alignment horizontal="center" vertical="center" wrapText="1"/>
    </xf>
    <xf numFmtId="188" fontId="25" fillId="65" borderId="14" xfId="592" applyFont="1" applyFill="1" applyBorder="1" applyAlignment="1">
      <alignment horizontal="center" vertical="center" wrapText="1"/>
    </xf>
    <xf numFmtId="188" fontId="37" fillId="65" borderId="8" xfId="592" applyFont="1" applyFill="1" applyBorder="1" applyAlignment="1">
      <alignment horizontal="center" vertical="center"/>
    </xf>
    <xf numFmtId="188" fontId="37" fillId="65" borderId="5" xfId="592" applyFont="1" applyFill="1" applyBorder="1" applyAlignment="1">
      <alignment horizontal="center" vertical="center"/>
    </xf>
    <xf numFmtId="188" fontId="37" fillId="65" borderId="6" xfId="592" applyFont="1" applyFill="1" applyBorder="1" applyAlignment="1">
      <alignment horizontal="center" vertical="center"/>
    </xf>
    <xf numFmtId="0" fontId="43" fillId="6" borderId="8" xfId="604" applyFont="1" applyFill="1" applyBorder="1" applyAlignment="1">
      <alignment horizontal="left" vertical="center" wrapText="1"/>
    </xf>
    <xf numFmtId="0" fontId="43" fillId="6" borderId="5" xfId="604" applyFont="1" applyFill="1" applyBorder="1" applyAlignment="1">
      <alignment horizontal="left" vertical="center" wrapText="1"/>
    </xf>
    <xf numFmtId="0" fontId="43" fillId="6" borderId="6" xfId="604" applyFont="1" applyFill="1" applyBorder="1" applyAlignment="1">
      <alignment horizontal="left" vertical="center" wrapText="1"/>
    </xf>
    <xf numFmtId="188" fontId="24" fillId="6" borderId="8" xfId="594" applyFont="1" applyFill="1" applyBorder="1" applyAlignment="1">
      <alignment horizontal="left" vertical="center" wrapText="1"/>
    </xf>
    <xf numFmtId="188" fontId="24" fillId="6" borderId="5" xfId="594" applyFont="1" applyFill="1" applyBorder="1" applyAlignment="1">
      <alignment horizontal="left" vertical="center" wrapText="1"/>
    </xf>
    <xf numFmtId="188" fontId="24" fillId="6" borderId="6" xfId="594" applyFont="1" applyFill="1" applyBorder="1" applyAlignment="1">
      <alignment horizontal="left" vertical="center" wrapText="1"/>
    </xf>
    <xf numFmtId="188" fontId="24" fillId="65" borderId="8" xfId="594" applyFont="1" applyFill="1" applyBorder="1" applyAlignment="1">
      <alignment horizontal="left" vertical="center" wrapText="1"/>
    </xf>
    <xf numFmtId="188" fontId="24" fillId="65" borderId="5" xfId="594" applyFont="1" applyFill="1" applyBorder="1" applyAlignment="1">
      <alignment horizontal="left" vertical="center" wrapText="1"/>
    </xf>
    <xf numFmtId="188" fontId="24" fillId="65" borderId="6" xfId="594" applyFont="1" applyFill="1" applyBorder="1" applyAlignment="1">
      <alignment horizontal="left" vertical="center" wrapText="1"/>
    </xf>
    <xf numFmtId="188" fontId="48" fillId="68" borderId="0" xfId="168" applyFont="1" applyFill="1" applyBorder="1" applyAlignment="1">
      <alignment horizontal="left" vertical="top" wrapText="1"/>
    </xf>
    <xf numFmtId="188" fontId="51" fillId="68" borderId="0" xfId="168" applyFont="1" applyFill="1" applyBorder="1" applyAlignment="1">
      <alignment horizontal="left" vertical="top" wrapText="1"/>
    </xf>
    <xf numFmtId="0" fontId="24" fillId="65" borderId="8" xfId="604" applyFont="1" applyFill="1" applyBorder="1" applyAlignment="1">
      <alignment horizontal="left" vertical="center" wrapText="1"/>
    </xf>
    <xf numFmtId="0" fontId="24" fillId="65" borderId="5" xfId="604" applyFont="1" applyFill="1" applyBorder="1" applyAlignment="1">
      <alignment horizontal="left" vertical="center" wrapText="1"/>
    </xf>
    <xf numFmtId="0" fontId="24" fillId="65" borderId="6" xfId="604" applyFont="1" applyFill="1" applyBorder="1" applyAlignment="1">
      <alignment horizontal="left" vertical="center" wrapText="1"/>
    </xf>
    <xf numFmtId="188" fontId="150" fillId="0" borderId="0" xfId="594" applyFont="1" applyFill="1" applyBorder="1" applyAlignment="1">
      <alignment horizontal="center" vertical="center"/>
    </xf>
    <xf numFmtId="188" fontId="179" fillId="0" borderId="0" xfId="594" applyFont="1" applyFill="1" applyBorder="1" applyAlignment="1">
      <alignment horizontal="center" vertical="center"/>
    </xf>
    <xf numFmtId="188" fontId="180" fillId="0" borderId="0" xfId="594" applyFont="1" applyFill="1" applyBorder="1" applyAlignment="1">
      <alignment horizontal="center" vertical="center" wrapText="1"/>
    </xf>
    <xf numFmtId="188" fontId="172" fillId="0" borderId="0" xfId="594" applyFont="1" applyFill="1" applyBorder="1" applyAlignment="1">
      <alignment horizontal="center" vertical="center"/>
    </xf>
    <xf numFmtId="188" fontId="37" fillId="65" borderId="3" xfId="594" applyFont="1" applyFill="1" applyBorder="1" applyAlignment="1">
      <alignment horizontal="center" vertical="center" wrapText="1"/>
    </xf>
    <xf numFmtId="188" fontId="25" fillId="65" borderId="3" xfId="594" applyFont="1" applyFill="1" applyBorder="1" applyAlignment="1">
      <alignment horizontal="center" vertical="center" wrapText="1"/>
    </xf>
    <xf numFmtId="0" fontId="24" fillId="65" borderId="3" xfId="604" applyFont="1" applyFill="1" applyBorder="1" applyAlignment="1">
      <alignment horizontal="left" vertical="center" wrapText="1"/>
    </xf>
  </cellXfs>
  <cellStyles count="605">
    <cellStyle name="_x000a_mouse.drv=lm" xfId="196"/>
    <cellStyle name="%" xfId="197"/>
    <cellStyle name="% 2" xfId="198"/>
    <cellStyle name="?" xfId="40"/>
    <cellStyle name="??" xfId="199"/>
    <cellStyle name="?? [0]" xfId="200"/>
    <cellStyle name="??_0N-HANDLING " xfId="201"/>
    <cellStyle name="?餡_x000c_k" xfId="41"/>
    <cellStyle name="?餡_x000c_k?_x000d_^" xfId="42"/>
    <cellStyle name="?餡_x000c_k?_x000d_^黇_x0001_??_x0007__x0001__x0001_" xfId="43"/>
    <cellStyle name="@_text" xfId="1"/>
    <cellStyle name="@_text_子公司附注汇总(房开公司)" xfId="202"/>
    <cellStyle name="_(本部)2006年年报审计PBC表" xfId="203"/>
    <cellStyle name="_07930建造合同" xfId="204"/>
    <cellStyle name="_12月项目部访问及审计-德勤" xfId="205"/>
    <cellStyle name="_2005-08-31审计底稿－李" xfId="206"/>
    <cellStyle name="_2005年工作底稿" xfId="207"/>
    <cellStyle name="_2005年工作底稿_3-2-A1B-银行存款" xfId="208"/>
    <cellStyle name="_2005年工作底稿_3-2-Z17A-固定资产" xfId="209"/>
    <cellStyle name="_2005年工作底稿_Sheet1" xfId="210"/>
    <cellStyle name="_2005审计报表及附注-中国建材股份模板（房屋）" xfId="44"/>
    <cellStyle name="_2006年年报审计PBC表（合并）" xfId="211"/>
    <cellStyle name="_2006年年报审计PBC表-XX" xfId="212"/>
    <cellStyle name="_2006年年报审计PBC表-XXX" xfId="45"/>
    <cellStyle name="_2006年年报审计PBC表-福州分公司" xfId="213"/>
    <cellStyle name="_2006年年报审计PBC表-云南分公司" xfId="214"/>
    <cellStyle name="_2006年年报审计填报资料" xfId="46"/>
    <cellStyle name="_2007调整分录-鲁佳" xfId="215"/>
    <cellStyle name="_3-2-A22-无形资产" xfId="216"/>
    <cellStyle name="_3-2-A4-应收账款" xfId="217"/>
    <cellStyle name="_A17固定资产" xfId="218"/>
    <cellStyle name="_A23无形资产" xfId="219"/>
    <cellStyle name="_A3应收票据" xfId="220"/>
    <cellStyle name="_A6应收账款" xfId="221"/>
    <cellStyle name="_A6应收账款_3-2-A1B-银行存款" xfId="222"/>
    <cellStyle name="_A6应收账款_3-2-Z17A-固定资产" xfId="223"/>
    <cellStyle name="_A6应收账款_Sheet1" xfId="224"/>
    <cellStyle name="_B10其他未交款" xfId="225"/>
    <cellStyle name="_B13预收账款2005" xfId="226"/>
    <cellStyle name="_B6应付工资" xfId="227"/>
    <cellStyle name="_B7应付福利费" xfId="228"/>
    <cellStyle name="_B9应交税金2005" xfId="229"/>
    <cellStyle name="_Book1" xfId="47"/>
    <cellStyle name="_CREC(Huo" xfId="230"/>
    <cellStyle name="_D11营业外支出" xfId="231"/>
    <cellStyle name="_D12所得税2005" xfId="232"/>
    <cellStyle name="_D1主营业务收入" xfId="233"/>
    <cellStyle name="_D3主营业务税金及附加" xfId="234"/>
    <cellStyle name="_D4其他业务利润" xfId="235"/>
    <cellStyle name="_ET_STYLE_NoName_00_" xfId="236"/>
    <cellStyle name="_ET_STYLE_NoName_00__2007调整分录-鲁佳" xfId="237"/>
    <cellStyle name="_ET_STYLE_NoName_00__股份本部" xfId="238"/>
    <cellStyle name="_ET_STYLE_NoName_00__股份本部_1" xfId="239"/>
    <cellStyle name="_ET_STYLE_NoName_00__股份本部_3" xfId="240"/>
    <cellStyle name="_ET_STYLE_NoName_00__股份本部_6_股份本部_2" xfId="241"/>
    <cellStyle name="_ET_STYLE_NoName_00__股份本部_7_股份本部_3" xfId="242"/>
    <cellStyle name="_J1000-存货-ZHHG" xfId="243"/>
    <cellStyle name="_PBC审核提示" xfId="48"/>
    <cellStyle name="_Sheet1" xfId="244"/>
    <cellStyle name="_宝丽华房地产20051231" xfId="49"/>
    <cellStyle name="_保证金-企业填写部分" xfId="50"/>
    <cellStyle name="_北新房屋2004年审-刘" xfId="51"/>
    <cellStyle name="_北新股份2005年审工作底稿" xfId="52"/>
    <cellStyle name="_北新建材关连交易基础表051230（10－12月版）更新稿" xfId="53"/>
    <cellStyle name="_北新建材-会计报表附注模版" xfId="54"/>
    <cellStyle name="_北新龙之星2004年审工作底稿" xfId="55"/>
    <cellStyle name="_北新物流2005底稿-刘" xfId="56"/>
    <cellStyle name="_北新置换memo" xfId="57"/>
    <cellStyle name="_本部其他应收应付年审底稿--鲁佳pb" xfId="245"/>
    <cellStyle name="_存货结转测试" xfId="58"/>
    <cellStyle name="_存货数量与明细05.12" xfId="59"/>
    <cellStyle name="_动力厂2004年审工作底稿-刘" xfId="60"/>
    <cellStyle name="_分工" xfId="61"/>
    <cellStyle name="_封面" xfId="246"/>
    <cellStyle name="_工程施工项目现场审计提示" xfId="62"/>
    <cellStyle name="_公司填表" xfId="247"/>
    <cellStyle name="_公司填表-2005蔡" xfId="248"/>
    <cellStyle name="_公司填表-2005李志刚" xfId="249"/>
    <cellStyle name="_公司填表2005-吴" xfId="250"/>
    <cellStyle name="_公司填表2005-吴_3-2-A1B-银行存款" xfId="251"/>
    <cellStyle name="_公司填表2005-吴_3-2-Z17A-固定资产" xfId="252"/>
    <cellStyle name="_公司填表2005-吴_Sheet1" xfId="253"/>
    <cellStyle name="_公司填表2005-修改" xfId="254"/>
    <cellStyle name="_公司填表2005-修改_3-2-A1B-银行存款" xfId="255"/>
    <cellStyle name="_公司填表2005-修改_3-2-Z17A-固定资产" xfId="256"/>
    <cellStyle name="_公司填表2005-修改_Sheet1" xfId="257"/>
    <cellStyle name="_公司填表2005-修改后" xfId="258"/>
    <cellStyle name="_公司填表2005-修改后_3-2-A1B-银行存款" xfId="259"/>
    <cellStyle name="_公司填表2005-修改后_3-2-Z17A-固定资产" xfId="260"/>
    <cellStyle name="_公司填表2005-修改后_Sheet1" xfId="261"/>
    <cellStyle name="_公司填表-2005杨" xfId="262"/>
    <cellStyle name="_关联交易" xfId="63"/>
    <cellStyle name="_关联交易、往来统计表" xfId="64"/>
    <cellStyle name="_合并报表审计调整模板(CREC)" xfId="263"/>
    <cellStyle name="_合并公司2006年度科目明细表(定稿)" xfId="264"/>
    <cellStyle name="_建造合同-宜万指（正式版）" xfId="65"/>
    <cellStyle name="_科目核对表" xfId="66"/>
    <cellStyle name="_刘青分工填列信息统计" xfId="265"/>
    <cellStyle name="_刘青分工－子公司审计模板-电务" xfId="266"/>
    <cellStyle name="_刘青分工－子公司审计模板－铁达本部" xfId="267"/>
    <cellStyle name="_母PL" xfId="67"/>
    <cellStyle name="_母公司底稿-鲁佳" xfId="268"/>
    <cellStyle name="_年审筹资循环资料清单" xfId="269"/>
    <cellStyle name="_凭证抽查-05年" xfId="270"/>
    <cellStyle name="_人员分工备忘录" xfId="68"/>
    <cellStyle name="_审计底稿-轩" xfId="271"/>
    <cellStyle name="_审计所需资料清单－子公司" xfId="69"/>
    <cellStyle name="_审计提示模版" xfId="272"/>
    <cellStyle name="_审计提示模版-母公司部分" xfId="273"/>
    <cellStyle name="_铁鸿源－刘青分工－子公司审计模板" xfId="274"/>
    <cellStyle name="_兴华审计成本" xfId="275"/>
    <cellStyle name="_岩土长投--急0121报王占学" xfId="276"/>
    <cellStyle name="_一公司建造合同前5名" xfId="70"/>
    <cellStyle name="_一公司－刘丰收" xfId="71"/>
    <cellStyle name="_银行询证函统计－大表" xfId="277"/>
    <cellStyle name="_应收账款账龄--04、05" xfId="278"/>
    <cellStyle name="_长期借款－江阴" xfId="72"/>
    <cellStyle name="_子公司筹资循环－刘青" xfId="279"/>
    <cellStyle name="_子公司审计提示模版-Liufs" xfId="73"/>
    <cellStyle name="_子公司填表" xfId="280"/>
    <cellStyle name="{Comma [0]}" xfId="2"/>
    <cellStyle name="{Comma}" xfId="3"/>
    <cellStyle name="{Date}" xfId="4"/>
    <cellStyle name="{Month}" xfId="5"/>
    <cellStyle name="{Percent}" xfId="6"/>
    <cellStyle name="{Thousand [0]}" xfId="7"/>
    <cellStyle name="{Thousand}" xfId="8"/>
    <cellStyle name="{Z'0000(1 dec)}" xfId="9"/>
    <cellStyle name="{Z'0000(4 dec)}" xfId="10"/>
    <cellStyle name="0%" xfId="74"/>
    <cellStyle name="0,0_x000d__x000a_NA_x000d__x000a_" xfId="281"/>
    <cellStyle name="0.0%" xfId="75"/>
    <cellStyle name="0.00%" xfId="76"/>
    <cellStyle name="00" xfId="282"/>
    <cellStyle name="20% - Accent1" xfId="77"/>
    <cellStyle name="20% - Accent2" xfId="78"/>
    <cellStyle name="20% - Accent3" xfId="79"/>
    <cellStyle name="20% - Accent4" xfId="80"/>
    <cellStyle name="20% - Accent5" xfId="81"/>
    <cellStyle name="20% - Accent6" xfId="82"/>
    <cellStyle name="40% - Accent1" xfId="83"/>
    <cellStyle name="40% - Accent2" xfId="84"/>
    <cellStyle name="40% - Accent3" xfId="85"/>
    <cellStyle name="40% - Accent4" xfId="86"/>
    <cellStyle name="40% - Accent5" xfId="87"/>
    <cellStyle name="40% - Accent6" xfId="88"/>
    <cellStyle name="60% - Accent1" xfId="89"/>
    <cellStyle name="60% - Accent2" xfId="90"/>
    <cellStyle name="60% - Accent3" xfId="91"/>
    <cellStyle name="60% - Accent4" xfId="92"/>
    <cellStyle name="60% - Accent5" xfId="93"/>
    <cellStyle name="60% - Accent6" xfId="94"/>
    <cellStyle name="AA FRAME" xfId="283"/>
    <cellStyle name="AA HEADING" xfId="284"/>
    <cellStyle name="AA INITIALS" xfId="285"/>
    <cellStyle name="AA INPUT" xfId="286"/>
    <cellStyle name="AA LOCK" xfId="287"/>
    <cellStyle name="AA MGR NAME" xfId="288"/>
    <cellStyle name="AA NORMAL" xfId="289"/>
    <cellStyle name="AA NUMBER" xfId="290"/>
    <cellStyle name="AA NUMBER2" xfId="291"/>
    <cellStyle name="AA QUESTION" xfId="292"/>
    <cellStyle name="AA SHADE" xfId="293"/>
    <cellStyle name="Accent1" xfId="95"/>
    <cellStyle name="Accent1 - 20%" xfId="294"/>
    <cellStyle name="Accent1 - 40%" xfId="295"/>
    <cellStyle name="Accent1 - 60%" xfId="296"/>
    <cellStyle name="Accent2" xfId="96"/>
    <cellStyle name="Accent2 - 20%" xfId="297"/>
    <cellStyle name="Accent2 - 40%" xfId="298"/>
    <cellStyle name="Accent2 - 60%" xfId="299"/>
    <cellStyle name="Accent3" xfId="97"/>
    <cellStyle name="Accent3 - 20%" xfId="300"/>
    <cellStyle name="Accent3 - 40%" xfId="301"/>
    <cellStyle name="Accent3 - 60%" xfId="302"/>
    <cellStyle name="Accent4" xfId="98"/>
    <cellStyle name="Accent4 - 20%" xfId="303"/>
    <cellStyle name="Accent4 - 40%" xfId="304"/>
    <cellStyle name="Accent4 - 60%" xfId="305"/>
    <cellStyle name="Accent5" xfId="99"/>
    <cellStyle name="Accent5 - 20%" xfId="306"/>
    <cellStyle name="Accent5 - 40%" xfId="307"/>
    <cellStyle name="Accent5 - 60%" xfId="308"/>
    <cellStyle name="Accent6" xfId="100"/>
    <cellStyle name="Accent6 - 20%" xfId="309"/>
    <cellStyle name="Accent6 - 40%" xfId="310"/>
    <cellStyle name="Accent6 - 60%" xfId="311"/>
    <cellStyle name="args.style" xfId="312"/>
    <cellStyle name="Bad" xfId="101"/>
    <cellStyle name="Black" xfId="11"/>
    <cellStyle name="Border" xfId="12"/>
    <cellStyle name="Calc Currency (0)" xfId="102"/>
    <cellStyle name="Calc Currency (2)" xfId="313"/>
    <cellStyle name="Calc Percent (0)" xfId="314"/>
    <cellStyle name="Calc Percent (1)" xfId="315"/>
    <cellStyle name="Calc Percent (2)" xfId="316"/>
    <cellStyle name="Calc Units (0)" xfId="317"/>
    <cellStyle name="Calc Units (1)" xfId="318"/>
    <cellStyle name="Calc Units (2)" xfId="319"/>
    <cellStyle name="Calculation" xfId="103"/>
    <cellStyle name="category" xfId="320"/>
    <cellStyle name="Check Cell" xfId="104"/>
    <cellStyle name="Col Heads" xfId="105"/>
    <cellStyle name="Column_Title" xfId="106"/>
    <cellStyle name="Comma  - Style1" xfId="107"/>
    <cellStyle name="Comma  - Style2" xfId="108"/>
    <cellStyle name="Comma  - Style3" xfId="109"/>
    <cellStyle name="Comma  - Style4" xfId="110"/>
    <cellStyle name="Comma  - Style5" xfId="111"/>
    <cellStyle name="Comma  - Style6" xfId="112"/>
    <cellStyle name="Comma  - Style7" xfId="113"/>
    <cellStyle name="Comma  - Style8" xfId="114"/>
    <cellStyle name="Comma [0]" xfId="321"/>
    <cellStyle name="Comma [00]" xfId="322"/>
    <cellStyle name="Comma 28" xfId="323"/>
    <cellStyle name="comma zerodec" xfId="324"/>
    <cellStyle name="Comma,0" xfId="115"/>
    <cellStyle name="Comma,1" xfId="116"/>
    <cellStyle name="Comma,2" xfId="117"/>
    <cellStyle name="Comma_ rislugp" xfId="118"/>
    <cellStyle name="Copied" xfId="325"/>
    <cellStyle name="COST1" xfId="326"/>
    <cellStyle name="Currency [0]" xfId="327"/>
    <cellStyle name="Currency [00]" xfId="328"/>
    <cellStyle name="Currency,0" xfId="119"/>
    <cellStyle name="Currency,2" xfId="120"/>
    <cellStyle name="Currency_ rislugp" xfId="121"/>
    <cellStyle name="Currency1" xfId="329"/>
    <cellStyle name="Date" xfId="330"/>
    <cellStyle name="Date Short" xfId="331"/>
    <cellStyle name="Date_ A1-货币资金审定表" xfId="332"/>
    <cellStyle name="Dezimal [0]_laroux" xfId="13"/>
    <cellStyle name="Dezimal_laroux" xfId="14"/>
    <cellStyle name="Dollar (zero dec)" xfId="333"/>
    <cellStyle name="E&amp;Y House" xfId="334"/>
    <cellStyle name="Enter Currency (0)" xfId="335"/>
    <cellStyle name="Enter Currency (2)" xfId="336"/>
    <cellStyle name="Enter Units (0)" xfId="337"/>
    <cellStyle name="Enter Units (1)" xfId="338"/>
    <cellStyle name="Enter Units (2)" xfId="339"/>
    <cellStyle name="Entered" xfId="340"/>
    <cellStyle name="entry" xfId="122"/>
    <cellStyle name="entry box" xfId="123"/>
    <cellStyle name="Euro" xfId="15"/>
    <cellStyle name="Explanatory Text" xfId="124"/>
    <cellStyle name="F2" xfId="341"/>
    <cellStyle name="F3" xfId="342"/>
    <cellStyle name="F4" xfId="343"/>
    <cellStyle name="F5" xfId="344"/>
    <cellStyle name="F6" xfId="345"/>
    <cellStyle name="F7" xfId="346"/>
    <cellStyle name="F8" xfId="347"/>
    <cellStyle name="Fixed" xfId="348"/>
    <cellStyle name="Followed Hyperlink_AheadBehind.xls Chart 23" xfId="16"/>
    <cellStyle name="Good" xfId="125"/>
    <cellStyle name="Grey" xfId="17"/>
    <cellStyle name="HEADER" xfId="349"/>
    <cellStyle name="Header1" xfId="126"/>
    <cellStyle name="Header2" xfId="127"/>
    <cellStyle name="Heading" xfId="128"/>
    <cellStyle name="Heading 1" xfId="129"/>
    <cellStyle name="Heading 2" xfId="130"/>
    <cellStyle name="Heading 3" xfId="131"/>
    <cellStyle name="Heading 4" xfId="132"/>
    <cellStyle name="Heading1" xfId="350"/>
    <cellStyle name="Heading2" xfId="351"/>
    <cellStyle name="Hyperlink_AheadBehind.xls Chart 23" xfId="18"/>
    <cellStyle name="Input" xfId="133"/>
    <cellStyle name="Input [yellow]" xfId="19"/>
    <cellStyle name="Input Cells" xfId="352"/>
    <cellStyle name="left" xfId="134"/>
    <cellStyle name="Link Currency (0)" xfId="353"/>
    <cellStyle name="Link Currency (2)" xfId="354"/>
    <cellStyle name="Link Units (0)" xfId="355"/>
    <cellStyle name="Link Units (1)" xfId="356"/>
    <cellStyle name="Link Units (2)" xfId="357"/>
    <cellStyle name="Linked Cell" xfId="135"/>
    <cellStyle name="Linked Cells" xfId="358"/>
    <cellStyle name="Millares [0]_laroux" xfId="136"/>
    <cellStyle name="Millares_laroux" xfId="137"/>
    <cellStyle name="Milliers [0]_!!!GO" xfId="359"/>
    <cellStyle name="Milliers_!!!GO" xfId="360"/>
    <cellStyle name="Model" xfId="361"/>
    <cellStyle name="Moneda [0]_laroux" xfId="138"/>
    <cellStyle name="Moneda_laroux" xfId="139"/>
    <cellStyle name="Monétaire [0]_!!!GO" xfId="362"/>
    <cellStyle name="Monétaire_!!!GO" xfId="363"/>
    <cellStyle name="Mon閠aire [0]_laroux" xfId="140"/>
    <cellStyle name="Mon閠aire_laroux" xfId="141"/>
    <cellStyle name="Neutral" xfId="142"/>
    <cellStyle name="New Times Roman" xfId="364"/>
    <cellStyle name="no dec" xfId="143"/>
    <cellStyle name="Non défini" xfId="20"/>
    <cellStyle name="Normal - Style1" xfId="21"/>
    <cellStyle name="Normal 2" xfId="32"/>
    <cellStyle name="Normal 2 2" xfId="144"/>
    <cellStyle name="Normal 2 3" xfId="599"/>
    <cellStyle name="Normal 21" xfId="365"/>
    <cellStyle name="Normal 3 2" xfId="145"/>
    <cellStyle name="Normal_ rislugp" xfId="146"/>
    <cellStyle name="Normalny_Arkusz1" xfId="147"/>
    <cellStyle name="Note" xfId="148"/>
    <cellStyle name="Œ…‹æØ‚è [0.00]_Region Orders (2)" xfId="366"/>
    <cellStyle name="Œ…‹æØ‚è_Region Orders (2)" xfId="367"/>
    <cellStyle name="Output" xfId="149"/>
    <cellStyle name="per.style" xfId="368"/>
    <cellStyle name="Percent (0)" xfId="150"/>
    <cellStyle name="Percent [0]" xfId="369"/>
    <cellStyle name="Percent [00]" xfId="370"/>
    <cellStyle name="Percent [2]" xfId="22"/>
    <cellStyle name="Percent 2" xfId="600"/>
    <cellStyle name="Percent_!!!GO" xfId="371"/>
    <cellStyle name="Pourcentage_pldt" xfId="372"/>
    <cellStyle name="Prefilled" xfId="151"/>
    <cellStyle name="PrePop Currency (0)" xfId="373"/>
    <cellStyle name="PrePop Currency (2)" xfId="374"/>
    <cellStyle name="PrePop Units (0)" xfId="375"/>
    <cellStyle name="PrePop Units (1)" xfId="376"/>
    <cellStyle name="PrePop Units (2)" xfId="377"/>
    <cellStyle name="price" xfId="152"/>
    <cellStyle name="pricing" xfId="378"/>
    <cellStyle name="PSChar" xfId="379"/>
    <cellStyle name="PSHeading" xfId="380"/>
    <cellStyle name="Red" xfId="23"/>
    <cellStyle name="revised" xfId="153"/>
    <cellStyle name="RevList" xfId="381"/>
    <cellStyle name="row_def_array" xfId="382"/>
    <cellStyle name="S4" xfId="383"/>
    <cellStyle name="S5" xfId="384"/>
    <cellStyle name="SAPBEXaggData" xfId="385"/>
    <cellStyle name="SAPBEXaggDataEmph" xfId="386"/>
    <cellStyle name="SAPBEXaggItem" xfId="387"/>
    <cellStyle name="SAPBEXaggItemX" xfId="388"/>
    <cellStyle name="SAPBEXchaText" xfId="389"/>
    <cellStyle name="SAPBEXexcBad7" xfId="390"/>
    <cellStyle name="SAPBEXexcBad8" xfId="391"/>
    <cellStyle name="SAPBEXexcBad9" xfId="392"/>
    <cellStyle name="SAPBEXexcCritical4" xfId="393"/>
    <cellStyle name="SAPBEXexcCritical5" xfId="394"/>
    <cellStyle name="SAPBEXexcCritical6" xfId="395"/>
    <cellStyle name="SAPBEXexcGood1" xfId="396"/>
    <cellStyle name="SAPBEXexcGood2" xfId="397"/>
    <cellStyle name="SAPBEXexcGood3" xfId="398"/>
    <cellStyle name="SAPBEXfilterDrill" xfId="399"/>
    <cellStyle name="SAPBEXfilterItem" xfId="400"/>
    <cellStyle name="SAPBEXfilterText" xfId="401"/>
    <cellStyle name="SAPBEXformats" xfId="402"/>
    <cellStyle name="SAPBEXheaderItem" xfId="403"/>
    <cellStyle name="SAPBEXheaderText" xfId="404"/>
    <cellStyle name="SAPBEXHLevel0" xfId="405"/>
    <cellStyle name="SAPBEXHLevel0X" xfId="406"/>
    <cellStyle name="SAPBEXHLevel1" xfId="407"/>
    <cellStyle name="SAPBEXHLevel1X" xfId="408"/>
    <cellStyle name="SAPBEXHLevel2" xfId="409"/>
    <cellStyle name="SAPBEXHLevel2X" xfId="410"/>
    <cellStyle name="SAPBEXHLevel3" xfId="411"/>
    <cellStyle name="SAPBEXHLevel3X" xfId="412"/>
    <cellStyle name="SAPBEXresData" xfId="413"/>
    <cellStyle name="SAPBEXresDataEmph" xfId="414"/>
    <cellStyle name="SAPBEXresItem" xfId="415"/>
    <cellStyle name="SAPBEXresItemX" xfId="416"/>
    <cellStyle name="SAPBEXstdData" xfId="417"/>
    <cellStyle name="SAPBEXstdDataEmph" xfId="418"/>
    <cellStyle name="SAPBEXstdItem" xfId="419"/>
    <cellStyle name="SAPBEXstdItemX" xfId="420"/>
    <cellStyle name="SAPBEXtitle" xfId="421"/>
    <cellStyle name="SAPBEXundefined" xfId="422"/>
    <cellStyle name="section" xfId="154"/>
    <cellStyle name="SOR" xfId="423"/>
    <cellStyle name="Standard_AREAS" xfId="424"/>
    <cellStyle name="style" xfId="155"/>
    <cellStyle name="style1" xfId="156"/>
    <cellStyle name="style2" xfId="157"/>
    <cellStyle name="subhead" xfId="425"/>
    <cellStyle name="Subtotal" xfId="426"/>
    <cellStyle name="Text Indent A" xfId="427"/>
    <cellStyle name="Text Indent B" xfId="428"/>
    <cellStyle name="Text Indent C" xfId="429"/>
    <cellStyle name="Tickmark" xfId="158"/>
    <cellStyle name="title" xfId="159"/>
    <cellStyle name="Total" xfId="160"/>
    <cellStyle name="Tusental (0)_pldt" xfId="430"/>
    <cellStyle name="Tusental_pldt" xfId="431"/>
    <cellStyle name="Valuta (0)_pldt" xfId="432"/>
    <cellStyle name="Valuta_pldt" xfId="433"/>
    <cellStyle name="Warning Text" xfId="161"/>
    <cellStyle name="wrap" xfId="162"/>
    <cellStyle name="パーセント_laroux" xfId="163"/>
    <cellStyle name="_PLDT" xfId="434"/>
    <cellStyle name="_laroux" xfId="435"/>
    <cellStyle name="だ[0]_PLDT" xfId="436"/>
    <cellStyle name="だ_PLDT" xfId="437"/>
    <cellStyle name="だ[0]_Total (2)" xfId="438"/>
    <cellStyle name="だ_laroux" xfId="439"/>
    <cellStyle name="百分比 2" xfId="164"/>
    <cellStyle name="百分比 2 2" xfId="586"/>
    <cellStyle name="百分比 3" xfId="165"/>
    <cellStyle name="百分比 4" xfId="593"/>
    <cellStyle name="捠壿 [0.00]_PRODUCT DETAIL Q1" xfId="440"/>
    <cellStyle name="捠壿_PRODUCT DETAIL Q1" xfId="441"/>
    <cellStyle name="標準_１１月価格表" xfId="166"/>
    <cellStyle name="表标题" xfId="442"/>
    <cellStyle name="差_10存货" xfId="443"/>
    <cellStyle name="差_19-无形资产（空白模板）" xfId="444"/>
    <cellStyle name="差_2-交易性金融资产（空白模板）" xfId="445"/>
    <cellStyle name="差_2应收账款" xfId="446"/>
    <cellStyle name="差_3-2 进一步审计程序-采购与付款循环" xfId="447"/>
    <cellStyle name="差_3-3 进一步审计程序-存货与生产循环" xfId="448"/>
    <cellStyle name="差_37-长期借款（空白模板）" xfId="449"/>
    <cellStyle name="差_49-营业收入（空白模板）" xfId="450"/>
    <cellStyle name="差_4-应收账款（空白模板）" xfId="451"/>
    <cellStyle name="差_50-营业成本（空白模板）" xfId="452"/>
    <cellStyle name="差_51-营业税金及附加（空白模板）" xfId="453"/>
    <cellStyle name="差_54-财务费用（空白模板）" xfId="454"/>
    <cellStyle name="差_55-资产减值损失（空白模板）" xfId="455"/>
    <cellStyle name="差_9管理费用" xfId="456"/>
    <cellStyle name="差_Book2" xfId="457"/>
    <cellStyle name="差_dxn底稿目录" xfId="458"/>
    <cellStyle name="差_Sheet1" xfId="459"/>
    <cellStyle name="差_StartUp" xfId="460"/>
    <cellStyle name="差_T1000-主营业务收入-LJCH" xfId="461"/>
    <cellStyle name="差_Z14-长期应收款（函证汇总表样本）" xfId="462"/>
    <cellStyle name="差_ZA0货币资金审定表 " xfId="463"/>
    <cellStyle name="差_财务费用" xfId="464"/>
    <cellStyle name="差_程序表模版" xfId="465"/>
    <cellStyle name="差_存货" xfId="466"/>
    <cellStyle name="差_大信底稿目录" xfId="467"/>
    <cellStyle name="差_底稿设置宏" xfId="468"/>
    <cellStyle name="差_管理费用" xfId="469"/>
    <cellStyle name="差_货币资金" xfId="470"/>
    <cellStyle name="差_货币资金 天职" xfId="471"/>
    <cellStyle name="差_货币资金 岳华" xfId="472"/>
    <cellStyle name="差_其他应付款" xfId="473"/>
    <cellStyle name="差_其他应付款—YH" xfId="474"/>
    <cellStyle name="差_未分配利润" xfId="475"/>
    <cellStyle name="差_无形资产" xfId="476"/>
    <cellStyle name="差_应付账款" xfId="478"/>
    <cellStyle name="差_应付职工薪酬" xfId="479"/>
    <cellStyle name="差_应收账款" xfId="480"/>
    <cellStyle name="差_盈余公积" xfId="477"/>
    <cellStyle name="差_长期应付款" xfId="481"/>
    <cellStyle name="差_账项明细表" xfId="482"/>
    <cellStyle name="差_资本公积" xfId="483"/>
    <cellStyle name="差_资产负债标准底稿" xfId="484"/>
    <cellStyle name="差_资产负债类底稿模版" xfId="485"/>
    <cellStyle name="差_子公司附注汇总(房开公司)" xfId="486"/>
    <cellStyle name="常规" xfId="0" builtinId="0"/>
    <cellStyle name="常规 10" xfId="598"/>
    <cellStyle name="常规 2" xfId="29"/>
    <cellStyle name="常规 2 2" xfId="39"/>
    <cellStyle name="常规 2 2 2" xfId="167"/>
    <cellStyle name="常规 2 2 3" xfId="487"/>
    <cellStyle name="常规 2 2 4" xfId="591"/>
    <cellStyle name="常规 2 3" xfId="168"/>
    <cellStyle name="常规 2 3 2" xfId="594"/>
    <cellStyle name="常规 2 3 3" xfId="604"/>
    <cellStyle name="常规 2 4" xfId="488"/>
    <cellStyle name="常规 2 5" xfId="597"/>
    <cellStyle name="常规 2 8" xfId="37"/>
    <cellStyle name="常规 2_10存货" xfId="489"/>
    <cellStyle name="常规 3" xfId="31"/>
    <cellStyle name="常规 3 2" xfId="35"/>
    <cellStyle name="常规 3 2 2" xfId="169"/>
    <cellStyle name="常规 3 2 3" xfId="601"/>
    <cellStyle name="常规 3 3" xfId="490"/>
    <cellStyle name="常规 3_10存货" xfId="491"/>
    <cellStyle name="常规 4" xfId="36"/>
    <cellStyle name="常规 4 2" xfId="492"/>
    <cellStyle name="常规 4 3" xfId="584"/>
    <cellStyle name="常规 5" xfId="170"/>
    <cellStyle name="常规 5 2" xfId="171"/>
    <cellStyle name="常规 6" xfId="38"/>
    <cellStyle name="常规 6 2" xfId="189"/>
    <cellStyle name="常规 6 2 2" xfId="193"/>
    <cellStyle name="常规 6 3" xfId="190"/>
    <cellStyle name="常规 6 3 2" xfId="194"/>
    <cellStyle name="常规 6 4" xfId="192"/>
    <cellStyle name="常规 6 5" xfId="191"/>
    <cellStyle name="常规 6 6" xfId="592"/>
    <cellStyle name="常规 6 6 2" xfId="603"/>
    <cellStyle name="常规 7" xfId="195"/>
    <cellStyle name="常规 7 2" xfId="583"/>
    <cellStyle name="常规 7 3" xfId="588"/>
    <cellStyle name="常规 8" xfId="493"/>
    <cellStyle name="常规 9" xfId="590"/>
    <cellStyle name="常规_B2.9审计风险评估" xfId="595"/>
    <cellStyle name="常规_Book1" xfId="24"/>
    <cellStyle name="常规_Book1 2" xfId="587"/>
    <cellStyle name="常规_WOOKSHEET2" xfId="33"/>
    <cellStyle name="常规_非关联方函证信息" xfId="30"/>
    <cellStyle name="常规_进一步审计程序--销售与收款循环" xfId="25"/>
    <cellStyle name="常规_新审定表" xfId="26"/>
    <cellStyle name="超级链接_A4应收账款" xfId="494"/>
    <cellStyle name="超链接" xfId="27" builtinId="8"/>
    <cellStyle name="超链接 2" xfId="172"/>
    <cellStyle name="超链接 2 2" xfId="173"/>
    <cellStyle name="超链接 3" xfId="495"/>
    <cellStyle name="超链接 3 2" xfId="585"/>
    <cellStyle name="分级显示行_1_4附件二凯旋评估表" xfId="174"/>
    <cellStyle name="好_10存货" xfId="496"/>
    <cellStyle name="好_19-无形资产（空白模板）" xfId="497"/>
    <cellStyle name="好_1财务费用" xfId="498"/>
    <cellStyle name="好_1营业收入" xfId="499"/>
    <cellStyle name="好_1资产减值损失" xfId="500"/>
    <cellStyle name="好_2-交易性金融资产（空白模板）" xfId="501"/>
    <cellStyle name="好_2应收账款" xfId="502"/>
    <cellStyle name="好_3-2 进一步审计程序-采购与付款循环" xfId="503"/>
    <cellStyle name="好_3-3 进一步审计程序-存货与生产循环" xfId="504"/>
    <cellStyle name="好_37-长期借款（空白模板）" xfId="505"/>
    <cellStyle name="好_49-营业收入（空白模板）" xfId="506"/>
    <cellStyle name="好_4-应收账款（空白模板）" xfId="507"/>
    <cellStyle name="好_50-营业成本（空白模板）" xfId="508"/>
    <cellStyle name="好_51-营业税金及附加（空白模板）" xfId="509"/>
    <cellStyle name="好_54-财务费用（空白模板）" xfId="510"/>
    <cellStyle name="好_55-资产减值损失（空白模板）" xfId="511"/>
    <cellStyle name="好_9管理费用" xfId="512"/>
    <cellStyle name="好_Book2" xfId="513"/>
    <cellStyle name="好_Sheet1" xfId="514"/>
    <cellStyle name="好_StartUp" xfId="515"/>
    <cellStyle name="好_T1000-主营业务收入" xfId="516"/>
    <cellStyle name="好_Z14-长期应收款（函证汇总表样本）" xfId="517"/>
    <cellStyle name="好_ZA0货币资金审定表 " xfId="518"/>
    <cellStyle name="好_财务费用" xfId="519"/>
    <cellStyle name="好_程序表模版" xfId="520"/>
    <cellStyle name="好_存货" xfId="521"/>
    <cellStyle name="好_存货 - 复制" xfId="522"/>
    <cellStyle name="好_大信底稿目录" xfId="523"/>
    <cellStyle name="好_底稿设置宏" xfId="524"/>
    <cellStyle name="好_底稿设置宏_大信底稿目录" xfId="525"/>
    <cellStyle name="好_管理费用" xfId="526"/>
    <cellStyle name="好_货币资金" xfId="527"/>
    <cellStyle name="好_货币资金 天职" xfId="528"/>
    <cellStyle name="好_货币资金 岳华" xfId="529"/>
    <cellStyle name="好_其他应付款" xfId="530"/>
    <cellStyle name="好_其他应付款—YH" xfId="531"/>
    <cellStyle name="好_其他应收款" xfId="532"/>
    <cellStyle name="好_实收资本(股本)" xfId="533"/>
    <cellStyle name="好_未分配利润" xfId="534"/>
    <cellStyle name="好_无形资产" xfId="535"/>
    <cellStyle name="好_银行函证结果汇总表" xfId="536"/>
    <cellStyle name="好_应付债券" xfId="539"/>
    <cellStyle name="好_应付账款" xfId="540"/>
    <cellStyle name="好_应付职工薪酬" xfId="541"/>
    <cellStyle name="好_应收利息" xfId="542"/>
    <cellStyle name="好_应收账款" xfId="543"/>
    <cellStyle name="好_盈余公积" xfId="537"/>
    <cellStyle name="好_营业收入" xfId="538"/>
    <cellStyle name="好_预收款项" xfId="544"/>
    <cellStyle name="好_长期借款—TZ" xfId="545"/>
    <cellStyle name="好_长期应付款" xfId="546"/>
    <cellStyle name="好_账项明细表" xfId="547"/>
    <cellStyle name="好_资本公积" xfId="548"/>
    <cellStyle name="好_资产负债标准底稿" xfId="549"/>
    <cellStyle name="好_资产负债标准底稿_大信底稿目录" xfId="550"/>
    <cellStyle name="好_资产负债类底稿模版" xfId="551"/>
    <cellStyle name="好_资产负债类底稿模版_大信底稿目录" xfId="552"/>
    <cellStyle name="好_资产减值损失" xfId="553"/>
    <cellStyle name="好_子公司附注汇总(房开公司)" xfId="554"/>
    <cellStyle name="桁区切り [0.00]_１１月価格表" xfId="175"/>
    <cellStyle name="桁区切り_１１月価格表" xfId="176"/>
    <cellStyle name="貨幣 [0]_SGV" xfId="555"/>
    <cellStyle name="貨幣_SGV" xfId="556"/>
    <cellStyle name="霓付 [0]_1202" xfId="557"/>
    <cellStyle name="霓付_1202" xfId="558"/>
    <cellStyle name="妞" xfId="559"/>
    <cellStyle name="欧" xfId="560"/>
    <cellStyle name="烹拳 [0]_1202" xfId="561"/>
    <cellStyle name="烹拳_1202" xfId="562"/>
    <cellStyle name="砯刽 [0]_PLDT" xfId="563"/>
    <cellStyle name="砯刽_PLDT" xfId="564"/>
    <cellStyle name="普通_ 白土" xfId="177"/>
    <cellStyle name="千分位[0]_ 白土" xfId="178"/>
    <cellStyle name="千分位_ 白土" xfId="179"/>
    <cellStyle name="千位[0]_ 应交税金审定表" xfId="565"/>
    <cellStyle name="千位_ 应交税金审定表" xfId="566"/>
    <cellStyle name="千位分隔" xfId="28" builtinId="3"/>
    <cellStyle name="千位分隔 2" xfId="34"/>
    <cellStyle name="千位分隔 2 2" xfId="567"/>
    <cellStyle name="千位分隔 2 2 2" xfId="602"/>
    <cellStyle name="千位分隔 2 3" xfId="568"/>
    <cellStyle name="千位分隔 2 4" xfId="596"/>
    <cellStyle name="千位分隔 3" xfId="180"/>
    <cellStyle name="千位分隔 3 2" xfId="569"/>
    <cellStyle name="千位分隔 3 3" xfId="570"/>
    <cellStyle name="千位分隔 4" xfId="571"/>
    <cellStyle name="千位分隔 5" xfId="572"/>
    <cellStyle name="千位分隔 6" xfId="589"/>
    <cellStyle name="千位分隔[0] 2" xfId="573"/>
    <cellStyle name="钎霖_(沥焊何巩)岿喊牢盔拌裙" xfId="574"/>
    <cellStyle name="强调 1" xfId="575"/>
    <cellStyle name="强调 2" xfId="576"/>
    <cellStyle name="强调 3" xfId="577"/>
    <cellStyle name="通貨 [0.00]_１１月価格表" xfId="181"/>
    <cellStyle name="通貨_１１月価格表" xfId="182"/>
    <cellStyle name="样式 1" xfId="183"/>
    <cellStyle name="一般_SGV" xfId="578"/>
    <cellStyle name="昗弨_BOOKSHIP" xfId="579"/>
    <cellStyle name="寘嬫愗傝 [0.00]_PRODUCT DETAIL Q1" xfId="580"/>
    <cellStyle name="寘嬫愗傝_PRODUCT DETAIL Q1" xfId="581"/>
    <cellStyle name="资产" xfId="582"/>
    <cellStyle name="콤마 [0]_BOILER-CO1" xfId="184"/>
    <cellStyle name="콤마_BOILER-CO1" xfId="185"/>
    <cellStyle name="통화 [0]_BOILER-CO1" xfId="186"/>
    <cellStyle name="통화_BOILER-CO1" xfId="187"/>
    <cellStyle name="표준_0N-HANDLING " xfId="188"/>
  </cellStyles>
  <dxfs count="0"/>
  <tableStyles count="0" defaultTableStyle="TableStyleMedium9" defaultPivotStyle="PivotStyleLight16"/>
  <colors>
    <mruColors>
      <color rgb="FFE4DFEC"/>
      <color rgb="FF0000FF"/>
      <color rgb="FFDCD5E5"/>
      <color rgb="FFFFFF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9"/>
  <sheetViews>
    <sheetView tabSelected="1" zoomScaleNormal="100" workbookViewId="0"/>
  </sheetViews>
  <sheetFormatPr defaultRowHeight="20.100000000000001" customHeight="1"/>
  <cols>
    <col min="1" max="1" width="77.59765625" style="6" customWidth="1"/>
    <col min="2" max="2" width="2" style="6" customWidth="1"/>
    <col min="3" max="3" width="2.09765625" style="6" customWidth="1"/>
    <col min="4" max="4" width="6.09765625" style="7" customWidth="1"/>
    <col min="5" max="5" width="33.69921875" style="7" customWidth="1"/>
    <col min="6" max="6" width="8.8984375" style="268" customWidth="1"/>
    <col min="7" max="7" width="10.796875" customWidth="1"/>
  </cols>
  <sheetData>
    <row r="1" spans="1:8" s="3" customFormat="1" ht="20.100000000000001" customHeight="1">
      <c r="A1" s="16" t="s">
        <v>264</v>
      </c>
      <c r="B1" s="4"/>
      <c r="C1" s="4"/>
      <c r="F1" s="267"/>
    </row>
    <row r="2" spans="1:8" ht="20.100000000000001" customHeight="1">
      <c r="A2" s="34" t="s">
        <v>395</v>
      </c>
      <c r="B2" s="5"/>
      <c r="C2" s="5"/>
      <c r="G2" s="1"/>
      <c r="H2" s="1"/>
    </row>
    <row r="3" spans="1:8" ht="20.100000000000001" customHeight="1">
      <c r="A3" s="298" t="s">
        <v>413</v>
      </c>
      <c r="B3" s="5"/>
      <c r="C3" s="5"/>
      <c r="D3" s="9"/>
      <c r="E3" s="10"/>
      <c r="F3" s="9"/>
      <c r="G3" s="1"/>
      <c r="H3" s="2"/>
    </row>
    <row r="4" spans="1:8" ht="20.100000000000001" customHeight="1">
      <c r="A4" s="293" t="s">
        <v>396</v>
      </c>
      <c r="D4" s="13" t="s">
        <v>27</v>
      </c>
      <c r="E4" s="13" t="s">
        <v>238</v>
      </c>
      <c r="F4" s="13" t="s">
        <v>28</v>
      </c>
      <c r="G4" s="13" t="s">
        <v>29</v>
      </c>
      <c r="H4" s="30"/>
    </row>
    <row r="5" spans="1:8" ht="20.100000000000001" customHeight="1">
      <c r="A5" s="293" t="s">
        <v>397</v>
      </c>
      <c r="D5" s="226">
        <v>1</v>
      </c>
      <c r="E5" s="270" t="s">
        <v>321</v>
      </c>
      <c r="F5" s="269" t="s">
        <v>341</v>
      </c>
      <c r="G5" s="31"/>
      <c r="H5" s="11"/>
    </row>
    <row r="6" spans="1:8" ht="18" customHeight="1">
      <c r="A6" s="293" t="s">
        <v>398</v>
      </c>
      <c r="D6" s="226">
        <v>2</v>
      </c>
      <c r="E6" s="270" t="s">
        <v>322</v>
      </c>
      <c r="F6" s="269" t="s">
        <v>342</v>
      </c>
      <c r="G6" s="14"/>
      <c r="H6" s="11"/>
    </row>
    <row r="7" spans="1:8" ht="18" customHeight="1">
      <c r="A7" s="293" t="s">
        <v>399</v>
      </c>
      <c r="D7" s="226">
        <v>3</v>
      </c>
      <c r="E7" s="270" t="s">
        <v>323</v>
      </c>
      <c r="F7" s="269" t="s">
        <v>343</v>
      </c>
      <c r="G7" s="15"/>
      <c r="H7" s="12"/>
    </row>
    <row r="8" spans="1:8" ht="18" customHeight="1">
      <c r="A8" s="266"/>
      <c r="D8" s="226">
        <v>4</v>
      </c>
      <c r="E8" s="270" t="s">
        <v>139</v>
      </c>
      <c r="F8" s="269" t="s">
        <v>344</v>
      </c>
      <c r="G8" s="15"/>
      <c r="H8" s="12"/>
    </row>
    <row r="9" spans="1:8" ht="18" customHeight="1">
      <c r="A9" s="299" t="s">
        <v>414</v>
      </c>
      <c r="D9" s="226">
        <v>5</v>
      </c>
      <c r="E9" s="270" t="s">
        <v>324</v>
      </c>
      <c r="F9" s="269" t="s">
        <v>345</v>
      </c>
      <c r="G9" s="15"/>
      <c r="H9" s="11"/>
    </row>
    <row r="10" spans="1:8" ht="18" customHeight="1">
      <c r="A10" s="318" t="s">
        <v>415</v>
      </c>
      <c r="D10" s="226">
        <v>7</v>
      </c>
      <c r="E10" s="270" t="s">
        <v>382</v>
      </c>
      <c r="F10" s="269" t="s">
        <v>346</v>
      </c>
      <c r="G10" s="32"/>
      <c r="H10" s="11"/>
    </row>
    <row r="11" spans="1:8" ht="18" customHeight="1">
      <c r="A11" s="318"/>
      <c r="D11" s="226">
        <v>8</v>
      </c>
      <c r="E11" s="270" t="s">
        <v>383</v>
      </c>
      <c r="F11" s="269" t="s">
        <v>347</v>
      </c>
      <c r="G11" s="15"/>
      <c r="H11" s="11"/>
    </row>
    <row r="12" spans="1:8" ht="18" customHeight="1">
      <c r="A12" s="318"/>
      <c r="D12" s="226">
        <v>9</v>
      </c>
      <c r="E12" s="270" t="s">
        <v>325</v>
      </c>
      <c r="F12" s="269" t="s">
        <v>348</v>
      </c>
      <c r="G12" s="15"/>
      <c r="H12" s="11"/>
    </row>
    <row r="13" spans="1:8" ht="18" customHeight="1">
      <c r="A13" s="318"/>
      <c r="D13" s="226">
        <v>10</v>
      </c>
      <c r="E13" s="270" t="s">
        <v>185</v>
      </c>
      <c r="F13" s="269" t="s">
        <v>349</v>
      </c>
      <c r="G13" s="15"/>
      <c r="H13" s="11"/>
    </row>
    <row r="14" spans="1:8" ht="20.100000000000001" customHeight="1">
      <c r="A14" s="318" t="s">
        <v>416</v>
      </c>
    </row>
    <row r="15" spans="1:8" ht="20.100000000000001" customHeight="1">
      <c r="A15" s="318"/>
    </row>
    <row r="16" spans="1:8" ht="20.100000000000001" customHeight="1">
      <c r="A16" s="318"/>
    </row>
    <row r="17" spans="1:1" ht="20.100000000000001" customHeight="1">
      <c r="A17" s="319" t="s">
        <v>417</v>
      </c>
    </row>
    <row r="18" spans="1:1" ht="20.100000000000001" customHeight="1">
      <c r="A18" s="319"/>
    </row>
    <row r="19" spans="1:1" ht="20.100000000000001" customHeight="1">
      <c r="A19" s="319"/>
    </row>
  </sheetData>
  <mergeCells count="3">
    <mergeCell ref="A10:A13"/>
    <mergeCell ref="A14:A16"/>
    <mergeCell ref="A17:A19"/>
  </mergeCells>
  <phoneticPr fontId="16" type="noConversion"/>
  <hyperlinks>
    <hyperlink ref="E6" location="'函证结果汇总表K0-1'!A1" display="函证结果汇总表"/>
    <hyperlink ref="E7" location="'核实被函证单位信息K0-2'!A1" display="核实被函证单位信息"/>
    <hyperlink ref="E12" location="'邮件传真回函可靠性验证K0-7'!A1" display="邮件传真回函可靠性验证"/>
    <hyperlink ref="E10" location="'其他应收款替代程序K0-5'!A1" display="其他应收款替代程序检查表"/>
    <hyperlink ref="E8" location="'跟函函证过程控制K0-3'!A1" display="跟函函证过程控制"/>
    <hyperlink ref="E11" location="'其他应付款替代程序K0-6'!A1" display="其他应付款替代程序检查表"/>
    <hyperlink ref="E5" location="函证程序表K0A!A1" display="函证程序表"/>
    <hyperlink ref="E9" location="'函证差异调节表K0-4'!A1" display="函证差异调节表"/>
    <hyperlink ref="E13" location="'函证程序舞弊风险评价表K0-8'!A1" display="函证程序舞弊风险评价表"/>
  </hyperlinks>
  <pageMargins left="0.74803149606299213" right="0.74803149606299213" top="0.98425196850393704" bottom="0.98425196850393704" header="0.51181102362204722" footer="0.51181102362204722"/>
  <pageSetup paperSize="9" scale="54" orientation="portrait" blackAndWhite="1"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H20"/>
  <sheetViews>
    <sheetView view="pageBreakPreview" zoomScale="99" zoomScaleNormal="115" zoomScaleSheetLayoutView="99" workbookViewId="0">
      <selection sqref="A1:F1"/>
    </sheetView>
  </sheetViews>
  <sheetFormatPr defaultColWidth="9" defaultRowHeight="13.8"/>
  <cols>
    <col min="1" max="1" width="6.59765625" style="37" customWidth="1"/>
    <col min="2" max="2" width="60" style="37" customWidth="1"/>
    <col min="3" max="3" width="15" style="37" customWidth="1"/>
    <col min="4" max="4" width="16.3984375" style="37" customWidth="1"/>
    <col min="5" max="5" width="7.69921875" style="36" customWidth="1"/>
    <col min="6" max="6" width="4.59765625" style="36" customWidth="1"/>
    <col min="7" max="16384" width="9" style="37"/>
  </cols>
  <sheetData>
    <row r="1" spans="1:8" ht="22.05" customHeight="1">
      <c r="A1" s="320" t="s">
        <v>16</v>
      </c>
      <c r="B1" s="320"/>
      <c r="C1" s="320"/>
      <c r="D1" s="320"/>
      <c r="E1" s="320"/>
      <c r="F1" s="320"/>
    </row>
    <row r="2" spans="1:8" ht="22.05" customHeight="1">
      <c r="A2" s="321" t="s">
        <v>326</v>
      </c>
      <c r="B2" s="321"/>
      <c r="C2" s="321"/>
      <c r="D2" s="321"/>
      <c r="E2" s="321"/>
      <c r="F2" s="321"/>
    </row>
    <row r="3" spans="1:8" ht="22.05" customHeight="1">
      <c r="A3" s="39" t="str">
        <f>底稿目录!A2</f>
        <v>被审计单位：</v>
      </c>
      <c r="C3" s="40" t="str">
        <f>底稿目录!A4</f>
        <v>编制人：</v>
      </c>
      <c r="D3" s="39" t="str">
        <f>底稿目录!A5</f>
        <v>编制日期：</v>
      </c>
      <c r="E3" s="39" t="s">
        <v>36</v>
      </c>
      <c r="F3" s="291" t="str">
        <f>底稿目录!F5</f>
        <v>K0A</v>
      </c>
    </row>
    <row r="4" spans="1:8" ht="22.05" customHeight="1">
      <c r="A4" s="39" t="str">
        <f>底稿目录!A3</f>
        <v>截止日：202X年12月31日</v>
      </c>
      <c r="C4" s="40" t="str">
        <f>底稿目录!A6</f>
        <v>复核人：</v>
      </c>
      <c r="D4" s="39" t="str">
        <f>底稿目录!A7</f>
        <v>复核日期：</v>
      </c>
      <c r="E4" s="42" t="s">
        <v>56</v>
      </c>
      <c r="F4" s="41"/>
    </row>
    <row r="5" spans="1:8" ht="24.6" customHeight="1">
      <c r="A5" s="231" t="s">
        <v>57</v>
      </c>
      <c r="B5" s="325" t="s">
        <v>58</v>
      </c>
      <c r="C5" s="325"/>
      <c r="D5" s="230" t="s">
        <v>59</v>
      </c>
      <c r="E5" s="325" t="s">
        <v>55</v>
      </c>
      <c r="F5" s="325"/>
      <c r="G5" s="43"/>
      <c r="H5" s="43"/>
    </row>
    <row r="6" spans="1:8" ht="28.2" customHeight="1">
      <c r="A6" s="44" t="s">
        <v>60</v>
      </c>
      <c r="B6" s="322" t="s">
        <v>400</v>
      </c>
      <c r="C6" s="322"/>
      <c r="D6" s="45" t="s">
        <v>61</v>
      </c>
      <c r="E6" s="326" t="s">
        <v>401</v>
      </c>
      <c r="F6" s="326"/>
      <c r="G6" s="43"/>
      <c r="H6" s="43"/>
    </row>
    <row r="7" spans="1:8" ht="52.2" customHeight="1">
      <c r="A7" s="44" t="s">
        <v>62</v>
      </c>
      <c r="B7" s="322" t="s">
        <v>327</v>
      </c>
      <c r="C7" s="322"/>
      <c r="D7" s="214" t="s">
        <v>328</v>
      </c>
      <c r="E7" s="326" t="s">
        <v>402</v>
      </c>
      <c r="F7" s="326"/>
      <c r="G7" s="43"/>
      <c r="H7" s="43"/>
    </row>
    <row r="8" spans="1:8" ht="60" customHeight="1">
      <c r="A8" s="44" t="s">
        <v>63</v>
      </c>
      <c r="B8" s="322" t="s">
        <v>333</v>
      </c>
      <c r="C8" s="322"/>
      <c r="D8" s="45" t="s">
        <v>61</v>
      </c>
      <c r="E8" s="326" t="s">
        <v>403</v>
      </c>
      <c r="F8" s="326"/>
      <c r="G8" s="43"/>
      <c r="H8" s="43"/>
    </row>
    <row r="9" spans="1:8" ht="44.4" customHeight="1">
      <c r="A9" s="44" t="s">
        <v>329</v>
      </c>
      <c r="B9" s="322" t="s">
        <v>334</v>
      </c>
      <c r="C9" s="322"/>
      <c r="D9" s="45" t="s">
        <v>61</v>
      </c>
      <c r="E9" s="326" t="s">
        <v>404</v>
      </c>
      <c r="F9" s="326"/>
      <c r="G9" s="43"/>
      <c r="H9" s="43"/>
    </row>
    <row r="10" spans="1:8" ht="30.6" customHeight="1">
      <c r="A10" s="44" t="s">
        <v>204</v>
      </c>
      <c r="B10" s="322" t="s">
        <v>335</v>
      </c>
      <c r="C10" s="322"/>
      <c r="D10" s="45" t="s">
        <v>61</v>
      </c>
      <c r="E10" s="326" t="s">
        <v>405</v>
      </c>
      <c r="F10" s="326"/>
      <c r="G10" s="43"/>
      <c r="H10" s="43"/>
    </row>
    <row r="11" spans="1:8" ht="80.400000000000006" customHeight="1">
      <c r="A11" s="44" t="s">
        <v>330</v>
      </c>
      <c r="B11" s="323" t="s">
        <v>443</v>
      </c>
      <c r="C11" s="324"/>
      <c r="D11" s="45" t="s">
        <v>61</v>
      </c>
      <c r="E11" s="326" t="s">
        <v>412</v>
      </c>
      <c r="F11" s="326"/>
      <c r="G11" s="43"/>
      <c r="H11" s="43"/>
    </row>
    <row r="12" spans="1:8" s="48" customFormat="1" ht="42.6" customHeight="1">
      <c r="A12" s="44" t="s">
        <v>331</v>
      </c>
      <c r="B12" s="322" t="s">
        <v>236</v>
      </c>
      <c r="C12" s="322"/>
      <c r="D12" s="214" t="s">
        <v>406</v>
      </c>
      <c r="E12" s="327" t="s">
        <v>408</v>
      </c>
      <c r="F12" s="327"/>
      <c r="G12" s="47"/>
      <c r="H12" s="43"/>
    </row>
    <row r="13" spans="1:8" ht="32.4" customHeight="1">
      <c r="A13" s="44" t="s">
        <v>332</v>
      </c>
      <c r="B13" s="322" t="s">
        <v>336</v>
      </c>
      <c r="C13" s="322"/>
      <c r="D13" s="214" t="s">
        <v>407</v>
      </c>
      <c r="E13" s="326"/>
      <c r="F13" s="326"/>
      <c r="G13" s="49" t="s">
        <v>282</v>
      </c>
      <c r="H13" s="43"/>
    </row>
    <row r="14" spans="1:8" ht="47.4" customHeight="1">
      <c r="A14" s="44" t="s">
        <v>205</v>
      </c>
      <c r="B14" s="322" t="s">
        <v>235</v>
      </c>
      <c r="C14" s="322"/>
      <c r="D14" s="45" t="s">
        <v>61</v>
      </c>
      <c r="E14" s="327" t="s">
        <v>409</v>
      </c>
      <c r="F14" s="327"/>
      <c r="G14" s="46"/>
      <c r="H14" s="43"/>
    </row>
    <row r="15" spans="1:8" ht="58.2" customHeight="1">
      <c r="A15" s="44" t="s">
        <v>206</v>
      </c>
      <c r="B15" s="322" t="s">
        <v>337</v>
      </c>
      <c r="C15" s="322"/>
      <c r="D15" s="45" t="s">
        <v>61</v>
      </c>
      <c r="E15" s="327" t="s">
        <v>410</v>
      </c>
      <c r="F15" s="327"/>
      <c r="G15" s="46"/>
      <c r="H15" s="43"/>
    </row>
    <row r="16" spans="1:8" ht="39" customHeight="1">
      <c r="A16" s="44" t="s">
        <v>207</v>
      </c>
      <c r="B16" s="322" t="s">
        <v>237</v>
      </c>
      <c r="C16" s="322"/>
      <c r="D16" s="45" t="s">
        <v>61</v>
      </c>
      <c r="E16" s="328" t="s">
        <v>411</v>
      </c>
      <c r="F16" s="329"/>
      <c r="G16" s="43"/>
      <c r="H16" s="43"/>
    </row>
    <row r="17" spans="1:8" ht="54.6" customHeight="1">
      <c r="A17" s="44" t="s">
        <v>210</v>
      </c>
      <c r="B17" s="322" t="s">
        <v>338</v>
      </c>
      <c r="C17" s="322"/>
      <c r="D17" s="45" t="s">
        <v>61</v>
      </c>
      <c r="E17" s="326"/>
      <c r="F17" s="326"/>
      <c r="G17" s="43"/>
      <c r="H17" s="43"/>
    </row>
    <row r="20" spans="1:8">
      <c r="A20" s="46"/>
    </row>
  </sheetData>
  <mergeCells count="28">
    <mergeCell ref="B17:C17"/>
    <mergeCell ref="E5:F5"/>
    <mergeCell ref="E6:F6"/>
    <mergeCell ref="E7:F7"/>
    <mergeCell ref="E8:F8"/>
    <mergeCell ref="E9:F9"/>
    <mergeCell ref="E10:F10"/>
    <mergeCell ref="E11:F11"/>
    <mergeCell ref="E12:F12"/>
    <mergeCell ref="E13:F13"/>
    <mergeCell ref="E14:F14"/>
    <mergeCell ref="E15:F15"/>
    <mergeCell ref="E16:F16"/>
    <mergeCell ref="E17:F17"/>
    <mergeCell ref="B12:C12"/>
    <mergeCell ref="B13:C13"/>
    <mergeCell ref="A1:F1"/>
    <mergeCell ref="A2:F2"/>
    <mergeCell ref="B14:C14"/>
    <mergeCell ref="B15:C15"/>
    <mergeCell ref="B16:C16"/>
    <mergeCell ref="B11:C11"/>
    <mergeCell ref="B5:C5"/>
    <mergeCell ref="B6:C6"/>
    <mergeCell ref="B7:C7"/>
    <mergeCell ref="B8:C8"/>
    <mergeCell ref="B9:C9"/>
    <mergeCell ref="B10:C10"/>
  </mergeCells>
  <phoneticPr fontId="16" type="noConversion"/>
  <hyperlinks>
    <hyperlink ref="F3" location="底稿目录!A1" display="底稿目录!A1"/>
  </hyperlinks>
  <printOptions horizontalCentered="1"/>
  <pageMargins left="0.47244094488188981" right="0.31496062992125984" top="0.51181102362204722" bottom="0.39370078740157483" header="0.47244094488188981" footer="0.23622047244094491"/>
  <pageSetup paperSize="9" scale="70" fitToHeight="100" orientation="portrait" blackAndWhite="1" cellComments="atEnd" r:id="rId1"/>
  <headerFooter alignWithMargins="0">
    <oddFooter>&amp;R&amp;10&amp;P/&amp;N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AG68"/>
  <sheetViews>
    <sheetView view="pageBreakPreview" zoomScaleNormal="115" zoomScaleSheetLayoutView="100" workbookViewId="0">
      <selection sqref="A1:R1"/>
    </sheetView>
  </sheetViews>
  <sheetFormatPr defaultColWidth="9" defaultRowHeight="15.6"/>
  <cols>
    <col min="1" max="1" width="4.5" style="23" customWidth="1"/>
    <col min="2" max="2" width="6.59765625" style="23" customWidth="1"/>
    <col min="3" max="3" width="8" style="23" customWidth="1"/>
    <col min="4" max="4" width="23.09765625" style="23" customWidth="1"/>
    <col min="5" max="5" width="10.69921875" style="23" customWidth="1"/>
    <col min="6" max="6" width="10.796875" style="23" customWidth="1"/>
    <col min="7" max="7" width="7.69921875" style="23" customWidth="1"/>
    <col min="8" max="8" width="8.69921875" style="23" customWidth="1"/>
    <col min="9" max="9" width="13.296875" style="23" customWidth="1"/>
    <col min="10" max="10" width="18" style="23" customWidth="1"/>
    <col min="11" max="11" width="6.69921875" style="23" customWidth="1"/>
    <col min="12" max="12" width="6.3984375" style="23" customWidth="1"/>
    <col min="13" max="13" width="9.5" style="23" customWidth="1"/>
    <col min="14" max="14" width="5.296875" style="23" customWidth="1"/>
    <col min="15" max="15" width="9.796875" style="23" customWidth="1"/>
    <col min="16" max="16" width="13.796875" style="23" customWidth="1"/>
    <col min="17" max="17" width="21.69921875" style="23" customWidth="1"/>
    <col min="18" max="18" width="9.796875" style="23" customWidth="1"/>
    <col min="19" max="20" width="11.09765625" style="23" customWidth="1"/>
    <col min="21" max="21" width="10.3984375" style="23" customWidth="1"/>
    <col min="22" max="22" width="9" style="23"/>
    <col min="23" max="23" width="13.8984375" style="23" customWidth="1"/>
    <col min="24" max="24" width="8.69921875" style="23" customWidth="1"/>
    <col min="25" max="25" width="9" style="23" customWidth="1"/>
    <col min="26" max="26" width="10.09765625" style="23" customWidth="1"/>
    <col min="27" max="27" width="9.3984375" style="23" customWidth="1"/>
    <col min="28" max="28" width="12.8984375" style="23" customWidth="1"/>
    <col min="29" max="16384" width="9" style="23"/>
  </cols>
  <sheetData>
    <row r="1" spans="1:33" s="50" customFormat="1" ht="19.95" customHeight="1">
      <c r="A1" s="331" t="s">
        <v>64</v>
      </c>
      <c r="B1" s="331"/>
      <c r="C1" s="331"/>
      <c r="D1" s="331"/>
      <c r="E1" s="331"/>
      <c r="F1" s="331"/>
      <c r="G1" s="331"/>
      <c r="H1" s="331"/>
      <c r="I1" s="331"/>
      <c r="J1" s="331"/>
      <c r="K1" s="331"/>
      <c r="L1" s="331"/>
      <c r="M1" s="331"/>
      <c r="N1" s="331"/>
      <c r="O1" s="331"/>
      <c r="P1" s="331"/>
      <c r="Q1" s="331"/>
      <c r="R1" s="331"/>
      <c r="S1" s="331" t="s">
        <v>64</v>
      </c>
      <c r="T1" s="331"/>
      <c r="U1" s="331"/>
      <c r="V1" s="331"/>
      <c r="W1" s="331"/>
      <c r="X1" s="331"/>
      <c r="Y1" s="331"/>
      <c r="Z1" s="331"/>
      <c r="AA1" s="331"/>
      <c r="AB1" s="331"/>
      <c r="AC1" s="28"/>
      <c r="AD1" s="28"/>
      <c r="AE1" s="28"/>
      <c r="AF1" s="28"/>
      <c r="AG1" s="28"/>
    </row>
    <row r="2" spans="1:33" s="21" customFormat="1" ht="19.95" customHeight="1">
      <c r="A2" s="332" t="s">
        <v>368</v>
      </c>
      <c r="B2" s="332"/>
      <c r="C2" s="332"/>
      <c r="D2" s="332"/>
      <c r="E2" s="332"/>
      <c r="F2" s="332"/>
      <c r="G2" s="332"/>
      <c r="H2" s="332"/>
      <c r="I2" s="332"/>
      <c r="J2" s="332"/>
      <c r="K2" s="332"/>
      <c r="L2" s="332"/>
      <c r="M2" s="332"/>
      <c r="N2" s="332"/>
      <c r="O2" s="332"/>
      <c r="P2" s="332"/>
      <c r="Q2" s="332"/>
      <c r="R2" s="332"/>
      <c r="S2" s="332" t="s">
        <v>196</v>
      </c>
      <c r="T2" s="332"/>
      <c r="U2" s="332"/>
      <c r="V2" s="332"/>
      <c r="W2" s="332"/>
      <c r="X2" s="332"/>
      <c r="Y2" s="332"/>
      <c r="Z2" s="332"/>
      <c r="AA2" s="332"/>
      <c r="AB2" s="332"/>
      <c r="AC2" s="52"/>
      <c r="AD2" s="51"/>
      <c r="AE2" s="51"/>
      <c r="AF2" s="51"/>
      <c r="AG2" s="51"/>
    </row>
    <row r="3" spans="1:33" s="17" customFormat="1" ht="19.95" customHeight="1">
      <c r="B3" s="53"/>
      <c r="C3" s="53" t="str">
        <f>底稿目录!A2</f>
        <v>被审计单位：</v>
      </c>
      <c r="I3" s="53" t="str">
        <f>底稿目录!A4</f>
        <v>编制人：</v>
      </c>
      <c r="J3" s="33"/>
      <c r="L3" s="53"/>
      <c r="M3" s="17" t="str">
        <f>底稿目录!A5</f>
        <v>编制日期：</v>
      </c>
      <c r="N3" s="53"/>
      <c r="Q3" s="19" t="s">
        <v>258</v>
      </c>
      <c r="R3" s="291" t="str">
        <f>底稿目录!F6</f>
        <v>K0-1</v>
      </c>
      <c r="S3" s="35" t="str">
        <f>底稿目录!A2</f>
        <v>被审计单位：</v>
      </c>
      <c r="W3" s="17" t="str">
        <f>底稿目录!A4</f>
        <v>编制人：</v>
      </c>
      <c r="Y3" s="17" t="str">
        <f>底稿目录!A5</f>
        <v>编制日期：</v>
      </c>
      <c r="AA3" s="198" t="s">
        <v>193</v>
      </c>
      <c r="AB3" s="291" t="str">
        <f>底稿目录!F6</f>
        <v>K0-1</v>
      </c>
    </row>
    <row r="4" spans="1:33" s="17" customFormat="1" ht="19.95" customHeight="1">
      <c r="B4" s="8"/>
      <c r="C4" s="53" t="str">
        <f>底稿目录!A3</f>
        <v>截止日：202X年12月31日</v>
      </c>
      <c r="I4" s="53" t="str">
        <f>底稿目录!A6</f>
        <v>复核人：</v>
      </c>
      <c r="J4" s="19"/>
      <c r="L4" s="53"/>
      <c r="M4" s="17" t="str">
        <f>底稿目录!A7</f>
        <v>复核日期：</v>
      </c>
      <c r="N4" s="8"/>
      <c r="Q4" s="19" t="s">
        <v>259</v>
      </c>
      <c r="S4" s="35" t="str">
        <f>底稿目录!A3</f>
        <v>截止日：202X年12月31日</v>
      </c>
      <c r="W4" s="17" t="str">
        <f>底稿目录!A6</f>
        <v>复核人：</v>
      </c>
      <c r="Y4" s="17" t="str">
        <f>底稿目录!A7</f>
        <v>复核日期：</v>
      </c>
      <c r="AA4" s="199" t="s">
        <v>65</v>
      </c>
      <c r="AB4" s="55"/>
    </row>
    <row r="5" spans="1:33" s="56" customFormat="1" ht="19.95" customHeight="1">
      <c r="A5" s="338" t="s">
        <v>66</v>
      </c>
      <c r="B5" s="338" t="s">
        <v>67</v>
      </c>
      <c r="C5" s="340" t="s">
        <v>68</v>
      </c>
      <c r="D5" s="341"/>
      <c r="E5" s="341"/>
      <c r="F5" s="341"/>
      <c r="G5" s="342" t="s">
        <v>219</v>
      </c>
      <c r="H5" s="343"/>
      <c r="I5" s="343"/>
      <c r="J5" s="343"/>
      <c r="K5" s="344"/>
      <c r="L5" s="345" t="s">
        <v>444</v>
      </c>
      <c r="M5" s="345"/>
      <c r="N5" s="345"/>
      <c r="O5" s="345"/>
      <c r="P5" s="345"/>
      <c r="Q5" s="345"/>
      <c r="R5" s="345"/>
      <c r="S5" s="335" t="s">
        <v>257</v>
      </c>
      <c r="T5" s="336"/>
      <c r="U5" s="336"/>
      <c r="V5" s="336"/>
      <c r="W5" s="337"/>
      <c r="X5" s="333" t="s">
        <v>69</v>
      </c>
      <c r="Y5" s="333"/>
      <c r="Z5" s="333"/>
      <c r="AA5" s="333"/>
      <c r="AB5" s="333" t="s">
        <v>70</v>
      </c>
    </row>
    <row r="6" spans="1:33" s="56" customFormat="1" ht="42" customHeight="1">
      <c r="A6" s="339"/>
      <c r="B6" s="339"/>
      <c r="C6" s="233" t="s">
        <v>71</v>
      </c>
      <c r="D6" s="233" t="s">
        <v>72</v>
      </c>
      <c r="E6" s="262" t="s">
        <v>339</v>
      </c>
      <c r="F6" s="234" t="s">
        <v>53</v>
      </c>
      <c r="G6" s="233" t="s">
        <v>73</v>
      </c>
      <c r="H6" s="233" t="s">
        <v>74</v>
      </c>
      <c r="I6" s="233" t="s">
        <v>211</v>
      </c>
      <c r="J6" s="233" t="s">
        <v>75</v>
      </c>
      <c r="K6" s="233" t="s">
        <v>76</v>
      </c>
      <c r="L6" s="233" t="s">
        <v>77</v>
      </c>
      <c r="M6" s="233" t="s">
        <v>78</v>
      </c>
      <c r="N6" s="233" t="s">
        <v>79</v>
      </c>
      <c r="O6" s="233" t="s">
        <v>80</v>
      </c>
      <c r="P6" s="233" t="s">
        <v>81</v>
      </c>
      <c r="Q6" s="233" t="s">
        <v>82</v>
      </c>
      <c r="R6" s="233" t="s">
        <v>83</v>
      </c>
      <c r="S6" s="239" t="s">
        <v>253</v>
      </c>
      <c r="T6" s="239" t="s">
        <v>254</v>
      </c>
      <c r="U6" s="239" t="s">
        <v>255</v>
      </c>
      <c r="V6" s="235" t="s">
        <v>350</v>
      </c>
      <c r="W6" s="233" t="s">
        <v>84</v>
      </c>
      <c r="X6" s="234" t="s">
        <v>85</v>
      </c>
      <c r="Y6" s="233" t="s">
        <v>256</v>
      </c>
      <c r="Z6" s="233" t="s">
        <v>86</v>
      </c>
      <c r="AA6" s="233" t="s">
        <v>87</v>
      </c>
      <c r="AB6" s="334"/>
    </row>
    <row r="7" spans="1:33" s="65" customFormat="1" ht="19.95" customHeight="1">
      <c r="A7" s="217">
        <v>1</v>
      </c>
      <c r="B7" s="58"/>
      <c r="C7" s="58"/>
      <c r="D7" s="292" t="e">
        <f>VLOOKUP($B7,'核实被函证单位信息K0-2'!$A:$AL,2,0)</f>
        <v>#N/A</v>
      </c>
      <c r="E7" s="272"/>
      <c r="F7" s="60"/>
      <c r="G7" s="292" t="e">
        <f>VLOOKUP($B7,'核实被函证单位信息K0-2'!$A:$AL,3,0)</f>
        <v>#N/A</v>
      </c>
      <c r="H7" s="61"/>
      <c r="I7" s="62"/>
      <c r="J7" s="292" t="e">
        <f>VLOOKUP($B7,'核实被函证单位信息K0-2'!$A:$AL,4,0)</f>
        <v>#N/A</v>
      </c>
      <c r="K7" s="292" t="e">
        <f>VLOOKUP($B7,'核实被函证单位信息K0-2'!$A:$AL,10,0)</f>
        <v>#N/A</v>
      </c>
      <c r="L7" s="63"/>
      <c r="M7" s="292" t="e">
        <f>VLOOKUP($B7,'核实被函证单位信息K0-2'!$A:$AL,16,0)</f>
        <v>#N/A</v>
      </c>
      <c r="N7" s="63"/>
      <c r="O7" s="61"/>
      <c r="P7" s="57"/>
      <c r="Q7" s="292" t="e">
        <f>VLOOKUP($B7,'核实被函证单位信息K0-2'!$A:$AL,19,0)</f>
        <v>#N/A</v>
      </c>
      <c r="R7" s="292" t="e">
        <f>VLOOKUP($B7,'核实被函证单位信息K0-2'!$A:$AL,22,0)</f>
        <v>#N/A</v>
      </c>
      <c r="S7" s="241"/>
      <c r="T7" s="240" t="str">
        <f>IF(L7="是",S7-F7,"未回函")</f>
        <v>未回函</v>
      </c>
      <c r="U7" s="241"/>
      <c r="V7" s="62"/>
      <c r="W7" s="64"/>
      <c r="X7" s="57"/>
      <c r="Y7" s="60"/>
      <c r="Z7" s="60"/>
      <c r="AA7" s="57"/>
      <c r="AB7" s="59"/>
    </row>
    <row r="8" spans="1:33" s="65" customFormat="1" ht="19.95" customHeight="1">
      <c r="A8" s="217">
        <v>2</v>
      </c>
      <c r="B8" s="58"/>
      <c r="C8" s="58"/>
      <c r="D8" s="292" t="e">
        <f>VLOOKUP($B8,'核实被函证单位信息K0-2'!$A:$AL,2,0)</f>
        <v>#N/A</v>
      </c>
      <c r="E8" s="272"/>
      <c r="F8" s="60"/>
      <c r="G8" s="292" t="e">
        <f>VLOOKUP($B8,'核实被函证单位信息K0-2'!$A:$AL,3,0)</f>
        <v>#N/A</v>
      </c>
      <c r="H8" s="61"/>
      <c r="I8" s="62"/>
      <c r="J8" s="292" t="e">
        <f>VLOOKUP($B8,'核实被函证单位信息K0-2'!$A:$AL,4,0)</f>
        <v>#N/A</v>
      </c>
      <c r="K8" s="292" t="e">
        <f>VLOOKUP($B8,'核实被函证单位信息K0-2'!$A:$AL,10,0)</f>
        <v>#N/A</v>
      </c>
      <c r="L8" s="63"/>
      <c r="M8" s="292" t="e">
        <f>VLOOKUP($B8,'核实被函证单位信息K0-2'!$A:$AL,16,0)</f>
        <v>#N/A</v>
      </c>
      <c r="N8" s="63"/>
      <c r="O8" s="61"/>
      <c r="P8" s="57"/>
      <c r="Q8" s="292" t="e">
        <f>VLOOKUP($B8,'核实被函证单位信息K0-2'!$A:$AL,19,0)</f>
        <v>#N/A</v>
      </c>
      <c r="R8" s="292" t="e">
        <f>VLOOKUP($B8,'核实被函证单位信息K0-2'!$A:$AL,22,0)</f>
        <v>#N/A</v>
      </c>
      <c r="S8" s="241"/>
      <c r="T8" s="240" t="str">
        <f t="shared" ref="T8:T26" si="0">IF(L8="是",S8-F8,"未回函")</f>
        <v>未回函</v>
      </c>
      <c r="U8" s="241"/>
      <c r="V8" s="62"/>
      <c r="W8" s="64"/>
      <c r="X8" s="57"/>
      <c r="Y8" s="60"/>
      <c r="Z8" s="60"/>
      <c r="AA8" s="57"/>
      <c r="AB8" s="59"/>
    </row>
    <row r="9" spans="1:33" s="65" customFormat="1" ht="19.95" customHeight="1">
      <c r="A9" s="217">
        <v>3</v>
      </c>
      <c r="B9" s="58"/>
      <c r="C9" s="58"/>
      <c r="D9" s="292" t="e">
        <f>VLOOKUP($B9,'核实被函证单位信息K0-2'!$A:$AL,2,0)</f>
        <v>#N/A</v>
      </c>
      <c r="E9" s="272"/>
      <c r="F9" s="60"/>
      <c r="G9" s="292" t="e">
        <f>VLOOKUP($B9,'核实被函证单位信息K0-2'!$A:$AL,3,0)</f>
        <v>#N/A</v>
      </c>
      <c r="H9" s="61"/>
      <c r="I9" s="62"/>
      <c r="J9" s="292" t="e">
        <f>VLOOKUP($B9,'核实被函证单位信息K0-2'!$A:$AL,4,0)</f>
        <v>#N/A</v>
      </c>
      <c r="K9" s="292" t="e">
        <f>VLOOKUP($B9,'核实被函证单位信息K0-2'!$A:$AL,10,0)</f>
        <v>#N/A</v>
      </c>
      <c r="L9" s="63"/>
      <c r="M9" s="292" t="e">
        <f>VLOOKUP($B9,'核实被函证单位信息K0-2'!$A:$AL,16,0)</f>
        <v>#N/A</v>
      </c>
      <c r="N9" s="63"/>
      <c r="O9" s="61"/>
      <c r="P9" s="57"/>
      <c r="Q9" s="292" t="e">
        <f>VLOOKUP($B9,'核实被函证单位信息K0-2'!$A:$AL,19,0)</f>
        <v>#N/A</v>
      </c>
      <c r="R9" s="292" t="e">
        <f>VLOOKUP($B9,'核实被函证单位信息K0-2'!$A:$AL,22,0)</f>
        <v>#N/A</v>
      </c>
      <c r="S9" s="241"/>
      <c r="T9" s="240" t="str">
        <f t="shared" si="0"/>
        <v>未回函</v>
      </c>
      <c r="U9" s="241"/>
      <c r="V9" s="62"/>
      <c r="W9" s="64"/>
      <c r="X9" s="57"/>
      <c r="Y9" s="60"/>
      <c r="Z9" s="60"/>
      <c r="AA9" s="57"/>
      <c r="AB9" s="59"/>
    </row>
    <row r="10" spans="1:33" s="65" customFormat="1" ht="19.95" customHeight="1">
      <c r="A10" s="217">
        <v>4</v>
      </c>
      <c r="B10" s="58"/>
      <c r="C10" s="58"/>
      <c r="D10" s="292" t="e">
        <f>VLOOKUP($B10,'核实被函证单位信息K0-2'!$A:$AL,2,0)</f>
        <v>#N/A</v>
      </c>
      <c r="E10" s="272"/>
      <c r="F10" s="60"/>
      <c r="G10" s="292" t="e">
        <f>VLOOKUP($B10,'核实被函证单位信息K0-2'!$A:$AL,3,0)</f>
        <v>#N/A</v>
      </c>
      <c r="H10" s="61"/>
      <c r="I10" s="62"/>
      <c r="J10" s="292" t="e">
        <f>VLOOKUP($B10,'核实被函证单位信息K0-2'!$A:$AL,4,0)</f>
        <v>#N/A</v>
      </c>
      <c r="K10" s="292" t="e">
        <f>VLOOKUP($B10,'核实被函证单位信息K0-2'!$A:$AL,10,0)</f>
        <v>#N/A</v>
      </c>
      <c r="L10" s="63"/>
      <c r="M10" s="292" t="e">
        <f>VLOOKUP($B10,'核实被函证单位信息K0-2'!$A:$AL,16,0)</f>
        <v>#N/A</v>
      </c>
      <c r="N10" s="63"/>
      <c r="O10" s="61"/>
      <c r="P10" s="57"/>
      <c r="Q10" s="292" t="e">
        <f>VLOOKUP($B10,'核实被函证单位信息K0-2'!$A:$AL,19,0)</f>
        <v>#N/A</v>
      </c>
      <c r="R10" s="292" t="e">
        <f>VLOOKUP($B10,'核实被函证单位信息K0-2'!$A:$AL,22,0)</f>
        <v>#N/A</v>
      </c>
      <c r="S10" s="241"/>
      <c r="T10" s="240" t="str">
        <f t="shared" si="0"/>
        <v>未回函</v>
      </c>
      <c r="U10" s="241"/>
      <c r="V10" s="62"/>
      <c r="W10" s="64"/>
      <c r="X10" s="57"/>
      <c r="Y10" s="60"/>
      <c r="Z10" s="60"/>
      <c r="AA10" s="57"/>
      <c r="AB10" s="59"/>
    </row>
    <row r="11" spans="1:33" s="65" customFormat="1" ht="19.95" customHeight="1">
      <c r="A11" s="217">
        <v>5</v>
      </c>
      <c r="B11" s="58"/>
      <c r="C11" s="58"/>
      <c r="D11" s="292" t="e">
        <f>VLOOKUP($B11,'核实被函证单位信息K0-2'!$A:$AL,2,0)</f>
        <v>#N/A</v>
      </c>
      <c r="E11" s="271"/>
      <c r="F11" s="60"/>
      <c r="G11" s="292" t="e">
        <f>VLOOKUP($B11,'核实被函证单位信息K0-2'!$A:$AL,3,0)</f>
        <v>#N/A</v>
      </c>
      <c r="H11" s="61"/>
      <c r="I11" s="62"/>
      <c r="J11" s="292" t="e">
        <f>VLOOKUP($B11,'核实被函证单位信息K0-2'!$A:$AL,4,0)</f>
        <v>#N/A</v>
      </c>
      <c r="K11" s="292" t="e">
        <f>VLOOKUP($B11,'核实被函证单位信息K0-2'!$A:$AL,10,0)</f>
        <v>#N/A</v>
      </c>
      <c r="L11" s="63"/>
      <c r="M11" s="292" t="e">
        <f>VLOOKUP($B11,'核实被函证单位信息K0-2'!$A:$AL,16,0)</f>
        <v>#N/A</v>
      </c>
      <c r="N11" s="63"/>
      <c r="O11" s="61"/>
      <c r="P11" s="57"/>
      <c r="Q11" s="292" t="e">
        <f>VLOOKUP($B11,'核实被函证单位信息K0-2'!$A:$AL,19,0)</f>
        <v>#N/A</v>
      </c>
      <c r="R11" s="292" t="e">
        <f>VLOOKUP($B11,'核实被函证单位信息K0-2'!$A:$AL,22,0)</f>
        <v>#N/A</v>
      </c>
      <c r="S11" s="241"/>
      <c r="T11" s="240" t="str">
        <f t="shared" si="0"/>
        <v>未回函</v>
      </c>
      <c r="U11" s="241"/>
      <c r="V11" s="62"/>
      <c r="W11" s="64"/>
      <c r="X11" s="57"/>
      <c r="Y11" s="60"/>
      <c r="Z11" s="60"/>
      <c r="AA11" s="57"/>
      <c r="AB11" s="59"/>
    </row>
    <row r="12" spans="1:33" s="65" customFormat="1" ht="19.95" customHeight="1">
      <c r="A12" s="217">
        <v>6</v>
      </c>
      <c r="B12" s="58"/>
      <c r="C12" s="58"/>
      <c r="D12" s="292" t="e">
        <f>VLOOKUP($B12,'核实被函证单位信息K0-2'!$A:$AL,2,0)</f>
        <v>#N/A</v>
      </c>
      <c r="E12" s="271"/>
      <c r="F12" s="60"/>
      <c r="G12" s="292" t="e">
        <f>VLOOKUP($B12,'核实被函证单位信息K0-2'!$A:$AL,3,0)</f>
        <v>#N/A</v>
      </c>
      <c r="H12" s="61"/>
      <c r="I12" s="62"/>
      <c r="J12" s="292" t="e">
        <f>VLOOKUP($B12,'核实被函证单位信息K0-2'!$A:$AL,4,0)</f>
        <v>#N/A</v>
      </c>
      <c r="K12" s="292" t="e">
        <f>VLOOKUP($B12,'核实被函证单位信息K0-2'!$A:$AL,10,0)</f>
        <v>#N/A</v>
      </c>
      <c r="L12" s="63"/>
      <c r="M12" s="292" t="e">
        <f>VLOOKUP($B12,'核实被函证单位信息K0-2'!$A:$AL,16,0)</f>
        <v>#N/A</v>
      </c>
      <c r="N12" s="63"/>
      <c r="O12" s="61"/>
      <c r="P12" s="57"/>
      <c r="Q12" s="292" t="e">
        <f>VLOOKUP($B12,'核实被函证单位信息K0-2'!$A:$AL,19,0)</f>
        <v>#N/A</v>
      </c>
      <c r="R12" s="292" t="e">
        <f>VLOOKUP($B12,'核实被函证单位信息K0-2'!$A:$AL,22,0)</f>
        <v>#N/A</v>
      </c>
      <c r="S12" s="241"/>
      <c r="T12" s="240" t="str">
        <f t="shared" si="0"/>
        <v>未回函</v>
      </c>
      <c r="U12" s="241"/>
      <c r="V12" s="62"/>
      <c r="W12" s="64"/>
      <c r="X12" s="57"/>
      <c r="Y12" s="60"/>
      <c r="Z12" s="60"/>
      <c r="AA12" s="57"/>
      <c r="AB12" s="59"/>
    </row>
    <row r="13" spans="1:33" s="65" customFormat="1" ht="19.95" customHeight="1">
      <c r="A13" s="217">
        <v>7</v>
      </c>
      <c r="B13" s="58"/>
      <c r="C13" s="58"/>
      <c r="D13" s="292" t="e">
        <f>VLOOKUP($B13,'核实被函证单位信息K0-2'!$A:$AL,2,0)</f>
        <v>#N/A</v>
      </c>
      <c r="E13" s="271"/>
      <c r="F13" s="60"/>
      <c r="G13" s="292" t="e">
        <f>VLOOKUP($B13,'核实被函证单位信息K0-2'!$A:$AL,3,0)</f>
        <v>#N/A</v>
      </c>
      <c r="H13" s="61"/>
      <c r="I13" s="62"/>
      <c r="J13" s="292" t="e">
        <f>VLOOKUP($B13,'核实被函证单位信息K0-2'!$A:$AL,4,0)</f>
        <v>#N/A</v>
      </c>
      <c r="K13" s="292" t="e">
        <f>VLOOKUP($B13,'核实被函证单位信息K0-2'!$A:$AL,10,0)</f>
        <v>#N/A</v>
      </c>
      <c r="L13" s="63"/>
      <c r="M13" s="292" t="e">
        <f>VLOOKUP($B13,'核实被函证单位信息K0-2'!$A:$AL,16,0)</f>
        <v>#N/A</v>
      </c>
      <c r="N13" s="63"/>
      <c r="O13" s="61"/>
      <c r="P13" s="57"/>
      <c r="Q13" s="292" t="e">
        <f>VLOOKUP($B13,'核实被函证单位信息K0-2'!$A:$AL,19,0)</f>
        <v>#N/A</v>
      </c>
      <c r="R13" s="292" t="e">
        <f>VLOOKUP($B13,'核实被函证单位信息K0-2'!$A:$AL,22,0)</f>
        <v>#N/A</v>
      </c>
      <c r="S13" s="241"/>
      <c r="T13" s="240" t="str">
        <f t="shared" si="0"/>
        <v>未回函</v>
      </c>
      <c r="U13" s="241"/>
      <c r="V13" s="62"/>
      <c r="W13" s="64"/>
      <c r="X13" s="57"/>
      <c r="Y13" s="60"/>
      <c r="Z13" s="60"/>
      <c r="AA13" s="57"/>
      <c r="AB13" s="59"/>
    </row>
    <row r="14" spans="1:33" s="65" customFormat="1" ht="19.95" customHeight="1">
      <c r="A14" s="217">
        <v>8</v>
      </c>
      <c r="B14" s="58"/>
      <c r="C14" s="58"/>
      <c r="D14" s="292" t="e">
        <f>VLOOKUP($B14,'核实被函证单位信息K0-2'!$A:$AL,2,0)</f>
        <v>#N/A</v>
      </c>
      <c r="E14" s="271"/>
      <c r="F14" s="60"/>
      <c r="G14" s="292" t="e">
        <f>VLOOKUP($B14,'核实被函证单位信息K0-2'!$A:$AL,3,0)</f>
        <v>#N/A</v>
      </c>
      <c r="H14" s="61"/>
      <c r="I14" s="62"/>
      <c r="J14" s="292" t="e">
        <f>VLOOKUP($B14,'核实被函证单位信息K0-2'!$A:$AL,4,0)</f>
        <v>#N/A</v>
      </c>
      <c r="K14" s="292" t="e">
        <f>VLOOKUP($B14,'核实被函证单位信息K0-2'!$A:$AL,10,0)</f>
        <v>#N/A</v>
      </c>
      <c r="L14" s="63"/>
      <c r="M14" s="292" t="e">
        <f>VLOOKUP($B14,'核实被函证单位信息K0-2'!$A:$AL,16,0)</f>
        <v>#N/A</v>
      </c>
      <c r="N14" s="63"/>
      <c r="O14" s="61"/>
      <c r="P14" s="57"/>
      <c r="Q14" s="292" t="e">
        <f>VLOOKUP($B14,'核实被函证单位信息K0-2'!$A:$AL,19,0)</f>
        <v>#N/A</v>
      </c>
      <c r="R14" s="292" t="e">
        <f>VLOOKUP($B14,'核实被函证单位信息K0-2'!$A:$AL,22,0)</f>
        <v>#N/A</v>
      </c>
      <c r="S14" s="241"/>
      <c r="T14" s="240" t="str">
        <f t="shared" si="0"/>
        <v>未回函</v>
      </c>
      <c r="U14" s="241"/>
      <c r="V14" s="62"/>
      <c r="W14" s="64"/>
      <c r="X14" s="57"/>
      <c r="Y14" s="60"/>
      <c r="Z14" s="60"/>
      <c r="AA14" s="57"/>
      <c r="AB14" s="59"/>
    </row>
    <row r="15" spans="1:33" s="65" customFormat="1" ht="19.95" customHeight="1">
      <c r="A15" s="217">
        <v>9</v>
      </c>
      <c r="B15" s="58"/>
      <c r="C15" s="58"/>
      <c r="D15" s="292" t="e">
        <f>VLOOKUP($B15,'核实被函证单位信息K0-2'!$A:$AL,2,0)</f>
        <v>#N/A</v>
      </c>
      <c r="E15" s="271"/>
      <c r="F15" s="60"/>
      <c r="G15" s="292" t="e">
        <f>VLOOKUP($B15,'核实被函证单位信息K0-2'!$A:$AL,3,0)</f>
        <v>#N/A</v>
      </c>
      <c r="H15" s="61"/>
      <c r="I15" s="62"/>
      <c r="J15" s="292" t="e">
        <f>VLOOKUP($B15,'核实被函证单位信息K0-2'!$A:$AL,4,0)</f>
        <v>#N/A</v>
      </c>
      <c r="K15" s="292" t="e">
        <f>VLOOKUP($B15,'核实被函证单位信息K0-2'!$A:$AL,10,0)</f>
        <v>#N/A</v>
      </c>
      <c r="L15" s="63"/>
      <c r="M15" s="292" t="e">
        <f>VLOOKUP($B15,'核实被函证单位信息K0-2'!$A:$AL,16,0)</f>
        <v>#N/A</v>
      </c>
      <c r="N15" s="63"/>
      <c r="O15" s="61"/>
      <c r="P15" s="57"/>
      <c r="Q15" s="292" t="e">
        <f>VLOOKUP($B15,'核实被函证单位信息K0-2'!$A:$AL,19,0)</f>
        <v>#N/A</v>
      </c>
      <c r="R15" s="292" t="e">
        <f>VLOOKUP($B15,'核实被函证单位信息K0-2'!$A:$AL,22,0)</f>
        <v>#N/A</v>
      </c>
      <c r="S15" s="241"/>
      <c r="T15" s="240" t="str">
        <f t="shared" si="0"/>
        <v>未回函</v>
      </c>
      <c r="U15" s="241"/>
      <c r="V15" s="62"/>
      <c r="W15" s="64"/>
      <c r="X15" s="57"/>
      <c r="Y15" s="60"/>
      <c r="Z15" s="60"/>
      <c r="AA15" s="57"/>
      <c r="AB15" s="59"/>
    </row>
    <row r="16" spans="1:33" s="65" customFormat="1" ht="19.95" customHeight="1">
      <c r="A16" s="217">
        <v>10</v>
      </c>
      <c r="B16" s="58"/>
      <c r="C16" s="58"/>
      <c r="D16" s="292" t="e">
        <f>VLOOKUP($B16,'核实被函证单位信息K0-2'!$A:$AL,2,0)</f>
        <v>#N/A</v>
      </c>
      <c r="E16" s="271"/>
      <c r="F16" s="60"/>
      <c r="G16" s="292" t="e">
        <f>VLOOKUP($B16,'核实被函证单位信息K0-2'!$A:$AL,3,0)</f>
        <v>#N/A</v>
      </c>
      <c r="H16" s="61"/>
      <c r="I16" s="62"/>
      <c r="J16" s="292" t="e">
        <f>VLOOKUP($B16,'核实被函证单位信息K0-2'!$A:$AL,4,0)</f>
        <v>#N/A</v>
      </c>
      <c r="K16" s="292" t="e">
        <f>VLOOKUP($B16,'核实被函证单位信息K0-2'!$A:$AL,10,0)</f>
        <v>#N/A</v>
      </c>
      <c r="L16" s="63"/>
      <c r="M16" s="292" t="e">
        <f>VLOOKUP($B16,'核实被函证单位信息K0-2'!$A:$AL,16,0)</f>
        <v>#N/A</v>
      </c>
      <c r="N16" s="63"/>
      <c r="O16" s="61"/>
      <c r="P16" s="57"/>
      <c r="Q16" s="292" t="e">
        <f>VLOOKUP($B16,'核实被函证单位信息K0-2'!$A:$AL,19,0)</f>
        <v>#N/A</v>
      </c>
      <c r="R16" s="292" t="e">
        <f>VLOOKUP($B16,'核实被函证单位信息K0-2'!$A:$AL,22,0)</f>
        <v>#N/A</v>
      </c>
      <c r="S16" s="241"/>
      <c r="T16" s="240" t="str">
        <f t="shared" si="0"/>
        <v>未回函</v>
      </c>
      <c r="U16" s="241"/>
      <c r="V16" s="62"/>
      <c r="W16" s="64"/>
      <c r="X16" s="57"/>
      <c r="Y16" s="60"/>
      <c r="Z16" s="60"/>
      <c r="AA16" s="57"/>
      <c r="AB16" s="59"/>
    </row>
    <row r="17" spans="1:28" s="65" customFormat="1" ht="19.95" customHeight="1">
      <c r="A17" s="217">
        <v>11</v>
      </c>
      <c r="B17" s="58"/>
      <c r="C17" s="58"/>
      <c r="D17" s="292" t="e">
        <f>VLOOKUP($B17,'核实被函证单位信息K0-2'!$A:$AL,2,0)</f>
        <v>#N/A</v>
      </c>
      <c r="E17" s="271"/>
      <c r="F17" s="60"/>
      <c r="G17" s="292" t="e">
        <f>VLOOKUP($B17,'核实被函证单位信息K0-2'!$A:$AL,3,0)</f>
        <v>#N/A</v>
      </c>
      <c r="H17" s="61"/>
      <c r="I17" s="62"/>
      <c r="J17" s="292" t="e">
        <f>VLOOKUP($B17,'核实被函证单位信息K0-2'!$A:$AL,4,0)</f>
        <v>#N/A</v>
      </c>
      <c r="K17" s="292" t="e">
        <f>VLOOKUP($B17,'核实被函证单位信息K0-2'!$A:$AL,10,0)</f>
        <v>#N/A</v>
      </c>
      <c r="L17" s="63"/>
      <c r="M17" s="292" t="e">
        <f>VLOOKUP($B17,'核实被函证单位信息K0-2'!$A:$AL,16,0)</f>
        <v>#N/A</v>
      </c>
      <c r="N17" s="63"/>
      <c r="O17" s="61"/>
      <c r="P17" s="57"/>
      <c r="Q17" s="292" t="e">
        <f>VLOOKUP($B17,'核实被函证单位信息K0-2'!$A:$AL,19,0)</f>
        <v>#N/A</v>
      </c>
      <c r="R17" s="292" t="e">
        <f>VLOOKUP($B17,'核实被函证单位信息K0-2'!$A:$AL,22,0)</f>
        <v>#N/A</v>
      </c>
      <c r="S17" s="241"/>
      <c r="T17" s="240" t="str">
        <f t="shared" si="0"/>
        <v>未回函</v>
      </c>
      <c r="U17" s="241"/>
      <c r="V17" s="62"/>
      <c r="W17" s="64"/>
      <c r="X17" s="57"/>
      <c r="Y17" s="60"/>
      <c r="Z17" s="60"/>
      <c r="AA17" s="57"/>
      <c r="AB17" s="59"/>
    </row>
    <row r="18" spans="1:28" s="65" customFormat="1" ht="19.95" customHeight="1">
      <c r="A18" s="217">
        <v>12</v>
      </c>
      <c r="B18" s="58"/>
      <c r="C18" s="58"/>
      <c r="D18" s="292" t="e">
        <f>VLOOKUP($B18,'核实被函证单位信息K0-2'!$A:$AL,2,0)</f>
        <v>#N/A</v>
      </c>
      <c r="E18" s="271"/>
      <c r="F18" s="60"/>
      <c r="G18" s="292" t="e">
        <f>VLOOKUP($B18,'核实被函证单位信息K0-2'!$A:$AL,3,0)</f>
        <v>#N/A</v>
      </c>
      <c r="H18" s="61"/>
      <c r="I18" s="62"/>
      <c r="J18" s="292" t="e">
        <f>VLOOKUP($B18,'核实被函证单位信息K0-2'!$A:$AL,4,0)</f>
        <v>#N/A</v>
      </c>
      <c r="K18" s="292" t="e">
        <f>VLOOKUP($B18,'核实被函证单位信息K0-2'!$A:$AL,10,0)</f>
        <v>#N/A</v>
      </c>
      <c r="L18" s="63"/>
      <c r="M18" s="292" t="e">
        <f>VLOOKUP($B18,'核实被函证单位信息K0-2'!$A:$AL,16,0)</f>
        <v>#N/A</v>
      </c>
      <c r="N18" s="63"/>
      <c r="O18" s="61"/>
      <c r="P18" s="57"/>
      <c r="Q18" s="292" t="e">
        <f>VLOOKUP($B18,'核实被函证单位信息K0-2'!$A:$AL,19,0)</f>
        <v>#N/A</v>
      </c>
      <c r="R18" s="292" t="e">
        <f>VLOOKUP($B18,'核实被函证单位信息K0-2'!$A:$AL,22,0)</f>
        <v>#N/A</v>
      </c>
      <c r="S18" s="241"/>
      <c r="T18" s="240" t="str">
        <f t="shared" si="0"/>
        <v>未回函</v>
      </c>
      <c r="U18" s="241"/>
      <c r="V18" s="62"/>
      <c r="W18" s="64"/>
      <c r="X18" s="57"/>
      <c r="Y18" s="60"/>
      <c r="Z18" s="60"/>
      <c r="AA18" s="57"/>
      <c r="AB18" s="59"/>
    </row>
    <row r="19" spans="1:28" s="65" customFormat="1" ht="19.95" customHeight="1">
      <c r="A19" s="217">
        <v>13</v>
      </c>
      <c r="B19" s="58"/>
      <c r="C19" s="58"/>
      <c r="D19" s="292" t="e">
        <f>VLOOKUP($B19,'核实被函证单位信息K0-2'!$A:$AL,2,0)</f>
        <v>#N/A</v>
      </c>
      <c r="E19" s="271"/>
      <c r="F19" s="60"/>
      <c r="G19" s="292" t="e">
        <f>VLOOKUP($B19,'核实被函证单位信息K0-2'!$A:$AL,3,0)</f>
        <v>#N/A</v>
      </c>
      <c r="H19" s="61"/>
      <c r="I19" s="62"/>
      <c r="J19" s="292" t="e">
        <f>VLOOKUP($B19,'核实被函证单位信息K0-2'!$A:$AL,4,0)</f>
        <v>#N/A</v>
      </c>
      <c r="K19" s="292" t="e">
        <f>VLOOKUP($B19,'核实被函证单位信息K0-2'!$A:$AL,10,0)</f>
        <v>#N/A</v>
      </c>
      <c r="L19" s="63"/>
      <c r="M19" s="292" t="e">
        <f>VLOOKUP($B19,'核实被函证单位信息K0-2'!$A:$AL,16,0)</f>
        <v>#N/A</v>
      </c>
      <c r="N19" s="63"/>
      <c r="O19" s="61"/>
      <c r="P19" s="57"/>
      <c r="Q19" s="292" t="e">
        <f>VLOOKUP($B19,'核实被函证单位信息K0-2'!$A:$AL,19,0)</f>
        <v>#N/A</v>
      </c>
      <c r="R19" s="292" t="e">
        <f>VLOOKUP($B19,'核实被函证单位信息K0-2'!$A:$AL,22,0)</f>
        <v>#N/A</v>
      </c>
      <c r="S19" s="241"/>
      <c r="T19" s="240" t="str">
        <f t="shared" si="0"/>
        <v>未回函</v>
      </c>
      <c r="U19" s="241"/>
      <c r="V19" s="62"/>
      <c r="W19" s="64"/>
      <c r="X19" s="57"/>
      <c r="Y19" s="60"/>
      <c r="Z19" s="60"/>
      <c r="AA19" s="57"/>
      <c r="AB19" s="59"/>
    </row>
    <row r="20" spans="1:28" s="65" customFormat="1" ht="19.95" customHeight="1">
      <c r="A20" s="217">
        <v>14</v>
      </c>
      <c r="B20" s="58"/>
      <c r="C20" s="58"/>
      <c r="D20" s="292" t="e">
        <f>VLOOKUP($B20,'核实被函证单位信息K0-2'!$A:$AL,2,0)</f>
        <v>#N/A</v>
      </c>
      <c r="E20" s="271"/>
      <c r="F20" s="60"/>
      <c r="G20" s="292" t="e">
        <f>VLOOKUP($B20,'核实被函证单位信息K0-2'!$A:$AL,3,0)</f>
        <v>#N/A</v>
      </c>
      <c r="H20" s="61"/>
      <c r="I20" s="62"/>
      <c r="J20" s="292" t="e">
        <f>VLOOKUP($B20,'核实被函证单位信息K0-2'!$A:$AL,4,0)</f>
        <v>#N/A</v>
      </c>
      <c r="K20" s="292" t="e">
        <f>VLOOKUP($B20,'核实被函证单位信息K0-2'!$A:$AL,10,0)</f>
        <v>#N/A</v>
      </c>
      <c r="L20" s="63"/>
      <c r="M20" s="292" t="e">
        <f>VLOOKUP($B20,'核实被函证单位信息K0-2'!$A:$AL,16,0)</f>
        <v>#N/A</v>
      </c>
      <c r="N20" s="63"/>
      <c r="O20" s="61"/>
      <c r="P20" s="57"/>
      <c r="Q20" s="292" t="e">
        <f>VLOOKUP($B20,'核实被函证单位信息K0-2'!$A:$AL,19,0)</f>
        <v>#N/A</v>
      </c>
      <c r="R20" s="292" t="e">
        <f>VLOOKUP($B20,'核实被函证单位信息K0-2'!$A:$AL,22,0)</f>
        <v>#N/A</v>
      </c>
      <c r="S20" s="241"/>
      <c r="T20" s="240" t="str">
        <f t="shared" si="0"/>
        <v>未回函</v>
      </c>
      <c r="U20" s="241"/>
      <c r="V20" s="62"/>
      <c r="W20" s="64"/>
      <c r="X20" s="57"/>
      <c r="Y20" s="60"/>
      <c r="Z20" s="60"/>
      <c r="AA20" s="57"/>
      <c r="AB20" s="59"/>
    </row>
    <row r="21" spans="1:28" s="65" customFormat="1" ht="19.95" customHeight="1">
      <c r="A21" s="217">
        <v>15</v>
      </c>
      <c r="B21" s="58"/>
      <c r="C21" s="58"/>
      <c r="D21" s="292" t="e">
        <f>VLOOKUP($B21,'核实被函证单位信息K0-2'!$A:$AL,2,0)</f>
        <v>#N/A</v>
      </c>
      <c r="E21" s="271"/>
      <c r="F21" s="60"/>
      <c r="G21" s="292" t="e">
        <f>VLOOKUP($B21,'核实被函证单位信息K0-2'!$A:$AL,3,0)</f>
        <v>#N/A</v>
      </c>
      <c r="H21" s="61"/>
      <c r="I21" s="62"/>
      <c r="J21" s="292" t="e">
        <f>VLOOKUP($B21,'核实被函证单位信息K0-2'!$A:$AL,4,0)</f>
        <v>#N/A</v>
      </c>
      <c r="K21" s="292" t="e">
        <f>VLOOKUP($B21,'核实被函证单位信息K0-2'!$A:$AL,10,0)</f>
        <v>#N/A</v>
      </c>
      <c r="L21" s="63"/>
      <c r="M21" s="292" t="e">
        <f>VLOOKUP($B21,'核实被函证单位信息K0-2'!$A:$AL,16,0)</f>
        <v>#N/A</v>
      </c>
      <c r="N21" s="63"/>
      <c r="O21" s="61"/>
      <c r="P21" s="57"/>
      <c r="Q21" s="292" t="e">
        <f>VLOOKUP($B21,'核实被函证单位信息K0-2'!$A:$AL,19,0)</f>
        <v>#N/A</v>
      </c>
      <c r="R21" s="292" t="e">
        <f>VLOOKUP($B21,'核实被函证单位信息K0-2'!$A:$AL,22,0)</f>
        <v>#N/A</v>
      </c>
      <c r="S21" s="241"/>
      <c r="T21" s="240" t="str">
        <f t="shared" si="0"/>
        <v>未回函</v>
      </c>
      <c r="U21" s="241"/>
      <c r="V21" s="62"/>
      <c r="W21" s="64"/>
      <c r="X21" s="57"/>
      <c r="Y21" s="60"/>
      <c r="Z21" s="60"/>
      <c r="AA21" s="57"/>
      <c r="AB21" s="59"/>
    </row>
    <row r="22" spans="1:28" s="65" customFormat="1" ht="19.95" customHeight="1">
      <c r="A22" s="217">
        <v>16</v>
      </c>
      <c r="B22" s="58"/>
      <c r="C22" s="58"/>
      <c r="D22" s="292" t="e">
        <f>VLOOKUP($B22,'核实被函证单位信息K0-2'!$A:$AL,2,0)</f>
        <v>#N/A</v>
      </c>
      <c r="E22" s="271"/>
      <c r="F22" s="60"/>
      <c r="G22" s="292" t="e">
        <f>VLOOKUP($B22,'核实被函证单位信息K0-2'!$A:$AL,3,0)</f>
        <v>#N/A</v>
      </c>
      <c r="H22" s="61"/>
      <c r="I22" s="62"/>
      <c r="J22" s="292" t="e">
        <f>VLOOKUP($B22,'核实被函证单位信息K0-2'!$A:$AL,4,0)</f>
        <v>#N/A</v>
      </c>
      <c r="K22" s="292" t="e">
        <f>VLOOKUP($B22,'核实被函证单位信息K0-2'!$A:$AL,10,0)</f>
        <v>#N/A</v>
      </c>
      <c r="L22" s="63"/>
      <c r="M22" s="292" t="e">
        <f>VLOOKUP($B22,'核实被函证单位信息K0-2'!$A:$AL,16,0)</f>
        <v>#N/A</v>
      </c>
      <c r="N22" s="63"/>
      <c r="O22" s="61"/>
      <c r="P22" s="57"/>
      <c r="Q22" s="292" t="e">
        <f>VLOOKUP($B22,'核实被函证单位信息K0-2'!$A:$AL,19,0)</f>
        <v>#N/A</v>
      </c>
      <c r="R22" s="292" t="e">
        <f>VLOOKUP($B22,'核实被函证单位信息K0-2'!$A:$AL,22,0)</f>
        <v>#N/A</v>
      </c>
      <c r="S22" s="241"/>
      <c r="T22" s="240" t="str">
        <f t="shared" si="0"/>
        <v>未回函</v>
      </c>
      <c r="U22" s="241"/>
      <c r="V22" s="62"/>
      <c r="W22" s="64"/>
      <c r="X22" s="57"/>
      <c r="Y22" s="60"/>
      <c r="Z22" s="60"/>
      <c r="AA22" s="57"/>
      <c r="AB22" s="59"/>
    </row>
    <row r="23" spans="1:28" s="65" customFormat="1" ht="19.95" customHeight="1">
      <c r="A23" s="217">
        <v>17</v>
      </c>
      <c r="B23" s="58"/>
      <c r="C23" s="58"/>
      <c r="D23" s="292" t="e">
        <f>VLOOKUP($B23,'核实被函证单位信息K0-2'!$A:$AL,2,0)</f>
        <v>#N/A</v>
      </c>
      <c r="E23" s="271"/>
      <c r="F23" s="60"/>
      <c r="G23" s="292" t="e">
        <f>VLOOKUP($B23,'核实被函证单位信息K0-2'!$A:$AL,3,0)</f>
        <v>#N/A</v>
      </c>
      <c r="H23" s="61"/>
      <c r="I23" s="62"/>
      <c r="J23" s="292" t="e">
        <f>VLOOKUP($B23,'核实被函证单位信息K0-2'!$A:$AL,4,0)</f>
        <v>#N/A</v>
      </c>
      <c r="K23" s="292" t="e">
        <f>VLOOKUP($B23,'核实被函证单位信息K0-2'!$A:$AL,10,0)</f>
        <v>#N/A</v>
      </c>
      <c r="L23" s="63"/>
      <c r="M23" s="292" t="e">
        <f>VLOOKUP($B23,'核实被函证单位信息K0-2'!$A:$AL,16,0)</f>
        <v>#N/A</v>
      </c>
      <c r="N23" s="63"/>
      <c r="O23" s="61"/>
      <c r="P23" s="57"/>
      <c r="Q23" s="292" t="e">
        <f>VLOOKUP($B23,'核实被函证单位信息K0-2'!$A:$AL,19,0)</f>
        <v>#N/A</v>
      </c>
      <c r="R23" s="292" t="e">
        <f>VLOOKUP($B23,'核实被函证单位信息K0-2'!$A:$AL,22,0)</f>
        <v>#N/A</v>
      </c>
      <c r="S23" s="241"/>
      <c r="T23" s="240" t="str">
        <f t="shared" si="0"/>
        <v>未回函</v>
      </c>
      <c r="U23" s="241"/>
      <c r="V23" s="62"/>
      <c r="W23" s="64"/>
      <c r="X23" s="57"/>
      <c r="Y23" s="60"/>
      <c r="Z23" s="60"/>
      <c r="AA23" s="57"/>
      <c r="AB23" s="59"/>
    </row>
    <row r="24" spans="1:28" s="65" customFormat="1" ht="19.95" customHeight="1">
      <c r="A24" s="217">
        <v>18</v>
      </c>
      <c r="B24" s="58"/>
      <c r="C24" s="58"/>
      <c r="D24" s="292" t="e">
        <f>VLOOKUP($B24,'核实被函证单位信息K0-2'!$A:$AL,2,0)</f>
        <v>#N/A</v>
      </c>
      <c r="E24" s="271"/>
      <c r="F24" s="60"/>
      <c r="G24" s="292" t="e">
        <f>VLOOKUP($B24,'核实被函证单位信息K0-2'!$A:$AL,3,0)</f>
        <v>#N/A</v>
      </c>
      <c r="H24" s="61"/>
      <c r="I24" s="62"/>
      <c r="J24" s="292" t="e">
        <f>VLOOKUP($B24,'核实被函证单位信息K0-2'!$A:$AL,4,0)</f>
        <v>#N/A</v>
      </c>
      <c r="K24" s="292" t="e">
        <f>VLOOKUP($B24,'核实被函证单位信息K0-2'!$A:$AL,10,0)</f>
        <v>#N/A</v>
      </c>
      <c r="L24" s="63"/>
      <c r="M24" s="292" t="e">
        <f>VLOOKUP($B24,'核实被函证单位信息K0-2'!$A:$AL,16,0)</f>
        <v>#N/A</v>
      </c>
      <c r="N24" s="63"/>
      <c r="O24" s="61"/>
      <c r="P24" s="57"/>
      <c r="Q24" s="292" t="e">
        <f>VLOOKUP($B24,'核实被函证单位信息K0-2'!$A:$AL,19,0)</f>
        <v>#N/A</v>
      </c>
      <c r="R24" s="292" t="e">
        <f>VLOOKUP($B24,'核实被函证单位信息K0-2'!$A:$AL,22,0)</f>
        <v>#N/A</v>
      </c>
      <c r="S24" s="241"/>
      <c r="T24" s="240" t="str">
        <f t="shared" si="0"/>
        <v>未回函</v>
      </c>
      <c r="U24" s="241"/>
      <c r="V24" s="62"/>
      <c r="W24" s="64"/>
      <c r="X24" s="57"/>
      <c r="Y24" s="60"/>
      <c r="Z24" s="60"/>
      <c r="AA24" s="57"/>
      <c r="AB24" s="59"/>
    </row>
    <row r="25" spans="1:28" s="65" customFormat="1" ht="19.95" customHeight="1">
      <c r="A25" s="217">
        <v>19</v>
      </c>
      <c r="B25" s="58"/>
      <c r="C25" s="58"/>
      <c r="D25" s="292" t="e">
        <f>VLOOKUP($B25,'核实被函证单位信息K0-2'!$A:$AL,2,0)</f>
        <v>#N/A</v>
      </c>
      <c r="E25" s="271"/>
      <c r="F25" s="60"/>
      <c r="G25" s="292" t="e">
        <f>VLOOKUP($B25,'核实被函证单位信息K0-2'!$A:$AL,3,0)</f>
        <v>#N/A</v>
      </c>
      <c r="H25" s="61"/>
      <c r="I25" s="62"/>
      <c r="J25" s="292" t="e">
        <f>VLOOKUP($B25,'核实被函证单位信息K0-2'!$A:$AL,4,0)</f>
        <v>#N/A</v>
      </c>
      <c r="K25" s="292" t="e">
        <f>VLOOKUP($B25,'核实被函证单位信息K0-2'!$A:$AL,10,0)</f>
        <v>#N/A</v>
      </c>
      <c r="L25" s="63"/>
      <c r="M25" s="292" t="e">
        <f>VLOOKUP($B25,'核实被函证单位信息K0-2'!$A:$AL,16,0)</f>
        <v>#N/A</v>
      </c>
      <c r="N25" s="63"/>
      <c r="O25" s="61"/>
      <c r="P25" s="57"/>
      <c r="Q25" s="292" t="e">
        <f>VLOOKUP($B25,'核实被函证单位信息K0-2'!$A:$AL,19,0)</f>
        <v>#N/A</v>
      </c>
      <c r="R25" s="292" t="e">
        <f>VLOOKUP($B25,'核实被函证单位信息K0-2'!$A:$AL,22,0)</f>
        <v>#N/A</v>
      </c>
      <c r="S25" s="241"/>
      <c r="T25" s="240" t="str">
        <f t="shared" si="0"/>
        <v>未回函</v>
      </c>
      <c r="U25" s="241"/>
      <c r="V25" s="62"/>
      <c r="W25" s="64"/>
      <c r="X25" s="57"/>
      <c r="Y25" s="60"/>
      <c r="Z25" s="60"/>
      <c r="AA25" s="57"/>
      <c r="AB25" s="59"/>
    </row>
    <row r="26" spans="1:28" s="65" customFormat="1" ht="19.95" customHeight="1">
      <c r="A26" s="217">
        <v>20</v>
      </c>
      <c r="B26" s="58"/>
      <c r="C26" s="58"/>
      <c r="D26" s="292" t="e">
        <f>VLOOKUP($B26,'核实被函证单位信息K0-2'!$A:$AL,2,0)</f>
        <v>#N/A</v>
      </c>
      <c r="E26" s="271"/>
      <c r="F26" s="60"/>
      <c r="G26" s="292" t="e">
        <f>VLOOKUP($B26,'核实被函证单位信息K0-2'!$A:$AL,3,0)</f>
        <v>#N/A</v>
      </c>
      <c r="H26" s="61"/>
      <c r="I26" s="62"/>
      <c r="J26" s="292" t="e">
        <f>VLOOKUP($B26,'核实被函证单位信息K0-2'!$A:$AL,4,0)</f>
        <v>#N/A</v>
      </c>
      <c r="K26" s="292" t="e">
        <f>VLOOKUP($B26,'核实被函证单位信息K0-2'!$A:$AL,10,0)</f>
        <v>#N/A</v>
      </c>
      <c r="L26" s="63"/>
      <c r="M26" s="292" t="e">
        <f>VLOOKUP($B26,'核实被函证单位信息K0-2'!$A:$AL,16,0)</f>
        <v>#N/A</v>
      </c>
      <c r="N26" s="63"/>
      <c r="O26" s="61"/>
      <c r="P26" s="57"/>
      <c r="Q26" s="292" t="e">
        <f>VLOOKUP($B26,'核实被函证单位信息K0-2'!$A:$AL,19,0)</f>
        <v>#N/A</v>
      </c>
      <c r="R26" s="292" t="e">
        <f>VLOOKUP($B26,'核实被函证单位信息K0-2'!$A:$AL,22,0)</f>
        <v>#N/A</v>
      </c>
      <c r="S26" s="241"/>
      <c r="T26" s="240" t="str">
        <f t="shared" si="0"/>
        <v>未回函</v>
      </c>
      <c r="U26" s="241"/>
      <c r="V26" s="62"/>
      <c r="W26" s="64"/>
      <c r="X26" s="57"/>
      <c r="Y26" s="60"/>
      <c r="Z26" s="60"/>
      <c r="AA26" s="57"/>
      <c r="AB26" s="59"/>
    </row>
    <row r="27" spans="1:28" s="65" customFormat="1" ht="19.95" customHeight="1">
      <c r="A27" s="66"/>
      <c r="B27" s="67"/>
      <c r="C27" s="252" t="s">
        <v>275</v>
      </c>
      <c r="D27" s="69"/>
      <c r="E27" s="69"/>
      <c r="F27" s="69"/>
      <c r="G27" s="68"/>
      <c r="H27" s="69"/>
      <c r="I27" s="70" t="s">
        <v>276</v>
      </c>
      <c r="J27" s="70"/>
      <c r="K27" s="71"/>
      <c r="L27" s="71"/>
      <c r="M27" s="71"/>
      <c r="N27" s="71"/>
      <c r="O27" s="71"/>
      <c r="P27" s="72"/>
      <c r="S27" s="70" t="s">
        <v>277</v>
      </c>
      <c r="T27" s="74"/>
      <c r="U27" s="74"/>
      <c r="V27" s="74"/>
      <c r="W27" s="74"/>
      <c r="AB27" s="74"/>
    </row>
    <row r="28" spans="1:28" s="65" customFormat="1" ht="19.95" customHeight="1">
      <c r="A28" s="66"/>
      <c r="B28" s="67"/>
      <c r="C28" s="330" t="s">
        <v>351</v>
      </c>
      <c r="D28" s="330"/>
      <c r="E28" s="275" t="s">
        <v>52</v>
      </c>
      <c r="F28" s="275" t="s">
        <v>340</v>
      </c>
      <c r="G28" s="274"/>
      <c r="H28" s="79"/>
      <c r="I28" s="215" t="s">
        <v>274</v>
      </c>
      <c r="J28" s="78" t="s">
        <v>354</v>
      </c>
      <c r="K28" s="71"/>
      <c r="L28" s="71"/>
      <c r="M28" s="71"/>
      <c r="N28" s="71"/>
      <c r="O28" s="71"/>
      <c r="P28" s="72"/>
      <c r="S28" s="72" t="s">
        <v>212</v>
      </c>
      <c r="T28" s="72"/>
      <c r="X28" s="72" t="s">
        <v>213</v>
      </c>
      <c r="Z28" s="72"/>
      <c r="AB28" s="72"/>
    </row>
    <row r="29" spans="1:28" s="65" customFormat="1" ht="19.95" customHeight="1">
      <c r="A29" s="66"/>
      <c r="B29" s="67"/>
      <c r="C29" s="244" t="s">
        <v>266</v>
      </c>
      <c r="D29" s="244"/>
      <c r="E29" s="60"/>
      <c r="F29" s="60"/>
      <c r="G29" s="75"/>
      <c r="H29" s="76"/>
      <c r="I29" s="77" t="s">
        <v>352</v>
      </c>
      <c r="J29" s="78" t="s">
        <v>353</v>
      </c>
      <c r="K29" s="251"/>
      <c r="M29" s="251"/>
      <c r="N29" s="215"/>
      <c r="S29" s="17"/>
      <c r="T29" s="81"/>
      <c r="X29" s="82" t="s">
        <v>89</v>
      </c>
      <c r="Z29" s="72"/>
      <c r="AB29" s="72"/>
    </row>
    <row r="30" spans="1:28" s="65" customFormat="1" ht="19.95" customHeight="1">
      <c r="A30" s="66"/>
      <c r="B30" s="67"/>
      <c r="C30" s="244" t="s">
        <v>267</v>
      </c>
      <c r="D30" s="244"/>
      <c r="E30" s="248">
        <f>SUMIF(E7:E26,E28,F7:F26)</f>
        <v>0</v>
      </c>
      <c r="F30" s="248">
        <f>SUMIF(E7:E26,F28,F7:F26)</f>
        <v>0</v>
      </c>
      <c r="G30" s="75"/>
      <c r="H30" s="79"/>
      <c r="I30" s="215" t="s">
        <v>265</v>
      </c>
      <c r="J30" s="78" t="s">
        <v>355</v>
      </c>
      <c r="K30" s="251"/>
      <c r="M30" s="251"/>
      <c r="N30" s="215"/>
      <c r="S30" s="17"/>
      <c r="T30" s="81"/>
      <c r="X30" s="82" t="s">
        <v>197</v>
      </c>
      <c r="Z30" s="72"/>
      <c r="AB30" s="83"/>
    </row>
    <row r="31" spans="1:28" s="65" customFormat="1" ht="19.95" customHeight="1">
      <c r="A31" s="66"/>
      <c r="B31" s="67"/>
      <c r="C31" s="244" t="s">
        <v>268</v>
      </c>
      <c r="D31" s="244"/>
      <c r="E31" s="249">
        <f>IF(ISERROR(E30/E29),0,E30/E29)</f>
        <v>0</v>
      </c>
      <c r="F31" s="249">
        <f>IF(ISERROR(F30/F29),0,F30/F29)</f>
        <v>0</v>
      </c>
      <c r="G31" s="75"/>
      <c r="H31" s="79"/>
      <c r="I31" s="77" t="s">
        <v>356</v>
      </c>
      <c r="J31" s="78" t="s">
        <v>361</v>
      </c>
      <c r="K31" s="251"/>
      <c r="M31" s="251"/>
      <c r="N31" s="215"/>
      <c r="O31" s="215"/>
      <c r="P31" s="216"/>
      <c r="S31" s="17"/>
      <c r="T31" s="72"/>
      <c r="X31" s="82"/>
      <c r="Z31" s="72"/>
      <c r="AB31" s="83"/>
    </row>
    <row r="32" spans="1:28" s="65" customFormat="1" ht="19.95" customHeight="1">
      <c r="A32" s="66"/>
      <c r="B32" s="67"/>
      <c r="C32" s="245" t="s">
        <v>269</v>
      </c>
      <c r="D32" s="244"/>
      <c r="E32" s="248">
        <f>SUMIF(E7:E26,E28,U7:U26)</f>
        <v>0</v>
      </c>
      <c r="F32" s="248">
        <f>SUMIF(E7:E26,F28,U7:U26)</f>
        <v>0</v>
      </c>
      <c r="G32" s="75"/>
      <c r="H32" s="76"/>
      <c r="I32" s="250"/>
      <c r="J32" s="78" t="s">
        <v>357</v>
      </c>
      <c r="K32" s="251"/>
      <c r="M32" s="251"/>
      <c r="N32" s="215"/>
      <c r="O32" s="216"/>
      <c r="P32" s="251"/>
      <c r="S32" s="72" t="s">
        <v>364</v>
      </c>
      <c r="T32" s="81"/>
      <c r="X32" s="72" t="s">
        <v>214</v>
      </c>
      <c r="Z32" s="72"/>
      <c r="AB32" s="72"/>
    </row>
    <row r="33" spans="1:28" s="65" customFormat="1" ht="19.95" customHeight="1">
      <c r="A33" s="66"/>
      <c r="B33" s="67"/>
      <c r="C33" s="244" t="s">
        <v>270</v>
      </c>
      <c r="D33" s="244"/>
      <c r="E33" s="249">
        <f>IF(ISERROR(E32/E30),0,E32/E30)</f>
        <v>0</v>
      </c>
      <c r="F33" s="249">
        <f>IF(ISERROR(F32/F30),0,F32/F30)</f>
        <v>0</v>
      </c>
      <c r="G33" s="75"/>
      <c r="H33" s="79"/>
      <c r="I33" s="77" t="s">
        <v>245</v>
      </c>
      <c r="J33" s="78" t="s">
        <v>358</v>
      </c>
      <c r="K33" s="72"/>
      <c r="M33" s="72"/>
      <c r="N33" s="72"/>
      <c r="O33" s="72"/>
      <c r="P33" s="72"/>
      <c r="S33" s="300" t="s">
        <v>418</v>
      </c>
      <c r="T33" s="81"/>
      <c r="U33" s="81"/>
      <c r="V33" s="72"/>
      <c r="W33" s="81"/>
      <c r="AB33" s="83"/>
    </row>
    <row r="34" spans="1:28" s="65" customFormat="1" ht="19.95" customHeight="1">
      <c r="A34" s="66"/>
      <c r="B34" s="67"/>
      <c r="C34" s="244" t="s">
        <v>271</v>
      </c>
      <c r="D34" s="244"/>
      <c r="E34" s="249">
        <f>IF(ISERROR(E32/E29),0,E32/E29)</f>
        <v>0</v>
      </c>
      <c r="F34" s="249">
        <f>IF(ISERROR(F32/F29),0,F32/F29)</f>
        <v>0</v>
      </c>
      <c r="G34" s="75"/>
      <c r="H34" s="79"/>
      <c r="I34" s="77" t="s">
        <v>359</v>
      </c>
      <c r="J34" s="78" t="s">
        <v>362</v>
      </c>
      <c r="K34" s="72"/>
      <c r="M34" s="72"/>
      <c r="N34" s="72"/>
      <c r="O34" s="17"/>
      <c r="P34" s="72"/>
      <c r="S34" s="72"/>
      <c r="T34" s="55"/>
      <c r="U34" s="55"/>
      <c r="V34" s="55"/>
      <c r="W34" s="55"/>
      <c r="X34" s="17"/>
      <c r="Y34" s="17"/>
      <c r="Z34" s="17"/>
      <c r="AB34" s="83"/>
    </row>
    <row r="35" spans="1:28" s="17" customFormat="1" ht="19.95" customHeight="1">
      <c r="A35" s="71"/>
      <c r="B35" s="71"/>
      <c r="C35" s="245" t="s">
        <v>272</v>
      </c>
      <c r="D35" s="244"/>
      <c r="E35" s="248">
        <f>SUMIF(E7:E26,E28,Y7:Y26)</f>
        <v>0</v>
      </c>
      <c r="F35" s="248">
        <f>SUMIF(E7:E26,F28,Y7:Y26)</f>
        <v>0</v>
      </c>
      <c r="G35" s="72"/>
      <c r="H35" s="72"/>
      <c r="I35" s="276"/>
      <c r="J35" s="78" t="s">
        <v>363</v>
      </c>
      <c r="K35" s="72"/>
      <c r="M35" s="72"/>
      <c r="N35" s="72"/>
      <c r="O35" s="72"/>
      <c r="P35" s="72"/>
      <c r="Q35" s="72"/>
      <c r="R35" s="72"/>
      <c r="S35" s="72"/>
      <c r="T35" s="55"/>
      <c r="U35" s="55"/>
      <c r="V35" s="55"/>
      <c r="W35" s="55"/>
      <c r="AB35" s="55"/>
    </row>
    <row r="36" spans="1:28" s="17" customFormat="1" ht="19.95" customHeight="1">
      <c r="A36" s="72"/>
      <c r="B36" s="72"/>
      <c r="C36" s="246" t="s">
        <v>273</v>
      </c>
      <c r="D36" s="247"/>
      <c r="E36" s="249" t="e">
        <f>(E35+E32)/E29</f>
        <v>#DIV/0!</v>
      </c>
      <c r="F36" s="249" t="e">
        <f>(F35+F32)/F29</f>
        <v>#DIV/0!</v>
      </c>
      <c r="G36" s="72"/>
      <c r="I36" s="265"/>
      <c r="J36" s="78" t="s">
        <v>360</v>
      </c>
      <c r="K36" s="55"/>
      <c r="L36" s="72"/>
      <c r="M36" s="72"/>
      <c r="N36" s="72"/>
      <c r="O36" s="72"/>
      <c r="P36" s="72"/>
      <c r="Q36" s="72"/>
      <c r="R36" s="73"/>
      <c r="S36" s="72" t="s">
        <v>215</v>
      </c>
      <c r="T36" s="55"/>
      <c r="U36" s="55"/>
      <c r="V36" s="55"/>
      <c r="W36" s="55"/>
      <c r="X36" s="55"/>
      <c r="Y36" s="55"/>
      <c r="Z36" s="55"/>
      <c r="AA36" s="55"/>
      <c r="AB36" s="55"/>
    </row>
    <row r="37" spans="1:28" s="17" customFormat="1" ht="19.95" customHeight="1">
      <c r="A37" s="73"/>
      <c r="B37" s="72"/>
      <c r="C37" s="71"/>
      <c r="D37" s="71"/>
      <c r="E37" s="71"/>
      <c r="F37" s="71"/>
      <c r="G37" s="72"/>
      <c r="H37" s="72"/>
      <c r="I37" s="265"/>
      <c r="J37" s="78"/>
      <c r="K37" s="72"/>
      <c r="L37" s="72"/>
      <c r="M37" s="72"/>
      <c r="N37" s="72"/>
      <c r="O37" s="72"/>
      <c r="P37" s="72"/>
      <c r="Q37" s="72"/>
      <c r="R37" s="55"/>
      <c r="S37" s="55"/>
      <c r="T37" s="55"/>
      <c r="U37" s="55"/>
      <c r="V37" s="55"/>
      <c r="W37" s="55"/>
      <c r="X37" s="55"/>
      <c r="Y37" s="55"/>
      <c r="Z37" s="55"/>
      <c r="AA37" s="55"/>
      <c r="AB37" s="55"/>
    </row>
    <row r="38" spans="1:28" s="17" customFormat="1" ht="19.95" customHeight="1">
      <c r="A38" s="54"/>
      <c r="B38" s="55"/>
      <c r="C38" s="84" t="s">
        <v>49</v>
      </c>
      <c r="D38" s="72"/>
      <c r="E38" s="72"/>
      <c r="F38" s="72"/>
      <c r="G38" s="55"/>
      <c r="H38" s="55"/>
      <c r="I38" s="55"/>
      <c r="J38" s="55"/>
      <c r="K38" s="55"/>
      <c r="L38" s="55"/>
      <c r="M38" s="55"/>
      <c r="N38" s="55"/>
      <c r="O38" s="55"/>
      <c r="P38" s="55"/>
      <c r="Q38" s="55"/>
      <c r="R38" s="55"/>
      <c r="S38" s="55"/>
      <c r="T38" s="55"/>
      <c r="U38" s="55"/>
      <c r="V38" s="55"/>
      <c r="W38" s="55"/>
      <c r="X38" s="55"/>
      <c r="Y38" s="55"/>
      <c r="Z38" s="55"/>
      <c r="AA38" s="55"/>
      <c r="AB38" s="55"/>
    </row>
    <row r="39" spans="1:28" s="17" customFormat="1" ht="19.95" customHeight="1">
      <c r="A39" s="54"/>
      <c r="B39" s="55"/>
      <c r="C39" s="253"/>
      <c r="D39" s="72"/>
      <c r="E39" s="72"/>
      <c r="F39" s="72"/>
      <c r="G39" s="55"/>
      <c r="H39" s="55"/>
      <c r="I39" s="55"/>
      <c r="J39" s="55"/>
      <c r="K39" s="55"/>
      <c r="L39" s="55"/>
      <c r="M39" s="55"/>
      <c r="N39" s="55"/>
      <c r="O39" s="55"/>
      <c r="P39" s="55"/>
      <c r="Q39" s="55"/>
      <c r="R39" s="55"/>
      <c r="S39" s="55"/>
      <c r="T39" s="55"/>
      <c r="U39" s="55"/>
      <c r="V39" s="55"/>
      <c r="W39" s="55"/>
      <c r="X39" s="55"/>
      <c r="Y39" s="55"/>
      <c r="Z39" s="55"/>
      <c r="AA39" s="55"/>
      <c r="AB39" s="55"/>
    </row>
    <row r="40" spans="1:28" s="17" customFormat="1" ht="18" customHeight="1">
      <c r="A40" s="85" t="s">
        <v>283</v>
      </c>
      <c r="B40" s="55"/>
      <c r="C40" s="84"/>
      <c r="D40" s="72"/>
      <c r="E40" s="72"/>
      <c r="F40" s="72"/>
      <c r="G40" s="55"/>
      <c r="H40" s="55"/>
      <c r="I40" s="55"/>
      <c r="J40" s="55"/>
      <c r="K40" s="55"/>
      <c r="L40" s="55"/>
      <c r="M40" s="55"/>
      <c r="N40" s="55"/>
      <c r="O40" s="55"/>
      <c r="P40" s="55"/>
      <c r="Q40" s="55"/>
      <c r="R40" s="55"/>
    </row>
    <row r="41" spans="1:28" s="17" customFormat="1" ht="19.5" customHeight="1">
      <c r="A41" s="86"/>
      <c r="B41" s="26"/>
      <c r="C41" s="55"/>
      <c r="D41" s="55"/>
      <c r="E41" s="55"/>
      <c r="F41" s="55"/>
      <c r="G41" s="26"/>
      <c r="H41" s="26"/>
      <c r="I41" s="26"/>
      <c r="J41" s="26"/>
      <c r="K41" s="26"/>
      <c r="L41" s="26"/>
      <c r="M41" s="26"/>
      <c r="N41" s="26"/>
      <c r="O41" s="26"/>
      <c r="P41" s="26"/>
      <c r="Q41" s="26"/>
      <c r="R41" s="26"/>
    </row>
    <row r="42" spans="1:28" s="17" customFormat="1" ht="18" customHeight="1">
      <c r="A42" s="87" t="s">
        <v>291</v>
      </c>
      <c r="B42" s="65"/>
      <c r="C42" s="55"/>
      <c r="D42" s="55"/>
      <c r="E42" s="55"/>
      <c r="F42" s="55"/>
    </row>
    <row r="43" spans="1:28" s="17" customFormat="1" ht="18" customHeight="1">
      <c r="A43" s="22" t="s">
        <v>292</v>
      </c>
      <c r="B43" s="65"/>
      <c r="C43" s="26"/>
      <c r="D43" s="26"/>
      <c r="E43" s="26"/>
      <c r="F43" s="26"/>
    </row>
    <row r="44" spans="1:28" s="17" customFormat="1" ht="18" customHeight="1">
      <c r="A44" s="24" t="s">
        <v>37</v>
      </c>
      <c r="B44" s="65"/>
      <c r="C44" s="65"/>
    </row>
    <row r="45" spans="1:28" s="17" customFormat="1" ht="18" customHeight="1">
      <c r="A45" s="24" t="s">
        <v>286</v>
      </c>
      <c r="B45" s="65"/>
      <c r="C45" s="65"/>
    </row>
    <row r="46" spans="1:28" s="17" customFormat="1" ht="18" customHeight="1">
      <c r="A46" s="24" t="s">
        <v>38</v>
      </c>
      <c r="B46" s="65"/>
      <c r="C46" s="65"/>
    </row>
    <row r="47" spans="1:28" s="17" customFormat="1" ht="18" customHeight="1">
      <c r="A47" s="24" t="s">
        <v>39</v>
      </c>
      <c r="B47" s="65"/>
      <c r="C47" s="65"/>
    </row>
    <row r="48" spans="1:28" s="17" customFormat="1" ht="18" customHeight="1">
      <c r="A48" s="24" t="s">
        <v>40</v>
      </c>
      <c r="B48" s="65"/>
      <c r="C48" s="65"/>
    </row>
    <row r="49" spans="1:9" s="17" customFormat="1" ht="18" customHeight="1">
      <c r="A49" s="24" t="s">
        <v>41</v>
      </c>
      <c r="B49" s="65"/>
      <c r="C49" s="65"/>
    </row>
    <row r="50" spans="1:9" s="17" customFormat="1" ht="18" customHeight="1">
      <c r="A50" s="24" t="s">
        <v>42</v>
      </c>
      <c r="B50" s="65"/>
      <c r="C50" s="65"/>
    </row>
    <row r="51" spans="1:9" s="17" customFormat="1" ht="18" customHeight="1">
      <c r="A51" s="24" t="s">
        <v>43</v>
      </c>
      <c r="B51" s="65"/>
      <c r="C51" s="65"/>
    </row>
    <row r="52" spans="1:9" s="17" customFormat="1" ht="18" customHeight="1">
      <c r="A52" s="87" t="s">
        <v>293</v>
      </c>
      <c r="B52" s="65"/>
      <c r="C52" s="65"/>
    </row>
    <row r="53" spans="1:9" s="17" customFormat="1" ht="18" customHeight="1">
      <c r="A53" s="65"/>
      <c r="B53" s="88" t="s">
        <v>44</v>
      </c>
      <c r="C53" s="65"/>
    </row>
    <row r="54" spans="1:9" s="17" customFormat="1" ht="18" customHeight="1">
      <c r="A54" s="65"/>
      <c r="B54" s="88" t="s">
        <v>287</v>
      </c>
      <c r="C54" s="65"/>
    </row>
    <row r="55" spans="1:9" s="24" customFormat="1" ht="18" customHeight="1">
      <c r="A55" s="65"/>
      <c r="B55" s="88" t="s">
        <v>45</v>
      </c>
      <c r="C55" s="88"/>
      <c r="D55" s="17"/>
      <c r="E55" s="17"/>
      <c r="F55" s="17"/>
    </row>
    <row r="56" spans="1:9" s="24" customFormat="1" ht="18" customHeight="1">
      <c r="A56" s="65"/>
      <c r="B56" s="88" t="s">
        <v>46</v>
      </c>
      <c r="C56" s="88"/>
      <c r="D56" s="17"/>
      <c r="E56" s="17"/>
      <c r="F56" s="17"/>
    </row>
    <row r="57" spans="1:9" s="24" customFormat="1" ht="18" customHeight="1">
      <c r="A57" s="65"/>
      <c r="B57" s="88" t="s">
        <v>47</v>
      </c>
      <c r="C57" s="88"/>
    </row>
    <row r="58" spans="1:9" s="24" customFormat="1" ht="18" customHeight="1">
      <c r="A58" s="65"/>
      <c r="B58" s="88" t="s">
        <v>90</v>
      </c>
      <c r="C58" s="88"/>
    </row>
    <row r="59" spans="1:9" s="24" customFormat="1" ht="18" customHeight="1">
      <c r="A59" s="65"/>
      <c r="B59" s="88" t="s">
        <v>48</v>
      </c>
      <c r="C59" s="88"/>
    </row>
    <row r="60" spans="1:9" s="24" customFormat="1" ht="18" customHeight="1">
      <c r="A60" s="65"/>
      <c r="B60" s="88" t="s">
        <v>294</v>
      </c>
      <c r="C60" s="88"/>
    </row>
    <row r="61" spans="1:9" s="17" customFormat="1" ht="13.8">
      <c r="A61" s="87" t="s">
        <v>295</v>
      </c>
      <c r="B61" s="88"/>
      <c r="C61" s="88"/>
      <c r="D61" s="24"/>
      <c r="E61" s="24"/>
      <c r="F61" s="24"/>
    </row>
    <row r="62" spans="1:9">
      <c r="A62" s="89" t="s">
        <v>284</v>
      </c>
      <c r="B62" s="89"/>
      <c r="C62" s="88"/>
      <c r="D62" s="24"/>
      <c r="E62" s="24"/>
      <c r="F62" s="24"/>
      <c r="G62" s="17"/>
      <c r="H62" s="17"/>
      <c r="I62" s="17"/>
    </row>
    <row r="63" spans="1:9">
      <c r="A63" s="90" t="s">
        <v>91</v>
      </c>
      <c r="B63" s="89"/>
      <c r="C63" s="88"/>
      <c r="D63" s="17"/>
      <c r="E63" s="17"/>
      <c r="F63" s="17"/>
      <c r="G63" s="17"/>
      <c r="H63" s="17"/>
      <c r="I63" s="17"/>
    </row>
    <row r="64" spans="1:9">
      <c r="A64" s="91" t="s">
        <v>296</v>
      </c>
      <c r="B64" s="89" t="s">
        <v>285</v>
      </c>
      <c r="C64" s="89"/>
      <c r="D64" s="17"/>
      <c r="E64" s="17"/>
      <c r="F64" s="17"/>
      <c r="G64" s="17"/>
      <c r="H64" s="17"/>
      <c r="I64" s="17"/>
    </row>
    <row r="65" spans="1:9">
      <c r="A65" s="91" t="s">
        <v>288</v>
      </c>
      <c r="B65" s="89" t="s">
        <v>92</v>
      </c>
      <c r="C65" s="89"/>
      <c r="D65" s="17"/>
      <c r="E65" s="17"/>
      <c r="F65" s="17"/>
      <c r="G65" s="17"/>
      <c r="H65" s="17"/>
      <c r="I65" s="17"/>
    </row>
    <row r="66" spans="1:9">
      <c r="A66" s="91" t="s">
        <v>289</v>
      </c>
      <c r="B66" s="89" t="s">
        <v>297</v>
      </c>
      <c r="C66" s="89"/>
      <c r="D66" s="17"/>
      <c r="E66" s="17"/>
      <c r="F66" s="17"/>
      <c r="G66" s="17"/>
      <c r="H66" s="17"/>
      <c r="I66" s="17"/>
    </row>
    <row r="67" spans="1:9">
      <c r="A67" s="255" t="s">
        <v>290</v>
      </c>
      <c r="B67" s="17"/>
      <c r="C67" s="89"/>
      <c r="D67" s="17"/>
      <c r="E67" s="17"/>
      <c r="F67" s="17"/>
      <c r="G67" s="17"/>
      <c r="H67" s="17"/>
      <c r="I67" s="17"/>
    </row>
    <row r="68" spans="1:9">
      <c r="C68" s="89"/>
    </row>
  </sheetData>
  <mergeCells count="13">
    <mergeCell ref="C28:D28"/>
    <mergeCell ref="A1:R1"/>
    <mergeCell ref="A2:R2"/>
    <mergeCell ref="S1:AB1"/>
    <mergeCell ref="S2:AB2"/>
    <mergeCell ref="AB5:AB6"/>
    <mergeCell ref="S5:W5"/>
    <mergeCell ref="X5:AA5"/>
    <mergeCell ref="A5:A6"/>
    <mergeCell ref="B5:B6"/>
    <mergeCell ref="C5:F5"/>
    <mergeCell ref="G5:K5"/>
    <mergeCell ref="L5:R5"/>
  </mergeCells>
  <phoneticPr fontId="16" type="noConversion"/>
  <dataValidations count="6">
    <dataValidation type="list" allowBlank="1" showInputMessage="1" showErrorMessage="1" sqref="N7:N26 L7:L26 X7:X26">
      <formula1>"是,否"</formula1>
    </dataValidation>
    <dataValidation type="list" allowBlank="1" showInputMessage="1" showErrorMessage="1" sqref="O32">
      <formula1>#REF!</formula1>
    </dataValidation>
    <dataValidation type="list" allowBlank="1" showInputMessage="1" showErrorMessage="1" sqref="JF7:JF26 WVR7:WVR26 WLV7:WLV26 WBZ7:WBZ26 VSD7:VSD26 VIH7:VIH26 UYL7:UYL26 UOP7:UOP26 UET7:UET26 TUX7:TUX26 TLB7:TLB26 TBF7:TBF26 SRJ7:SRJ26 SHN7:SHN26 RXR7:RXR26 RNV7:RNV26 RDZ7:RDZ26 QUD7:QUD26 QKH7:QKH26 QAL7:QAL26 PQP7:PQP26 PGT7:PGT26 OWX7:OWX26 ONB7:ONB26 ODF7:ODF26 NTJ7:NTJ26 NJN7:NJN26 MZR7:MZR26 MPV7:MPV26 MFZ7:MFZ26 LWD7:LWD26 LMH7:LMH26 LCL7:LCL26 KSP7:KSP26 KIT7:KIT26 JYX7:JYX26 JPB7:JPB26 JFF7:JFF26 IVJ7:IVJ26 ILN7:ILN26 IBR7:IBR26 HRV7:HRV26 HHZ7:HHZ26 GYD7:GYD26 GOH7:GOH26 GEL7:GEL26 FUP7:FUP26 FKT7:FKT26 FAX7:FAX26 ERB7:ERB26 EHF7:EHF26 DXJ7:DXJ26 DNN7:DNN26 DDR7:DDR26 CTV7:CTV26 CJZ7:CJZ26 CAD7:CAD26 BQH7:BQH26 BGL7:BGL26 AWP7:AWP26 AMT7:AMT26 ACX7:ACX26 TB7:TB26 C7:C26">
      <formula1>"A. 大额,B.异常,C.余额为0,D.账龄长,E.随机"</formula1>
    </dataValidation>
    <dataValidation type="list" allowBlank="1" showInputMessage="1" showErrorMessage="1" sqref="JV7:JV26 WMC7:WMC26 WCG7:WCG26 VSK7:VSK26 VIO7:VIO26 UYS7:UYS26 UOW7:UOW26 UFA7:UFA26 TVE7:TVE26 TLI7:TLI26 TBM7:TBM26 SRQ7:SRQ26 SHU7:SHU26 RXY7:RXY26 ROC7:ROC26 REG7:REG26 QUK7:QUK26 QKO7:QKO26 QAS7:QAS26 PQW7:PQW26 PHA7:PHA26 OXE7:OXE26 ONI7:ONI26 ODM7:ODM26 NTQ7:NTQ26 NJU7:NJU26 MZY7:MZY26 MQC7:MQC26 MGG7:MGG26 LWK7:LWK26 LMO7:LMO26 LCS7:LCS26 KSW7:KSW26 KJA7:KJA26 JZE7:JZE26 JPI7:JPI26 JFM7:JFM26 IVQ7:IVQ26 ILU7:ILU26 IBY7:IBY26 HSC7:HSC26 HIG7:HIG26 GYK7:GYK26 GOO7:GOO26 GES7:GES26 FUW7:FUW26 FLA7:FLA26 FBE7:FBE26 ERI7:ERI26 EHM7:EHM26 DXQ7:DXQ26 DNU7:DNU26 DDY7:DDY26 CUC7:CUC26 CKG7:CKG26 CAK7:CAK26 BQO7:BQO26 BGS7:BGS26 AWW7:AWW26 ANA7:ANA26 ADE7:ADE26 TI7:TI26 JM7:JM26 TR7:TR26 WVU7:WVU26 WLY7:WLY26 WCC7:WCC26 VSG7:VSG26 VIK7:VIK26 UYO7:UYO26 UOS7:UOS26 UEW7:UEW26 TVA7:TVA26 TLE7:TLE26 TBI7:TBI26 SRM7:SRM26 SHQ7:SHQ26 RXU7:RXU26 RNY7:RNY26 REC7:REC26 QUG7:QUG26 QKK7:QKK26 QAO7:QAO26 PQS7:PQS26 PGW7:PGW26 OXA7:OXA26 ONE7:ONE26 ODI7:ODI26 NTM7:NTM26 NJQ7:NJQ26 MZU7:MZU26 MPY7:MPY26 MGC7:MGC26 LWG7:LWG26 LMK7:LMK26 LCO7:LCO26 KSS7:KSS26 KIW7:KIW26 JZA7:JZA26 JPE7:JPE26 JFI7:JFI26 IVM7:IVM26 ILQ7:ILQ26 IBU7:IBU26 HRY7:HRY26 HIC7:HIC26 GYG7:GYG26 GOK7:GOK26 GEO7:GEO26 FUS7:FUS26 FKW7:FKW26 FBA7:FBA26 ERE7:ERE26 EHI7:EHI26 DXM7:DXM26 DNQ7:DNQ26 DDU7:DDU26 CTY7:CTY26 CKC7:CKC26 CAG7:CAG26 BQK7:BQK26 BGO7:BGO26 AWS7:AWS26 AMW7:AMW26 ADA7:ADA26 TE7:TE26 JI7:JI26 WVY7:WVY26 WWH7:WWH26 WML7:WML26 WCP7:WCP26 VST7:VST26 VIX7:VIX26 UZB7:UZB26 UPF7:UPF26 UFJ7:UFJ26 TVN7:TVN26 TLR7:TLR26 TBV7:TBV26 SRZ7:SRZ26 SID7:SID26 RYH7:RYH26 ROL7:ROL26 REP7:REP26 QUT7:QUT26 QKX7:QKX26 QBB7:QBB26 PRF7:PRF26 PHJ7:PHJ26 OXN7:OXN26 ONR7:ONR26 ODV7:ODV26 NTZ7:NTZ26 NKD7:NKD26 NAH7:NAH26 MQL7:MQL26 MGP7:MGP26 LWT7:LWT26 LMX7:LMX26 LDB7:LDB26 KTF7:KTF26 KJJ7:KJJ26 JZN7:JZN26 JPR7:JPR26 JFV7:JFV26 IVZ7:IVZ26 IMD7:IMD26 ICH7:ICH26 HSL7:HSL26 HIP7:HIP26 GYT7:GYT26 GOX7:GOX26 GFB7:GFB26 FVF7:FVF26 FLJ7:FLJ26 FBN7:FBN26 ERR7:ERR26 EHV7:EHV26 DXZ7:DXZ26 DOD7:DOD26 DEH7:DEH26 CUL7:CUL26 CKP7:CKP26 CAT7:CAT26 BQX7:BQX26 BHB7:BHB26 AXF7:AXF26 ANJ7:ANJ26 ADN7:ADN26">
      <formula1>"√,×"</formula1>
    </dataValidation>
    <dataValidation type="list" allowBlank="1" showInputMessage="1" showErrorMessage="1" sqref="WVW7:WVX26 JK7:JL26 WMA7:WMB26 WCE7:WCF26 VSI7:VSJ26 VIM7:VIN26 UYQ7:UYR26 UOU7:UOV26 UEY7:UEZ26 TVC7:TVD26 TLG7:TLH26 TBK7:TBL26 SRO7:SRP26 SHS7:SHT26 RXW7:RXX26 ROA7:ROB26 REE7:REF26 QUI7:QUJ26 QKM7:QKN26 QAQ7:QAR26 PQU7:PQV26 PGY7:PGZ26 OXC7:OXD26 ONG7:ONH26 ODK7:ODL26 NTO7:NTP26 NJS7:NJT26 MZW7:MZX26 MQA7:MQB26 MGE7:MGF26 LWI7:LWJ26 LMM7:LMN26 LCQ7:LCR26 KSU7:KSV26 KIY7:KIZ26 JZC7:JZD26 JPG7:JPH26 JFK7:JFL26 IVO7:IVP26 ILS7:ILT26 IBW7:IBX26 HSA7:HSB26 HIE7:HIF26 GYI7:GYJ26 GOM7:GON26 GEQ7:GER26 FUU7:FUV26 FKY7:FKZ26 FBC7:FBD26 ERG7:ERH26 EHK7:EHL26 DXO7:DXP26 DNS7:DNT26 DDW7:DDX26 CUA7:CUB26 CKE7:CKF26 CAI7:CAJ26 BQM7:BQN26 BGQ7:BGR26 AWU7:AWV26 AMY7:AMZ26 ADC7:ADD26 TG7:TH26">
      <formula1>"跟函,邮寄,电邮,其他"</formula1>
    </dataValidation>
    <dataValidation type="list" allowBlank="1" showInputMessage="1" showErrorMessage="1" sqref="WVZ7:WWB26 JN7:JP26 WMD7:WMF26 WCH7:WCJ26 VSL7:VSN26 VIP7:VIR26 UYT7:UYV26 UOX7:UOZ26 UFB7:UFD26 TVF7:TVH26 TLJ7:TLL26 TBN7:TBP26 SRR7:SRT26 SHV7:SHX26 RXZ7:RYB26 ROD7:ROF26 REH7:REJ26 QUL7:QUN26 QKP7:QKR26 QAT7:QAV26 PQX7:PQZ26 PHB7:PHD26 OXF7:OXH26 ONJ7:ONL26 ODN7:ODP26 NTR7:NTT26 NJV7:NJX26 MZZ7:NAB26 MQD7:MQF26 MGH7:MGJ26 LWL7:LWN26 LMP7:LMR26 LCT7:LCV26 KSX7:KSZ26 KJB7:KJD26 JZF7:JZH26 JPJ7:JPL26 JFN7:JFP26 IVR7:IVT26 ILV7:ILX26 IBZ7:ICB26 HSD7:HSF26 HIH7:HIJ26 GYL7:GYN26 GOP7:GOR26 GET7:GEV26 FUX7:FUZ26 FLB7:FLD26 FBF7:FBH26 ERJ7:ERL26 EHN7:EHP26 DXR7:DXT26 DNV7:DNX26 DDZ7:DEB26 CUD7:CUF26 CKH7:CKJ26 CAL7:CAN26 BQP7:BQR26 BGT7:BGV26 AWX7:AWZ26 ANB7:AND26 ADF7:ADH26 TJ7:TL26">
      <formula1>"纸质原件,传真件,电子邮件,其他介质"</formula1>
    </dataValidation>
  </dataValidations>
  <hyperlinks>
    <hyperlink ref="AB3" location="底稿目录!A1" display="底稿目录!A1"/>
    <hyperlink ref="R3" location="底稿目录!A1" display="底稿目录!A1"/>
  </hyperlinks>
  <printOptions horizontalCentered="1"/>
  <pageMargins left="0.59055118110236227" right="0.43307086614173229" top="0.55118110236220474" bottom="0.51181102362204722" header="0.31496062992125984" footer="0.31496062992125984"/>
  <pageSetup paperSize="9" scale="60" fitToHeight="5" orientation="landscape" blackAndWhite="1" cellComments="atEnd" r:id="rId1"/>
  <colBreaks count="1" manualBreakCount="1">
    <brk id="18" max="38" man="1"/>
  </col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N41"/>
  <sheetViews>
    <sheetView view="pageBreakPreview" zoomScaleSheetLayoutView="100" workbookViewId="0">
      <pane xSplit="2" ySplit="6" topLeftCell="C7" activePane="bottomRight" state="frozen"/>
      <selection activeCell="A13" sqref="A13:F13"/>
      <selection pane="topRight" activeCell="A13" sqref="A13:F13"/>
      <selection pane="bottomLeft" activeCell="A13" sqref="A13:F13"/>
      <selection pane="bottomRight" sqref="A1:N1"/>
    </sheetView>
  </sheetViews>
  <sheetFormatPr defaultColWidth="9" defaultRowHeight="13.8"/>
  <cols>
    <col min="1" max="1" width="8.09765625" style="109" customWidth="1"/>
    <col min="2" max="2" width="17.296875" style="109" customWidth="1"/>
    <col min="3" max="3" width="9.59765625" style="109" customWidth="1"/>
    <col min="4" max="4" width="15.8984375" style="109" customWidth="1"/>
    <col min="5" max="5" width="9.59765625" style="109" customWidth="1"/>
    <col min="6" max="6" width="9" style="109"/>
    <col min="7" max="7" width="13" style="109" customWidth="1"/>
    <col min="8" max="8" width="16.09765625" style="109" customWidth="1"/>
    <col min="9" max="9" width="19.3984375" style="109" customWidth="1"/>
    <col min="10" max="10" width="8.8984375" style="109" customWidth="1"/>
    <col min="11" max="11" width="14.796875" style="109" customWidth="1"/>
    <col min="12" max="12" width="12.09765625" style="109" customWidth="1"/>
    <col min="13" max="13" width="10.5" style="109" customWidth="1"/>
    <col min="14" max="14" width="7.8984375" style="109" customWidth="1"/>
    <col min="15" max="15" width="11.5" style="109" customWidth="1"/>
    <col min="16" max="16" width="10.5" style="109" customWidth="1"/>
    <col min="17" max="17" width="6.09765625" style="109" customWidth="1"/>
    <col min="18" max="18" width="6.796875" style="109" customWidth="1"/>
    <col min="19" max="19" width="18.69921875" style="109" customWidth="1"/>
    <col min="20" max="20" width="10.5" style="109" customWidth="1"/>
    <col min="21" max="21" width="12.09765625" style="109" customWidth="1"/>
    <col min="22" max="22" width="8.8984375" style="109" customWidth="1"/>
    <col min="23" max="23" width="9.296875" style="109" customWidth="1"/>
    <col min="24" max="24" width="10.09765625" style="109" customWidth="1"/>
    <col min="25" max="25" width="14.8984375" style="109" customWidth="1"/>
    <col min="26" max="27" width="9.59765625" style="109" customWidth="1"/>
    <col min="28" max="28" width="10.296875" style="109" customWidth="1"/>
    <col min="29" max="29" width="12.09765625" style="109" customWidth="1"/>
    <col min="30" max="30" width="12.09765625" style="110" customWidth="1"/>
    <col min="31" max="31" width="11" style="109" customWidth="1"/>
    <col min="32" max="32" width="24.3984375" style="109" customWidth="1"/>
    <col min="33" max="33" width="11.5" style="109" customWidth="1"/>
    <col min="34" max="34" width="9" style="109"/>
    <col min="35" max="35" width="14.796875" style="109" customWidth="1"/>
    <col min="36" max="36" width="11.3984375" style="109" customWidth="1"/>
    <col min="37" max="37" width="9" style="109"/>
    <col min="38" max="38" width="11.09765625" style="109" customWidth="1"/>
    <col min="39" max="16384" width="9" style="109"/>
  </cols>
  <sheetData>
    <row r="1" spans="1:40" s="50" customFormat="1" ht="19.95" customHeight="1">
      <c r="A1" s="356" t="s">
        <v>93</v>
      </c>
      <c r="B1" s="356"/>
      <c r="C1" s="356"/>
      <c r="D1" s="356"/>
      <c r="E1" s="356"/>
      <c r="F1" s="356"/>
      <c r="G1" s="356"/>
      <c r="H1" s="356"/>
      <c r="I1" s="356"/>
      <c r="J1" s="356"/>
      <c r="K1" s="356"/>
      <c r="L1" s="356"/>
      <c r="M1" s="356"/>
      <c r="N1" s="356"/>
      <c r="O1" s="93"/>
      <c r="P1" s="356" t="s">
        <v>94</v>
      </c>
      <c r="Q1" s="356"/>
      <c r="R1" s="356"/>
      <c r="S1" s="356"/>
      <c r="T1" s="356"/>
      <c r="U1" s="356"/>
      <c r="V1" s="356"/>
      <c r="W1" s="356"/>
      <c r="X1" s="356"/>
      <c r="Y1" s="356"/>
      <c r="Z1" s="356"/>
      <c r="AA1" s="356"/>
      <c r="AB1" s="356" t="s">
        <v>94</v>
      </c>
      <c r="AC1" s="356"/>
      <c r="AD1" s="356"/>
      <c r="AE1" s="356"/>
      <c r="AF1" s="356"/>
      <c r="AG1" s="356"/>
      <c r="AH1" s="356"/>
      <c r="AI1" s="356"/>
      <c r="AJ1" s="356"/>
      <c r="AK1" s="356"/>
      <c r="AL1" s="356"/>
      <c r="AM1" s="92"/>
      <c r="AN1" s="92"/>
    </row>
    <row r="2" spans="1:40" s="229" customFormat="1" ht="19.95" customHeight="1">
      <c r="A2" s="357" t="s">
        <v>239</v>
      </c>
      <c r="B2" s="357"/>
      <c r="C2" s="357"/>
      <c r="D2" s="357"/>
      <c r="E2" s="357"/>
      <c r="F2" s="357"/>
      <c r="G2" s="357"/>
      <c r="H2" s="357"/>
      <c r="I2" s="357"/>
      <c r="J2" s="357"/>
      <c r="K2" s="357"/>
      <c r="L2" s="357"/>
      <c r="M2" s="357"/>
      <c r="N2" s="357"/>
      <c r="O2" s="227"/>
      <c r="P2" s="357" t="s">
        <v>239</v>
      </c>
      <c r="Q2" s="357"/>
      <c r="R2" s="357"/>
      <c r="S2" s="357"/>
      <c r="T2" s="357"/>
      <c r="U2" s="357"/>
      <c r="V2" s="357"/>
      <c r="W2" s="357"/>
      <c r="X2" s="357"/>
      <c r="Y2" s="357"/>
      <c r="Z2" s="357"/>
      <c r="AA2" s="357"/>
      <c r="AB2" s="357" t="s">
        <v>240</v>
      </c>
      <c r="AC2" s="357"/>
      <c r="AD2" s="357"/>
      <c r="AE2" s="357"/>
      <c r="AF2" s="357"/>
      <c r="AG2" s="357"/>
      <c r="AH2" s="357"/>
      <c r="AI2" s="357"/>
      <c r="AJ2" s="357"/>
      <c r="AK2" s="357"/>
      <c r="AL2" s="357"/>
      <c r="AM2" s="228"/>
    </row>
    <row r="3" spans="1:40" s="94" customFormat="1" ht="19.95" customHeight="1">
      <c r="C3" s="53" t="str">
        <f>底稿目录!A2</f>
        <v>被审计单位：</v>
      </c>
      <c r="F3" s="53" t="str">
        <f>底稿目录!A4</f>
        <v>编制人：</v>
      </c>
      <c r="I3" s="53"/>
      <c r="J3" s="53"/>
      <c r="K3" s="53" t="str">
        <f>底稿目录!A5</f>
        <v>编制日期：</v>
      </c>
      <c r="L3" s="53"/>
      <c r="M3" s="53"/>
      <c r="N3" s="200" t="s">
        <v>365</v>
      </c>
      <c r="O3" s="53" t="str">
        <f>底稿目录!F7</f>
        <v>K0-2</v>
      </c>
      <c r="P3" s="53" t="str">
        <f>底稿目录!A2</f>
        <v>被审计单位：</v>
      </c>
      <c r="Q3" s="53"/>
      <c r="R3" s="53"/>
      <c r="S3" s="53"/>
      <c r="T3" s="53" t="str">
        <f>底稿目录!A4</f>
        <v>编制人：</v>
      </c>
      <c r="U3" s="53"/>
      <c r="V3" s="53"/>
      <c r="W3" s="53" t="str">
        <f>底稿目录!A5</f>
        <v>编制日期：</v>
      </c>
      <c r="X3" s="53"/>
      <c r="Y3" s="53"/>
      <c r="Z3" s="200" t="s">
        <v>365</v>
      </c>
      <c r="AA3" s="291" t="str">
        <f>底稿目录!F7</f>
        <v>K0-2</v>
      </c>
      <c r="AB3" s="95" t="str">
        <f>底稿目录!A2</f>
        <v>被审计单位：</v>
      </c>
      <c r="AC3" s="95"/>
      <c r="AE3" s="94" t="str">
        <f>底稿目录!A4</f>
        <v>编制人：</v>
      </c>
      <c r="AH3" s="94" t="str">
        <f>底稿目录!A5</f>
        <v>编制日期：</v>
      </c>
      <c r="AK3" s="200" t="s">
        <v>365</v>
      </c>
      <c r="AL3" s="291" t="str">
        <f>底稿目录!F7</f>
        <v>K0-2</v>
      </c>
    </row>
    <row r="4" spans="1:40" s="94" customFormat="1" ht="19.95" customHeight="1">
      <c r="C4" s="53" t="str">
        <f>底稿目录!A3</f>
        <v>截止日：202X年12月31日</v>
      </c>
      <c r="F4" s="53" t="str">
        <f>底稿目录!A6</f>
        <v>复核人：</v>
      </c>
      <c r="I4" s="53"/>
      <c r="J4" s="53"/>
      <c r="K4" s="53" t="str">
        <f>底稿目录!A7</f>
        <v>复核日期：</v>
      </c>
      <c r="L4" s="53"/>
      <c r="M4" s="53"/>
      <c r="N4" s="200" t="s">
        <v>366</v>
      </c>
      <c r="O4" s="53"/>
      <c r="P4" s="53" t="str">
        <f>底稿目录!A3</f>
        <v>截止日：202X年12月31日</v>
      </c>
      <c r="Q4" s="53"/>
      <c r="R4" s="53"/>
      <c r="S4" s="53"/>
      <c r="T4" s="53" t="str">
        <f>底稿目录!A6</f>
        <v>复核人：</v>
      </c>
      <c r="U4" s="53"/>
      <c r="V4" s="53"/>
      <c r="W4" s="53" t="str">
        <f>底稿目录!A7</f>
        <v>复核日期：</v>
      </c>
      <c r="X4" s="53"/>
      <c r="Y4" s="53"/>
      <c r="Z4" s="200" t="s">
        <v>366</v>
      </c>
      <c r="AA4" s="53"/>
      <c r="AB4" s="95" t="str">
        <f>底稿目录!A3</f>
        <v>截止日：202X年12月31日</v>
      </c>
      <c r="AC4" s="95"/>
      <c r="AD4" s="95"/>
      <c r="AE4" s="94" t="str">
        <f>底稿目录!A6</f>
        <v>复核人：</v>
      </c>
      <c r="AH4" s="94" t="str">
        <f>底稿目录!A7</f>
        <v>复核日期：</v>
      </c>
      <c r="AK4" s="200" t="s">
        <v>366</v>
      </c>
    </row>
    <row r="5" spans="1:40" s="96" customFormat="1" ht="28.2" customHeight="1">
      <c r="A5" s="351" t="s">
        <v>19</v>
      </c>
      <c r="B5" s="352" t="s">
        <v>95</v>
      </c>
      <c r="C5" s="353"/>
      <c r="D5" s="353"/>
      <c r="E5" s="353"/>
      <c r="F5" s="353"/>
      <c r="G5" s="353"/>
      <c r="H5" s="353"/>
      <c r="I5" s="353"/>
      <c r="J5" s="353"/>
      <c r="K5" s="353"/>
      <c r="L5" s="353"/>
      <c r="M5" s="353"/>
      <c r="N5" s="353"/>
      <c r="O5" s="354"/>
      <c r="P5" s="352" t="s">
        <v>96</v>
      </c>
      <c r="Q5" s="353"/>
      <c r="R5" s="353"/>
      <c r="S5" s="353"/>
      <c r="T5" s="353"/>
      <c r="U5" s="353"/>
      <c r="V5" s="353"/>
      <c r="W5" s="353"/>
      <c r="X5" s="353"/>
      <c r="Y5" s="353"/>
      <c r="Z5" s="353"/>
      <c r="AA5" s="354"/>
      <c r="AB5" s="347" t="s">
        <v>97</v>
      </c>
      <c r="AC5" s="355" t="s">
        <v>20</v>
      </c>
      <c r="AD5" s="355" t="s">
        <v>98</v>
      </c>
      <c r="AE5" s="347" t="s">
        <v>21</v>
      </c>
      <c r="AF5" s="348" t="s">
        <v>22</v>
      </c>
      <c r="AG5" s="349"/>
      <c r="AH5" s="349"/>
      <c r="AI5" s="349"/>
      <c r="AJ5" s="349"/>
      <c r="AK5" s="350"/>
      <c r="AL5" s="347" t="s">
        <v>99</v>
      </c>
    </row>
    <row r="6" spans="1:40" s="96" customFormat="1" ht="52.8" customHeight="1">
      <c r="A6" s="351"/>
      <c r="B6" s="97" t="s">
        <v>100</v>
      </c>
      <c r="C6" s="97" t="s">
        <v>101</v>
      </c>
      <c r="D6" s="97" t="s">
        <v>102</v>
      </c>
      <c r="E6" s="97" t="s">
        <v>103</v>
      </c>
      <c r="F6" s="98" t="s">
        <v>24</v>
      </c>
      <c r="G6" s="98" t="s">
        <v>25</v>
      </c>
      <c r="H6" s="97" t="s">
        <v>104</v>
      </c>
      <c r="I6" s="97" t="s">
        <v>105</v>
      </c>
      <c r="J6" s="97" t="s">
        <v>106</v>
      </c>
      <c r="K6" s="97" t="s">
        <v>107</v>
      </c>
      <c r="L6" s="97" t="s">
        <v>108</v>
      </c>
      <c r="M6" s="97" t="s">
        <v>109</v>
      </c>
      <c r="N6" s="97" t="s">
        <v>110</v>
      </c>
      <c r="O6" s="97" t="s">
        <v>111</v>
      </c>
      <c r="P6" s="97" t="s">
        <v>112</v>
      </c>
      <c r="Q6" s="97" t="s">
        <v>113</v>
      </c>
      <c r="R6" s="97" t="s">
        <v>114</v>
      </c>
      <c r="S6" s="97" t="s">
        <v>445</v>
      </c>
      <c r="T6" s="97" t="s">
        <v>115</v>
      </c>
      <c r="U6" s="97" t="s">
        <v>116</v>
      </c>
      <c r="V6" s="97" t="s">
        <v>117</v>
      </c>
      <c r="W6" s="97" t="s">
        <v>118</v>
      </c>
      <c r="X6" s="97" t="s">
        <v>119</v>
      </c>
      <c r="Y6" s="97" t="s">
        <v>120</v>
      </c>
      <c r="Z6" s="97" t="s">
        <v>121</v>
      </c>
      <c r="AA6" s="220" t="s">
        <v>260</v>
      </c>
      <c r="AB6" s="347"/>
      <c r="AC6" s="355"/>
      <c r="AD6" s="355"/>
      <c r="AE6" s="347"/>
      <c r="AF6" s="99" t="s">
        <v>122</v>
      </c>
      <c r="AG6" s="100" t="s">
        <v>23</v>
      </c>
      <c r="AH6" s="101" t="s">
        <v>24</v>
      </c>
      <c r="AI6" s="101" t="s">
        <v>25</v>
      </c>
      <c r="AJ6" s="101" t="s">
        <v>26</v>
      </c>
      <c r="AK6" s="97" t="s">
        <v>123</v>
      </c>
      <c r="AL6" s="347"/>
    </row>
    <row r="7" spans="1:40" s="105" customFormat="1" ht="19.95" customHeight="1">
      <c r="A7" s="102"/>
      <c r="B7" s="102"/>
      <c r="C7" s="103"/>
      <c r="D7" s="102"/>
      <c r="E7" s="273"/>
      <c r="F7" s="103"/>
      <c r="G7" s="218"/>
      <c r="H7" s="221"/>
      <c r="I7" s="102"/>
      <c r="J7" s="57"/>
      <c r="K7" s="103"/>
      <c r="L7" s="103"/>
      <c r="M7" s="102"/>
      <c r="N7" s="57"/>
      <c r="O7" s="103"/>
      <c r="P7" s="59"/>
      <c r="Q7" s="57"/>
      <c r="R7" s="57"/>
      <c r="S7" s="103"/>
      <c r="T7" s="103"/>
      <c r="U7" s="218"/>
      <c r="V7" s="57"/>
      <c r="W7" s="57"/>
      <c r="X7" s="57"/>
      <c r="Y7" s="103"/>
      <c r="Z7" s="102"/>
      <c r="AA7" s="102"/>
      <c r="AB7" s="103"/>
      <c r="AC7" s="103"/>
      <c r="AD7" s="104"/>
      <c r="AE7" s="104"/>
      <c r="AF7" s="103"/>
      <c r="AG7" s="222"/>
      <c r="AH7" s="103"/>
      <c r="AI7" s="222"/>
      <c r="AJ7" s="102"/>
      <c r="AK7" s="104"/>
      <c r="AL7" s="104"/>
    </row>
    <row r="8" spans="1:40" s="105" customFormat="1" ht="19.95" customHeight="1">
      <c r="A8" s="102"/>
      <c r="B8" s="102"/>
      <c r="C8" s="103"/>
      <c r="D8" s="102"/>
      <c r="E8" s="273"/>
      <c r="F8" s="103"/>
      <c r="G8" s="218"/>
      <c r="H8" s="221"/>
      <c r="I8" s="102"/>
      <c r="J8" s="57"/>
      <c r="K8" s="103"/>
      <c r="L8" s="103"/>
      <c r="M8" s="102"/>
      <c r="N8" s="57"/>
      <c r="O8" s="103"/>
      <c r="P8" s="59"/>
      <c r="Q8" s="57"/>
      <c r="R8" s="57"/>
      <c r="S8" s="103"/>
      <c r="T8" s="103"/>
      <c r="U8" s="218"/>
      <c r="V8" s="57"/>
      <c r="W8" s="57"/>
      <c r="X8" s="57"/>
      <c r="Y8" s="103"/>
      <c r="Z8" s="102"/>
      <c r="AA8" s="102"/>
      <c r="AB8" s="103"/>
      <c r="AC8" s="103"/>
      <c r="AD8" s="104"/>
      <c r="AE8" s="104"/>
      <c r="AF8" s="103"/>
      <c r="AG8" s="222"/>
      <c r="AH8" s="103"/>
      <c r="AI8" s="222"/>
      <c r="AJ8" s="102"/>
      <c r="AK8" s="104"/>
      <c r="AL8" s="104"/>
    </row>
    <row r="9" spans="1:40" s="105" customFormat="1" ht="19.95" customHeight="1">
      <c r="A9" s="102"/>
      <c r="B9" s="102"/>
      <c r="C9" s="103"/>
      <c r="D9" s="102"/>
      <c r="E9" s="273"/>
      <c r="F9" s="103"/>
      <c r="G9" s="218"/>
      <c r="H9" s="221"/>
      <c r="I9" s="102"/>
      <c r="J9" s="57"/>
      <c r="K9" s="103"/>
      <c r="L9" s="103"/>
      <c r="M9" s="102"/>
      <c r="N9" s="57"/>
      <c r="O9" s="103"/>
      <c r="P9" s="59"/>
      <c r="Q9" s="57"/>
      <c r="R9" s="57"/>
      <c r="S9" s="103"/>
      <c r="T9" s="103"/>
      <c r="U9" s="218"/>
      <c r="V9" s="57"/>
      <c r="W9" s="57"/>
      <c r="X9" s="57"/>
      <c r="Y9" s="103"/>
      <c r="Z9" s="102"/>
      <c r="AA9" s="102"/>
      <c r="AB9" s="103"/>
      <c r="AC9" s="103"/>
      <c r="AD9" s="104"/>
      <c r="AE9" s="104"/>
      <c r="AF9" s="103"/>
      <c r="AG9" s="222"/>
      <c r="AH9" s="103"/>
      <c r="AI9" s="222"/>
      <c r="AJ9" s="102"/>
      <c r="AK9" s="104"/>
      <c r="AL9" s="104"/>
    </row>
    <row r="10" spans="1:40" s="105" customFormat="1" ht="19.95" customHeight="1">
      <c r="A10" s="102"/>
      <c r="B10" s="102"/>
      <c r="C10" s="103"/>
      <c r="D10" s="102"/>
      <c r="E10" s="273"/>
      <c r="F10" s="103"/>
      <c r="G10" s="218"/>
      <c r="H10" s="221"/>
      <c r="I10" s="102"/>
      <c r="J10" s="57"/>
      <c r="K10" s="103"/>
      <c r="L10" s="103"/>
      <c r="M10" s="102"/>
      <c r="N10" s="57"/>
      <c r="O10" s="103"/>
      <c r="P10" s="59"/>
      <c r="Q10" s="57"/>
      <c r="R10" s="57"/>
      <c r="S10" s="103"/>
      <c r="T10" s="103"/>
      <c r="U10" s="218"/>
      <c r="V10" s="57"/>
      <c r="W10" s="57"/>
      <c r="X10" s="57"/>
      <c r="Y10" s="103"/>
      <c r="Z10" s="102"/>
      <c r="AA10" s="102"/>
      <c r="AB10" s="103"/>
      <c r="AC10" s="103"/>
      <c r="AD10" s="104"/>
      <c r="AE10" s="104"/>
      <c r="AF10" s="103"/>
      <c r="AG10" s="222"/>
      <c r="AH10" s="103"/>
      <c r="AI10" s="222"/>
      <c r="AJ10" s="102"/>
      <c r="AK10" s="104"/>
      <c r="AL10" s="104"/>
    </row>
    <row r="11" spans="1:40" s="105" customFormat="1" ht="19.95" customHeight="1">
      <c r="A11" s="102"/>
      <c r="B11" s="102"/>
      <c r="C11" s="103"/>
      <c r="D11" s="102"/>
      <c r="E11" s="273"/>
      <c r="F11" s="103"/>
      <c r="G11" s="218"/>
      <c r="H11" s="221"/>
      <c r="I11" s="102"/>
      <c r="J11" s="57"/>
      <c r="K11" s="103"/>
      <c r="L11" s="103"/>
      <c r="M11" s="102"/>
      <c r="N11" s="57"/>
      <c r="O11" s="103"/>
      <c r="P11" s="59"/>
      <c r="Q11" s="57"/>
      <c r="R11" s="57"/>
      <c r="S11" s="102"/>
      <c r="T11" s="103"/>
      <c r="U11" s="218"/>
      <c r="V11" s="57"/>
      <c r="W11" s="57"/>
      <c r="X11" s="57"/>
      <c r="Y11" s="103"/>
      <c r="Z11" s="102"/>
      <c r="AA11" s="102"/>
      <c r="AB11" s="103"/>
      <c r="AC11" s="103"/>
      <c r="AD11" s="104"/>
      <c r="AE11" s="104"/>
      <c r="AF11" s="103"/>
      <c r="AG11" s="222"/>
      <c r="AH11" s="103"/>
      <c r="AI11" s="222"/>
      <c r="AJ11" s="102"/>
      <c r="AK11" s="104"/>
      <c r="AL11" s="104"/>
    </row>
    <row r="12" spans="1:40" s="105" customFormat="1" ht="19.95" customHeight="1">
      <c r="A12" s="102"/>
      <c r="B12" s="102"/>
      <c r="C12" s="103"/>
      <c r="D12" s="102"/>
      <c r="E12" s="273"/>
      <c r="F12" s="103"/>
      <c r="G12" s="218"/>
      <c r="H12" s="221"/>
      <c r="I12" s="102"/>
      <c r="J12" s="57"/>
      <c r="K12" s="103"/>
      <c r="L12" s="103"/>
      <c r="M12" s="102"/>
      <c r="N12" s="57"/>
      <c r="O12" s="103"/>
      <c r="P12" s="59"/>
      <c r="Q12" s="57"/>
      <c r="R12" s="57"/>
      <c r="S12" s="102"/>
      <c r="T12" s="103"/>
      <c r="U12" s="218"/>
      <c r="V12" s="57"/>
      <c r="W12" s="57"/>
      <c r="X12" s="57"/>
      <c r="Y12" s="103"/>
      <c r="Z12" s="102"/>
      <c r="AA12" s="102"/>
      <c r="AB12" s="103"/>
      <c r="AC12" s="103"/>
      <c r="AD12" s="104"/>
      <c r="AE12" s="104"/>
      <c r="AF12" s="103"/>
      <c r="AG12" s="222"/>
      <c r="AH12" s="103"/>
      <c r="AI12" s="222"/>
      <c r="AJ12" s="102"/>
      <c r="AK12" s="104"/>
      <c r="AL12" s="104"/>
    </row>
    <row r="13" spans="1:40" s="105" customFormat="1" ht="19.95" customHeight="1">
      <c r="A13" s="102"/>
      <c r="B13" s="102"/>
      <c r="C13" s="103"/>
      <c r="D13" s="102"/>
      <c r="E13" s="273"/>
      <c r="F13" s="103"/>
      <c r="G13" s="218"/>
      <c r="H13" s="221"/>
      <c r="I13" s="102"/>
      <c r="J13" s="57"/>
      <c r="K13" s="103"/>
      <c r="L13" s="103"/>
      <c r="M13" s="102"/>
      <c r="N13" s="57"/>
      <c r="O13" s="103"/>
      <c r="P13" s="59"/>
      <c r="Q13" s="57"/>
      <c r="R13" s="57"/>
      <c r="S13" s="102"/>
      <c r="T13" s="103"/>
      <c r="U13" s="218"/>
      <c r="V13" s="57"/>
      <c r="W13" s="57"/>
      <c r="X13" s="57"/>
      <c r="Y13" s="103"/>
      <c r="Z13" s="102"/>
      <c r="AA13" s="102"/>
      <c r="AB13" s="103"/>
      <c r="AC13" s="103"/>
      <c r="AD13" s="104"/>
      <c r="AE13" s="104"/>
      <c r="AF13" s="103"/>
      <c r="AG13" s="222"/>
      <c r="AH13" s="103"/>
      <c r="AI13" s="222"/>
      <c r="AJ13" s="102"/>
      <c r="AK13" s="104"/>
      <c r="AL13" s="104"/>
    </row>
    <row r="14" spans="1:40" s="105" customFormat="1" ht="19.95" customHeight="1">
      <c r="A14" s="102"/>
      <c r="B14" s="102"/>
      <c r="C14" s="103"/>
      <c r="D14" s="102"/>
      <c r="E14" s="273"/>
      <c r="F14" s="103"/>
      <c r="G14" s="218"/>
      <c r="H14" s="221"/>
      <c r="I14" s="102"/>
      <c r="J14" s="57"/>
      <c r="K14" s="103"/>
      <c r="L14" s="103"/>
      <c r="M14" s="102"/>
      <c r="N14" s="57"/>
      <c r="O14" s="103"/>
      <c r="P14" s="59"/>
      <c r="Q14" s="57"/>
      <c r="R14" s="57"/>
      <c r="S14" s="102"/>
      <c r="T14" s="103"/>
      <c r="U14" s="218"/>
      <c r="V14" s="57"/>
      <c r="W14" s="57"/>
      <c r="X14" s="57"/>
      <c r="Y14" s="103"/>
      <c r="Z14" s="102"/>
      <c r="AA14" s="102"/>
      <c r="AB14" s="103"/>
      <c r="AC14" s="103"/>
      <c r="AD14" s="104"/>
      <c r="AE14" s="104"/>
      <c r="AF14" s="103"/>
      <c r="AG14" s="222"/>
      <c r="AH14" s="103"/>
      <c r="AI14" s="222"/>
      <c r="AJ14" s="102"/>
      <c r="AK14" s="104"/>
      <c r="AL14" s="104"/>
    </row>
    <row r="15" spans="1:40" s="105" customFormat="1" ht="19.95" customHeight="1">
      <c r="A15" s="102"/>
      <c r="B15" s="102"/>
      <c r="C15" s="103"/>
      <c r="D15" s="102"/>
      <c r="E15" s="273"/>
      <c r="F15" s="103"/>
      <c r="G15" s="218"/>
      <c r="H15" s="221"/>
      <c r="I15" s="102"/>
      <c r="J15" s="57"/>
      <c r="K15" s="103"/>
      <c r="L15" s="103"/>
      <c r="M15" s="102"/>
      <c r="N15" s="57"/>
      <c r="O15" s="103"/>
      <c r="P15" s="59"/>
      <c r="Q15" s="57"/>
      <c r="R15" s="57"/>
      <c r="S15" s="102"/>
      <c r="T15" s="103"/>
      <c r="U15" s="218"/>
      <c r="V15" s="57"/>
      <c r="W15" s="57"/>
      <c r="X15" s="57"/>
      <c r="Y15" s="103"/>
      <c r="Z15" s="102"/>
      <c r="AA15" s="102"/>
      <c r="AB15" s="103"/>
      <c r="AC15" s="103"/>
      <c r="AD15" s="104"/>
      <c r="AE15" s="104"/>
      <c r="AF15" s="103"/>
      <c r="AG15" s="222"/>
      <c r="AH15" s="103"/>
      <c r="AI15" s="222"/>
      <c r="AJ15" s="102"/>
      <c r="AK15" s="104"/>
      <c r="AL15" s="104"/>
    </row>
    <row r="16" spans="1:40" s="105" customFormat="1" ht="19.95" customHeight="1">
      <c r="A16" s="102"/>
      <c r="B16" s="102"/>
      <c r="C16" s="103"/>
      <c r="D16" s="102"/>
      <c r="E16" s="273"/>
      <c r="F16" s="103"/>
      <c r="G16" s="218"/>
      <c r="H16" s="221"/>
      <c r="I16" s="102"/>
      <c r="J16" s="57"/>
      <c r="K16" s="103"/>
      <c r="L16" s="103"/>
      <c r="M16" s="102"/>
      <c r="N16" s="57"/>
      <c r="O16" s="103"/>
      <c r="P16" s="59"/>
      <c r="Q16" s="57"/>
      <c r="R16" s="57"/>
      <c r="S16" s="102"/>
      <c r="T16" s="103"/>
      <c r="U16" s="218"/>
      <c r="V16" s="57"/>
      <c r="W16" s="57"/>
      <c r="X16" s="57"/>
      <c r="Y16" s="103"/>
      <c r="Z16" s="102"/>
      <c r="AA16" s="102"/>
      <c r="AB16" s="103"/>
      <c r="AC16" s="103"/>
      <c r="AD16" s="104"/>
      <c r="AE16" s="104"/>
      <c r="AF16" s="103"/>
      <c r="AG16" s="222"/>
      <c r="AH16" s="103"/>
      <c r="AI16" s="222"/>
      <c r="AJ16" s="102"/>
      <c r="AK16" s="104"/>
      <c r="AL16" s="104"/>
    </row>
    <row r="17" spans="1:38" s="105" customFormat="1" ht="19.95" customHeight="1">
      <c r="A17" s="102"/>
      <c r="B17" s="102"/>
      <c r="C17" s="103"/>
      <c r="D17" s="102"/>
      <c r="E17" s="273"/>
      <c r="F17" s="103"/>
      <c r="G17" s="218"/>
      <c r="H17" s="221"/>
      <c r="I17" s="102"/>
      <c r="J17" s="57"/>
      <c r="K17" s="103"/>
      <c r="L17" s="103"/>
      <c r="M17" s="102"/>
      <c r="N17" s="57"/>
      <c r="O17" s="103"/>
      <c r="P17" s="59"/>
      <c r="Q17" s="57"/>
      <c r="R17" s="57"/>
      <c r="S17" s="102"/>
      <c r="T17" s="103"/>
      <c r="U17" s="218"/>
      <c r="V17" s="57"/>
      <c r="W17" s="57"/>
      <c r="X17" s="57"/>
      <c r="Y17" s="103"/>
      <c r="Z17" s="102"/>
      <c r="AA17" s="102"/>
      <c r="AB17" s="103"/>
      <c r="AC17" s="103"/>
      <c r="AD17" s="104"/>
      <c r="AE17" s="104"/>
      <c r="AF17" s="103"/>
      <c r="AG17" s="222"/>
      <c r="AH17" s="103"/>
      <c r="AI17" s="222"/>
      <c r="AJ17" s="102"/>
      <c r="AK17" s="104"/>
      <c r="AL17" s="104"/>
    </row>
    <row r="18" spans="1:38" s="105" customFormat="1" ht="19.95" customHeight="1">
      <c r="A18" s="102"/>
      <c r="B18" s="102"/>
      <c r="C18" s="103"/>
      <c r="D18" s="102"/>
      <c r="E18" s="273"/>
      <c r="F18" s="103"/>
      <c r="G18" s="218"/>
      <c r="H18" s="221"/>
      <c r="I18" s="102"/>
      <c r="J18" s="57"/>
      <c r="K18" s="103"/>
      <c r="L18" s="103"/>
      <c r="M18" s="102"/>
      <c r="N18" s="57"/>
      <c r="O18" s="103"/>
      <c r="P18" s="59"/>
      <c r="Q18" s="57"/>
      <c r="R18" s="57"/>
      <c r="S18" s="102"/>
      <c r="T18" s="103"/>
      <c r="U18" s="218"/>
      <c r="V18" s="57"/>
      <c r="W18" s="57"/>
      <c r="X18" s="57"/>
      <c r="Y18" s="103"/>
      <c r="Z18" s="102"/>
      <c r="AA18" s="102"/>
      <c r="AB18" s="103"/>
      <c r="AC18" s="103"/>
      <c r="AD18" s="104"/>
      <c r="AE18" s="104"/>
      <c r="AF18" s="103"/>
      <c r="AG18" s="222"/>
      <c r="AH18" s="103"/>
      <c r="AI18" s="222"/>
      <c r="AJ18" s="102"/>
      <c r="AK18" s="104"/>
      <c r="AL18" s="104"/>
    </row>
    <row r="19" spans="1:38" s="105" customFormat="1" ht="19.95" customHeight="1">
      <c r="A19" s="102"/>
      <c r="B19" s="102"/>
      <c r="C19" s="103"/>
      <c r="D19" s="102"/>
      <c r="E19" s="273"/>
      <c r="F19" s="103"/>
      <c r="G19" s="218"/>
      <c r="H19" s="221"/>
      <c r="I19" s="102"/>
      <c r="J19" s="57"/>
      <c r="K19" s="103"/>
      <c r="L19" s="103"/>
      <c r="M19" s="102"/>
      <c r="N19" s="57"/>
      <c r="O19" s="103"/>
      <c r="P19" s="59"/>
      <c r="Q19" s="57"/>
      <c r="R19" s="57"/>
      <c r="S19" s="102"/>
      <c r="T19" s="103"/>
      <c r="U19" s="218"/>
      <c r="V19" s="57"/>
      <c r="W19" s="57"/>
      <c r="X19" s="57"/>
      <c r="Y19" s="103"/>
      <c r="Z19" s="102"/>
      <c r="AA19" s="102"/>
      <c r="AB19" s="103"/>
      <c r="AC19" s="103"/>
      <c r="AD19" s="104"/>
      <c r="AE19" s="104"/>
      <c r="AF19" s="103"/>
      <c r="AG19" s="222"/>
      <c r="AH19" s="103"/>
      <c r="AI19" s="222"/>
      <c r="AJ19" s="102"/>
      <c r="AK19" s="104"/>
      <c r="AL19" s="104"/>
    </row>
    <row r="20" spans="1:38" s="105" customFormat="1" ht="19.95" customHeight="1">
      <c r="A20" s="102"/>
      <c r="B20" s="102"/>
      <c r="C20" s="103"/>
      <c r="D20" s="102"/>
      <c r="E20" s="273"/>
      <c r="F20" s="103"/>
      <c r="G20" s="218"/>
      <c r="H20" s="221"/>
      <c r="I20" s="102"/>
      <c r="J20" s="57"/>
      <c r="K20" s="103"/>
      <c r="L20" s="103"/>
      <c r="M20" s="102"/>
      <c r="N20" s="57"/>
      <c r="O20" s="103"/>
      <c r="P20" s="59"/>
      <c r="Q20" s="57"/>
      <c r="R20" s="57"/>
      <c r="S20" s="102"/>
      <c r="T20" s="103"/>
      <c r="U20" s="218"/>
      <c r="V20" s="57"/>
      <c r="W20" s="57"/>
      <c r="X20" s="57"/>
      <c r="Y20" s="103"/>
      <c r="Z20" s="102"/>
      <c r="AA20" s="102"/>
      <c r="AB20" s="103"/>
      <c r="AC20" s="103"/>
      <c r="AD20" s="104"/>
      <c r="AE20" s="104"/>
      <c r="AF20" s="103"/>
      <c r="AG20" s="222"/>
      <c r="AH20" s="103"/>
      <c r="AI20" s="222"/>
      <c r="AJ20" s="102"/>
      <c r="AK20" s="104"/>
      <c r="AL20" s="104"/>
    </row>
    <row r="21" spans="1:38" s="105" customFormat="1" ht="19.95" customHeight="1">
      <c r="A21" s="102"/>
      <c r="B21" s="102"/>
      <c r="C21" s="103"/>
      <c r="D21" s="102"/>
      <c r="E21" s="273"/>
      <c r="F21" s="103"/>
      <c r="G21" s="218"/>
      <c r="H21" s="221"/>
      <c r="I21" s="102"/>
      <c r="J21" s="57"/>
      <c r="K21" s="103"/>
      <c r="L21" s="103"/>
      <c r="M21" s="102"/>
      <c r="N21" s="57"/>
      <c r="O21" s="103"/>
      <c r="P21" s="59"/>
      <c r="Q21" s="57"/>
      <c r="R21" s="57"/>
      <c r="S21" s="102"/>
      <c r="T21" s="103"/>
      <c r="U21" s="218"/>
      <c r="V21" s="57"/>
      <c r="W21" s="57"/>
      <c r="X21" s="57"/>
      <c r="Y21" s="103"/>
      <c r="Z21" s="102"/>
      <c r="AA21" s="102"/>
      <c r="AB21" s="103"/>
      <c r="AC21" s="103"/>
      <c r="AD21" s="104"/>
      <c r="AE21" s="104"/>
      <c r="AF21" s="103"/>
      <c r="AG21" s="222"/>
      <c r="AH21" s="103"/>
      <c r="AI21" s="222"/>
      <c r="AJ21" s="102"/>
      <c r="AK21" s="104"/>
      <c r="AL21" s="104"/>
    </row>
    <row r="22" spans="1:38" s="105" customFormat="1" ht="19.95" customHeight="1">
      <c r="A22" s="102"/>
      <c r="B22" s="102"/>
      <c r="C22" s="103"/>
      <c r="D22" s="102"/>
      <c r="E22" s="273"/>
      <c r="F22" s="103"/>
      <c r="G22" s="218"/>
      <c r="H22" s="221"/>
      <c r="I22" s="102"/>
      <c r="J22" s="57"/>
      <c r="K22" s="103"/>
      <c r="L22" s="103"/>
      <c r="M22" s="102"/>
      <c r="N22" s="57"/>
      <c r="O22" s="103"/>
      <c r="P22" s="59"/>
      <c r="Q22" s="57"/>
      <c r="R22" s="57"/>
      <c r="S22" s="102"/>
      <c r="T22" s="103"/>
      <c r="U22" s="218"/>
      <c r="V22" s="57"/>
      <c r="W22" s="57"/>
      <c r="X22" s="57"/>
      <c r="Y22" s="103"/>
      <c r="Z22" s="102"/>
      <c r="AA22" s="102"/>
      <c r="AB22" s="103"/>
      <c r="AC22" s="103"/>
      <c r="AD22" s="104"/>
      <c r="AE22" s="104"/>
      <c r="AF22" s="103"/>
      <c r="AG22" s="222"/>
      <c r="AH22" s="103"/>
      <c r="AI22" s="222"/>
      <c r="AJ22" s="102"/>
      <c r="AK22" s="104"/>
      <c r="AL22" s="104"/>
    </row>
    <row r="23" spans="1:38" s="105" customFormat="1" ht="19.95" customHeight="1">
      <c r="A23" s="102"/>
      <c r="B23" s="102"/>
      <c r="C23" s="103"/>
      <c r="D23" s="102"/>
      <c r="E23" s="273"/>
      <c r="F23" s="103"/>
      <c r="G23" s="218"/>
      <c r="H23" s="221"/>
      <c r="I23" s="102"/>
      <c r="J23" s="57"/>
      <c r="K23" s="103"/>
      <c r="L23" s="103"/>
      <c r="M23" s="102"/>
      <c r="N23" s="57"/>
      <c r="O23" s="103"/>
      <c r="P23" s="59"/>
      <c r="Q23" s="57"/>
      <c r="R23" s="57"/>
      <c r="S23" s="102"/>
      <c r="T23" s="103"/>
      <c r="U23" s="218"/>
      <c r="V23" s="57"/>
      <c r="W23" s="57"/>
      <c r="X23" s="57"/>
      <c r="Y23" s="103"/>
      <c r="Z23" s="102"/>
      <c r="AA23" s="102"/>
      <c r="AB23" s="103"/>
      <c r="AC23" s="103"/>
      <c r="AD23" s="104"/>
      <c r="AE23" s="104"/>
      <c r="AF23" s="103"/>
      <c r="AG23" s="222"/>
      <c r="AH23" s="103"/>
      <c r="AI23" s="222"/>
      <c r="AJ23" s="102"/>
      <c r="AK23" s="104"/>
      <c r="AL23" s="104"/>
    </row>
    <row r="24" spans="1:38" s="105" customFormat="1" ht="19.95" customHeight="1">
      <c r="A24" s="102"/>
      <c r="B24" s="102"/>
      <c r="C24" s="103"/>
      <c r="D24" s="102"/>
      <c r="E24" s="273"/>
      <c r="F24" s="103"/>
      <c r="G24" s="218"/>
      <c r="H24" s="221"/>
      <c r="I24" s="102"/>
      <c r="J24" s="57"/>
      <c r="K24" s="103"/>
      <c r="L24" s="103"/>
      <c r="M24" s="102"/>
      <c r="N24" s="57"/>
      <c r="O24" s="103"/>
      <c r="P24" s="59"/>
      <c r="Q24" s="57"/>
      <c r="R24" s="57"/>
      <c r="S24" s="102"/>
      <c r="T24" s="103"/>
      <c r="U24" s="218"/>
      <c r="V24" s="57"/>
      <c r="W24" s="57"/>
      <c r="X24" s="57"/>
      <c r="Y24" s="103"/>
      <c r="Z24" s="102"/>
      <c r="AA24" s="102"/>
      <c r="AB24" s="103"/>
      <c r="AC24" s="103"/>
      <c r="AD24" s="104"/>
      <c r="AE24" s="104"/>
      <c r="AF24" s="103"/>
      <c r="AG24" s="222"/>
      <c r="AH24" s="103"/>
      <c r="AI24" s="222"/>
      <c r="AJ24" s="102"/>
      <c r="AK24" s="104"/>
      <c r="AL24" s="104"/>
    </row>
    <row r="25" spans="1:38" s="105" customFormat="1" ht="19.95" customHeight="1">
      <c r="A25" s="302"/>
      <c r="B25" s="302"/>
      <c r="C25" s="346" t="s">
        <v>437</v>
      </c>
      <c r="D25" s="346"/>
      <c r="E25" s="346"/>
      <c r="F25" s="346"/>
      <c r="G25" s="346"/>
      <c r="H25" s="346"/>
      <c r="I25" s="346"/>
      <c r="J25" s="346"/>
      <c r="K25" s="346"/>
      <c r="L25" s="346"/>
      <c r="M25" s="346"/>
      <c r="N25" s="346"/>
      <c r="O25" s="346"/>
      <c r="P25" s="303"/>
      <c r="Q25" s="304"/>
      <c r="R25" s="304"/>
      <c r="S25" s="302"/>
      <c r="T25" s="305"/>
      <c r="U25" s="306"/>
      <c r="V25" s="304"/>
      <c r="W25" s="304"/>
      <c r="X25" s="304"/>
      <c r="Y25" s="305"/>
      <c r="Z25" s="302"/>
      <c r="AA25" s="302"/>
      <c r="AB25" s="305"/>
      <c r="AC25" s="305"/>
      <c r="AD25" s="307"/>
      <c r="AE25" s="307"/>
      <c r="AF25" s="305"/>
      <c r="AG25" s="308"/>
      <c r="AH25" s="305"/>
      <c r="AI25" s="308"/>
      <c r="AJ25" s="302"/>
      <c r="AK25" s="307"/>
      <c r="AL25" s="307"/>
    </row>
    <row r="26" spans="1:38" s="105" customFormat="1" ht="19.95" customHeight="1">
      <c r="A26" s="309"/>
      <c r="B26" s="309"/>
      <c r="C26" s="301" t="s">
        <v>419</v>
      </c>
      <c r="D26" s="301"/>
      <c r="E26" s="301"/>
      <c r="F26" s="301"/>
      <c r="G26" s="301"/>
      <c r="H26" s="301"/>
      <c r="I26" s="301"/>
      <c r="J26" s="301"/>
      <c r="K26" s="301"/>
      <c r="L26" s="301"/>
      <c r="M26" s="301"/>
      <c r="N26" s="301"/>
      <c r="O26" s="301"/>
      <c r="P26" s="310"/>
      <c r="Q26" s="311"/>
      <c r="R26" s="311"/>
      <c r="S26" s="309"/>
      <c r="T26" s="312"/>
      <c r="U26" s="313"/>
      <c r="V26" s="311"/>
      <c r="W26" s="311"/>
      <c r="X26" s="311"/>
      <c r="Y26" s="312"/>
      <c r="Z26" s="309"/>
      <c r="AA26" s="309"/>
      <c r="AB26" s="312"/>
      <c r="AC26" s="312"/>
      <c r="AD26" s="314"/>
      <c r="AE26" s="314"/>
      <c r="AF26" s="312"/>
      <c r="AG26" s="315"/>
      <c r="AH26" s="312"/>
      <c r="AI26" s="315"/>
      <c r="AJ26" s="309"/>
      <c r="AK26" s="314"/>
      <c r="AL26" s="314"/>
    </row>
    <row r="27" spans="1:38" s="96" customFormat="1" ht="17.25" customHeight="1">
      <c r="A27" s="25" t="s">
        <v>124</v>
      </c>
      <c r="AD27" s="106"/>
    </row>
    <row r="28" spans="1:38" s="96" customFormat="1" ht="17.25" customHeight="1">
      <c r="A28" s="107" t="s">
        <v>125</v>
      </c>
      <c r="AD28" s="106"/>
    </row>
    <row r="29" spans="1:38" s="96" customFormat="1" ht="17.25" customHeight="1">
      <c r="A29" s="108" t="s">
        <v>126</v>
      </c>
      <c r="AD29" s="106"/>
    </row>
    <row r="30" spans="1:38" s="96" customFormat="1" ht="17.25" customHeight="1">
      <c r="A30" s="108" t="s">
        <v>127</v>
      </c>
      <c r="AD30" s="106"/>
    </row>
    <row r="31" spans="1:38" s="96" customFormat="1" ht="17.25" customHeight="1">
      <c r="A31" s="108" t="s">
        <v>128</v>
      </c>
      <c r="AD31" s="106"/>
    </row>
    <row r="32" spans="1:38" s="96" customFormat="1" ht="17.25" customHeight="1">
      <c r="A32" s="108" t="s">
        <v>129</v>
      </c>
      <c r="AD32" s="106"/>
    </row>
    <row r="33" spans="1:30" s="96" customFormat="1" ht="17.25" customHeight="1">
      <c r="A33" s="108" t="s">
        <v>130</v>
      </c>
      <c r="AD33" s="106"/>
    </row>
    <row r="34" spans="1:30" s="96" customFormat="1" ht="17.25" customHeight="1">
      <c r="A34" s="107" t="s">
        <v>131</v>
      </c>
      <c r="AD34" s="106"/>
    </row>
    <row r="35" spans="1:30" ht="17.25" customHeight="1">
      <c r="A35" s="108" t="s">
        <v>132</v>
      </c>
    </row>
    <row r="36" spans="1:30" ht="17.25" customHeight="1">
      <c r="A36" s="107" t="s">
        <v>133</v>
      </c>
    </row>
    <row r="37" spans="1:30" ht="17.25" customHeight="1">
      <c r="A37" s="108" t="s">
        <v>134</v>
      </c>
    </row>
    <row r="38" spans="1:30" ht="17.25" customHeight="1">
      <c r="A38" s="107" t="s">
        <v>135</v>
      </c>
    </row>
    <row r="39" spans="1:30" ht="17.25" customHeight="1">
      <c r="A39" s="107" t="s">
        <v>136</v>
      </c>
      <c r="B39" s="111"/>
      <c r="C39" s="111"/>
      <c r="D39" s="111"/>
      <c r="E39" s="111"/>
      <c r="F39" s="111"/>
      <c r="G39" s="111"/>
      <c r="H39" s="111"/>
      <c r="I39" s="111"/>
      <c r="J39" s="111"/>
      <c r="K39" s="111"/>
      <c r="L39" s="111"/>
      <c r="M39" s="111"/>
      <c r="N39" s="111"/>
      <c r="O39" s="111"/>
      <c r="P39" s="111"/>
      <c r="Q39" s="111"/>
      <c r="R39" s="111"/>
      <c r="S39" s="111"/>
      <c r="T39" s="111"/>
      <c r="U39" s="111"/>
      <c r="V39" s="111"/>
      <c r="W39" s="111"/>
      <c r="X39" s="111"/>
      <c r="Y39" s="111"/>
      <c r="Z39" s="111"/>
      <c r="AA39" s="111"/>
    </row>
    <row r="40" spans="1:30" ht="14.4">
      <c r="A40" s="107" t="s">
        <v>137</v>
      </c>
      <c r="B40" s="111"/>
      <c r="C40" s="111"/>
      <c r="D40" s="111"/>
      <c r="E40" s="111"/>
      <c r="F40" s="111"/>
      <c r="G40" s="111"/>
      <c r="H40" s="111"/>
      <c r="I40" s="111"/>
      <c r="J40" s="111"/>
      <c r="K40" s="111"/>
      <c r="L40" s="111"/>
      <c r="M40" s="111"/>
      <c r="N40" s="111"/>
      <c r="O40" s="111"/>
      <c r="P40" s="111"/>
      <c r="Q40" s="111"/>
      <c r="R40" s="111"/>
      <c r="S40" s="111"/>
      <c r="T40" s="111"/>
      <c r="U40" s="111"/>
      <c r="V40" s="111"/>
      <c r="W40" s="111"/>
      <c r="X40" s="111"/>
      <c r="Y40" s="111"/>
      <c r="Z40" s="111"/>
      <c r="AA40" s="111"/>
    </row>
    <row r="41" spans="1:30">
      <c r="A41" s="112" t="s">
        <v>138</v>
      </c>
    </row>
  </sheetData>
  <mergeCells count="16">
    <mergeCell ref="A1:N1"/>
    <mergeCell ref="P1:AA1"/>
    <mergeCell ref="AB1:AL1"/>
    <mergeCell ref="A2:N2"/>
    <mergeCell ref="P2:AA2"/>
    <mergeCell ref="AB2:AL2"/>
    <mergeCell ref="C25:O25"/>
    <mergeCell ref="AE5:AE6"/>
    <mergeCell ref="AF5:AK5"/>
    <mergeCell ref="AL5:AL6"/>
    <mergeCell ref="A5:A6"/>
    <mergeCell ref="B5:O5"/>
    <mergeCell ref="P5:AA5"/>
    <mergeCell ref="AB5:AB6"/>
    <mergeCell ref="AC5:AC6"/>
    <mergeCell ref="AD5:AD6"/>
  </mergeCells>
  <phoneticPr fontId="16" type="noConversion"/>
  <dataValidations count="5">
    <dataValidation type="list" allowBlank="1" showInputMessage="1" showErrorMessage="1" sqref="P7:P26">
      <formula1>"纸质原件,电子函证,其他介质"</formula1>
    </dataValidation>
    <dataValidation type="list" allowBlank="1" showInputMessage="1" showErrorMessage="1" sqref="C7:C24">
      <formula1>"邮寄,跟函,电子函证,其他"</formula1>
    </dataValidation>
    <dataValidation type="list" allowBlank="1" showInputMessage="1" showErrorMessage="1" sqref="AB7:AB26 AL7:AL26">
      <formula1>"送抵,退回"</formula1>
    </dataValidation>
    <dataValidation type="list" allowBlank="1" showInputMessage="1" showErrorMessage="1" sqref="AD7:AE26 Q7:R26 AK7:AK26 N7:N24 V7:X26 J7:J24">
      <formula1>"是,否"</formula1>
    </dataValidation>
    <dataValidation type="list" allowBlank="1" showInputMessage="1" showErrorMessage="1" sqref="L7:L24">
      <formula1>"发票/合同地址核实,电话核实,官网/公告查询,地图查询,邮件确认,其他方式"</formula1>
    </dataValidation>
  </dataValidations>
  <hyperlinks>
    <hyperlink ref="AL3" location="底稿目录!A1" display="底稿目录!A1"/>
    <hyperlink ref="AA3" location="底稿目录!A1" display="底稿目录!A1"/>
  </hyperlinks>
  <printOptions horizontalCentered="1"/>
  <pageMargins left="0.39370078740157483" right="0.39370078740157483" top="0.74803149606299213" bottom="0.74803149606299213" header="0.31496062992125984" footer="0.31496062992125984"/>
  <pageSetup paperSize="8" scale="80" fitToWidth="0" fitToHeight="0" orientation="landscape" blackAndWhite="1" r:id="rId1"/>
  <headerFooter>
    <oddHeader>&amp;R&amp;10&amp;P/&amp;N</oddHeader>
  </headerFooter>
  <colBreaks count="2" manualBreakCount="2">
    <brk id="15" max="1048575" man="1"/>
    <brk id="27" max="20"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R37"/>
  <sheetViews>
    <sheetView view="pageBreakPreview" zoomScaleSheetLayoutView="100" workbookViewId="0">
      <selection sqref="A1:F1"/>
    </sheetView>
  </sheetViews>
  <sheetFormatPr defaultColWidth="9" defaultRowHeight="13.8"/>
  <cols>
    <col min="1" max="1" width="20.296875" style="55" customWidth="1"/>
    <col min="2" max="6" width="18.5" style="55" customWidth="1"/>
    <col min="7" max="16384" width="9" style="55"/>
  </cols>
  <sheetData>
    <row r="1" spans="1:18" s="114" customFormat="1" ht="19.95" customHeight="1">
      <c r="A1" s="358" t="s">
        <v>16</v>
      </c>
      <c r="B1" s="358"/>
      <c r="C1" s="358"/>
      <c r="D1" s="358"/>
      <c r="E1" s="358"/>
      <c r="F1" s="358"/>
      <c r="G1" s="113"/>
      <c r="H1" s="113"/>
      <c r="I1" s="113"/>
      <c r="J1" s="113"/>
      <c r="K1" s="113"/>
      <c r="L1" s="113"/>
      <c r="M1" s="113"/>
      <c r="N1" s="113"/>
      <c r="O1" s="113"/>
      <c r="P1" s="113"/>
      <c r="Q1" s="113"/>
      <c r="R1" s="113"/>
    </row>
    <row r="2" spans="1:18" s="113" customFormat="1" ht="19.95" customHeight="1">
      <c r="A2" s="359" t="s">
        <v>139</v>
      </c>
      <c r="B2" s="360"/>
      <c r="C2" s="360"/>
      <c r="D2" s="360"/>
      <c r="E2" s="360"/>
      <c r="F2" s="360"/>
      <c r="G2" s="115"/>
    </row>
    <row r="3" spans="1:18" ht="19.95" customHeight="1">
      <c r="A3" s="55" t="str">
        <f>底稿目录!A2</f>
        <v>被审计单位：</v>
      </c>
      <c r="B3" s="116"/>
      <c r="C3" s="55" t="str">
        <f>底稿目录!A4</f>
        <v>编制人：</v>
      </c>
      <c r="D3" s="55" t="str">
        <f>底稿目录!A5</f>
        <v>编制日期：</v>
      </c>
      <c r="E3" s="201" t="s">
        <v>194</v>
      </c>
      <c r="F3" s="291" t="str">
        <f>底稿目录!F8</f>
        <v>K0-3</v>
      </c>
      <c r="I3" s="117"/>
      <c r="J3" s="117"/>
      <c r="K3" s="117"/>
      <c r="L3" s="117"/>
    </row>
    <row r="4" spans="1:18" ht="19.95" customHeight="1">
      <c r="A4" s="55" t="str">
        <f>底稿目录!A3</f>
        <v>截止日：202X年12月31日</v>
      </c>
      <c r="B4" s="116"/>
      <c r="C4" s="55" t="str">
        <f>底稿目录!A6</f>
        <v>复核人：</v>
      </c>
      <c r="D4" s="55" t="str">
        <f>底稿目录!A7</f>
        <v>复核日期：</v>
      </c>
      <c r="E4" s="202" t="s">
        <v>18</v>
      </c>
      <c r="F4" s="117"/>
      <c r="I4" s="117"/>
      <c r="J4" s="117"/>
      <c r="K4" s="117"/>
      <c r="L4" s="117"/>
    </row>
    <row r="5" spans="1:18" ht="19.95" customHeight="1">
      <c r="A5" s="361" t="s">
        <v>140</v>
      </c>
      <c r="B5" s="361"/>
      <c r="C5" s="361"/>
      <c r="D5" s="361"/>
      <c r="E5" s="361"/>
      <c r="F5" s="361"/>
    </row>
    <row r="6" spans="1:18" ht="19.95" customHeight="1">
      <c r="A6" s="118" t="s">
        <v>30</v>
      </c>
    </row>
    <row r="7" spans="1:18" ht="19.95" customHeight="1">
      <c r="A7" s="80" t="s">
        <v>224</v>
      </c>
    </row>
    <row r="8" spans="1:18" ht="19.95" customHeight="1">
      <c r="A8" s="80" t="s">
        <v>220</v>
      </c>
    </row>
    <row r="9" spans="1:18" ht="19.95" customHeight="1">
      <c r="A9" s="80" t="s">
        <v>221</v>
      </c>
    </row>
    <row r="10" spans="1:18" ht="19.95" customHeight="1">
      <c r="A10" s="55" t="s">
        <v>227</v>
      </c>
    </row>
    <row r="11" spans="1:18" ht="19.95" customHeight="1">
      <c r="A11" s="55" t="s">
        <v>232</v>
      </c>
    </row>
    <row r="12" spans="1:18" ht="19.95" customHeight="1">
      <c r="A12" s="55" t="s">
        <v>222</v>
      </c>
    </row>
    <row r="13" spans="1:18" ht="19.95" customHeight="1">
      <c r="A13" s="55" t="s">
        <v>231</v>
      </c>
    </row>
    <row r="14" spans="1:18" ht="19.95" customHeight="1">
      <c r="A14" s="80" t="s">
        <v>225</v>
      </c>
    </row>
    <row r="15" spans="1:18" ht="19.95" customHeight="1">
      <c r="A15" s="55" t="s">
        <v>228</v>
      </c>
    </row>
    <row r="16" spans="1:18" ht="19.95" customHeight="1">
      <c r="A16" s="55" t="s">
        <v>31</v>
      </c>
    </row>
    <row r="17" spans="1:6" ht="19.95" customHeight="1">
      <c r="A17" s="55" t="s">
        <v>226</v>
      </c>
    </row>
    <row r="18" spans="1:6" ht="19.95" customHeight="1">
      <c r="A18" s="55" t="s">
        <v>223</v>
      </c>
    </row>
    <row r="19" spans="1:6" ht="19.95" customHeight="1">
      <c r="A19" s="55" t="s">
        <v>230</v>
      </c>
    </row>
    <row r="20" spans="1:6" ht="19.95" customHeight="1">
      <c r="A20" s="55" t="s">
        <v>32</v>
      </c>
    </row>
    <row r="21" spans="1:6" ht="19.95" customHeight="1">
      <c r="A21" s="55" t="s">
        <v>229</v>
      </c>
    </row>
    <row r="22" spans="1:6" ht="19.95" customHeight="1"/>
    <row r="23" spans="1:6" s="119" customFormat="1" ht="19.95" customHeight="1">
      <c r="A23" s="294" t="s">
        <v>141</v>
      </c>
      <c r="B23" s="295"/>
      <c r="C23" s="296"/>
      <c r="D23" s="297"/>
      <c r="E23" s="297"/>
      <c r="F23" s="297"/>
    </row>
    <row r="24" spans="1:6" s="119" customFormat="1" ht="19.95" customHeight="1">
      <c r="A24" s="294" t="s">
        <v>142</v>
      </c>
      <c r="B24" s="295"/>
      <c r="C24" s="296"/>
      <c r="D24" s="297"/>
      <c r="E24" s="297"/>
      <c r="F24" s="297"/>
    </row>
    <row r="25" spans="1:6" s="119" customFormat="1" ht="19.95" customHeight="1">
      <c r="A25" s="294" t="s">
        <v>143</v>
      </c>
      <c r="B25" s="295"/>
      <c r="C25" s="296"/>
      <c r="D25" s="297"/>
      <c r="E25" s="297"/>
      <c r="F25" s="297"/>
    </row>
    <row r="26" spans="1:6" ht="19.95" customHeight="1">
      <c r="A26" s="54"/>
    </row>
    <row r="27" spans="1:6" ht="19.95" customHeight="1">
      <c r="A27" s="113" t="s">
        <v>33</v>
      </c>
    </row>
    <row r="28" spans="1:6">
      <c r="A28" s="120"/>
    </row>
    <row r="29" spans="1:6">
      <c r="A29" s="316" t="s">
        <v>446</v>
      </c>
    </row>
    <row r="30" spans="1:6">
      <c r="A30" s="317" t="s">
        <v>447</v>
      </c>
    </row>
    <row r="31" spans="1:6">
      <c r="A31" s="317" t="s">
        <v>448</v>
      </c>
    </row>
    <row r="32" spans="1:6">
      <c r="A32" s="121"/>
    </row>
    <row r="33" spans="1:1">
      <c r="A33" s="121"/>
    </row>
    <row r="34" spans="1:1">
      <c r="A34" s="121"/>
    </row>
    <row r="35" spans="1:1">
      <c r="A35" s="121"/>
    </row>
    <row r="36" spans="1:1">
      <c r="A36" s="121"/>
    </row>
    <row r="37" spans="1:1">
      <c r="A37" s="121"/>
    </row>
  </sheetData>
  <mergeCells count="3">
    <mergeCell ref="A1:F1"/>
    <mergeCell ref="A2:F2"/>
    <mergeCell ref="A5:F5"/>
  </mergeCells>
  <phoneticPr fontId="16" type="noConversion"/>
  <dataValidations count="1">
    <dataValidation type="list" allowBlank="1" showInputMessage="1" showErrorMessage="1" sqref="C23:C25">
      <formula1>"是,否"</formula1>
    </dataValidation>
  </dataValidations>
  <hyperlinks>
    <hyperlink ref="A14" location="_ftn1" display="_ftn1"/>
    <hyperlink ref="F3" location="底稿目录!A1" display="底稿目录!A1"/>
  </hyperlinks>
  <pageMargins left="0.70866141732283472" right="0.70866141732283472" top="0.74803149606299213" bottom="0.74803149606299213" header="0.31496062992125984" footer="0.31496062992125984"/>
  <pageSetup paperSize="9" scale="96" orientation="landscape"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O21"/>
  <sheetViews>
    <sheetView view="pageBreakPreview" zoomScaleSheetLayoutView="100" workbookViewId="0">
      <selection sqref="A1:I1"/>
    </sheetView>
  </sheetViews>
  <sheetFormatPr defaultColWidth="9" defaultRowHeight="15.6"/>
  <cols>
    <col min="1" max="1" width="11.3984375" style="27" customWidth="1"/>
    <col min="2" max="2" width="17.3984375" style="27" customWidth="1"/>
    <col min="3" max="3" width="11.19921875" style="27" customWidth="1"/>
    <col min="4" max="4" width="11.5" style="27" customWidth="1"/>
    <col min="5" max="5" width="12.69921875" style="27" customWidth="1"/>
    <col min="6" max="6" width="10" style="27" customWidth="1"/>
    <col min="7" max="7" width="17.796875" style="27" customWidth="1"/>
    <col min="8" max="8" width="15.796875" style="27" customWidth="1"/>
    <col min="9" max="9" width="9.19921875" style="27" customWidth="1"/>
    <col min="10" max="16384" width="9" style="27"/>
  </cols>
  <sheetData>
    <row r="1" spans="1:15" s="50" customFormat="1" ht="19.95" customHeight="1">
      <c r="A1" s="362" t="s">
        <v>16</v>
      </c>
      <c r="B1" s="362"/>
      <c r="C1" s="362"/>
      <c r="D1" s="362"/>
      <c r="E1" s="362"/>
      <c r="F1" s="362"/>
      <c r="G1" s="362"/>
      <c r="H1" s="362"/>
      <c r="I1" s="362"/>
      <c r="J1" s="21"/>
      <c r="K1" s="21"/>
      <c r="L1" s="21"/>
      <c r="M1" s="21"/>
      <c r="N1" s="21"/>
      <c r="O1" s="21"/>
    </row>
    <row r="2" spans="1:15" s="21" customFormat="1" ht="19.95" customHeight="1">
      <c r="A2" s="332" t="s">
        <v>369</v>
      </c>
      <c r="B2" s="332"/>
      <c r="C2" s="332"/>
      <c r="D2" s="363"/>
      <c r="E2" s="363"/>
      <c r="F2" s="363"/>
      <c r="G2" s="363"/>
      <c r="H2" s="363"/>
      <c r="I2" s="363"/>
      <c r="J2" s="38"/>
    </row>
    <row r="3" spans="1:15" s="17" customFormat="1" ht="19.95" customHeight="1">
      <c r="A3" s="53" t="str">
        <f>底稿目录!A2</f>
        <v>被审计单位：</v>
      </c>
      <c r="B3" s="53"/>
      <c r="C3" s="53"/>
      <c r="D3" s="53" t="str">
        <f>底稿目录!A4</f>
        <v>编制人：</v>
      </c>
      <c r="G3" s="53" t="str">
        <f>底稿目录!A5</f>
        <v>编制日期：</v>
      </c>
      <c r="H3" s="198" t="s">
        <v>195</v>
      </c>
      <c r="I3" s="291" t="str">
        <f>底稿目录!F9</f>
        <v>K0-4</v>
      </c>
      <c r="J3" s="55"/>
      <c r="K3" s="55"/>
      <c r="L3" s="117"/>
    </row>
    <row r="4" spans="1:15" s="17" customFormat="1" ht="19.95" customHeight="1">
      <c r="A4" s="53" t="str">
        <f>底稿目录!A3</f>
        <v>截止日：202X年12月31日</v>
      </c>
      <c r="B4" s="53"/>
      <c r="C4" s="53"/>
      <c r="D4" s="53" t="str">
        <f>底稿目录!A6</f>
        <v>复核人：</v>
      </c>
      <c r="G4" s="53" t="str">
        <f>底稿目录!A7</f>
        <v>复核日期：</v>
      </c>
      <c r="H4" s="199" t="s">
        <v>18</v>
      </c>
      <c r="I4" s="55"/>
      <c r="J4" s="55"/>
      <c r="K4" s="55"/>
      <c r="L4" s="117"/>
    </row>
    <row r="5" spans="1:15" ht="19.95" customHeight="1">
      <c r="A5" s="242" t="s">
        <v>263</v>
      </c>
      <c r="B5" s="236" t="s">
        <v>144</v>
      </c>
      <c r="C5" s="236" t="s">
        <v>339</v>
      </c>
      <c r="D5" s="205" t="s">
        <v>261</v>
      </c>
      <c r="E5" s="205" t="s">
        <v>262</v>
      </c>
      <c r="F5" s="205" t="s">
        <v>145</v>
      </c>
      <c r="G5" s="237" t="s">
        <v>146</v>
      </c>
      <c r="H5" s="237" t="s">
        <v>147</v>
      </c>
      <c r="I5" s="238" t="s">
        <v>367</v>
      </c>
    </row>
    <row r="6" spans="1:15" s="17" customFormat="1" ht="19.95" customHeight="1">
      <c r="A6" s="29"/>
      <c r="B6" s="29"/>
      <c r="C6" s="124"/>
      <c r="D6" s="122"/>
      <c r="E6" s="122"/>
      <c r="F6" s="123">
        <f t="shared" ref="F6:F20" si="0">D6-E6</f>
        <v>0</v>
      </c>
      <c r="G6" s="124"/>
      <c r="H6" s="124"/>
      <c r="I6" s="125"/>
    </row>
    <row r="7" spans="1:15" s="17" customFormat="1" ht="19.95" customHeight="1">
      <c r="A7" s="29"/>
      <c r="B7" s="29"/>
      <c r="C7" s="124"/>
      <c r="D7" s="122"/>
      <c r="E7" s="122"/>
      <c r="F7" s="123">
        <f t="shared" si="0"/>
        <v>0</v>
      </c>
      <c r="G7" s="29"/>
      <c r="H7" s="29"/>
      <c r="I7" s="126"/>
    </row>
    <row r="8" spans="1:15" s="17" customFormat="1" ht="19.95" customHeight="1">
      <c r="A8" s="29"/>
      <c r="B8" s="29"/>
      <c r="C8" s="124"/>
      <c r="D8" s="122"/>
      <c r="E8" s="122"/>
      <c r="F8" s="123">
        <f t="shared" si="0"/>
        <v>0</v>
      </c>
      <c r="G8" s="29"/>
      <c r="H8" s="29"/>
      <c r="I8" s="126"/>
    </row>
    <row r="9" spans="1:15" s="17" customFormat="1" ht="19.95" customHeight="1">
      <c r="A9" s="29"/>
      <c r="B9" s="29"/>
      <c r="C9" s="124"/>
      <c r="D9" s="122"/>
      <c r="E9" s="122"/>
      <c r="F9" s="123">
        <f t="shared" si="0"/>
        <v>0</v>
      </c>
      <c r="G9" s="29"/>
      <c r="H9" s="29"/>
      <c r="I9" s="126"/>
    </row>
    <row r="10" spans="1:15" s="17" customFormat="1" ht="19.95" customHeight="1">
      <c r="A10" s="29"/>
      <c r="B10" s="29"/>
      <c r="C10" s="124"/>
      <c r="D10" s="122"/>
      <c r="E10" s="122"/>
      <c r="F10" s="123">
        <f t="shared" si="0"/>
        <v>0</v>
      </c>
      <c r="G10" s="29"/>
      <c r="H10" s="29"/>
      <c r="I10" s="126"/>
    </row>
    <row r="11" spans="1:15" s="17" customFormat="1" ht="19.95" customHeight="1">
      <c r="A11" s="29"/>
      <c r="B11" s="29"/>
      <c r="C11" s="124"/>
      <c r="D11" s="122"/>
      <c r="E11" s="122"/>
      <c r="F11" s="123">
        <f t="shared" si="0"/>
        <v>0</v>
      </c>
      <c r="G11" s="29"/>
      <c r="H11" s="29"/>
      <c r="I11" s="126"/>
    </row>
    <row r="12" spans="1:15" s="17" customFormat="1" ht="19.95" customHeight="1">
      <c r="A12" s="29"/>
      <c r="B12" s="29"/>
      <c r="C12" s="124"/>
      <c r="D12" s="122"/>
      <c r="E12" s="122"/>
      <c r="F12" s="123">
        <f t="shared" si="0"/>
        <v>0</v>
      </c>
      <c r="G12" s="29"/>
      <c r="H12" s="29"/>
      <c r="I12" s="126"/>
    </row>
    <row r="13" spans="1:15" s="17" customFormat="1" ht="19.95" customHeight="1">
      <c r="A13" s="29"/>
      <c r="B13" s="29"/>
      <c r="C13" s="124"/>
      <c r="D13" s="122"/>
      <c r="E13" s="122"/>
      <c r="F13" s="123">
        <f t="shared" si="0"/>
        <v>0</v>
      </c>
      <c r="G13" s="29"/>
      <c r="H13" s="29"/>
      <c r="I13" s="126"/>
    </row>
    <row r="14" spans="1:15" s="17" customFormat="1" ht="19.95" customHeight="1">
      <c r="A14" s="29"/>
      <c r="B14" s="29"/>
      <c r="C14" s="124"/>
      <c r="D14" s="122"/>
      <c r="E14" s="122"/>
      <c r="F14" s="123">
        <f t="shared" si="0"/>
        <v>0</v>
      </c>
      <c r="G14" s="29"/>
      <c r="H14" s="29"/>
      <c r="I14" s="126"/>
    </row>
    <row r="15" spans="1:15" s="17" customFormat="1" ht="19.95" customHeight="1">
      <c r="A15" s="29"/>
      <c r="B15" s="29"/>
      <c r="C15" s="124"/>
      <c r="D15" s="122"/>
      <c r="E15" s="122"/>
      <c r="F15" s="123">
        <f t="shared" si="0"/>
        <v>0</v>
      </c>
      <c r="G15" s="29"/>
      <c r="H15" s="29"/>
      <c r="I15" s="126"/>
    </row>
    <row r="16" spans="1:15" s="17" customFormat="1" ht="19.95" customHeight="1">
      <c r="A16" s="29"/>
      <c r="B16" s="29"/>
      <c r="C16" s="124"/>
      <c r="D16" s="122"/>
      <c r="E16" s="122"/>
      <c r="F16" s="123">
        <f t="shared" si="0"/>
        <v>0</v>
      </c>
      <c r="G16" s="29"/>
      <c r="H16" s="29"/>
      <c r="I16" s="126"/>
    </row>
    <row r="17" spans="1:9" s="17" customFormat="1" ht="19.95" customHeight="1">
      <c r="A17" s="29"/>
      <c r="B17" s="29"/>
      <c r="C17" s="124"/>
      <c r="D17" s="122"/>
      <c r="E17" s="122"/>
      <c r="F17" s="123">
        <f t="shared" si="0"/>
        <v>0</v>
      </c>
      <c r="G17" s="29"/>
      <c r="H17" s="29"/>
      <c r="I17" s="126"/>
    </row>
    <row r="18" spans="1:9" s="17" customFormat="1" ht="19.95" customHeight="1">
      <c r="A18" s="29"/>
      <c r="B18" s="29"/>
      <c r="C18" s="124"/>
      <c r="D18" s="122"/>
      <c r="E18" s="122"/>
      <c r="F18" s="123">
        <f t="shared" si="0"/>
        <v>0</v>
      </c>
      <c r="G18" s="29"/>
      <c r="H18" s="29"/>
      <c r="I18" s="126"/>
    </row>
    <row r="19" spans="1:9" s="17" customFormat="1" ht="19.95" customHeight="1">
      <c r="A19" s="29"/>
      <c r="B19" s="29"/>
      <c r="C19" s="124"/>
      <c r="D19" s="122"/>
      <c r="E19" s="122"/>
      <c r="F19" s="123">
        <f t="shared" si="0"/>
        <v>0</v>
      </c>
      <c r="G19" s="29"/>
      <c r="H19" s="29"/>
      <c r="I19" s="126"/>
    </row>
    <row r="20" spans="1:9" s="17" customFormat="1" ht="19.95" customHeight="1">
      <c r="A20" s="29"/>
      <c r="B20" s="29"/>
      <c r="C20" s="124"/>
      <c r="D20" s="122"/>
      <c r="E20" s="122"/>
      <c r="F20" s="123">
        <f t="shared" si="0"/>
        <v>0</v>
      </c>
      <c r="G20" s="29"/>
      <c r="H20" s="29"/>
      <c r="I20" s="126"/>
    </row>
    <row r="21" spans="1:9" s="17" customFormat="1" ht="19.95" customHeight="1">
      <c r="A21" s="127" t="s">
        <v>148</v>
      </c>
      <c r="B21" s="127"/>
      <c r="C21" s="127"/>
      <c r="D21" s="123">
        <f t="shared" ref="D21:F21" si="1">SUM(D6:D20)</f>
        <v>0</v>
      </c>
      <c r="E21" s="123">
        <f t="shared" si="1"/>
        <v>0</v>
      </c>
      <c r="F21" s="123">
        <f t="shared" si="1"/>
        <v>0</v>
      </c>
      <c r="G21" s="128"/>
      <c r="H21" s="128"/>
      <c r="I21" s="129"/>
    </row>
  </sheetData>
  <mergeCells count="2">
    <mergeCell ref="A1:I1"/>
    <mergeCell ref="A2:I2"/>
  </mergeCells>
  <phoneticPr fontId="16" type="noConversion"/>
  <hyperlinks>
    <hyperlink ref="I3" location="底稿目录!A1" display="底稿目录!A1"/>
  </hyperlinks>
  <pageMargins left="0.70866141732283472" right="0.70866141732283472" top="0.74803149606299213" bottom="0.74803149606299213" header="0.31496062992125984" footer="0.31496062992125984"/>
  <pageSetup paperSize="9" scale="70" fitToHeight="0" orientation="portrait" blackAndWhite="1"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Y73"/>
  <sheetViews>
    <sheetView view="pageBreakPreview" zoomScaleNormal="115" zoomScaleSheetLayoutView="100" workbookViewId="0">
      <selection sqref="A1:O1"/>
    </sheetView>
  </sheetViews>
  <sheetFormatPr defaultColWidth="9" defaultRowHeight="15.6"/>
  <cols>
    <col min="1" max="1" width="10.19921875" style="170" customWidth="1"/>
    <col min="2" max="2" width="9.09765625" style="170" customWidth="1"/>
    <col min="3" max="3" width="10.19921875" style="170" customWidth="1"/>
    <col min="4" max="4" width="11.796875" style="170" customWidth="1"/>
    <col min="5" max="5" width="9.19921875" style="170" customWidth="1"/>
    <col min="6" max="6" width="8.09765625" style="170" customWidth="1"/>
    <col min="7" max="7" width="10" style="170" customWidth="1"/>
    <col min="8" max="8" width="9" style="170" customWidth="1"/>
    <col min="9" max="9" width="9.5" style="170" customWidth="1"/>
    <col min="10" max="10" width="11.19921875" style="170" customWidth="1"/>
    <col min="11" max="11" width="10.19921875" style="170" customWidth="1"/>
    <col min="12" max="12" width="12.3984375" style="170" customWidth="1"/>
    <col min="13" max="13" width="10.59765625" style="170" customWidth="1"/>
    <col min="14" max="14" width="9" style="170"/>
    <col min="15" max="15" width="6.59765625" style="170" customWidth="1"/>
    <col min="16" max="16" width="8" style="170" bestFit="1" customWidth="1"/>
    <col min="17" max="17" width="9.19921875" style="170" customWidth="1"/>
    <col min="18" max="18" width="6" style="170" customWidth="1"/>
    <col min="19" max="19" width="4.69921875" style="170" bestFit="1" customWidth="1"/>
    <col min="20" max="20" width="8.69921875" style="170" customWidth="1"/>
    <col min="21" max="21" width="3.59765625" style="170" customWidth="1"/>
    <col min="22" max="16384" width="9" style="170"/>
  </cols>
  <sheetData>
    <row r="1" spans="1:25" s="132" customFormat="1" ht="19.95" customHeight="1">
      <c r="A1" s="374" t="s">
        <v>241</v>
      </c>
      <c r="B1" s="374"/>
      <c r="C1" s="374"/>
      <c r="D1" s="374"/>
      <c r="E1" s="374"/>
      <c r="F1" s="374"/>
      <c r="G1" s="374"/>
      <c r="H1" s="374"/>
      <c r="I1" s="374"/>
      <c r="J1" s="374"/>
      <c r="K1" s="374"/>
      <c r="L1" s="374"/>
      <c r="M1" s="374"/>
      <c r="N1" s="374"/>
      <c r="O1" s="374"/>
      <c r="P1" s="55"/>
      <c r="Q1" s="55"/>
      <c r="R1" s="55"/>
      <c r="S1" s="55"/>
      <c r="T1" s="55"/>
      <c r="U1" s="130"/>
      <c r="V1" s="131"/>
      <c r="W1" s="131"/>
      <c r="X1" s="131"/>
      <c r="Y1" s="131"/>
    </row>
    <row r="2" spans="1:25" s="131" customFormat="1" ht="19.95" customHeight="1">
      <c r="A2" s="375" t="s">
        <v>373</v>
      </c>
      <c r="B2" s="375"/>
      <c r="C2" s="375"/>
      <c r="D2" s="375"/>
      <c r="E2" s="375"/>
      <c r="F2" s="375"/>
      <c r="G2" s="375"/>
      <c r="H2" s="375"/>
      <c r="I2" s="375"/>
      <c r="J2" s="375"/>
      <c r="K2" s="375"/>
      <c r="L2" s="375"/>
      <c r="M2" s="375"/>
      <c r="N2" s="375"/>
      <c r="O2" s="375"/>
      <c r="P2" s="38"/>
      <c r="Q2" s="55"/>
      <c r="R2" s="55"/>
      <c r="S2" s="55"/>
      <c r="T2" s="55"/>
      <c r="U2" s="130"/>
    </row>
    <row r="3" spans="1:25" s="55" customFormat="1" ht="19.95" customHeight="1">
      <c r="A3" s="53" t="str">
        <f>底稿目录!A2</f>
        <v>被审计单位：</v>
      </c>
      <c r="B3" s="53"/>
      <c r="F3" s="53" t="str">
        <f>底稿目录!A4</f>
        <v>编制人：</v>
      </c>
      <c r="I3" s="53" t="str">
        <f>底稿目录!A5</f>
        <v>编制日期：</v>
      </c>
      <c r="M3" s="54" t="s">
        <v>194</v>
      </c>
      <c r="N3" s="291" t="str">
        <f>底稿目录!F10</f>
        <v>K0-5</v>
      </c>
      <c r="R3" s="117"/>
    </row>
    <row r="4" spans="1:25" s="55" customFormat="1" ht="19.95" customHeight="1">
      <c r="A4" s="53" t="str">
        <f>底稿目录!A3</f>
        <v>截止日：202X年12月31日</v>
      </c>
      <c r="B4" s="8"/>
      <c r="F4" s="53" t="str">
        <f>底稿目录!A6</f>
        <v>复核人：</v>
      </c>
      <c r="I4" s="53" t="str">
        <f>底稿目录!A7</f>
        <v>复核日期：</v>
      </c>
      <c r="M4" s="55" t="s">
        <v>18</v>
      </c>
      <c r="R4" s="117"/>
    </row>
    <row r="5" spans="1:25" s="135" customFormat="1" ht="19.95" customHeight="1">
      <c r="A5" s="281" t="s">
        <v>374</v>
      </c>
      <c r="B5" s="133"/>
      <c r="C5" s="133"/>
      <c r="D5" s="133"/>
      <c r="E5" s="133"/>
      <c r="F5" s="133"/>
      <c r="G5" s="133"/>
      <c r="H5" s="133"/>
      <c r="I5" s="133"/>
      <c r="J5" s="133"/>
      <c r="K5" s="133"/>
      <c r="L5" s="133"/>
      <c r="M5" s="133"/>
      <c r="N5" s="133"/>
      <c r="O5" s="133"/>
      <c r="P5" s="134"/>
      <c r="Q5" s="134"/>
      <c r="R5" s="134"/>
      <c r="S5" s="134"/>
      <c r="T5" s="134"/>
      <c r="U5" s="134"/>
    </row>
    <row r="6" spans="1:25" s="135" customFormat="1" ht="19.95" customHeight="1">
      <c r="A6" s="136" t="s">
        <v>149</v>
      </c>
      <c r="B6" s="137"/>
      <c r="C6" s="137"/>
      <c r="D6" s="137"/>
      <c r="E6" s="137"/>
      <c r="F6" s="137"/>
      <c r="G6" s="137"/>
      <c r="H6" s="137"/>
      <c r="I6" s="137"/>
      <c r="J6" s="137"/>
      <c r="K6" s="137"/>
      <c r="L6" s="137"/>
      <c r="M6" s="137"/>
      <c r="N6" s="137"/>
      <c r="O6" s="137"/>
      <c r="Q6" s="20"/>
    </row>
    <row r="7" spans="1:25" s="135" customFormat="1" ht="19.95" customHeight="1">
      <c r="A7" s="77" t="s">
        <v>88</v>
      </c>
      <c r="B7" s="216" t="s">
        <v>252</v>
      </c>
      <c r="C7" s="232"/>
      <c r="D7" s="77"/>
      <c r="E7" s="78"/>
      <c r="F7" s="232"/>
      <c r="H7" s="77" t="s">
        <v>242</v>
      </c>
      <c r="I7" s="216" t="s">
        <v>248</v>
      </c>
      <c r="J7" s="78"/>
      <c r="K7" s="137"/>
      <c r="L7" s="137"/>
      <c r="N7" s="137"/>
      <c r="O7" s="137"/>
      <c r="P7" s="137"/>
      <c r="Q7" s="20"/>
    </row>
    <row r="8" spans="1:25" s="135" customFormat="1" ht="19.95" customHeight="1">
      <c r="A8" s="77" t="s">
        <v>243</v>
      </c>
      <c r="B8" s="216" t="s">
        <v>247</v>
      </c>
      <c r="C8" s="232"/>
      <c r="D8" s="77"/>
      <c r="E8" s="78"/>
      <c r="F8" s="232"/>
      <c r="H8" s="77" t="s">
        <v>244</v>
      </c>
      <c r="I8" s="78"/>
      <c r="J8" s="216" t="s">
        <v>439</v>
      </c>
      <c r="K8" s="216"/>
      <c r="L8" s="137"/>
      <c r="N8" s="137"/>
      <c r="O8" s="137"/>
      <c r="P8" s="137"/>
      <c r="Q8" s="20"/>
    </row>
    <row r="9" spans="1:25" s="135" customFormat="1" ht="19.95" customHeight="1">
      <c r="A9" s="77" t="s">
        <v>245</v>
      </c>
      <c r="B9" s="78" t="s">
        <v>438</v>
      </c>
      <c r="C9" s="232"/>
      <c r="D9" s="77"/>
      <c r="E9" s="78"/>
      <c r="F9" s="232"/>
      <c r="G9" s="77"/>
      <c r="H9" s="77" t="s">
        <v>246</v>
      </c>
      <c r="I9" s="216" t="s">
        <v>251</v>
      </c>
      <c r="J9" s="137"/>
      <c r="K9" s="137"/>
      <c r="L9" s="137"/>
      <c r="N9" s="137"/>
      <c r="O9" s="137"/>
      <c r="P9" s="137"/>
      <c r="Q9" s="20"/>
    </row>
    <row r="10" spans="1:25" s="135" customFormat="1" ht="19.95" customHeight="1">
      <c r="A10" s="136" t="s">
        <v>150</v>
      </c>
      <c r="B10" s="137"/>
      <c r="C10" s="137"/>
      <c r="D10" s="137"/>
      <c r="E10" s="137"/>
      <c r="F10" s="137"/>
      <c r="G10" s="137"/>
      <c r="H10" s="137"/>
      <c r="I10" s="137"/>
      <c r="J10" s="206"/>
      <c r="K10" s="137"/>
      <c r="L10" s="137"/>
      <c r="M10" s="137"/>
      <c r="N10" s="137"/>
      <c r="O10" s="137"/>
    </row>
    <row r="11" spans="1:25" s="140" customFormat="1" ht="19.95" customHeight="1">
      <c r="A11" s="138" t="s">
        <v>151</v>
      </c>
      <c r="B11" s="138" t="s">
        <v>152</v>
      </c>
      <c r="C11" s="139" t="s">
        <v>153</v>
      </c>
      <c r="D11" s="139" t="s">
        <v>154</v>
      </c>
      <c r="E11" s="139" t="s">
        <v>155</v>
      </c>
      <c r="J11" s="206"/>
      <c r="K11" s="137"/>
      <c r="L11" s="137"/>
      <c r="M11" s="137"/>
      <c r="N11" s="137"/>
      <c r="O11" s="141"/>
      <c r="P11" s="142"/>
      <c r="Q11" s="142"/>
      <c r="R11" s="142"/>
      <c r="S11" s="142"/>
      <c r="T11" s="142"/>
      <c r="U11" s="142"/>
    </row>
    <row r="12" spans="1:25" s="146" customFormat="1" ht="19.95" customHeight="1">
      <c r="A12" s="143" t="s">
        <v>198</v>
      </c>
      <c r="B12" s="144"/>
      <c r="C12" s="144"/>
      <c r="D12" s="144"/>
      <c r="E12" s="145">
        <f>B12+C12-D12</f>
        <v>0</v>
      </c>
      <c r="J12" s="206"/>
      <c r="K12" s="137"/>
      <c r="L12" s="137"/>
      <c r="M12" s="137"/>
      <c r="N12" s="137"/>
      <c r="O12" s="141"/>
      <c r="P12" s="142"/>
      <c r="Q12" s="142"/>
      <c r="R12" s="142"/>
      <c r="S12" s="142"/>
      <c r="T12" s="142"/>
      <c r="U12" s="142"/>
    </row>
    <row r="13" spans="1:25" s="135" customFormat="1" ht="19.95" customHeight="1">
      <c r="A13" s="147"/>
      <c r="B13" s="148"/>
      <c r="C13" s="148"/>
      <c r="D13" s="149"/>
      <c r="E13" s="149"/>
      <c r="F13" s="149"/>
      <c r="G13" s="149"/>
      <c r="H13" s="149"/>
      <c r="I13" s="150"/>
      <c r="J13" s="206"/>
      <c r="K13" s="137"/>
      <c r="L13" s="137"/>
      <c r="M13" s="137"/>
      <c r="N13" s="137"/>
      <c r="O13" s="150"/>
      <c r="P13" s="134"/>
      <c r="Q13" s="134"/>
      <c r="R13" s="134"/>
      <c r="S13" s="134"/>
      <c r="T13" s="134"/>
      <c r="U13" s="134"/>
    </row>
    <row r="14" spans="1:25" s="135" customFormat="1" ht="19.95" customHeight="1">
      <c r="A14" s="207" t="s">
        <v>216</v>
      </c>
      <c r="B14" s="148"/>
      <c r="C14" s="148"/>
      <c r="D14" s="149"/>
      <c r="E14" s="149"/>
      <c r="F14" s="149"/>
      <c r="G14" s="149"/>
      <c r="H14" s="149"/>
      <c r="I14" s="150"/>
      <c r="J14" s="150"/>
      <c r="K14" s="150"/>
      <c r="L14" s="150"/>
      <c r="M14" s="150"/>
      <c r="N14" s="150"/>
      <c r="O14" s="150"/>
      <c r="P14" s="134"/>
      <c r="Q14" s="134"/>
      <c r="R14" s="134"/>
      <c r="S14" s="134"/>
      <c r="T14" s="134"/>
      <c r="U14" s="134"/>
    </row>
    <row r="15" spans="1:25" s="140" customFormat="1" ht="19.95" customHeight="1">
      <c r="A15" s="369" t="s">
        <v>156</v>
      </c>
      <c r="B15" s="370"/>
      <c r="C15" s="370"/>
      <c r="D15" s="370"/>
      <c r="E15" s="371"/>
      <c r="F15" s="376" t="s">
        <v>370</v>
      </c>
      <c r="G15" s="376"/>
      <c r="H15" s="376"/>
      <c r="I15" s="366" t="s">
        <v>199</v>
      </c>
      <c r="J15" s="367"/>
      <c r="K15" s="368"/>
      <c r="L15" s="372" t="s">
        <v>157</v>
      </c>
      <c r="M15" s="377" t="s">
        <v>158</v>
      </c>
      <c r="N15" s="377" t="s">
        <v>159</v>
      </c>
      <c r="O15" s="225" t="s">
        <v>233</v>
      </c>
      <c r="Q15" s="142"/>
      <c r="R15" s="142"/>
      <c r="S15" s="142"/>
    </row>
    <row r="16" spans="1:25" s="140" customFormat="1" ht="19.95" customHeight="1">
      <c r="A16" s="138" t="s">
        <v>160</v>
      </c>
      <c r="B16" s="138" t="s">
        <v>34</v>
      </c>
      <c r="C16" s="138" t="s">
        <v>35</v>
      </c>
      <c r="D16" s="138" t="s">
        <v>161</v>
      </c>
      <c r="E16" s="138" t="s">
        <v>53</v>
      </c>
      <c r="F16" s="277" t="s">
        <v>371</v>
      </c>
      <c r="G16" s="278" t="s">
        <v>278</v>
      </c>
      <c r="H16" s="277" t="s">
        <v>372</v>
      </c>
      <c r="I16" s="151" t="s">
        <v>375</v>
      </c>
      <c r="J16" s="151" t="s">
        <v>376</v>
      </c>
      <c r="K16" s="151" t="s">
        <v>377</v>
      </c>
      <c r="L16" s="373"/>
      <c r="M16" s="378"/>
      <c r="N16" s="378"/>
      <c r="O16" s="142"/>
      <c r="P16" s="142"/>
      <c r="Q16" s="142"/>
      <c r="R16" s="142"/>
      <c r="S16" s="142"/>
    </row>
    <row r="17" spans="1:21" s="135" customFormat="1" ht="19.95" customHeight="1">
      <c r="A17" s="153"/>
      <c r="B17" s="223"/>
      <c r="C17" s="152"/>
      <c r="D17" s="152"/>
      <c r="E17" s="154"/>
      <c r="F17" s="155"/>
      <c r="G17" s="156"/>
      <c r="H17" s="157"/>
      <c r="I17" s="156"/>
      <c r="J17" s="157"/>
      <c r="K17" s="157"/>
      <c r="L17" s="156"/>
      <c r="M17" s="156"/>
      <c r="N17" s="156"/>
      <c r="O17" s="134"/>
      <c r="P17" s="134"/>
      <c r="Q17" s="134"/>
      <c r="R17" s="134"/>
      <c r="S17" s="134"/>
    </row>
    <row r="18" spans="1:21" s="135" customFormat="1" ht="19.95" customHeight="1">
      <c r="A18" s="153"/>
      <c r="B18" s="223"/>
      <c r="C18" s="152"/>
      <c r="D18" s="152"/>
      <c r="E18" s="154"/>
      <c r="F18" s="155"/>
      <c r="G18" s="156"/>
      <c r="H18" s="157"/>
      <c r="I18" s="156"/>
      <c r="J18" s="157"/>
      <c r="K18" s="157"/>
      <c r="L18" s="156"/>
      <c r="M18" s="156"/>
      <c r="N18" s="156"/>
      <c r="O18" s="134"/>
      <c r="P18" s="134"/>
      <c r="Q18" s="134"/>
      <c r="R18" s="134"/>
      <c r="S18" s="134"/>
    </row>
    <row r="19" spans="1:21" s="135" customFormat="1" ht="19.95" customHeight="1">
      <c r="A19" s="153"/>
      <c r="B19" s="223"/>
      <c r="C19" s="152"/>
      <c r="D19" s="152"/>
      <c r="E19" s="154"/>
      <c r="F19" s="155"/>
      <c r="G19" s="156"/>
      <c r="H19" s="157"/>
      <c r="I19" s="156"/>
      <c r="J19" s="157"/>
      <c r="K19" s="157"/>
      <c r="L19" s="156"/>
      <c r="M19" s="156"/>
      <c r="N19" s="156"/>
      <c r="O19" s="134"/>
      <c r="P19" s="134"/>
      <c r="Q19" s="134"/>
      <c r="R19" s="134"/>
      <c r="S19" s="134"/>
    </row>
    <row r="20" spans="1:21" s="135" customFormat="1" ht="19.95" customHeight="1">
      <c r="A20" s="153"/>
      <c r="B20" s="223"/>
      <c r="C20" s="152"/>
      <c r="D20" s="152"/>
      <c r="E20" s="154"/>
      <c r="F20" s="155"/>
      <c r="G20" s="156"/>
      <c r="H20" s="157"/>
      <c r="I20" s="156"/>
      <c r="J20" s="157"/>
      <c r="K20" s="157"/>
      <c r="L20" s="156"/>
      <c r="M20" s="156"/>
      <c r="N20" s="156"/>
      <c r="O20" s="134"/>
      <c r="P20" s="134"/>
      <c r="Q20" s="134"/>
      <c r="R20" s="134"/>
      <c r="S20" s="134"/>
    </row>
    <row r="21" spans="1:21" s="135" customFormat="1" ht="19.95" customHeight="1">
      <c r="A21" s="153"/>
      <c r="B21" s="223"/>
      <c r="C21" s="152"/>
      <c r="D21" s="152"/>
      <c r="E21" s="154"/>
      <c r="F21" s="155"/>
      <c r="G21" s="156"/>
      <c r="H21" s="157"/>
      <c r="I21" s="156"/>
      <c r="J21" s="157"/>
      <c r="K21" s="157"/>
      <c r="L21" s="156"/>
      <c r="M21" s="156"/>
      <c r="N21" s="156"/>
      <c r="O21" s="134"/>
      <c r="P21" s="134"/>
      <c r="Q21" s="134"/>
      <c r="R21" s="134"/>
      <c r="S21" s="134"/>
    </row>
    <row r="22" spans="1:21" s="135" customFormat="1" ht="19.95" customHeight="1">
      <c r="A22" s="153"/>
      <c r="B22" s="223"/>
      <c r="C22" s="152"/>
      <c r="D22" s="152"/>
      <c r="E22" s="154"/>
      <c r="F22" s="155"/>
      <c r="G22" s="156"/>
      <c r="H22" s="157"/>
      <c r="I22" s="156"/>
      <c r="J22" s="157"/>
      <c r="K22" s="157"/>
      <c r="L22" s="156"/>
      <c r="M22" s="156"/>
      <c r="N22" s="156"/>
      <c r="O22" s="134"/>
      <c r="P22" s="134"/>
      <c r="Q22" s="134"/>
      <c r="R22" s="134"/>
      <c r="S22" s="134"/>
    </row>
    <row r="23" spans="1:21" s="140" customFormat="1" ht="19.95" customHeight="1">
      <c r="A23" s="167" t="s">
        <v>392</v>
      </c>
      <c r="B23" s="282"/>
      <c r="C23" s="282"/>
      <c r="D23" s="282"/>
      <c r="E23" s="283">
        <f>SUM(E17:E22)</f>
        <v>0</v>
      </c>
      <c r="F23" s="284"/>
      <c r="G23" s="285"/>
      <c r="H23" s="283">
        <f>SUM(H17:H22)</f>
        <v>0</v>
      </c>
      <c r="I23" s="285"/>
      <c r="J23" s="283"/>
      <c r="K23" s="286"/>
      <c r="L23" s="285"/>
      <c r="M23" s="285"/>
      <c r="N23" s="285"/>
      <c r="O23" s="142"/>
      <c r="P23" s="142"/>
      <c r="Q23" s="142"/>
      <c r="R23" s="142"/>
      <c r="S23" s="142"/>
    </row>
    <row r="24" spans="1:21" s="164" customFormat="1" ht="19.95" customHeight="1">
      <c r="A24" s="159"/>
      <c r="B24" s="160"/>
      <c r="C24" s="160"/>
      <c r="D24" s="160"/>
      <c r="E24" s="160"/>
      <c r="F24" s="161"/>
      <c r="G24" s="162"/>
      <c r="H24" s="162"/>
      <c r="I24" s="158"/>
      <c r="J24" s="158"/>
      <c r="K24" s="158"/>
      <c r="L24" s="161"/>
      <c r="M24" s="163"/>
      <c r="N24" s="158"/>
      <c r="O24" s="158"/>
      <c r="P24" s="134"/>
      <c r="Q24" s="134"/>
      <c r="R24" s="134"/>
      <c r="S24" s="134"/>
      <c r="T24" s="134"/>
      <c r="U24" s="134"/>
    </row>
    <row r="25" spans="1:21" s="135" customFormat="1" ht="19.95" customHeight="1">
      <c r="A25" s="289" t="s">
        <v>217</v>
      </c>
      <c r="B25" s="287"/>
      <c r="C25" s="287"/>
      <c r="D25" s="287"/>
      <c r="E25" s="287"/>
      <c r="F25" s="287"/>
      <c r="G25" s="287"/>
      <c r="H25" s="287"/>
      <c r="I25" s="287"/>
      <c r="J25" s="287"/>
      <c r="K25" s="287"/>
      <c r="L25" s="287"/>
      <c r="M25" s="287"/>
      <c r="N25" s="287"/>
      <c r="O25" s="287"/>
      <c r="P25" s="134"/>
      <c r="Q25" s="134"/>
      <c r="R25" s="134"/>
      <c r="S25" s="134"/>
      <c r="T25" s="134"/>
      <c r="U25" s="134"/>
    </row>
    <row r="26" spans="1:21" s="140" customFormat="1" ht="19.95" customHeight="1">
      <c r="A26" s="369" t="s">
        <v>162</v>
      </c>
      <c r="B26" s="370"/>
      <c r="C26" s="370"/>
      <c r="D26" s="370"/>
      <c r="E26" s="371"/>
      <c r="F26" s="366" t="s">
        <v>199</v>
      </c>
      <c r="G26" s="367"/>
      <c r="H26" s="368"/>
      <c r="I26" s="366" t="s">
        <v>378</v>
      </c>
      <c r="J26" s="367"/>
      <c r="K26" s="368"/>
      <c r="L26" s="372" t="s">
        <v>164</v>
      </c>
      <c r="M26" s="364" t="s">
        <v>158</v>
      </c>
      <c r="N26" s="364" t="s">
        <v>159</v>
      </c>
      <c r="O26" s="225" t="s">
        <v>234</v>
      </c>
      <c r="Q26" s="142"/>
      <c r="R26" s="142"/>
      <c r="S26" s="142"/>
      <c r="T26" s="142"/>
    </row>
    <row r="27" spans="1:21" s="140" customFormat="1" ht="19.95" customHeight="1">
      <c r="A27" s="138" t="s">
        <v>160</v>
      </c>
      <c r="B27" s="138" t="s">
        <v>34</v>
      </c>
      <c r="C27" s="138" t="s">
        <v>35</v>
      </c>
      <c r="D27" s="138" t="s">
        <v>161</v>
      </c>
      <c r="E27" s="138" t="s">
        <v>53</v>
      </c>
      <c r="F27" s="151" t="s">
        <v>375</v>
      </c>
      <c r="G27" s="151" t="s">
        <v>376</v>
      </c>
      <c r="H27" s="151" t="s">
        <v>377</v>
      </c>
      <c r="I27" s="151" t="s">
        <v>375</v>
      </c>
      <c r="J27" s="151" t="s">
        <v>379</v>
      </c>
      <c r="K27" s="151" t="s">
        <v>377</v>
      </c>
      <c r="L27" s="373"/>
      <c r="M27" s="364"/>
      <c r="N27" s="364"/>
      <c r="O27" s="142"/>
      <c r="P27" s="142"/>
      <c r="Q27" s="142"/>
      <c r="R27" s="142"/>
      <c r="S27" s="142"/>
      <c r="T27" s="142"/>
    </row>
    <row r="28" spans="1:21" s="135" customFormat="1" ht="19.95" customHeight="1">
      <c r="A28" s="153"/>
      <c r="B28" s="224"/>
      <c r="C28" s="152"/>
      <c r="D28" s="152"/>
      <c r="E28" s="154"/>
      <c r="F28" s="153"/>
      <c r="G28" s="156"/>
      <c r="H28" s="157"/>
      <c r="I28" s="156"/>
      <c r="J28" s="157"/>
      <c r="K28" s="165"/>
      <c r="L28" s="166"/>
      <c r="M28" s="156"/>
      <c r="N28" s="156"/>
      <c r="O28" s="134"/>
      <c r="P28" s="134"/>
      <c r="Q28" s="134"/>
      <c r="R28" s="134"/>
      <c r="S28" s="134"/>
      <c r="T28" s="134"/>
    </row>
    <row r="29" spans="1:21" s="135" customFormat="1" ht="19.95" customHeight="1">
      <c r="A29" s="153"/>
      <c r="B29" s="224"/>
      <c r="C29" s="152"/>
      <c r="D29" s="152"/>
      <c r="E29" s="154"/>
      <c r="F29" s="153"/>
      <c r="G29" s="156"/>
      <c r="H29" s="157"/>
      <c r="I29" s="156"/>
      <c r="J29" s="157"/>
      <c r="K29" s="165"/>
      <c r="L29" s="166"/>
      <c r="M29" s="156"/>
      <c r="N29" s="156"/>
      <c r="O29" s="134"/>
      <c r="P29" s="134"/>
      <c r="Q29" s="134"/>
      <c r="R29" s="134"/>
      <c r="S29" s="134"/>
      <c r="T29" s="134"/>
    </row>
    <row r="30" spans="1:21" s="135" customFormat="1" ht="19.95" customHeight="1">
      <c r="A30" s="153"/>
      <c r="B30" s="224"/>
      <c r="C30" s="152"/>
      <c r="D30" s="152"/>
      <c r="E30" s="154"/>
      <c r="F30" s="153"/>
      <c r="G30" s="156"/>
      <c r="H30" s="157"/>
      <c r="I30" s="156"/>
      <c r="J30" s="157"/>
      <c r="K30" s="165"/>
      <c r="L30" s="166"/>
      <c r="M30" s="156"/>
      <c r="N30" s="156"/>
      <c r="O30" s="134"/>
      <c r="P30" s="134"/>
      <c r="Q30" s="134"/>
      <c r="R30" s="134"/>
      <c r="S30" s="134"/>
      <c r="T30" s="134"/>
    </row>
    <row r="31" spans="1:21" s="135" customFormat="1" ht="19.95" customHeight="1">
      <c r="A31" s="153"/>
      <c r="B31" s="224"/>
      <c r="C31" s="152"/>
      <c r="D31" s="152"/>
      <c r="E31" s="154"/>
      <c r="F31" s="153"/>
      <c r="G31" s="156"/>
      <c r="H31" s="157"/>
      <c r="I31" s="156"/>
      <c r="J31" s="157"/>
      <c r="K31" s="156"/>
      <c r="L31" s="166"/>
      <c r="M31" s="156"/>
      <c r="N31" s="156"/>
      <c r="O31" s="134"/>
      <c r="P31" s="134"/>
      <c r="Q31" s="134"/>
      <c r="R31" s="134"/>
      <c r="S31" s="134"/>
      <c r="T31" s="134"/>
    </row>
    <row r="32" spans="1:21" s="135" customFormat="1" ht="19.95" customHeight="1">
      <c r="A32" s="153"/>
      <c r="B32" s="224"/>
      <c r="C32" s="152"/>
      <c r="D32" s="152"/>
      <c r="E32" s="154"/>
      <c r="F32" s="153"/>
      <c r="G32" s="156"/>
      <c r="H32" s="157"/>
      <c r="I32" s="156"/>
      <c r="J32" s="157"/>
      <c r="K32" s="156"/>
      <c r="L32" s="166"/>
      <c r="M32" s="156"/>
      <c r="N32" s="156"/>
      <c r="O32" s="134"/>
      <c r="P32" s="134"/>
      <c r="Q32" s="134"/>
      <c r="R32" s="134"/>
      <c r="S32" s="134"/>
      <c r="T32" s="134"/>
    </row>
    <row r="33" spans="1:21" s="135" customFormat="1" ht="19.95" customHeight="1">
      <c r="A33" s="153"/>
      <c r="B33" s="224"/>
      <c r="C33" s="152"/>
      <c r="D33" s="152"/>
      <c r="E33" s="154"/>
      <c r="F33" s="153"/>
      <c r="G33" s="156"/>
      <c r="H33" s="157"/>
      <c r="I33" s="156"/>
      <c r="J33" s="157"/>
      <c r="K33" s="156"/>
      <c r="L33" s="166"/>
      <c r="M33" s="156"/>
      <c r="N33" s="156"/>
      <c r="O33" s="134"/>
      <c r="P33" s="134"/>
      <c r="Q33" s="134"/>
      <c r="R33" s="134"/>
      <c r="S33" s="134"/>
      <c r="T33" s="134"/>
    </row>
    <row r="34" spans="1:21" s="140" customFormat="1" ht="19.95" customHeight="1">
      <c r="A34" s="167" t="s">
        <v>165</v>
      </c>
      <c r="B34" s="282"/>
      <c r="C34" s="282"/>
      <c r="D34" s="282"/>
      <c r="E34" s="283">
        <f>SUM(E28:E33)</f>
        <v>0</v>
      </c>
      <c r="F34" s="285"/>
      <c r="G34" s="285"/>
      <c r="H34" s="283"/>
      <c r="I34" s="285"/>
      <c r="J34" s="283"/>
      <c r="K34" s="285"/>
      <c r="L34" s="290"/>
      <c r="M34" s="285"/>
      <c r="N34" s="285"/>
      <c r="O34" s="142"/>
      <c r="P34" s="142"/>
      <c r="Q34" s="142"/>
      <c r="R34" s="142"/>
      <c r="S34" s="142"/>
      <c r="T34" s="142"/>
    </row>
    <row r="35" spans="1:21" s="135" customFormat="1" ht="19.95" customHeight="1">
      <c r="A35" s="168"/>
      <c r="B35" s="168"/>
      <c r="C35" s="169"/>
      <c r="D35" s="169"/>
      <c r="E35" s="169"/>
      <c r="F35" s="169"/>
      <c r="G35" s="169"/>
      <c r="H35" s="169"/>
      <c r="I35" s="169"/>
      <c r="J35" s="169"/>
      <c r="K35" s="169"/>
      <c r="L35" s="169"/>
      <c r="M35" s="169"/>
      <c r="N35" s="169"/>
      <c r="O35" s="169"/>
      <c r="P35" s="134"/>
      <c r="Q35" s="134"/>
      <c r="R35" s="134"/>
      <c r="S35" s="134"/>
      <c r="T35" s="134"/>
      <c r="U35" s="134"/>
    </row>
    <row r="36" spans="1:21" s="135" customFormat="1" ht="19.95" customHeight="1">
      <c r="A36" s="213" t="s">
        <v>218</v>
      </c>
      <c r="B36" s="160"/>
      <c r="C36" s="160"/>
      <c r="D36" s="160"/>
      <c r="E36" s="160"/>
      <c r="F36" s="162"/>
      <c r="G36" s="162"/>
      <c r="H36" s="162"/>
      <c r="I36" s="158"/>
      <c r="J36" s="158"/>
      <c r="K36" s="158"/>
      <c r="L36" s="158"/>
      <c r="M36" s="158"/>
      <c r="N36" s="158"/>
      <c r="O36" s="158"/>
      <c r="P36" s="134"/>
      <c r="Q36" s="134"/>
      <c r="R36" s="134"/>
      <c r="S36" s="134"/>
      <c r="T36" s="134"/>
      <c r="U36" s="134"/>
    </row>
    <row r="37" spans="1:21" s="135" customFormat="1" ht="19.95" customHeight="1">
      <c r="A37" s="212" t="s">
        <v>200</v>
      </c>
      <c r="B37" s="160"/>
      <c r="C37" s="160"/>
      <c r="D37" s="160"/>
      <c r="E37" s="160"/>
      <c r="F37" s="162"/>
      <c r="G37" s="162"/>
      <c r="H37" s="162"/>
      <c r="I37" s="158"/>
      <c r="J37" s="158"/>
      <c r="K37" s="158"/>
      <c r="L37" s="158"/>
      <c r="M37" s="158"/>
      <c r="N37" s="158"/>
      <c r="O37" s="158"/>
      <c r="P37" s="134"/>
      <c r="Q37" s="134"/>
      <c r="R37" s="134"/>
      <c r="S37" s="134"/>
      <c r="T37" s="134"/>
      <c r="U37" s="134"/>
    </row>
    <row r="38" spans="1:21" s="135" customFormat="1" ht="19.95" customHeight="1">
      <c r="A38" s="208" t="s">
        <v>202</v>
      </c>
      <c r="B38" s="208"/>
      <c r="C38" s="208"/>
      <c r="D38" s="208"/>
      <c r="E38" s="208"/>
      <c r="F38" s="366" t="s">
        <v>199</v>
      </c>
      <c r="G38" s="367"/>
      <c r="H38" s="368"/>
      <c r="I38" s="366" t="s">
        <v>378</v>
      </c>
      <c r="J38" s="367"/>
      <c r="K38" s="368"/>
      <c r="L38" s="372" t="s">
        <v>51</v>
      </c>
      <c r="M38" s="364" t="s">
        <v>50</v>
      </c>
      <c r="N38" s="364" t="s">
        <v>159</v>
      </c>
      <c r="O38" s="225" t="s">
        <v>233</v>
      </c>
      <c r="P38" s="134"/>
      <c r="Q38" s="134"/>
      <c r="R38" s="134"/>
      <c r="S38" s="134"/>
    </row>
    <row r="39" spans="1:21" s="135" customFormat="1" ht="19.95" customHeight="1">
      <c r="A39" s="138" t="s">
        <v>160</v>
      </c>
      <c r="B39" s="138" t="s">
        <v>34</v>
      </c>
      <c r="C39" s="138" t="s">
        <v>35</v>
      </c>
      <c r="D39" s="138" t="s">
        <v>166</v>
      </c>
      <c r="E39" s="138" t="s">
        <v>53</v>
      </c>
      <c r="F39" s="151" t="s">
        <v>375</v>
      </c>
      <c r="G39" s="151" t="s">
        <v>376</v>
      </c>
      <c r="H39" s="151" t="s">
        <v>377</v>
      </c>
      <c r="I39" s="151" t="s">
        <v>375</v>
      </c>
      <c r="J39" s="151" t="s">
        <v>379</v>
      </c>
      <c r="K39" s="151" t="s">
        <v>377</v>
      </c>
      <c r="L39" s="373"/>
      <c r="M39" s="364"/>
      <c r="N39" s="364"/>
      <c r="O39" s="134"/>
      <c r="P39" s="134"/>
      <c r="Q39" s="134"/>
      <c r="R39" s="134"/>
      <c r="S39" s="134"/>
    </row>
    <row r="40" spans="1:21" s="135" customFormat="1" ht="19.95" customHeight="1">
      <c r="A40" s="153"/>
      <c r="B40" s="224"/>
      <c r="C40" s="152"/>
      <c r="D40" s="152"/>
      <c r="E40" s="154"/>
      <c r="F40" s="155"/>
      <c r="G40" s="155"/>
      <c r="H40" s="153"/>
      <c r="I40" s="156"/>
      <c r="J40" s="157"/>
      <c r="K40" s="156"/>
      <c r="L40" s="157"/>
      <c r="M40" s="157"/>
      <c r="N40" s="156"/>
      <c r="O40" s="134"/>
      <c r="P40" s="134"/>
      <c r="Q40" s="134"/>
      <c r="R40" s="134"/>
      <c r="S40" s="134"/>
    </row>
    <row r="41" spans="1:21" s="135" customFormat="1" ht="19.95" customHeight="1">
      <c r="A41" s="153"/>
      <c r="B41" s="224"/>
      <c r="C41" s="152"/>
      <c r="D41" s="152"/>
      <c r="E41" s="154"/>
      <c r="F41" s="155"/>
      <c r="G41" s="155"/>
      <c r="H41" s="153"/>
      <c r="I41" s="156"/>
      <c r="J41" s="157"/>
      <c r="K41" s="156"/>
      <c r="L41" s="157"/>
      <c r="M41" s="157"/>
      <c r="N41" s="156"/>
      <c r="O41" s="134"/>
      <c r="P41" s="134"/>
      <c r="Q41" s="134"/>
      <c r="R41" s="134"/>
      <c r="S41" s="134"/>
    </row>
    <row r="42" spans="1:21" s="135" customFormat="1" ht="19.95" customHeight="1">
      <c r="A42" s="153"/>
      <c r="B42" s="224"/>
      <c r="C42" s="152"/>
      <c r="D42" s="152"/>
      <c r="E42" s="154"/>
      <c r="F42" s="155"/>
      <c r="G42" s="155"/>
      <c r="H42" s="153"/>
      <c r="I42" s="156"/>
      <c r="J42" s="157"/>
      <c r="K42" s="156"/>
      <c r="L42" s="157"/>
      <c r="M42" s="157"/>
      <c r="N42" s="156"/>
      <c r="O42" s="134"/>
      <c r="P42" s="134"/>
      <c r="Q42" s="134"/>
      <c r="R42" s="134"/>
      <c r="S42" s="134"/>
    </row>
    <row r="43" spans="1:21" s="135" customFormat="1" ht="19.95" customHeight="1">
      <c r="A43" s="153"/>
      <c r="B43" s="224"/>
      <c r="C43" s="152"/>
      <c r="D43" s="152"/>
      <c r="E43" s="154"/>
      <c r="F43" s="155"/>
      <c r="G43" s="155"/>
      <c r="H43" s="153"/>
      <c r="I43" s="156"/>
      <c r="J43" s="157"/>
      <c r="K43" s="156"/>
      <c r="L43" s="157"/>
      <c r="M43" s="157"/>
      <c r="N43" s="156"/>
      <c r="O43" s="134"/>
      <c r="P43" s="134"/>
      <c r="Q43" s="134"/>
      <c r="R43" s="134"/>
      <c r="S43" s="134"/>
    </row>
    <row r="44" spans="1:21" s="135" customFormat="1" ht="19.95" customHeight="1">
      <c r="A44" s="153"/>
      <c r="B44" s="224"/>
      <c r="C44" s="152"/>
      <c r="D44" s="152"/>
      <c r="E44" s="154"/>
      <c r="F44" s="155"/>
      <c r="G44" s="155"/>
      <c r="H44" s="153"/>
      <c r="I44" s="156"/>
      <c r="J44" s="157"/>
      <c r="K44" s="156"/>
      <c r="L44" s="157"/>
      <c r="M44" s="157"/>
      <c r="N44" s="156"/>
      <c r="O44" s="134"/>
      <c r="P44" s="134"/>
      <c r="Q44" s="134"/>
      <c r="R44" s="134"/>
      <c r="S44" s="134"/>
    </row>
    <row r="45" spans="1:21" s="135" customFormat="1" ht="19.95" customHeight="1">
      <c r="A45" s="153"/>
      <c r="B45" s="224"/>
      <c r="C45" s="152"/>
      <c r="D45" s="152"/>
      <c r="E45" s="154"/>
      <c r="F45" s="155"/>
      <c r="G45" s="155"/>
      <c r="H45" s="153"/>
      <c r="I45" s="156"/>
      <c r="J45" s="157"/>
      <c r="K45" s="156"/>
      <c r="L45" s="157"/>
      <c r="M45" s="157"/>
      <c r="N45" s="156"/>
      <c r="O45" s="134"/>
      <c r="P45" s="134"/>
      <c r="Q45" s="134"/>
      <c r="R45" s="134"/>
      <c r="S45" s="134"/>
    </row>
    <row r="46" spans="1:21" s="140" customFormat="1" ht="19.95" customHeight="1">
      <c r="A46" s="167" t="s">
        <v>165</v>
      </c>
      <c r="B46" s="284"/>
      <c r="C46" s="284"/>
      <c r="D46" s="284"/>
      <c r="E46" s="284">
        <f>SUM(E40:E45)</f>
        <v>0</v>
      </c>
      <c r="F46" s="284"/>
      <c r="G46" s="284"/>
      <c r="H46" s="285"/>
      <c r="I46" s="285"/>
      <c r="J46" s="286"/>
      <c r="K46" s="285"/>
      <c r="L46" s="283"/>
      <c r="M46" s="286">
        <f>SUM(M40:M45)</f>
        <v>0</v>
      </c>
      <c r="N46" s="285"/>
      <c r="O46" s="142"/>
      <c r="P46" s="142"/>
      <c r="Q46" s="142"/>
      <c r="R46" s="142"/>
      <c r="S46" s="142"/>
    </row>
    <row r="47" spans="1:21" s="135" customFormat="1" ht="19.95" customHeight="1">
      <c r="A47" s="209" t="s">
        <v>201</v>
      </c>
      <c r="B47" s="210"/>
      <c r="C47" s="209"/>
      <c r="D47" s="209"/>
      <c r="E47" s="211"/>
      <c r="F47" s="209"/>
      <c r="G47" s="209"/>
      <c r="H47" s="209"/>
      <c r="I47" s="209"/>
      <c r="J47" s="209"/>
      <c r="K47" s="209"/>
      <c r="L47" s="209"/>
      <c r="M47" s="209"/>
      <c r="N47" s="209"/>
      <c r="O47" s="134"/>
      <c r="P47" s="134"/>
      <c r="Q47" s="134"/>
      <c r="R47" s="134"/>
      <c r="S47" s="134"/>
      <c r="T47" s="134"/>
    </row>
    <row r="48" spans="1:21" s="135" customFormat="1" ht="19.95" customHeight="1">
      <c r="A48" s="208" t="s">
        <v>202</v>
      </c>
      <c r="B48" s="208"/>
      <c r="C48" s="208"/>
      <c r="D48" s="208"/>
      <c r="E48" s="208"/>
      <c r="F48" s="366" t="s">
        <v>199</v>
      </c>
      <c r="G48" s="367"/>
      <c r="H48" s="368"/>
      <c r="I48" s="366" t="s">
        <v>378</v>
      </c>
      <c r="J48" s="367"/>
      <c r="K48" s="368"/>
      <c r="L48" s="365" t="s">
        <v>157</v>
      </c>
      <c r="M48" s="364" t="s">
        <v>158</v>
      </c>
      <c r="N48" s="364" t="s">
        <v>159</v>
      </c>
      <c r="O48" s="134"/>
      <c r="P48" s="134"/>
      <c r="Q48" s="134"/>
      <c r="R48" s="134"/>
    </row>
    <row r="49" spans="1:18" s="135" customFormat="1" ht="19.95" customHeight="1">
      <c r="A49" s="138" t="s">
        <v>160</v>
      </c>
      <c r="B49" s="138" t="s">
        <v>34</v>
      </c>
      <c r="C49" s="138" t="s">
        <v>35</v>
      </c>
      <c r="D49" s="138" t="s">
        <v>166</v>
      </c>
      <c r="E49" s="138" t="s">
        <v>53</v>
      </c>
      <c r="F49" s="151" t="s">
        <v>375</v>
      </c>
      <c r="G49" s="151" t="s">
        <v>376</v>
      </c>
      <c r="H49" s="151" t="s">
        <v>377</v>
      </c>
      <c r="I49" s="151" t="s">
        <v>375</v>
      </c>
      <c r="J49" s="151" t="s">
        <v>379</v>
      </c>
      <c r="K49" s="151" t="s">
        <v>377</v>
      </c>
      <c r="L49" s="365"/>
      <c r="M49" s="364"/>
      <c r="N49" s="364"/>
      <c r="O49" s="134"/>
      <c r="P49" s="134"/>
      <c r="Q49" s="134"/>
      <c r="R49" s="134"/>
    </row>
    <row r="50" spans="1:18" s="135" customFormat="1" ht="19.95" customHeight="1">
      <c r="A50" s="153"/>
      <c r="B50" s="224"/>
      <c r="C50" s="152"/>
      <c r="D50" s="152"/>
      <c r="E50" s="154"/>
      <c r="F50" s="153"/>
      <c r="G50" s="156"/>
      <c r="H50" s="157"/>
      <c r="I50" s="156"/>
      <c r="J50" s="157"/>
      <c r="K50" s="157"/>
      <c r="L50" s="156"/>
      <c r="M50" s="156"/>
      <c r="N50" s="156"/>
      <c r="O50" s="134"/>
      <c r="P50" s="134"/>
      <c r="Q50" s="134"/>
      <c r="R50" s="134"/>
    </row>
    <row r="51" spans="1:18" s="135" customFormat="1" ht="19.95" customHeight="1">
      <c r="A51" s="153"/>
      <c r="B51" s="224"/>
      <c r="C51" s="152"/>
      <c r="D51" s="152"/>
      <c r="E51" s="154"/>
      <c r="F51" s="153"/>
      <c r="G51" s="156"/>
      <c r="H51" s="157"/>
      <c r="I51" s="156"/>
      <c r="J51" s="157"/>
      <c r="K51" s="157"/>
      <c r="L51" s="156"/>
      <c r="M51" s="156"/>
      <c r="N51" s="156"/>
      <c r="O51" s="134"/>
      <c r="P51" s="134"/>
      <c r="Q51" s="134"/>
      <c r="R51" s="134"/>
    </row>
    <row r="52" spans="1:18" s="135" customFormat="1" ht="19.95" customHeight="1">
      <c r="A52" s="153"/>
      <c r="B52" s="224"/>
      <c r="C52" s="152"/>
      <c r="D52" s="152"/>
      <c r="E52" s="154"/>
      <c r="F52" s="153"/>
      <c r="G52" s="156"/>
      <c r="H52" s="157"/>
      <c r="I52" s="156"/>
      <c r="J52" s="157"/>
      <c r="K52" s="157"/>
      <c r="L52" s="156"/>
      <c r="M52" s="156"/>
      <c r="N52" s="156"/>
      <c r="O52" s="134"/>
      <c r="P52" s="134"/>
      <c r="Q52" s="134"/>
      <c r="R52" s="134"/>
    </row>
    <row r="53" spans="1:18" s="135" customFormat="1" ht="19.95" customHeight="1">
      <c r="A53" s="153"/>
      <c r="B53" s="224"/>
      <c r="C53" s="152"/>
      <c r="D53" s="152"/>
      <c r="E53" s="154"/>
      <c r="F53" s="153"/>
      <c r="G53" s="156"/>
      <c r="H53" s="157"/>
      <c r="I53" s="156"/>
      <c r="J53" s="157"/>
      <c r="K53" s="157"/>
      <c r="L53" s="156"/>
      <c r="M53" s="156"/>
      <c r="N53" s="156"/>
      <c r="O53" s="134"/>
      <c r="P53" s="134"/>
      <c r="Q53" s="134"/>
      <c r="R53" s="134"/>
    </row>
    <row r="54" spans="1:18" s="135" customFormat="1" ht="19.95" customHeight="1">
      <c r="A54" s="153"/>
      <c r="B54" s="224"/>
      <c r="C54" s="152"/>
      <c r="D54" s="152"/>
      <c r="E54" s="154"/>
      <c r="F54" s="153"/>
      <c r="G54" s="156"/>
      <c r="H54" s="157"/>
      <c r="I54" s="156"/>
      <c r="J54" s="157"/>
      <c r="K54" s="157"/>
      <c r="L54" s="156"/>
      <c r="M54" s="156"/>
      <c r="N54" s="156"/>
      <c r="O54" s="134"/>
      <c r="P54" s="134"/>
      <c r="Q54" s="134"/>
      <c r="R54" s="134"/>
    </row>
    <row r="55" spans="1:18" s="135" customFormat="1" ht="19.95" customHeight="1">
      <c r="A55" s="153"/>
      <c r="B55" s="224"/>
      <c r="C55" s="152"/>
      <c r="D55" s="152"/>
      <c r="E55" s="154"/>
      <c r="F55" s="153"/>
      <c r="G55" s="156"/>
      <c r="H55" s="157"/>
      <c r="I55" s="156"/>
      <c r="J55" s="157"/>
      <c r="K55" s="157"/>
      <c r="L55" s="156"/>
      <c r="M55" s="156"/>
      <c r="N55" s="156"/>
      <c r="O55" s="134"/>
      <c r="P55" s="134"/>
      <c r="Q55" s="134"/>
      <c r="R55" s="134"/>
    </row>
    <row r="56" spans="1:18" s="140" customFormat="1" ht="19.95" customHeight="1">
      <c r="A56" s="167" t="s">
        <v>394</v>
      </c>
      <c r="B56" s="284"/>
      <c r="C56" s="284"/>
      <c r="D56" s="284"/>
      <c r="E56" s="284">
        <f>SUM(E50:E55)</f>
        <v>0</v>
      </c>
      <c r="F56" s="285"/>
      <c r="G56" s="285"/>
      <c r="H56" s="286"/>
      <c r="I56" s="285"/>
      <c r="J56" s="283"/>
      <c r="K56" s="286"/>
      <c r="L56" s="285"/>
      <c r="M56" s="285"/>
      <c r="N56" s="285"/>
      <c r="O56" s="142"/>
      <c r="P56" s="142"/>
      <c r="Q56" s="142"/>
      <c r="R56" s="142"/>
    </row>
    <row r="57" spans="1:18" ht="19.95" customHeight="1">
      <c r="A57" s="136" t="s">
        <v>167</v>
      </c>
      <c r="B57" s="137"/>
      <c r="C57" s="137"/>
      <c r="D57" s="137"/>
      <c r="E57" s="137"/>
      <c r="F57" s="137"/>
      <c r="G57" s="137"/>
      <c r="H57" s="137"/>
      <c r="I57" s="137"/>
      <c r="J57" s="137"/>
      <c r="K57" s="137"/>
      <c r="L57" s="137"/>
      <c r="M57" s="137"/>
      <c r="N57" s="137"/>
      <c r="O57" s="137"/>
    </row>
    <row r="58" spans="1:18" ht="19.95" customHeight="1">
      <c r="B58" s="54"/>
      <c r="C58" s="54"/>
      <c r="D58" s="171"/>
      <c r="E58" s="171"/>
      <c r="F58" s="55"/>
      <c r="G58" s="55"/>
      <c r="H58" s="55"/>
      <c r="I58" s="172"/>
      <c r="J58" s="172"/>
      <c r="K58" s="172"/>
      <c r="Q58" s="172"/>
      <c r="R58" s="172"/>
    </row>
    <row r="59" spans="1:18" ht="19.95" customHeight="1">
      <c r="B59" s="55"/>
      <c r="C59" s="171"/>
      <c r="D59" s="173"/>
      <c r="E59" s="173"/>
      <c r="F59" s="173"/>
      <c r="G59" s="173"/>
      <c r="H59" s="173"/>
      <c r="I59" s="173"/>
      <c r="J59" s="173"/>
      <c r="K59" s="173"/>
    </row>
    <row r="60" spans="1:18" ht="19.95" customHeight="1">
      <c r="B60" s="55"/>
      <c r="C60" s="55"/>
      <c r="D60" s="173"/>
      <c r="E60" s="173"/>
      <c r="F60" s="173"/>
      <c r="G60" s="173"/>
      <c r="H60" s="173"/>
      <c r="I60" s="173"/>
      <c r="J60" s="173"/>
      <c r="K60" s="173"/>
    </row>
    <row r="61" spans="1:18" ht="19.95" customHeight="1">
      <c r="A61" s="136" t="s">
        <v>168</v>
      </c>
      <c r="B61" s="137"/>
      <c r="C61" s="137"/>
      <c r="D61" s="137"/>
      <c r="E61" s="137"/>
      <c r="F61" s="137"/>
      <c r="G61" s="137"/>
      <c r="H61" s="137"/>
      <c r="I61" s="137"/>
      <c r="J61" s="137"/>
      <c r="K61" s="137"/>
      <c r="L61" s="137"/>
      <c r="M61" s="137"/>
      <c r="N61" s="137"/>
      <c r="O61" s="137"/>
    </row>
    <row r="62" spans="1:18" ht="19.95" customHeight="1"/>
    <row r="63" spans="1:18" ht="19.95" customHeight="1"/>
    <row r="66" spans="1:7">
      <c r="A66" s="120" t="s">
        <v>300</v>
      </c>
      <c r="B66" s="55"/>
      <c r="C66" s="55"/>
      <c r="D66" s="55"/>
      <c r="E66" s="55"/>
      <c r="F66" s="55"/>
      <c r="G66" s="55"/>
    </row>
    <row r="67" spans="1:7">
      <c r="A67" s="121" t="s">
        <v>301</v>
      </c>
      <c r="B67" s="121"/>
      <c r="C67" s="55"/>
      <c r="D67" s="55"/>
      <c r="E67" s="55"/>
      <c r="F67" s="55"/>
      <c r="G67" s="55"/>
    </row>
    <row r="68" spans="1:7">
      <c r="A68" s="55"/>
      <c r="B68" s="121" t="s">
        <v>302</v>
      </c>
      <c r="C68" s="55"/>
      <c r="D68" s="55"/>
      <c r="E68" s="55"/>
      <c r="F68" s="55"/>
      <c r="G68" s="55"/>
    </row>
    <row r="69" spans="1:7">
      <c r="A69" s="55"/>
      <c r="B69" s="121" t="s">
        <v>303</v>
      </c>
      <c r="C69" s="55"/>
      <c r="D69" s="55"/>
      <c r="E69" s="55"/>
      <c r="F69" s="55"/>
      <c r="G69" s="55"/>
    </row>
    <row r="70" spans="1:7">
      <c r="A70" s="55"/>
      <c r="B70" s="121" t="s">
        <v>298</v>
      </c>
      <c r="C70" s="55"/>
      <c r="D70" s="55"/>
      <c r="E70" s="55"/>
      <c r="F70" s="55"/>
      <c r="G70" s="55"/>
    </row>
    <row r="71" spans="1:7">
      <c r="A71" s="55"/>
      <c r="B71" s="121"/>
      <c r="C71" s="55"/>
      <c r="D71" s="55"/>
      <c r="E71" s="55"/>
      <c r="F71" s="55"/>
      <c r="G71" s="55"/>
    </row>
    <row r="72" spans="1:7">
      <c r="A72" s="121" t="s">
        <v>299</v>
      </c>
      <c r="B72" s="121"/>
      <c r="C72" s="55"/>
      <c r="D72" s="55"/>
      <c r="E72" s="55"/>
      <c r="F72" s="55"/>
      <c r="G72" s="55"/>
    </row>
    <row r="73" spans="1:7">
      <c r="A73" s="174" t="s">
        <v>169</v>
      </c>
      <c r="B73" s="175"/>
      <c r="C73" s="55"/>
      <c r="D73" s="55"/>
      <c r="E73" s="55"/>
      <c r="F73" s="55"/>
      <c r="G73" s="55"/>
    </row>
  </sheetData>
  <mergeCells count="24">
    <mergeCell ref="A1:O1"/>
    <mergeCell ref="A2:O2"/>
    <mergeCell ref="F15:H15"/>
    <mergeCell ref="I15:K15"/>
    <mergeCell ref="A15:E15"/>
    <mergeCell ref="N15:N16"/>
    <mergeCell ref="M15:M16"/>
    <mergeCell ref="L15:L16"/>
    <mergeCell ref="N38:N39"/>
    <mergeCell ref="M26:M27"/>
    <mergeCell ref="N26:N27"/>
    <mergeCell ref="A26:E26"/>
    <mergeCell ref="F26:H26"/>
    <mergeCell ref="I26:K26"/>
    <mergeCell ref="L26:L27"/>
    <mergeCell ref="F38:H38"/>
    <mergeCell ref="I38:K38"/>
    <mergeCell ref="L38:L39"/>
    <mergeCell ref="M38:M39"/>
    <mergeCell ref="M48:M49"/>
    <mergeCell ref="N48:N49"/>
    <mergeCell ref="L48:L49"/>
    <mergeCell ref="F48:H48"/>
    <mergeCell ref="I48:K48"/>
  </mergeCells>
  <phoneticPr fontId="16" type="noConversion"/>
  <hyperlinks>
    <hyperlink ref="N3" location="底稿目录!A1" display="底稿目录!A1"/>
  </hyperlinks>
  <printOptions horizontalCentered="1"/>
  <pageMargins left="0.35433070866141736" right="0.31496062992125984" top="0.51181102362204722" bottom="0.47244094488188981" header="0.31496062992125984" footer="0.31496062992125984"/>
  <pageSetup paperSize="9" scale="75" fitToHeight="10" orientation="landscape" blackAndWhite="1" cellComments="atEnd" r:id="rId1"/>
  <rowBreaks count="1" manualBreakCount="1">
    <brk id="34" max="17"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73"/>
  <sheetViews>
    <sheetView view="pageBreakPreview" zoomScaleNormal="115" zoomScaleSheetLayoutView="100" workbookViewId="0">
      <selection sqref="A1:O1"/>
    </sheetView>
  </sheetViews>
  <sheetFormatPr defaultColWidth="9" defaultRowHeight="15.6"/>
  <cols>
    <col min="1" max="1" width="10.19921875" style="170" customWidth="1"/>
    <col min="2" max="2" width="9.09765625" style="170" customWidth="1"/>
    <col min="3" max="3" width="10.19921875" style="170" customWidth="1"/>
    <col min="4" max="4" width="11.796875" style="170" customWidth="1"/>
    <col min="5" max="5" width="9.19921875" style="170" customWidth="1"/>
    <col min="6" max="6" width="8.09765625" style="170" customWidth="1"/>
    <col min="7" max="7" width="10" style="170" customWidth="1"/>
    <col min="8" max="8" width="9" style="170" customWidth="1"/>
    <col min="9" max="9" width="9.5" style="170" customWidth="1"/>
    <col min="10" max="10" width="11.19921875" style="170" customWidth="1"/>
    <col min="11" max="11" width="10.19921875" style="170" customWidth="1"/>
    <col min="12" max="12" width="12.3984375" style="170" customWidth="1"/>
    <col min="13" max="13" width="10.59765625" style="170" customWidth="1"/>
    <col min="14" max="14" width="9" style="170"/>
    <col min="15" max="15" width="6.59765625" style="170" customWidth="1"/>
    <col min="16" max="16" width="8" style="170" bestFit="1" customWidth="1"/>
    <col min="17" max="17" width="9.19921875" style="170" customWidth="1"/>
    <col min="18" max="18" width="6" style="170" customWidth="1"/>
    <col min="19" max="19" width="4.69921875" style="170" bestFit="1" customWidth="1"/>
    <col min="20" max="20" width="8.69921875" style="170" customWidth="1"/>
    <col min="21" max="21" width="3.59765625" style="170" customWidth="1"/>
    <col min="22" max="16384" width="9" style="170"/>
  </cols>
  <sheetData>
    <row r="1" spans="1:25" s="132" customFormat="1" ht="19.95" customHeight="1">
      <c r="A1" s="374" t="s">
        <v>241</v>
      </c>
      <c r="B1" s="374"/>
      <c r="C1" s="374"/>
      <c r="D1" s="374"/>
      <c r="E1" s="374"/>
      <c r="F1" s="374"/>
      <c r="G1" s="374"/>
      <c r="H1" s="374"/>
      <c r="I1" s="374"/>
      <c r="J1" s="374"/>
      <c r="K1" s="374"/>
      <c r="L1" s="374"/>
      <c r="M1" s="374"/>
      <c r="N1" s="374"/>
      <c r="O1" s="374"/>
      <c r="P1" s="55"/>
      <c r="Q1" s="55"/>
      <c r="R1" s="55"/>
      <c r="S1" s="55"/>
      <c r="T1" s="55"/>
      <c r="U1" s="130"/>
      <c r="V1" s="131"/>
      <c r="W1" s="131"/>
      <c r="X1" s="131"/>
      <c r="Y1" s="131"/>
    </row>
    <row r="2" spans="1:25" s="131" customFormat="1" ht="19.95" customHeight="1">
      <c r="A2" s="375" t="s">
        <v>386</v>
      </c>
      <c r="B2" s="375"/>
      <c r="C2" s="375"/>
      <c r="D2" s="375"/>
      <c r="E2" s="375"/>
      <c r="F2" s="375"/>
      <c r="G2" s="375"/>
      <c r="H2" s="375"/>
      <c r="I2" s="375"/>
      <c r="J2" s="375"/>
      <c r="K2" s="375"/>
      <c r="L2" s="375"/>
      <c r="M2" s="375"/>
      <c r="N2" s="375"/>
      <c r="O2" s="375"/>
      <c r="P2" s="38"/>
      <c r="Q2" s="55"/>
      <c r="R2" s="55"/>
      <c r="S2" s="55"/>
      <c r="T2" s="55"/>
      <c r="U2" s="130"/>
    </row>
    <row r="3" spans="1:25" s="55" customFormat="1" ht="19.95" customHeight="1">
      <c r="A3" s="53" t="str">
        <f>底稿目录!A2</f>
        <v>被审计单位：</v>
      </c>
      <c r="B3" s="53"/>
      <c r="F3" s="53" t="str">
        <f>底稿目录!A4</f>
        <v>编制人：</v>
      </c>
      <c r="J3" s="53" t="str">
        <f>底稿目录!A5</f>
        <v>编制日期：</v>
      </c>
      <c r="M3" s="54" t="s">
        <v>54</v>
      </c>
      <c r="N3" s="291" t="str">
        <f>底稿目录!F11</f>
        <v>K0-6</v>
      </c>
      <c r="R3" s="117"/>
    </row>
    <row r="4" spans="1:25" s="55" customFormat="1" ht="19.95" customHeight="1">
      <c r="A4" s="53" t="str">
        <f>底稿目录!A3</f>
        <v>截止日：202X年12月31日</v>
      </c>
      <c r="B4" s="8"/>
      <c r="F4" s="53" t="str">
        <f>底稿目录!A6</f>
        <v>复核人：</v>
      </c>
      <c r="J4" s="53" t="str">
        <f>底稿目录!A7</f>
        <v>复核日期：</v>
      </c>
      <c r="M4" s="55" t="s">
        <v>18</v>
      </c>
      <c r="R4" s="117"/>
    </row>
    <row r="5" spans="1:25" s="135" customFormat="1" ht="19.95" customHeight="1">
      <c r="A5" s="281" t="s">
        <v>387</v>
      </c>
      <c r="B5" s="133"/>
      <c r="C5" s="133"/>
      <c r="D5" s="133"/>
      <c r="E5" s="133"/>
      <c r="F5" s="133"/>
      <c r="G5" s="133"/>
      <c r="H5" s="133"/>
      <c r="I5" s="133"/>
      <c r="J5" s="133"/>
      <c r="K5" s="133"/>
      <c r="L5" s="133"/>
      <c r="M5" s="133"/>
      <c r="N5" s="133"/>
      <c r="O5" s="133"/>
      <c r="P5" s="134"/>
      <c r="Q5" s="134"/>
      <c r="R5" s="134"/>
      <c r="S5" s="134"/>
      <c r="T5" s="134"/>
      <c r="U5" s="134"/>
    </row>
    <row r="6" spans="1:25" s="135" customFormat="1" ht="19.95" customHeight="1">
      <c r="A6" s="136" t="s">
        <v>149</v>
      </c>
      <c r="B6" s="137"/>
      <c r="C6" s="137"/>
      <c r="D6" s="137"/>
      <c r="E6" s="137"/>
      <c r="F6" s="137"/>
      <c r="G6" s="137"/>
      <c r="H6" s="137"/>
      <c r="I6" s="137"/>
      <c r="J6" s="137"/>
      <c r="K6" s="137"/>
      <c r="L6" s="137"/>
      <c r="M6" s="137"/>
      <c r="N6" s="137"/>
      <c r="O6" s="137"/>
      <c r="Q6" s="20"/>
    </row>
    <row r="7" spans="1:25" s="135" customFormat="1" ht="19.95" customHeight="1">
      <c r="A7" s="77" t="s">
        <v>88</v>
      </c>
      <c r="B7" s="216" t="s">
        <v>252</v>
      </c>
      <c r="C7" s="232"/>
      <c r="D7" s="77"/>
      <c r="E7" s="78"/>
      <c r="F7" s="232"/>
      <c r="H7" s="77" t="s">
        <v>242</v>
      </c>
      <c r="I7" s="216" t="s">
        <v>248</v>
      </c>
      <c r="J7" s="78"/>
      <c r="K7" s="137"/>
      <c r="L7" s="137"/>
      <c r="N7" s="137"/>
      <c r="O7" s="137"/>
      <c r="P7" s="137"/>
      <c r="Q7" s="20"/>
    </row>
    <row r="8" spans="1:25" s="135" customFormat="1" ht="19.95" customHeight="1">
      <c r="A8" s="77" t="s">
        <v>243</v>
      </c>
      <c r="B8" s="216" t="s">
        <v>247</v>
      </c>
      <c r="C8" s="232"/>
      <c r="D8" s="77"/>
      <c r="E8" s="78"/>
      <c r="F8" s="232"/>
      <c r="H8" s="77" t="s">
        <v>244</v>
      </c>
      <c r="I8" s="78"/>
      <c r="J8" s="216" t="s">
        <v>249</v>
      </c>
      <c r="K8" s="216" t="s">
        <v>250</v>
      </c>
      <c r="L8" s="137"/>
      <c r="N8" s="137"/>
      <c r="O8" s="137"/>
      <c r="P8" s="137"/>
      <c r="Q8" s="20"/>
    </row>
    <row r="9" spans="1:25" s="135" customFormat="1" ht="19.95" customHeight="1">
      <c r="A9" s="77" t="s">
        <v>245</v>
      </c>
      <c r="B9" s="78" t="s">
        <v>438</v>
      </c>
      <c r="C9" s="232"/>
      <c r="D9" s="77"/>
      <c r="E9" s="78"/>
      <c r="F9" s="232"/>
      <c r="G9" s="77"/>
      <c r="H9" s="77" t="s">
        <v>246</v>
      </c>
      <c r="I9" s="216" t="s">
        <v>251</v>
      </c>
      <c r="J9" s="137"/>
      <c r="K9" s="137"/>
      <c r="L9" s="137"/>
      <c r="N9" s="137"/>
      <c r="O9" s="137"/>
      <c r="P9" s="137"/>
      <c r="Q9" s="20"/>
    </row>
    <row r="10" spans="1:25" s="135" customFormat="1" ht="19.95" customHeight="1">
      <c r="A10" s="136" t="s">
        <v>150</v>
      </c>
      <c r="B10" s="137"/>
      <c r="C10" s="137"/>
      <c r="D10" s="137"/>
      <c r="E10" s="137"/>
      <c r="F10" s="137"/>
      <c r="G10" s="137"/>
      <c r="H10" s="137"/>
      <c r="I10" s="137"/>
      <c r="J10" s="264"/>
      <c r="K10" s="137"/>
      <c r="L10" s="137"/>
      <c r="M10" s="137"/>
      <c r="N10" s="137"/>
      <c r="O10" s="137"/>
    </row>
    <row r="11" spans="1:25" s="140" customFormat="1" ht="19.95" customHeight="1">
      <c r="A11" s="263" t="s">
        <v>151</v>
      </c>
      <c r="B11" s="263" t="s">
        <v>152</v>
      </c>
      <c r="C11" s="139" t="s">
        <v>153</v>
      </c>
      <c r="D11" s="139" t="s">
        <v>154</v>
      </c>
      <c r="E11" s="139" t="s">
        <v>155</v>
      </c>
      <c r="J11" s="264"/>
      <c r="K11" s="137"/>
      <c r="L11" s="137"/>
      <c r="M11" s="137"/>
      <c r="N11" s="137"/>
      <c r="O11" s="141"/>
      <c r="P11" s="142"/>
      <c r="Q11" s="142"/>
      <c r="R11" s="142"/>
      <c r="S11" s="142"/>
      <c r="T11" s="142"/>
      <c r="U11" s="142"/>
    </row>
    <row r="12" spans="1:25" s="146" customFormat="1" ht="19.95" customHeight="1">
      <c r="A12" s="143" t="s">
        <v>384</v>
      </c>
      <c r="B12" s="144"/>
      <c r="C12" s="144"/>
      <c r="D12" s="144"/>
      <c r="E12" s="145">
        <f>B12+C12-D12</f>
        <v>0</v>
      </c>
      <c r="J12" s="264"/>
      <c r="K12" s="137"/>
      <c r="L12" s="137"/>
      <c r="M12" s="137"/>
      <c r="N12" s="137"/>
      <c r="O12" s="141"/>
      <c r="P12" s="142"/>
      <c r="Q12" s="142"/>
      <c r="R12" s="142"/>
      <c r="S12" s="142"/>
      <c r="T12" s="142"/>
      <c r="U12" s="142"/>
    </row>
    <row r="13" spans="1:25" s="135" customFormat="1" ht="19.95" customHeight="1">
      <c r="A13" s="147"/>
      <c r="B13" s="148"/>
      <c r="C13" s="148"/>
      <c r="D13" s="149"/>
      <c r="E13" s="149"/>
      <c r="F13" s="149"/>
      <c r="G13" s="149"/>
      <c r="H13" s="149"/>
      <c r="I13" s="150"/>
      <c r="J13" s="264"/>
      <c r="K13" s="137"/>
      <c r="L13" s="137"/>
      <c r="M13" s="137"/>
      <c r="N13" s="137"/>
      <c r="O13" s="150"/>
      <c r="P13" s="134"/>
      <c r="Q13" s="134"/>
      <c r="R13" s="134"/>
      <c r="S13" s="134"/>
      <c r="T13" s="134"/>
      <c r="U13" s="134"/>
    </row>
    <row r="14" spans="1:25" s="135" customFormat="1" ht="19.95" customHeight="1">
      <c r="A14" s="207" t="s">
        <v>385</v>
      </c>
      <c r="B14" s="148"/>
      <c r="C14" s="148"/>
      <c r="D14" s="149"/>
      <c r="E14" s="149"/>
      <c r="F14" s="149"/>
      <c r="G14" s="149"/>
      <c r="H14" s="149"/>
      <c r="I14" s="150"/>
      <c r="J14" s="150"/>
      <c r="K14" s="150"/>
      <c r="L14" s="150"/>
      <c r="M14" s="150"/>
      <c r="N14" s="150"/>
      <c r="O14" s="150"/>
      <c r="P14" s="134"/>
      <c r="Q14" s="134"/>
      <c r="R14" s="134"/>
      <c r="S14" s="134"/>
      <c r="T14" s="134"/>
      <c r="U14" s="134"/>
    </row>
    <row r="15" spans="1:25" s="140" customFormat="1" ht="19.95" customHeight="1">
      <c r="A15" s="369" t="s">
        <v>156</v>
      </c>
      <c r="B15" s="370"/>
      <c r="C15" s="370"/>
      <c r="D15" s="370"/>
      <c r="E15" s="371"/>
      <c r="F15" s="379" t="s">
        <v>163</v>
      </c>
      <c r="G15" s="379"/>
      <c r="H15" s="380" t="s">
        <v>370</v>
      </c>
      <c r="I15" s="381"/>
      <c r="J15" s="382"/>
      <c r="K15" s="372" t="s">
        <v>51</v>
      </c>
      <c r="L15" s="372" t="s">
        <v>51</v>
      </c>
      <c r="M15" s="377" t="s">
        <v>50</v>
      </c>
      <c r="N15" s="377" t="s">
        <v>159</v>
      </c>
      <c r="O15" s="225" t="s">
        <v>208</v>
      </c>
      <c r="Q15" s="142"/>
      <c r="R15" s="142"/>
      <c r="S15" s="142"/>
    </row>
    <row r="16" spans="1:25" s="140" customFormat="1" ht="19.95" customHeight="1">
      <c r="A16" s="263" t="s">
        <v>160</v>
      </c>
      <c r="B16" s="263" t="s">
        <v>34</v>
      </c>
      <c r="C16" s="263" t="s">
        <v>35</v>
      </c>
      <c r="D16" s="263" t="s">
        <v>161</v>
      </c>
      <c r="E16" s="263" t="s">
        <v>53</v>
      </c>
      <c r="F16" s="279" t="s">
        <v>389</v>
      </c>
      <c r="G16" s="279" t="s">
        <v>390</v>
      </c>
      <c r="H16" s="277" t="s">
        <v>371</v>
      </c>
      <c r="I16" s="278" t="s">
        <v>388</v>
      </c>
      <c r="J16" s="277" t="s">
        <v>372</v>
      </c>
      <c r="K16" s="373"/>
      <c r="L16" s="373"/>
      <c r="M16" s="378"/>
      <c r="N16" s="378"/>
      <c r="O16" s="142"/>
      <c r="P16" s="142"/>
      <c r="Q16" s="142"/>
      <c r="R16" s="142"/>
      <c r="S16" s="142"/>
    </row>
    <row r="17" spans="1:21" s="135" customFormat="1" ht="19.95" customHeight="1">
      <c r="A17" s="153"/>
      <c r="B17" s="223"/>
      <c r="C17" s="152"/>
      <c r="D17" s="152"/>
      <c r="E17" s="154"/>
      <c r="F17" s="155"/>
      <c r="G17" s="156"/>
      <c r="H17" s="157"/>
      <c r="I17" s="156"/>
      <c r="J17" s="157"/>
      <c r="K17" s="157"/>
      <c r="L17" s="156"/>
      <c r="M17" s="156"/>
      <c r="N17" s="156"/>
      <c r="O17" s="134"/>
      <c r="P17" s="134"/>
      <c r="Q17" s="134"/>
      <c r="R17" s="134"/>
      <c r="S17" s="134"/>
    </row>
    <row r="18" spans="1:21" s="135" customFormat="1" ht="19.95" customHeight="1">
      <c r="A18" s="153"/>
      <c r="B18" s="223"/>
      <c r="C18" s="152"/>
      <c r="D18" s="152"/>
      <c r="E18" s="154"/>
      <c r="F18" s="155"/>
      <c r="G18" s="156"/>
      <c r="H18" s="157"/>
      <c r="I18" s="156"/>
      <c r="J18" s="157"/>
      <c r="K18" s="157"/>
      <c r="L18" s="156"/>
      <c r="M18" s="156"/>
      <c r="N18" s="156"/>
      <c r="O18" s="134"/>
      <c r="P18" s="134"/>
      <c r="Q18" s="134"/>
      <c r="R18" s="134"/>
      <c r="S18" s="134"/>
    </row>
    <row r="19" spans="1:21" s="135" customFormat="1" ht="19.95" customHeight="1">
      <c r="A19" s="153"/>
      <c r="B19" s="223"/>
      <c r="C19" s="152"/>
      <c r="D19" s="152"/>
      <c r="E19" s="154"/>
      <c r="F19" s="155"/>
      <c r="G19" s="156"/>
      <c r="H19" s="157"/>
      <c r="I19" s="156"/>
      <c r="J19" s="157"/>
      <c r="K19" s="157"/>
      <c r="L19" s="156"/>
      <c r="M19" s="156"/>
      <c r="N19" s="156"/>
      <c r="O19" s="134"/>
      <c r="P19" s="134"/>
      <c r="Q19" s="134"/>
      <c r="R19" s="134"/>
      <c r="S19" s="134"/>
    </row>
    <row r="20" spans="1:21" s="135" customFormat="1" ht="19.95" customHeight="1">
      <c r="A20" s="153"/>
      <c r="B20" s="223"/>
      <c r="C20" s="152"/>
      <c r="D20" s="152"/>
      <c r="E20" s="154"/>
      <c r="F20" s="155"/>
      <c r="G20" s="156"/>
      <c r="H20" s="157"/>
      <c r="I20" s="156"/>
      <c r="J20" s="157"/>
      <c r="K20" s="157"/>
      <c r="L20" s="156"/>
      <c r="M20" s="156"/>
      <c r="N20" s="156"/>
      <c r="O20" s="134"/>
      <c r="P20" s="134"/>
      <c r="Q20" s="134"/>
      <c r="R20" s="134"/>
      <c r="S20" s="134"/>
    </row>
    <row r="21" spans="1:21" s="135" customFormat="1" ht="19.95" customHeight="1">
      <c r="A21" s="153"/>
      <c r="B21" s="223"/>
      <c r="C21" s="152"/>
      <c r="D21" s="152"/>
      <c r="E21" s="154"/>
      <c r="F21" s="155"/>
      <c r="G21" s="156"/>
      <c r="H21" s="157"/>
      <c r="I21" s="156"/>
      <c r="J21" s="157"/>
      <c r="K21" s="157"/>
      <c r="L21" s="156"/>
      <c r="M21" s="156"/>
      <c r="N21" s="156"/>
      <c r="O21" s="134"/>
      <c r="P21" s="134"/>
      <c r="Q21" s="134"/>
      <c r="R21" s="134"/>
      <c r="S21" s="134"/>
    </row>
    <row r="22" spans="1:21" s="135" customFormat="1" ht="19.95" customHeight="1">
      <c r="A22" s="153"/>
      <c r="B22" s="223"/>
      <c r="C22" s="152"/>
      <c r="D22" s="152"/>
      <c r="E22" s="154"/>
      <c r="F22" s="155"/>
      <c r="G22" s="156"/>
      <c r="H22" s="157"/>
      <c r="I22" s="156"/>
      <c r="J22" s="157"/>
      <c r="K22" s="157"/>
      <c r="L22" s="156"/>
      <c r="M22" s="156"/>
      <c r="N22" s="156"/>
      <c r="O22" s="134"/>
      <c r="P22" s="134"/>
      <c r="Q22" s="134"/>
      <c r="R22" s="134"/>
      <c r="S22" s="134"/>
    </row>
    <row r="23" spans="1:21" s="140" customFormat="1" ht="19.95" customHeight="1">
      <c r="A23" s="167" t="s">
        <v>165</v>
      </c>
      <c r="B23" s="282"/>
      <c r="C23" s="282"/>
      <c r="D23" s="282"/>
      <c r="E23" s="283">
        <f>SUM(E17:E22)</f>
        <v>0</v>
      </c>
      <c r="F23" s="284"/>
      <c r="G23" s="285"/>
      <c r="H23" s="283"/>
      <c r="I23" s="285"/>
      <c r="J23" s="283">
        <f>SUM(J17:J22)</f>
        <v>0</v>
      </c>
      <c r="K23" s="286"/>
      <c r="L23" s="285"/>
      <c r="M23" s="285"/>
      <c r="N23" s="285"/>
      <c r="O23" s="142"/>
      <c r="P23" s="142"/>
      <c r="Q23" s="142"/>
      <c r="R23" s="142"/>
      <c r="S23" s="142"/>
    </row>
    <row r="24" spans="1:21" s="164" customFormat="1" ht="19.95" customHeight="1">
      <c r="A24" s="159"/>
      <c r="B24" s="160"/>
      <c r="C24" s="160"/>
      <c r="D24" s="160"/>
      <c r="E24" s="160"/>
      <c r="F24" s="161"/>
      <c r="G24" s="162"/>
      <c r="H24" s="162"/>
      <c r="I24" s="158"/>
      <c r="J24" s="158"/>
      <c r="K24" s="158"/>
      <c r="L24" s="161"/>
      <c r="M24" s="163"/>
      <c r="N24" s="158"/>
      <c r="O24" s="158"/>
      <c r="P24" s="134"/>
      <c r="Q24" s="134"/>
      <c r="R24" s="134"/>
      <c r="S24" s="134"/>
      <c r="T24" s="134"/>
      <c r="U24" s="134"/>
    </row>
    <row r="25" spans="1:21" s="135" customFormat="1" ht="19.95" customHeight="1">
      <c r="A25" s="288" t="s">
        <v>391</v>
      </c>
      <c r="B25" s="287"/>
      <c r="C25" s="287"/>
      <c r="D25" s="287"/>
      <c r="E25" s="287"/>
      <c r="F25" s="287"/>
      <c r="G25" s="287"/>
      <c r="H25" s="287"/>
      <c r="I25" s="287"/>
      <c r="J25" s="287"/>
      <c r="K25" s="287"/>
      <c r="L25" s="287"/>
      <c r="M25" s="287"/>
      <c r="N25" s="287"/>
      <c r="O25" s="287"/>
      <c r="P25" s="134"/>
      <c r="Q25" s="134"/>
      <c r="R25" s="134"/>
      <c r="S25" s="134"/>
      <c r="T25" s="134"/>
      <c r="U25" s="134"/>
    </row>
    <row r="26" spans="1:21" s="140" customFormat="1" ht="19.95" customHeight="1">
      <c r="A26" s="369" t="s">
        <v>156</v>
      </c>
      <c r="B26" s="370"/>
      <c r="C26" s="370"/>
      <c r="D26" s="370"/>
      <c r="E26" s="371"/>
      <c r="F26" s="366" t="s">
        <v>199</v>
      </c>
      <c r="G26" s="367"/>
      <c r="H26" s="368"/>
      <c r="I26" s="366" t="s">
        <v>378</v>
      </c>
      <c r="J26" s="367"/>
      <c r="K26" s="368"/>
      <c r="L26" s="372" t="s">
        <v>51</v>
      </c>
      <c r="M26" s="364" t="s">
        <v>50</v>
      </c>
      <c r="N26" s="364" t="s">
        <v>159</v>
      </c>
      <c r="O26" s="225" t="s">
        <v>234</v>
      </c>
      <c r="Q26" s="142"/>
      <c r="R26" s="142"/>
      <c r="S26" s="142"/>
      <c r="T26" s="142"/>
    </row>
    <row r="27" spans="1:21" s="140" customFormat="1" ht="19.95" customHeight="1">
      <c r="A27" s="263" t="s">
        <v>160</v>
      </c>
      <c r="B27" s="263" t="s">
        <v>34</v>
      </c>
      <c r="C27" s="263" t="s">
        <v>35</v>
      </c>
      <c r="D27" s="263" t="s">
        <v>161</v>
      </c>
      <c r="E27" s="263" t="s">
        <v>53</v>
      </c>
      <c r="F27" s="151" t="s">
        <v>375</v>
      </c>
      <c r="G27" s="151" t="s">
        <v>376</v>
      </c>
      <c r="H27" s="151" t="s">
        <v>377</v>
      </c>
      <c r="I27" s="151" t="s">
        <v>375</v>
      </c>
      <c r="J27" s="151" t="s">
        <v>379</v>
      </c>
      <c r="K27" s="151" t="s">
        <v>377</v>
      </c>
      <c r="L27" s="373"/>
      <c r="M27" s="364"/>
      <c r="N27" s="364"/>
      <c r="O27" s="142"/>
      <c r="P27" s="142"/>
      <c r="Q27" s="142"/>
      <c r="R27" s="142"/>
      <c r="S27" s="142"/>
      <c r="T27" s="142"/>
    </row>
    <row r="28" spans="1:21" s="135" customFormat="1" ht="19.95" customHeight="1">
      <c r="A28" s="153"/>
      <c r="B28" s="224"/>
      <c r="C28" s="152"/>
      <c r="D28" s="152"/>
      <c r="E28" s="154"/>
      <c r="F28" s="153"/>
      <c r="G28" s="156"/>
      <c r="H28" s="157"/>
      <c r="I28" s="156"/>
      <c r="J28" s="157"/>
      <c r="K28" s="165"/>
      <c r="L28" s="166"/>
      <c r="M28" s="156"/>
      <c r="N28" s="156"/>
      <c r="O28" s="134"/>
      <c r="P28" s="134"/>
      <c r="Q28" s="134"/>
      <c r="R28" s="134"/>
      <c r="S28" s="134"/>
      <c r="T28" s="134"/>
    </row>
    <row r="29" spans="1:21" s="135" customFormat="1" ht="19.95" customHeight="1">
      <c r="A29" s="153"/>
      <c r="B29" s="224"/>
      <c r="C29" s="152"/>
      <c r="D29" s="152"/>
      <c r="E29" s="154"/>
      <c r="F29" s="153"/>
      <c r="G29" s="156"/>
      <c r="H29" s="157"/>
      <c r="I29" s="156"/>
      <c r="J29" s="157"/>
      <c r="K29" s="165"/>
      <c r="L29" s="166"/>
      <c r="M29" s="156"/>
      <c r="N29" s="156"/>
      <c r="O29" s="134"/>
      <c r="P29" s="134"/>
      <c r="Q29" s="134"/>
      <c r="R29" s="134"/>
      <c r="S29" s="134"/>
      <c r="T29" s="134"/>
    </row>
    <row r="30" spans="1:21" s="135" customFormat="1" ht="19.95" customHeight="1">
      <c r="A30" s="153"/>
      <c r="B30" s="224"/>
      <c r="C30" s="152"/>
      <c r="D30" s="152"/>
      <c r="E30" s="154"/>
      <c r="F30" s="153"/>
      <c r="G30" s="156"/>
      <c r="H30" s="157"/>
      <c r="I30" s="156"/>
      <c r="J30" s="157"/>
      <c r="K30" s="165"/>
      <c r="L30" s="166"/>
      <c r="M30" s="156"/>
      <c r="N30" s="156"/>
      <c r="O30" s="134"/>
      <c r="P30" s="134"/>
      <c r="Q30" s="134"/>
      <c r="R30" s="134"/>
      <c r="S30" s="134"/>
      <c r="T30" s="134"/>
    </row>
    <row r="31" spans="1:21" s="135" customFormat="1" ht="19.95" customHeight="1">
      <c r="A31" s="153"/>
      <c r="B31" s="224"/>
      <c r="C31" s="152"/>
      <c r="D31" s="152"/>
      <c r="E31" s="154"/>
      <c r="F31" s="153"/>
      <c r="G31" s="156"/>
      <c r="H31" s="157"/>
      <c r="I31" s="156"/>
      <c r="J31" s="157"/>
      <c r="K31" s="156"/>
      <c r="L31" s="166"/>
      <c r="M31" s="156"/>
      <c r="N31" s="156"/>
      <c r="O31" s="134"/>
      <c r="P31" s="134"/>
      <c r="Q31" s="134"/>
      <c r="R31" s="134"/>
      <c r="S31" s="134"/>
      <c r="T31" s="134"/>
    </row>
    <row r="32" spans="1:21" s="135" customFormat="1" ht="19.95" customHeight="1">
      <c r="A32" s="153"/>
      <c r="B32" s="224"/>
      <c r="C32" s="152"/>
      <c r="D32" s="152"/>
      <c r="E32" s="154"/>
      <c r="F32" s="153"/>
      <c r="G32" s="156"/>
      <c r="H32" s="157"/>
      <c r="I32" s="156"/>
      <c r="J32" s="157"/>
      <c r="K32" s="156"/>
      <c r="L32" s="166"/>
      <c r="M32" s="156"/>
      <c r="N32" s="156"/>
      <c r="O32" s="134"/>
      <c r="P32" s="134"/>
      <c r="Q32" s="134"/>
      <c r="R32" s="134"/>
      <c r="S32" s="134"/>
      <c r="T32" s="134"/>
    </row>
    <row r="33" spans="1:21" s="135" customFormat="1" ht="19.95" customHeight="1">
      <c r="A33" s="153"/>
      <c r="B33" s="224"/>
      <c r="C33" s="152"/>
      <c r="D33" s="152"/>
      <c r="E33" s="154"/>
      <c r="F33" s="153"/>
      <c r="G33" s="156"/>
      <c r="H33" s="157"/>
      <c r="I33" s="156"/>
      <c r="J33" s="157"/>
      <c r="K33" s="156"/>
      <c r="L33" s="166"/>
      <c r="M33" s="156"/>
      <c r="N33" s="156"/>
      <c r="O33" s="134"/>
      <c r="P33" s="134"/>
      <c r="Q33" s="134"/>
      <c r="R33" s="134"/>
      <c r="S33" s="134"/>
      <c r="T33" s="134"/>
    </row>
    <row r="34" spans="1:21" s="140" customFormat="1" ht="19.95" customHeight="1">
      <c r="A34" s="167" t="s">
        <v>392</v>
      </c>
      <c r="B34" s="282"/>
      <c r="C34" s="282"/>
      <c r="D34" s="282"/>
      <c r="E34" s="283">
        <f>SUM(E28:E33)</f>
        <v>0</v>
      </c>
      <c r="F34" s="285"/>
      <c r="G34" s="285"/>
      <c r="H34" s="283"/>
      <c r="I34" s="285"/>
      <c r="J34" s="283"/>
      <c r="K34" s="285"/>
      <c r="L34" s="290"/>
      <c r="M34" s="285"/>
      <c r="N34" s="285"/>
      <c r="O34" s="142"/>
      <c r="P34" s="142"/>
      <c r="Q34" s="142"/>
      <c r="R34" s="142"/>
      <c r="S34" s="142"/>
      <c r="T34" s="142"/>
    </row>
    <row r="35" spans="1:21" s="135" customFormat="1" ht="19.95" customHeight="1">
      <c r="A35" s="168"/>
      <c r="B35" s="168"/>
      <c r="C35" s="169"/>
      <c r="D35" s="169"/>
      <c r="E35" s="169"/>
      <c r="F35" s="169"/>
      <c r="G35" s="169"/>
      <c r="H35" s="169"/>
      <c r="I35" s="169"/>
      <c r="J35" s="169"/>
      <c r="K35" s="169"/>
      <c r="L35" s="169"/>
      <c r="M35" s="169"/>
      <c r="N35" s="169"/>
      <c r="O35" s="169"/>
      <c r="P35" s="134"/>
      <c r="Q35" s="134"/>
      <c r="R35" s="134"/>
      <c r="S35" s="134"/>
      <c r="T35" s="134"/>
      <c r="U35" s="134"/>
    </row>
    <row r="36" spans="1:21" s="135" customFormat="1" ht="19.95" customHeight="1">
      <c r="A36" s="213" t="s">
        <v>218</v>
      </c>
      <c r="B36" s="160"/>
      <c r="C36" s="160"/>
      <c r="D36" s="160"/>
      <c r="E36" s="160"/>
      <c r="F36" s="162"/>
      <c r="G36" s="162"/>
      <c r="H36" s="162"/>
      <c r="I36" s="158"/>
      <c r="J36" s="158"/>
      <c r="K36" s="158"/>
      <c r="L36" s="158"/>
      <c r="M36" s="158"/>
      <c r="N36" s="158"/>
      <c r="O36" s="158"/>
      <c r="P36" s="134"/>
      <c r="Q36" s="134"/>
      <c r="R36" s="134"/>
      <c r="S36" s="134"/>
      <c r="T36" s="134"/>
      <c r="U36" s="134"/>
    </row>
    <row r="37" spans="1:21" s="135" customFormat="1" ht="19.95" customHeight="1">
      <c r="A37" s="212" t="s">
        <v>200</v>
      </c>
      <c r="B37" s="160"/>
      <c r="C37" s="160"/>
      <c r="D37" s="160"/>
      <c r="E37" s="160"/>
      <c r="F37" s="162"/>
      <c r="G37" s="162"/>
      <c r="H37" s="162"/>
      <c r="I37" s="158"/>
      <c r="J37" s="158"/>
      <c r="K37" s="158"/>
      <c r="L37" s="158"/>
      <c r="M37" s="158"/>
      <c r="N37" s="158"/>
      <c r="O37" s="158"/>
      <c r="P37" s="134"/>
      <c r="Q37" s="134"/>
      <c r="R37" s="134"/>
      <c r="S37" s="134"/>
      <c r="T37" s="134"/>
      <c r="U37" s="134"/>
    </row>
    <row r="38" spans="1:21" s="135" customFormat="1" ht="19.95" customHeight="1">
      <c r="A38" s="208" t="s">
        <v>202</v>
      </c>
      <c r="B38" s="208"/>
      <c r="C38" s="208"/>
      <c r="D38" s="208"/>
      <c r="E38" s="208"/>
      <c r="F38" s="366" t="s">
        <v>199</v>
      </c>
      <c r="G38" s="367"/>
      <c r="H38" s="368"/>
      <c r="I38" s="366" t="s">
        <v>378</v>
      </c>
      <c r="J38" s="367"/>
      <c r="K38" s="368"/>
      <c r="L38" s="372" t="s">
        <v>51</v>
      </c>
      <c r="M38" s="364" t="s">
        <v>50</v>
      </c>
      <c r="N38" s="364" t="s">
        <v>159</v>
      </c>
      <c r="O38" s="225" t="s">
        <v>208</v>
      </c>
      <c r="P38" s="134"/>
      <c r="Q38" s="134"/>
      <c r="R38" s="134"/>
      <c r="S38" s="134"/>
    </row>
    <row r="39" spans="1:21" s="135" customFormat="1" ht="19.95" customHeight="1">
      <c r="A39" s="263" t="s">
        <v>160</v>
      </c>
      <c r="B39" s="263" t="s">
        <v>34</v>
      </c>
      <c r="C39" s="263" t="s">
        <v>35</v>
      </c>
      <c r="D39" s="263" t="s">
        <v>161</v>
      </c>
      <c r="E39" s="263" t="s">
        <v>53</v>
      </c>
      <c r="F39" s="151" t="s">
        <v>375</v>
      </c>
      <c r="G39" s="151" t="s">
        <v>376</v>
      </c>
      <c r="H39" s="151" t="s">
        <v>377</v>
      </c>
      <c r="I39" s="151" t="s">
        <v>375</v>
      </c>
      <c r="J39" s="151" t="s">
        <v>379</v>
      </c>
      <c r="K39" s="151" t="s">
        <v>377</v>
      </c>
      <c r="L39" s="373"/>
      <c r="M39" s="364"/>
      <c r="N39" s="364"/>
      <c r="O39" s="134"/>
      <c r="P39" s="134"/>
      <c r="Q39" s="134"/>
      <c r="R39" s="134"/>
      <c r="S39" s="134"/>
    </row>
    <row r="40" spans="1:21" s="135" customFormat="1" ht="19.95" customHeight="1">
      <c r="A40" s="153"/>
      <c r="B40" s="224"/>
      <c r="C40" s="152"/>
      <c r="D40" s="152"/>
      <c r="E40" s="154"/>
      <c r="F40" s="155"/>
      <c r="G40" s="155"/>
      <c r="H40" s="153"/>
      <c r="I40" s="156"/>
      <c r="J40" s="157"/>
      <c r="K40" s="156"/>
      <c r="L40" s="157"/>
      <c r="M40" s="157"/>
      <c r="N40" s="156"/>
      <c r="O40" s="134"/>
      <c r="P40" s="134"/>
      <c r="Q40" s="134"/>
      <c r="R40" s="134"/>
      <c r="S40" s="134"/>
    </row>
    <row r="41" spans="1:21" s="135" customFormat="1" ht="19.95" customHeight="1">
      <c r="A41" s="153"/>
      <c r="B41" s="224"/>
      <c r="C41" s="152"/>
      <c r="D41" s="152"/>
      <c r="E41" s="154"/>
      <c r="F41" s="155"/>
      <c r="G41" s="155"/>
      <c r="H41" s="153"/>
      <c r="I41" s="156"/>
      <c r="J41" s="157"/>
      <c r="K41" s="156"/>
      <c r="L41" s="157"/>
      <c r="M41" s="157"/>
      <c r="N41" s="156"/>
      <c r="O41" s="134"/>
      <c r="P41" s="134"/>
      <c r="Q41" s="134"/>
      <c r="R41" s="134"/>
      <c r="S41" s="134"/>
    </row>
    <row r="42" spans="1:21" s="135" customFormat="1" ht="19.95" customHeight="1">
      <c r="A42" s="153"/>
      <c r="B42" s="224"/>
      <c r="C42" s="152"/>
      <c r="D42" s="152"/>
      <c r="E42" s="154"/>
      <c r="F42" s="155"/>
      <c r="G42" s="155"/>
      <c r="H42" s="153"/>
      <c r="I42" s="156"/>
      <c r="J42" s="157"/>
      <c r="K42" s="156"/>
      <c r="L42" s="157"/>
      <c r="M42" s="157"/>
      <c r="N42" s="156"/>
      <c r="O42" s="134"/>
      <c r="P42" s="134"/>
      <c r="Q42" s="134"/>
      <c r="R42" s="134"/>
      <c r="S42" s="134"/>
    </row>
    <row r="43" spans="1:21" s="135" customFormat="1" ht="19.95" customHeight="1">
      <c r="A43" s="153"/>
      <c r="B43" s="224"/>
      <c r="C43" s="152"/>
      <c r="D43" s="152"/>
      <c r="E43" s="154"/>
      <c r="F43" s="155"/>
      <c r="G43" s="155"/>
      <c r="H43" s="153"/>
      <c r="I43" s="156"/>
      <c r="J43" s="157"/>
      <c r="K43" s="156"/>
      <c r="L43" s="157"/>
      <c r="M43" s="157"/>
      <c r="N43" s="156"/>
      <c r="O43" s="134"/>
      <c r="P43" s="134"/>
      <c r="Q43" s="134"/>
      <c r="R43" s="134"/>
      <c r="S43" s="134"/>
    </row>
    <row r="44" spans="1:21" s="135" customFormat="1" ht="19.95" customHeight="1">
      <c r="A44" s="153"/>
      <c r="B44" s="224"/>
      <c r="C44" s="152"/>
      <c r="D44" s="152"/>
      <c r="E44" s="154"/>
      <c r="F44" s="155"/>
      <c r="G44" s="155"/>
      <c r="H44" s="153"/>
      <c r="I44" s="156"/>
      <c r="J44" s="157"/>
      <c r="K44" s="156"/>
      <c r="L44" s="157"/>
      <c r="M44" s="157"/>
      <c r="N44" s="156"/>
      <c r="O44" s="134"/>
      <c r="P44" s="134"/>
      <c r="Q44" s="134"/>
      <c r="R44" s="134"/>
      <c r="S44" s="134"/>
    </row>
    <row r="45" spans="1:21" s="135" customFormat="1" ht="19.95" customHeight="1">
      <c r="A45" s="153"/>
      <c r="B45" s="224"/>
      <c r="C45" s="152"/>
      <c r="D45" s="152"/>
      <c r="E45" s="154"/>
      <c r="F45" s="155"/>
      <c r="G45" s="155"/>
      <c r="H45" s="153"/>
      <c r="I45" s="156"/>
      <c r="J45" s="157"/>
      <c r="K45" s="156"/>
      <c r="L45" s="157"/>
      <c r="M45" s="157"/>
      <c r="N45" s="156"/>
      <c r="O45" s="134"/>
      <c r="P45" s="134"/>
      <c r="Q45" s="134"/>
      <c r="R45" s="134"/>
      <c r="S45" s="134"/>
    </row>
    <row r="46" spans="1:21" s="140" customFormat="1" ht="19.95" customHeight="1">
      <c r="A46" s="167" t="s">
        <v>393</v>
      </c>
      <c r="B46" s="284"/>
      <c r="C46" s="284"/>
      <c r="D46" s="284"/>
      <c r="E46" s="284">
        <f>SUM(E40:E45)</f>
        <v>0</v>
      </c>
      <c r="F46" s="284"/>
      <c r="G46" s="284"/>
      <c r="H46" s="285"/>
      <c r="I46" s="285"/>
      <c r="J46" s="286"/>
      <c r="K46" s="285"/>
      <c r="L46" s="283"/>
      <c r="M46" s="286"/>
      <c r="N46" s="285"/>
      <c r="O46" s="142"/>
      <c r="P46" s="142"/>
      <c r="Q46" s="142"/>
      <c r="R46" s="142"/>
      <c r="S46" s="142"/>
    </row>
    <row r="47" spans="1:21" s="135" customFormat="1" ht="19.95" customHeight="1">
      <c r="A47" s="209" t="s">
        <v>201</v>
      </c>
      <c r="B47" s="210"/>
      <c r="C47" s="209"/>
      <c r="D47" s="209"/>
      <c r="E47" s="211"/>
      <c r="F47" s="209"/>
      <c r="G47" s="209"/>
      <c r="H47" s="209"/>
      <c r="I47" s="209"/>
      <c r="J47" s="209"/>
      <c r="K47" s="209"/>
      <c r="L47" s="209"/>
      <c r="M47" s="209"/>
      <c r="N47" s="209"/>
      <c r="O47" s="134"/>
      <c r="P47" s="134"/>
      <c r="Q47" s="134"/>
      <c r="R47" s="134"/>
      <c r="S47" s="134"/>
      <c r="T47" s="134"/>
    </row>
    <row r="48" spans="1:21" s="135" customFormat="1" ht="19.95" customHeight="1">
      <c r="A48" s="208" t="s">
        <v>202</v>
      </c>
      <c r="B48" s="208"/>
      <c r="C48" s="208"/>
      <c r="D48" s="208"/>
      <c r="E48" s="208"/>
      <c r="F48" s="366" t="s">
        <v>199</v>
      </c>
      <c r="G48" s="367"/>
      <c r="H48" s="368"/>
      <c r="I48" s="366" t="s">
        <v>378</v>
      </c>
      <c r="J48" s="367"/>
      <c r="K48" s="368"/>
      <c r="L48" s="365" t="s">
        <v>51</v>
      </c>
      <c r="M48" s="364" t="s">
        <v>50</v>
      </c>
      <c r="N48" s="364" t="s">
        <v>159</v>
      </c>
      <c r="O48" s="134"/>
      <c r="P48" s="134"/>
      <c r="Q48" s="134"/>
      <c r="R48" s="134"/>
    </row>
    <row r="49" spans="1:18" s="135" customFormat="1" ht="19.95" customHeight="1">
      <c r="A49" s="263" t="s">
        <v>160</v>
      </c>
      <c r="B49" s="263" t="s">
        <v>34</v>
      </c>
      <c r="C49" s="263" t="s">
        <v>35</v>
      </c>
      <c r="D49" s="263" t="s">
        <v>161</v>
      </c>
      <c r="E49" s="263" t="s">
        <v>53</v>
      </c>
      <c r="F49" s="151" t="s">
        <v>375</v>
      </c>
      <c r="G49" s="151" t="s">
        <v>376</v>
      </c>
      <c r="H49" s="151" t="s">
        <v>377</v>
      </c>
      <c r="I49" s="151" t="s">
        <v>375</v>
      </c>
      <c r="J49" s="151" t="s">
        <v>379</v>
      </c>
      <c r="K49" s="151" t="s">
        <v>377</v>
      </c>
      <c r="L49" s="365"/>
      <c r="M49" s="364"/>
      <c r="N49" s="364"/>
      <c r="O49" s="134"/>
      <c r="P49" s="134"/>
      <c r="Q49" s="134"/>
      <c r="R49" s="134"/>
    </row>
    <row r="50" spans="1:18" s="135" customFormat="1" ht="19.95" customHeight="1">
      <c r="A50" s="153"/>
      <c r="B50" s="224"/>
      <c r="C50" s="152"/>
      <c r="D50" s="152"/>
      <c r="E50" s="154"/>
      <c r="F50" s="153"/>
      <c r="G50" s="156"/>
      <c r="H50" s="157"/>
      <c r="I50" s="156"/>
      <c r="J50" s="157"/>
      <c r="K50" s="157"/>
      <c r="L50" s="156"/>
      <c r="M50" s="156"/>
      <c r="N50" s="156"/>
      <c r="O50" s="134"/>
      <c r="P50" s="134"/>
      <c r="Q50" s="134"/>
      <c r="R50" s="134"/>
    </row>
    <row r="51" spans="1:18" s="135" customFormat="1" ht="19.95" customHeight="1">
      <c r="A51" s="153"/>
      <c r="B51" s="224"/>
      <c r="C51" s="152"/>
      <c r="D51" s="152"/>
      <c r="E51" s="154"/>
      <c r="F51" s="153"/>
      <c r="G51" s="156"/>
      <c r="H51" s="157"/>
      <c r="I51" s="156"/>
      <c r="J51" s="157"/>
      <c r="K51" s="157"/>
      <c r="L51" s="156"/>
      <c r="M51" s="156"/>
      <c r="N51" s="156"/>
      <c r="O51" s="134"/>
      <c r="P51" s="134"/>
      <c r="Q51" s="134"/>
      <c r="R51" s="134"/>
    </row>
    <row r="52" spans="1:18" s="135" customFormat="1" ht="19.95" customHeight="1">
      <c r="A52" s="153"/>
      <c r="B52" s="224"/>
      <c r="C52" s="152"/>
      <c r="D52" s="152"/>
      <c r="E52" s="154"/>
      <c r="F52" s="153"/>
      <c r="G52" s="156"/>
      <c r="H52" s="157"/>
      <c r="I52" s="156"/>
      <c r="J52" s="157"/>
      <c r="K52" s="157"/>
      <c r="L52" s="156"/>
      <c r="M52" s="156"/>
      <c r="N52" s="156"/>
      <c r="O52" s="134"/>
      <c r="P52" s="134"/>
      <c r="Q52" s="134"/>
      <c r="R52" s="134"/>
    </row>
    <row r="53" spans="1:18" s="135" customFormat="1" ht="19.95" customHeight="1">
      <c r="A53" s="153"/>
      <c r="B53" s="224"/>
      <c r="C53" s="152"/>
      <c r="D53" s="152"/>
      <c r="E53" s="154"/>
      <c r="F53" s="153"/>
      <c r="G53" s="156"/>
      <c r="H53" s="157"/>
      <c r="I53" s="156"/>
      <c r="J53" s="157"/>
      <c r="K53" s="157"/>
      <c r="L53" s="156"/>
      <c r="M53" s="156"/>
      <c r="N53" s="156"/>
      <c r="O53" s="134"/>
      <c r="P53" s="134"/>
      <c r="Q53" s="134"/>
      <c r="R53" s="134"/>
    </row>
    <row r="54" spans="1:18" s="135" customFormat="1" ht="19.95" customHeight="1">
      <c r="A54" s="153"/>
      <c r="B54" s="224"/>
      <c r="C54" s="152"/>
      <c r="D54" s="152"/>
      <c r="E54" s="154"/>
      <c r="F54" s="153"/>
      <c r="G54" s="156"/>
      <c r="H54" s="157"/>
      <c r="I54" s="156"/>
      <c r="J54" s="157"/>
      <c r="K54" s="157"/>
      <c r="L54" s="156"/>
      <c r="M54" s="156"/>
      <c r="N54" s="156"/>
      <c r="O54" s="134"/>
      <c r="P54" s="134"/>
      <c r="Q54" s="134"/>
      <c r="R54" s="134"/>
    </row>
    <row r="55" spans="1:18" s="135" customFormat="1" ht="19.95" customHeight="1">
      <c r="A55" s="153"/>
      <c r="B55" s="224"/>
      <c r="C55" s="152"/>
      <c r="D55" s="152"/>
      <c r="E55" s="154"/>
      <c r="F55" s="153"/>
      <c r="G55" s="156"/>
      <c r="H55" s="157"/>
      <c r="I55" s="156"/>
      <c r="J55" s="157"/>
      <c r="K55" s="157"/>
      <c r="L55" s="156"/>
      <c r="M55" s="156"/>
      <c r="N55" s="156"/>
      <c r="O55" s="134"/>
      <c r="P55" s="134"/>
      <c r="Q55" s="134"/>
      <c r="R55" s="134"/>
    </row>
    <row r="56" spans="1:18" s="140" customFormat="1" ht="19.95" customHeight="1">
      <c r="A56" s="167" t="s">
        <v>392</v>
      </c>
      <c r="B56" s="284"/>
      <c r="C56" s="284"/>
      <c r="D56" s="284"/>
      <c r="E56" s="284">
        <f>SUM(E50:E55)</f>
        <v>0</v>
      </c>
      <c r="F56" s="285"/>
      <c r="G56" s="285"/>
      <c r="H56" s="286"/>
      <c r="I56" s="285"/>
      <c r="J56" s="283"/>
      <c r="K56" s="286"/>
      <c r="L56" s="285"/>
      <c r="M56" s="285"/>
      <c r="N56" s="285"/>
      <c r="O56" s="142"/>
      <c r="P56" s="142"/>
      <c r="Q56" s="142"/>
      <c r="R56" s="142"/>
    </row>
    <row r="57" spans="1:18" ht="19.95" customHeight="1">
      <c r="A57" s="136" t="s">
        <v>167</v>
      </c>
      <c r="B57" s="137"/>
      <c r="C57" s="137"/>
      <c r="D57" s="137"/>
      <c r="E57" s="137"/>
      <c r="F57" s="137"/>
      <c r="G57" s="137"/>
      <c r="H57" s="137"/>
      <c r="I57" s="137"/>
      <c r="J57" s="137"/>
      <c r="K57" s="137"/>
      <c r="L57" s="137"/>
      <c r="M57" s="137"/>
      <c r="N57" s="137"/>
      <c r="O57" s="137"/>
    </row>
    <row r="58" spans="1:18" ht="19.95" customHeight="1">
      <c r="B58" s="54"/>
      <c r="C58" s="54"/>
      <c r="D58" s="171"/>
      <c r="E58" s="171"/>
      <c r="F58" s="55"/>
      <c r="G58" s="55"/>
      <c r="H58" s="55"/>
      <c r="I58" s="172"/>
      <c r="J58" s="172"/>
      <c r="K58" s="172"/>
      <c r="Q58" s="172"/>
      <c r="R58" s="172"/>
    </row>
    <row r="59" spans="1:18" ht="19.95" customHeight="1">
      <c r="B59" s="55"/>
      <c r="C59" s="171"/>
      <c r="D59" s="173"/>
      <c r="E59" s="173"/>
      <c r="F59" s="173"/>
      <c r="G59" s="173"/>
      <c r="H59" s="173"/>
      <c r="I59" s="173"/>
      <c r="J59" s="173"/>
      <c r="K59" s="173"/>
    </row>
    <row r="60" spans="1:18" ht="19.95" customHeight="1">
      <c r="B60" s="55"/>
      <c r="C60" s="55"/>
      <c r="D60" s="173"/>
      <c r="E60" s="173"/>
      <c r="F60" s="173"/>
      <c r="G60" s="173"/>
      <c r="H60" s="173"/>
      <c r="I60" s="173"/>
      <c r="J60" s="173"/>
      <c r="K60" s="173"/>
    </row>
    <row r="61" spans="1:18" ht="19.95" customHeight="1">
      <c r="A61" s="136" t="s">
        <v>168</v>
      </c>
      <c r="B61" s="137"/>
      <c r="C61" s="137"/>
      <c r="D61" s="137"/>
      <c r="E61" s="137"/>
      <c r="F61" s="137"/>
      <c r="G61" s="137"/>
      <c r="H61" s="137"/>
      <c r="I61" s="137"/>
      <c r="J61" s="137"/>
      <c r="K61" s="137"/>
      <c r="L61" s="137"/>
      <c r="M61" s="137"/>
      <c r="N61" s="137"/>
      <c r="O61" s="137"/>
    </row>
    <row r="62" spans="1:18" ht="19.95" customHeight="1"/>
    <row r="63" spans="1:18" ht="19.95" customHeight="1"/>
    <row r="66" spans="1:7">
      <c r="A66" s="120" t="s">
        <v>124</v>
      </c>
      <c r="B66" s="55"/>
      <c r="C66" s="55"/>
      <c r="D66" s="55"/>
      <c r="E66" s="55"/>
      <c r="F66" s="55"/>
      <c r="G66" s="55"/>
    </row>
    <row r="67" spans="1:7">
      <c r="A67" s="121" t="s">
        <v>301</v>
      </c>
      <c r="B67" s="121"/>
      <c r="C67" s="55"/>
      <c r="D67" s="55"/>
      <c r="E67" s="55"/>
      <c r="F67" s="55"/>
      <c r="G67" s="55"/>
    </row>
    <row r="68" spans="1:7">
      <c r="A68" s="55"/>
      <c r="B68" s="121" t="s">
        <v>302</v>
      </c>
      <c r="C68" s="55"/>
      <c r="D68" s="55"/>
      <c r="E68" s="55"/>
      <c r="F68" s="55"/>
      <c r="G68" s="55"/>
    </row>
    <row r="69" spans="1:7">
      <c r="A69" s="55"/>
      <c r="B69" s="121" t="s">
        <v>303</v>
      </c>
      <c r="C69" s="55"/>
      <c r="D69" s="55"/>
      <c r="E69" s="55"/>
      <c r="F69" s="55"/>
      <c r="G69" s="55"/>
    </row>
    <row r="70" spans="1:7">
      <c r="A70" s="55"/>
      <c r="B70" s="121" t="s">
        <v>298</v>
      </c>
      <c r="C70" s="55"/>
      <c r="D70" s="55"/>
      <c r="E70" s="55"/>
      <c r="F70" s="55"/>
      <c r="G70" s="55"/>
    </row>
    <row r="71" spans="1:7">
      <c r="A71" s="55"/>
      <c r="B71" s="121"/>
      <c r="C71" s="55"/>
      <c r="D71" s="55"/>
      <c r="E71" s="55"/>
      <c r="F71" s="55"/>
      <c r="G71" s="55"/>
    </row>
    <row r="72" spans="1:7">
      <c r="A72" s="121" t="s">
        <v>299</v>
      </c>
      <c r="B72" s="121"/>
      <c r="C72" s="55"/>
      <c r="D72" s="55"/>
      <c r="E72" s="55"/>
      <c r="F72" s="55"/>
      <c r="G72" s="55"/>
    </row>
    <row r="73" spans="1:7">
      <c r="A73" s="174" t="s">
        <v>169</v>
      </c>
      <c r="B73" s="175"/>
      <c r="C73" s="55"/>
      <c r="D73" s="55"/>
      <c r="E73" s="55"/>
      <c r="F73" s="55"/>
      <c r="G73" s="55"/>
    </row>
  </sheetData>
  <mergeCells count="25">
    <mergeCell ref="N48:N49"/>
    <mergeCell ref="F38:H38"/>
    <mergeCell ref="I38:K38"/>
    <mergeCell ref="L38:L39"/>
    <mergeCell ref="M38:M39"/>
    <mergeCell ref="N38:N39"/>
    <mergeCell ref="F48:H48"/>
    <mergeCell ref="I48:K48"/>
    <mergeCell ref="L48:L49"/>
    <mergeCell ref="M48:M49"/>
    <mergeCell ref="N26:N27"/>
    <mergeCell ref="A1:O1"/>
    <mergeCell ref="A2:O2"/>
    <mergeCell ref="A15:E15"/>
    <mergeCell ref="L15:L16"/>
    <mergeCell ref="M15:M16"/>
    <mergeCell ref="N15:N16"/>
    <mergeCell ref="F15:G15"/>
    <mergeCell ref="H15:J15"/>
    <mergeCell ref="A26:E26"/>
    <mergeCell ref="F26:H26"/>
    <mergeCell ref="I26:K26"/>
    <mergeCell ref="L26:L27"/>
    <mergeCell ref="M26:M27"/>
    <mergeCell ref="K15:K16"/>
  </mergeCells>
  <phoneticPr fontId="16" type="noConversion"/>
  <hyperlinks>
    <hyperlink ref="N3" location="底稿目录!A1" display="底稿目录!A1"/>
  </hyperlinks>
  <printOptions horizontalCentered="1"/>
  <pageMargins left="0.35433070866141736" right="0.31496062992125984" top="0.51181102362204722" bottom="0.47244094488188981" header="0.31496062992125984" footer="0.31496062992125984"/>
  <pageSetup paperSize="9" scale="75" fitToHeight="10" orientation="landscape" blackAndWhite="1" cellComments="atEnd" r:id="rId1"/>
  <rowBreaks count="1" manualBreakCount="1">
    <brk id="34" max="17" man="1"/>
  </rowBreak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7"/>
  <dimension ref="A1:T39"/>
  <sheetViews>
    <sheetView view="pageBreakPreview" zoomScaleSheetLayoutView="100" workbookViewId="0">
      <selection sqref="A1:N1"/>
    </sheetView>
  </sheetViews>
  <sheetFormatPr defaultRowHeight="15.6"/>
  <cols>
    <col min="1" max="1" width="7.69921875" style="178" customWidth="1"/>
    <col min="2" max="2" width="9.3984375" style="178" customWidth="1"/>
    <col min="3" max="3" width="21.5" style="178" customWidth="1"/>
    <col min="4" max="4" width="9.69921875" style="178" customWidth="1"/>
    <col min="5" max="5" width="9" style="178" customWidth="1"/>
    <col min="6" max="6" width="6.5" style="178" customWidth="1"/>
    <col min="7" max="7" width="15.59765625" style="178" customWidth="1"/>
    <col min="8" max="8" width="14.19921875" style="178" customWidth="1"/>
    <col min="9" max="9" width="14.69921875" style="178" customWidth="1"/>
    <col min="10" max="10" width="14.19921875" style="178" customWidth="1"/>
    <col min="11" max="11" width="13.3984375" style="178" customWidth="1"/>
    <col min="12" max="12" width="8.59765625" style="178" customWidth="1"/>
    <col min="13" max="13" width="10.09765625" style="178" customWidth="1"/>
    <col min="14" max="14" width="9.59765625" style="178" customWidth="1"/>
    <col min="15" max="258" width="8.796875" style="178"/>
    <col min="259" max="259" width="7.69921875" style="178" customWidth="1"/>
    <col min="260" max="260" width="13.796875" style="178" customWidth="1"/>
    <col min="261" max="261" width="16.69921875" style="178" customWidth="1"/>
    <col min="262" max="262" width="8" style="178" customWidth="1"/>
    <col min="263" max="263" width="9" style="178" customWidth="1"/>
    <col min="264" max="265" width="10.59765625" style="178" customWidth="1"/>
    <col min="266" max="266" width="20.19921875" style="178" customWidth="1"/>
    <col min="267" max="267" width="12.296875" style="178" customWidth="1"/>
    <col min="268" max="268" width="12.19921875" style="178" customWidth="1"/>
    <col min="269" max="269" width="10.796875" style="178" customWidth="1"/>
    <col min="270" max="270" width="17.19921875" style="178" customWidth="1"/>
    <col min="271" max="514" width="8.796875" style="178"/>
    <col min="515" max="515" width="7.69921875" style="178" customWidth="1"/>
    <col min="516" max="516" width="13.796875" style="178" customWidth="1"/>
    <col min="517" max="517" width="16.69921875" style="178" customWidth="1"/>
    <col min="518" max="518" width="8" style="178" customWidth="1"/>
    <col min="519" max="519" width="9" style="178" customWidth="1"/>
    <col min="520" max="521" width="10.59765625" style="178" customWidth="1"/>
    <col min="522" max="522" width="20.19921875" style="178" customWidth="1"/>
    <col min="523" max="523" width="12.296875" style="178" customWidth="1"/>
    <col min="524" max="524" width="12.19921875" style="178" customWidth="1"/>
    <col min="525" max="525" width="10.796875" style="178" customWidth="1"/>
    <col min="526" max="526" width="17.19921875" style="178" customWidth="1"/>
    <col min="527" max="770" width="8.796875" style="178"/>
    <col min="771" max="771" width="7.69921875" style="178" customWidth="1"/>
    <col min="772" max="772" width="13.796875" style="178" customWidth="1"/>
    <col min="773" max="773" width="16.69921875" style="178" customWidth="1"/>
    <col min="774" max="774" width="8" style="178" customWidth="1"/>
    <col min="775" max="775" width="9" style="178" customWidth="1"/>
    <col min="776" max="777" width="10.59765625" style="178" customWidth="1"/>
    <col min="778" max="778" width="20.19921875" style="178" customWidth="1"/>
    <col min="779" max="779" width="12.296875" style="178" customWidth="1"/>
    <col min="780" max="780" width="12.19921875" style="178" customWidth="1"/>
    <col min="781" max="781" width="10.796875" style="178" customWidth="1"/>
    <col min="782" max="782" width="17.19921875" style="178" customWidth="1"/>
    <col min="783" max="1026" width="8.796875" style="178"/>
    <col min="1027" max="1027" width="7.69921875" style="178" customWidth="1"/>
    <col min="1028" max="1028" width="13.796875" style="178" customWidth="1"/>
    <col min="1029" max="1029" width="16.69921875" style="178" customWidth="1"/>
    <col min="1030" max="1030" width="8" style="178" customWidth="1"/>
    <col min="1031" max="1031" width="9" style="178" customWidth="1"/>
    <col min="1032" max="1033" width="10.59765625" style="178" customWidth="1"/>
    <col min="1034" max="1034" width="20.19921875" style="178" customWidth="1"/>
    <col min="1035" max="1035" width="12.296875" style="178" customWidth="1"/>
    <col min="1036" max="1036" width="12.19921875" style="178" customWidth="1"/>
    <col min="1037" max="1037" width="10.796875" style="178" customWidth="1"/>
    <col min="1038" max="1038" width="17.19921875" style="178" customWidth="1"/>
    <col min="1039" max="1282" width="8.796875" style="178"/>
    <col min="1283" max="1283" width="7.69921875" style="178" customWidth="1"/>
    <col min="1284" max="1284" width="13.796875" style="178" customWidth="1"/>
    <col min="1285" max="1285" width="16.69921875" style="178" customWidth="1"/>
    <col min="1286" max="1286" width="8" style="178" customWidth="1"/>
    <col min="1287" max="1287" width="9" style="178" customWidth="1"/>
    <col min="1288" max="1289" width="10.59765625" style="178" customWidth="1"/>
    <col min="1290" max="1290" width="20.19921875" style="178" customWidth="1"/>
    <col min="1291" max="1291" width="12.296875" style="178" customWidth="1"/>
    <col min="1292" max="1292" width="12.19921875" style="178" customWidth="1"/>
    <col min="1293" max="1293" width="10.796875" style="178" customWidth="1"/>
    <col min="1294" max="1294" width="17.19921875" style="178" customWidth="1"/>
    <col min="1295" max="1538" width="8.796875" style="178"/>
    <col min="1539" max="1539" width="7.69921875" style="178" customWidth="1"/>
    <col min="1540" max="1540" width="13.796875" style="178" customWidth="1"/>
    <col min="1541" max="1541" width="16.69921875" style="178" customWidth="1"/>
    <col min="1542" max="1542" width="8" style="178" customWidth="1"/>
    <col min="1543" max="1543" width="9" style="178" customWidth="1"/>
    <col min="1544" max="1545" width="10.59765625" style="178" customWidth="1"/>
    <col min="1546" max="1546" width="20.19921875" style="178" customWidth="1"/>
    <col min="1547" max="1547" width="12.296875" style="178" customWidth="1"/>
    <col min="1548" max="1548" width="12.19921875" style="178" customWidth="1"/>
    <col min="1549" max="1549" width="10.796875" style="178" customWidth="1"/>
    <col min="1550" max="1550" width="17.19921875" style="178" customWidth="1"/>
    <col min="1551" max="1794" width="8.796875" style="178"/>
    <col min="1795" max="1795" width="7.69921875" style="178" customWidth="1"/>
    <col min="1796" max="1796" width="13.796875" style="178" customWidth="1"/>
    <col min="1797" max="1797" width="16.69921875" style="178" customWidth="1"/>
    <col min="1798" max="1798" width="8" style="178" customWidth="1"/>
    <col min="1799" max="1799" width="9" style="178" customWidth="1"/>
    <col min="1800" max="1801" width="10.59765625" style="178" customWidth="1"/>
    <col min="1802" max="1802" width="20.19921875" style="178" customWidth="1"/>
    <col min="1803" max="1803" width="12.296875" style="178" customWidth="1"/>
    <col min="1804" max="1804" width="12.19921875" style="178" customWidth="1"/>
    <col min="1805" max="1805" width="10.796875" style="178" customWidth="1"/>
    <col min="1806" max="1806" width="17.19921875" style="178" customWidth="1"/>
    <col min="1807" max="2050" width="8.796875" style="178"/>
    <col min="2051" max="2051" width="7.69921875" style="178" customWidth="1"/>
    <col min="2052" max="2052" width="13.796875" style="178" customWidth="1"/>
    <col min="2053" max="2053" width="16.69921875" style="178" customWidth="1"/>
    <col min="2054" max="2054" width="8" style="178" customWidth="1"/>
    <col min="2055" max="2055" width="9" style="178" customWidth="1"/>
    <col min="2056" max="2057" width="10.59765625" style="178" customWidth="1"/>
    <col min="2058" max="2058" width="20.19921875" style="178" customWidth="1"/>
    <col min="2059" max="2059" width="12.296875" style="178" customWidth="1"/>
    <col min="2060" max="2060" width="12.19921875" style="178" customWidth="1"/>
    <col min="2061" max="2061" width="10.796875" style="178" customWidth="1"/>
    <col min="2062" max="2062" width="17.19921875" style="178" customWidth="1"/>
    <col min="2063" max="2306" width="8.796875" style="178"/>
    <col min="2307" max="2307" width="7.69921875" style="178" customWidth="1"/>
    <col min="2308" max="2308" width="13.796875" style="178" customWidth="1"/>
    <col min="2309" max="2309" width="16.69921875" style="178" customWidth="1"/>
    <col min="2310" max="2310" width="8" style="178" customWidth="1"/>
    <col min="2311" max="2311" width="9" style="178" customWidth="1"/>
    <col min="2312" max="2313" width="10.59765625" style="178" customWidth="1"/>
    <col min="2314" max="2314" width="20.19921875" style="178" customWidth="1"/>
    <col min="2315" max="2315" width="12.296875" style="178" customWidth="1"/>
    <col min="2316" max="2316" width="12.19921875" style="178" customWidth="1"/>
    <col min="2317" max="2317" width="10.796875" style="178" customWidth="1"/>
    <col min="2318" max="2318" width="17.19921875" style="178" customWidth="1"/>
    <col min="2319" max="2562" width="8.796875" style="178"/>
    <col min="2563" max="2563" width="7.69921875" style="178" customWidth="1"/>
    <col min="2564" max="2564" width="13.796875" style="178" customWidth="1"/>
    <col min="2565" max="2565" width="16.69921875" style="178" customWidth="1"/>
    <col min="2566" max="2566" width="8" style="178" customWidth="1"/>
    <col min="2567" max="2567" width="9" style="178" customWidth="1"/>
    <col min="2568" max="2569" width="10.59765625" style="178" customWidth="1"/>
    <col min="2570" max="2570" width="20.19921875" style="178" customWidth="1"/>
    <col min="2571" max="2571" width="12.296875" style="178" customWidth="1"/>
    <col min="2572" max="2572" width="12.19921875" style="178" customWidth="1"/>
    <col min="2573" max="2573" width="10.796875" style="178" customWidth="1"/>
    <col min="2574" max="2574" width="17.19921875" style="178" customWidth="1"/>
    <col min="2575" max="2818" width="8.796875" style="178"/>
    <col min="2819" max="2819" width="7.69921875" style="178" customWidth="1"/>
    <col min="2820" max="2820" width="13.796875" style="178" customWidth="1"/>
    <col min="2821" max="2821" width="16.69921875" style="178" customWidth="1"/>
    <col min="2822" max="2822" width="8" style="178" customWidth="1"/>
    <col min="2823" max="2823" width="9" style="178" customWidth="1"/>
    <col min="2824" max="2825" width="10.59765625" style="178" customWidth="1"/>
    <col min="2826" max="2826" width="20.19921875" style="178" customWidth="1"/>
    <col min="2827" max="2827" width="12.296875" style="178" customWidth="1"/>
    <col min="2828" max="2828" width="12.19921875" style="178" customWidth="1"/>
    <col min="2829" max="2829" width="10.796875" style="178" customWidth="1"/>
    <col min="2830" max="2830" width="17.19921875" style="178" customWidth="1"/>
    <col min="2831" max="3074" width="8.796875" style="178"/>
    <col min="3075" max="3075" width="7.69921875" style="178" customWidth="1"/>
    <col min="3076" max="3076" width="13.796875" style="178" customWidth="1"/>
    <col min="3077" max="3077" width="16.69921875" style="178" customWidth="1"/>
    <col min="3078" max="3078" width="8" style="178" customWidth="1"/>
    <col min="3079" max="3079" width="9" style="178" customWidth="1"/>
    <col min="3080" max="3081" width="10.59765625" style="178" customWidth="1"/>
    <col min="3082" max="3082" width="20.19921875" style="178" customWidth="1"/>
    <col min="3083" max="3083" width="12.296875" style="178" customWidth="1"/>
    <col min="3084" max="3084" width="12.19921875" style="178" customWidth="1"/>
    <col min="3085" max="3085" width="10.796875" style="178" customWidth="1"/>
    <col min="3086" max="3086" width="17.19921875" style="178" customWidth="1"/>
    <col min="3087" max="3330" width="8.796875" style="178"/>
    <col min="3331" max="3331" width="7.69921875" style="178" customWidth="1"/>
    <col min="3332" max="3332" width="13.796875" style="178" customWidth="1"/>
    <col min="3333" max="3333" width="16.69921875" style="178" customWidth="1"/>
    <col min="3334" max="3334" width="8" style="178" customWidth="1"/>
    <col min="3335" max="3335" width="9" style="178" customWidth="1"/>
    <col min="3336" max="3337" width="10.59765625" style="178" customWidth="1"/>
    <col min="3338" max="3338" width="20.19921875" style="178" customWidth="1"/>
    <col min="3339" max="3339" width="12.296875" style="178" customWidth="1"/>
    <col min="3340" max="3340" width="12.19921875" style="178" customWidth="1"/>
    <col min="3341" max="3341" width="10.796875" style="178" customWidth="1"/>
    <col min="3342" max="3342" width="17.19921875" style="178" customWidth="1"/>
    <col min="3343" max="3586" width="8.796875" style="178"/>
    <col min="3587" max="3587" width="7.69921875" style="178" customWidth="1"/>
    <col min="3588" max="3588" width="13.796875" style="178" customWidth="1"/>
    <col min="3589" max="3589" width="16.69921875" style="178" customWidth="1"/>
    <col min="3590" max="3590" width="8" style="178" customWidth="1"/>
    <col min="3591" max="3591" width="9" style="178" customWidth="1"/>
    <col min="3592" max="3593" width="10.59765625" style="178" customWidth="1"/>
    <col min="3594" max="3594" width="20.19921875" style="178" customWidth="1"/>
    <col min="3595" max="3595" width="12.296875" style="178" customWidth="1"/>
    <col min="3596" max="3596" width="12.19921875" style="178" customWidth="1"/>
    <col min="3597" max="3597" width="10.796875" style="178" customWidth="1"/>
    <col min="3598" max="3598" width="17.19921875" style="178" customWidth="1"/>
    <col min="3599" max="3842" width="8.796875" style="178"/>
    <col min="3843" max="3843" width="7.69921875" style="178" customWidth="1"/>
    <col min="3844" max="3844" width="13.796875" style="178" customWidth="1"/>
    <col min="3845" max="3845" width="16.69921875" style="178" customWidth="1"/>
    <col min="3846" max="3846" width="8" style="178" customWidth="1"/>
    <col min="3847" max="3847" width="9" style="178" customWidth="1"/>
    <col min="3848" max="3849" width="10.59765625" style="178" customWidth="1"/>
    <col min="3850" max="3850" width="20.19921875" style="178" customWidth="1"/>
    <col min="3851" max="3851" width="12.296875" style="178" customWidth="1"/>
    <col min="3852" max="3852" width="12.19921875" style="178" customWidth="1"/>
    <col min="3853" max="3853" width="10.796875" style="178" customWidth="1"/>
    <col min="3854" max="3854" width="17.19921875" style="178" customWidth="1"/>
    <col min="3855" max="4098" width="8.796875" style="178"/>
    <col min="4099" max="4099" width="7.69921875" style="178" customWidth="1"/>
    <col min="4100" max="4100" width="13.796875" style="178" customWidth="1"/>
    <col min="4101" max="4101" width="16.69921875" style="178" customWidth="1"/>
    <col min="4102" max="4102" width="8" style="178" customWidth="1"/>
    <col min="4103" max="4103" width="9" style="178" customWidth="1"/>
    <col min="4104" max="4105" width="10.59765625" style="178" customWidth="1"/>
    <col min="4106" max="4106" width="20.19921875" style="178" customWidth="1"/>
    <col min="4107" max="4107" width="12.296875" style="178" customWidth="1"/>
    <col min="4108" max="4108" width="12.19921875" style="178" customWidth="1"/>
    <col min="4109" max="4109" width="10.796875" style="178" customWidth="1"/>
    <col min="4110" max="4110" width="17.19921875" style="178" customWidth="1"/>
    <col min="4111" max="4354" width="8.796875" style="178"/>
    <col min="4355" max="4355" width="7.69921875" style="178" customWidth="1"/>
    <col min="4356" max="4356" width="13.796875" style="178" customWidth="1"/>
    <col min="4357" max="4357" width="16.69921875" style="178" customWidth="1"/>
    <col min="4358" max="4358" width="8" style="178" customWidth="1"/>
    <col min="4359" max="4359" width="9" style="178" customWidth="1"/>
    <col min="4360" max="4361" width="10.59765625" style="178" customWidth="1"/>
    <col min="4362" max="4362" width="20.19921875" style="178" customWidth="1"/>
    <col min="4363" max="4363" width="12.296875" style="178" customWidth="1"/>
    <col min="4364" max="4364" width="12.19921875" style="178" customWidth="1"/>
    <col min="4365" max="4365" width="10.796875" style="178" customWidth="1"/>
    <col min="4366" max="4366" width="17.19921875" style="178" customWidth="1"/>
    <col min="4367" max="4610" width="8.796875" style="178"/>
    <col min="4611" max="4611" width="7.69921875" style="178" customWidth="1"/>
    <col min="4612" max="4612" width="13.796875" style="178" customWidth="1"/>
    <col min="4613" max="4613" width="16.69921875" style="178" customWidth="1"/>
    <col min="4614" max="4614" width="8" style="178" customWidth="1"/>
    <col min="4615" max="4615" width="9" style="178" customWidth="1"/>
    <col min="4616" max="4617" width="10.59765625" style="178" customWidth="1"/>
    <col min="4618" max="4618" width="20.19921875" style="178" customWidth="1"/>
    <col min="4619" max="4619" width="12.296875" style="178" customWidth="1"/>
    <col min="4620" max="4620" width="12.19921875" style="178" customWidth="1"/>
    <col min="4621" max="4621" width="10.796875" style="178" customWidth="1"/>
    <col min="4622" max="4622" width="17.19921875" style="178" customWidth="1"/>
    <col min="4623" max="4866" width="8.796875" style="178"/>
    <col min="4867" max="4867" width="7.69921875" style="178" customWidth="1"/>
    <col min="4868" max="4868" width="13.796875" style="178" customWidth="1"/>
    <col min="4869" max="4869" width="16.69921875" style="178" customWidth="1"/>
    <col min="4870" max="4870" width="8" style="178" customWidth="1"/>
    <col min="4871" max="4871" width="9" style="178" customWidth="1"/>
    <col min="4872" max="4873" width="10.59765625" style="178" customWidth="1"/>
    <col min="4874" max="4874" width="20.19921875" style="178" customWidth="1"/>
    <col min="4875" max="4875" width="12.296875" style="178" customWidth="1"/>
    <col min="4876" max="4876" width="12.19921875" style="178" customWidth="1"/>
    <col min="4877" max="4877" width="10.796875" style="178" customWidth="1"/>
    <col min="4878" max="4878" width="17.19921875" style="178" customWidth="1"/>
    <col min="4879" max="5122" width="8.796875" style="178"/>
    <col min="5123" max="5123" width="7.69921875" style="178" customWidth="1"/>
    <col min="5124" max="5124" width="13.796875" style="178" customWidth="1"/>
    <col min="5125" max="5125" width="16.69921875" style="178" customWidth="1"/>
    <col min="5126" max="5126" width="8" style="178" customWidth="1"/>
    <col min="5127" max="5127" width="9" style="178" customWidth="1"/>
    <col min="5128" max="5129" width="10.59765625" style="178" customWidth="1"/>
    <col min="5130" max="5130" width="20.19921875" style="178" customWidth="1"/>
    <col min="5131" max="5131" width="12.296875" style="178" customWidth="1"/>
    <col min="5132" max="5132" width="12.19921875" style="178" customWidth="1"/>
    <col min="5133" max="5133" width="10.796875" style="178" customWidth="1"/>
    <col min="5134" max="5134" width="17.19921875" style="178" customWidth="1"/>
    <col min="5135" max="5378" width="8.796875" style="178"/>
    <col min="5379" max="5379" width="7.69921875" style="178" customWidth="1"/>
    <col min="5380" max="5380" width="13.796875" style="178" customWidth="1"/>
    <col min="5381" max="5381" width="16.69921875" style="178" customWidth="1"/>
    <col min="5382" max="5382" width="8" style="178" customWidth="1"/>
    <col min="5383" max="5383" width="9" style="178" customWidth="1"/>
    <col min="5384" max="5385" width="10.59765625" style="178" customWidth="1"/>
    <col min="5386" max="5386" width="20.19921875" style="178" customWidth="1"/>
    <col min="5387" max="5387" width="12.296875" style="178" customWidth="1"/>
    <col min="5388" max="5388" width="12.19921875" style="178" customWidth="1"/>
    <col min="5389" max="5389" width="10.796875" style="178" customWidth="1"/>
    <col min="5390" max="5390" width="17.19921875" style="178" customWidth="1"/>
    <col min="5391" max="5634" width="8.796875" style="178"/>
    <col min="5635" max="5635" width="7.69921875" style="178" customWidth="1"/>
    <col min="5636" max="5636" width="13.796875" style="178" customWidth="1"/>
    <col min="5637" max="5637" width="16.69921875" style="178" customWidth="1"/>
    <col min="5638" max="5638" width="8" style="178" customWidth="1"/>
    <col min="5639" max="5639" width="9" style="178" customWidth="1"/>
    <col min="5640" max="5641" width="10.59765625" style="178" customWidth="1"/>
    <col min="5642" max="5642" width="20.19921875" style="178" customWidth="1"/>
    <col min="5643" max="5643" width="12.296875" style="178" customWidth="1"/>
    <col min="5644" max="5644" width="12.19921875" style="178" customWidth="1"/>
    <col min="5645" max="5645" width="10.796875" style="178" customWidth="1"/>
    <col min="5646" max="5646" width="17.19921875" style="178" customWidth="1"/>
    <col min="5647" max="5890" width="8.796875" style="178"/>
    <col min="5891" max="5891" width="7.69921875" style="178" customWidth="1"/>
    <col min="5892" max="5892" width="13.796875" style="178" customWidth="1"/>
    <col min="5893" max="5893" width="16.69921875" style="178" customWidth="1"/>
    <col min="5894" max="5894" width="8" style="178" customWidth="1"/>
    <col min="5895" max="5895" width="9" style="178" customWidth="1"/>
    <col min="5896" max="5897" width="10.59765625" style="178" customWidth="1"/>
    <col min="5898" max="5898" width="20.19921875" style="178" customWidth="1"/>
    <col min="5899" max="5899" width="12.296875" style="178" customWidth="1"/>
    <col min="5900" max="5900" width="12.19921875" style="178" customWidth="1"/>
    <col min="5901" max="5901" width="10.796875" style="178" customWidth="1"/>
    <col min="5902" max="5902" width="17.19921875" style="178" customWidth="1"/>
    <col min="5903" max="6146" width="8.796875" style="178"/>
    <col min="6147" max="6147" width="7.69921875" style="178" customWidth="1"/>
    <col min="6148" max="6148" width="13.796875" style="178" customWidth="1"/>
    <col min="6149" max="6149" width="16.69921875" style="178" customWidth="1"/>
    <col min="6150" max="6150" width="8" style="178" customWidth="1"/>
    <col min="6151" max="6151" width="9" style="178" customWidth="1"/>
    <col min="6152" max="6153" width="10.59765625" style="178" customWidth="1"/>
    <col min="6154" max="6154" width="20.19921875" style="178" customWidth="1"/>
    <col min="6155" max="6155" width="12.296875" style="178" customWidth="1"/>
    <col min="6156" max="6156" width="12.19921875" style="178" customWidth="1"/>
    <col min="6157" max="6157" width="10.796875" style="178" customWidth="1"/>
    <col min="6158" max="6158" width="17.19921875" style="178" customWidth="1"/>
    <col min="6159" max="6402" width="8.796875" style="178"/>
    <col min="6403" max="6403" width="7.69921875" style="178" customWidth="1"/>
    <col min="6404" max="6404" width="13.796875" style="178" customWidth="1"/>
    <col min="6405" max="6405" width="16.69921875" style="178" customWidth="1"/>
    <col min="6406" max="6406" width="8" style="178" customWidth="1"/>
    <col min="6407" max="6407" width="9" style="178" customWidth="1"/>
    <col min="6408" max="6409" width="10.59765625" style="178" customWidth="1"/>
    <col min="6410" max="6410" width="20.19921875" style="178" customWidth="1"/>
    <col min="6411" max="6411" width="12.296875" style="178" customWidth="1"/>
    <col min="6412" max="6412" width="12.19921875" style="178" customWidth="1"/>
    <col min="6413" max="6413" width="10.796875" style="178" customWidth="1"/>
    <col min="6414" max="6414" width="17.19921875" style="178" customWidth="1"/>
    <col min="6415" max="6658" width="8.796875" style="178"/>
    <col min="6659" max="6659" width="7.69921875" style="178" customWidth="1"/>
    <col min="6660" max="6660" width="13.796875" style="178" customWidth="1"/>
    <col min="6661" max="6661" width="16.69921875" style="178" customWidth="1"/>
    <col min="6662" max="6662" width="8" style="178" customWidth="1"/>
    <col min="6663" max="6663" width="9" style="178" customWidth="1"/>
    <col min="6664" max="6665" width="10.59765625" style="178" customWidth="1"/>
    <col min="6666" max="6666" width="20.19921875" style="178" customWidth="1"/>
    <col min="6667" max="6667" width="12.296875" style="178" customWidth="1"/>
    <col min="6668" max="6668" width="12.19921875" style="178" customWidth="1"/>
    <col min="6669" max="6669" width="10.796875" style="178" customWidth="1"/>
    <col min="6670" max="6670" width="17.19921875" style="178" customWidth="1"/>
    <col min="6671" max="6914" width="8.796875" style="178"/>
    <col min="6915" max="6915" width="7.69921875" style="178" customWidth="1"/>
    <col min="6916" max="6916" width="13.796875" style="178" customWidth="1"/>
    <col min="6917" max="6917" width="16.69921875" style="178" customWidth="1"/>
    <col min="6918" max="6918" width="8" style="178" customWidth="1"/>
    <col min="6919" max="6919" width="9" style="178" customWidth="1"/>
    <col min="6920" max="6921" width="10.59765625" style="178" customWidth="1"/>
    <col min="6922" max="6922" width="20.19921875" style="178" customWidth="1"/>
    <col min="6923" max="6923" width="12.296875" style="178" customWidth="1"/>
    <col min="6924" max="6924" width="12.19921875" style="178" customWidth="1"/>
    <col min="6925" max="6925" width="10.796875" style="178" customWidth="1"/>
    <col min="6926" max="6926" width="17.19921875" style="178" customWidth="1"/>
    <col min="6927" max="7170" width="8.796875" style="178"/>
    <col min="7171" max="7171" width="7.69921875" style="178" customWidth="1"/>
    <col min="7172" max="7172" width="13.796875" style="178" customWidth="1"/>
    <col min="7173" max="7173" width="16.69921875" style="178" customWidth="1"/>
    <col min="7174" max="7174" width="8" style="178" customWidth="1"/>
    <col min="7175" max="7175" width="9" style="178" customWidth="1"/>
    <col min="7176" max="7177" width="10.59765625" style="178" customWidth="1"/>
    <col min="7178" max="7178" width="20.19921875" style="178" customWidth="1"/>
    <col min="7179" max="7179" width="12.296875" style="178" customWidth="1"/>
    <col min="7180" max="7180" width="12.19921875" style="178" customWidth="1"/>
    <col min="7181" max="7181" width="10.796875" style="178" customWidth="1"/>
    <col min="7182" max="7182" width="17.19921875" style="178" customWidth="1"/>
    <col min="7183" max="7426" width="8.796875" style="178"/>
    <col min="7427" max="7427" width="7.69921875" style="178" customWidth="1"/>
    <col min="7428" max="7428" width="13.796875" style="178" customWidth="1"/>
    <col min="7429" max="7429" width="16.69921875" style="178" customWidth="1"/>
    <col min="7430" max="7430" width="8" style="178" customWidth="1"/>
    <col min="7431" max="7431" width="9" style="178" customWidth="1"/>
    <col min="7432" max="7433" width="10.59765625" style="178" customWidth="1"/>
    <col min="7434" max="7434" width="20.19921875" style="178" customWidth="1"/>
    <col min="7435" max="7435" width="12.296875" style="178" customWidth="1"/>
    <col min="7436" max="7436" width="12.19921875" style="178" customWidth="1"/>
    <col min="7437" max="7437" width="10.796875" style="178" customWidth="1"/>
    <col min="7438" max="7438" width="17.19921875" style="178" customWidth="1"/>
    <col min="7439" max="7682" width="8.796875" style="178"/>
    <col min="7683" max="7683" width="7.69921875" style="178" customWidth="1"/>
    <col min="7684" max="7684" width="13.796875" style="178" customWidth="1"/>
    <col min="7685" max="7685" width="16.69921875" style="178" customWidth="1"/>
    <col min="7686" max="7686" width="8" style="178" customWidth="1"/>
    <col min="7687" max="7687" width="9" style="178" customWidth="1"/>
    <col min="7688" max="7689" width="10.59765625" style="178" customWidth="1"/>
    <col min="7690" max="7690" width="20.19921875" style="178" customWidth="1"/>
    <col min="7691" max="7691" width="12.296875" style="178" customWidth="1"/>
    <col min="7692" max="7692" width="12.19921875" style="178" customWidth="1"/>
    <col min="7693" max="7693" width="10.796875" style="178" customWidth="1"/>
    <col min="7694" max="7694" width="17.19921875" style="178" customWidth="1"/>
    <col min="7695" max="7938" width="8.796875" style="178"/>
    <col min="7939" max="7939" width="7.69921875" style="178" customWidth="1"/>
    <col min="7940" max="7940" width="13.796875" style="178" customWidth="1"/>
    <col min="7941" max="7941" width="16.69921875" style="178" customWidth="1"/>
    <col min="7942" max="7942" width="8" style="178" customWidth="1"/>
    <col min="7943" max="7943" width="9" style="178" customWidth="1"/>
    <col min="7944" max="7945" width="10.59765625" style="178" customWidth="1"/>
    <col min="7946" max="7946" width="20.19921875" style="178" customWidth="1"/>
    <col min="7947" max="7947" width="12.296875" style="178" customWidth="1"/>
    <col min="7948" max="7948" width="12.19921875" style="178" customWidth="1"/>
    <col min="7949" max="7949" width="10.796875" style="178" customWidth="1"/>
    <col min="7950" max="7950" width="17.19921875" style="178" customWidth="1"/>
    <col min="7951" max="8194" width="8.796875" style="178"/>
    <col min="8195" max="8195" width="7.69921875" style="178" customWidth="1"/>
    <col min="8196" max="8196" width="13.796875" style="178" customWidth="1"/>
    <col min="8197" max="8197" width="16.69921875" style="178" customWidth="1"/>
    <col min="8198" max="8198" width="8" style="178" customWidth="1"/>
    <col min="8199" max="8199" width="9" style="178" customWidth="1"/>
    <col min="8200" max="8201" width="10.59765625" style="178" customWidth="1"/>
    <col min="8202" max="8202" width="20.19921875" style="178" customWidth="1"/>
    <col min="8203" max="8203" width="12.296875" style="178" customWidth="1"/>
    <col min="8204" max="8204" width="12.19921875" style="178" customWidth="1"/>
    <col min="8205" max="8205" width="10.796875" style="178" customWidth="1"/>
    <col min="8206" max="8206" width="17.19921875" style="178" customWidth="1"/>
    <col min="8207" max="8450" width="8.796875" style="178"/>
    <col min="8451" max="8451" width="7.69921875" style="178" customWidth="1"/>
    <col min="8452" max="8452" width="13.796875" style="178" customWidth="1"/>
    <col min="8453" max="8453" width="16.69921875" style="178" customWidth="1"/>
    <col min="8454" max="8454" width="8" style="178" customWidth="1"/>
    <col min="8455" max="8455" width="9" style="178" customWidth="1"/>
    <col min="8456" max="8457" width="10.59765625" style="178" customWidth="1"/>
    <col min="8458" max="8458" width="20.19921875" style="178" customWidth="1"/>
    <col min="8459" max="8459" width="12.296875" style="178" customWidth="1"/>
    <col min="8460" max="8460" width="12.19921875" style="178" customWidth="1"/>
    <col min="8461" max="8461" width="10.796875" style="178" customWidth="1"/>
    <col min="8462" max="8462" width="17.19921875" style="178" customWidth="1"/>
    <col min="8463" max="8706" width="8.796875" style="178"/>
    <col min="8707" max="8707" width="7.69921875" style="178" customWidth="1"/>
    <col min="8708" max="8708" width="13.796875" style="178" customWidth="1"/>
    <col min="8709" max="8709" width="16.69921875" style="178" customWidth="1"/>
    <col min="8710" max="8710" width="8" style="178" customWidth="1"/>
    <col min="8711" max="8711" width="9" style="178" customWidth="1"/>
    <col min="8712" max="8713" width="10.59765625" style="178" customWidth="1"/>
    <col min="8714" max="8714" width="20.19921875" style="178" customWidth="1"/>
    <col min="8715" max="8715" width="12.296875" style="178" customWidth="1"/>
    <col min="8716" max="8716" width="12.19921875" style="178" customWidth="1"/>
    <col min="8717" max="8717" width="10.796875" style="178" customWidth="1"/>
    <col min="8718" max="8718" width="17.19921875" style="178" customWidth="1"/>
    <col min="8719" max="8962" width="8.796875" style="178"/>
    <col min="8963" max="8963" width="7.69921875" style="178" customWidth="1"/>
    <col min="8964" max="8964" width="13.796875" style="178" customWidth="1"/>
    <col min="8965" max="8965" width="16.69921875" style="178" customWidth="1"/>
    <col min="8966" max="8966" width="8" style="178" customWidth="1"/>
    <col min="8967" max="8967" width="9" style="178" customWidth="1"/>
    <col min="8968" max="8969" width="10.59765625" style="178" customWidth="1"/>
    <col min="8970" max="8970" width="20.19921875" style="178" customWidth="1"/>
    <col min="8971" max="8971" width="12.296875" style="178" customWidth="1"/>
    <col min="8972" max="8972" width="12.19921875" style="178" customWidth="1"/>
    <col min="8973" max="8973" width="10.796875" style="178" customWidth="1"/>
    <col min="8974" max="8974" width="17.19921875" style="178" customWidth="1"/>
    <col min="8975" max="9218" width="8.796875" style="178"/>
    <col min="9219" max="9219" width="7.69921875" style="178" customWidth="1"/>
    <col min="9220" max="9220" width="13.796875" style="178" customWidth="1"/>
    <col min="9221" max="9221" width="16.69921875" style="178" customWidth="1"/>
    <col min="9222" max="9222" width="8" style="178" customWidth="1"/>
    <col min="9223" max="9223" width="9" style="178" customWidth="1"/>
    <col min="9224" max="9225" width="10.59765625" style="178" customWidth="1"/>
    <col min="9226" max="9226" width="20.19921875" style="178" customWidth="1"/>
    <col min="9227" max="9227" width="12.296875" style="178" customWidth="1"/>
    <col min="9228" max="9228" width="12.19921875" style="178" customWidth="1"/>
    <col min="9229" max="9229" width="10.796875" style="178" customWidth="1"/>
    <col min="9230" max="9230" width="17.19921875" style="178" customWidth="1"/>
    <col min="9231" max="9474" width="8.796875" style="178"/>
    <col min="9475" max="9475" width="7.69921875" style="178" customWidth="1"/>
    <col min="9476" max="9476" width="13.796875" style="178" customWidth="1"/>
    <col min="9477" max="9477" width="16.69921875" style="178" customWidth="1"/>
    <col min="9478" max="9478" width="8" style="178" customWidth="1"/>
    <col min="9479" max="9479" width="9" style="178" customWidth="1"/>
    <col min="9480" max="9481" width="10.59765625" style="178" customWidth="1"/>
    <col min="9482" max="9482" width="20.19921875" style="178" customWidth="1"/>
    <col min="9483" max="9483" width="12.296875" style="178" customWidth="1"/>
    <col min="9484" max="9484" width="12.19921875" style="178" customWidth="1"/>
    <col min="9485" max="9485" width="10.796875" style="178" customWidth="1"/>
    <col min="9486" max="9486" width="17.19921875" style="178" customWidth="1"/>
    <col min="9487" max="9730" width="8.796875" style="178"/>
    <col min="9731" max="9731" width="7.69921875" style="178" customWidth="1"/>
    <col min="9732" max="9732" width="13.796875" style="178" customWidth="1"/>
    <col min="9733" max="9733" width="16.69921875" style="178" customWidth="1"/>
    <col min="9734" max="9734" width="8" style="178" customWidth="1"/>
    <col min="9735" max="9735" width="9" style="178" customWidth="1"/>
    <col min="9736" max="9737" width="10.59765625" style="178" customWidth="1"/>
    <col min="9738" max="9738" width="20.19921875" style="178" customWidth="1"/>
    <col min="9739" max="9739" width="12.296875" style="178" customWidth="1"/>
    <col min="9740" max="9740" width="12.19921875" style="178" customWidth="1"/>
    <col min="9741" max="9741" width="10.796875" style="178" customWidth="1"/>
    <col min="9742" max="9742" width="17.19921875" style="178" customWidth="1"/>
    <col min="9743" max="9986" width="8.796875" style="178"/>
    <col min="9987" max="9987" width="7.69921875" style="178" customWidth="1"/>
    <col min="9988" max="9988" width="13.796875" style="178" customWidth="1"/>
    <col min="9989" max="9989" width="16.69921875" style="178" customWidth="1"/>
    <col min="9990" max="9990" width="8" style="178" customWidth="1"/>
    <col min="9991" max="9991" width="9" style="178" customWidth="1"/>
    <col min="9992" max="9993" width="10.59765625" style="178" customWidth="1"/>
    <col min="9994" max="9994" width="20.19921875" style="178" customWidth="1"/>
    <col min="9995" max="9995" width="12.296875" style="178" customWidth="1"/>
    <col min="9996" max="9996" width="12.19921875" style="178" customWidth="1"/>
    <col min="9997" max="9997" width="10.796875" style="178" customWidth="1"/>
    <col min="9998" max="9998" width="17.19921875" style="178" customWidth="1"/>
    <col min="9999" max="10242" width="8.796875" style="178"/>
    <col min="10243" max="10243" width="7.69921875" style="178" customWidth="1"/>
    <col min="10244" max="10244" width="13.796875" style="178" customWidth="1"/>
    <col min="10245" max="10245" width="16.69921875" style="178" customWidth="1"/>
    <col min="10246" max="10246" width="8" style="178" customWidth="1"/>
    <col min="10247" max="10247" width="9" style="178" customWidth="1"/>
    <col min="10248" max="10249" width="10.59765625" style="178" customWidth="1"/>
    <col min="10250" max="10250" width="20.19921875" style="178" customWidth="1"/>
    <col min="10251" max="10251" width="12.296875" style="178" customWidth="1"/>
    <col min="10252" max="10252" width="12.19921875" style="178" customWidth="1"/>
    <col min="10253" max="10253" width="10.796875" style="178" customWidth="1"/>
    <col min="10254" max="10254" width="17.19921875" style="178" customWidth="1"/>
    <col min="10255" max="10498" width="8.796875" style="178"/>
    <col min="10499" max="10499" width="7.69921875" style="178" customWidth="1"/>
    <col min="10500" max="10500" width="13.796875" style="178" customWidth="1"/>
    <col min="10501" max="10501" width="16.69921875" style="178" customWidth="1"/>
    <col min="10502" max="10502" width="8" style="178" customWidth="1"/>
    <col min="10503" max="10503" width="9" style="178" customWidth="1"/>
    <col min="10504" max="10505" width="10.59765625" style="178" customWidth="1"/>
    <col min="10506" max="10506" width="20.19921875" style="178" customWidth="1"/>
    <col min="10507" max="10507" width="12.296875" style="178" customWidth="1"/>
    <col min="10508" max="10508" width="12.19921875" style="178" customWidth="1"/>
    <col min="10509" max="10509" width="10.796875" style="178" customWidth="1"/>
    <col min="10510" max="10510" width="17.19921875" style="178" customWidth="1"/>
    <col min="10511" max="10754" width="8.796875" style="178"/>
    <col min="10755" max="10755" width="7.69921875" style="178" customWidth="1"/>
    <col min="10756" max="10756" width="13.796875" style="178" customWidth="1"/>
    <col min="10757" max="10757" width="16.69921875" style="178" customWidth="1"/>
    <col min="10758" max="10758" width="8" style="178" customWidth="1"/>
    <col min="10759" max="10759" width="9" style="178" customWidth="1"/>
    <col min="10760" max="10761" width="10.59765625" style="178" customWidth="1"/>
    <col min="10762" max="10762" width="20.19921875" style="178" customWidth="1"/>
    <col min="10763" max="10763" width="12.296875" style="178" customWidth="1"/>
    <col min="10764" max="10764" width="12.19921875" style="178" customWidth="1"/>
    <col min="10765" max="10765" width="10.796875" style="178" customWidth="1"/>
    <col min="10766" max="10766" width="17.19921875" style="178" customWidth="1"/>
    <col min="10767" max="11010" width="8.796875" style="178"/>
    <col min="11011" max="11011" width="7.69921875" style="178" customWidth="1"/>
    <col min="11012" max="11012" width="13.796875" style="178" customWidth="1"/>
    <col min="11013" max="11013" width="16.69921875" style="178" customWidth="1"/>
    <col min="11014" max="11014" width="8" style="178" customWidth="1"/>
    <col min="11015" max="11015" width="9" style="178" customWidth="1"/>
    <col min="11016" max="11017" width="10.59765625" style="178" customWidth="1"/>
    <col min="11018" max="11018" width="20.19921875" style="178" customWidth="1"/>
    <col min="11019" max="11019" width="12.296875" style="178" customWidth="1"/>
    <col min="11020" max="11020" width="12.19921875" style="178" customWidth="1"/>
    <col min="11021" max="11021" width="10.796875" style="178" customWidth="1"/>
    <col min="11022" max="11022" width="17.19921875" style="178" customWidth="1"/>
    <col min="11023" max="11266" width="8.796875" style="178"/>
    <col min="11267" max="11267" width="7.69921875" style="178" customWidth="1"/>
    <col min="11268" max="11268" width="13.796875" style="178" customWidth="1"/>
    <col min="11269" max="11269" width="16.69921875" style="178" customWidth="1"/>
    <col min="11270" max="11270" width="8" style="178" customWidth="1"/>
    <col min="11271" max="11271" width="9" style="178" customWidth="1"/>
    <col min="11272" max="11273" width="10.59765625" style="178" customWidth="1"/>
    <col min="11274" max="11274" width="20.19921875" style="178" customWidth="1"/>
    <col min="11275" max="11275" width="12.296875" style="178" customWidth="1"/>
    <col min="11276" max="11276" width="12.19921875" style="178" customWidth="1"/>
    <col min="11277" max="11277" width="10.796875" style="178" customWidth="1"/>
    <col min="11278" max="11278" width="17.19921875" style="178" customWidth="1"/>
    <col min="11279" max="11522" width="8.796875" style="178"/>
    <col min="11523" max="11523" width="7.69921875" style="178" customWidth="1"/>
    <col min="11524" max="11524" width="13.796875" style="178" customWidth="1"/>
    <col min="11525" max="11525" width="16.69921875" style="178" customWidth="1"/>
    <col min="11526" max="11526" width="8" style="178" customWidth="1"/>
    <col min="11527" max="11527" width="9" style="178" customWidth="1"/>
    <col min="11528" max="11529" width="10.59765625" style="178" customWidth="1"/>
    <col min="11530" max="11530" width="20.19921875" style="178" customWidth="1"/>
    <col min="11531" max="11531" width="12.296875" style="178" customWidth="1"/>
    <col min="11532" max="11532" width="12.19921875" style="178" customWidth="1"/>
    <col min="11533" max="11533" width="10.796875" style="178" customWidth="1"/>
    <col min="11534" max="11534" width="17.19921875" style="178" customWidth="1"/>
    <col min="11535" max="11778" width="8.796875" style="178"/>
    <col min="11779" max="11779" width="7.69921875" style="178" customWidth="1"/>
    <col min="11780" max="11780" width="13.796875" style="178" customWidth="1"/>
    <col min="11781" max="11781" width="16.69921875" style="178" customWidth="1"/>
    <col min="11782" max="11782" width="8" style="178" customWidth="1"/>
    <col min="11783" max="11783" width="9" style="178" customWidth="1"/>
    <col min="11784" max="11785" width="10.59765625" style="178" customWidth="1"/>
    <col min="11786" max="11786" width="20.19921875" style="178" customWidth="1"/>
    <col min="11787" max="11787" width="12.296875" style="178" customWidth="1"/>
    <col min="11788" max="11788" width="12.19921875" style="178" customWidth="1"/>
    <col min="11789" max="11789" width="10.796875" style="178" customWidth="1"/>
    <col min="11790" max="11790" width="17.19921875" style="178" customWidth="1"/>
    <col min="11791" max="12034" width="8.796875" style="178"/>
    <col min="12035" max="12035" width="7.69921875" style="178" customWidth="1"/>
    <col min="12036" max="12036" width="13.796875" style="178" customWidth="1"/>
    <col min="12037" max="12037" width="16.69921875" style="178" customWidth="1"/>
    <col min="12038" max="12038" width="8" style="178" customWidth="1"/>
    <col min="12039" max="12039" width="9" style="178" customWidth="1"/>
    <col min="12040" max="12041" width="10.59765625" style="178" customWidth="1"/>
    <col min="12042" max="12042" width="20.19921875" style="178" customWidth="1"/>
    <col min="12043" max="12043" width="12.296875" style="178" customWidth="1"/>
    <col min="12044" max="12044" width="12.19921875" style="178" customWidth="1"/>
    <col min="12045" max="12045" width="10.796875" style="178" customWidth="1"/>
    <col min="12046" max="12046" width="17.19921875" style="178" customWidth="1"/>
    <col min="12047" max="12290" width="8.796875" style="178"/>
    <col min="12291" max="12291" width="7.69921875" style="178" customWidth="1"/>
    <col min="12292" max="12292" width="13.796875" style="178" customWidth="1"/>
    <col min="12293" max="12293" width="16.69921875" style="178" customWidth="1"/>
    <col min="12294" max="12294" width="8" style="178" customWidth="1"/>
    <col min="12295" max="12295" width="9" style="178" customWidth="1"/>
    <col min="12296" max="12297" width="10.59765625" style="178" customWidth="1"/>
    <col min="12298" max="12298" width="20.19921875" style="178" customWidth="1"/>
    <col min="12299" max="12299" width="12.296875" style="178" customWidth="1"/>
    <col min="12300" max="12300" width="12.19921875" style="178" customWidth="1"/>
    <col min="12301" max="12301" width="10.796875" style="178" customWidth="1"/>
    <col min="12302" max="12302" width="17.19921875" style="178" customWidth="1"/>
    <col min="12303" max="12546" width="8.796875" style="178"/>
    <col min="12547" max="12547" width="7.69921875" style="178" customWidth="1"/>
    <col min="12548" max="12548" width="13.796875" style="178" customWidth="1"/>
    <col min="12549" max="12549" width="16.69921875" style="178" customWidth="1"/>
    <col min="12550" max="12550" width="8" style="178" customWidth="1"/>
    <col min="12551" max="12551" width="9" style="178" customWidth="1"/>
    <col min="12552" max="12553" width="10.59765625" style="178" customWidth="1"/>
    <col min="12554" max="12554" width="20.19921875" style="178" customWidth="1"/>
    <col min="12555" max="12555" width="12.296875" style="178" customWidth="1"/>
    <col min="12556" max="12556" width="12.19921875" style="178" customWidth="1"/>
    <col min="12557" max="12557" width="10.796875" style="178" customWidth="1"/>
    <col min="12558" max="12558" width="17.19921875" style="178" customWidth="1"/>
    <col min="12559" max="12802" width="8.796875" style="178"/>
    <col min="12803" max="12803" width="7.69921875" style="178" customWidth="1"/>
    <col min="12804" max="12804" width="13.796875" style="178" customWidth="1"/>
    <col min="12805" max="12805" width="16.69921875" style="178" customWidth="1"/>
    <col min="12806" max="12806" width="8" style="178" customWidth="1"/>
    <col min="12807" max="12807" width="9" style="178" customWidth="1"/>
    <col min="12808" max="12809" width="10.59765625" style="178" customWidth="1"/>
    <col min="12810" max="12810" width="20.19921875" style="178" customWidth="1"/>
    <col min="12811" max="12811" width="12.296875" style="178" customWidth="1"/>
    <col min="12812" max="12812" width="12.19921875" style="178" customWidth="1"/>
    <col min="12813" max="12813" width="10.796875" style="178" customWidth="1"/>
    <col min="12814" max="12814" width="17.19921875" style="178" customWidth="1"/>
    <col min="12815" max="13058" width="8.796875" style="178"/>
    <col min="13059" max="13059" width="7.69921875" style="178" customWidth="1"/>
    <col min="13060" max="13060" width="13.796875" style="178" customWidth="1"/>
    <col min="13061" max="13061" width="16.69921875" style="178" customWidth="1"/>
    <col min="13062" max="13062" width="8" style="178" customWidth="1"/>
    <col min="13063" max="13063" width="9" style="178" customWidth="1"/>
    <col min="13064" max="13065" width="10.59765625" style="178" customWidth="1"/>
    <col min="13066" max="13066" width="20.19921875" style="178" customWidth="1"/>
    <col min="13067" max="13067" width="12.296875" style="178" customWidth="1"/>
    <col min="13068" max="13068" width="12.19921875" style="178" customWidth="1"/>
    <col min="13069" max="13069" width="10.796875" style="178" customWidth="1"/>
    <col min="13070" max="13070" width="17.19921875" style="178" customWidth="1"/>
    <col min="13071" max="13314" width="8.796875" style="178"/>
    <col min="13315" max="13315" width="7.69921875" style="178" customWidth="1"/>
    <col min="13316" max="13316" width="13.796875" style="178" customWidth="1"/>
    <col min="13317" max="13317" width="16.69921875" style="178" customWidth="1"/>
    <col min="13318" max="13318" width="8" style="178" customWidth="1"/>
    <col min="13319" max="13319" width="9" style="178" customWidth="1"/>
    <col min="13320" max="13321" width="10.59765625" style="178" customWidth="1"/>
    <col min="13322" max="13322" width="20.19921875" style="178" customWidth="1"/>
    <col min="13323" max="13323" width="12.296875" style="178" customWidth="1"/>
    <col min="13324" max="13324" width="12.19921875" style="178" customWidth="1"/>
    <col min="13325" max="13325" width="10.796875" style="178" customWidth="1"/>
    <col min="13326" max="13326" width="17.19921875" style="178" customWidth="1"/>
    <col min="13327" max="13570" width="8.796875" style="178"/>
    <col min="13571" max="13571" width="7.69921875" style="178" customWidth="1"/>
    <col min="13572" max="13572" width="13.796875" style="178" customWidth="1"/>
    <col min="13573" max="13573" width="16.69921875" style="178" customWidth="1"/>
    <col min="13574" max="13574" width="8" style="178" customWidth="1"/>
    <col min="13575" max="13575" width="9" style="178" customWidth="1"/>
    <col min="13576" max="13577" width="10.59765625" style="178" customWidth="1"/>
    <col min="13578" max="13578" width="20.19921875" style="178" customWidth="1"/>
    <col min="13579" max="13579" width="12.296875" style="178" customWidth="1"/>
    <col min="13580" max="13580" width="12.19921875" style="178" customWidth="1"/>
    <col min="13581" max="13581" width="10.796875" style="178" customWidth="1"/>
    <col min="13582" max="13582" width="17.19921875" style="178" customWidth="1"/>
    <col min="13583" max="13826" width="8.796875" style="178"/>
    <col min="13827" max="13827" width="7.69921875" style="178" customWidth="1"/>
    <col min="13828" max="13828" width="13.796875" style="178" customWidth="1"/>
    <col min="13829" max="13829" width="16.69921875" style="178" customWidth="1"/>
    <col min="13830" max="13830" width="8" style="178" customWidth="1"/>
    <col min="13831" max="13831" width="9" style="178" customWidth="1"/>
    <col min="13832" max="13833" width="10.59765625" style="178" customWidth="1"/>
    <col min="13834" max="13834" width="20.19921875" style="178" customWidth="1"/>
    <col min="13835" max="13835" width="12.296875" style="178" customWidth="1"/>
    <col min="13836" max="13836" width="12.19921875" style="178" customWidth="1"/>
    <col min="13837" max="13837" width="10.796875" style="178" customWidth="1"/>
    <col min="13838" max="13838" width="17.19921875" style="178" customWidth="1"/>
    <col min="13839" max="14082" width="8.796875" style="178"/>
    <col min="14083" max="14083" width="7.69921875" style="178" customWidth="1"/>
    <col min="14084" max="14084" width="13.796875" style="178" customWidth="1"/>
    <col min="14085" max="14085" width="16.69921875" style="178" customWidth="1"/>
    <col min="14086" max="14086" width="8" style="178" customWidth="1"/>
    <col min="14087" max="14087" width="9" style="178" customWidth="1"/>
    <col min="14088" max="14089" width="10.59765625" style="178" customWidth="1"/>
    <col min="14090" max="14090" width="20.19921875" style="178" customWidth="1"/>
    <col min="14091" max="14091" width="12.296875" style="178" customWidth="1"/>
    <col min="14092" max="14092" width="12.19921875" style="178" customWidth="1"/>
    <col min="14093" max="14093" width="10.796875" style="178" customWidth="1"/>
    <col min="14094" max="14094" width="17.19921875" style="178" customWidth="1"/>
    <col min="14095" max="14338" width="8.796875" style="178"/>
    <col min="14339" max="14339" width="7.69921875" style="178" customWidth="1"/>
    <col min="14340" max="14340" width="13.796875" style="178" customWidth="1"/>
    <col min="14341" max="14341" width="16.69921875" style="178" customWidth="1"/>
    <col min="14342" max="14342" width="8" style="178" customWidth="1"/>
    <col min="14343" max="14343" width="9" style="178" customWidth="1"/>
    <col min="14344" max="14345" width="10.59765625" style="178" customWidth="1"/>
    <col min="14346" max="14346" width="20.19921875" style="178" customWidth="1"/>
    <col min="14347" max="14347" width="12.296875" style="178" customWidth="1"/>
    <col min="14348" max="14348" width="12.19921875" style="178" customWidth="1"/>
    <col min="14349" max="14349" width="10.796875" style="178" customWidth="1"/>
    <col min="14350" max="14350" width="17.19921875" style="178" customWidth="1"/>
    <col min="14351" max="14594" width="8.796875" style="178"/>
    <col min="14595" max="14595" width="7.69921875" style="178" customWidth="1"/>
    <col min="14596" max="14596" width="13.796875" style="178" customWidth="1"/>
    <col min="14597" max="14597" width="16.69921875" style="178" customWidth="1"/>
    <col min="14598" max="14598" width="8" style="178" customWidth="1"/>
    <col min="14599" max="14599" width="9" style="178" customWidth="1"/>
    <col min="14600" max="14601" width="10.59765625" style="178" customWidth="1"/>
    <col min="14602" max="14602" width="20.19921875" style="178" customWidth="1"/>
    <col min="14603" max="14603" width="12.296875" style="178" customWidth="1"/>
    <col min="14604" max="14604" width="12.19921875" style="178" customWidth="1"/>
    <col min="14605" max="14605" width="10.796875" style="178" customWidth="1"/>
    <col min="14606" max="14606" width="17.19921875" style="178" customWidth="1"/>
    <col min="14607" max="14850" width="8.796875" style="178"/>
    <col min="14851" max="14851" width="7.69921875" style="178" customWidth="1"/>
    <col min="14852" max="14852" width="13.796875" style="178" customWidth="1"/>
    <col min="14853" max="14853" width="16.69921875" style="178" customWidth="1"/>
    <col min="14854" max="14854" width="8" style="178" customWidth="1"/>
    <col min="14855" max="14855" width="9" style="178" customWidth="1"/>
    <col min="14856" max="14857" width="10.59765625" style="178" customWidth="1"/>
    <col min="14858" max="14858" width="20.19921875" style="178" customWidth="1"/>
    <col min="14859" max="14859" width="12.296875" style="178" customWidth="1"/>
    <col min="14860" max="14860" width="12.19921875" style="178" customWidth="1"/>
    <col min="14861" max="14861" width="10.796875" style="178" customWidth="1"/>
    <col min="14862" max="14862" width="17.19921875" style="178" customWidth="1"/>
    <col min="14863" max="15106" width="8.796875" style="178"/>
    <col min="15107" max="15107" width="7.69921875" style="178" customWidth="1"/>
    <col min="15108" max="15108" width="13.796875" style="178" customWidth="1"/>
    <col min="15109" max="15109" width="16.69921875" style="178" customWidth="1"/>
    <col min="15110" max="15110" width="8" style="178" customWidth="1"/>
    <col min="15111" max="15111" width="9" style="178" customWidth="1"/>
    <col min="15112" max="15113" width="10.59765625" style="178" customWidth="1"/>
    <col min="15114" max="15114" width="20.19921875" style="178" customWidth="1"/>
    <col min="15115" max="15115" width="12.296875" style="178" customWidth="1"/>
    <col min="15116" max="15116" width="12.19921875" style="178" customWidth="1"/>
    <col min="15117" max="15117" width="10.796875" style="178" customWidth="1"/>
    <col min="15118" max="15118" width="17.19921875" style="178" customWidth="1"/>
    <col min="15119" max="15362" width="8.796875" style="178"/>
    <col min="15363" max="15363" width="7.69921875" style="178" customWidth="1"/>
    <col min="15364" max="15364" width="13.796875" style="178" customWidth="1"/>
    <col min="15365" max="15365" width="16.69921875" style="178" customWidth="1"/>
    <col min="15366" max="15366" width="8" style="178" customWidth="1"/>
    <col min="15367" max="15367" width="9" style="178" customWidth="1"/>
    <col min="15368" max="15369" width="10.59765625" style="178" customWidth="1"/>
    <col min="15370" max="15370" width="20.19921875" style="178" customWidth="1"/>
    <col min="15371" max="15371" width="12.296875" style="178" customWidth="1"/>
    <col min="15372" max="15372" width="12.19921875" style="178" customWidth="1"/>
    <col min="15373" max="15373" width="10.796875" style="178" customWidth="1"/>
    <col min="15374" max="15374" width="17.19921875" style="178" customWidth="1"/>
    <col min="15375" max="15618" width="8.796875" style="178"/>
    <col min="15619" max="15619" width="7.69921875" style="178" customWidth="1"/>
    <col min="15620" max="15620" width="13.796875" style="178" customWidth="1"/>
    <col min="15621" max="15621" width="16.69921875" style="178" customWidth="1"/>
    <col min="15622" max="15622" width="8" style="178" customWidth="1"/>
    <col min="15623" max="15623" width="9" style="178" customWidth="1"/>
    <col min="15624" max="15625" width="10.59765625" style="178" customWidth="1"/>
    <col min="15626" max="15626" width="20.19921875" style="178" customWidth="1"/>
    <col min="15627" max="15627" width="12.296875" style="178" customWidth="1"/>
    <col min="15628" max="15628" width="12.19921875" style="178" customWidth="1"/>
    <col min="15629" max="15629" width="10.796875" style="178" customWidth="1"/>
    <col min="15630" max="15630" width="17.19921875" style="178" customWidth="1"/>
    <col min="15631" max="15874" width="8.796875" style="178"/>
    <col min="15875" max="15875" width="7.69921875" style="178" customWidth="1"/>
    <col min="15876" max="15876" width="13.796875" style="178" customWidth="1"/>
    <col min="15877" max="15877" width="16.69921875" style="178" customWidth="1"/>
    <col min="15878" max="15878" width="8" style="178" customWidth="1"/>
    <col min="15879" max="15879" width="9" style="178" customWidth="1"/>
    <col min="15880" max="15881" width="10.59765625" style="178" customWidth="1"/>
    <col min="15882" max="15882" width="20.19921875" style="178" customWidth="1"/>
    <col min="15883" max="15883" width="12.296875" style="178" customWidth="1"/>
    <col min="15884" max="15884" width="12.19921875" style="178" customWidth="1"/>
    <col min="15885" max="15885" width="10.796875" style="178" customWidth="1"/>
    <col min="15886" max="15886" width="17.19921875" style="178" customWidth="1"/>
    <col min="15887" max="16130" width="8.796875" style="178"/>
    <col min="16131" max="16131" width="7.69921875" style="178" customWidth="1"/>
    <col min="16132" max="16132" width="13.796875" style="178" customWidth="1"/>
    <col min="16133" max="16133" width="16.69921875" style="178" customWidth="1"/>
    <col min="16134" max="16134" width="8" style="178" customWidth="1"/>
    <col min="16135" max="16135" width="9" style="178" customWidth="1"/>
    <col min="16136" max="16137" width="10.59765625" style="178" customWidth="1"/>
    <col min="16138" max="16138" width="20.19921875" style="178" customWidth="1"/>
    <col min="16139" max="16139" width="12.296875" style="178" customWidth="1"/>
    <col min="16140" max="16140" width="12.19921875" style="178" customWidth="1"/>
    <col min="16141" max="16141" width="10.796875" style="178" customWidth="1"/>
    <col min="16142" max="16142" width="17.19921875" style="178" customWidth="1"/>
    <col min="16143" max="16381" width="8.796875" style="178"/>
    <col min="16382" max="16384" width="9" style="178" customWidth="1"/>
  </cols>
  <sheetData>
    <row r="1" spans="1:20" s="176" customFormat="1" ht="19.95" customHeight="1">
      <c r="A1" s="362" t="s">
        <v>16</v>
      </c>
      <c r="B1" s="362"/>
      <c r="C1" s="362"/>
      <c r="D1" s="362"/>
      <c r="E1" s="362"/>
      <c r="F1" s="362"/>
      <c r="G1" s="362"/>
      <c r="H1" s="362"/>
      <c r="I1" s="362"/>
      <c r="J1" s="362"/>
      <c r="K1" s="362"/>
      <c r="L1" s="362"/>
      <c r="M1" s="362"/>
      <c r="N1" s="362"/>
      <c r="O1" s="18"/>
      <c r="P1" s="18"/>
      <c r="Q1" s="18"/>
      <c r="R1" s="18"/>
      <c r="S1" s="18"/>
      <c r="T1" s="18"/>
    </row>
    <row r="2" spans="1:20" s="18" customFormat="1" ht="19.95" customHeight="1">
      <c r="A2" s="332" t="s">
        <v>170</v>
      </c>
      <c r="B2" s="363"/>
      <c r="C2" s="363"/>
      <c r="D2" s="363"/>
      <c r="E2" s="363"/>
      <c r="F2" s="363"/>
      <c r="G2" s="363"/>
      <c r="H2" s="363"/>
      <c r="I2" s="363"/>
      <c r="J2" s="363"/>
      <c r="K2" s="363"/>
      <c r="L2" s="363"/>
      <c r="M2" s="363"/>
      <c r="N2" s="363"/>
      <c r="O2" s="38"/>
    </row>
    <row r="3" spans="1:20" s="17" customFormat="1" ht="19.95" customHeight="1">
      <c r="A3" s="53" t="str">
        <f>底稿目录!A2</f>
        <v>被审计单位：</v>
      </c>
      <c r="E3" s="177" t="str">
        <f>底稿目录!A4</f>
        <v>编制人：</v>
      </c>
      <c r="H3" s="177" t="str">
        <f>底稿目录!A5</f>
        <v>编制日期：</v>
      </c>
      <c r="I3" s="177"/>
      <c r="J3" s="177"/>
      <c r="L3" s="117"/>
      <c r="M3" s="54" t="s">
        <v>194</v>
      </c>
      <c r="N3" s="291" t="str">
        <f>底稿目录!F12</f>
        <v>K0-7</v>
      </c>
    </row>
    <row r="4" spans="1:20" s="17" customFormat="1" ht="19.95" customHeight="1">
      <c r="A4" s="53" t="str">
        <f>底稿目录!A3</f>
        <v>截止日：202X年12月31日</v>
      </c>
      <c r="E4" s="177" t="str">
        <f>底稿目录!A6</f>
        <v>复核人：</v>
      </c>
      <c r="H4" s="177" t="str">
        <f>底稿目录!A7</f>
        <v>复核日期：</v>
      </c>
      <c r="I4" s="177"/>
      <c r="J4" s="177"/>
      <c r="L4" s="117"/>
      <c r="M4" s="117" t="s">
        <v>18</v>
      </c>
      <c r="N4" s="117"/>
    </row>
    <row r="5" spans="1:20" ht="19.95" customHeight="1">
      <c r="A5" s="383" t="s">
        <v>171</v>
      </c>
      <c r="B5" s="384" t="s">
        <v>172</v>
      </c>
      <c r="C5" s="384" t="s">
        <v>173</v>
      </c>
      <c r="D5" s="385" t="s">
        <v>174</v>
      </c>
      <c r="E5" s="387" t="s">
        <v>175</v>
      </c>
      <c r="F5" s="387" t="s">
        <v>176</v>
      </c>
      <c r="G5" s="388" t="s">
        <v>177</v>
      </c>
      <c r="H5" s="389"/>
      <c r="I5" s="389"/>
      <c r="J5" s="389"/>
      <c r="K5" s="389"/>
      <c r="L5" s="389"/>
      <c r="M5" s="390"/>
      <c r="N5" s="383" t="s">
        <v>178</v>
      </c>
    </row>
    <row r="6" spans="1:20" ht="44.4" customHeight="1">
      <c r="A6" s="383"/>
      <c r="B6" s="383"/>
      <c r="C6" s="383"/>
      <c r="D6" s="386"/>
      <c r="E6" s="386"/>
      <c r="F6" s="386"/>
      <c r="G6" s="254" t="s">
        <v>279</v>
      </c>
      <c r="H6" s="179" t="s">
        <v>179</v>
      </c>
      <c r="I6" s="179" t="s">
        <v>180</v>
      </c>
      <c r="J6" s="179" t="s">
        <v>181</v>
      </c>
      <c r="K6" s="254" t="s">
        <v>280</v>
      </c>
      <c r="L6" s="179" t="s">
        <v>182</v>
      </c>
      <c r="M6" s="254" t="s">
        <v>281</v>
      </c>
      <c r="N6" s="383"/>
      <c r="O6" s="180"/>
    </row>
    <row r="7" spans="1:20" ht="36" customHeight="1">
      <c r="A7" s="219">
        <v>1</v>
      </c>
      <c r="B7" s="102"/>
      <c r="C7" s="29"/>
      <c r="D7" s="181"/>
      <c r="E7" s="181"/>
      <c r="F7" s="181"/>
      <c r="G7" s="183"/>
      <c r="H7" s="183"/>
      <c r="I7" s="243"/>
      <c r="J7" s="243"/>
      <c r="K7" s="183"/>
      <c r="L7" s="184"/>
      <c r="M7" s="183"/>
      <c r="N7" s="181"/>
    </row>
    <row r="8" spans="1:20" ht="19.95" customHeight="1">
      <c r="A8" s="219">
        <v>2</v>
      </c>
      <c r="B8" s="102"/>
      <c r="C8" s="182"/>
      <c r="D8" s="181"/>
      <c r="E8" s="181"/>
      <c r="F8" s="181"/>
      <c r="G8" s="183"/>
      <c r="H8" s="183"/>
      <c r="I8" s="183"/>
      <c r="J8" s="183"/>
      <c r="K8" s="183"/>
      <c r="L8" s="184"/>
      <c r="M8" s="183"/>
      <c r="N8" s="181"/>
    </row>
    <row r="9" spans="1:20" ht="19.95" customHeight="1">
      <c r="A9" s="219">
        <v>3</v>
      </c>
      <c r="B9" s="102"/>
      <c r="C9" s="182"/>
      <c r="D9" s="181"/>
      <c r="E9" s="181"/>
      <c r="F9" s="181"/>
      <c r="G9" s="183"/>
      <c r="H9" s="183"/>
      <c r="I9" s="183"/>
      <c r="J9" s="183"/>
      <c r="K9" s="183"/>
      <c r="L9" s="184"/>
      <c r="M9" s="183"/>
      <c r="N9" s="181"/>
    </row>
    <row r="10" spans="1:20" ht="19.95" customHeight="1">
      <c r="A10" s="219">
        <v>4</v>
      </c>
      <c r="B10" s="102"/>
      <c r="C10" s="182"/>
      <c r="D10" s="181"/>
      <c r="E10" s="181"/>
      <c r="F10" s="181"/>
      <c r="G10" s="183"/>
      <c r="H10" s="183"/>
      <c r="I10" s="183"/>
      <c r="J10" s="183"/>
      <c r="K10" s="183"/>
      <c r="L10" s="184"/>
      <c r="M10" s="183"/>
      <c r="N10" s="181"/>
    </row>
    <row r="11" spans="1:20" ht="19.95" customHeight="1">
      <c r="A11" s="219">
        <v>5</v>
      </c>
      <c r="B11" s="102"/>
      <c r="C11" s="182"/>
      <c r="D11" s="181"/>
      <c r="E11" s="181"/>
      <c r="F11" s="181"/>
      <c r="G11" s="183"/>
      <c r="H11" s="183"/>
      <c r="I11" s="183"/>
      <c r="J11" s="183"/>
      <c r="K11" s="183"/>
      <c r="L11" s="184"/>
      <c r="M11" s="183"/>
      <c r="N11" s="181"/>
    </row>
    <row r="12" spans="1:20" ht="19.95" customHeight="1">
      <c r="A12" s="219">
        <v>6</v>
      </c>
      <c r="B12" s="102"/>
      <c r="C12" s="182"/>
      <c r="D12" s="181"/>
      <c r="E12" s="181"/>
      <c r="F12" s="181"/>
      <c r="G12" s="183"/>
      <c r="H12" s="183"/>
      <c r="I12" s="183"/>
      <c r="J12" s="183"/>
      <c r="K12" s="183"/>
      <c r="L12" s="184"/>
      <c r="M12" s="183"/>
      <c r="N12" s="181"/>
    </row>
    <row r="13" spans="1:20" ht="19.95" customHeight="1">
      <c r="A13" s="219">
        <v>7</v>
      </c>
      <c r="B13" s="102"/>
      <c r="C13" s="182"/>
      <c r="D13" s="181"/>
      <c r="E13" s="181"/>
      <c r="F13" s="181"/>
      <c r="G13" s="183"/>
      <c r="H13" s="183"/>
      <c r="I13" s="183"/>
      <c r="J13" s="183"/>
      <c r="K13" s="183"/>
      <c r="L13" s="184"/>
      <c r="M13" s="183"/>
      <c r="N13" s="181"/>
    </row>
    <row r="14" spans="1:20" ht="19.95" customHeight="1">
      <c r="A14" s="219">
        <v>8</v>
      </c>
      <c r="B14" s="102"/>
      <c r="C14" s="182"/>
      <c r="D14" s="181"/>
      <c r="E14" s="181"/>
      <c r="F14" s="181"/>
      <c r="G14" s="183"/>
      <c r="H14" s="183"/>
      <c r="I14" s="183"/>
      <c r="J14" s="183"/>
      <c r="K14" s="183"/>
      <c r="L14" s="184"/>
      <c r="M14" s="183"/>
      <c r="N14" s="181"/>
    </row>
    <row r="15" spans="1:20" ht="19.95" customHeight="1">
      <c r="A15" s="219">
        <v>9</v>
      </c>
      <c r="B15" s="102"/>
      <c r="C15" s="182"/>
      <c r="D15" s="181"/>
      <c r="E15" s="181"/>
      <c r="F15" s="181"/>
      <c r="G15" s="183"/>
      <c r="H15" s="183"/>
      <c r="I15" s="183"/>
      <c r="J15" s="183"/>
      <c r="K15" s="183"/>
      <c r="L15" s="184"/>
      <c r="M15" s="183"/>
      <c r="N15" s="181"/>
    </row>
    <row r="16" spans="1:20" ht="19.95" customHeight="1">
      <c r="A16" s="219">
        <v>10</v>
      </c>
      <c r="B16" s="102"/>
      <c r="C16" s="182"/>
      <c r="D16" s="181"/>
      <c r="E16" s="181"/>
      <c r="F16" s="181"/>
      <c r="G16" s="183"/>
      <c r="H16" s="183"/>
      <c r="I16" s="183"/>
      <c r="J16" s="183"/>
      <c r="K16" s="183"/>
      <c r="L16" s="184"/>
      <c r="M16" s="183"/>
      <c r="N16" s="181"/>
    </row>
    <row r="17" spans="1:15" ht="19.95" customHeight="1">
      <c r="A17" s="185" t="s">
        <v>449</v>
      </c>
      <c r="B17" s="186"/>
      <c r="C17" s="186"/>
      <c r="D17" s="186"/>
      <c r="E17" s="186"/>
      <c r="F17" s="186"/>
      <c r="G17" s="186"/>
      <c r="H17" s="186"/>
      <c r="I17" s="186"/>
      <c r="J17" s="186"/>
      <c r="K17" s="186"/>
      <c r="L17" s="186"/>
      <c r="M17" s="186"/>
      <c r="N17" s="186"/>
      <c r="O17" s="180"/>
    </row>
    <row r="18" spans="1:15" ht="19.95" customHeight="1">
      <c r="A18" s="85" t="s">
        <v>440</v>
      </c>
      <c r="B18" s="186"/>
      <c r="C18" s="186"/>
      <c r="D18" s="186"/>
      <c r="E18" s="186"/>
      <c r="F18" s="186"/>
      <c r="G18" s="186"/>
      <c r="H18" s="186"/>
      <c r="I18" s="186"/>
      <c r="J18" s="186"/>
      <c r="K18" s="186"/>
      <c r="L18" s="186"/>
      <c r="M18" s="186"/>
      <c r="N18" s="186"/>
      <c r="O18" s="260"/>
    </row>
    <row r="19" spans="1:15" ht="19.95" customHeight="1">
      <c r="A19" s="55"/>
      <c r="B19" s="186"/>
      <c r="C19" s="186"/>
      <c r="D19" s="186"/>
      <c r="E19" s="186"/>
      <c r="F19" s="186"/>
      <c r="G19" s="186"/>
      <c r="H19" s="186"/>
      <c r="I19" s="186"/>
      <c r="J19" s="186"/>
      <c r="K19" s="186"/>
      <c r="L19" s="291"/>
      <c r="M19" s="186"/>
      <c r="N19" s="186"/>
    </row>
    <row r="20" spans="1:15" ht="19.95" customHeight="1">
      <c r="A20" s="185" t="s">
        <v>183</v>
      </c>
      <c r="B20" s="186"/>
      <c r="C20" s="186"/>
      <c r="D20" s="186"/>
      <c r="E20" s="186"/>
      <c r="F20" s="186"/>
      <c r="G20" s="186"/>
      <c r="H20" s="186"/>
      <c r="I20" s="186"/>
      <c r="J20" s="186"/>
      <c r="K20" s="186"/>
      <c r="L20" s="186"/>
      <c r="M20" s="186"/>
      <c r="N20" s="186"/>
    </row>
    <row r="21" spans="1:15" ht="19.95" customHeight="1">
      <c r="A21" s="186"/>
      <c r="B21" s="186"/>
      <c r="C21" s="186"/>
      <c r="D21" s="186"/>
      <c r="E21" s="186"/>
      <c r="F21" s="186"/>
      <c r="G21" s="186"/>
      <c r="H21" s="186"/>
      <c r="I21" s="186"/>
      <c r="J21" s="186"/>
      <c r="K21" s="186"/>
      <c r="L21" s="186"/>
      <c r="M21" s="186"/>
      <c r="N21" s="186"/>
    </row>
    <row r="22" spans="1:15" ht="19.95" customHeight="1">
      <c r="A22" s="186"/>
      <c r="B22" s="186"/>
      <c r="C22" s="186"/>
      <c r="D22" s="186"/>
      <c r="E22" s="186"/>
      <c r="F22" s="186"/>
      <c r="G22" s="186"/>
      <c r="H22" s="186"/>
      <c r="I22" s="186"/>
      <c r="J22" s="186"/>
      <c r="K22" s="186"/>
      <c r="L22" s="186"/>
      <c r="M22" s="186"/>
      <c r="N22" s="186"/>
    </row>
    <row r="23" spans="1:15" ht="18" customHeight="1">
      <c r="A23" s="280" t="s">
        <v>380</v>
      </c>
      <c r="B23" s="186"/>
      <c r="C23" s="186"/>
      <c r="D23" s="186"/>
      <c r="E23" s="186"/>
      <c r="F23" s="186"/>
      <c r="G23" s="186"/>
      <c r="H23" s="186"/>
      <c r="I23" s="186"/>
      <c r="J23" s="186"/>
      <c r="K23" s="186"/>
      <c r="L23" s="186"/>
      <c r="M23" s="186"/>
      <c r="N23" s="186"/>
    </row>
    <row r="24" spans="1:15" ht="25.8" customHeight="1">
      <c r="A24" s="256" t="s">
        <v>316</v>
      </c>
      <c r="B24" s="186"/>
      <c r="C24" s="186"/>
      <c r="D24" s="186"/>
      <c r="E24" s="186"/>
      <c r="F24" s="186"/>
      <c r="G24" s="186"/>
      <c r="H24" s="186"/>
      <c r="I24" s="186"/>
      <c r="J24" s="186"/>
      <c r="K24" s="186"/>
      <c r="L24" s="186"/>
      <c r="M24" s="186"/>
      <c r="N24" s="186"/>
    </row>
    <row r="25" spans="1:15" ht="18" customHeight="1">
      <c r="A25" s="257" t="s">
        <v>317</v>
      </c>
      <c r="B25" s="258"/>
      <c r="C25" s="258"/>
      <c r="D25" s="258"/>
      <c r="E25" s="258"/>
      <c r="F25" s="258"/>
      <c r="G25" s="258"/>
      <c r="H25" s="258"/>
      <c r="I25" s="258"/>
      <c r="J25" s="258"/>
      <c r="K25" s="258"/>
    </row>
    <row r="26" spans="1:15" s="187" customFormat="1" ht="18" customHeight="1">
      <c r="A26" s="257" t="s">
        <v>304</v>
      </c>
      <c r="B26" s="186"/>
      <c r="C26" s="186"/>
      <c r="D26" s="186"/>
      <c r="E26" s="186"/>
      <c r="F26" s="186"/>
      <c r="G26" s="186"/>
      <c r="H26" s="186"/>
      <c r="I26" s="186"/>
      <c r="J26" s="186"/>
      <c r="K26" s="186"/>
    </row>
    <row r="27" spans="1:15" s="187" customFormat="1" ht="18" customHeight="1">
      <c r="A27" s="259" t="s">
        <v>318</v>
      </c>
      <c r="B27" s="186"/>
      <c r="C27" s="186"/>
      <c r="D27" s="186"/>
      <c r="E27" s="186"/>
      <c r="F27" s="186"/>
      <c r="G27" s="186"/>
      <c r="H27" s="186"/>
      <c r="I27" s="186"/>
      <c r="J27" s="186"/>
      <c r="K27" s="186"/>
    </row>
    <row r="28" spans="1:15" s="187" customFormat="1" ht="18" customHeight="1">
      <c r="A28" s="256" t="s">
        <v>305</v>
      </c>
      <c r="B28" s="186"/>
      <c r="C28" s="186"/>
      <c r="D28" s="257" t="s">
        <v>306</v>
      </c>
      <c r="E28" s="186"/>
      <c r="F28" s="186"/>
      <c r="G28" s="186"/>
      <c r="H28" s="186"/>
      <c r="I28" s="186"/>
      <c r="J28" s="186"/>
      <c r="K28" s="186"/>
    </row>
    <row r="29" spans="1:15" s="187" customFormat="1" ht="18" customHeight="1">
      <c r="A29" s="257" t="s">
        <v>307</v>
      </c>
      <c r="B29" s="186"/>
      <c r="C29" s="186"/>
      <c r="D29" s="186"/>
      <c r="E29" s="186"/>
      <c r="F29" s="186"/>
      <c r="G29" s="186"/>
      <c r="H29" s="186"/>
      <c r="I29" s="186"/>
      <c r="J29" s="186"/>
      <c r="K29" s="186"/>
    </row>
    <row r="30" spans="1:15" s="187" customFormat="1" ht="18" customHeight="1">
      <c r="A30" s="257" t="s">
        <v>308</v>
      </c>
      <c r="B30" s="186"/>
      <c r="C30" s="186"/>
      <c r="D30" s="186"/>
      <c r="E30" s="186"/>
      <c r="F30" s="186"/>
      <c r="G30" s="186"/>
      <c r="H30" s="186"/>
      <c r="I30" s="186"/>
      <c r="J30" s="186"/>
      <c r="K30" s="186"/>
    </row>
    <row r="31" spans="1:15" s="187" customFormat="1" ht="18" customHeight="1">
      <c r="A31" s="257" t="s">
        <v>309</v>
      </c>
      <c r="B31" s="186"/>
      <c r="C31" s="186"/>
      <c r="D31" s="186"/>
      <c r="E31" s="186"/>
      <c r="F31" s="186"/>
      <c r="G31" s="186"/>
      <c r="H31" s="186"/>
      <c r="I31" s="186"/>
      <c r="J31" s="186"/>
      <c r="K31" s="186"/>
    </row>
    <row r="32" spans="1:15" s="187" customFormat="1" ht="18" customHeight="1">
      <c r="A32" s="257" t="s">
        <v>310</v>
      </c>
      <c r="B32" s="186"/>
      <c r="C32" s="186"/>
      <c r="D32" s="186"/>
      <c r="E32" s="186"/>
      <c r="F32" s="186"/>
      <c r="G32" s="186"/>
      <c r="H32" s="186"/>
      <c r="I32" s="186"/>
      <c r="J32" s="186"/>
      <c r="K32" s="186"/>
    </row>
    <row r="33" spans="1:11" s="187" customFormat="1" ht="18" customHeight="1">
      <c r="A33" s="257" t="s">
        <v>311</v>
      </c>
      <c r="B33" s="186"/>
      <c r="C33" s="186"/>
      <c r="D33" s="186"/>
      <c r="E33" s="186"/>
      <c r="F33" s="186"/>
      <c r="G33" s="186"/>
      <c r="H33" s="186"/>
      <c r="I33" s="186"/>
      <c r="J33" s="186"/>
      <c r="K33" s="186"/>
    </row>
    <row r="34" spans="1:11" s="187" customFormat="1" ht="18" customHeight="1">
      <c r="A34" s="256" t="s">
        <v>312</v>
      </c>
      <c r="B34" s="186"/>
      <c r="C34" s="186"/>
      <c r="D34" s="186"/>
      <c r="E34" s="186"/>
      <c r="F34" s="186"/>
      <c r="G34" s="186"/>
      <c r="H34" s="186"/>
      <c r="I34" s="186"/>
      <c r="J34" s="186"/>
      <c r="K34" s="186"/>
    </row>
    <row r="35" spans="1:11" s="187" customFormat="1" ht="18" customHeight="1">
      <c r="A35" s="257" t="s">
        <v>313</v>
      </c>
      <c r="B35" s="186"/>
      <c r="C35" s="186"/>
      <c r="D35" s="186"/>
      <c r="E35" s="186"/>
      <c r="F35" s="186"/>
      <c r="G35" s="186"/>
      <c r="H35" s="186"/>
      <c r="I35" s="186"/>
      <c r="J35" s="186"/>
      <c r="K35" s="186"/>
    </row>
    <row r="36" spans="1:11" s="187" customFormat="1" ht="18" customHeight="1">
      <c r="A36" s="257" t="s">
        <v>314</v>
      </c>
      <c r="B36" s="186"/>
      <c r="C36" s="186"/>
      <c r="D36" s="186"/>
      <c r="E36" s="186"/>
      <c r="F36" s="186"/>
      <c r="G36" s="186"/>
      <c r="H36" s="186"/>
      <c r="I36" s="186"/>
      <c r="J36" s="186"/>
      <c r="K36" s="186"/>
    </row>
    <row r="37" spans="1:11" s="187" customFormat="1" ht="18" customHeight="1">
      <c r="A37" s="257" t="s">
        <v>315</v>
      </c>
      <c r="B37" s="186"/>
      <c r="C37" s="186"/>
      <c r="D37" s="186"/>
      <c r="E37" s="186"/>
      <c r="F37" s="186"/>
      <c r="G37" s="186"/>
      <c r="H37" s="186"/>
      <c r="I37" s="186"/>
      <c r="J37" s="186"/>
      <c r="K37" s="186"/>
    </row>
    <row r="38" spans="1:11" s="187" customFormat="1">
      <c r="A38" s="188"/>
    </row>
    <row r="39" spans="1:11" s="187" customFormat="1"/>
  </sheetData>
  <mergeCells count="10">
    <mergeCell ref="N5:N6"/>
    <mergeCell ref="A1:N1"/>
    <mergeCell ref="A2:N2"/>
    <mergeCell ref="A5:A6"/>
    <mergeCell ref="B5:B6"/>
    <mergeCell ref="C5:C6"/>
    <mergeCell ref="D5:D6"/>
    <mergeCell ref="E5:E6"/>
    <mergeCell ref="F5:F6"/>
    <mergeCell ref="G5:M5"/>
  </mergeCells>
  <phoneticPr fontId="16" type="noConversion"/>
  <dataValidations count="2">
    <dataValidation type="list" allowBlank="1" showInputMessage="1" showErrorMessage="1" sqref="E7:F16 L7:L16">
      <formula1>"是,否"</formula1>
    </dataValidation>
    <dataValidation type="list" allowBlank="1" showInputMessage="1" showErrorMessage="1" sqref="D7:D16">
      <formula1>"传真,电子邮件"</formula1>
    </dataValidation>
  </dataValidations>
  <hyperlinks>
    <hyperlink ref="N3" location="底稿目录!A1" display="底稿目录!A1"/>
  </hyperlinks>
  <pageMargins left="0.70866141732283472" right="0.70866141732283472" top="0.74803149606299213" bottom="0.74803149606299213" header="0.31496062992125984" footer="0.31496062992125984"/>
  <pageSetup paperSize="9" scale="70" orientation="landscape" blackAndWhite="1"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K31"/>
  <sheetViews>
    <sheetView view="pageBreakPreview" zoomScaleNormal="100" zoomScaleSheetLayoutView="100" workbookViewId="0">
      <selection activeCell="I3" sqref="I3"/>
    </sheetView>
  </sheetViews>
  <sheetFormatPr defaultRowHeight="14.4"/>
  <cols>
    <col min="1" max="2" width="8.796875" style="189"/>
    <col min="3" max="3" width="13" style="189" customWidth="1"/>
    <col min="4" max="5" width="8.796875" style="189"/>
    <col min="6" max="6" width="19.69921875" style="189" customWidth="1"/>
    <col min="7" max="7" width="9.69921875" style="189" customWidth="1"/>
    <col min="8" max="8" width="18.296875" style="189" customWidth="1"/>
    <col min="9" max="9" width="42.59765625" style="189" customWidth="1"/>
    <col min="10" max="16384" width="8.796875" style="189"/>
  </cols>
  <sheetData>
    <row r="1" spans="1:10" ht="19.05" customHeight="1">
      <c r="A1" s="405" t="s">
        <v>184</v>
      </c>
      <c r="B1" s="406"/>
      <c r="C1" s="406"/>
      <c r="D1" s="406"/>
      <c r="E1" s="406"/>
      <c r="F1" s="406"/>
      <c r="G1" s="406"/>
      <c r="H1" s="406"/>
      <c r="I1" s="406"/>
    </row>
    <row r="2" spans="1:10" ht="19.05" customHeight="1">
      <c r="A2" s="407" t="s">
        <v>185</v>
      </c>
      <c r="B2" s="408"/>
      <c r="C2" s="408"/>
      <c r="D2" s="408"/>
      <c r="E2" s="408"/>
      <c r="F2" s="408"/>
      <c r="G2" s="408"/>
      <c r="H2" s="408"/>
      <c r="I2" s="408"/>
      <c r="J2" s="38"/>
    </row>
    <row r="3" spans="1:10" ht="19.05" customHeight="1">
      <c r="A3" s="190" t="str">
        <f>底稿目录!A2</f>
        <v>被审计单位：</v>
      </c>
      <c r="B3" s="191"/>
      <c r="C3" s="192"/>
      <c r="D3" s="191" t="str">
        <f>底稿目录!A4</f>
        <v>编制人：</v>
      </c>
      <c r="F3" s="191" t="str">
        <f>底稿目录!A5</f>
        <v>编制日期：</v>
      </c>
      <c r="H3" s="203" t="s">
        <v>195</v>
      </c>
      <c r="I3" s="291" t="str">
        <f>底稿目录!F13</f>
        <v>K0-8</v>
      </c>
    </row>
    <row r="4" spans="1:10" ht="19.05" customHeight="1">
      <c r="A4" s="193" t="str">
        <f>底稿目录!A3</f>
        <v>截止日：202X年12月31日</v>
      </c>
      <c r="B4" s="191"/>
      <c r="C4" s="192"/>
      <c r="D4" s="191" t="str">
        <f>底稿目录!A6</f>
        <v>复核人：</v>
      </c>
      <c r="F4" s="191" t="str">
        <f>底稿目录!A7</f>
        <v>复核日期：</v>
      </c>
      <c r="H4" s="203" t="s">
        <v>17</v>
      </c>
    </row>
    <row r="5" spans="1:10" ht="19.05" customHeight="1">
      <c r="A5" s="409" t="s">
        <v>186</v>
      </c>
      <c r="B5" s="410"/>
      <c r="C5" s="410"/>
      <c r="D5" s="410"/>
      <c r="E5" s="410"/>
      <c r="F5" s="410"/>
      <c r="G5" s="194" t="s">
        <v>187</v>
      </c>
      <c r="H5" s="194" t="s">
        <v>188</v>
      </c>
      <c r="I5" s="194" t="s">
        <v>189</v>
      </c>
    </row>
    <row r="6" spans="1:10" ht="19.05" customHeight="1">
      <c r="A6" s="411" t="s">
        <v>420</v>
      </c>
      <c r="B6" s="411"/>
      <c r="C6" s="411"/>
      <c r="D6" s="411"/>
      <c r="E6" s="411"/>
      <c r="F6" s="411"/>
      <c r="G6" s="195"/>
      <c r="H6" s="195"/>
      <c r="I6" s="195"/>
    </row>
    <row r="7" spans="1:10" ht="19.05" customHeight="1">
      <c r="A7" s="402" t="s">
        <v>421</v>
      </c>
      <c r="B7" s="403"/>
      <c r="C7" s="403"/>
      <c r="D7" s="403"/>
      <c r="E7" s="403"/>
      <c r="F7" s="404"/>
      <c r="G7" s="195"/>
      <c r="H7" s="195"/>
      <c r="I7" s="195"/>
    </row>
    <row r="8" spans="1:10" ht="19.05" customHeight="1">
      <c r="A8" s="402" t="s">
        <v>422</v>
      </c>
      <c r="B8" s="403"/>
      <c r="C8" s="403"/>
      <c r="D8" s="403"/>
      <c r="E8" s="403"/>
      <c r="F8" s="404"/>
      <c r="G8" s="195"/>
      <c r="H8" s="195"/>
      <c r="I8" s="195"/>
    </row>
    <row r="9" spans="1:10" ht="19.05" customHeight="1">
      <c r="A9" s="402" t="s">
        <v>423</v>
      </c>
      <c r="B9" s="403"/>
      <c r="C9" s="403"/>
      <c r="D9" s="403"/>
      <c r="E9" s="403"/>
      <c r="F9" s="404"/>
      <c r="G9" s="195"/>
      <c r="H9" s="195"/>
      <c r="I9" s="195"/>
    </row>
    <row r="10" spans="1:10" ht="19.05" customHeight="1">
      <c r="A10" s="402" t="s">
        <v>424</v>
      </c>
      <c r="B10" s="403"/>
      <c r="C10" s="403"/>
      <c r="D10" s="403"/>
      <c r="E10" s="403"/>
      <c r="F10" s="404"/>
      <c r="G10" s="195"/>
      <c r="H10" s="195"/>
      <c r="I10" s="195"/>
    </row>
    <row r="11" spans="1:10" ht="19.05" customHeight="1">
      <c r="A11" s="402" t="s">
        <v>425</v>
      </c>
      <c r="B11" s="403"/>
      <c r="C11" s="403"/>
      <c r="D11" s="403"/>
      <c r="E11" s="403"/>
      <c r="F11" s="404"/>
      <c r="G11" s="195"/>
      <c r="H11" s="195"/>
      <c r="I11" s="195"/>
    </row>
    <row r="12" spans="1:10" ht="19.05" customHeight="1">
      <c r="A12" s="402" t="s">
        <v>426</v>
      </c>
      <c r="B12" s="403"/>
      <c r="C12" s="403"/>
      <c r="D12" s="403"/>
      <c r="E12" s="403"/>
      <c r="F12" s="404"/>
      <c r="G12" s="195"/>
      <c r="H12" s="195"/>
      <c r="I12" s="195"/>
    </row>
    <row r="13" spans="1:10" ht="19.05" customHeight="1">
      <c r="A13" s="402" t="s">
        <v>427</v>
      </c>
      <c r="B13" s="403"/>
      <c r="C13" s="403"/>
      <c r="D13" s="403"/>
      <c r="E13" s="403"/>
      <c r="F13" s="404"/>
      <c r="G13" s="195"/>
      <c r="H13" s="195"/>
      <c r="I13" s="195"/>
    </row>
    <row r="14" spans="1:10" ht="19.05" customHeight="1">
      <c r="A14" s="402" t="s">
        <v>428</v>
      </c>
      <c r="B14" s="403"/>
      <c r="C14" s="403"/>
      <c r="D14" s="403"/>
      <c r="E14" s="403"/>
      <c r="F14" s="404"/>
      <c r="G14" s="195"/>
      <c r="H14" s="195"/>
      <c r="I14" s="195"/>
    </row>
    <row r="15" spans="1:10" ht="35.4" customHeight="1">
      <c r="A15" s="402" t="s">
        <v>429</v>
      </c>
      <c r="B15" s="403"/>
      <c r="C15" s="403"/>
      <c r="D15" s="403"/>
      <c r="E15" s="403"/>
      <c r="F15" s="404"/>
      <c r="G15" s="195"/>
      <c r="H15" s="195"/>
      <c r="I15" s="195"/>
    </row>
    <row r="16" spans="1:10" ht="19.05" customHeight="1">
      <c r="A16" s="402" t="s">
        <v>430</v>
      </c>
      <c r="B16" s="403"/>
      <c r="C16" s="403"/>
      <c r="D16" s="403"/>
      <c r="E16" s="403"/>
      <c r="F16" s="404"/>
      <c r="G16" s="195"/>
      <c r="H16" s="195"/>
      <c r="I16" s="195"/>
    </row>
    <row r="17" spans="1:11" ht="40.799999999999997" customHeight="1">
      <c r="A17" s="402" t="s">
        <v>431</v>
      </c>
      <c r="B17" s="403"/>
      <c r="C17" s="403"/>
      <c r="D17" s="403"/>
      <c r="E17" s="403"/>
      <c r="F17" s="404"/>
      <c r="G17" s="195"/>
      <c r="H17" s="195"/>
      <c r="I17" s="195"/>
    </row>
    <row r="18" spans="1:11" ht="19.05" customHeight="1">
      <c r="A18" s="402" t="s">
        <v>432</v>
      </c>
      <c r="B18" s="403"/>
      <c r="C18" s="403"/>
      <c r="D18" s="403"/>
      <c r="E18" s="403"/>
      <c r="F18" s="404"/>
      <c r="G18" s="195"/>
      <c r="H18" s="195"/>
      <c r="I18" s="195"/>
    </row>
    <row r="19" spans="1:11" ht="19.05" customHeight="1">
      <c r="A19" s="402" t="s">
        <v>433</v>
      </c>
      <c r="B19" s="403"/>
      <c r="C19" s="403"/>
      <c r="D19" s="403"/>
      <c r="E19" s="403"/>
      <c r="F19" s="404"/>
      <c r="G19" s="195"/>
      <c r="H19" s="195"/>
      <c r="I19" s="195"/>
      <c r="J19" s="261" t="s">
        <v>319</v>
      </c>
      <c r="K19" s="204"/>
    </row>
    <row r="20" spans="1:11" ht="30" customHeight="1">
      <c r="A20" s="402" t="s">
        <v>441</v>
      </c>
      <c r="B20" s="403"/>
      <c r="C20" s="403"/>
      <c r="D20" s="403"/>
      <c r="E20" s="403"/>
      <c r="F20" s="404"/>
      <c r="G20" s="195"/>
      <c r="H20" s="195"/>
      <c r="I20" s="195"/>
      <c r="J20" s="261" t="s">
        <v>320</v>
      </c>
      <c r="K20" s="204"/>
    </row>
    <row r="21" spans="1:11" ht="29.4" customHeight="1">
      <c r="A21" s="402" t="s">
        <v>434</v>
      </c>
      <c r="B21" s="403"/>
      <c r="C21" s="403"/>
      <c r="D21" s="403"/>
      <c r="E21" s="403"/>
      <c r="F21" s="404"/>
      <c r="G21" s="195"/>
      <c r="H21" s="195"/>
      <c r="I21" s="195"/>
    </row>
    <row r="22" spans="1:11" ht="19.05" customHeight="1">
      <c r="A22" s="391" t="s">
        <v>435</v>
      </c>
      <c r="B22" s="392"/>
      <c r="C22" s="392"/>
      <c r="D22" s="392"/>
      <c r="E22" s="392"/>
      <c r="F22" s="393"/>
      <c r="G22" s="195"/>
      <c r="H22" s="195"/>
      <c r="I22" s="195"/>
    </row>
    <row r="23" spans="1:11" ht="19.05" customHeight="1">
      <c r="A23" s="391" t="s">
        <v>436</v>
      </c>
      <c r="B23" s="392"/>
      <c r="C23" s="392"/>
      <c r="D23" s="392"/>
      <c r="E23" s="392"/>
      <c r="F23" s="393"/>
      <c r="G23" s="195"/>
      <c r="H23" s="195"/>
      <c r="I23" s="195"/>
    </row>
    <row r="24" spans="1:11" ht="27" customHeight="1">
      <c r="A24" s="391" t="s">
        <v>442</v>
      </c>
      <c r="B24" s="392"/>
      <c r="C24" s="392"/>
      <c r="D24" s="392"/>
      <c r="E24" s="392"/>
      <c r="F24" s="393"/>
      <c r="G24" s="195"/>
      <c r="H24" s="195"/>
      <c r="I24" s="195"/>
    </row>
    <row r="25" spans="1:11" ht="19.05" customHeight="1">
      <c r="A25" s="394" t="s">
        <v>190</v>
      </c>
      <c r="B25" s="395"/>
      <c r="C25" s="395"/>
      <c r="D25" s="395"/>
      <c r="E25" s="395"/>
      <c r="F25" s="396"/>
      <c r="G25" s="195"/>
      <c r="H25" s="195"/>
      <c r="I25" s="195"/>
    </row>
    <row r="26" spans="1:11" ht="30" customHeight="1">
      <c r="A26" s="397" t="s">
        <v>209</v>
      </c>
      <c r="B26" s="398"/>
      <c r="C26" s="398"/>
      <c r="D26" s="398"/>
      <c r="E26" s="398"/>
      <c r="F26" s="399"/>
      <c r="G26" s="195"/>
      <c r="H26" s="196" t="s">
        <v>191</v>
      </c>
      <c r="I26" s="195"/>
    </row>
    <row r="27" spans="1:11" ht="19.05" customHeight="1">
      <c r="A27" s="197" t="s">
        <v>192</v>
      </c>
      <c r="B27" s="197"/>
      <c r="C27" s="197"/>
      <c r="D27" s="197"/>
      <c r="E27" s="197"/>
      <c r="F27" s="197"/>
      <c r="G27" s="197"/>
      <c r="H27" s="197"/>
      <c r="I27" s="197"/>
    </row>
    <row r="28" spans="1:11" ht="19.05" customHeight="1">
      <c r="A28" s="185"/>
      <c r="B28" s="185"/>
      <c r="C28" s="185"/>
      <c r="D28" s="185"/>
      <c r="E28" s="185"/>
      <c r="F28" s="185"/>
      <c r="G28" s="185"/>
      <c r="H28" s="185"/>
      <c r="I28" s="185"/>
    </row>
    <row r="29" spans="1:11" ht="19.05" customHeight="1">
      <c r="A29" s="185" t="s">
        <v>203</v>
      </c>
      <c r="B29" s="185"/>
      <c r="C29" s="185"/>
      <c r="D29" s="185"/>
      <c r="E29" s="185"/>
      <c r="F29" s="185"/>
      <c r="G29" s="185"/>
      <c r="H29" s="185"/>
      <c r="I29" s="185"/>
    </row>
    <row r="30" spans="1:11" ht="19.05" customHeight="1">
      <c r="A30" s="185"/>
      <c r="B30" s="185"/>
      <c r="C30" s="185"/>
      <c r="D30" s="185"/>
      <c r="E30" s="185"/>
      <c r="F30" s="185"/>
      <c r="G30" s="185"/>
      <c r="H30" s="185"/>
      <c r="I30" s="185"/>
    </row>
    <row r="31" spans="1:11" ht="108.6" customHeight="1">
      <c r="A31" s="400" t="s">
        <v>381</v>
      </c>
      <c r="B31" s="401"/>
      <c r="C31" s="401"/>
      <c r="D31" s="401"/>
      <c r="E31" s="401"/>
      <c r="F31" s="401"/>
      <c r="G31" s="401"/>
      <c r="H31" s="401"/>
      <c r="I31" s="401"/>
    </row>
  </sheetData>
  <mergeCells count="25">
    <mergeCell ref="A15:F15"/>
    <mergeCell ref="A1:I1"/>
    <mergeCell ref="A2:I2"/>
    <mergeCell ref="A5:F5"/>
    <mergeCell ref="A6:F6"/>
    <mergeCell ref="A7:F7"/>
    <mergeCell ref="A8:F8"/>
    <mergeCell ref="A9:F9"/>
    <mergeCell ref="A10:F10"/>
    <mergeCell ref="A11:F11"/>
    <mergeCell ref="A12:F12"/>
    <mergeCell ref="A13:F13"/>
    <mergeCell ref="A14:F14"/>
    <mergeCell ref="A22:F22"/>
    <mergeCell ref="A25:F25"/>
    <mergeCell ref="A26:F26"/>
    <mergeCell ref="A31:I31"/>
    <mergeCell ref="A16:F16"/>
    <mergeCell ref="A17:F17"/>
    <mergeCell ref="A18:F18"/>
    <mergeCell ref="A19:F19"/>
    <mergeCell ref="A20:F20"/>
    <mergeCell ref="A21:F21"/>
    <mergeCell ref="A23:F23"/>
    <mergeCell ref="A24:F24"/>
  </mergeCells>
  <phoneticPr fontId="16" type="noConversion"/>
  <dataValidations count="1">
    <dataValidation type="list" allowBlank="1" showInputMessage="1" showErrorMessage="1" sqref="G6:G26">
      <formula1>"是,否"</formula1>
    </dataValidation>
  </dataValidations>
  <hyperlinks>
    <hyperlink ref="I3" location="底稿目录!A1" display="底稿目录!A1"/>
  </hyperlinks>
  <pageMargins left="0.70866141732283472" right="0.70866141732283472" top="0.74803149606299213" bottom="0.74803149606299213" header="0.31496062992125984" footer="0.31496062992125984"/>
  <pageSetup paperSize="9" scale="79" fitToHeight="0" orientation="landscape" blackAndWhite="1" r:id="rId1"/>
  <headerFooter>
    <oddFooter>&amp;C&amp;P/&amp;N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12</vt:i4>
      </vt:variant>
    </vt:vector>
  </HeadingPairs>
  <TitlesOfParts>
    <vt:vector size="23" baseType="lpstr">
      <vt:lpstr>底稿目录</vt:lpstr>
      <vt:lpstr>函证程序表K0A</vt:lpstr>
      <vt:lpstr>函证结果汇总表K0-1</vt:lpstr>
      <vt:lpstr>核实被函证单位信息K0-2</vt:lpstr>
      <vt:lpstr>跟函函证过程控制K0-3</vt:lpstr>
      <vt:lpstr>函证差异调节表K0-4</vt:lpstr>
      <vt:lpstr>其他应收款替代程序K0-5</vt:lpstr>
      <vt:lpstr>其他应付款替代程序K0-6</vt:lpstr>
      <vt:lpstr>邮件传真回函可靠性验证K0-7</vt:lpstr>
      <vt:lpstr>函证程序舞弊风险评价表K0-8</vt:lpstr>
      <vt:lpstr>GT_Custom</vt:lpstr>
      <vt:lpstr>'跟函函证过程控制K0-3'!Print_Area</vt:lpstr>
      <vt:lpstr>'函证差异调节表K0-4'!Print_Area</vt:lpstr>
      <vt:lpstr>函证程序表K0A!Print_Area</vt:lpstr>
      <vt:lpstr>'函证程序舞弊风险评价表K0-8'!Print_Area</vt:lpstr>
      <vt:lpstr>'函证结果汇总表K0-1'!Print_Area</vt:lpstr>
      <vt:lpstr>'核实被函证单位信息K0-2'!Print_Area</vt:lpstr>
      <vt:lpstr>'其他应付款替代程序K0-6'!Print_Area</vt:lpstr>
      <vt:lpstr>'其他应收款替代程序K0-5'!Print_Area</vt:lpstr>
      <vt:lpstr>'邮件传真回函可靠性验证K0-7'!Print_Area</vt:lpstr>
      <vt:lpstr>函证程序表K0A!Print_Titles</vt:lpstr>
      <vt:lpstr>'函证结果汇总表K0-1'!Print_Titles</vt:lpstr>
      <vt:lpstr>'核实被函证单位信息K0-2'!Print_Titles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2025-10-27T08:20:14Z</cp:lastPrinted>
  <dcterms:created xsi:type="dcterms:W3CDTF">2007-05-20T08:51:05Z</dcterms:created>
  <dcterms:modified xsi:type="dcterms:W3CDTF">2025-11-05T07:00:30Z</dcterms:modified>
</cp:coreProperties>
</file>