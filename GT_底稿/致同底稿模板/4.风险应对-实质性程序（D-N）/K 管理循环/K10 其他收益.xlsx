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80" yWindow="60" windowWidth="14916" windowHeight="7740" tabRatio="858"/>
  </bookViews>
  <sheets>
    <sheet name="底稿目录" sheetId="1" r:id="rId1"/>
    <sheet name="实质性程序表K10A" sheetId="26" r:id="rId2"/>
    <sheet name="审定表K10-1" sheetId="15" r:id="rId3"/>
    <sheet name="附注披露信息（上市公司）" sheetId="21" r:id="rId4"/>
    <sheet name="附注披露信息（国企）" sheetId="24" r:id="rId5"/>
    <sheet name="明细表K10-2" sheetId="25" r:id="rId6"/>
    <sheet name="调整分录汇总K10-3" sheetId="27" r:id="rId7"/>
    <sheet name="政府补助核对表K10-4" sheetId="29" r:id="rId8"/>
    <sheet name="应收政府补助检查表K10-5" sheetId="30" r:id="rId9"/>
    <sheet name="其他收益检查表K10-6" sheetId="20" r:id="rId10"/>
    <sheet name="GT_Custom" sheetId="22" state="hidden" r:id="rId11"/>
  </sheets>
  <definedNames>
    <definedName name="_xlnm._FilterDatabase" localSheetId="1">实质性程序表K10A!$A$15:$I$26</definedName>
    <definedName name="AS2DocOpenMode">"AS2DocumentEdit"</definedName>
    <definedName name="_xlnm.Print_Area" localSheetId="6">'调整分录汇总K10-3'!$A$1:$J$20</definedName>
    <definedName name="_xlnm.Print_Area" localSheetId="4">'附注披露信息（国企）'!$A$1:$E$17</definedName>
    <definedName name="_xlnm.Print_Area" localSheetId="3">'附注披露信息（上市公司）'!$A$1:$E$18</definedName>
    <definedName name="_xlnm.Print_Area" localSheetId="5">'明细表K10-2'!$A$1:$L$22</definedName>
    <definedName name="_xlnm.Print_Area" localSheetId="9">'其他收益检查表K10-6'!$A$1:$Q$30</definedName>
    <definedName name="_xlnm.Print_Area" localSheetId="2">'审定表K10-1'!$A$1:$K$19</definedName>
    <definedName name="_xlnm.Print_Area" localSheetId="1">实质性程序表K10A!$A$1:$I$26</definedName>
    <definedName name="_xlnm.Print_Area" localSheetId="8">'应收政府补助检查表K10-5'!$A$1:$H$29</definedName>
    <definedName name="_xlnm.Print_Area" localSheetId="7">'政府补助核对表K10-4'!$A$1:$S$37</definedName>
    <definedName name="_xlnm.Print_Titles" localSheetId="2">'审定表K10-1'!$1:$4</definedName>
    <definedName name="_xlnm.Print_Titles" localSheetId="1">实质性程序表K10A!$15:$15</definedName>
  </definedNames>
  <calcPr calcId="162913"/>
</workbook>
</file>

<file path=xl/calcChain.xml><?xml version="1.0" encoding="utf-8"?>
<calcChain xmlns="http://schemas.openxmlformats.org/spreadsheetml/2006/main">
  <c r="B9" i="24" l="1"/>
  <c r="C9" i="24"/>
  <c r="B10" i="24"/>
  <c r="C10" i="24"/>
  <c r="B11" i="24"/>
  <c r="C11" i="24"/>
  <c r="B12" i="24"/>
  <c r="C12" i="24"/>
  <c r="B13" i="24"/>
  <c r="C13" i="24"/>
  <c r="B8" i="24"/>
  <c r="A9" i="24"/>
  <c r="A10" i="24"/>
  <c r="A11" i="24"/>
  <c r="A12" i="24"/>
  <c r="A13" i="24"/>
  <c r="B9" i="21"/>
  <c r="C9" i="21"/>
  <c r="B10" i="21"/>
  <c r="C10" i="21"/>
  <c r="B11" i="21"/>
  <c r="C11" i="21"/>
  <c r="B12" i="21"/>
  <c r="C12" i="21"/>
  <c r="B13" i="21"/>
  <c r="C13" i="21"/>
  <c r="A9" i="21"/>
  <c r="A10" i="21"/>
  <c r="A11" i="21"/>
  <c r="A12" i="21"/>
  <c r="A13" i="21"/>
  <c r="A8" i="21"/>
  <c r="G7" i="15"/>
  <c r="J7" i="15" s="1"/>
  <c r="H7" i="15"/>
  <c r="I7" i="15"/>
  <c r="G8" i="15"/>
  <c r="J8" i="15" s="1"/>
  <c r="H8" i="15"/>
  <c r="I8" i="15"/>
  <c r="G9" i="15"/>
  <c r="J9" i="15" s="1"/>
  <c r="H9" i="15"/>
  <c r="I9" i="15"/>
  <c r="G10" i="15"/>
  <c r="J10" i="15" s="1"/>
  <c r="H10" i="15"/>
  <c r="I10" i="15"/>
  <c r="G11" i="15"/>
  <c r="J11" i="15" s="1"/>
  <c r="H11" i="15"/>
  <c r="I11" i="15"/>
  <c r="C11" i="15"/>
  <c r="E11" i="15" s="1"/>
  <c r="D11" i="15"/>
  <c r="E7" i="15"/>
  <c r="E8" i="15"/>
  <c r="E9" i="15"/>
  <c r="E10" i="15"/>
  <c r="C7" i="15"/>
  <c r="D7" i="15"/>
  <c r="C8" i="15"/>
  <c r="D8" i="15"/>
  <c r="C9" i="15"/>
  <c r="D9" i="15"/>
  <c r="C10" i="15"/>
  <c r="D10" i="15"/>
  <c r="B11" i="15"/>
  <c r="B7" i="15"/>
  <c r="B8" i="15"/>
  <c r="B9" i="15"/>
  <c r="B10" i="15"/>
  <c r="K12" i="25"/>
  <c r="K13" i="25"/>
  <c r="K14" i="25"/>
  <c r="G12" i="25"/>
  <c r="G13" i="25"/>
  <c r="G14" i="25"/>
  <c r="A7" i="15"/>
  <c r="A8" i="15"/>
  <c r="A9" i="15"/>
  <c r="A10" i="15"/>
  <c r="A11" i="15"/>
  <c r="A6" i="15"/>
  <c r="G22" i="20" l="1"/>
  <c r="C15" i="30" l="1"/>
  <c r="P12" i="29" l="1"/>
  <c r="R16" i="29" l="1"/>
  <c r="G22" i="29"/>
  <c r="H22" i="29"/>
  <c r="I22" i="29"/>
  <c r="J22" i="29"/>
  <c r="J23" i="29" s="1"/>
  <c r="E33" i="29" s="1"/>
  <c r="K22" i="29"/>
  <c r="L22" i="29"/>
  <c r="M22" i="29"/>
  <c r="N22" i="29"/>
  <c r="O22" i="29"/>
  <c r="R22" i="29"/>
  <c r="F22" i="29"/>
  <c r="B22" i="29"/>
  <c r="K16" i="29"/>
  <c r="G16" i="29"/>
  <c r="H16" i="29"/>
  <c r="I16" i="29"/>
  <c r="J16" i="29"/>
  <c r="L16" i="29"/>
  <c r="M16" i="29"/>
  <c r="N16" i="29"/>
  <c r="O16" i="29"/>
  <c r="F16" i="29"/>
  <c r="B16" i="29"/>
  <c r="P15" i="29"/>
  <c r="L23" i="29" l="1"/>
  <c r="N23" i="29"/>
  <c r="I23" i="29"/>
  <c r="O23" i="29"/>
  <c r="G23" i="29"/>
  <c r="B23" i="29"/>
  <c r="M23" i="29"/>
  <c r="F23" i="29"/>
  <c r="H23" i="29"/>
  <c r="K23" i="29"/>
  <c r="R23" i="29"/>
  <c r="J32" i="29" s="1"/>
  <c r="E31" i="29" l="1"/>
  <c r="E32" i="29"/>
  <c r="J30" i="29"/>
  <c r="E30" i="29"/>
  <c r="S3" i="29"/>
  <c r="P19" i="29" l="1"/>
  <c r="P20" i="29"/>
  <c r="P21" i="29"/>
  <c r="P18" i="29"/>
  <c r="P13" i="29"/>
  <c r="P14" i="29"/>
  <c r="P22" i="29" l="1"/>
  <c r="P16" i="29"/>
  <c r="H3" i="30"/>
  <c r="E4" i="30"/>
  <c r="E3" i="30"/>
  <c r="C4" i="30"/>
  <c r="C3" i="30"/>
  <c r="A4" i="30"/>
  <c r="A3" i="30"/>
  <c r="Q3" i="20"/>
  <c r="B15" i="30"/>
  <c r="P23" i="29" l="1"/>
  <c r="J31" i="29" s="1"/>
  <c r="K4" i="29"/>
  <c r="E4" i="29"/>
  <c r="A4" i="29"/>
  <c r="K3" i="29"/>
  <c r="E3" i="29"/>
  <c r="A3" i="29"/>
  <c r="A3" i="26" l="1"/>
  <c r="A4" i="26"/>
  <c r="J3" i="27" l="1"/>
  <c r="L3" i="25"/>
  <c r="E3" i="24"/>
  <c r="E3" i="21"/>
  <c r="K3" i="15"/>
  <c r="I3" i="26"/>
  <c r="I4" i="20" l="1"/>
  <c r="F4" i="20"/>
  <c r="H4" i="25"/>
  <c r="D4" i="25"/>
  <c r="C4" i="24"/>
  <c r="B4" i="24"/>
  <c r="C4" i="21"/>
  <c r="B4" i="21"/>
  <c r="H4" i="15"/>
  <c r="C4" i="15"/>
  <c r="E4" i="26"/>
  <c r="C4" i="26"/>
  <c r="F4" i="27" l="1"/>
  <c r="F3" i="27"/>
  <c r="C4" i="27"/>
  <c r="C3" i="27"/>
  <c r="A4" i="27"/>
  <c r="A3" i="27"/>
  <c r="E3" i="26" l="1"/>
  <c r="C3" i="26"/>
  <c r="I6" i="15" l="1"/>
  <c r="H6" i="15"/>
  <c r="G6" i="15"/>
  <c r="D6" i="15"/>
  <c r="C6" i="15"/>
  <c r="B6" i="15"/>
  <c r="B12" i="15" l="1"/>
  <c r="I12" i="15"/>
  <c r="G12" i="15"/>
  <c r="C12" i="15"/>
  <c r="D12" i="15"/>
  <c r="H12" i="15"/>
  <c r="K15" i="25"/>
  <c r="K16" i="25"/>
  <c r="K11" i="25"/>
  <c r="E17" i="25"/>
  <c r="F17" i="25"/>
  <c r="H17" i="25"/>
  <c r="I17" i="25"/>
  <c r="J17" i="25"/>
  <c r="D17" i="25"/>
  <c r="G15" i="25"/>
  <c r="G16" i="25"/>
  <c r="G11" i="25"/>
  <c r="B8" i="21" s="1"/>
  <c r="G17" i="25" l="1"/>
  <c r="K17" i="25"/>
  <c r="C8" i="24"/>
  <c r="A8" i="24"/>
  <c r="C8" i="21"/>
  <c r="A4" i="25"/>
  <c r="H3" i="25"/>
  <c r="D3" i="25"/>
  <c r="A3" i="25"/>
  <c r="G23" i="20" l="1"/>
  <c r="G24" i="20" s="1"/>
  <c r="C14" i="21" l="1"/>
  <c r="B14" i="21"/>
  <c r="C14" i="24"/>
  <c r="B14" i="24"/>
  <c r="A4" i="24"/>
  <c r="C3" i="24"/>
  <c r="B3" i="24"/>
  <c r="A3" i="24"/>
  <c r="A4" i="21" l="1"/>
  <c r="C3" i="21"/>
  <c r="B3" i="21"/>
  <c r="A3" i="21"/>
  <c r="I3" i="20"/>
  <c r="F3" i="20"/>
  <c r="A4" i="20"/>
  <c r="A3" i="20"/>
  <c r="H3" i="15"/>
  <c r="C3" i="15"/>
  <c r="A4" i="15"/>
  <c r="A3" i="15"/>
  <c r="J6" i="15" l="1"/>
  <c r="E6" i="15"/>
  <c r="E12" i="15" l="1"/>
  <c r="E14" i="15" s="1"/>
  <c r="J12" i="15"/>
  <c r="J14" i="15"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A12" authorId="0" shapeId="0">
      <text>
        <r>
          <rPr>
            <b/>
            <sz val="9"/>
            <color indexed="81"/>
            <rFont val="宋体"/>
            <family val="3"/>
            <charset val="134"/>
          </rPr>
          <t>专业技术部:</t>
        </r>
        <r>
          <rPr>
            <sz val="9"/>
            <color indexed="81"/>
            <rFont val="宋体"/>
            <family val="3"/>
            <charset val="134"/>
          </rPr>
          <t xml:space="preserve">
不属于政府补助</t>
        </r>
      </text>
    </comment>
    <comment ref="A14" authorId="0" shapeId="0">
      <text>
        <r>
          <rPr>
            <b/>
            <sz val="9"/>
            <color indexed="81"/>
            <rFont val="宋体"/>
            <family val="3"/>
            <charset val="134"/>
          </rPr>
          <t>专业技术部:</t>
        </r>
        <r>
          <rPr>
            <sz val="9"/>
            <color indexed="81"/>
            <rFont val="宋体"/>
            <family val="3"/>
            <charset val="134"/>
          </rPr>
          <t xml:space="preserve">
不属于政府补助</t>
        </r>
      </text>
    </comment>
  </commentList>
</comments>
</file>

<file path=xl/sharedStrings.xml><?xml version="1.0" encoding="utf-8"?>
<sst xmlns="http://schemas.openxmlformats.org/spreadsheetml/2006/main" count="385" uniqueCount="321">
  <si>
    <t>C1</t>
  </si>
  <si>
    <t>Custom 1</t>
  </si>
  <si>
    <t>C2</t>
  </si>
  <si>
    <t>Custom 2</t>
  </si>
  <si>
    <t>C3</t>
  </si>
  <si>
    <t>Custom 3</t>
  </si>
  <si>
    <t>C4</t>
  </si>
  <si>
    <t>Custom 4</t>
  </si>
  <si>
    <t>C5</t>
  </si>
  <si>
    <t>Custom 5</t>
  </si>
  <si>
    <t>C6</t>
  </si>
  <si>
    <t>Custom 6</t>
  </si>
  <si>
    <t>C7</t>
  </si>
  <si>
    <t>Custom 7</t>
  </si>
  <si>
    <t>C8</t>
  </si>
  <si>
    <t>Custom 8</t>
  </si>
  <si>
    <t>致同会计师事务所</t>
  </si>
  <si>
    <r>
      <rPr>
        <sz val="10"/>
        <rFont val="宋体"/>
        <family val="3"/>
        <charset val="134"/>
      </rPr>
      <t>页次：</t>
    </r>
  </si>
  <si>
    <r>
      <rPr>
        <b/>
        <sz val="10"/>
        <color indexed="8"/>
        <rFont val="宋体"/>
        <family val="3"/>
        <charset val="134"/>
      </rPr>
      <t>一、审计目标：</t>
    </r>
    <phoneticPr fontId="12" type="noConversion"/>
  </si>
  <si>
    <r>
      <rPr>
        <b/>
        <sz val="10"/>
        <color indexed="8"/>
        <rFont val="宋体"/>
        <family val="3"/>
        <charset val="134"/>
      </rPr>
      <t>二、审计过程</t>
    </r>
    <r>
      <rPr>
        <b/>
        <sz val="10"/>
        <color indexed="8"/>
        <rFont val="Arial Narrow"/>
        <family val="2"/>
      </rPr>
      <t>:</t>
    </r>
    <phoneticPr fontId="12" type="noConversion"/>
  </si>
  <si>
    <r>
      <rPr>
        <b/>
        <sz val="10"/>
        <rFont val="宋体"/>
        <family val="3"/>
        <charset val="134"/>
      </rPr>
      <t>重分类调整</t>
    </r>
    <phoneticPr fontId="12" type="noConversion"/>
  </si>
  <si>
    <r>
      <rPr>
        <b/>
        <sz val="10"/>
        <rFont val="宋体"/>
        <family val="3"/>
        <charset val="134"/>
      </rPr>
      <t>合计</t>
    </r>
  </si>
  <si>
    <r>
      <rPr>
        <b/>
        <sz val="10"/>
        <rFont val="宋体"/>
        <family val="3"/>
        <charset val="134"/>
      </rPr>
      <t>四、审计结论：</t>
    </r>
    <phoneticPr fontId="12" type="noConversion"/>
  </si>
  <si>
    <t>页次：</t>
    <phoneticPr fontId="12" type="noConversion"/>
  </si>
  <si>
    <r>
      <rPr>
        <b/>
        <sz val="10"/>
        <rFont val="宋体"/>
        <family val="3"/>
        <charset val="134"/>
      </rPr>
      <t>二、审计过程：</t>
    </r>
    <phoneticPr fontId="18" type="noConversion"/>
  </si>
  <si>
    <r>
      <rPr>
        <b/>
        <sz val="10"/>
        <rFont val="宋体"/>
        <family val="3"/>
        <charset val="134"/>
      </rPr>
      <t>三、审计说明：</t>
    </r>
    <phoneticPr fontId="18" type="noConversion"/>
  </si>
  <si>
    <t>账项调整</t>
    <phoneticPr fontId="12" type="noConversion"/>
  </si>
  <si>
    <t>本期审计调整</t>
    <phoneticPr fontId="12" type="noConversion"/>
  </si>
  <si>
    <t>上年同期审计调整</t>
    <phoneticPr fontId="12" type="noConversion"/>
  </si>
  <si>
    <t>本期未审数</t>
    <phoneticPr fontId="12" type="noConversion"/>
  </si>
  <si>
    <r>
      <rPr>
        <b/>
        <sz val="10"/>
        <rFont val="宋体"/>
        <family val="3"/>
        <charset val="134"/>
      </rPr>
      <t>期末审定数</t>
    </r>
    <phoneticPr fontId="12" type="noConversion"/>
  </si>
  <si>
    <t>合计</t>
    <phoneticPr fontId="12" type="noConversion"/>
  </si>
  <si>
    <t>本期发生额</t>
  </si>
  <si>
    <t>上期发生额</t>
  </si>
  <si>
    <t>项  目</t>
  </si>
  <si>
    <t>合  计</t>
  </si>
  <si>
    <t>附注披露信息（国企）：</t>
    <phoneticPr fontId="12" type="noConversion"/>
  </si>
  <si>
    <t>说明：</t>
  </si>
  <si>
    <r>
      <rPr>
        <b/>
        <sz val="10"/>
        <rFont val="宋体"/>
        <family val="3"/>
        <charset val="134"/>
      </rPr>
      <t>审计调整</t>
    </r>
    <phoneticPr fontId="12" type="noConversion"/>
  </si>
  <si>
    <r>
      <rPr>
        <b/>
        <sz val="10"/>
        <rFont val="宋体"/>
        <family val="3"/>
        <charset val="134"/>
      </rPr>
      <t>重分类调整</t>
    </r>
    <phoneticPr fontId="12" type="noConversion"/>
  </si>
  <si>
    <r>
      <rPr>
        <b/>
        <sz val="10"/>
        <rFont val="宋体"/>
        <family val="3"/>
        <charset val="134"/>
      </rPr>
      <t>索引号</t>
    </r>
  </si>
  <si>
    <r>
      <rPr>
        <b/>
        <sz val="10"/>
        <rFont val="宋体"/>
        <family val="3"/>
        <charset val="134"/>
      </rPr>
      <t>备注</t>
    </r>
  </si>
  <si>
    <r>
      <rPr>
        <b/>
        <sz val="12"/>
        <rFont val="宋体"/>
        <family val="3"/>
        <charset val="134"/>
      </rPr>
      <t>底稿开列时，可先在以下单元格填写有关内容，以便其他底稿引用有关数据：</t>
    </r>
    <phoneticPr fontId="12" type="noConversion"/>
  </si>
  <si>
    <t>本期审定数</t>
    <phoneticPr fontId="12" type="noConversion"/>
  </si>
  <si>
    <t>上期未审数</t>
    <phoneticPr fontId="12" type="noConversion"/>
  </si>
  <si>
    <t>上期审定数</t>
    <phoneticPr fontId="12" type="noConversion"/>
  </si>
  <si>
    <t>其他收益审定表</t>
    <phoneticPr fontId="12" type="noConversion"/>
  </si>
  <si>
    <t>其他收益明细表</t>
    <phoneticPr fontId="12" type="noConversion"/>
  </si>
  <si>
    <t>三、审计说明：</t>
    <phoneticPr fontId="12" type="noConversion"/>
  </si>
  <si>
    <t>四、审计结论：</t>
    <phoneticPr fontId="12" type="noConversion"/>
  </si>
  <si>
    <t>其他收益附注披露信息</t>
    <phoneticPr fontId="12" type="noConversion"/>
  </si>
  <si>
    <r>
      <t xml:space="preserve">CAS 16 </t>
    </r>
    <r>
      <rPr>
        <sz val="10"/>
        <color indexed="12"/>
        <rFont val="宋体"/>
        <family val="3"/>
        <charset val="134"/>
      </rPr>
      <t>（</t>
    </r>
    <r>
      <rPr>
        <sz val="10"/>
        <color indexed="12"/>
        <rFont val="Arial Narrow"/>
        <family val="2"/>
      </rPr>
      <t>2017</t>
    </r>
    <r>
      <rPr>
        <sz val="10"/>
        <color indexed="12"/>
        <rFont val="宋体"/>
        <family val="3"/>
        <charset val="134"/>
      </rPr>
      <t>）：与企业日常活动相关的政府补助，应当按照经济业务实质，计入其他收益或冲减相关成本费用。与企业日常活动无关的政府补助，应当计入营业外收支。</t>
    </r>
    <phoneticPr fontId="12" type="noConversion"/>
  </si>
  <si>
    <t>财政部-关于2018年度一般企业财务报表格式有关问题的解读：个人所得税手续费返还应作为其他与日常活动相关的项目在利润表的“其他收益”项目中填列。</t>
    <phoneticPr fontId="12" type="noConversion"/>
  </si>
  <si>
    <t>……</t>
    <phoneticPr fontId="12" type="noConversion"/>
  </si>
  <si>
    <r>
      <rPr>
        <b/>
        <sz val="10"/>
        <rFont val="宋体"/>
        <family val="3"/>
        <charset val="134"/>
      </rPr>
      <t>一、本账户涉及的科目</t>
    </r>
    <phoneticPr fontId="12" type="noConversion"/>
  </si>
  <si>
    <r>
      <rPr>
        <b/>
        <sz val="10"/>
        <rFont val="宋体"/>
        <family val="3"/>
        <charset val="134"/>
      </rPr>
      <t>财务报表的认定　</t>
    </r>
  </si>
  <si>
    <t>发生</t>
    <phoneticPr fontId="12" type="noConversion"/>
  </si>
  <si>
    <r>
      <rPr>
        <sz val="10"/>
        <rFont val="宋体"/>
        <family val="3"/>
        <charset val="134"/>
      </rPr>
      <t>完整性</t>
    </r>
    <phoneticPr fontId="12" type="noConversion"/>
  </si>
  <si>
    <t>准确性</t>
    <phoneticPr fontId="12" type="noConversion"/>
  </si>
  <si>
    <r>
      <rPr>
        <b/>
        <sz val="10"/>
        <rFont val="宋体"/>
        <family val="3"/>
        <charset val="134"/>
      </rPr>
      <t>三、计划实施的实质性程序</t>
    </r>
    <phoneticPr fontId="12" type="noConversion"/>
  </si>
  <si>
    <t>2</t>
  </si>
  <si>
    <t>3</t>
  </si>
  <si>
    <t>4</t>
  </si>
  <si>
    <t>5</t>
  </si>
  <si>
    <t>6</t>
  </si>
  <si>
    <t>其他收益实质性程序表</t>
    <phoneticPr fontId="33" type="noConversion"/>
  </si>
  <si>
    <t>其他收益</t>
    <phoneticPr fontId="33" type="noConversion"/>
  </si>
  <si>
    <t>试算平衡表数</t>
    <phoneticPr fontId="12" type="noConversion"/>
  </si>
  <si>
    <t>差异数</t>
    <phoneticPr fontId="12" type="noConversion"/>
  </si>
  <si>
    <t>调整事项说明</t>
    <phoneticPr fontId="12" type="noConversion"/>
  </si>
  <si>
    <t>类别（报表调整/账项调整/其他）</t>
    <phoneticPr fontId="12" type="noConversion"/>
  </si>
  <si>
    <t>科目名称</t>
    <phoneticPr fontId="12" type="noConversion"/>
  </si>
  <si>
    <t>附注项目</t>
    <phoneticPr fontId="12" type="noConversion"/>
  </si>
  <si>
    <t>借方调整金额</t>
    <phoneticPr fontId="12" type="noConversion"/>
  </si>
  <si>
    <t>贷方调整金额</t>
    <phoneticPr fontId="12" type="noConversion"/>
  </si>
  <si>
    <t>索引</t>
    <phoneticPr fontId="12" type="noConversion"/>
  </si>
  <si>
    <t>备注</t>
    <phoneticPr fontId="12" type="noConversion"/>
  </si>
  <si>
    <t>其他收益调整分录汇总表</t>
    <phoneticPr fontId="12" type="noConversion"/>
  </si>
  <si>
    <r>
      <t>其他收益</t>
    </r>
    <r>
      <rPr>
        <sz val="10"/>
        <color rgb="FF0000FF"/>
        <rFont val="宋体"/>
        <family val="3"/>
        <charset val="134"/>
        <scheme val="minor"/>
      </rPr>
      <t>【提示：与日常活动相关的政府补助，采用总额法时计入其他收益。】</t>
    </r>
    <phoneticPr fontId="12" type="noConversion"/>
  </si>
  <si>
    <r>
      <rPr>
        <b/>
        <sz val="12"/>
        <rFont val="宋体"/>
        <family val="3"/>
        <charset val="134"/>
      </rPr>
      <t>附注披露信息（上市公司）：</t>
    </r>
    <phoneticPr fontId="12" type="noConversion"/>
  </si>
  <si>
    <t>项目</t>
    <phoneticPr fontId="12" type="noConversion"/>
  </si>
  <si>
    <t>政府补助的具体信息，详见附附注八、政府补助。</t>
    <phoneticPr fontId="12" type="noConversion"/>
  </si>
  <si>
    <t>【提示：（1）与日常活动相关的政府补助，采用总额法时计入其他收益；（2）填列企业作为个人所得税的扣缴义务人，根据《中华人民共和国个人所得税法》收到的扣缴税款手续费；（3）进项税加计扣除；在“实际缴纳增值税时”，将增值税进项税额加计扣除金额计入“其他收益”科目（4）债务重组中，债务人以非金融资产（存货、固定资产、无形资产等）清偿债务的，所清偿债务账面价值与存货等账面价值之间的差额，记入“其他收益”；（5）企业超比例安排残疾人就业或者为安排残疾人就业做出显著成绩，按规定收到的奖励，计入“其他收益”科目；（6）对于小微企业达到增值税制度规定的免征增值税条件时，应当按照《增值税会计处理规定》（财会〔2016〕22号）的相关规定进行会计处理，将有关应交增值税转入“其他收益”科目；（7）对于当期直接减免的增值税，企业应当根据《增值税会计处理规定》（财会〔2016〕22号）的相关规定进行会计处理，借记“应交税费——应交增值税（减免税款）”科目，贷记“其他收益”科目。】</t>
    <phoneticPr fontId="12" type="noConversion"/>
  </si>
  <si>
    <t>【提示：（1）与日常活动相关的政府补助，采用总额法时计入其他收益；（2）填列企业作为个人所得税的扣缴义务人，根据《中华人民共和国个人所得税法》收到的扣缴税款手续费；（3）进项税加计扣除；（4）债务重组中，债务人以非金融资产（存货、固定资产、无形资产等）清偿债务的，所清偿债务账面价值与存货等账面价值之间的差额，记入“其他收益”；（5）企业超比例安排残疾人就业或者为安排残疾人就业做出显著成绩，按规定收到的奖励，计入“其他收益”科目；（6）对于小微企业达到增值税制度规定的免征增值税条件时，应当按照《增值税会计处理规定》（财会〔2016〕22号）的相关规定进行会计处理，将有关应交增值税转入“其他收益”科目；（7）对于当期直接减免的增值税，企业应当根据《增值税会计处理规定》（财会〔2016〕22号）的相关规定进行会计处理，借记“应交税金——应交增值税（减免税款）”科目，贷记“其他收益”科目。】</t>
    <phoneticPr fontId="12" type="noConversion"/>
  </si>
  <si>
    <t>索引号：</t>
    <phoneticPr fontId="12" type="noConversion"/>
  </si>
  <si>
    <t>索引：</t>
    <phoneticPr fontId="12" type="noConversion"/>
  </si>
  <si>
    <t>页次：</t>
    <phoneticPr fontId="12" type="noConversion"/>
  </si>
  <si>
    <r>
      <rPr>
        <u/>
        <sz val="10"/>
        <color indexed="12"/>
        <rFont val="宋体"/>
        <family val="3"/>
        <charset val="134"/>
      </rPr>
      <t>审定表</t>
    </r>
    <phoneticPr fontId="12" type="noConversion"/>
  </si>
  <si>
    <r>
      <rPr>
        <sz val="10"/>
        <rFont val="宋体"/>
        <family val="3"/>
        <charset val="134"/>
      </rPr>
      <t>索引号：</t>
    </r>
    <phoneticPr fontId="12" type="noConversion"/>
  </si>
  <si>
    <t>二、审计目标与认定的对应关系</t>
  </si>
  <si>
    <t>审计目标</t>
    <phoneticPr fontId="12" type="noConversion"/>
  </si>
  <si>
    <r>
      <rPr>
        <sz val="10"/>
        <rFont val="宋体"/>
        <family val="3"/>
        <charset val="134"/>
      </rPr>
      <t>索引号：</t>
    </r>
    <phoneticPr fontId="33" type="noConversion"/>
  </si>
  <si>
    <r>
      <rPr>
        <sz val="10"/>
        <rFont val="宋体"/>
        <family val="3"/>
        <charset val="134"/>
      </rPr>
      <t>页</t>
    </r>
    <r>
      <rPr>
        <sz val="10"/>
        <rFont val="Arial Narrow"/>
        <family val="2"/>
      </rPr>
      <t xml:space="preserve">  </t>
    </r>
    <r>
      <rPr>
        <sz val="10"/>
        <rFont val="宋体"/>
        <family val="3"/>
        <charset val="134"/>
      </rPr>
      <t>次：</t>
    </r>
    <phoneticPr fontId="33" type="noConversion"/>
  </si>
  <si>
    <t>发生</t>
  </si>
  <si>
    <t>完整性</t>
  </si>
  <si>
    <t>准确性</t>
  </si>
  <si>
    <t>截止</t>
  </si>
  <si>
    <t>序号</t>
    <phoneticPr fontId="12" type="noConversion"/>
  </si>
  <si>
    <t>审计程序</t>
    <phoneticPr fontId="12" type="noConversion"/>
  </si>
  <si>
    <t>程序分类</t>
    <phoneticPr fontId="12" type="noConversion"/>
  </si>
  <si>
    <t>√</t>
    <phoneticPr fontId="12" type="noConversion"/>
  </si>
  <si>
    <r>
      <rPr>
        <sz val="10"/>
        <color theme="1"/>
        <rFont val="宋体"/>
        <family val="3"/>
        <charset val="134"/>
      </rPr>
      <t>常规★</t>
    </r>
    <phoneticPr fontId="33" type="noConversion"/>
  </si>
  <si>
    <t>1</t>
    <phoneticPr fontId="33" type="noConversion"/>
  </si>
  <si>
    <t>T1</t>
    <phoneticPr fontId="12" type="noConversion"/>
  </si>
  <si>
    <r>
      <rPr>
        <sz val="10"/>
        <rFont val="宋体"/>
        <family val="3"/>
        <charset val="134"/>
      </rPr>
      <t>备选</t>
    </r>
    <phoneticPr fontId="33" type="noConversion"/>
  </si>
  <si>
    <t>√</t>
    <phoneticPr fontId="12" type="noConversion"/>
  </si>
  <si>
    <t>√</t>
    <phoneticPr fontId="12"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</si>
  <si>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</si>
  <si>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12" type="noConversion"/>
  </si>
  <si>
    <t>常规★</t>
    <phoneticPr fontId="12" type="noConversion"/>
  </si>
  <si>
    <t>列报</t>
    <phoneticPr fontId="33" type="noConversion"/>
  </si>
  <si>
    <t>报表项目</t>
    <phoneticPr fontId="12" type="noConversion"/>
  </si>
  <si>
    <r>
      <rPr>
        <b/>
        <sz val="10"/>
        <rFont val="宋体"/>
        <family val="3"/>
        <charset val="134"/>
      </rPr>
      <t>判断依据</t>
    </r>
    <phoneticPr fontId="12" type="noConversion"/>
  </si>
  <si>
    <r>
      <rPr>
        <b/>
        <sz val="10"/>
        <rFont val="宋体"/>
        <family val="3"/>
        <charset val="134"/>
      </rPr>
      <t>上年同期未审数</t>
    </r>
    <phoneticPr fontId="12" type="noConversion"/>
  </si>
  <si>
    <r>
      <rPr>
        <b/>
        <sz val="10"/>
        <rFont val="宋体"/>
        <family val="3"/>
        <charset val="134"/>
      </rPr>
      <t>上年同期审定数</t>
    </r>
    <phoneticPr fontId="12" type="noConversion"/>
  </si>
  <si>
    <r>
      <rPr>
        <b/>
        <sz val="10"/>
        <rFont val="宋体"/>
        <family val="3"/>
        <charset val="134"/>
      </rPr>
      <t>文件索引号</t>
    </r>
    <phoneticPr fontId="12" type="noConversion"/>
  </si>
  <si>
    <r>
      <rPr>
        <b/>
        <sz val="10"/>
        <rFont val="宋体"/>
        <family val="3"/>
        <charset val="134"/>
      </rPr>
      <t>本期未审数</t>
    </r>
    <phoneticPr fontId="12" type="noConversion"/>
  </si>
  <si>
    <t>√</t>
    <phoneticPr fontId="12" type="noConversion"/>
  </si>
  <si>
    <t>√</t>
    <phoneticPr fontId="12" type="noConversion"/>
  </si>
  <si>
    <t>√</t>
    <phoneticPr fontId="12" type="noConversion"/>
  </si>
  <si>
    <r>
      <rPr>
        <sz val="10"/>
        <rFont val="宋体"/>
        <family val="3"/>
        <charset val="134"/>
      </rPr>
      <t>根据评估的舞弊风险等因素增加的审计程序。</t>
    </r>
  </si>
  <si>
    <t>7</t>
  </si>
  <si>
    <t>8</t>
  </si>
  <si>
    <t>检查以单项或多项非金融资产清偿债务的原始凭证，相应的债务重组会计处理是否正确，是否将所清偿债务账面价值与转让资产账面价值之间的差额计入其他收益</t>
    <phoneticPr fontId="33" type="noConversion"/>
  </si>
  <si>
    <t>√</t>
    <phoneticPr fontId="12" type="noConversion"/>
  </si>
  <si>
    <r>
      <t>1.</t>
    </r>
    <r>
      <rPr>
        <sz val="10"/>
        <rFont val="宋体"/>
        <family val="3"/>
        <charset val="134"/>
      </rPr>
      <t>利润表中记录的其他收益已发生，且与被审计单位有关，已记录于恰当的账户。</t>
    </r>
    <r>
      <rPr>
        <sz val="10"/>
        <rFont val="Arial Narrow"/>
        <family val="2"/>
      </rPr>
      <t xml:space="preserve"> </t>
    </r>
    <phoneticPr fontId="12" type="noConversion"/>
  </si>
  <si>
    <r>
      <t>2.</t>
    </r>
    <r>
      <rPr>
        <sz val="10"/>
        <rFont val="宋体"/>
        <family val="3"/>
        <charset val="134"/>
      </rPr>
      <t>所有应当记录的其他收益均已记录，所有应当包括在财务报表中的相关披露均已包括。</t>
    </r>
    <phoneticPr fontId="12" type="noConversion"/>
  </si>
  <si>
    <r>
      <t>3.</t>
    </r>
    <r>
      <rPr>
        <sz val="10"/>
        <rFont val="宋体"/>
        <family val="3"/>
        <charset val="134"/>
      </rPr>
      <t>与其他收益有关的金额及其他数据已恰当记录，相关披露已得到恰当计量和描述。</t>
    </r>
    <phoneticPr fontId="12" type="noConversion"/>
  </si>
  <si>
    <r>
      <t>4.</t>
    </r>
    <r>
      <rPr>
        <sz val="10"/>
        <rFont val="宋体"/>
        <family val="3"/>
        <charset val="134"/>
      </rPr>
      <t>其他收益已记录于正确的会计期间。</t>
    </r>
    <phoneticPr fontId="12" type="noConversion"/>
  </si>
  <si>
    <r>
      <rPr>
        <sz val="10"/>
        <rFont val="宋体"/>
        <family val="3"/>
        <charset val="134"/>
      </rPr>
      <t>索引号：</t>
    </r>
    <phoneticPr fontId="12" type="noConversion"/>
  </si>
  <si>
    <t>应收政府补助检查表</t>
    <phoneticPr fontId="12" type="noConversion"/>
  </si>
  <si>
    <t>索引号：</t>
    <phoneticPr fontId="12" type="noConversion"/>
  </si>
  <si>
    <r>
      <rPr>
        <b/>
        <sz val="10"/>
        <rFont val="宋体"/>
        <family val="3"/>
        <charset val="134"/>
      </rPr>
      <t>一、审计目标</t>
    </r>
    <phoneticPr fontId="12" type="noConversion"/>
  </si>
  <si>
    <r>
      <rPr>
        <b/>
        <sz val="10"/>
        <rFont val="宋体"/>
        <family val="3"/>
        <charset val="134"/>
      </rPr>
      <t>二、审计过程</t>
    </r>
    <phoneticPr fontId="12" type="noConversion"/>
  </si>
  <si>
    <t>政府补助的发文单位</t>
    <phoneticPr fontId="12" type="noConversion"/>
  </si>
  <si>
    <t>政府补助项目名称</t>
    <phoneticPr fontId="12" type="noConversion"/>
  </si>
  <si>
    <t>账龄</t>
    <phoneticPr fontId="12" type="noConversion"/>
  </si>
  <si>
    <t>预计收取的时间及依据</t>
    <phoneticPr fontId="12" type="noConversion"/>
  </si>
  <si>
    <r>
      <rPr>
        <b/>
        <sz val="10"/>
        <rFont val="宋体"/>
        <family val="3"/>
        <charset val="134"/>
      </rPr>
      <t>合计</t>
    </r>
    <phoneticPr fontId="12" type="noConversion"/>
  </si>
  <si>
    <t>审计证据</t>
    <phoneticPr fontId="12" type="noConversion"/>
  </si>
  <si>
    <t>结论</t>
    <phoneticPr fontId="12" type="noConversion"/>
  </si>
  <si>
    <t>政府补助文件；
内部会议纪要；
相关权力机构决议；
相关政府部门的书面承诺；
合理保证的分析及书面声明等</t>
    <phoneticPr fontId="12" type="noConversion"/>
  </si>
  <si>
    <t>三、审计说明</t>
    <phoneticPr fontId="12" type="noConversion"/>
  </si>
  <si>
    <t>四、审计结论</t>
    <phoneticPr fontId="12" type="noConversion"/>
  </si>
  <si>
    <t>政府补助文件主要内容</t>
    <phoneticPr fontId="12" type="noConversion"/>
  </si>
  <si>
    <t>检查政府部门正式发布的财政扶持项目及其财政资金管理办法的适用范围，是否是普惠性的（任何符合规定条件的企业均可申请），而不是专门针对特定企业制定的；</t>
    <phoneticPr fontId="12" type="noConversion"/>
  </si>
  <si>
    <t>政府补助文件索引号</t>
    <phoneticPr fontId="12" type="noConversion"/>
  </si>
  <si>
    <r>
      <rPr>
        <u/>
        <sz val="10"/>
        <color indexed="12"/>
        <rFont val="宋体"/>
        <family val="3"/>
        <charset val="134"/>
      </rPr>
      <t>应收政府补助检查表</t>
    </r>
  </si>
  <si>
    <t>存在合理保证的分析要点</t>
    <phoneticPr fontId="12" type="noConversion"/>
  </si>
  <si>
    <t>S5</t>
    <phoneticPr fontId="33" type="noConversion"/>
  </si>
  <si>
    <r>
      <rPr>
        <b/>
        <sz val="10"/>
        <rFont val="宋体"/>
        <family val="3"/>
        <charset val="134"/>
      </rPr>
      <t>总额法</t>
    </r>
    <r>
      <rPr>
        <b/>
        <sz val="10"/>
        <rFont val="Arial Narrow"/>
        <family val="2"/>
      </rPr>
      <t>/</t>
    </r>
    <r>
      <rPr>
        <b/>
        <sz val="10"/>
        <rFont val="宋体"/>
        <family val="3"/>
        <charset val="134"/>
      </rPr>
      <t>净额法</t>
    </r>
    <phoneticPr fontId="12" type="noConversion"/>
  </si>
  <si>
    <r>
      <rPr>
        <b/>
        <sz val="10"/>
        <rFont val="宋体"/>
        <family val="3"/>
        <charset val="134"/>
      </rPr>
      <t>补助期间</t>
    </r>
    <phoneticPr fontId="12" type="noConversion"/>
  </si>
  <si>
    <r>
      <rPr>
        <b/>
        <sz val="10"/>
        <rFont val="宋体"/>
        <family val="3"/>
        <charset val="134"/>
      </rPr>
      <t>索引号</t>
    </r>
    <phoneticPr fontId="12" type="noConversion"/>
  </si>
  <si>
    <r>
      <rPr>
        <b/>
        <sz val="10"/>
        <rFont val="宋体"/>
        <family val="3"/>
        <charset val="134"/>
      </rPr>
      <t>开始日</t>
    </r>
    <phoneticPr fontId="12" type="noConversion"/>
  </si>
  <si>
    <r>
      <rPr>
        <b/>
        <sz val="10"/>
        <rFont val="宋体"/>
        <family val="3"/>
        <charset val="134"/>
      </rPr>
      <t>结束日</t>
    </r>
    <phoneticPr fontId="12" type="noConversion"/>
  </si>
  <si>
    <r>
      <rPr>
        <b/>
        <sz val="10"/>
        <rFont val="宋体"/>
        <family val="3"/>
        <charset val="134"/>
      </rPr>
      <t>本期返还</t>
    </r>
    <phoneticPr fontId="12" type="noConversion"/>
  </si>
  <si>
    <r>
      <rPr>
        <b/>
        <sz val="10"/>
        <rFont val="宋体"/>
        <family val="3"/>
        <charset val="134"/>
      </rPr>
      <t>其他转出</t>
    </r>
    <phoneticPr fontId="12" type="noConversion"/>
  </si>
  <si>
    <r>
      <rPr>
        <b/>
        <sz val="10"/>
        <rFont val="宋体"/>
        <family val="3"/>
        <charset val="134"/>
      </rPr>
      <t>期末递延收益余额</t>
    </r>
    <phoneticPr fontId="12" type="noConversion"/>
  </si>
  <si>
    <r>
      <rPr>
        <b/>
        <sz val="10"/>
        <rFont val="宋体"/>
        <family val="3"/>
        <charset val="134"/>
      </rPr>
      <t>一、与资产相关的政府补助</t>
    </r>
    <phoneticPr fontId="12" type="noConversion"/>
  </si>
  <si>
    <r>
      <rPr>
        <b/>
        <sz val="10"/>
        <rFont val="宋体"/>
        <family val="3"/>
        <charset val="134"/>
      </rPr>
      <t>二、与收益相关的政府补助</t>
    </r>
    <phoneticPr fontId="12" type="noConversion"/>
  </si>
  <si>
    <r>
      <rPr>
        <u/>
        <sz val="10"/>
        <color indexed="12"/>
        <rFont val="宋体"/>
        <family val="3"/>
        <charset val="134"/>
      </rPr>
      <t>实质性程序表</t>
    </r>
  </si>
  <si>
    <r>
      <rPr>
        <u/>
        <sz val="10"/>
        <color indexed="12"/>
        <rFont val="宋体"/>
        <family val="3"/>
        <charset val="134"/>
      </rPr>
      <t>附注披露信息（上市公司）</t>
    </r>
    <phoneticPr fontId="12" type="noConversion"/>
  </si>
  <si>
    <r>
      <rPr>
        <u/>
        <sz val="10"/>
        <color indexed="12"/>
        <rFont val="宋体"/>
        <family val="3"/>
        <charset val="134"/>
      </rPr>
      <t>附注披露信息（国企）</t>
    </r>
    <phoneticPr fontId="12" type="noConversion"/>
  </si>
  <si>
    <r>
      <rPr>
        <u/>
        <sz val="10"/>
        <color indexed="12"/>
        <rFont val="宋体"/>
        <family val="3"/>
        <charset val="134"/>
      </rPr>
      <t>明细表</t>
    </r>
    <phoneticPr fontId="12" type="noConversion"/>
  </si>
  <si>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</si>
  <si>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</si>
  <si>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</si>
  <si>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</si>
  <si>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t>无需打印</t>
    <phoneticPr fontId="12" type="noConversion"/>
  </si>
  <si>
    <t>无需打印</t>
    <phoneticPr fontId="12" type="noConversion"/>
  </si>
  <si>
    <t>底稿索引号</t>
    <phoneticPr fontId="1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</si>
  <si>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33"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</si>
  <si>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33" type="noConversion"/>
  </si>
  <si>
    <r>
      <rPr>
        <sz val="10"/>
        <rFont val="宋体"/>
        <family val="3"/>
        <charset val="134"/>
      </rPr>
      <t>常规★</t>
    </r>
    <phoneticPr fontId="33" type="noConversion"/>
  </si>
  <si>
    <r>
      <t>A1-1/</t>
    </r>
    <r>
      <rPr>
        <sz val="10"/>
        <color rgb="FFFF0000"/>
        <rFont val="Arial Narrow"/>
        <family val="2"/>
      </rPr>
      <t>A1-15 /A1-16</t>
    </r>
    <phoneticPr fontId="12" type="noConversion"/>
  </si>
  <si>
    <t>致同会计师事务所</t>
    <phoneticPr fontId="33" type="noConversion"/>
  </si>
  <si>
    <t>提示：本底稿适用于调整分录较多、较复杂的项目，且仅列示与本报表项目相关的审计调整。项目组可根据项目实际情况选择是否使用该底稿。</t>
    <phoneticPr fontId="12" type="noConversion"/>
  </si>
  <si>
    <r>
      <rPr>
        <sz val="10"/>
        <rFont val="宋体"/>
        <family val="3"/>
        <charset val="134"/>
      </rPr>
      <t>（</t>
    </r>
    <r>
      <rPr>
        <sz val="10"/>
        <rFont val="Arial Narrow"/>
        <family val="2"/>
      </rPr>
      <t>1</t>
    </r>
    <r>
      <rPr>
        <sz val="10"/>
        <rFont val="宋体"/>
        <family val="3"/>
        <charset val="134"/>
      </rPr>
      <t>）发放主体是否具备相应的权力和资质；
（</t>
    </r>
    <r>
      <rPr>
        <sz val="10"/>
        <rFont val="Arial Narrow"/>
        <family val="2"/>
      </rPr>
      <t>2</t>
    </r>
    <r>
      <rPr>
        <sz val="10"/>
        <rFont val="宋体"/>
        <family val="3"/>
        <charset val="134"/>
      </rPr>
      <t>）补助文件中索引的政策依据是否适用；
（</t>
    </r>
    <r>
      <rPr>
        <sz val="10"/>
        <rFont val="Arial Narrow"/>
        <family val="2"/>
      </rPr>
      <t>3</t>
    </r>
    <r>
      <rPr>
        <sz val="10"/>
        <rFont val="宋体"/>
        <family val="3"/>
        <charset val="134"/>
      </rPr>
      <t>）企业申请政府补助的流程是否合法合规；
（</t>
    </r>
    <r>
      <rPr>
        <sz val="10"/>
        <rFont val="Arial Narrow"/>
        <family val="2"/>
      </rPr>
      <t>4</t>
    </r>
    <r>
      <rPr>
        <sz val="10"/>
        <rFont val="宋体"/>
        <family val="3"/>
        <charset val="134"/>
      </rPr>
      <t>）是否已经履行完毕补助文件中的要求；
（</t>
    </r>
    <r>
      <rPr>
        <sz val="10"/>
        <rFont val="Arial Narrow"/>
        <family val="2"/>
      </rPr>
      <t>5</t>
    </r>
    <r>
      <rPr>
        <sz val="10"/>
        <rFont val="宋体"/>
        <family val="3"/>
        <charset val="134"/>
      </rPr>
      <t>）实际收取资金前是否需要实质性审核；
（</t>
    </r>
    <r>
      <rPr>
        <sz val="10"/>
        <rFont val="Arial Narrow"/>
        <family val="2"/>
      </rPr>
      <t>6</t>
    </r>
    <r>
      <rPr>
        <sz val="10"/>
        <rFont val="宋体"/>
        <family val="3"/>
        <charset val="134"/>
      </rPr>
      <t>）历史上同类型政府补助的实际发放情况等</t>
    </r>
    <phoneticPr fontId="12" type="noConversion"/>
  </si>
  <si>
    <r>
      <rPr>
        <i/>
        <sz val="10"/>
        <color indexed="12"/>
        <rFont val="宋体"/>
        <family val="3"/>
        <charset val="134"/>
      </rPr>
      <t>编制说明</t>
    </r>
    <r>
      <rPr>
        <i/>
        <sz val="10"/>
        <color indexed="12"/>
        <rFont val="宋体"/>
        <family val="3"/>
        <charset val="134"/>
      </rPr>
      <t>：</t>
    </r>
    <phoneticPr fontId="1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</si>
  <si>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 type="noConversion"/>
  </si>
  <si>
    <t>补助项目名称</t>
    <phoneticPr fontId="12" type="noConversion"/>
  </si>
  <si>
    <t>补助金额</t>
    <phoneticPr fontId="12" type="noConversion"/>
  </si>
  <si>
    <t>计入递延收益与递延收益分摊</t>
    <phoneticPr fontId="12" type="noConversion"/>
  </si>
  <si>
    <t>直接计入当期其他收益金额</t>
    <phoneticPr fontId="12" type="noConversion"/>
  </si>
  <si>
    <t>直接计入当期营业外收入金额</t>
    <phoneticPr fontId="12" type="noConversion"/>
  </si>
  <si>
    <r>
      <rPr>
        <b/>
        <sz val="10"/>
        <rFont val="宋体"/>
        <family val="3"/>
        <charset val="134"/>
      </rPr>
      <t>摊销冲减当期成本费用</t>
    </r>
    <r>
      <rPr>
        <b/>
        <sz val="10"/>
        <rFont val="Arial Narrow"/>
        <family val="2"/>
      </rPr>
      <t>/</t>
    </r>
    <r>
      <rPr>
        <b/>
        <sz val="10"/>
        <rFont val="宋体"/>
        <family val="3"/>
        <charset val="134"/>
      </rPr>
      <t>相关资产账面价值</t>
    </r>
    <phoneticPr fontId="12" type="noConversion"/>
  </si>
  <si>
    <t>摊销结转至当期其他收益金额</t>
    <phoneticPr fontId="12" type="noConversion"/>
  </si>
  <si>
    <t>摊销结转至当期营业外收入金额</t>
    <phoneticPr fontId="12" type="noConversion"/>
  </si>
  <si>
    <t>补助金额是否收到</t>
    <phoneticPr fontId="12" type="noConversion"/>
  </si>
  <si>
    <t>计入应收政府补助金额</t>
    <phoneticPr fontId="12" type="noConversion"/>
  </si>
  <si>
    <t>直接计入损益</t>
    <phoneticPr fontId="12" type="noConversion"/>
  </si>
  <si>
    <r>
      <rPr>
        <b/>
        <sz val="10"/>
        <rFont val="宋体"/>
        <family val="3"/>
        <charset val="134"/>
      </rPr>
      <t>直接冲减当期成本费用</t>
    </r>
    <r>
      <rPr>
        <b/>
        <sz val="10"/>
        <rFont val="Arial Narrow"/>
        <family val="2"/>
      </rPr>
      <t>/</t>
    </r>
    <r>
      <rPr>
        <b/>
        <sz val="10"/>
        <rFont val="宋体"/>
        <family val="3"/>
        <charset val="134"/>
      </rPr>
      <t>相关资产账面价值</t>
    </r>
    <phoneticPr fontId="12" type="noConversion"/>
  </si>
  <si>
    <t>项目</t>
    <phoneticPr fontId="12" type="noConversion"/>
  </si>
  <si>
    <t>金额</t>
    <phoneticPr fontId="12" type="noConversion"/>
  </si>
  <si>
    <t>差异</t>
    <phoneticPr fontId="12" type="noConversion"/>
  </si>
  <si>
    <t>递延收益期末余额</t>
    <phoneticPr fontId="12" type="noConversion"/>
  </si>
  <si>
    <r>
      <rPr>
        <b/>
        <sz val="10"/>
        <rFont val="宋体"/>
        <family val="3"/>
        <charset val="134"/>
      </rPr>
      <t>合计</t>
    </r>
    <phoneticPr fontId="12" type="noConversion"/>
  </si>
  <si>
    <t>小计</t>
    <phoneticPr fontId="12" type="noConversion"/>
  </si>
  <si>
    <t>期初递延收益余额</t>
    <phoneticPr fontId="12" type="noConversion"/>
  </si>
  <si>
    <t>本期新增计入递延收益</t>
    <phoneticPr fontId="12" type="noConversion"/>
  </si>
  <si>
    <t>成本费用中因政府补助冲减</t>
    <phoneticPr fontId="12" type="noConversion"/>
  </si>
  <si>
    <t>其他收益-政府补助</t>
    <phoneticPr fontId="12" type="noConversion"/>
  </si>
  <si>
    <t>营业外收入-政府补助</t>
    <phoneticPr fontId="12" type="noConversion"/>
  </si>
  <si>
    <t>递延收益本期增加</t>
    <phoneticPr fontId="12" type="noConversion"/>
  </si>
  <si>
    <t>递延收益本期摊销</t>
    <phoneticPr fontId="12" type="noConversion"/>
  </si>
  <si>
    <t>其他应收款-政府补助</t>
    <phoneticPr fontId="12" type="noConversion"/>
  </si>
  <si>
    <r>
      <t xml:space="preserve">B. </t>
    </r>
    <r>
      <rPr>
        <sz val="10"/>
        <rFont val="宋体"/>
        <family val="3"/>
        <charset val="134"/>
      </rPr>
      <t>所有应当记录的其他收益均已记录，所有应当包括在财务报表中的相关披露均已包括</t>
    </r>
    <phoneticPr fontId="12" type="noConversion"/>
  </si>
  <si>
    <r>
      <t xml:space="preserve">D. </t>
    </r>
    <r>
      <rPr>
        <sz val="10"/>
        <rFont val="宋体"/>
        <family val="3"/>
        <charset val="134"/>
      </rPr>
      <t>其他收益已记录于正确的会计期间</t>
    </r>
    <phoneticPr fontId="12" type="noConversion"/>
  </si>
  <si>
    <t>获取或编制其他收益明细表，复核加计是否正确，并与总账数和明细账合计数核对是否相符，编制审定表；了解其他收益核算的内容，判断其分类为其他收益是否恰当。</t>
    <phoneticPr fontId="12" type="noConversion"/>
  </si>
  <si>
    <t>对重大、异常政府补助：
（1）核对补助事项、查验资金来源，按照政府补助的定义认真核对公司认定的政府补助事项、并对补助资产的来源单位及其与政府文件规定的一致性进行查验；
（2）关注政府补助的发放主体是否具备相应的权力和资质、补助文件中索引的政策依据是否适当，被审计单位申请政府补助的流程是否合法合规、是否已经履行完毕补助文件中的要求、实际收取资金前是否需要政府部门的实质性审核、历史上同类政府补助的实际发放情况；
（3）政府补助文件规定不明确或存在明显不合理迹象时，与相关政府部门沟通或执行函证程序，或在必要时聘请律师或其他外部专家提供意见。</t>
    <phoneticPr fontId="12" type="noConversion"/>
  </si>
  <si>
    <t>11</t>
  </si>
  <si>
    <t>12</t>
  </si>
  <si>
    <r>
      <rPr>
        <sz val="10"/>
        <color rgb="FFFF0000"/>
        <rFont val="Arial Narrow"/>
        <family val="2"/>
      </rPr>
      <t>1.</t>
    </r>
    <r>
      <rPr>
        <sz val="10"/>
        <color rgb="FFFF0000"/>
        <rFont val="宋体"/>
        <family val="3"/>
        <charset val="134"/>
      </rPr>
      <t>对政府补助考虑计量方法选择的理由和合理性：</t>
    </r>
    <phoneticPr fontId="12" type="noConversion"/>
  </si>
  <si>
    <r>
      <rPr>
        <sz val="10"/>
        <color rgb="FFFF0000"/>
        <rFont val="Arial Narrow"/>
        <family val="2"/>
      </rPr>
      <t>2.</t>
    </r>
    <r>
      <rPr>
        <sz val="10"/>
        <color rgb="FFFF0000"/>
        <rFont val="宋体"/>
        <family val="3"/>
        <charset val="134"/>
      </rPr>
      <t>对政府补助计量方法考虑会计政策的一致性：</t>
    </r>
    <phoneticPr fontId="12" type="noConversion"/>
  </si>
  <si>
    <r>
      <rPr>
        <sz val="10"/>
        <color rgb="FFFF0000"/>
        <rFont val="Arial Narrow"/>
        <family val="2"/>
      </rPr>
      <t>3.</t>
    </r>
    <r>
      <rPr>
        <sz val="10"/>
        <color rgb="FFFF0000"/>
        <rFont val="宋体"/>
        <family val="3"/>
        <charset val="134"/>
      </rPr>
      <t>政府补助与相关科目核对：</t>
    </r>
    <phoneticPr fontId="12" type="noConversion"/>
  </si>
  <si>
    <r>
      <rPr>
        <sz val="10"/>
        <color rgb="FFFF0000"/>
        <rFont val="Arial Narrow"/>
        <family val="2"/>
      </rPr>
      <t>4.</t>
    </r>
    <r>
      <rPr>
        <sz val="10"/>
        <color rgb="FFFF0000"/>
        <rFont val="宋体"/>
        <family val="3"/>
        <charset val="134"/>
      </rPr>
      <t>递延收益摊销测算见递延收益底稿&lt;K7-4&gt;</t>
    </r>
    <phoneticPr fontId="12" type="noConversion"/>
  </si>
  <si>
    <t>检查其他收益是否已按企业会计准则或其他适用的规定在财务报表中做出恰当列报和披露。</t>
    <phoneticPr fontId="12" type="noConversion"/>
  </si>
  <si>
    <t>提示：</t>
    <phoneticPr fontId="12" type="noConversion"/>
  </si>
  <si>
    <r>
      <t>1.</t>
    </r>
    <r>
      <rPr>
        <sz val="10"/>
        <color rgb="FF0000FF"/>
        <rFont val="宋体"/>
        <family val="3"/>
        <charset val="134"/>
      </rPr>
      <t>关注非经常性损益列报准确性。一般情况下，非经常性损益包含与自然灾害等相关的政府补助；另外，管理层无法合理预期是否受到以及受到的金额的税收返还（例如个人所得税的手续费返还），也应作为非经常性损益。</t>
    </r>
    <phoneticPr fontId="12"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</si>
  <si>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</si>
  <si>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</si>
  <si>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</si>
  <si>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</si>
  <si>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</si>
  <si>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</si>
  <si>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</si>
  <si>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</si>
  <si>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r>
      <t>1.</t>
    </r>
    <r>
      <rPr>
        <b/>
        <sz val="10"/>
        <rFont val="宋体"/>
        <family val="3"/>
        <charset val="134"/>
      </rPr>
      <t>审计说明</t>
    </r>
    <phoneticPr fontId="12" type="noConversion"/>
  </si>
  <si>
    <r>
      <t>2.</t>
    </r>
    <r>
      <rPr>
        <b/>
        <sz val="10"/>
        <rFont val="宋体"/>
        <family val="3"/>
        <charset val="134"/>
      </rPr>
      <t>审计结论</t>
    </r>
    <phoneticPr fontId="12" type="noConversion"/>
  </si>
  <si>
    <t>1.利润表中记录的其他收益已发生，且与被审计单位有关，已记录于恰当的账户</t>
    <phoneticPr fontId="12" type="noConversion"/>
  </si>
  <si>
    <r>
      <t>2.</t>
    </r>
    <r>
      <rPr>
        <sz val="10"/>
        <rFont val="宋体"/>
        <family val="3"/>
        <charset val="134"/>
      </rPr>
      <t>所有应当记录的其他收益均已记录，所有应当包括在财务报表中的相关披露均已包括；</t>
    </r>
    <phoneticPr fontId="106" type="noConversion"/>
  </si>
  <si>
    <r>
      <t>3.</t>
    </r>
    <r>
      <rPr>
        <sz val="10"/>
        <rFont val="宋体"/>
        <family val="3"/>
        <charset val="134"/>
      </rPr>
      <t>与其他收益有关的金额及其他数据已恰当记录，相关披露已得到恰当计量和描述。</t>
    </r>
    <phoneticPr fontId="106" type="noConversion"/>
  </si>
  <si>
    <r>
      <t xml:space="preserve">3. </t>
    </r>
    <r>
      <rPr>
        <sz val="10"/>
        <rFont val="宋体"/>
        <family val="3"/>
        <charset val="134"/>
      </rPr>
      <t>其他收益已记录于正确的会计期间</t>
    </r>
    <phoneticPr fontId="12" type="noConversion"/>
  </si>
  <si>
    <t>（二）合理保证的分析（能够满足条件且能够收到）</t>
    <phoneticPr fontId="12" type="noConversion"/>
  </si>
  <si>
    <t>提示：</t>
    <phoneticPr fontId="12" type="noConversion"/>
  </si>
  <si>
    <t>应收政府补助未审金额</t>
    <phoneticPr fontId="12" type="noConversion"/>
  </si>
  <si>
    <t>应收政府补助审定金额</t>
    <phoneticPr fontId="12" type="noConversion"/>
  </si>
  <si>
    <t>是否满足政府补助确认条件</t>
    <phoneticPr fontId="12" type="noConversion"/>
  </si>
  <si>
    <t>（一）确认的应收政府补助明细</t>
    <phoneticPr fontId="12" type="noConversion"/>
  </si>
  <si>
    <t>利润表中记录的其他收益已发生，且与被审计单位有关，已记录于恰当的账户</t>
    <phoneticPr fontId="12" type="noConversion"/>
  </si>
  <si>
    <r>
      <t>1.</t>
    </r>
    <r>
      <rPr>
        <sz val="10"/>
        <rFont val="宋体"/>
        <family val="3"/>
        <charset val="134"/>
      </rPr>
      <t>利润表中记录的其他收益已发生，且与被审计单位有关，已记录于恰当的账户；</t>
    </r>
    <phoneticPr fontId="12" type="noConversion"/>
  </si>
  <si>
    <r>
      <t xml:space="preserve">2. </t>
    </r>
    <r>
      <rPr>
        <sz val="10"/>
        <rFont val="宋体"/>
        <family val="3"/>
        <charset val="134"/>
      </rPr>
      <t>与其他收益有关的金额及其他数据已恰当记录，相关披露已得到恰当计量和描述；</t>
    </r>
    <phoneticPr fontId="12" type="noConversion"/>
  </si>
  <si>
    <t>1.获取并检查政府补助相关文件，判断政府补助是否与日常活动相关，分类是否正确，处理是否适当，同类政府补助是否采用一样的处理方法，如都采用总额法或都采用净额法。</t>
  </si>
  <si>
    <t>2.核对补助事项、查验资金来源，按照政府补助的定义认真核对公司认定的政府补助事项、并对补助资产的来源单位及其与政府文件规定的一致性进行查验。</t>
  </si>
  <si>
    <t>3.查验公司项目验收报告等相关材料，检查审核资金使用范围是否符合相关文件规定，分析公司是否满足政府补助的确认条件。</t>
  </si>
  <si>
    <t>4.政府补助文件规定不明确或存在明显不合理迹象时，与相关政府部门沟通或执行函证程序，或在必要时聘请律师或其他外部专家提供意见。</t>
  </si>
  <si>
    <t>提示：</t>
    <phoneticPr fontId="12" type="noConversion"/>
  </si>
  <si>
    <t>1.政府补助同时满足下列条件的，才能予以确认： （1）企业能够满足政府补助所附条件；（2）企业能够收到政府补助。</t>
    <phoneticPr fontId="12" type="noConversion"/>
  </si>
  <si>
    <t>2.证监会《上市公司执行企业会计准则监管问题解答》（2013年第1期，总第8期）：对期末有确凿证据表明能够符合财政扶持政策规定的相关条件且预计能够收到财政扶持资金时，可以按应收金额计量。</t>
    <phoneticPr fontId="12" type="noConversion"/>
  </si>
  <si>
    <t>3.对于在资产负债表日按照应收金额确认的政府补助，执行以下程序：</t>
    <phoneticPr fontId="12" type="noConversion"/>
  </si>
  <si>
    <t>3.1查验正式发布的财政资金管理办法中的（定额）测算公式，或检查政府补助批文是否标明确切金额，分析政府补助金额是否存在重大不确定性；</t>
    <phoneticPr fontId="12" type="noConversion"/>
  </si>
  <si>
    <t>3.2检查政府部门正式发布的财政扶持项目及其财政资金管理办法的适用范围，是否是普惠性的（任何符合规定条件的企业均可申请），而不是专门针对特定企业制定的；</t>
    <phoneticPr fontId="12" type="noConversion"/>
  </si>
  <si>
    <t>3.3检查补助款批文中承诺的拨付期限，以及款项拨付对应的财政预算，分析政府补助在规定期限内的可收回性。</t>
    <phoneticPr fontId="12" type="noConversion"/>
  </si>
  <si>
    <t>测试原因：大额（）关联方（）大额交易频繁（）异常（）其他（）</t>
    <phoneticPr fontId="12" type="noConversion"/>
  </si>
  <si>
    <t>其他收益检查表</t>
    <phoneticPr fontId="12" type="noConversion"/>
  </si>
  <si>
    <t>其他收益项目</t>
    <phoneticPr fontId="12" type="noConversion"/>
  </si>
  <si>
    <t>记账凭证</t>
    <phoneticPr fontId="12" type="noConversion"/>
  </si>
  <si>
    <t>支持性文件</t>
    <phoneticPr fontId="12" type="noConversion"/>
  </si>
  <si>
    <r>
      <rPr>
        <b/>
        <sz val="10"/>
        <rFont val="宋体"/>
        <family val="3"/>
        <charset val="134"/>
      </rPr>
      <t>核对内容</t>
    </r>
  </si>
  <si>
    <t>索引号</t>
  </si>
  <si>
    <t>是否异常</t>
    <phoneticPr fontId="12" type="noConversion"/>
  </si>
  <si>
    <t>备注说明</t>
    <phoneticPr fontId="12" type="noConversion"/>
  </si>
  <si>
    <t>日期</t>
  </si>
  <si>
    <t>凭证编号</t>
  </si>
  <si>
    <t>业务内容</t>
    <phoneticPr fontId="12" type="noConversion"/>
  </si>
  <si>
    <t>对方科目</t>
    <phoneticPr fontId="12" type="noConversion"/>
  </si>
  <si>
    <t>对方明细科目</t>
    <phoneticPr fontId="12" type="noConversion"/>
  </si>
  <si>
    <t>贷方金额</t>
    <phoneticPr fontId="12" type="noConversion"/>
  </si>
  <si>
    <t>银行回单、XXX文件、验收报告……</t>
    <phoneticPr fontId="12" type="noConversion"/>
  </si>
  <si>
    <t>合计</t>
    <phoneticPr fontId="12" type="noConversion"/>
  </si>
  <si>
    <t>二、测试：</t>
    <phoneticPr fontId="18" type="noConversion"/>
  </si>
  <si>
    <t>三、审计说明：</t>
    <phoneticPr fontId="18" type="noConversion"/>
  </si>
  <si>
    <t>四、审计结论：</t>
    <phoneticPr fontId="12" type="noConversion"/>
  </si>
  <si>
    <t>致同会计师事务所</t>
    <phoneticPr fontId="12" type="noConversion"/>
  </si>
  <si>
    <t>政府补助核对表</t>
    <phoneticPr fontId="12" type="noConversion"/>
  </si>
  <si>
    <t>其他收益检查表</t>
    <phoneticPr fontId="12" type="noConversion"/>
  </si>
  <si>
    <t>政府补助核对表</t>
    <phoneticPr fontId="12" type="noConversion"/>
  </si>
  <si>
    <r>
      <rPr>
        <u/>
        <sz val="10"/>
        <color indexed="12"/>
        <rFont val="宋体"/>
        <family val="3"/>
        <charset val="134"/>
      </rPr>
      <t>调整分录汇总</t>
    </r>
    <phoneticPr fontId="12" type="noConversion"/>
  </si>
  <si>
    <t>页  次：</t>
    <phoneticPr fontId="12" type="noConversion"/>
  </si>
  <si>
    <t>页  次：</t>
    <phoneticPr fontId="12" type="noConversion"/>
  </si>
  <si>
    <r>
      <t>页</t>
    </r>
    <r>
      <rPr>
        <sz val="10"/>
        <rFont val="Arial Narrow"/>
        <family val="2"/>
      </rPr>
      <t xml:space="preserve">    </t>
    </r>
    <r>
      <rPr>
        <sz val="10"/>
        <rFont val="宋体"/>
        <family val="3"/>
        <charset val="134"/>
      </rPr>
      <t>次：</t>
    </r>
    <phoneticPr fontId="12" type="noConversion"/>
  </si>
  <si>
    <r>
      <t xml:space="preserve">A. </t>
    </r>
    <r>
      <rPr>
        <sz val="10"/>
        <rFont val="宋体"/>
        <family val="3"/>
        <charset val="134"/>
      </rPr>
      <t>利润表中记录的其他收益已发生，且与被审计单位有关，已记录于恰当的账户</t>
    </r>
    <phoneticPr fontId="12" type="noConversion"/>
  </si>
  <si>
    <r>
      <t>对上期发生额的审计：结合本期审计确定其他收益的上期金额的截止是否恰当。（</t>
    </r>
    <r>
      <rPr>
        <sz val="10"/>
        <color rgb="FFFF0000"/>
        <rFont val="宋体"/>
        <family val="3"/>
        <charset val="134"/>
      </rPr>
      <t>适用于首次承接</t>
    </r>
    <r>
      <rPr>
        <sz val="10"/>
        <rFont val="宋体"/>
        <family val="3"/>
        <charset val="134"/>
      </rPr>
      <t>）</t>
    </r>
    <phoneticPr fontId="12" type="noConversion"/>
  </si>
  <si>
    <r>
      <rPr>
        <sz val="10"/>
        <rFont val="宋体"/>
        <family val="3"/>
        <charset val="134"/>
      </rPr>
      <t>检查政府补助相关原始凭证，确定业务的真实性、入账金额及会计处理是否正确：
（</t>
    </r>
    <r>
      <rPr>
        <sz val="10"/>
        <rFont val="Arial Narrow"/>
        <family val="2"/>
      </rPr>
      <t>1</t>
    </r>
    <r>
      <rPr>
        <sz val="10"/>
        <rFont val="宋体"/>
        <family val="3"/>
        <charset val="134"/>
      </rPr>
      <t>）获取并检查政府补助文件等支持性文件，判断政府补助是否与日常活动相关、款项是否收到、分类是否正确、会计处理是否适当，同类政府补助是否采用一样的处理方法，如都采用总额法或都采用净额法；</t>
    </r>
    <r>
      <rPr>
        <sz val="10"/>
        <rFont val="Arial Narrow"/>
        <family val="2"/>
      </rPr>
      <t xml:space="preserve"> 
</t>
    </r>
    <r>
      <rPr>
        <sz val="10"/>
        <rFont val="宋体"/>
        <family val="3"/>
        <charset val="134"/>
      </rPr>
      <t>（</t>
    </r>
    <r>
      <rPr>
        <sz val="10"/>
        <rFont val="Arial Narrow"/>
        <family val="2"/>
      </rPr>
      <t>2</t>
    </r>
    <r>
      <rPr>
        <sz val="10"/>
        <rFont val="宋体"/>
        <family val="3"/>
        <charset val="134"/>
      </rPr>
      <t>）如存在验收条件的，获取验收报告等相关材料，检查审核资金使用范围是否符合相关文件规定，分析公司是否满足政府补助的确认条件；
（</t>
    </r>
    <r>
      <rPr>
        <sz val="10"/>
        <rFont val="Arial Narrow"/>
        <family val="2"/>
      </rPr>
      <t>3</t>
    </r>
    <r>
      <rPr>
        <sz val="10"/>
        <rFont val="宋体"/>
        <family val="3"/>
        <charset val="134"/>
      </rPr>
      <t>）将政府补助金额与递延收益、营业外收入、其他应收款等科目进行核对。</t>
    </r>
    <phoneticPr fontId="12" type="noConversion"/>
  </si>
  <si>
    <t>IPO/上市/新三板/重组/舞弊应对</t>
    <phoneticPr fontId="33" type="noConversion"/>
  </si>
  <si>
    <t>对于在资产负债表日按照应收金额确认的政府补助，结合其他应收款审计：
（1）查验正式发布的财政资金管理办法中的（定额）测算公式，或检查政府补助批文是否标明确切金额，分析政府补助金额是否存在重大不确定性；
（2）检查政府部门正式发布的财政扶持项目及其财政资金管理办法的适用范围，是否是普惠性的（任何符合规定条件的企业均可申请），而不是专门针对特定企业制定的；
（3）检查补助款批文中承诺的拨付期限，以及款项拨付对应的财政预算，分析政府补助在规定期限内的可收回性；
（4）必要时结合其他应收款函证政府补助金额。</t>
    <phoneticPr fontId="12" type="noConversion"/>
  </si>
  <si>
    <t>K10A</t>
    <phoneticPr fontId="12" type="noConversion"/>
  </si>
  <si>
    <t>K10-1</t>
    <phoneticPr fontId="12" type="noConversion"/>
  </si>
  <si>
    <t>K10-2</t>
    <phoneticPr fontId="12" type="noConversion"/>
  </si>
  <si>
    <t>K10-3</t>
  </si>
  <si>
    <t>K10-4</t>
  </si>
  <si>
    <t>K10-5</t>
  </si>
  <si>
    <t>K10-6</t>
  </si>
  <si>
    <t>K10-1
/K10-2</t>
  </si>
  <si>
    <t>K10-4
/K10-6</t>
  </si>
  <si>
    <r>
      <rPr>
        <sz val="10"/>
        <rFont val="宋体"/>
        <family val="3"/>
        <charset val="134"/>
      </rPr>
      <t>被审计单位：</t>
    </r>
    <r>
      <rPr>
        <sz val="10"/>
        <rFont val="Arial Narrow"/>
        <family val="2"/>
      </rPr>
      <t/>
    </r>
    <phoneticPr fontId="12" type="noConversion"/>
  </si>
  <si>
    <t>编制人：</t>
    <phoneticPr fontId="12" type="noConversion"/>
  </si>
  <si>
    <t>编制日期：</t>
    <phoneticPr fontId="12" type="noConversion"/>
  </si>
  <si>
    <t>复核人：</t>
    <phoneticPr fontId="12" type="noConversion"/>
  </si>
  <si>
    <t>复核日期：</t>
    <phoneticPr fontId="12" type="noConversion"/>
  </si>
  <si>
    <t>截止</t>
    <phoneticPr fontId="12" type="noConversion"/>
  </si>
  <si>
    <t>列报</t>
    <phoneticPr fontId="12" type="noConversion"/>
  </si>
  <si>
    <r>
      <t xml:space="preserve">C. </t>
    </r>
    <r>
      <rPr>
        <sz val="10"/>
        <rFont val="宋体"/>
        <family val="3"/>
        <charset val="134"/>
      </rPr>
      <t>与其他收益有关的金额及其他数据已恰当记录，相关披露已得到恰当计量和描述</t>
    </r>
    <phoneticPr fontId="12" type="noConversion"/>
  </si>
  <si>
    <r>
      <t xml:space="preserve">E. </t>
    </r>
    <r>
      <rPr>
        <sz val="10"/>
        <rFont val="宋体"/>
        <family val="3"/>
        <charset val="134"/>
      </rPr>
      <t>已被恰当地汇总或分解且表述清楚，相关披露在按照企业会计准则的编制基础下是相关的、可理解的</t>
    </r>
    <phoneticPr fontId="12" type="noConversion"/>
  </si>
  <si>
    <r>
      <rPr>
        <sz val="10"/>
        <rFont val="宋体"/>
        <family val="3"/>
        <charset val="134"/>
      </rPr>
      <t>会计期间：</t>
    </r>
    <r>
      <rPr>
        <sz val="10"/>
        <rFont val="Arial Narrow"/>
        <family val="2"/>
      </rPr>
      <t>202X</t>
    </r>
    <r>
      <rPr>
        <sz val="10"/>
        <rFont val="宋体"/>
        <family val="3"/>
        <charset val="134"/>
      </rPr>
      <t>年度</t>
    </r>
    <phoneticPr fontId="12" type="noConversion"/>
  </si>
  <si>
    <t>关于工作底稿与审计程序索引号对应的说明</t>
    <phoneticPr fontId="12"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</si>
  <si>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</si>
  <si>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</si>
  <si>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12" type="noConversion"/>
  </si>
  <si>
    <t>根据被审计单位实际情况和风险评估情况裁剪、修改或增加审计程序</t>
    <phoneticPr fontId="12" type="noConversion"/>
  </si>
  <si>
    <t>审计程序</t>
    <phoneticPr fontId="33" type="noConversion"/>
  </si>
  <si>
    <t>本期发生额</t>
    <phoneticPr fontId="12" type="noConversion"/>
  </si>
  <si>
    <t>检查比例</t>
    <phoneticPr fontId="12" type="noConversion"/>
  </si>
  <si>
    <t>项目（产生其他收益的来源）</t>
    <phoneticPr fontId="12" type="noConversion"/>
  </si>
  <si>
    <t>增值税进项税额加计抵减（实际缴纳时）</t>
    <phoneticPr fontId="12" type="noConversion"/>
  </si>
  <si>
    <t>个人所得税扣缴税款手续费返还</t>
    <phoneticPr fontId="12" type="noConversion"/>
  </si>
  <si>
    <t>债务人以非金融资产清偿债务损益</t>
    <phoneticPr fontId="12" type="noConversion"/>
  </si>
  <si>
    <t>类型</t>
    <phoneticPr fontId="12" type="noConversion"/>
  </si>
  <si>
    <t>增值税直接减免</t>
  </si>
  <si>
    <t>……</t>
    <phoneticPr fontId="12" type="noConversion"/>
  </si>
  <si>
    <t>总额法下与日常活动相关的政府补助</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</si>
</sst>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1">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_ "/>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
    <numFmt numFmtId="196" formatCode="0.0%"/>
    <numFmt numFmtId="197" formatCode="#,##0;\-#,##0;&quot;-&quot;"/>
    <numFmt numFmtId="198" formatCode="\(#,##0\)\ "/>
    <numFmt numFmtId="199" formatCode="[Blue]0.0%;[Blue]\(0.0%\)"/>
    <numFmt numFmtId="200" formatCode="0.0%;\(0.0%\)"/>
    <numFmt numFmtId="201" formatCode="[Red]0.0%;[Red]\(0.0%\)"/>
    <numFmt numFmtId="202" formatCode="[Blue]#,##0_);[Blue]\(#,##0\)"/>
    <numFmt numFmtId="203" formatCode="#,##0_);[Blue]\(#,##0\)"/>
    <numFmt numFmtId="204" formatCode="&quot;$&quot;#,##0;[Red]&quot;$&quot;&quot;$&quot;&quot;$&quot;&quot;$&quot;&quot;$&quot;&quot;$&quot;&quot;$&quot;\-#,##0"/>
    <numFmt numFmtId="205" formatCode="#,##0;\(#,##0\)"/>
    <numFmt numFmtId="206" formatCode="#,##0.0_);\(#,##0.0\)"/>
    <numFmt numFmtId="207" formatCode="hh:mm\ AM/PM_)"/>
    <numFmt numFmtId="208" formatCode="&quot;$&quot;#,##0.00_);\(&quot;$&quot;#,##0.00\)"/>
    <numFmt numFmtId="209" formatCode=";;;"/>
    <numFmt numFmtId="210" formatCode="\$#,##0.00;\(\$#,##0.00\)"/>
    <numFmt numFmtId="211" formatCode="\$#,##0;\(\$#,##0\)"/>
    <numFmt numFmtId="212" formatCode="_(&quot;$&quot;* #,##0_);_(&quot;$&quot;* \(#,##0\);_(&quot;$&quot;* &quot;-&quot;_);_(@_)"/>
    <numFmt numFmtId="213" formatCode="_(&quot;$&quot;* #,##0.00_);_(&quot;$&quot;* \(#,##0.00\);_(&quot;$&quot;* &quot;-&quot;??_);_(@_)"/>
    <numFmt numFmtId="214" formatCode="_-* #,##0_-;\-* #,##0_-;_-* &quot;-&quot;??_-;_-@_-"/>
    <numFmt numFmtId="215" formatCode="0.00000000000_);[Red]\(0.00000000000\)"/>
    <numFmt numFmtId="216" formatCode="0%_);\(0%\)"/>
    <numFmt numFmtId="217" formatCode="\ \ @"/>
    <numFmt numFmtId="218" formatCode="#,##0_);\(#,##0_)"/>
    <numFmt numFmtId="219" formatCode="0.0000000"/>
    <numFmt numFmtId="220" formatCode="\¥#,##0.00;[Red]\¥\-#,##0.00"/>
    <numFmt numFmtId="221" formatCode="0.000000"/>
    <numFmt numFmtId="222" formatCode="0.00000000"/>
    <numFmt numFmtId="22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4" formatCode="_(* #,##0.00_);_(* \(#,##0.00\);_(* &quot;-&quot;??_);_(@_)"/>
  </numFmts>
  <fonts count="123">
    <font>
      <sz val="12"/>
      <name val="宋体"/>
      <charset val="134"/>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2"/>
      <name val="宋体"/>
      <family val="3"/>
      <charset val="134"/>
    </font>
    <font>
      <sz val="18"/>
      <color indexed="48"/>
      <name val="魏碑"/>
      <family val="3"/>
      <charset val="134"/>
    </font>
    <font>
      <i/>
      <sz val="10"/>
      <color indexed="12"/>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b/>
      <sz val="10"/>
      <color indexed="8"/>
      <name val="Arial Narrow"/>
      <family val="2"/>
    </font>
    <font>
      <b/>
      <sz val="10"/>
      <color indexed="8"/>
      <name val="宋体"/>
      <family val="3"/>
      <charset val="134"/>
    </font>
    <font>
      <b/>
      <sz val="10"/>
      <color indexed="12"/>
      <name val="Arial Narrow"/>
      <family val="2"/>
    </font>
    <font>
      <sz val="10.5"/>
      <name val="Arial Narrow"/>
      <family val="2"/>
    </font>
    <font>
      <b/>
      <sz val="14"/>
      <name val="Arial Narrow"/>
      <family val="2"/>
    </font>
    <font>
      <b/>
      <sz val="10"/>
      <name val="Arial"/>
      <family val="2"/>
    </font>
    <font>
      <sz val="9"/>
      <name val="宋体"/>
      <family val="2"/>
      <charset val="134"/>
      <scheme val="minor"/>
    </font>
    <font>
      <sz val="10"/>
      <color theme="1"/>
      <name val="Arial"/>
      <family val="2"/>
    </font>
    <font>
      <sz val="10"/>
      <color theme="1"/>
      <name val="宋体"/>
      <family val="3"/>
      <charset val="134"/>
    </font>
    <font>
      <b/>
      <sz val="10"/>
      <color theme="1"/>
      <name val="宋体"/>
      <family val="3"/>
      <charset val="134"/>
    </font>
    <font>
      <b/>
      <sz val="10"/>
      <color rgb="FFFF0000"/>
      <name val="宋体"/>
      <family val="3"/>
      <charset val="134"/>
    </font>
    <font>
      <sz val="10"/>
      <color indexed="8"/>
      <name val="Arial Narrow"/>
      <family val="2"/>
    </font>
    <font>
      <sz val="10"/>
      <color rgb="FFFF0000"/>
      <name val="宋体"/>
      <family val="3"/>
      <charset val="134"/>
    </font>
    <font>
      <sz val="10"/>
      <name val="Arial"/>
      <family val="2"/>
      <charset val="134"/>
    </font>
    <font>
      <sz val="10"/>
      <color indexed="8"/>
      <name val="Arial"/>
      <family val="2"/>
      <charset val="134"/>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charset val="134"/>
    </font>
    <font>
      <b/>
      <sz val="8"/>
      <name val="Arial"/>
      <family val="2"/>
      <charset val="134"/>
    </font>
    <font>
      <sz val="10"/>
      <color indexed="8"/>
      <name val="Arial"/>
      <family val="2"/>
    </font>
    <font>
      <sz val="9"/>
      <name val="Times New Roman"/>
      <family val="1"/>
      <charset val="134"/>
    </font>
    <font>
      <sz val="8"/>
      <name val="Arial"/>
      <family val="2"/>
      <charset val="134"/>
    </font>
    <font>
      <i/>
      <sz val="11"/>
      <color indexed="23"/>
      <name val="Calibri"/>
      <family val="2"/>
    </font>
    <font>
      <sz val="11"/>
      <color indexed="17"/>
      <name val="Calibri"/>
      <family val="2"/>
    </font>
    <font>
      <b/>
      <sz val="12"/>
      <name val="Helv"/>
      <family val="2"/>
    </font>
    <font>
      <b/>
      <sz val="12"/>
      <name val="Arial"/>
      <family val="2"/>
      <charset val="134"/>
    </font>
    <font>
      <b/>
      <sz val="10"/>
      <name val="Arial"/>
      <family val="2"/>
      <charset val="134"/>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charset val="134"/>
    </font>
    <font>
      <sz val="10"/>
      <name val="MS Sans Serif"/>
      <family val="2"/>
      <charset val="134"/>
    </font>
    <font>
      <sz val="10"/>
      <color indexed="8"/>
      <name val="MS Sans Serif"/>
      <family val="2"/>
      <charset val="134"/>
    </font>
    <font>
      <b/>
      <sz val="11"/>
      <color indexed="63"/>
      <name val="Calibri"/>
      <family val="2"/>
    </font>
    <font>
      <sz val="8"/>
      <color indexed="16"/>
      <name val="Century Schoolbook"/>
      <family val="1"/>
      <charset val="134"/>
    </font>
    <font>
      <b/>
      <i/>
      <sz val="10"/>
      <name val="Times New Roman"/>
      <family val="1"/>
      <charset val="134"/>
    </font>
    <font>
      <b/>
      <sz val="12"/>
      <name val="MS Sans Serif"/>
      <family val="2"/>
      <charset val="134"/>
    </font>
    <font>
      <sz val="12"/>
      <name val="MS Sans Serif"/>
      <family val="2"/>
      <charset val="134"/>
    </font>
    <font>
      <b/>
      <sz val="10"/>
      <color indexed="10"/>
      <name val="Arial"/>
      <family val="2"/>
      <charset val="134"/>
    </font>
    <font>
      <b/>
      <sz val="9"/>
      <name val="Times New Roman"/>
      <family val="1"/>
      <charset val="134"/>
    </font>
    <font>
      <b/>
      <sz val="11"/>
      <color indexed="8"/>
      <name val="Calibri"/>
      <family val="2"/>
    </font>
    <font>
      <sz val="11"/>
      <color indexed="10"/>
      <name val="Calibri"/>
      <family val="2"/>
    </font>
    <font>
      <sz val="8"/>
      <name val="Century Schoolbook"/>
      <family val="1"/>
      <charset val="134"/>
    </font>
    <font>
      <sz val="12"/>
      <color indexed="20"/>
      <name val="宋体"/>
      <family val="3"/>
      <charset val="134"/>
    </font>
    <font>
      <sz val="11"/>
      <color theme="1"/>
      <name val="宋体"/>
      <family val="3"/>
      <charset val="134"/>
      <scheme val="minor"/>
    </font>
    <font>
      <sz val="12"/>
      <color indexed="8"/>
      <name val="宋体"/>
      <family val="3"/>
      <charset val="134"/>
    </font>
    <font>
      <sz val="11"/>
      <color indexed="8"/>
      <name val="宋体"/>
      <family val="3"/>
      <charset val="134"/>
    </font>
    <font>
      <sz val="11"/>
      <color theme="1"/>
      <name val="宋体"/>
      <family val="2"/>
      <charset val="134"/>
      <scheme val="minor"/>
    </font>
    <font>
      <sz val="10"/>
      <color indexed="8"/>
      <name val="Tahoma"/>
      <family val="2"/>
      <charset val="134"/>
    </font>
    <font>
      <u/>
      <sz val="10"/>
      <color indexed="12"/>
      <name val="宋体"/>
      <family val="3"/>
      <charset val="134"/>
    </font>
    <font>
      <b/>
      <sz val="10"/>
      <name val="MS Sans Serif"/>
      <family val="2"/>
      <charset val="134"/>
    </font>
    <font>
      <sz val="10"/>
      <color indexed="17"/>
      <name val="Times New Roman"/>
      <family val="1"/>
    </font>
    <font>
      <sz val="10"/>
      <name val="Times New Roman"/>
      <family val="1"/>
      <charset val="134"/>
    </font>
    <font>
      <sz val="11"/>
      <name val="蹈框"/>
      <charset val="134"/>
    </font>
    <font>
      <sz val="12"/>
      <name val="바탕체"/>
      <family val="3"/>
      <charset val="134"/>
    </font>
    <font>
      <sz val="10"/>
      <color rgb="FF0000FF"/>
      <name val="宋体"/>
      <family val="3"/>
      <charset val="134"/>
    </font>
    <font>
      <b/>
      <sz val="10"/>
      <name val="宋体"/>
      <family val="3"/>
      <charset val="134"/>
      <scheme val="minor"/>
    </font>
    <font>
      <b/>
      <sz val="10"/>
      <color rgb="FFE92841"/>
      <name val="Arial Narrow"/>
      <family val="2"/>
    </font>
    <font>
      <sz val="12"/>
      <color indexed="12"/>
      <name val="仿宋_GB2312"/>
      <family val="3"/>
      <charset val="134"/>
    </font>
    <font>
      <sz val="12"/>
      <name val="宋体"/>
      <family val="3"/>
      <charset val="134"/>
      <scheme val="minor"/>
    </font>
    <font>
      <b/>
      <sz val="12"/>
      <name val="宋体"/>
      <family val="3"/>
      <charset val="134"/>
      <scheme val="minor"/>
    </font>
    <font>
      <sz val="10"/>
      <name val="宋体"/>
      <family val="3"/>
      <charset val="134"/>
      <scheme val="minor"/>
    </font>
    <font>
      <sz val="10"/>
      <color rgb="FF0000FF"/>
      <name val="宋体"/>
      <family val="3"/>
      <charset val="134"/>
      <scheme val="minor"/>
    </font>
    <font>
      <sz val="12"/>
      <color rgb="FF000000"/>
      <name val="宋体"/>
      <family val="3"/>
      <charset val="134"/>
      <scheme val="minor"/>
    </font>
    <font>
      <sz val="10"/>
      <color rgb="FF000000"/>
      <name val="宋体"/>
      <family val="3"/>
      <charset val="134"/>
      <scheme val="minor"/>
    </font>
    <font>
      <sz val="12"/>
      <color rgb="FF0000FF"/>
      <name val="宋体"/>
      <family val="3"/>
      <charset val="134"/>
      <scheme val="minor"/>
    </font>
    <font>
      <b/>
      <sz val="10"/>
      <color rgb="FF000000"/>
      <name val="宋体"/>
      <family val="3"/>
      <charset val="134"/>
      <scheme val="minor"/>
    </font>
    <font>
      <u/>
      <sz val="10"/>
      <color indexed="12"/>
      <name val="Arial Narrow"/>
      <family val="2"/>
    </font>
    <font>
      <b/>
      <sz val="10"/>
      <color theme="1"/>
      <name val="Arial Narrow"/>
      <family val="2"/>
    </font>
    <font>
      <sz val="10"/>
      <color theme="1"/>
      <name val="Arial Narrow"/>
      <family val="2"/>
    </font>
    <font>
      <sz val="9"/>
      <name val="宋体"/>
      <family val="3"/>
      <charset val="134"/>
      <scheme val="minor"/>
    </font>
    <font>
      <sz val="10"/>
      <color rgb="FF0000FF"/>
      <name val="Arial Narrow"/>
      <family val="2"/>
    </font>
    <font>
      <b/>
      <sz val="10"/>
      <color rgb="FFFF0000"/>
      <name val="Arial Narrow"/>
      <family val="2"/>
    </font>
    <font>
      <sz val="10"/>
      <color rgb="FFFF0000"/>
      <name val="Arial"/>
      <family val="2"/>
    </font>
    <font>
      <b/>
      <sz val="10"/>
      <color rgb="FF0000FF"/>
      <name val="宋体"/>
      <family val="3"/>
      <charset val="134"/>
    </font>
    <font>
      <sz val="12"/>
      <color rgb="FF0000FF"/>
      <name val="宋体"/>
      <family val="3"/>
      <charset val="134"/>
    </font>
    <font>
      <sz val="10"/>
      <color rgb="FFFF0000"/>
      <name val="Arial Narrow"/>
      <family val="2"/>
    </font>
    <font>
      <sz val="10"/>
      <color rgb="FF000000"/>
      <name val="宋体"/>
      <family val="2"/>
      <charset val="134"/>
    </font>
    <font>
      <sz val="9"/>
      <color rgb="FF0000FF"/>
      <name val="Arial Narrow"/>
      <family val="2"/>
    </font>
    <font>
      <sz val="9"/>
      <color rgb="FF0000FF"/>
      <name val="宋体"/>
      <family val="3"/>
      <charset val="134"/>
    </font>
    <font>
      <b/>
      <sz val="14"/>
      <name val="宋体"/>
      <family val="3"/>
      <charset val="134"/>
    </font>
    <font>
      <b/>
      <sz val="14"/>
      <name val="Arial"/>
      <family val="2"/>
    </font>
    <font>
      <sz val="12"/>
      <color rgb="FFFF0000"/>
      <name val="宋体"/>
      <family val="3"/>
      <charset val="134"/>
    </font>
    <font>
      <sz val="12"/>
      <name val="宋体"/>
      <family val="3"/>
      <charset val="134"/>
    </font>
    <font>
      <sz val="10"/>
      <color theme="1"/>
      <name val="宋体"/>
      <family val="3"/>
      <charset val="134"/>
      <scheme val="minor"/>
    </font>
    <font>
      <b/>
      <sz val="9"/>
      <color indexed="81"/>
      <name val="宋体"/>
      <family val="3"/>
      <charset val="134"/>
    </font>
    <font>
      <sz val="9"/>
      <color indexed="81"/>
      <name val="宋体"/>
      <family val="3"/>
      <charset val="134"/>
    </font>
  </fonts>
  <fills count="3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rgb="FFFFFFFF"/>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E4DFEC"/>
        <bgColor indexed="64"/>
      </patternFill>
    </fill>
    <fill>
      <patternFill patternType="solid">
        <fgColor rgb="FFFF0000"/>
        <bgColor indexed="64"/>
      </patternFill>
    </fill>
    <fill>
      <patternFill patternType="solid">
        <fgColor theme="0" tint="-0.14999847407452621"/>
        <bgColor indexed="64"/>
      </patternFill>
    </fill>
    <fill>
      <patternFill patternType="solid">
        <fgColor theme="7" tint="0.79998168889431442"/>
        <bgColor rgb="FFB7DEE8"/>
      </patternFill>
    </fill>
  </fills>
  <borders count="3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64"/>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s>
  <cellStyleXfs count="312">
    <xf numFmtId="0" fontId="0" fillId="0" borderId="0">
      <protection locked="0"/>
    </xf>
    <xf numFmtId="49" fontId="15" fillId="0" borderId="0" applyProtection="0">
      <alignment horizontal="left"/>
    </xf>
    <xf numFmtId="188" fontId="15" fillId="0" borderId="0" applyFill="0" applyBorder="0" applyProtection="0">
      <alignment horizontal="right"/>
    </xf>
    <xf numFmtId="185" fontId="15" fillId="0" borderId="0" applyFill="0" applyBorder="0" applyProtection="0">
      <alignment horizontal="right"/>
    </xf>
    <xf numFmtId="187" fontId="25" fillId="0" borderId="0" applyFill="0" applyBorder="0" applyProtection="0">
      <alignment horizontal="center"/>
    </xf>
    <xf numFmtId="186" fontId="25" fillId="0" borderId="0" applyFill="0" applyBorder="0" applyProtection="0">
      <alignment horizontal="center"/>
    </xf>
    <xf numFmtId="189" fontId="26" fillId="0" borderId="0" applyFill="0" applyBorder="0" applyProtection="0">
      <alignment horizontal="right"/>
    </xf>
    <xf numFmtId="190" fontId="15" fillId="0" borderId="0" applyFill="0" applyBorder="0" applyProtection="0">
      <alignment horizontal="right"/>
    </xf>
    <xf numFmtId="191" fontId="15" fillId="0" borderId="0" applyFill="0" applyBorder="0" applyProtection="0">
      <alignment horizontal="right"/>
    </xf>
    <xf numFmtId="194" fontId="15" fillId="0" borderId="0" applyFill="0" applyBorder="0" applyProtection="0">
      <alignment horizontal="right"/>
    </xf>
    <xf numFmtId="193" fontId="15" fillId="0" borderId="0" applyFill="0" applyBorder="0" applyProtection="0">
      <alignment horizontal="right"/>
    </xf>
    <xf numFmtId="3" fontId="2" fillId="0" borderId="0"/>
    <xf numFmtId="178" fontId="3" fillId="0" borderId="1" applyAlignment="0" applyProtection="0"/>
    <xf numFmtId="41" fontId="4" fillId="0" borderId="0" applyFont="0" applyFill="0" applyBorder="0" applyAlignment="0" applyProtection="0"/>
    <xf numFmtId="43" fontId="4" fillId="0" borderId="0" applyFont="0" applyFill="0" applyBorder="0" applyAlignment="0" applyProtection="0"/>
    <xf numFmtId="192" fontId="15" fillId="0" borderId="0" applyFont="0" applyFill="0" applyBorder="0" applyAlignment="0" applyProtection="0"/>
    <xf numFmtId="0" fontId="5" fillId="0" borderId="0" applyNumberFormat="0" applyFill="0" applyBorder="0" applyAlignment="0" applyProtection="0">
      <alignment vertical="top"/>
      <protection locked="0"/>
    </xf>
    <xf numFmtId="38" fontId="6" fillId="2" borderId="0" applyNumberFormat="0" applyBorder="0" applyAlignment="0" applyProtection="0"/>
    <xf numFmtId="0" fontId="7" fillId="0" borderId="0" applyNumberFormat="0" applyFill="0" applyBorder="0" applyAlignment="0" applyProtection="0">
      <alignment vertical="top"/>
      <protection locked="0"/>
    </xf>
    <xf numFmtId="10" fontId="6" fillId="3" borderId="2" applyNumberFormat="0" applyBorder="0" applyAlignment="0" applyProtection="0"/>
    <xf numFmtId="182" fontId="8" fillId="0" borderId="0" applyFont="0" applyFill="0" applyBorder="0" applyAlignment="0" applyProtection="0"/>
    <xf numFmtId="183" fontId="8" fillId="0" borderId="0" applyFont="0" applyFill="0" applyBorder="0" applyAlignment="0" applyProtection="0"/>
    <xf numFmtId="0" fontId="9" fillId="0" borderId="0"/>
    <xf numFmtId="181" fontId="8" fillId="0" borderId="0"/>
    <xf numFmtId="10" fontId="4" fillId="0" borderId="0" applyFont="0" applyFill="0" applyBorder="0" applyAlignment="0" applyProtection="0"/>
    <xf numFmtId="3" fontId="10" fillId="0" borderId="0"/>
    <xf numFmtId="0" fontId="8" fillId="0" borderId="0">
      <alignment vertical="center"/>
    </xf>
    <xf numFmtId="0" fontId="8" fillId="0" borderId="0">
      <alignment vertical="center"/>
    </xf>
    <xf numFmtId="0" fontId="8" fillId="0" borderId="0"/>
    <xf numFmtId="0" fontId="8" fillId="0" borderId="0">
      <protection locked="0"/>
    </xf>
    <xf numFmtId="0" fontId="8" fillId="0" borderId="0" applyFill="0" applyBorder="0"/>
    <xf numFmtId="0" fontId="11" fillId="0" borderId="0" applyNumberFormat="0" applyFill="0" applyBorder="0" applyAlignment="0" applyProtection="0">
      <alignment vertical="top"/>
      <protection locked="0"/>
    </xf>
    <xf numFmtId="43" fontId="8" fillId="0" borderId="0" applyFont="0" applyFill="0" applyBorder="0" applyAlignment="0" applyProtection="0"/>
    <xf numFmtId="0" fontId="8" fillId="0" borderId="0"/>
    <xf numFmtId="192" fontId="8" fillId="0" borderId="0">
      <alignment vertical="center"/>
    </xf>
    <xf numFmtId="192" fontId="8" fillId="0" borderId="0">
      <alignment vertical="center"/>
      <protection locked="0"/>
    </xf>
    <xf numFmtId="192" fontId="8" fillId="0" borderId="0">
      <alignment vertical="center"/>
    </xf>
    <xf numFmtId="0" fontId="8" fillId="0" borderId="0">
      <protection locked="0"/>
    </xf>
    <xf numFmtId="0" fontId="4" fillId="0" borderId="0"/>
    <xf numFmtId="192" fontId="40" fillId="0" borderId="0">
      <alignment vertical="center"/>
    </xf>
    <xf numFmtId="192" fontId="40" fillId="0" borderId="0">
      <alignment vertical="center"/>
    </xf>
    <xf numFmtId="192" fontId="40" fillId="0" borderId="0">
      <alignment vertical="center"/>
    </xf>
    <xf numFmtId="192" fontId="40" fillId="0" borderId="0">
      <alignment vertical="center"/>
    </xf>
    <xf numFmtId="192" fontId="41" fillId="0" borderId="0">
      <alignment vertical="top"/>
      <protection locked="0"/>
    </xf>
    <xf numFmtId="192" fontId="41" fillId="0" borderId="0">
      <alignment vertical="top"/>
      <protection locked="0"/>
    </xf>
    <xf numFmtId="192" fontId="41" fillId="0" borderId="0">
      <alignment vertical="top"/>
      <protection locked="0"/>
    </xf>
    <xf numFmtId="192" fontId="41" fillId="0" borderId="0">
      <alignment vertical="top"/>
    </xf>
    <xf numFmtId="0" fontId="42" fillId="0" borderId="0"/>
    <xf numFmtId="192" fontId="41" fillId="0" borderId="0">
      <alignment vertical="top"/>
    </xf>
    <xf numFmtId="192" fontId="41" fillId="0" borderId="0">
      <alignment vertical="top"/>
      <protection locked="0"/>
    </xf>
    <xf numFmtId="192" fontId="41" fillId="0" borderId="0">
      <alignment vertical="top"/>
    </xf>
    <xf numFmtId="192" fontId="41" fillId="0" borderId="0">
      <alignment vertical="top"/>
    </xf>
    <xf numFmtId="192" fontId="41" fillId="0" borderId="0">
      <alignment vertical="top"/>
      <protection locked="0"/>
    </xf>
    <xf numFmtId="192" fontId="41" fillId="0" borderId="0">
      <alignment vertical="top"/>
      <protection locked="0"/>
    </xf>
    <xf numFmtId="192" fontId="41" fillId="0" borderId="0">
      <alignment vertical="top"/>
      <protection locked="0"/>
    </xf>
    <xf numFmtId="192" fontId="41" fillId="0" borderId="0">
      <alignment vertical="top"/>
    </xf>
    <xf numFmtId="192" fontId="41" fillId="0" borderId="0">
      <alignment vertical="top"/>
    </xf>
    <xf numFmtId="192" fontId="41" fillId="0" borderId="0">
      <alignment vertical="top"/>
      <protection locked="0"/>
    </xf>
    <xf numFmtId="192" fontId="41" fillId="0" borderId="0">
      <alignment vertical="top"/>
    </xf>
    <xf numFmtId="192" fontId="41" fillId="0" borderId="0">
      <alignment vertical="top"/>
    </xf>
    <xf numFmtId="192" fontId="41" fillId="0" borderId="0">
      <alignment vertical="top"/>
    </xf>
    <xf numFmtId="192" fontId="41" fillId="0" borderId="0">
      <alignment vertical="top"/>
      <protection locked="0"/>
    </xf>
    <xf numFmtId="192" fontId="41" fillId="0" borderId="0">
      <alignment vertical="top"/>
    </xf>
    <xf numFmtId="192" fontId="41" fillId="0" borderId="0">
      <alignment vertical="top"/>
      <protection locked="0"/>
    </xf>
    <xf numFmtId="192" fontId="41" fillId="0" borderId="0">
      <alignment vertical="top"/>
      <protection locked="0"/>
    </xf>
    <xf numFmtId="192" fontId="41" fillId="0" borderId="0">
      <alignment vertical="top"/>
      <protection locked="0"/>
    </xf>
    <xf numFmtId="192" fontId="41" fillId="0" borderId="0">
      <alignment vertical="top"/>
    </xf>
    <xf numFmtId="192" fontId="41" fillId="0" borderId="0">
      <alignment vertical="top"/>
    </xf>
    <xf numFmtId="192" fontId="41" fillId="0" borderId="0">
      <alignment vertical="top"/>
    </xf>
    <xf numFmtId="192" fontId="41" fillId="0" borderId="0">
      <alignment vertical="top"/>
    </xf>
    <xf numFmtId="192" fontId="41" fillId="0" borderId="0">
      <alignment vertical="top"/>
      <protection locked="0"/>
    </xf>
    <xf numFmtId="192" fontId="41" fillId="0" borderId="0">
      <alignment vertical="top"/>
      <protection locked="0"/>
    </xf>
    <xf numFmtId="192" fontId="41" fillId="0" borderId="0">
      <alignment vertical="top"/>
    </xf>
    <xf numFmtId="192" fontId="41" fillId="0" borderId="0">
      <alignment vertical="top"/>
      <protection locked="0"/>
    </xf>
    <xf numFmtId="195" fontId="8" fillId="0" borderId="0" applyFont="0" applyFill="0" applyBorder="0" applyAlignment="0" applyProtection="0">
      <alignment vertical="center"/>
    </xf>
    <xf numFmtId="196" fontId="8" fillId="0" borderId="0" applyFont="0" applyFill="0" applyBorder="0" applyAlignment="0" applyProtection="0">
      <alignment vertical="center"/>
    </xf>
    <xf numFmtId="10" fontId="8" fillId="0" borderId="0" applyFont="0" applyFill="0" applyBorder="0" applyAlignment="0" applyProtection="0">
      <alignment vertical="center"/>
    </xf>
    <xf numFmtId="192" fontId="43" fillId="7" borderId="0" applyNumberFormat="0" applyBorder="0" applyAlignment="0" applyProtection="0"/>
    <xf numFmtId="192" fontId="43" fillId="8" borderId="0" applyNumberFormat="0" applyBorder="0" applyAlignment="0" applyProtection="0"/>
    <xf numFmtId="192" fontId="43" fillId="9" borderId="0" applyNumberFormat="0" applyBorder="0" applyAlignment="0" applyProtection="0"/>
    <xf numFmtId="192" fontId="43" fillId="10" borderId="0" applyNumberFormat="0" applyBorder="0" applyAlignment="0" applyProtection="0"/>
    <xf numFmtId="192" fontId="43" fillId="11" borderId="0" applyNumberFormat="0" applyBorder="0" applyAlignment="0" applyProtection="0"/>
    <xf numFmtId="192" fontId="43" fillId="12" borderId="0" applyNumberFormat="0" applyBorder="0" applyAlignment="0" applyProtection="0"/>
    <xf numFmtId="192" fontId="43" fillId="13" borderId="0" applyNumberFormat="0" applyBorder="0" applyAlignment="0" applyProtection="0"/>
    <xf numFmtId="192" fontId="43" fillId="14" borderId="0" applyNumberFormat="0" applyBorder="0" applyAlignment="0" applyProtection="0"/>
    <xf numFmtId="192" fontId="43" fillId="15" borderId="0" applyNumberFormat="0" applyBorder="0" applyAlignment="0" applyProtection="0"/>
    <xf numFmtId="192" fontId="43" fillId="10" borderId="0" applyNumberFormat="0" applyBorder="0" applyAlignment="0" applyProtection="0"/>
    <xf numFmtId="192" fontId="43" fillId="13" borderId="0" applyNumberFormat="0" applyBorder="0" applyAlignment="0" applyProtection="0"/>
    <xf numFmtId="192" fontId="43" fillId="16" borderId="0" applyNumberFormat="0" applyBorder="0" applyAlignment="0" applyProtection="0"/>
    <xf numFmtId="192" fontId="44" fillId="17" borderId="0" applyNumberFormat="0" applyBorder="0" applyAlignment="0" applyProtection="0"/>
    <xf numFmtId="192" fontId="44" fillId="14" borderId="0" applyNumberFormat="0" applyBorder="0" applyAlignment="0" applyProtection="0"/>
    <xf numFmtId="192" fontId="44" fillId="15" borderId="0" applyNumberFormat="0" applyBorder="0" applyAlignment="0" applyProtection="0"/>
    <xf numFmtId="192" fontId="44" fillId="18" borderId="0" applyNumberFormat="0" applyBorder="0" applyAlignment="0" applyProtection="0"/>
    <xf numFmtId="192" fontId="44" fillId="19" borderId="0" applyNumberFormat="0" applyBorder="0" applyAlignment="0" applyProtection="0"/>
    <xf numFmtId="192" fontId="44" fillId="20" borderId="0" applyNumberFormat="0" applyBorder="0" applyAlignment="0" applyProtection="0"/>
    <xf numFmtId="192" fontId="44" fillId="21" borderId="0" applyNumberFormat="0" applyBorder="0" applyAlignment="0" applyProtection="0"/>
    <xf numFmtId="192" fontId="44" fillId="22" borderId="0" applyNumberFormat="0" applyBorder="0" applyAlignment="0" applyProtection="0"/>
    <xf numFmtId="192" fontId="44" fillId="23" borderId="0" applyNumberFormat="0" applyBorder="0" applyAlignment="0" applyProtection="0"/>
    <xf numFmtId="192" fontId="44" fillId="18" borderId="0" applyNumberFormat="0" applyBorder="0" applyAlignment="0" applyProtection="0"/>
    <xf numFmtId="192" fontId="44" fillId="19" borderId="0" applyNumberFormat="0" applyBorder="0" applyAlignment="0" applyProtection="0"/>
    <xf numFmtId="192" fontId="44" fillId="24" borderId="0" applyNumberFormat="0" applyBorder="0" applyAlignment="0" applyProtection="0"/>
    <xf numFmtId="192" fontId="45" fillId="8" borderId="0" applyNumberFormat="0" applyBorder="0" applyAlignment="0" applyProtection="0"/>
    <xf numFmtId="197" fontId="41" fillId="0" borderId="0" applyFill="0" applyBorder="0" applyAlignment="0">
      <alignment vertical="center"/>
    </xf>
    <xf numFmtId="198" fontId="4" fillId="0" borderId="0" applyFill="0" applyBorder="0" applyAlignment="0"/>
    <xf numFmtId="199" fontId="4" fillId="0" borderId="0" applyFill="0" applyBorder="0" applyAlignment="0"/>
    <xf numFmtId="200" fontId="4" fillId="0" borderId="0" applyFill="0" applyBorder="0" applyAlignment="0"/>
    <xf numFmtId="201"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46" fillId="25" borderId="12" applyNumberFormat="0" applyAlignment="0" applyProtection="0"/>
    <xf numFmtId="0" fontId="47" fillId="0" borderId="0"/>
    <xf numFmtId="192" fontId="48" fillId="26" borderId="13" applyNumberFormat="0" applyAlignment="0" applyProtection="0"/>
    <xf numFmtId="192" fontId="49" fillId="0" borderId="14" applyNumberFormat="0" applyFill="0" applyProtection="0">
      <alignment horizontal="center" vertical="center"/>
    </xf>
    <xf numFmtId="192" fontId="50" fillId="0" borderId="15">
      <alignment horizontal="center" vertical="center"/>
    </xf>
    <xf numFmtId="204" fontId="40" fillId="0" borderId="0">
      <alignment vertical="center"/>
    </xf>
    <xf numFmtId="204" fontId="40" fillId="0" borderId="0">
      <alignment vertical="center"/>
    </xf>
    <xf numFmtId="204" fontId="40" fillId="0" borderId="0">
      <alignment vertical="center"/>
    </xf>
    <xf numFmtId="204" fontId="40" fillId="0" borderId="0">
      <alignment vertical="center"/>
    </xf>
    <xf numFmtId="204" fontId="40" fillId="0" borderId="0">
      <alignment vertical="center"/>
    </xf>
    <xf numFmtId="204" fontId="40" fillId="0" borderId="0">
      <alignment vertical="center"/>
    </xf>
    <xf numFmtId="204" fontId="40" fillId="0" borderId="0">
      <alignment vertical="center"/>
    </xf>
    <xf numFmtId="204" fontId="40" fillId="0" borderId="0">
      <alignment vertical="center"/>
    </xf>
    <xf numFmtId="38" fontId="8" fillId="0" borderId="0" applyFont="0" applyFill="0" applyBorder="0" applyAlignment="0" applyProtection="0">
      <alignment vertical="center"/>
    </xf>
    <xf numFmtId="202" fontId="4" fillId="0" borderId="0" applyFont="0" applyFill="0" applyBorder="0" applyAlignment="0" applyProtection="0"/>
    <xf numFmtId="43" fontId="8" fillId="0" borderId="0" applyFont="0" applyFill="0" applyBorder="0" applyAlignment="0" applyProtection="0"/>
    <xf numFmtId="205" fontId="15" fillId="0" borderId="0"/>
    <xf numFmtId="37" fontId="8" fillId="0" borderId="0" applyFont="0" applyFill="0" applyBorder="0" applyAlignment="0" applyProtection="0">
      <alignment vertical="center"/>
    </xf>
    <xf numFmtId="206" fontId="8" fillId="0" borderId="0" applyFont="0" applyFill="0" applyBorder="0" applyAlignment="0" applyProtection="0">
      <alignment vertical="center"/>
    </xf>
    <xf numFmtId="39" fontId="8" fillId="0" borderId="0" applyFont="0" applyFill="0" applyBorder="0" applyAlignment="0" applyProtection="0">
      <alignment vertical="center"/>
    </xf>
    <xf numFmtId="40" fontId="8" fillId="0" borderId="0" applyFont="0" applyFill="0" applyBorder="0" applyAlignment="0" applyProtection="0">
      <alignment vertical="center"/>
    </xf>
    <xf numFmtId="207" fontId="8" fillId="0" borderId="0" applyFont="0" applyFill="0" applyBorder="0" applyAlignment="0" applyProtection="0">
      <alignment vertical="center"/>
    </xf>
    <xf numFmtId="198" fontId="4" fillId="0" borderId="0" applyFont="0" applyFill="0" applyBorder="0" applyAlignment="0" applyProtection="0"/>
    <xf numFmtId="178" fontId="8" fillId="0" borderId="0" applyFont="0" applyFill="0" applyBorder="0" applyAlignment="0" applyProtection="0">
      <alignment vertical="center"/>
    </xf>
    <xf numFmtId="208" fontId="8" fillId="0" borderId="0" applyFont="0" applyFill="0" applyBorder="0" applyAlignment="0" applyProtection="0">
      <alignment vertical="center"/>
    </xf>
    <xf numFmtId="209" fontId="8" fillId="0" borderId="0" applyFont="0" applyFill="0" applyBorder="0" applyAlignment="0" applyProtection="0">
      <alignment vertical="center"/>
    </xf>
    <xf numFmtId="210" fontId="15" fillId="0" borderId="0"/>
    <xf numFmtId="14" fontId="51" fillId="0" borderId="0" applyFill="0" applyBorder="0" applyAlignment="0"/>
    <xf numFmtId="211" fontId="15" fillId="0" borderId="0"/>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52" fillId="0" borderId="0">
      <alignment horizontal="left" vertical="center"/>
    </xf>
    <xf numFmtId="192" fontId="53" fillId="27" borderId="2">
      <alignment vertical="center"/>
    </xf>
    <xf numFmtId="192" fontId="54" fillId="0" borderId="0" applyNumberFormat="0" applyFill="0" applyBorder="0" applyAlignment="0" applyProtection="0"/>
    <xf numFmtId="192" fontId="55" fillId="9" borderId="0" applyNumberFormat="0" applyBorder="0" applyAlignment="0" applyProtection="0"/>
    <xf numFmtId="0" fontId="56" fillId="0" borderId="0">
      <alignment horizontal="left"/>
    </xf>
    <xf numFmtId="192" fontId="57" fillId="0" borderId="5" applyNumberFormat="0" applyAlignment="0" applyProtection="0">
      <alignment horizontal="left" vertical="center"/>
    </xf>
    <xf numFmtId="192" fontId="57" fillId="0" borderId="16">
      <alignment horizontal="left" vertical="center"/>
    </xf>
    <xf numFmtId="14" fontId="58" fillId="28" borderId="6">
      <alignment horizontal="center" vertical="center" wrapText="1"/>
    </xf>
    <xf numFmtId="192" fontId="59" fillId="0" borderId="17" applyNumberFormat="0" applyFill="0" applyAlignment="0" applyProtection="0"/>
    <xf numFmtId="192" fontId="60" fillId="0" borderId="18" applyNumberFormat="0" applyFill="0" applyAlignment="0" applyProtection="0"/>
    <xf numFmtId="192" fontId="61" fillId="0" borderId="19" applyNumberFormat="0" applyFill="0" applyAlignment="0" applyProtection="0"/>
    <xf numFmtId="192" fontId="61" fillId="0" borderId="0" applyNumberFormat="0" applyFill="0" applyBorder="0" applyAlignment="0" applyProtection="0"/>
    <xf numFmtId="192" fontId="62" fillId="12" borderId="12" applyNumberFormat="0" applyAlignment="0" applyProtection="0"/>
    <xf numFmtId="192" fontId="8" fillId="0" borderId="0" applyNumberFormat="0" applyFont="0" applyFill="0" applyBorder="0" applyProtection="0">
      <alignment horizontal="lef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63" fillId="0" borderId="20" applyNumberFormat="0" applyFill="0" applyAlignment="0" applyProtection="0"/>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0" fontId="64" fillId="0" borderId="6"/>
    <xf numFmtId="212" fontId="8" fillId="0" borderId="0" applyFont="0" applyFill="0" applyBorder="0" applyAlignment="0" applyProtection="0">
      <alignment vertical="center"/>
    </xf>
    <xf numFmtId="213" fontId="8" fillId="0" borderId="0" applyFont="0" applyFill="0" applyBorder="0" applyAlignment="0" applyProtection="0">
      <alignment vertical="center"/>
    </xf>
    <xf numFmtId="214" fontId="8" fillId="0" borderId="0" applyFont="0" applyFill="0" applyBorder="0" applyAlignment="0" applyProtection="0">
      <alignment vertical="center"/>
    </xf>
    <xf numFmtId="215" fontId="8" fillId="0" borderId="0" applyFont="0" applyFill="0" applyBorder="0" applyAlignment="0" applyProtection="0">
      <alignment vertical="center"/>
    </xf>
    <xf numFmtId="192" fontId="65" fillId="29" borderId="0" applyNumberFormat="0" applyBorder="0" applyAlignment="0" applyProtection="0"/>
    <xf numFmtId="37" fontId="66" fillId="0" borderId="0">
      <alignment vertical="center"/>
    </xf>
    <xf numFmtId="0" fontId="4" fillId="0" borderId="0"/>
    <xf numFmtId="0" fontId="4" fillId="0" borderId="0"/>
    <xf numFmtId="0" fontId="8" fillId="0" borderId="0"/>
    <xf numFmtId="0" fontId="8" fillId="0" borderId="0">
      <alignment vertical="center"/>
    </xf>
    <xf numFmtId="192" fontId="67" fillId="0" borderId="0">
      <alignment vertical="center"/>
    </xf>
    <xf numFmtId="192" fontId="68" fillId="0" borderId="0">
      <alignment vertical="center"/>
    </xf>
    <xf numFmtId="192" fontId="4" fillId="30" borderId="21" applyNumberFormat="0" applyFont="0" applyAlignment="0" applyProtection="0"/>
    <xf numFmtId="192" fontId="69" fillId="25" borderId="22" applyNumberFormat="0" applyAlignment="0" applyProtection="0"/>
    <xf numFmtId="216" fontId="8" fillId="0" borderId="0" applyFont="0" applyFill="0" applyBorder="0" applyAlignment="0" applyProtection="0">
      <alignment vertical="center"/>
    </xf>
    <xf numFmtId="201" fontId="4" fillId="0" borderId="0" applyFont="0" applyFill="0" applyBorder="0" applyAlignment="0" applyProtection="0"/>
    <xf numFmtId="195" fontId="4" fillId="0" borderId="0" applyFont="0" applyFill="0" applyBorder="0" applyAlignment="0" applyProtection="0"/>
    <xf numFmtId="192" fontId="53" fillId="2" borderId="2">
      <alignmen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4" fontId="52" fillId="0" borderId="0">
      <alignment horizontal="right" vertical="center"/>
    </xf>
    <xf numFmtId="4" fontId="70" fillId="0" borderId="0">
      <alignment horizontal="right" vertical="center"/>
    </xf>
    <xf numFmtId="192" fontId="71" fillId="0" borderId="0">
      <alignment horizontal="left" vertical="center"/>
    </xf>
    <xf numFmtId="43" fontId="6" fillId="0" borderId="3"/>
    <xf numFmtId="192" fontId="72" fillId="0" borderId="2">
      <alignment horizontal="center" vertical="center"/>
    </xf>
    <xf numFmtId="192" fontId="72" fillId="0" borderId="0">
      <alignment horizontal="center" vertical="center"/>
    </xf>
    <xf numFmtId="192" fontId="73" fillId="31" borderId="0" applyNumberFormat="0" applyFill="0">
      <alignment horizontal="left" vertical="center"/>
    </xf>
    <xf numFmtId="0" fontId="64" fillId="0" borderId="0"/>
    <xf numFmtId="49" fontId="51" fillId="0" borderId="0" applyFill="0" applyBorder="0" applyAlignment="0"/>
    <xf numFmtId="217" fontId="51" fillId="0" borderId="0" applyFill="0" applyBorder="0" applyAlignment="0"/>
    <xf numFmtId="218" fontId="4" fillId="0" borderId="0" applyFill="0" applyBorder="0" applyAlignment="0"/>
    <xf numFmtId="192" fontId="74" fillId="0" borderId="0" applyFill="0" applyBorder="0" applyProtection="0">
      <alignment horizontal="left" vertical="top"/>
    </xf>
    <xf numFmtId="192" fontId="75" fillId="0" borderId="0">
      <alignment horizontal="center" vertical="center"/>
    </xf>
    <xf numFmtId="192" fontId="76" fillId="0" borderId="23" applyNumberFormat="0" applyFill="0" applyAlignment="0" applyProtection="0"/>
    <xf numFmtId="192" fontId="77" fillId="0" borderId="0" applyNumberFormat="0" applyFill="0" applyBorder="0" applyAlignment="0" applyProtection="0"/>
    <xf numFmtId="192" fontId="8" fillId="0" borderId="0" applyNumberFormat="0" applyFont="0" applyFill="0" applyBorder="0" applyProtection="0">
      <alignment horizontal="center" vertical="center" wrapText="1"/>
    </xf>
    <xf numFmtId="9" fontId="8" fillId="0" borderId="0" applyFont="0" applyFill="0" applyBorder="0" applyAlignment="0" applyProtection="0">
      <alignment vertical="center"/>
    </xf>
    <xf numFmtId="0" fontId="42" fillId="0" borderId="0"/>
    <xf numFmtId="0" fontId="4" fillId="0" borderId="0"/>
    <xf numFmtId="176" fontId="42" fillId="0" borderId="0" applyFont="0" applyFill="0" applyBorder="0" applyAlignment="0" applyProtection="0"/>
    <xf numFmtId="177" fontId="42"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4" fontId="78" fillId="0" borderId="0">
      <alignment horizontal="right" vertical="center"/>
    </xf>
    <xf numFmtId="0" fontId="79" fillId="8" borderId="0" applyNumberFormat="0" applyBorder="0" applyAlignment="0" applyProtection="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 fillId="0" borderId="0">
      <alignment vertical="center"/>
    </xf>
    <xf numFmtId="0" fontId="8" fillId="0" borderId="0">
      <alignment vertical="center"/>
    </xf>
    <xf numFmtId="0" fontId="8"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192" fontId="8" fillId="0" borderId="0">
      <alignment vertical="center"/>
      <protection locked="0"/>
    </xf>
    <xf numFmtId="0" fontId="80" fillId="0" borderId="0">
      <alignment vertical="center"/>
    </xf>
    <xf numFmtId="0" fontId="81" fillId="0" borderId="0" applyNumberFormat="0" applyBorder="0" applyAlignment="0">
      <alignment vertical="center"/>
      <protection locked="0"/>
    </xf>
    <xf numFmtId="192"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82" fillId="0" borderId="0" applyNumberFormat="0" applyBorder="0" applyProtection="0">
      <alignment vertical="center"/>
    </xf>
    <xf numFmtId="0" fontId="8" fillId="0" borderId="0">
      <protection locked="0"/>
    </xf>
    <xf numFmtId="0" fontId="8" fillId="0" borderId="0">
      <alignment vertical="center"/>
    </xf>
    <xf numFmtId="192" fontId="80" fillId="0" borderId="0">
      <alignment vertical="center"/>
    </xf>
    <xf numFmtId="0" fontId="4" fillId="0" borderId="0"/>
    <xf numFmtId="0" fontId="8" fillId="0" borderId="0">
      <alignment vertical="center"/>
    </xf>
    <xf numFmtId="192" fontId="83" fillId="0" borderId="0">
      <alignment vertical="center"/>
    </xf>
    <xf numFmtId="192" fontId="83" fillId="0" borderId="0">
      <alignment vertical="center"/>
    </xf>
    <xf numFmtId="0" fontId="8" fillId="0" borderId="0">
      <alignment vertical="center"/>
    </xf>
    <xf numFmtId="0" fontId="8" fillId="0" borderId="0">
      <alignment vertical="center"/>
    </xf>
    <xf numFmtId="192" fontId="84" fillId="0" borderId="0">
      <alignment vertical="center"/>
    </xf>
    <xf numFmtId="0" fontId="80" fillId="0" borderId="0">
      <alignment vertical="center"/>
    </xf>
    <xf numFmtId="0" fontId="80" fillId="0" borderId="0">
      <alignment vertical="center"/>
    </xf>
    <xf numFmtId="0" fontId="80" fillId="0" borderId="0">
      <alignment vertical="center"/>
    </xf>
    <xf numFmtId="0" fontId="8" fillId="0" borderId="0"/>
    <xf numFmtId="0" fontId="81" fillId="0" borderId="0" applyNumberFormat="0" applyBorder="0" applyAlignment="0" applyProtection="0">
      <alignment vertical="center"/>
    </xf>
    <xf numFmtId="0" fontId="80" fillId="0" borderId="0">
      <alignment vertical="center"/>
    </xf>
    <xf numFmtId="0" fontId="83"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192" fontId="85"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86" fillId="0" borderId="0" applyNumberFormat="0" applyFill="0" applyBorder="0" applyAlignment="0" applyProtection="0">
      <alignment vertical="center"/>
    </xf>
    <xf numFmtId="0" fontId="87" fillId="9" borderId="0" applyNumberFormat="0" applyBorder="0" applyAlignment="0" applyProtection="0">
      <alignment vertical="center"/>
    </xf>
    <xf numFmtId="4" fontId="8" fillId="0" borderId="0" applyFont="0" applyFill="0" applyBorder="0" applyAlignment="0" applyProtection="0">
      <alignment vertical="center"/>
    </xf>
    <xf numFmtId="41" fontId="8" fillId="0" borderId="0" applyFont="0" applyFill="0" applyBorder="0" applyAlignment="0" applyProtection="0">
      <alignment vertical="center"/>
    </xf>
    <xf numFmtId="219" fontId="8" fillId="0" borderId="0" applyFont="0" applyFill="0" applyBorder="0" applyAlignment="0" applyProtection="0">
      <alignment vertical="center"/>
    </xf>
    <xf numFmtId="220" fontId="8" fillId="0" borderId="0" applyFont="0" applyFill="0" applyBorder="0" applyAlignment="0" applyProtection="0">
      <alignment vertical="center"/>
    </xf>
    <xf numFmtId="221" fontId="8" fillId="0" borderId="0" applyFont="0" applyFill="0" applyBorder="0" applyAlignment="0" applyProtection="0">
      <alignment vertical="center"/>
    </xf>
    <xf numFmtId="222" fontId="8" fillId="0" borderId="0" applyFont="0" applyFill="0" applyBorder="0" applyAlignment="0" applyProtection="0">
      <alignment vertical="center"/>
    </xf>
    <xf numFmtId="179" fontId="42" fillId="0" borderId="0" applyFont="0" applyFill="0" applyBorder="0" applyAlignment="0" applyProtection="0"/>
    <xf numFmtId="180" fontId="42" fillId="0" borderId="0" applyFont="0" applyFill="0" applyBorder="0" applyAlignment="0" applyProtection="0"/>
    <xf numFmtId="192" fontId="88" fillId="0" borderId="0">
      <alignment vertical="center"/>
    </xf>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41" fontId="42" fillId="0" borderId="0" applyFont="0" applyFill="0" applyBorder="0" applyAlignment="0" applyProtection="0"/>
    <xf numFmtId="43" fontId="42"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192" fontId="89" fillId="0" borderId="0">
      <alignment vertical="center"/>
    </xf>
    <xf numFmtId="213" fontId="8" fillId="0" borderId="0" applyFont="0" applyFill="0" applyBorder="0" applyAlignment="0" applyProtection="0">
      <alignment vertical="center"/>
    </xf>
    <xf numFmtId="223" fontId="8" fillId="0" borderId="0" applyFont="0" applyFill="0" applyBorder="0" applyAlignment="0" applyProtection="0">
      <alignment vertical="center"/>
    </xf>
    <xf numFmtId="192" fontId="41" fillId="0" borderId="0">
      <alignment vertical="top"/>
    </xf>
    <xf numFmtId="38" fontId="8" fillId="0" borderId="0" applyFont="0" applyFill="0" applyBorder="0" applyAlignment="0" applyProtection="0">
      <alignment vertical="center"/>
    </xf>
    <xf numFmtId="40"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90" fillId="0" borderId="0">
      <alignment vertical="center"/>
    </xf>
    <xf numFmtId="0" fontId="8" fillId="0" borderId="0">
      <protection locked="0"/>
    </xf>
    <xf numFmtId="192" fontId="8" fillId="0" borderId="0"/>
    <xf numFmtId="0" fontId="11" fillId="0" borderId="0" applyNumberFormat="0" applyFill="0" applyBorder="0" applyAlignment="0" applyProtection="0">
      <alignment vertical="top"/>
      <protection locked="0"/>
    </xf>
    <xf numFmtId="9" fontId="8" fillId="0" borderId="0" applyFont="0" applyFill="0" applyBorder="0" applyAlignment="0" applyProtection="0"/>
    <xf numFmtId="0" fontId="8" fillId="0" borderId="0"/>
    <xf numFmtId="0" fontId="8" fillId="0" borderId="0"/>
    <xf numFmtId="192" fontId="8" fillId="0" borderId="0">
      <protection locked="0"/>
    </xf>
    <xf numFmtId="192" fontId="8" fillId="0" borderId="0" applyFill="0" applyBorder="0"/>
    <xf numFmtId="224" fontId="8" fillId="0" borderId="0" applyFont="0" applyFill="0" applyBorder="0" applyAlignment="0" applyProtection="0"/>
    <xf numFmtId="224" fontId="8" fillId="0" borderId="0" applyFont="0" applyFill="0" applyBorder="0" applyAlignment="0" applyProtection="0">
      <alignment vertical="center"/>
    </xf>
    <xf numFmtId="192" fontId="8" fillId="0" borderId="0">
      <protection locked="0"/>
    </xf>
    <xf numFmtId="0" fontId="42" fillId="0" borderId="0"/>
    <xf numFmtId="43" fontId="8" fillId="0" borderId="0" applyFont="0" applyFill="0" applyBorder="0" applyAlignment="0" applyProtection="0">
      <alignment vertical="center"/>
    </xf>
    <xf numFmtId="9" fontId="119" fillId="0" borderId="0" applyFont="0" applyFill="0" applyBorder="0" applyAlignment="0" applyProtection="0">
      <alignment vertical="center"/>
    </xf>
    <xf numFmtId="192" fontId="1" fillId="0" borderId="0">
      <alignment vertical="center"/>
    </xf>
  </cellStyleXfs>
  <cellXfs count="362">
    <xf numFmtId="0" fontId="0" fillId="0" borderId="0" xfId="0">
      <protection locked="0"/>
    </xf>
    <xf numFmtId="0" fontId="13" fillId="0" borderId="0" xfId="0" applyFont="1" applyAlignment="1">
      <alignment vertical="center"/>
      <protection locked="0"/>
    </xf>
    <xf numFmtId="0" fontId="13" fillId="0" borderId="0" xfId="0" applyFont="1" applyBorder="1" applyAlignment="1">
      <alignment vertical="center"/>
      <protection locked="0"/>
    </xf>
    <xf numFmtId="0" fontId="21" fillId="0" borderId="0" xfId="27" applyFont="1" applyAlignment="1">
      <alignment vertical="center"/>
    </xf>
    <xf numFmtId="0" fontId="22" fillId="0" borderId="0" xfId="26" applyFont="1" applyBorder="1" applyAlignment="1">
      <alignment vertical="center"/>
    </xf>
    <xf numFmtId="0" fontId="22" fillId="0" borderId="0" xfId="26" applyFont="1" applyAlignment="1">
      <alignment vertical="center"/>
    </xf>
    <xf numFmtId="184" fontId="23" fillId="0" borderId="3" xfId="26" applyNumberFormat="1" applyFont="1" applyBorder="1" applyAlignment="1">
      <alignment horizontal="center" vertical="center" wrapText="1"/>
    </xf>
    <xf numFmtId="184" fontId="22" fillId="0" borderId="3" xfId="26" applyNumberFormat="1" applyFont="1" applyBorder="1" applyAlignment="1">
      <alignment horizontal="center" vertical="center" wrapText="1"/>
    </xf>
    <xf numFmtId="0" fontId="23" fillId="0" borderId="0" xfId="26" applyFont="1" applyAlignment="1">
      <alignment vertical="center"/>
    </xf>
    <xf numFmtId="43" fontId="22" fillId="0" borderId="0" xfId="30" applyNumberFormat="1" applyFont="1" applyBorder="1" applyAlignment="1">
      <alignment vertical="center"/>
    </xf>
    <xf numFmtId="43" fontId="24" fillId="0" borderId="0" xfId="30" applyNumberFormat="1" applyFont="1" applyBorder="1" applyAlignment="1">
      <alignment vertical="center"/>
    </xf>
    <xf numFmtId="0" fontId="22" fillId="0" borderId="0" xfId="0" applyFont="1" applyBorder="1" applyAlignment="1">
      <alignment vertical="center"/>
      <protection locked="0"/>
    </xf>
    <xf numFmtId="0" fontId="22" fillId="0" borderId="0" xfId="0" applyFont="1" applyAlignment="1">
      <alignment vertical="center"/>
      <protection locked="0"/>
    </xf>
    <xf numFmtId="0" fontId="20" fillId="0" borderId="0" xfId="0" applyFont="1" applyAlignment="1">
      <alignment vertical="center"/>
      <protection locked="0"/>
    </xf>
    <xf numFmtId="0" fontId="22" fillId="0" borderId="0" xfId="0" applyFont="1" applyBorder="1" applyAlignment="1">
      <alignment horizontal="left" vertical="center"/>
      <protection locked="0"/>
    </xf>
    <xf numFmtId="0" fontId="23" fillId="0" borderId="0" xfId="28" applyFont="1" applyBorder="1" applyAlignment="1">
      <alignment horizontal="left" vertical="center"/>
    </xf>
    <xf numFmtId="0" fontId="22" fillId="0" borderId="0" xfId="28" applyFont="1" applyBorder="1" applyAlignment="1" applyProtection="1">
      <alignment vertical="center"/>
      <protection locked="0"/>
    </xf>
    <xf numFmtId="0" fontId="22" fillId="0" borderId="4" xfId="28" applyFont="1" applyBorder="1" applyAlignment="1" applyProtection="1">
      <alignment vertical="center"/>
      <protection locked="0"/>
    </xf>
    <xf numFmtId="0" fontId="22" fillId="0" borderId="0" xfId="0" applyFont="1" applyBorder="1" applyAlignment="1">
      <alignment horizontal="center" vertical="center"/>
      <protection locked="0"/>
    </xf>
    <xf numFmtId="0" fontId="23" fillId="0" borderId="0" xfId="0" applyFont="1" applyBorder="1" applyAlignment="1">
      <alignment vertical="center"/>
      <protection locked="0"/>
    </xf>
    <xf numFmtId="0" fontId="23" fillId="0" borderId="0" xfId="0" applyFont="1" applyBorder="1" applyAlignment="1">
      <alignment horizontal="left" vertical="center"/>
      <protection locked="0"/>
    </xf>
    <xf numFmtId="0" fontId="22" fillId="0" borderId="0" xfId="0" applyFont="1" applyAlignment="1">
      <alignment horizontal="center" vertical="center"/>
      <protection locked="0"/>
    </xf>
    <xf numFmtId="0" fontId="22" fillId="0" borderId="0" xfId="0" applyFont="1" applyAlignment="1">
      <alignment horizontal="left" vertical="center"/>
      <protection locked="0"/>
    </xf>
    <xf numFmtId="0" fontId="24" fillId="0" borderId="0" xfId="0" applyFont="1" applyAlignment="1">
      <alignment vertical="center"/>
      <protection locked="0"/>
    </xf>
    <xf numFmtId="0" fontId="24" fillId="0" borderId="0" xfId="0" applyFont="1" applyAlignment="1">
      <protection locked="0"/>
    </xf>
    <xf numFmtId="49" fontId="24" fillId="0" borderId="0" xfId="0" applyNumberFormat="1" applyFont="1" applyAlignment="1">
      <alignment horizontal="right" vertical="center"/>
      <protection locked="0"/>
    </xf>
    <xf numFmtId="0" fontId="24" fillId="0" borderId="0" xfId="0" applyFont="1" applyAlignment="1">
      <alignment horizontal="right" vertical="center"/>
      <protection locked="0"/>
    </xf>
    <xf numFmtId="0" fontId="22" fillId="0" borderId="0" xfId="27" applyFont="1" applyAlignment="1">
      <alignment vertical="center"/>
    </xf>
    <xf numFmtId="0" fontId="23" fillId="0" borderId="0" xfId="0" applyFont="1" applyAlignment="1">
      <alignment vertical="center"/>
      <protection locked="0"/>
    </xf>
    <xf numFmtId="0" fontId="23" fillId="0" borderId="0" xfId="27" applyFont="1" applyAlignment="1">
      <alignment vertical="center"/>
    </xf>
    <xf numFmtId="0" fontId="16" fillId="6" borderId="3" xfId="26" applyFont="1" applyFill="1" applyBorder="1" applyAlignment="1">
      <alignment horizontal="center" vertical="center" wrapText="1"/>
    </xf>
    <xf numFmtId="0" fontId="27" fillId="0" borderId="0" xfId="0" applyFont="1" applyAlignment="1" applyProtection="1">
      <alignment vertical="center"/>
    </xf>
    <xf numFmtId="0" fontId="23" fillId="0" borderId="0" xfId="28" applyFont="1" applyBorder="1" applyAlignment="1">
      <alignment vertical="center"/>
    </xf>
    <xf numFmtId="0" fontId="22" fillId="0" borderId="0" xfId="28" applyFont="1" applyBorder="1" applyAlignment="1">
      <alignment vertical="center"/>
    </xf>
    <xf numFmtId="0" fontId="22" fillId="0" borderId="3" xfId="0" applyFont="1" applyBorder="1" applyAlignment="1">
      <alignment vertical="center"/>
      <protection locked="0"/>
    </xf>
    <xf numFmtId="0" fontId="24" fillId="0" borderId="4" xfId="28" applyFont="1" applyBorder="1" applyAlignment="1" applyProtection="1">
      <alignment horizontal="center" vertical="center"/>
      <protection hidden="1"/>
    </xf>
    <xf numFmtId="0" fontId="22" fillId="0" borderId="4" xfId="28" applyFont="1" applyBorder="1" applyAlignment="1" applyProtection="1">
      <alignment horizontal="left" vertical="center"/>
      <protection hidden="1"/>
    </xf>
    <xf numFmtId="0" fontId="24" fillId="0" borderId="4" xfId="28" applyFont="1" applyBorder="1" applyAlignment="1" applyProtection="1">
      <alignment horizontal="left" vertical="center"/>
      <protection locked="0"/>
    </xf>
    <xf numFmtId="0" fontId="23" fillId="6" borderId="3" xfId="26" applyFont="1" applyFill="1" applyBorder="1" applyAlignment="1">
      <alignment horizontal="center" vertical="center" wrapText="1"/>
    </xf>
    <xf numFmtId="0" fontId="16" fillId="0" borderId="0" xfId="0" applyFont="1" applyAlignment="1">
      <alignment vertical="center"/>
      <protection locked="0"/>
    </xf>
    <xf numFmtId="0" fontId="0" fillId="0" borderId="0" xfId="0" applyAlignment="1">
      <alignment vertical="center"/>
      <protection locked="0"/>
    </xf>
    <xf numFmtId="43" fontId="29" fillId="0" borderId="0" xfId="30" applyNumberFormat="1" applyFont="1" applyBorder="1" applyAlignment="1">
      <alignment vertical="center"/>
    </xf>
    <xf numFmtId="0" fontId="29" fillId="0" borderId="0" xfId="0" applyFont="1" applyAlignment="1">
      <alignment vertical="center"/>
      <protection locked="0"/>
    </xf>
    <xf numFmtId="43" fontId="22" fillId="0" borderId="3" xfId="32" applyFont="1" applyBorder="1" applyAlignment="1" applyProtection="1">
      <alignment vertical="center"/>
      <protection locked="0"/>
    </xf>
    <xf numFmtId="0" fontId="20" fillId="0" borderId="0" xfId="27" applyFont="1" applyAlignment="1">
      <alignment vertical="center"/>
    </xf>
    <xf numFmtId="0" fontId="21" fillId="0" borderId="0" xfId="0" applyFont="1" applyAlignment="1">
      <alignment vertical="center"/>
      <protection locked="0"/>
    </xf>
    <xf numFmtId="184" fontId="23" fillId="0" borderId="3" xfId="26" applyNumberFormat="1" applyFont="1" applyFill="1" applyBorder="1" applyAlignment="1">
      <alignment horizontal="center" vertical="center" wrapText="1"/>
    </xf>
    <xf numFmtId="0" fontId="20" fillId="0" borderId="0" xfId="29" applyFont="1" applyAlignment="1">
      <alignment vertical="center"/>
      <protection locked="0"/>
    </xf>
    <xf numFmtId="0" fontId="21" fillId="0" borderId="0" xfId="29" applyFont="1" applyAlignment="1">
      <alignment vertical="center"/>
      <protection locked="0"/>
    </xf>
    <xf numFmtId="0" fontId="30" fillId="0" borderId="0" xfId="29" applyFont="1" applyBorder="1" applyAlignment="1">
      <alignment horizontal="justify" wrapText="1"/>
      <protection locked="0"/>
    </xf>
    <xf numFmtId="0" fontId="21" fillId="0" borderId="0" xfId="29" applyFont="1" applyAlignment="1">
      <alignment horizontal="center" vertical="center"/>
      <protection locked="0"/>
    </xf>
    <xf numFmtId="0" fontId="21" fillId="0" borderId="0" xfId="29" applyFont="1">
      <protection locked="0"/>
    </xf>
    <xf numFmtId="0" fontId="30" fillId="0" borderId="0" xfId="29" applyFont="1" applyBorder="1" applyAlignment="1">
      <alignment horizontal="justify" vertical="top" wrapText="1"/>
      <protection locked="0"/>
    </xf>
    <xf numFmtId="0" fontId="21" fillId="0" borderId="0" xfId="29" applyFont="1" applyBorder="1">
      <protection locked="0"/>
    </xf>
    <xf numFmtId="0" fontId="20" fillId="0" borderId="0" xfId="0" applyFont="1" applyAlignment="1">
      <alignment horizontal="justify"/>
      <protection locked="0"/>
    </xf>
    <xf numFmtId="192" fontId="4" fillId="0" borderId="0" xfId="34" applyFont="1" applyFill="1" applyAlignment="1">
      <alignment vertical="center"/>
    </xf>
    <xf numFmtId="192" fontId="4" fillId="0" borderId="0" xfId="35" applyFont="1" applyFill="1" applyBorder="1" applyAlignment="1">
      <alignment vertical="center"/>
      <protection locked="0"/>
    </xf>
    <xf numFmtId="192" fontId="4" fillId="0" borderId="0" xfId="35" applyFont="1" applyFill="1" applyAlignment="1">
      <alignment vertical="center"/>
      <protection locked="0"/>
    </xf>
    <xf numFmtId="192" fontId="4" fillId="0" borderId="0" xfId="36" applyFont="1" applyFill="1" applyAlignment="1">
      <alignment vertical="center"/>
    </xf>
    <xf numFmtId="192" fontId="32" fillId="0" borderId="0" xfId="35" applyFont="1" applyFill="1" applyAlignment="1">
      <alignment horizontal="justify" vertical="center"/>
      <protection locked="0"/>
    </xf>
    <xf numFmtId="192" fontId="34" fillId="0" borderId="3" xfId="35" applyFont="1" applyFill="1" applyBorder="1" applyAlignment="1" applyProtection="1">
      <alignment horizontal="center" vertical="center" wrapText="1"/>
    </xf>
    <xf numFmtId="192" fontId="32" fillId="0" borderId="0" xfId="36" applyFont="1" applyFill="1" applyAlignment="1">
      <alignment vertical="center"/>
    </xf>
    <xf numFmtId="49" fontId="32" fillId="0" borderId="0" xfId="36" applyNumberFormat="1" applyFont="1" applyFill="1" applyAlignment="1">
      <alignment horizontal="left" vertical="center"/>
    </xf>
    <xf numFmtId="43" fontId="16" fillId="0" borderId="0" xfId="30" applyNumberFormat="1" applyFont="1" applyFill="1" applyBorder="1" applyAlignment="1">
      <alignment vertical="center"/>
    </xf>
    <xf numFmtId="0" fontId="22" fillId="0" borderId="0" xfId="26" applyFont="1" applyFill="1" applyBorder="1" applyAlignment="1">
      <alignment horizontal="left" vertical="center" wrapText="1"/>
    </xf>
    <xf numFmtId="0" fontId="28" fillId="6" borderId="3" xfId="297" applyFont="1" applyFill="1" applyBorder="1" applyAlignment="1" applyProtection="1">
      <alignment vertical="center"/>
    </xf>
    <xf numFmtId="192" fontId="16" fillId="6" borderId="3" xfId="298" applyFont="1" applyFill="1" applyBorder="1" applyAlignment="1" applyProtection="1">
      <alignment horizontal="center" vertical="center" wrapText="1"/>
      <protection locked="0"/>
    </xf>
    <xf numFmtId="192" fontId="93" fillId="6" borderId="3" xfId="298" applyFont="1" applyFill="1" applyBorder="1" applyAlignment="1" applyProtection="1">
      <alignment horizontal="center" vertical="center" wrapText="1"/>
      <protection locked="0"/>
    </xf>
    <xf numFmtId="0" fontId="8" fillId="0" borderId="0" xfId="297">
      <protection locked="0"/>
    </xf>
    <xf numFmtId="0" fontId="95" fillId="0" borderId="0" xfId="29" applyFont="1" applyAlignment="1">
      <alignment horizontal="center" vertical="center"/>
      <protection locked="0"/>
    </xf>
    <xf numFmtId="0" fontId="96" fillId="0" borderId="0" xfId="0" applyFont="1" applyAlignment="1">
      <alignment vertical="center"/>
      <protection locked="0"/>
    </xf>
    <xf numFmtId="0" fontId="95" fillId="0" borderId="0" xfId="0" applyFont="1" applyAlignment="1">
      <alignment vertical="center"/>
      <protection locked="0"/>
    </xf>
    <xf numFmtId="0" fontId="97" fillId="0" borderId="0" xfId="0" applyFont="1" applyAlignment="1">
      <alignment horizontal="left" vertical="center"/>
      <protection locked="0"/>
    </xf>
    <xf numFmtId="0" fontId="100" fillId="0" borderId="0" xfId="0" applyFont="1" applyAlignment="1">
      <alignment horizontal="left" vertical="center"/>
      <protection locked="0"/>
    </xf>
    <xf numFmtId="0" fontId="97" fillId="0" borderId="0" xfId="0" applyFont="1" applyAlignment="1">
      <alignment vertical="center"/>
      <protection locked="0"/>
    </xf>
    <xf numFmtId="0" fontId="92" fillId="0" borderId="5" xfId="0" applyFont="1" applyBorder="1" applyAlignment="1">
      <alignment horizontal="justify" vertical="center" wrapText="1"/>
      <protection locked="0"/>
    </xf>
    <xf numFmtId="0" fontId="92" fillId="0" borderId="5" xfId="0" applyFont="1" applyBorder="1" applyAlignment="1">
      <alignment horizontal="right" vertical="center" wrapText="1"/>
      <protection locked="0"/>
    </xf>
    <xf numFmtId="0" fontId="97" fillId="0" borderId="0" xfId="0" applyFont="1" applyAlignment="1">
      <alignment horizontal="right" vertical="center" wrapText="1"/>
      <protection locked="0"/>
    </xf>
    <xf numFmtId="0" fontId="97" fillId="0" borderId="0" xfId="0" applyFont="1" applyAlignment="1">
      <alignment horizontal="justify" vertical="center" wrapText="1"/>
      <protection locked="0"/>
    </xf>
    <xf numFmtId="43" fontId="97" fillId="0" borderId="0" xfId="0" applyNumberFormat="1" applyFont="1" applyAlignment="1">
      <alignment horizontal="right" vertical="center" wrapText="1"/>
      <protection locked="0"/>
    </xf>
    <xf numFmtId="0" fontId="92" fillId="0" borderId="6" xfId="0" applyFont="1" applyBorder="1" applyAlignment="1">
      <alignment horizontal="justify" vertical="center" wrapText="1"/>
      <protection locked="0"/>
    </xf>
    <xf numFmtId="43" fontId="97" fillId="0" borderId="6" xfId="32" applyFont="1" applyBorder="1" applyAlignment="1" applyProtection="1">
      <alignment horizontal="right" vertical="center" wrapText="1"/>
      <protection locked="0"/>
    </xf>
    <xf numFmtId="0" fontId="95" fillId="0" borderId="0" xfId="0" applyFont="1" applyAlignment="1" applyProtection="1">
      <alignment horizontal="left" vertical="center"/>
    </xf>
    <xf numFmtId="0" fontId="99" fillId="0" borderId="0" xfId="0" applyFont="1" applyAlignment="1" applyProtection="1">
      <alignment horizontal="left" vertical="center"/>
    </xf>
    <xf numFmtId="0" fontId="100" fillId="0" borderId="0" xfId="0" applyFont="1" applyAlignment="1">
      <alignment horizontal="justify" vertical="center"/>
      <protection locked="0"/>
    </xf>
    <xf numFmtId="0" fontId="102" fillId="5" borderId="5" xfId="0" applyFont="1" applyFill="1" applyBorder="1" applyAlignment="1">
      <alignment horizontal="left" vertical="center" wrapText="1"/>
      <protection locked="0"/>
    </xf>
    <xf numFmtId="0" fontId="92" fillId="5" borderId="5" xfId="0" applyFont="1" applyFill="1" applyBorder="1" applyAlignment="1">
      <alignment horizontal="right" vertical="center" wrapText="1"/>
      <protection locked="0"/>
    </xf>
    <xf numFmtId="43" fontId="97" fillId="0" borderId="5" xfId="0" applyNumberFormat="1" applyFont="1" applyBorder="1" applyAlignment="1">
      <alignment horizontal="right" vertical="center" wrapText="1"/>
      <protection locked="0"/>
    </xf>
    <xf numFmtId="0" fontId="97" fillId="0" borderId="0" xfId="0" applyFont="1" applyBorder="1" applyAlignment="1">
      <alignment horizontal="left" vertical="center" wrapText="1"/>
      <protection locked="0"/>
    </xf>
    <xf numFmtId="0" fontId="92" fillId="0" borderId="0" xfId="0" applyFont="1" applyBorder="1" applyAlignment="1">
      <alignment horizontal="center" vertical="center" wrapText="1"/>
      <protection locked="0"/>
    </xf>
    <xf numFmtId="192" fontId="22" fillId="0" borderId="0" xfId="35" applyFont="1" applyFill="1" applyBorder="1" applyAlignment="1">
      <alignment vertical="center"/>
      <protection locked="0"/>
    </xf>
    <xf numFmtId="0" fontId="22" fillId="0" borderId="2" xfId="29" applyFont="1" applyBorder="1" applyAlignment="1">
      <alignment vertical="center"/>
      <protection locked="0"/>
    </xf>
    <xf numFmtId="0" fontId="13" fillId="0" borderId="0" xfId="26" applyFont="1" applyBorder="1" applyAlignment="1">
      <alignment horizontal="right" vertical="center"/>
    </xf>
    <xf numFmtId="43" fontId="22" fillId="32" borderId="3" xfId="32" applyFont="1" applyFill="1" applyBorder="1" applyAlignment="1">
      <alignment horizontal="center" vertical="center" wrapText="1"/>
    </xf>
    <xf numFmtId="43" fontId="23" fillId="32" borderId="3" xfId="32" applyFont="1" applyFill="1" applyBorder="1" applyAlignment="1">
      <alignment horizontal="center" vertical="center" wrapText="1"/>
    </xf>
    <xf numFmtId="43" fontId="23" fillId="32" borderId="3" xfId="32" applyFont="1" applyFill="1" applyBorder="1" applyAlignment="1">
      <alignment horizontal="right" vertical="center"/>
    </xf>
    <xf numFmtId="0" fontId="13" fillId="0" borderId="0" xfId="0" applyFont="1" applyBorder="1" applyAlignment="1">
      <alignment horizontal="right" vertical="center"/>
      <protection locked="0"/>
    </xf>
    <xf numFmtId="0" fontId="22" fillId="0" borderId="0" xfId="0" applyFont="1" applyBorder="1" applyAlignment="1">
      <alignment horizontal="right" vertical="center"/>
      <protection locked="0"/>
    </xf>
    <xf numFmtId="43" fontId="97" fillId="0" borderId="0" xfId="0" applyNumberFormat="1" applyFont="1" applyBorder="1" applyAlignment="1">
      <alignment horizontal="right" vertical="center" wrapText="1"/>
      <protection locked="0"/>
    </xf>
    <xf numFmtId="0" fontId="22" fillId="0" borderId="0" xfId="0" applyFont="1" applyAlignment="1">
      <alignment horizontal="right" vertical="center"/>
      <protection locked="0"/>
    </xf>
    <xf numFmtId="43" fontId="23" fillId="32" borderId="3" xfId="32" applyFont="1" applyFill="1" applyBorder="1" applyAlignment="1">
      <alignment vertical="center"/>
    </xf>
    <xf numFmtId="49" fontId="22" fillId="0" borderId="0" xfId="30" applyNumberFormat="1" applyFont="1" applyBorder="1" applyAlignment="1">
      <alignment horizontal="left" vertical="center"/>
    </xf>
    <xf numFmtId="43" fontId="22" fillId="0" borderId="0" xfId="30" applyNumberFormat="1" applyFont="1" applyBorder="1" applyAlignment="1">
      <alignment horizontal="right" vertical="center"/>
    </xf>
    <xf numFmtId="0" fontId="13" fillId="0" borderId="0" xfId="0" applyFont="1" applyBorder="1" applyAlignment="1">
      <alignment horizontal="left" vertical="center"/>
      <protection locked="0"/>
    </xf>
    <xf numFmtId="0" fontId="103" fillId="0" borderId="2" xfId="31" applyFont="1" applyBorder="1" applyAlignment="1">
      <alignment vertical="center"/>
      <protection locked="0"/>
    </xf>
    <xf numFmtId="0" fontId="28" fillId="6" borderId="3" xfId="297" applyFont="1" applyFill="1" applyBorder="1" applyAlignment="1" applyProtection="1">
      <alignment vertical="center" wrapText="1"/>
    </xf>
    <xf numFmtId="0" fontId="13" fillId="0" borderId="3" xfId="297" applyFont="1" applyBorder="1" applyAlignment="1">
      <alignment horizontal="center" vertical="center" wrapText="1"/>
      <protection locked="0"/>
    </xf>
    <xf numFmtId="0" fontId="22" fillId="0" borderId="3" xfId="297" applyFont="1" applyBorder="1" applyAlignment="1">
      <alignment horizontal="center" vertical="center" wrapText="1"/>
      <protection locked="0"/>
    </xf>
    <xf numFmtId="192" fontId="22" fillId="0" borderId="0" xfId="35" applyFont="1" applyFill="1" applyAlignment="1">
      <alignment vertical="center"/>
      <protection locked="0"/>
    </xf>
    <xf numFmtId="192" fontId="22" fillId="0" borderId="0" xfId="35" applyFont="1" applyFill="1" applyBorder="1" applyAlignment="1">
      <alignment horizontal="left" vertical="center"/>
      <protection locked="0"/>
    </xf>
    <xf numFmtId="192" fontId="32" fillId="0" borderId="0" xfId="35" applyFont="1" applyFill="1" applyBorder="1" applyAlignment="1">
      <alignment horizontal="left" vertical="center"/>
      <protection locked="0"/>
    </xf>
    <xf numFmtId="192" fontId="32" fillId="0" borderId="0" xfId="35" applyFont="1" applyFill="1" applyBorder="1" applyAlignment="1">
      <alignment horizontal="justify" vertical="center"/>
      <protection locked="0"/>
    </xf>
    <xf numFmtId="49" fontId="16" fillId="0" borderId="0" xfId="239" applyNumberFormat="1" applyFont="1" applyBorder="1" applyAlignment="1">
      <alignment horizontal="left" vertical="center"/>
      <protection locked="0"/>
    </xf>
    <xf numFmtId="0" fontId="13" fillId="0" borderId="3" xfId="297" applyFont="1" applyBorder="1" applyAlignment="1">
      <alignment horizontal="left" vertical="center" wrapText="1"/>
      <protection locked="0"/>
    </xf>
    <xf numFmtId="0" fontId="13" fillId="0" borderId="3" xfId="256" applyFont="1" applyFill="1" applyBorder="1" applyAlignment="1" applyProtection="1">
      <alignment horizontal="center" vertical="center"/>
      <protection locked="0"/>
    </xf>
    <xf numFmtId="0" fontId="13" fillId="0" borderId="3" xfId="239" applyFont="1" applyFill="1" applyBorder="1" applyAlignment="1">
      <alignment horizontal="left" vertical="center" wrapText="1"/>
      <protection locked="0"/>
    </xf>
    <xf numFmtId="0" fontId="13" fillId="0" borderId="9" xfId="239" applyFont="1" applyFill="1" applyBorder="1" applyAlignment="1">
      <alignment horizontal="center" vertical="center" wrapText="1" shrinkToFit="1"/>
      <protection locked="0"/>
    </xf>
    <xf numFmtId="0" fontId="105" fillId="0" borderId="3" xfId="256" applyFont="1" applyFill="1" applyBorder="1" applyAlignment="1">
      <alignment horizontal="center" vertical="center" wrapText="1"/>
    </xf>
    <xf numFmtId="0" fontId="35" fillId="0" borderId="3" xfId="256" applyFont="1" applyFill="1" applyBorder="1" applyAlignment="1">
      <alignment horizontal="center" vertical="center" wrapText="1"/>
    </xf>
    <xf numFmtId="0" fontId="16" fillId="0" borderId="3" xfId="297" applyFont="1" applyBorder="1" applyAlignment="1">
      <alignment horizontal="center" vertical="center" wrapText="1"/>
      <protection locked="0"/>
    </xf>
    <xf numFmtId="0" fontId="22" fillId="0" borderId="3" xfId="239" applyFont="1" applyBorder="1" applyAlignment="1">
      <alignment horizontal="left" vertical="center" wrapText="1"/>
      <protection locked="0"/>
    </xf>
    <xf numFmtId="0" fontId="13" fillId="0" borderId="3" xfId="297" applyFont="1" applyFill="1" applyBorder="1" applyAlignment="1">
      <alignment horizontal="center" vertical="center" wrapText="1"/>
      <protection locked="0"/>
    </xf>
    <xf numFmtId="0" fontId="23" fillId="32" borderId="3" xfId="301" applyFont="1" applyFill="1" applyBorder="1" applyAlignment="1">
      <alignment vertical="center"/>
    </xf>
    <xf numFmtId="0" fontId="23" fillId="32" borderId="3" xfId="301" applyFont="1" applyFill="1" applyBorder="1" applyAlignment="1">
      <alignment vertical="center" shrinkToFit="1"/>
    </xf>
    <xf numFmtId="0" fontId="23" fillId="32" borderId="3" xfId="302" applyFont="1" applyFill="1" applyBorder="1" applyAlignment="1">
      <alignment horizontal="center" vertical="center" shrinkToFit="1"/>
    </xf>
    <xf numFmtId="43" fontId="23" fillId="32" borderId="3" xfId="32" applyFont="1" applyFill="1" applyBorder="1" applyAlignment="1">
      <alignment vertical="center" shrinkToFit="1"/>
    </xf>
    <xf numFmtId="0" fontId="22" fillId="32" borderId="3" xfId="301" applyFont="1" applyFill="1" applyBorder="1" applyAlignment="1">
      <alignment vertical="center" shrinkToFit="1"/>
    </xf>
    <xf numFmtId="0" fontId="22" fillId="32" borderId="3" xfId="302" applyFont="1" applyFill="1" applyBorder="1" applyAlignment="1">
      <alignment horizontal="center" vertical="center" shrinkToFit="1"/>
    </xf>
    <xf numFmtId="43" fontId="22" fillId="32" borderId="3" xfId="32" applyFont="1" applyFill="1" applyBorder="1" applyAlignment="1">
      <alignment vertical="center" shrinkToFit="1"/>
    </xf>
    <xf numFmtId="0" fontId="22" fillId="0" borderId="2" xfId="29" applyFont="1" applyBorder="1" applyAlignment="1">
      <alignment horizontal="center" vertical="center"/>
      <protection locked="0"/>
    </xf>
    <xf numFmtId="0" fontId="13" fillId="0" borderId="3" xfId="301" applyFont="1" applyBorder="1" applyAlignment="1">
      <alignment vertical="center" shrinkToFit="1"/>
    </xf>
    <xf numFmtId="0" fontId="22" fillId="0" borderId="0" xfId="297" applyFont="1" applyAlignment="1" applyProtection="1">
      <alignment vertical="center"/>
    </xf>
    <xf numFmtId="0" fontId="13" fillId="0" borderId="0" xfId="297" applyFont="1" applyAlignment="1" applyProtection="1">
      <alignment vertical="center"/>
    </xf>
    <xf numFmtId="0" fontId="22" fillId="0" borderId="0" xfId="297" applyFont="1" applyAlignment="1">
      <alignment vertical="center"/>
      <protection locked="0"/>
    </xf>
    <xf numFmtId="0" fontId="22" fillId="0" borderId="0" xfId="297" applyFont="1" applyAlignment="1">
      <alignment vertical="center" wrapText="1"/>
      <protection locked="0"/>
    </xf>
    <xf numFmtId="0" fontId="22" fillId="0" borderId="0" xfId="297" applyFont="1" applyBorder="1" applyAlignment="1">
      <alignment vertical="center"/>
      <protection locked="0"/>
    </xf>
    <xf numFmtId="0" fontId="0" fillId="0" borderId="0" xfId="0" applyBorder="1">
      <protection locked="0"/>
    </xf>
    <xf numFmtId="0" fontId="16" fillId="0" borderId="0" xfId="0" applyFont="1" applyBorder="1" applyAlignment="1">
      <alignment vertical="center"/>
      <protection locked="0"/>
    </xf>
    <xf numFmtId="0" fontId="22" fillId="0" borderId="0" xfId="0" applyFont="1">
      <protection locked="0"/>
    </xf>
    <xf numFmtId="192" fontId="109" fillId="33" borderId="0" xfId="36" applyFont="1" applyFill="1" applyAlignment="1">
      <alignment vertical="center"/>
    </xf>
    <xf numFmtId="192" fontId="8" fillId="0" borderId="0" xfId="233">
      <protection locked="0"/>
    </xf>
    <xf numFmtId="224" fontId="22" fillId="0" borderId="0" xfId="304" applyNumberFormat="1" applyFont="1" applyBorder="1" applyAlignment="1">
      <alignment vertical="center"/>
    </xf>
    <xf numFmtId="192" fontId="21" fillId="0" borderId="0" xfId="233" applyFont="1" applyAlignment="1">
      <alignment vertical="center"/>
      <protection locked="0"/>
    </xf>
    <xf numFmtId="224" fontId="22" fillId="0" borderId="0" xfId="304" applyNumberFormat="1" applyFont="1" applyBorder="1" applyAlignment="1">
      <alignment horizontal="left" vertical="center"/>
    </xf>
    <xf numFmtId="192" fontId="13" fillId="0" borderId="0" xfId="303" applyFont="1" applyAlignment="1">
      <alignment horizontal="right" vertical="center"/>
      <protection locked="0"/>
    </xf>
    <xf numFmtId="192" fontId="22" fillId="0" borderId="0" xfId="303" applyFont="1" applyAlignment="1">
      <alignment horizontal="left" vertical="center"/>
      <protection locked="0"/>
    </xf>
    <xf numFmtId="192" fontId="23" fillId="0" borderId="0" xfId="233" applyFont="1" applyAlignment="1">
      <alignment vertical="center"/>
      <protection locked="0"/>
    </xf>
    <xf numFmtId="192" fontId="22" fillId="0" borderId="0" xfId="233" applyFont="1" applyAlignment="1">
      <alignment vertical="center"/>
      <protection locked="0"/>
    </xf>
    <xf numFmtId="192" fontId="13" fillId="0" borderId="0" xfId="233" applyFont="1" applyAlignment="1">
      <alignment vertical="center"/>
      <protection locked="0"/>
    </xf>
    <xf numFmtId="192" fontId="16" fillId="6" borderId="3" xfId="303" applyFont="1" applyFill="1" applyBorder="1" applyAlignment="1" applyProtection="1">
      <alignment horizontal="center" vertical="center" wrapText="1"/>
    </xf>
    <xf numFmtId="192" fontId="16" fillId="6" borderId="3" xfId="233" applyFont="1" applyFill="1" applyBorder="1" applyAlignment="1">
      <alignment horizontal="center" vertical="center" wrapText="1"/>
      <protection locked="0"/>
    </xf>
    <xf numFmtId="224" fontId="22" fillId="0" borderId="3" xfId="303" applyNumberFormat="1" applyFont="1" applyBorder="1" applyAlignment="1" applyProtection="1">
      <alignment horizontal="left" vertical="center"/>
    </xf>
    <xf numFmtId="224" fontId="22" fillId="0" borderId="3" xfId="305" applyFont="1" applyFill="1" applyBorder="1" applyAlignment="1">
      <alignment horizontal="center" vertical="center"/>
    </xf>
    <xf numFmtId="224" fontId="22" fillId="0" borderId="3" xfId="306" applyFont="1" applyFill="1" applyBorder="1" applyAlignment="1">
      <alignment horizontal="center" vertical="center"/>
    </xf>
    <xf numFmtId="192" fontId="13" fillId="0" borderId="0" xfId="233" applyFont="1">
      <protection locked="0"/>
    </xf>
    <xf numFmtId="192" fontId="16" fillId="0" borderId="0" xfId="233" applyFont="1" applyAlignment="1">
      <alignment vertical="center"/>
      <protection locked="0"/>
    </xf>
    <xf numFmtId="192" fontId="111" fillId="0" borderId="0" xfId="233" applyFont="1">
      <protection locked="0"/>
    </xf>
    <xf numFmtId="0" fontId="39" fillId="0" borderId="0" xfId="0" applyFont="1" applyAlignment="1">
      <alignment vertical="center"/>
      <protection locked="0"/>
    </xf>
    <xf numFmtId="192" fontId="107" fillId="0" borderId="0" xfId="233" applyFont="1" applyAlignment="1">
      <alignment vertical="center"/>
      <protection locked="0"/>
    </xf>
    <xf numFmtId="0" fontId="23" fillId="32" borderId="3" xfId="301" applyFont="1" applyFill="1" applyBorder="1" applyAlignment="1">
      <alignment horizontal="center" vertical="center" wrapText="1"/>
    </xf>
    <xf numFmtId="0" fontId="22" fillId="4" borderId="0" xfId="0" applyFont="1" applyFill="1" applyBorder="1" applyAlignment="1" applyProtection="1">
      <alignment horizontal="justify" vertical="center" wrapText="1"/>
      <protection locked="0"/>
    </xf>
    <xf numFmtId="0" fontId="22" fillId="4" borderId="0" xfId="0" applyFont="1" applyFill="1" applyAlignment="1" applyProtection="1">
      <alignment horizontal="justify" vertical="center" wrapText="1"/>
      <protection locked="0"/>
    </xf>
    <xf numFmtId="192" fontId="38" fillId="0" borderId="3" xfId="230" applyFont="1" applyFill="1" applyBorder="1" applyAlignment="1" applyProtection="1">
      <alignment vertical="center"/>
    </xf>
    <xf numFmtId="0" fontId="38" fillId="0" borderId="3" xfId="239" applyFont="1" applyBorder="1" applyAlignment="1" applyProtection="1">
      <alignment vertical="center"/>
    </xf>
    <xf numFmtId="43" fontId="38" fillId="0" borderId="3" xfId="32" applyFont="1" applyFill="1" applyBorder="1" applyAlignment="1" applyProtection="1">
      <alignment vertical="center"/>
    </xf>
    <xf numFmtId="192" fontId="38" fillId="0" borderId="3" xfId="230" applyFont="1" applyFill="1" applyBorder="1" applyAlignment="1" applyProtection="1">
      <alignment horizontal="center" vertical="center"/>
    </xf>
    <xf numFmtId="0" fontId="22" fillId="0" borderId="3" xfId="301" applyFont="1" applyBorder="1" applyAlignment="1">
      <alignment vertical="center" shrinkToFit="1"/>
    </xf>
    <xf numFmtId="14" fontId="22" fillId="0" borderId="3" xfId="302" applyNumberFormat="1" applyFont="1" applyFill="1" applyBorder="1" applyAlignment="1">
      <alignment horizontal="center" vertical="center" shrinkToFit="1"/>
    </xf>
    <xf numFmtId="43" fontId="22" fillId="0" borderId="3" xfId="32" applyFont="1" applyFill="1" applyBorder="1" applyAlignment="1">
      <alignment horizontal="center" vertical="center" shrinkToFit="1"/>
    </xf>
    <xf numFmtId="0" fontId="22" fillId="0" borderId="3" xfId="302" applyFont="1" applyFill="1" applyBorder="1" applyAlignment="1">
      <alignment horizontal="center" vertical="center" shrinkToFit="1"/>
    </xf>
    <xf numFmtId="192" fontId="22" fillId="0" borderId="3" xfId="233" applyFont="1" applyBorder="1" applyAlignment="1">
      <alignment vertical="center"/>
      <protection locked="0"/>
    </xf>
    <xf numFmtId="192" fontId="22" fillId="0" borderId="3" xfId="233" applyFont="1" applyBorder="1" applyAlignment="1">
      <alignment horizontal="center" vertical="center"/>
      <protection locked="0"/>
    </xf>
    <xf numFmtId="43" fontId="22" fillId="0" borderId="0" xfId="32" applyFont="1" applyBorder="1" applyAlignment="1" applyProtection="1">
      <alignment vertical="center"/>
      <protection locked="0"/>
    </xf>
    <xf numFmtId="0" fontId="27" fillId="0" borderId="2" xfId="0" applyFont="1" applyBorder="1" applyAlignment="1" applyProtection="1">
      <alignment horizontal="center" vertical="center"/>
    </xf>
    <xf numFmtId="0" fontId="30" fillId="0" borderId="2" xfId="29" applyFont="1" applyBorder="1" applyAlignment="1">
      <alignment horizontal="justify" wrapText="1"/>
      <protection locked="0"/>
    </xf>
    <xf numFmtId="0" fontId="21" fillId="0" borderId="2" xfId="29" applyFont="1" applyBorder="1">
      <protection locked="0"/>
    </xf>
    <xf numFmtId="0" fontId="113" fillId="0" borderId="2" xfId="0" applyFont="1" applyBorder="1" applyAlignment="1" applyProtection="1">
      <alignment vertical="center"/>
    </xf>
    <xf numFmtId="0" fontId="114" fillId="34" borderId="0" xfId="256" applyFont="1" applyFill="1" applyAlignment="1" applyProtection="1">
      <alignment horizontal="left" vertical="top" wrapText="1"/>
      <protection locked="0"/>
    </xf>
    <xf numFmtId="0" fontId="114" fillId="34" borderId="0" xfId="256" applyFont="1" applyFill="1" applyAlignment="1" applyProtection="1">
      <alignment horizontal="left" vertical="center" wrapText="1"/>
      <protection locked="0"/>
    </xf>
    <xf numFmtId="0" fontId="16" fillId="0" borderId="3" xfId="256" applyFont="1" applyFill="1" applyBorder="1" applyAlignment="1" applyProtection="1">
      <alignment horizontal="center" vertical="center"/>
      <protection locked="0"/>
    </xf>
    <xf numFmtId="0" fontId="22" fillId="0" borderId="3" xfId="297" applyFont="1" applyFill="1" applyBorder="1" applyAlignment="1">
      <alignment horizontal="center" vertical="center" wrapText="1"/>
      <protection locked="0"/>
    </xf>
    <xf numFmtId="192" fontId="4" fillId="0" borderId="3" xfId="35" applyFont="1" applyFill="1" applyBorder="1" applyAlignment="1" applyProtection="1">
      <alignment horizontal="center" vertical="center" wrapText="1"/>
    </xf>
    <xf numFmtId="0" fontId="22" fillId="0" borderId="3" xfId="239" applyFont="1" applyBorder="1" applyAlignment="1">
      <alignment horizontal="center" vertical="center" wrapText="1"/>
      <protection locked="0"/>
    </xf>
    <xf numFmtId="0" fontId="23" fillId="0" borderId="0" xfId="0" applyFont="1" applyBorder="1" applyAlignment="1">
      <alignment horizontal="right" vertical="center"/>
      <protection locked="0"/>
    </xf>
    <xf numFmtId="0" fontId="112" fillId="0" borderId="0" xfId="0" applyFont="1" applyBorder="1" applyAlignment="1">
      <alignment horizontal="left" vertical="center"/>
      <protection locked="0"/>
    </xf>
    <xf numFmtId="0" fontId="108" fillId="0" borderId="0" xfId="0" applyFont="1" applyBorder="1" applyAlignment="1">
      <alignment vertical="center"/>
      <protection locked="0"/>
    </xf>
    <xf numFmtId="0" fontId="107" fillId="0" borderId="0" xfId="26" applyFont="1" applyAlignment="1">
      <alignment vertical="center"/>
    </xf>
    <xf numFmtId="43" fontId="19" fillId="0" borderId="0" xfId="30" applyNumberFormat="1" applyFont="1" applyBorder="1" applyAlignment="1">
      <alignment vertical="center"/>
    </xf>
    <xf numFmtId="0" fontId="16" fillId="32" borderId="3" xfId="301" applyFont="1" applyFill="1" applyBorder="1" applyAlignment="1">
      <alignment horizontal="center" vertical="center" wrapText="1"/>
    </xf>
    <xf numFmtId="0" fontId="112" fillId="0" borderId="0" xfId="0" applyFont="1" applyFill="1" applyBorder="1" applyAlignment="1">
      <alignment horizontal="left" vertical="center"/>
      <protection locked="0"/>
    </xf>
    <xf numFmtId="0" fontId="16" fillId="0" borderId="0" xfId="28" applyFont="1" applyBorder="1" applyAlignment="1">
      <alignment vertical="center"/>
    </xf>
    <xf numFmtId="0" fontId="24" fillId="0" borderId="0" xfId="28" applyFont="1" applyBorder="1" applyAlignment="1" applyProtection="1">
      <alignment horizontal="center" vertical="center"/>
      <protection hidden="1"/>
    </xf>
    <xf numFmtId="0" fontId="22" fillId="0" borderId="0" xfId="28" applyFont="1" applyBorder="1" applyAlignment="1" applyProtection="1">
      <alignment horizontal="left" vertical="center"/>
      <protection hidden="1"/>
    </xf>
    <xf numFmtId="0" fontId="24" fillId="0" borderId="0" xfId="28" applyFont="1" applyBorder="1" applyAlignment="1" applyProtection="1">
      <alignment horizontal="left" vertical="center"/>
      <protection locked="0"/>
    </xf>
    <xf numFmtId="0" fontId="16" fillId="32" borderId="3" xfId="301" applyFont="1" applyFill="1" applyBorder="1" applyAlignment="1">
      <alignment horizontal="center" vertical="center" wrapText="1"/>
    </xf>
    <xf numFmtId="43" fontId="22" fillId="0" borderId="3" xfId="32" applyFont="1" applyFill="1" applyBorder="1" applyAlignment="1">
      <alignment vertical="center" shrinkToFit="1"/>
    </xf>
    <xf numFmtId="0" fontId="8" fillId="0" borderId="0" xfId="0" applyFont="1" applyFill="1" applyBorder="1">
      <protection locked="0"/>
    </xf>
    <xf numFmtId="0" fontId="0" fillId="0" borderId="0" xfId="0" applyAlignment="1">
      <alignment horizontal="center"/>
      <protection locked="0"/>
    </xf>
    <xf numFmtId="0" fontId="8" fillId="0" borderId="0" xfId="0" applyFont="1" applyAlignment="1">
      <alignment horizontal="center" vertical="center"/>
      <protection locked="0"/>
    </xf>
    <xf numFmtId="43" fontId="23" fillId="32" borderId="3" xfId="32" applyFont="1" applyFill="1" applyBorder="1" applyAlignment="1">
      <alignment horizontal="center" vertical="center"/>
    </xf>
    <xf numFmtId="0" fontId="14" fillId="0" borderId="0" xfId="0" applyFont="1">
      <protection locked="0"/>
    </xf>
    <xf numFmtId="0" fontId="23" fillId="32" borderId="3" xfId="301" applyFont="1" applyFill="1" applyBorder="1" applyAlignment="1">
      <alignment horizontal="center" vertical="center"/>
    </xf>
    <xf numFmtId="0" fontId="16" fillId="32" borderId="3" xfId="301" applyFont="1" applyFill="1" applyBorder="1" applyAlignment="1">
      <alignment horizontal="center" vertical="center"/>
    </xf>
    <xf numFmtId="43" fontId="23" fillId="32" borderId="3" xfId="32" applyFont="1" applyFill="1" applyBorder="1" applyAlignment="1">
      <alignment horizontal="center" vertical="center" shrinkToFit="1"/>
    </xf>
    <xf numFmtId="14" fontId="23" fillId="32" borderId="3" xfId="302" applyNumberFormat="1" applyFont="1" applyFill="1" applyBorder="1" applyAlignment="1">
      <alignment horizontal="center" vertical="center" shrinkToFit="1"/>
    </xf>
    <xf numFmtId="0" fontId="14" fillId="32" borderId="0" xfId="0" applyFont="1" applyFill="1">
      <protection locked="0"/>
    </xf>
    <xf numFmtId="14" fontId="23" fillId="32" borderId="9" xfId="302" applyNumberFormat="1" applyFont="1" applyFill="1" applyBorder="1" applyAlignment="1">
      <alignment horizontal="center" vertical="center" shrinkToFit="1"/>
    </xf>
    <xf numFmtId="0" fontId="21" fillId="0" borderId="0" xfId="29" applyFont="1" applyAlignment="1">
      <alignment horizontal="center"/>
      <protection locked="0"/>
    </xf>
    <xf numFmtId="49" fontId="22" fillId="0" borderId="3" xfId="36" applyNumberFormat="1" applyFont="1" applyFill="1" applyBorder="1" applyAlignment="1">
      <alignment horizontal="center" vertical="center"/>
    </xf>
    <xf numFmtId="192" fontId="13" fillId="0" borderId="0" xfId="35" applyFont="1" applyFill="1" applyBorder="1" applyAlignment="1">
      <alignment vertical="center"/>
      <protection locked="0"/>
    </xf>
    <xf numFmtId="0" fontId="16" fillId="32" borderId="3" xfId="297" applyFont="1" applyFill="1" applyBorder="1" applyAlignment="1">
      <alignment horizontal="center" vertical="center" wrapText="1"/>
      <protection locked="0"/>
    </xf>
    <xf numFmtId="0" fontId="22" fillId="0" borderId="3" xfId="239" applyFont="1" applyFill="1" applyBorder="1" applyAlignment="1">
      <alignment horizontal="left" vertical="center" wrapText="1"/>
      <protection locked="0"/>
    </xf>
    <xf numFmtId="0" fontId="35" fillId="0" borderId="3" xfId="0" applyFont="1" applyFill="1" applyBorder="1" applyAlignment="1" applyProtection="1">
      <alignment vertical="center" wrapText="1"/>
    </xf>
    <xf numFmtId="0" fontId="118" fillId="0" borderId="0" xfId="0" applyFont="1">
      <protection locked="0"/>
    </xf>
    <xf numFmtId="0" fontId="108" fillId="0" borderId="0" xfId="28" applyFont="1" applyBorder="1" applyAlignment="1">
      <alignment vertical="center"/>
    </xf>
    <xf numFmtId="0" fontId="39" fillId="0" borderId="0" xfId="0" applyFont="1">
      <protection locked="0"/>
    </xf>
    <xf numFmtId="0" fontId="39" fillId="0" borderId="3" xfId="0" applyFont="1" applyBorder="1">
      <protection locked="0"/>
    </xf>
    <xf numFmtId="43" fontId="112" fillId="0" borderId="3" xfId="32" applyFont="1" applyFill="1" applyBorder="1" applyAlignment="1">
      <alignment horizontal="center" vertical="center" shrinkToFit="1"/>
    </xf>
    <xf numFmtId="0" fontId="118" fillId="0" borderId="0" xfId="0" applyFont="1" applyAlignment="1">
      <alignment horizontal="left"/>
      <protection locked="0"/>
    </xf>
    <xf numFmtId="0" fontId="118" fillId="0" borderId="0" xfId="0" applyFont="1" applyFill="1" applyBorder="1">
      <protection locked="0"/>
    </xf>
    <xf numFmtId="0" fontId="37" fillId="32" borderId="3" xfId="0" applyFont="1" applyFill="1" applyBorder="1" applyAlignment="1">
      <alignment horizontal="center" vertical="center"/>
      <protection locked="0"/>
    </xf>
    <xf numFmtId="192" fontId="13" fillId="0" borderId="3" xfId="307" applyFont="1" applyBorder="1" applyAlignment="1">
      <alignment horizontal="left" vertical="center" wrapText="1"/>
      <protection locked="0"/>
    </xf>
    <xf numFmtId="192" fontId="39" fillId="33" borderId="0" xfId="36" applyFont="1" applyFill="1" applyAlignment="1">
      <alignment vertical="center"/>
    </xf>
    <xf numFmtId="0" fontId="110" fillId="0" borderId="0" xfId="26" applyFont="1" applyAlignment="1">
      <alignment vertical="center"/>
    </xf>
    <xf numFmtId="43" fontId="23" fillId="0" borderId="0" xfId="32" applyFont="1" applyFill="1" applyBorder="1" applyAlignment="1">
      <alignment horizontal="right" vertical="center"/>
    </xf>
    <xf numFmtId="0" fontId="22" fillId="0" borderId="0" xfId="26" applyFont="1" applyFill="1" applyAlignment="1">
      <alignment vertical="center"/>
    </xf>
    <xf numFmtId="0" fontId="23" fillId="0" borderId="0" xfId="308" applyFont="1" applyBorder="1" applyAlignment="1">
      <alignment vertical="center"/>
    </xf>
    <xf numFmtId="192" fontId="16" fillId="0" borderId="0" xfId="233" applyFont="1" applyFill="1" applyAlignment="1">
      <alignment horizontal="left" vertical="center"/>
      <protection locked="0"/>
    </xf>
    <xf numFmtId="192" fontId="8" fillId="0" borderId="0" xfId="233" applyFill="1">
      <protection locked="0"/>
    </xf>
    <xf numFmtId="192" fontId="8" fillId="0" borderId="0" xfId="233" applyFont="1" applyFill="1">
      <protection locked="0"/>
    </xf>
    <xf numFmtId="192" fontId="8" fillId="0" borderId="0" xfId="233" applyFill="1" applyAlignment="1">
      <alignment wrapText="1"/>
      <protection locked="0"/>
    </xf>
    <xf numFmtId="192" fontId="13" fillId="0" borderId="3" xfId="233" applyFont="1" applyFill="1" applyBorder="1" applyAlignment="1">
      <alignment vertical="center" wrapText="1"/>
      <protection locked="0"/>
    </xf>
    <xf numFmtId="192" fontId="16" fillId="32" borderId="3" xfId="303" applyFont="1" applyFill="1" applyBorder="1" applyAlignment="1" applyProtection="1">
      <alignment horizontal="center" vertical="center" wrapText="1"/>
    </xf>
    <xf numFmtId="192" fontId="16" fillId="32" borderId="3" xfId="233" applyFont="1" applyFill="1" applyBorder="1" applyAlignment="1">
      <alignment horizontal="center" vertical="center" wrapText="1"/>
      <protection locked="0"/>
    </xf>
    <xf numFmtId="224" fontId="23" fillId="32" borderId="3" xfId="305" applyFont="1" applyFill="1" applyBorder="1" applyAlignment="1" applyProtection="1">
      <alignment horizontal="center" vertical="center" wrapText="1"/>
    </xf>
    <xf numFmtId="192" fontId="91" fillId="0" borderId="0" xfId="233" applyFont="1">
      <protection locked="0"/>
    </xf>
    <xf numFmtId="192" fontId="110" fillId="0" borderId="0" xfId="233" applyFont="1">
      <protection locked="0"/>
    </xf>
    <xf numFmtId="192" fontId="91" fillId="0" borderId="0" xfId="303" applyFont="1" applyAlignment="1">
      <alignment vertical="center"/>
      <protection locked="0"/>
    </xf>
    <xf numFmtId="192" fontId="22" fillId="0" borderId="3" xfId="233" applyFont="1" applyBorder="1" applyAlignment="1">
      <alignment vertical="center" wrapText="1"/>
      <protection locked="0"/>
    </xf>
    <xf numFmtId="192" fontId="28" fillId="32" borderId="9" xfId="233" applyFont="1" applyFill="1" applyBorder="1" applyAlignment="1">
      <alignment horizontal="center" vertical="center" wrapText="1"/>
      <protection locked="0"/>
    </xf>
    <xf numFmtId="192" fontId="16" fillId="32" borderId="3" xfId="233" applyFont="1" applyFill="1" applyBorder="1" applyAlignment="1">
      <alignment horizontal="center" vertical="center"/>
      <protection locked="0"/>
    </xf>
    <xf numFmtId="0" fontId="16" fillId="0" borderId="0" xfId="0" applyFont="1" applyAlignment="1">
      <alignment horizontal="left" vertical="center"/>
      <protection locked="0"/>
    </xf>
    <xf numFmtId="0" fontId="110" fillId="0" borderId="0" xfId="0" applyFont="1" applyAlignment="1">
      <alignment vertical="center"/>
      <protection locked="0"/>
    </xf>
    <xf numFmtId="0" fontId="91" fillId="0" borderId="0" xfId="0" applyFont="1" applyAlignment="1">
      <alignment horizontal="left" vertical="center"/>
      <protection locked="0"/>
    </xf>
    <xf numFmtId="0" fontId="91" fillId="0" borderId="0" xfId="0" applyFont="1" applyAlignment="1">
      <alignment horizontal="left"/>
      <protection locked="0"/>
    </xf>
    <xf numFmtId="0" fontId="110" fillId="0" borderId="0" xfId="0" applyFont="1" applyAlignment="1">
      <alignment horizontal="left"/>
      <protection locked="0"/>
    </xf>
    <xf numFmtId="0" fontId="13" fillId="0" borderId="0" xfId="28" applyFont="1" applyBorder="1" applyAlignment="1">
      <alignment vertical="center"/>
    </xf>
    <xf numFmtId="0" fontId="23" fillId="6" borderId="3" xfId="0" applyFont="1" applyFill="1" applyBorder="1" applyAlignment="1" applyProtection="1">
      <alignment horizontal="center" vertical="center"/>
      <protection locked="0"/>
    </xf>
    <xf numFmtId="14" fontId="22" fillId="0" borderId="3" xfId="307" applyNumberFormat="1" applyFont="1" applyBorder="1" applyAlignment="1">
      <alignment horizontal="center" vertical="center"/>
      <protection locked="0"/>
    </xf>
    <xf numFmtId="49" fontId="22" fillId="0" borderId="3" xfId="307" applyNumberFormat="1" applyFont="1" applyBorder="1" applyAlignment="1">
      <alignment horizontal="center" vertical="center"/>
      <protection locked="0"/>
    </xf>
    <xf numFmtId="192" fontId="13" fillId="0" borderId="3" xfId="307" applyFont="1" applyBorder="1" applyAlignment="1">
      <alignment vertical="center"/>
      <protection locked="0"/>
    </xf>
    <xf numFmtId="43" fontId="22" fillId="0" borderId="3" xfId="309" applyFont="1" applyBorder="1" applyAlignment="1" applyProtection="1">
      <alignment vertical="center"/>
      <protection locked="0"/>
    </xf>
    <xf numFmtId="0" fontId="22" fillId="0" borderId="3" xfId="0" applyFont="1" applyBorder="1" applyAlignment="1" applyProtection="1">
      <alignment horizontal="center" vertical="center"/>
      <protection locked="0"/>
    </xf>
    <xf numFmtId="0" fontId="22" fillId="0" borderId="3" xfId="309" applyNumberFormat="1" applyFont="1" applyBorder="1" applyAlignment="1" applyProtection="1">
      <alignment horizontal="center" vertical="center"/>
      <protection locked="0"/>
    </xf>
    <xf numFmtId="49" fontId="22" fillId="0" borderId="3" xfId="307" applyNumberFormat="1" applyFont="1" applyBorder="1" applyAlignment="1">
      <alignment vertical="center"/>
      <protection locked="0"/>
    </xf>
    <xf numFmtId="192" fontId="13" fillId="6" borderId="3" xfId="307" applyFont="1" applyFill="1" applyBorder="1" applyAlignment="1">
      <alignment vertical="center"/>
      <protection locked="0"/>
    </xf>
    <xf numFmtId="43" fontId="23" fillId="6" borderId="3" xfId="309" applyFont="1" applyFill="1" applyBorder="1" applyAlignment="1" applyProtection="1">
      <alignment vertical="center"/>
      <protection locked="0"/>
    </xf>
    <xf numFmtId="192" fontId="16" fillId="6" borderId="3" xfId="307" applyFont="1" applyFill="1" applyBorder="1" applyAlignment="1">
      <alignment vertical="center"/>
      <protection locked="0"/>
    </xf>
    <xf numFmtId="0" fontId="85" fillId="0" borderId="2" xfId="31" applyFont="1" applyBorder="1" applyAlignment="1">
      <alignment vertical="center"/>
      <protection locked="0"/>
    </xf>
    <xf numFmtId="0" fontId="13" fillId="0" borderId="0" xfId="0" applyFont="1" applyAlignment="1">
      <alignment horizontal="right" vertical="center"/>
      <protection locked="0"/>
    </xf>
    <xf numFmtId="0" fontId="24" fillId="0" borderId="0" xfId="31" applyFont="1" applyBorder="1" applyAlignment="1">
      <alignment horizontal="left" vertical="center"/>
      <protection locked="0"/>
    </xf>
    <xf numFmtId="0" fontId="16" fillId="6" borderId="3" xfId="297" applyFont="1" applyFill="1" applyBorder="1" applyAlignment="1">
      <alignment horizontal="center" vertical="center" wrapText="1"/>
      <protection locked="0"/>
    </xf>
    <xf numFmtId="0" fontId="16" fillId="6" borderId="3" xfId="297" applyFont="1" applyFill="1" applyBorder="1" applyAlignment="1">
      <alignment horizontal="center" vertical="center"/>
      <protection locked="0"/>
    </xf>
    <xf numFmtId="0" fontId="13" fillId="4" borderId="0" xfId="0" applyFont="1" applyFill="1" applyBorder="1" applyAlignment="1" applyProtection="1">
      <alignment horizontal="justify" vertical="center" wrapText="1"/>
      <protection locked="0"/>
    </xf>
    <xf numFmtId="0" fontId="16" fillId="6" borderId="3" xfId="0" applyFont="1" applyFill="1" applyBorder="1" applyAlignment="1">
      <alignment horizontal="center" vertical="center"/>
      <protection locked="0"/>
    </xf>
    <xf numFmtId="0" fontId="116" fillId="0" borderId="0" xfId="0" applyFont="1" applyAlignment="1" applyProtection="1">
      <alignment horizontal="center" vertical="center"/>
      <protection locked="0"/>
    </xf>
    <xf numFmtId="192" fontId="91" fillId="0" borderId="0" xfId="311" applyFont="1" applyFill="1" applyAlignment="1">
      <alignment horizontal="left" vertical="center"/>
    </xf>
    <xf numFmtId="0" fontId="112" fillId="0" borderId="3" xfId="297" applyFont="1" applyBorder="1" applyAlignment="1">
      <alignment horizontal="center" vertical="center" wrapText="1"/>
      <protection locked="0"/>
    </xf>
    <xf numFmtId="0" fontId="0" fillId="6" borderId="3" xfId="0" applyFill="1" applyBorder="1" applyAlignment="1">
      <alignment vertical="center"/>
      <protection locked="0"/>
    </xf>
    <xf numFmtId="43" fontId="23" fillId="6" borderId="3" xfId="32" applyFont="1" applyFill="1" applyBorder="1" applyAlignment="1">
      <alignment vertical="center"/>
    </xf>
    <xf numFmtId="0" fontId="0" fillId="6" borderId="0" xfId="0" applyFill="1" applyAlignment="1">
      <alignment vertical="center"/>
      <protection locked="0"/>
    </xf>
    <xf numFmtId="10" fontId="23" fillId="6" borderId="3" xfId="310" applyNumberFormat="1" applyFont="1" applyFill="1" applyBorder="1" applyAlignment="1" applyProtection="1">
      <alignment vertical="center"/>
      <protection locked="0"/>
    </xf>
    <xf numFmtId="0" fontId="13" fillId="0" borderId="3" xfId="0" applyFont="1" applyBorder="1" applyAlignment="1">
      <alignment vertical="center"/>
      <protection locked="0"/>
    </xf>
    <xf numFmtId="184" fontId="13" fillId="0" borderId="3" xfId="26" applyNumberFormat="1" applyFont="1" applyFill="1" applyBorder="1" applyAlignment="1">
      <alignment horizontal="left" vertical="center" wrapText="1"/>
    </xf>
    <xf numFmtId="0" fontId="20" fillId="0" borderId="0" xfId="0" applyFont="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2" fillId="0" borderId="3" xfId="297" applyFont="1" applyBorder="1" applyAlignment="1">
      <alignment horizontal="left" vertical="center" wrapText="1"/>
      <protection locked="0"/>
    </xf>
    <xf numFmtId="0" fontId="23" fillId="32" borderId="3" xfId="297" applyFont="1" applyFill="1" applyBorder="1" applyAlignment="1">
      <alignment horizontal="center" vertical="center" wrapText="1"/>
      <protection locked="0"/>
    </xf>
    <xf numFmtId="0" fontId="13" fillId="0" borderId="3" xfId="297" applyFont="1" applyBorder="1" applyAlignment="1">
      <alignment horizontal="center" vertical="center" wrapText="1"/>
      <protection locked="0"/>
    </xf>
    <xf numFmtId="0" fontId="16" fillId="6" borderId="3" xfId="297" applyFont="1" applyFill="1" applyBorder="1" applyAlignment="1">
      <alignment horizontal="center" vertical="center" wrapText="1"/>
      <protection locked="0"/>
    </xf>
    <xf numFmtId="0" fontId="16" fillId="6" borderId="3" xfId="239" applyFont="1" applyFill="1" applyBorder="1" applyAlignment="1">
      <alignment horizontal="center" vertical="center" wrapText="1"/>
      <protection locked="0"/>
    </xf>
    <xf numFmtId="49" fontId="16" fillId="6" borderId="3" xfId="297" applyNumberFormat="1" applyFont="1" applyFill="1" applyBorder="1" applyAlignment="1">
      <alignment horizontal="center" vertical="center"/>
      <protection locked="0"/>
    </xf>
    <xf numFmtId="0" fontId="16" fillId="6" borderId="3" xfId="257" applyFont="1" applyFill="1" applyBorder="1" applyAlignment="1" applyProtection="1">
      <alignment horizontal="center" vertical="center" wrapText="1"/>
      <protection locked="0"/>
    </xf>
    <xf numFmtId="192" fontId="32" fillId="0" borderId="0" xfId="35" applyFont="1" applyFill="1" applyAlignment="1">
      <alignment horizontal="left" vertical="center"/>
      <protection locked="0"/>
    </xf>
    <xf numFmtId="0" fontId="36" fillId="6" borderId="3" xfId="297" applyFont="1" applyFill="1" applyBorder="1" applyAlignment="1">
      <alignment horizontal="center" vertical="center"/>
      <protection locked="0"/>
    </xf>
    <xf numFmtId="0" fontId="104" fillId="6" borderId="3" xfId="297" applyFont="1" applyFill="1" applyBorder="1" applyAlignment="1">
      <alignment horizontal="center" vertical="center"/>
      <protection locked="0"/>
    </xf>
    <xf numFmtId="192" fontId="96" fillId="0" borderId="0" xfId="34" applyFont="1" applyFill="1" applyAlignment="1">
      <alignment horizontal="center" vertical="center"/>
    </xf>
    <xf numFmtId="192" fontId="116" fillId="0" borderId="0" xfId="34" applyFont="1" applyFill="1" applyAlignment="1">
      <alignment horizontal="center" vertical="center"/>
    </xf>
    <xf numFmtId="192" fontId="117" fillId="0" borderId="0" xfId="34" applyFont="1" applyFill="1" applyAlignment="1">
      <alignment horizontal="center" vertical="center"/>
    </xf>
    <xf numFmtId="0" fontId="16" fillId="32" borderId="3" xfId="239" applyFont="1" applyFill="1" applyBorder="1" applyAlignment="1">
      <alignment horizontal="center" vertical="center" wrapText="1"/>
      <protection locked="0"/>
    </xf>
    <xf numFmtId="0" fontId="96" fillId="0" borderId="0" xfId="27" applyFont="1" applyAlignment="1">
      <alignment horizontal="center" vertical="center"/>
    </xf>
    <xf numFmtId="0" fontId="116" fillId="0" borderId="0" xfId="27" applyFont="1" applyAlignment="1">
      <alignment horizontal="center" vertical="center"/>
    </xf>
    <xf numFmtId="0" fontId="31" fillId="0" borderId="0" xfId="27" applyFont="1" applyAlignment="1">
      <alignment horizontal="center" vertical="center"/>
    </xf>
    <xf numFmtId="0" fontId="107" fillId="0" borderId="0" xfId="26" applyFont="1" applyAlignment="1">
      <alignment horizontal="left" vertical="center" wrapText="1"/>
    </xf>
    <xf numFmtId="0" fontId="20" fillId="0" borderId="0" xfId="27" applyFont="1" applyAlignment="1">
      <alignment horizontal="center" vertical="center"/>
    </xf>
    <xf numFmtId="0" fontId="101" fillId="0" borderId="0" xfId="0" applyFont="1" applyAlignment="1" applyProtection="1">
      <alignment horizontal="left" vertical="center" wrapText="1"/>
    </xf>
    <xf numFmtId="0" fontId="98" fillId="0" borderId="0" xfId="0" applyFont="1" applyAlignment="1" applyProtection="1">
      <alignment horizontal="left" vertical="center" wrapText="1"/>
    </xf>
    <xf numFmtId="0" fontId="14" fillId="0" borderId="0" xfId="27" applyFont="1" applyAlignment="1">
      <alignment horizontal="center" vertical="center"/>
    </xf>
    <xf numFmtId="0" fontId="23" fillId="6" borderId="7" xfId="0" applyFont="1" applyFill="1" applyBorder="1" applyAlignment="1">
      <alignment horizontal="center" vertical="center" wrapText="1"/>
      <protection locked="0"/>
    </xf>
    <xf numFmtId="0" fontId="23" fillId="6" borderId="8" xfId="0" applyFont="1" applyFill="1" applyBorder="1" applyAlignment="1">
      <alignment horizontal="center" vertical="center" wrapText="1"/>
      <protection locked="0"/>
    </xf>
    <xf numFmtId="0" fontId="16" fillId="6" borderId="9" xfId="26" applyFont="1" applyFill="1" applyBorder="1" applyAlignment="1">
      <alignment horizontal="center" vertical="center" wrapText="1"/>
    </xf>
    <xf numFmtId="0" fontId="16" fillId="6" borderId="10" xfId="26" applyFont="1" applyFill="1" applyBorder="1" applyAlignment="1">
      <alignment horizontal="center" vertical="center" wrapText="1"/>
    </xf>
    <xf numFmtId="0" fontId="16" fillId="6" borderId="7" xfId="0" applyFont="1" applyFill="1" applyBorder="1" applyAlignment="1">
      <alignment horizontal="center" vertical="center" wrapText="1"/>
      <protection locked="0"/>
    </xf>
    <xf numFmtId="43" fontId="96" fillId="0" borderId="0" xfId="30" applyNumberFormat="1" applyFont="1" applyBorder="1" applyAlignment="1">
      <alignment horizontal="center" vertical="center"/>
    </xf>
    <xf numFmtId="43" fontId="116" fillId="0" borderId="0" xfId="30" applyNumberFormat="1" applyFont="1" applyBorder="1" applyAlignment="1">
      <alignment horizontal="center" vertical="center"/>
    </xf>
    <xf numFmtId="43" fontId="31" fillId="0" borderId="0" xfId="30" applyNumberFormat="1" applyFont="1" applyBorder="1" applyAlignment="1">
      <alignment horizontal="center" vertical="center"/>
    </xf>
    <xf numFmtId="0" fontId="94" fillId="0" borderId="0" xfId="297" applyFont="1" applyFill="1" applyBorder="1" applyAlignment="1">
      <alignment horizontal="left" vertical="center" wrapText="1"/>
      <protection locked="0"/>
    </xf>
    <xf numFmtId="0" fontId="21" fillId="0" borderId="0" xfId="297" applyFont="1" applyFill="1" applyBorder="1" applyAlignment="1">
      <alignment horizontal="left" vertical="center" wrapText="1"/>
      <protection locked="0"/>
    </xf>
    <xf numFmtId="0" fontId="16" fillId="32" borderId="3" xfId="301" applyFont="1" applyFill="1" applyBorder="1" applyAlignment="1">
      <alignment horizontal="center" vertical="center" wrapText="1"/>
    </xf>
    <xf numFmtId="0" fontId="23" fillId="32" borderId="3" xfId="301" applyFont="1" applyFill="1" applyBorder="1" applyAlignment="1">
      <alignment horizontal="center" vertical="center" wrapText="1"/>
    </xf>
    <xf numFmtId="0" fontId="96" fillId="0" borderId="0" xfId="0" applyFont="1" applyAlignment="1">
      <alignment horizontal="center" vertical="center"/>
      <protection locked="0"/>
    </xf>
    <xf numFmtId="0" fontId="116" fillId="0" borderId="0" xfId="0" applyFont="1" applyAlignment="1">
      <alignment horizontal="center" vertical="center"/>
      <protection locked="0"/>
    </xf>
    <xf numFmtId="0" fontId="16" fillId="32" borderId="7" xfId="301" applyFont="1" applyFill="1" applyBorder="1" applyAlignment="1">
      <alignment horizontal="center" vertical="center" wrapText="1"/>
    </xf>
    <xf numFmtId="0" fontId="23" fillId="32" borderId="8" xfId="301" applyFont="1" applyFill="1" applyBorder="1" applyAlignment="1">
      <alignment horizontal="center" vertical="center" wrapText="1"/>
    </xf>
    <xf numFmtId="0" fontId="23" fillId="32" borderId="7" xfId="301" applyFont="1" applyFill="1" applyBorder="1" applyAlignment="1">
      <alignment horizontal="center" vertical="center" wrapText="1"/>
    </xf>
    <xf numFmtId="0" fontId="39" fillId="0" borderId="3" xfId="0" applyFont="1" applyBorder="1" applyAlignment="1">
      <alignment horizontal="left" vertical="center"/>
      <protection locked="0"/>
    </xf>
    <xf numFmtId="0" fontId="37" fillId="32" borderId="3" xfId="0" applyFont="1" applyFill="1" applyBorder="1" applyAlignment="1">
      <alignment horizontal="center" vertical="center"/>
      <protection locked="0"/>
    </xf>
    <xf numFmtId="0" fontId="39" fillId="0" borderId="9" xfId="0" applyFont="1" applyBorder="1" applyAlignment="1">
      <alignment horizontal="left"/>
      <protection locked="0"/>
    </xf>
    <xf numFmtId="0" fontId="39" fillId="0" borderId="11" xfId="0" applyFont="1" applyBorder="1" applyAlignment="1">
      <alignment horizontal="left"/>
      <protection locked="0"/>
    </xf>
    <xf numFmtId="0" fontId="39" fillId="0" borderId="10" xfId="0" applyFont="1" applyBorder="1" applyAlignment="1">
      <alignment horizontal="left"/>
      <protection locked="0"/>
    </xf>
    <xf numFmtId="0" fontId="37" fillId="32" borderId="9" xfId="0" applyFont="1" applyFill="1" applyBorder="1" applyAlignment="1">
      <alignment horizontal="center" vertical="center"/>
      <protection locked="0"/>
    </xf>
    <xf numFmtId="0" fontId="37" fillId="32" borderId="11" xfId="0" applyFont="1" applyFill="1" applyBorder="1" applyAlignment="1">
      <alignment horizontal="center" vertical="center"/>
      <protection locked="0"/>
    </xf>
    <xf numFmtId="0" fontId="37" fillId="32" borderId="10" xfId="0" applyFont="1" applyFill="1" applyBorder="1" applyAlignment="1">
      <alignment horizontal="center" vertical="center"/>
      <protection locked="0"/>
    </xf>
    <xf numFmtId="192" fontId="13" fillId="0" borderId="7" xfId="233" applyFont="1" applyFill="1" applyBorder="1" applyAlignment="1">
      <alignment vertical="center" wrapText="1"/>
      <protection locked="0"/>
    </xf>
    <xf numFmtId="192" fontId="8" fillId="0" borderId="28" xfId="233" applyFill="1" applyBorder="1" applyAlignment="1">
      <alignment vertical="center" wrapText="1"/>
      <protection locked="0"/>
    </xf>
    <xf numFmtId="192" fontId="8" fillId="0" borderId="8" xfId="233" applyFill="1" applyBorder="1" applyAlignment="1">
      <alignment vertical="center" wrapText="1"/>
      <protection locked="0"/>
    </xf>
    <xf numFmtId="192" fontId="13" fillId="0" borderId="9" xfId="233" applyFont="1" applyFill="1" applyBorder="1" applyAlignment="1">
      <alignment vertical="center" wrapText="1"/>
      <protection locked="0"/>
    </xf>
    <xf numFmtId="192" fontId="8" fillId="0" borderId="10" xfId="233" applyFill="1" applyBorder="1" applyAlignment="1">
      <alignment vertical="center" wrapText="1"/>
      <protection locked="0"/>
    </xf>
    <xf numFmtId="192" fontId="96" fillId="0" borderId="0" xfId="303" applyFont="1" applyAlignment="1">
      <alignment horizontal="center" vertical="center"/>
      <protection locked="0"/>
    </xf>
    <xf numFmtId="192" fontId="116" fillId="0" borderId="0" xfId="303" applyFont="1" applyAlignment="1">
      <alignment horizontal="center" vertical="center"/>
      <protection locked="0"/>
    </xf>
    <xf numFmtId="192" fontId="16" fillId="32" borderId="9" xfId="233" applyFont="1" applyFill="1" applyBorder="1" applyAlignment="1">
      <alignment horizontal="center" vertical="center" wrapText="1"/>
      <protection locked="0"/>
    </xf>
    <xf numFmtId="192" fontId="8" fillId="32" borderId="10" xfId="233" applyFill="1" applyBorder="1" applyAlignment="1">
      <alignment horizontal="center" vertical="center" wrapText="1"/>
      <protection locked="0"/>
    </xf>
    <xf numFmtId="192" fontId="22" fillId="0" borderId="25" xfId="233" applyFont="1" applyFill="1" applyBorder="1" applyAlignment="1">
      <alignment vertical="center" wrapText="1"/>
      <protection locked="0"/>
    </xf>
    <xf numFmtId="192" fontId="22" fillId="0" borderId="26" xfId="233" applyFont="1" applyFill="1" applyBorder="1" applyAlignment="1">
      <alignment vertical="center" wrapText="1"/>
      <protection locked="0"/>
    </xf>
    <xf numFmtId="192" fontId="22" fillId="0" borderId="24" xfId="233" applyFont="1" applyFill="1" applyBorder="1" applyAlignment="1">
      <alignment vertical="center" wrapText="1"/>
      <protection locked="0"/>
    </xf>
    <xf numFmtId="192" fontId="22" fillId="0" borderId="27" xfId="233" applyFont="1" applyFill="1" applyBorder="1" applyAlignment="1">
      <alignment vertical="center" wrapText="1"/>
      <protection locked="0"/>
    </xf>
    <xf numFmtId="192" fontId="22" fillId="0" borderId="29" xfId="233" applyFont="1" applyFill="1" applyBorder="1" applyAlignment="1">
      <alignment vertical="center" wrapText="1"/>
      <protection locked="0"/>
    </xf>
    <xf numFmtId="192" fontId="22" fillId="0" borderId="30" xfId="233" applyFont="1" applyFill="1" applyBorder="1" applyAlignment="1">
      <alignment vertical="center" wrapText="1"/>
      <protection locked="0"/>
    </xf>
    <xf numFmtId="14" fontId="91" fillId="0" borderId="24" xfId="230" applyNumberFormat="1" applyFont="1" applyBorder="1" applyAlignment="1">
      <alignment horizontal="left" vertical="center" wrapText="1"/>
      <protection locked="0"/>
    </xf>
    <xf numFmtId="0" fontId="16" fillId="6" borderId="3" xfId="0" applyFont="1" applyFill="1" applyBorder="1" applyAlignment="1">
      <alignment horizontal="center" vertical="center"/>
      <protection locked="0"/>
    </xf>
    <xf numFmtId="0" fontId="23" fillId="6" borderId="3" xfId="0" applyFont="1" applyFill="1" applyBorder="1" applyAlignment="1">
      <alignment horizontal="center" vertical="center"/>
      <protection locked="0"/>
    </xf>
    <xf numFmtId="0" fontId="16" fillId="35" borderId="7" xfId="297" applyFont="1" applyFill="1" applyBorder="1" applyAlignment="1" applyProtection="1">
      <alignment horizontal="center" vertical="center" wrapText="1"/>
    </xf>
    <xf numFmtId="0" fontId="16" fillId="35" borderId="8" xfId="297" applyFont="1" applyFill="1" applyBorder="1" applyAlignment="1" applyProtection="1">
      <alignment horizontal="center" vertical="center" wrapText="1"/>
    </xf>
    <xf numFmtId="192" fontId="16" fillId="6" borderId="3" xfId="230" applyFont="1" applyFill="1" applyBorder="1" applyAlignment="1">
      <alignment horizontal="center" vertical="center"/>
      <protection locked="0"/>
    </xf>
    <xf numFmtId="192" fontId="23" fillId="6" borderId="3" xfId="230" applyFont="1" applyFill="1" applyBorder="1" applyAlignment="1">
      <alignment horizontal="center" vertical="center"/>
      <protection locked="0"/>
    </xf>
    <xf numFmtId="0" fontId="23" fillId="6" borderId="9" xfId="0" applyFont="1" applyFill="1" applyBorder="1" applyAlignment="1" applyProtection="1">
      <alignment horizontal="center" vertical="center"/>
      <protection locked="0"/>
    </xf>
    <xf numFmtId="0" fontId="23" fillId="6" borderId="11" xfId="0" applyFont="1" applyFill="1" applyBorder="1" applyAlignment="1" applyProtection="1">
      <alignment horizontal="center" vertical="center"/>
      <protection locked="0"/>
    </xf>
    <xf numFmtId="0" fontId="16" fillId="35" borderId="3" xfId="297" applyFont="1" applyFill="1" applyBorder="1" applyAlignment="1" applyProtection="1">
      <alignment horizontal="center" vertical="center" wrapText="1"/>
    </xf>
    <xf numFmtId="192" fontId="16" fillId="6" borderId="25" xfId="230" applyFont="1" applyFill="1" applyBorder="1" applyAlignment="1">
      <alignment horizontal="center" vertical="center" wrapText="1"/>
      <protection locked="0"/>
    </xf>
    <xf numFmtId="192" fontId="16" fillId="6" borderId="26" xfId="230" applyFont="1" applyFill="1" applyBorder="1" applyAlignment="1">
      <alignment horizontal="center" vertical="center" wrapText="1"/>
      <protection locked="0"/>
    </xf>
    <xf numFmtId="192" fontId="16" fillId="6" borderId="29" xfId="230" applyFont="1" applyFill="1" applyBorder="1" applyAlignment="1">
      <alignment horizontal="center" vertical="center" wrapText="1"/>
      <protection locked="0"/>
    </xf>
    <xf numFmtId="192" fontId="16" fillId="6" borderId="30" xfId="230" applyFont="1" applyFill="1" applyBorder="1" applyAlignment="1">
      <alignment horizontal="center" vertical="center" wrapText="1"/>
      <protection locked="0"/>
    </xf>
    <xf numFmtId="0" fontId="16" fillId="6" borderId="9" xfId="297" applyFont="1" applyFill="1" applyBorder="1" applyAlignment="1">
      <alignment horizontal="center" vertical="center"/>
      <protection locked="0"/>
    </xf>
    <xf numFmtId="0" fontId="16" fillId="6" borderId="11" xfId="297" applyFont="1" applyFill="1" applyBorder="1" applyAlignment="1">
      <alignment horizontal="center" vertical="center"/>
      <protection locked="0"/>
    </xf>
    <xf numFmtId="0" fontId="16" fillId="6" borderId="10" xfId="297" applyFont="1" applyFill="1" applyBorder="1" applyAlignment="1">
      <alignment horizontal="center" vertical="center"/>
      <protection locked="0"/>
    </xf>
    <xf numFmtId="49" fontId="39" fillId="0" borderId="9" xfId="307" applyNumberFormat="1" applyFont="1" applyBorder="1" applyAlignment="1">
      <alignment horizontal="left" vertical="center"/>
      <protection locked="0"/>
    </xf>
    <xf numFmtId="49" fontId="39" fillId="0" borderId="10" xfId="307" applyNumberFormat="1" applyFont="1" applyBorder="1" applyAlignment="1">
      <alignment horizontal="left" vertical="center"/>
      <protection locked="0"/>
    </xf>
    <xf numFmtId="14" fontId="16" fillId="32" borderId="3" xfId="233" applyNumberFormat="1" applyFont="1" applyFill="1" applyBorder="1" applyAlignment="1">
      <alignment horizontal="center" vertical="center"/>
      <protection locked="0"/>
    </xf>
    <xf numFmtId="43" fontId="23" fillId="6" borderId="9" xfId="309" applyFont="1" applyFill="1" applyBorder="1" applyAlignment="1" applyProtection="1">
      <alignment horizontal="left" vertical="center"/>
      <protection locked="0"/>
    </xf>
    <xf numFmtId="43" fontId="23" fillId="6" borderId="10" xfId="309" applyFont="1" applyFill="1" applyBorder="1" applyAlignment="1" applyProtection="1">
      <alignment horizontal="left" vertical="center"/>
      <protection locked="0"/>
    </xf>
    <xf numFmtId="43" fontId="23" fillId="6" borderId="3" xfId="309" applyFont="1" applyFill="1" applyBorder="1" applyAlignment="1" applyProtection="1">
      <alignment horizontal="center" vertical="center"/>
      <protection locked="0"/>
    </xf>
    <xf numFmtId="0" fontId="16" fillId="32" borderId="3" xfId="0" applyFont="1" applyFill="1" applyBorder="1" applyAlignment="1">
      <alignment horizontal="center" vertical="center"/>
      <protection locked="0"/>
    </xf>
  </cellXfs>
  <cellStyles count="312">
    <cellStyle name="%" xfId="38"/>
    <cellStyle name="?" xfId="39"/>
    <cellStyle name="?餡_x000c_k" xfId="40"/>
    <cellStyle name="?餡_x000c_k?_x000d_^" xfId="41"/>
    <cellStyle name="?餡_x000c_k?_x000d_^黇_x0001_??_x0007__x0001__x0001_" xfId="42"/>
    <cellStyle name="@_text" xfId="1"/>
    <cellStyle name="_2005审计报表及附注-中国建材股份模板（房屋）" xfId="43"/>
    <cellStyle name="_2006年年报审计PBC表-XXX" xfId="44"/>
    <cellStyle name="_2006年年报审计填报资料" xfId="45"/>
    <cellStyle name="_Book1" xfId="46"/>
    <cellStyle name="_J1000-存货-ZHHG" xfId="47"/>
    <cellStyle name="_PBC审核提示" xfId="48"/>
    <cellStyle name="_宝丽华房地产20051231" xfId="49"/>
    <cellStyle name="_保证金-企业填写部分" xfId="50"/>
    <cellStyle name="_北新房屋2004年审-刘" xfId="51"/>
    <cellStyle name="_北新股份2005年审工作底稿" xfId="52"/>
    <cellStyle name="_北新建材关连交易基础表051230（10－12月版）更新稿" xfId="53"/>
    <cellStyle name="_北新建材-会计报表附注模版" xfId="54"/>
    <cellStyle name="_北新龙之星2004年审工作底稿" xfId="55"/>
    <cellStyle name="_北新物流2005底稿-刘" xfId="56"/>
    <cellStyle name="_北新置换memo" xfId="57"/>
    <cellStyle name="_存货结转测试" xfId="58"/>
    <cellStyle name="_存货数量与明细05.12" xfId="59"/>
    <cellStyle name="_动力厂2004年审工作底稿-刘" xfId="60"/>
    <cellStyle name="_分工" xfId="61"/>
    <cellStyle name="_工程施工项目现场审计提示" xfId="62"/>
    <cellStyle name="_关联交易" xfId="63"/>
    <cellStyle name="_关联交易、往来统计表" xfId="64"/>
    <cellStyle name="_建造合同-宜万指（正式版）" xfId="65"/>
    <cellStyle name="_科目核对表" xfId="66"/>
    <cellStyle name="_母PL" xfId="67"/>
    <cellStyle name="_人员分工备忘录" xfId="68"/>
    <cellStyle name="_审计所需资料清单－子公司" xfId="69"/>
    <cellStyle name="_一公司建造合同前5名" xfId="70"/>
    <cellStyle name="_一公司－刘丰收" xfId="71"/>
    <cellStyle name="_长期借款－江阴" xfId="72"/>
    <cellStyle name="_子公司审计提示模版-Liufs" xfId="73"/>
    <cellStyle name="{Comma [0]}" xfId="2"/>
    <cellStyle name="{Comma}" xfId="3"/>
    <cellStyle name="{Date}" xfId="4"/>
    <cellStyle name="{Month}" xfId="5"/>
    <cellStyle name="{Percent}" xfId="6"/>
    <cellStyle name="{Thousand [0]}" xfId="7"/>
    <cellStyle name="{Thousand}" xfId="8"/>
    <cellStyle name="{Z'0000(1 dec)}" xfId="9"/>
    <cellStyle name="{Z'0000(4 dec)}" xfId="10"/>
    <cellStyle name="0%" xfId="74"/>
    <cellStyle name="0.0%" xfId="75"/>
    <cellStyle name="0.00%" xfId="76"/>
    <cellStyle name="20% - Accent1" xfId="77"/>
    <cellStyle name="20% - Accent2" xfId="78"/>
    <cellStyle name="20% - Accent3" xfId="79"/>
    <cellStyle name="20% - Accent4" xfId="80"/>
    <cellStyle name="20% - Accent5" xfId="81"/>
    <cellStyle name="20% - Accent6" xfId="82"/>
    <cellStyle name="40% - Accent1" xfId="83"/>
    <cellStyle name="40% - Accent2" xfId="84"/>
    <cellStyle name="40% - Accent3" xfId="85"/>
    <cellStyle name="40% - Accent4" xfId="86"/>
    <cellStyle name="40% - Accent5" xfId="87"/>
    <cellStyle name="40% - Accent6" xfId="88"/>
    <cellStyle name="60% - Accent1" xfId="89"/>
    <cellStyle name="60% - Accent2" xfId="90"/>
    <cellStyle name="60% - Accent3" xfId="91"/>
    <cellStyle name="60% - Accent4" xfId="92"/>
    <cellStyle name="60% - Accent5" xfId="93"/>
    <cellStyle name="60% - Accent6" xfId="94"/>
    <cellStyle name="Accent1" xfId="95"/>
    <cellStyle name="Accent2" xfId="96"/>
    <cellStyle name="Accent3" xfId="97"/>
    <cellStyle name="Accent4" xfId="98"/>
    <cellStyle name="Accent5" xfId="99"/>
    <cellStyle name="Accent6" xfId="100"/>
    <cellStyle name="Bad" xfId="101"/>
    <cellStyle name="Black" xfId="11"/>
    <cellStyle name="Border" xfId="12"/>
    <cellStyle name="Calc Currency (0)" xfId="102"/>
    <cellStyle name="Calc Currency (2)" xfId="103"/>
    <cellStyle name="Calc Percent (0)" xfId="104"/>
    <cellStyle name="Calc Percent (1)" xfId="105"/>
    <cellStyle name="Calc Percent (2)" xfId="106"/>
    <cellStyle name="Calc Units (0)" xfId="107"/>
    <cellStyle name="Calc Units (1)" xfId="108"/>
    <cellStyle name="Calc Units (2)" xfId="109"/>
    <cellStyle name="Calculation" xfId="110"/>
    <cellStyle name="category" xfId="111"/>
    <cellStyle name="Check Cell" xfId="112"/>
    <cellStyle name="Col Heads" xfId="113"/>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 [00]" xfId="124"/>
    <cellStyle name="Comma 28" xfId="125"/>
    <cellStyle name="comma zerodec" xfId="126"/>
    <cellStyle name="Comma,0" xfId="127"/>
    <cellStyle name="Comma,1" xfId="128"/>
    <cellStyle name="Comma,2" xfId="129"/>
    <cellStyle name="Comma_ rislugp" xfId="130"/>
    <cellStyle name="Currency [0]_ rislugp" xfId="131"/>
    <cellStyle name="Currency [00]" xfId="132"/>
    <cellStyle name="Currency,0" xfId="133"/>
    <cellStyle name="Currency,2" xfId="134"/>
    <cellStyle name="Currency_ rislugp" xfId="135"/>
    <cellStyle name="Currency1" xfId="136"/>
    <cellStyle name="Date Short" xfId="137"/>
    <cellStyle name="Dezimal [0]_laroux" xfId="13"/>
    <cellStyle name="Dezimal_laroux" xfId="14"/>
    <cellStyle name="Dollar (zero dec)" xfId="138"/>
    <cellStyle name="Enter Currency (0)" xfId="139"/>
    <cellStyle name="Enter Currency (2)" xfId="140"/>
    <cellStyle name="Enter Units (0)" xfId="141"/>
    <cellStyle name="Enter Units (1)" xfId="142"/>
    <cellStyle name="Enter Units (2)" xfId="143"/>
    <cellStyle name="entry" xfId="144"/>
    <cellStyle name="entry box" xfId="145"/>
    <cellStyle name="Euro" xfId="15"/>
    <cellStyle name="Explanatory Text" xfId="146"/>
    <cellStyle name="Followed Hyperlink_AheadBehind.xls Chart 23" xfId="16"/>
    <cellStyle name="Good" xfId="147"/>
    <cellStyle name="Grey" xfId="17"/>
    <cellStyle name="HEADER" xfId="148"/>
    <cellStyle name="Header1" xfId="149"/>
    <cellStyle name="Header2" xfId="150"/>
    <cellStyle name="Heading" xfId="151"/>
    <cellStyle name="Heading 1" xfId="152"/>
    <cellStyle name="Heading 2" xfId="153"/>
    <cellStyle name="Heading 3" xfId="154"/>
    <cellStyle name="Heading 4" xfId="155"/>
    <cellStyle name="Hyperlink_AheadBehind.xls Chart 23" xfId="18"/>
    <cellStyle name="Input" xfId="156"/>
    <cellStyle name="Input [yellow]" xfId="19"/>
    <cellStyle name="left" xfId="157"/>
    <cellStyle name="Link Currency (0)" xfId="158"/>
    <cellStyle name="Link Currency (2)" xfId="159"/>
    <cellStyle name="Link Units (0)" xfId="160"/>
    <cellStyle name="Link Units (1)" xfId="161"/>
    <cellStyle name="Link Units (2)" xfId="162"/>
    <cellStyle name="Linked Cell" xfId="163"/>
    <cellStyle name="Millares [0]_laroux" xfId="164"/>
    <cellStyle name="Millares_laroux" xfId="165"/>
    <cellStyle name="Milliers [0]_laroux" xfId="20"/>
    <cellStyle name="Milliers_laroux" xfId="21"/>
    <cellStyle name="Model" xfId="166"/>
    <cellStyle name="Moneda [0]_laroux" xfId="167"/>
    <cellStyle name="Moneda_laroux" xfId="168"/>
    <cellStyle name="Mon閠aire [0]_laroux" xfId="169"/>
    <cellStyle name="Mon閠aire_laroux" xfId="170"/>
    <cellStyle name="Neutral" xfId="171"/>
    <cellStyle name="no dec" xfId="172"/>
    <cellStyle name="Non défini" xfId="22"/>
    <cellStyle name="Normal - Style1" xfId="23"/>
    <cellStyle name="Normal 2" xfId="173"/>
    <cellStyle name="Normal 2 2" xfId="174"/>
    <cellStyle name="Normal 21" xfId="175"/>
    <cellStyle name="Normal 3 2" xfId="176"/>
    <cellStyle name="Normal_ rislugp" xfId="177"/>
    <cellStyle name="Normalny_Arkusz1" xfId="178"/>
    <cellStyle name="Note" xfId="179"/>
    <cellStyle name="Output" xfId="180"/>
    <cellStyle name="Percent (0)" xfId="181"/>
    <cellStyle name="Percent [0]" xfId="182"/>
    <cellStyle name="Percent [00]" xfId="183"/>
    <cellStyle name="Percent [2]" xfId="24"/>
    <cellStyle name="Prefilled" xfId="184"/>
    <cellStyle name="PrePop Currency (0)" xfId="185"/>
    <cellStyle name="PrePop Currency (2)" xfId="186"/>
    <cellStyle name="PrePop Units (0)" xfId="187"/>
    <cellStyle name="PrePop Units (1)" xfId="188"/>
    <cellStyle name="PrePop Units (2)" xfId="189"/>
    <cellStyle name="price" xfId="190"/>
    <cellStyle name="Red" xfId="25"/>
    <cellStyle name="revised" xfId="191"/>
    <cellStyle name="section" xfId="192"/>
    <cellStyle name="SOR" xfId="193"/>
    <cellStyle name="style" xfId="194"/>
    <cellStyle name="style1" xfId="195"/>
    <cellStyle name="style2" xfId="196"/>
    <cellStyle name="subhead" xfId="197"/>
    <cellStyle name="Text Indent A" xfId="198"/>
    <cellStyle name="Text Indent B" xfId="199"/>
    <cellStyle name="Text Indent C" xfId="200"/>
    <cellStyle name="Tickmark" xfId="201"/>
    <cellStyle name="title" xfId="202"/>
    <cellStyle name="Total" xfId="203"/>
    <cellStyle name="Warning Text" xfId="204"/>
    <cellStyle name="wrap" xfId="205"/>
    <cellStyle name="パーセント_laroux" xfId="206"/>
    <cellStyle name="_PLDT" xfId="207"/>
    <cellStyle name="_Total (2)" xfId="208"/>
    <cellStyle name="だ[0]_PLDT" xfId="209"/>
    <cellStyle name="だ_PLDT" xfId="210"/>
    <cellStyle name="だ[0]_Total (2)" xfId="211"/>
    <cellStyle name="だ_Total (2)" xfId="212"/>
    <cellStyle name="百分比" xfId="310" builtinId="5"/>
    <cellStyle name="百分比 2" xfId="213"/>
    <cellStyle name="百分比 2 2" xfId="300"/>
    <cellStyle name="百分比 3" xfId="214"/>
    <cellStyle name="標準_１１月価格表" xfId="215"/>
    <cellStyle name="差_T1000-主营业务收入-LJCH" xfId="216"/>
    <cellStyle name="常规" xfId="0" builtinId="0"/>
    <cellStyle name="常规 10" xfId="217"/>
    <cellStyle name="常规 10 2" xfId="218"/>
    <cellStyle name="常规 10 3" xfId="219"/>
    <cellStyle name="常规 10 4" xfId="220"/>
    <cellStyle name="常规 11 2" xfId="221"/>
    <cellStyle name="常规 11 3" xfId="222"/>
    <cellStyle name="常规 11 4" xfId="223"/>
    <cellStyle name="常规 11 5" xfId="311"/>
    <cellStyle name="常规 12 2" xfId="224"/>
    <cellStyle name="常规 12 3" xfId="225"/>
    <cellStyle name="常规 12 4" xfId="226"/>
    <cellStyle name="常规 13 2" xfId="227"/>
    <cellStyle name="常规 13 3" xfId="228"/>
    <cellStyle name="常规 13 4" xfId="229"/>
    <cellStyle name="常规 2" xfId="35"/>
    <cellStyle name="常规 2 2" xfId="230"/>
    <cellStyle name="常规 2 2 2" xfId="231"/>
    <cellStyle name="常规 2 2 3" xfId="232"/>
    <cellStyle name="常规 2 2 4" xfId="297"/>
    <cellStyle name="常规 2 3" xfId="233"/>
    <cellStyle name="常规 2 3 2" xfId="234"/>
    <cellStyle name="常规 2 4" xfId="235"/>
    <cellStyle name="常规 2 5" xfId="236"/>
    <cellStyle name="常规 2 6" xfId="237"/>
    <cellStyle name="常规 2 7" xfId="238"/>
    <cellStyle name="常规 2 8" xfId="239"/>
    <cellStyle name="常规 2 8 2" xfId="307"/>
    <cellStyle name="常规 2_经销商信息-1-原始表" xfId="240"/>
    <cellStyle name="常规 3" xfId="37"/>
    <cellStyle name="常规 3 2" xfId="241"/>
    <cellStyle name="常规 3 3" xfId="242"/>
    <cellStyle name="常规 3 4" xfId="243"/>
    <cellStyle name="常规 3 5" xfId="303"/>
    <cellStyle name="常规 4" xfId="244"/>
    <cellStyle name="常规 4 2" xfId="245"/>
    <cellStyle name="常规 4 2 2" xfId="298"/>
    <cellStyle name="常规 4 3" xfId="246"/>
    <cellStyle name="常规 4 4" xfId="247"/>
    <cellStyle name="常规 5" xfId="248"/>
    <cellStyle name="常规 5 2" xfId="249"/>
    <cellStyle name="常规 5 3" xfId="250"/>
    <cellStyle name="常规 5 4" xfId="251"/>
    <cellStyle name="常规 6" xfId="33"/>
    <cellStyle name="常规 6 2" xfId="252"/>
    <cellStyle name="常规 6 3" xfId="253"/>
    <cellStyle name="常规 6 4" xfId="254"/>
    <cellStyle name="常规 6 5" xfId="255"/>
    <cellStyle name="常规 7" xfId="256"/>
    <cellStyle name="常规 7 2" xfId="257"/>
    <cellStyle name="常规 7 3" xfId="258"/>
    <cellStyle name="常规 7 4" xfId="259"/>
    <cellStyle name="常规 8" xfId="260"/>
    <cellStyle name="常规 8 2" xfId="261"/>
    <cellStyle name="常规 8 3" xfId="262"/>
    <cellStyle name="常规 8 4" xfId="263"/>
    <cellStyle name="常规 9" xfId="264"/>
    <cellStyle name="常规 9 2" xfId="265"/>
    <cellStyle name="常规 9 3" xfId="266"/>
    <cellStyle name="常规 9 4" xfId="267"/>
    <cellStyle name="常规_2-1项目审定表－模板" xfId="26"/>
    <cellStyle name="常规_Book1" xfId="27"/>
    <cellStyle name="常规_Book1 2" xfId="34"/>
    <cellStyle name="常规_c-资产类" xfId="308"/>
    <cellStyle name="常规_进一步审计程序--销售与收款循环" xfId="28"/>
    <cellStyle name="常规_控制测试底稿" xfId="302"/>
    <cellStyle name="常规_控制测试底稿_FJC代理业务负债" xfId="301"/>
    <cellStyle name="常规_通用表" xfId="29"/>
    <cellStyle name="常规_新审定表" xfId="30"/>
    <cellStyle name="常规_新审定表 2" xfId="304"/>
    <cellStyle name="常规_制造费用 2" xfId="36"/>
    <cellStyle name="超级链接_B4-1审计项目工时预算与控制表(集团)" xfId="268"/>
    <cellStyle name="超链接" xfId="31" builtinId="8"/>
    <cellStyle name="超链接 2" xfId="269"/>
    <cellStyle name="超链接 2 2" xfId="270"/>
    <cellStyle name="超链接 2 3" xfId="299"/>
    <cellStyle name="分级显示行_1_4附件二凯旋评估表" xfId="271"/>
    <cellStyle name="好_T1000-主营业务收入" xfId="272"/>
    <cellStyle name="桁区切り [0.00]_１１月価格表" xfId="273"/>
    <cellStyle name="桁区切り_１１月価格表" xfId="274"/>
    <cellStyle name="霓付 [0]_97MBO" xfId="275"/>
    <cellStyle name="霓付_97MBO" xfId="276"/>
    <cellStyle name="烹拳 [0]_97MBO" xfId="277"/>
    <cellStyle name="烹拳_97MBO" xfId="278"/>
    <cellStyle name="砯刽 [0]_PLDT" xfId="279"/>
    <cellStyle name="砯刽_PLDT" xfId="280"/>
    <cellStyle name="普通_ 白土" xfId="281"/>
    <cellStyle name="千分位[0]_ 白土" xfId="282"/>
    <cellStyle name="千分位_ 白土" xfId="283"/>
    <cellStyle name="千位[0]_ 应交税金审定表" xfId="284"/>
    <cellStyle name="千位_ 应交税金审定表" xfId="285"/>
    <cellStyle name="千位分隔" xfId="32" builtinId="3"/>
    <cellStyle name="千位分隔 2" xfId="286"/>
    <cellStyle name="千位分隔 2 2" xfId="306"/>
    <cellStyle name="千位分隔 3" xfId="287"/>
    <cellStyle name="千位分隔 4" xfId="305"/>
    <cellStyle name="千位分隔 6" xfId="309"/>
    <cellStyle name="钎霖_laroux" xfId="288"/>
    <cellStyle name="通貨 [0.00]_１１月価格表" xfId="289"/>
    <cellStyle name="通貨_１１月価格表" xfId="290"/>
    <cellStyle name="样式 1" xfId="291"/>
    <cellStyle name="콤마 [0]_BOILER-CO1" xfId="292"/>
    <cellStyle name="콤마_BOILER-CO1" xfId="293"/>
    <cellStyle name="통화 [0]_BOILER-CO1" xfId="294"/>
    <cellStyle name="통화_BOILER-CO1" xfId="295"/>
    <cellStyle name="표준_0N-HANDLING " xfId="296"/>
  </cellStyles>
  <dxfs count="0"/>
  <tableStyles count="0" defaultTableStyle="TableStyleMedium9" defaultPivotStyle="PivotStyleLight16"/>
  <colors>
    <mruColors>
      <color rgb="FFE4DFEC"/>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38100</xdr:colOff>
          <xdr:row>34</xdr:row>
          <xdr:rowOff>45720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27</xdr:row>
          <xdr:rowOff>0</xdr:rowOff>
        </xdr:from>
        <xdr:to>
          <xdr:col>3</xdr:col>
          <xdr:colOff>1120140</xdr:colOff>
          <xdr:row>33</xdr:row>
          <xdr:rowOff>114300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5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package" Target="../embeddings/Microsoft_Word___1.docx"/><Relationship Id="rId5" Type="http://schemas.openxmlformats.org/officeDocument/2006/relationships/image" Target="../media/image1.emf"/><Relationship Id="rId4" Type="http://schemas.openxmlformats.org/officeDocument/2006/relationships/package" Target="../embeddings/Microsoft_Word___.doc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51" customWidth="1"/>
    <col min="2" max="2" width="2" style="51" customWidth="1"/>
    <col min="3" max="3" width="2.09765625" style="51" customWidth="1"/>
    <col min="4" max="4" width="6.09765625" style="51" customWidth="1"/>
    <col min="5" max="5" width="24.3984375" style="51" customWidth="1"/>
    <col min="6" max="6" width="9.59765625" style="207" customWidth="1"/>
    <col min="7" max="16384" width="9" style="51"/>
  </cols>
  <sheetData>
    <row r="1" spans="1:8" s="48" customFormat="1" ht="20.100000000000001" customHeight="1">
      <c r="A1" s="47" t="s">
        <v>42</v>
      </c>
      <c r="F1" s="50"/>
    </row>
    <row r="2" spans="1:8" ht="20.100000000000001" customHeight="1">
      <c r="A2" s="160" t="s">
        <v>295</v>
      </c>
      <c r="B2" s="49"/>
      <c r="C2" s="49"/>
      <c r="D2" s="50"/>
      <c r="E2" s="50"/>
      <c r="F2" s="69"/>
      <c r="G2" s="49"/>
      <c r="H2" s="49"/>
    </row>
    <row r="3" spans="1:8" ht="20.100000000000001" customHeight="1">
      <c r="A3" s="161" t="s">
        <v>304</v>
      </c>
      <c r="B3" s="49"/>
      <c r="C3" s="49"/>
      <c r="D3" s="173" t="s">
        <v>164</v>
      </c>
      <c r="E3" s="173" t="s">
        <v>165</v>
      </c>
      <c r="F3" s="173" t="s">
        <v>166</v>
      </c>
      <c r="G3" s="173" t="s">
        <v>167</v>
      </c>
      <c r="H3" s="52"/>
    </row>
    <row r="4" spans="1:8" ht="20.100000000000001" customHeight="1">
      <c r="A4" s="263" t="s">
        <v>296</v>
      </c>
      <c r="B4" s="53"/>
      <c r="C4" s="53"/>
      <c r="D4" s="129">
        <v>1</v>
      </c>
      <c r="E4" s="104" t="s">
        <v>160</v>
      </c>
      <c r="F4" s="129" t="s">
        <v>286</v>
      </c>
      <c r="G4" s="174"/>
      <c r="H4" s="49"/>
    </row>
    <row r="5" spans="1:8" ht="20.100000000000001" customHeight="1">
      <c r="A5" s="263" t="s">
        <v>297</v>
      </c>
      <c r="D5" s="129">
        <v>2</v>
      </c>
      <c r="E5" s="104" t="s">
        <v>87</v>
      </c>
      <c r="F5" s="129" t="s">
        <v>287</v>
      </c>
      <c r="G5" s="174"/>
      <c r="H5" s="53"/>
    </row>
    <row r="6" spans="1:8" ht="20.100000000000001" customHeight="1">
      <c r="A6" s="263" t="s">
        <v>298</v>
      </c>
      <c r="D6" s="129">
        <v>3</v>
      </c>
      <c r="E6" s="104" t="s">
        <v>161</v>
      </c>
      <c r="F6" s="129"/>
      <c r="G6" s="91"/>
      <c r="H6" s="1" t="s">
        <v>168</v>
      </c>
    </row>
    <row r="7" spans="1:8" ht="20.100000000000001" customHeight="1">
      <c r="A7" s="263" t="s">
        <v>299</v>
      </c>
      <c r="D7" s="129">
        <v>4</v>
      </c>
      <c r="E7" s="104" t="s">
        <v>162</v>
      </c>
      <c r="F7" s="129"/>
      <c r="G7" s="91"/>
      <c r="H7" s="1" t="s">
        <v>169</v>
      </c>
    </row>
    <row r="8" spans="1:8" ht="20.100000000000001" customHeight="1">
      <c r="A8" s="54"/>
      <c r="D8" s="129">
        <v>5</v>
      </c>
      <c r="E8" s="104" t="s">
        <v>163</v>
      </c>
      <c r="F8" s="129" t="s">
        <v>288</v>
      </c>
      <c r="G8" s="91"/>
    </row>
    <row r="9" spans="1:8" ht="20.100000000000001" customHeight="1">
      <c r="A9" s="265" t="s">
        <v>305</v>
      </c>
      <c r="D9" s="129">
        <v>6</v>
      </c>
      <c r="E9" s="104" t="s">
        <v>277</v>
      </c>
      <c r="F9" s="129" t="s">
        <v>289</v>
      </c>
      <c r="G9" s="176"/>
    </row>
    <row r="10" spans="1:8" ht="20.100000000000001" customHeight="1">
      <c r="A10" s="274" t="s">
        <v>306</v>
      </c>
      <c r="D10" s="129">
        <v>7</v>
      </c>
      <c r="E10" s="258" t="s">
        <v>274</v>
      </c>
      <c r="F10" s="129" t="s">
        <v>290</v>
      </c>
      <c r="G10" s="91"/>
    </row>
    <row r="11" spans="1:8" ht="20.100000000000001" customHeight="1">
      <c r="A11" s="274"/>
      <c r="D11" s="129">
        <v>8</v>
      </c>
      <c r="E11" s="104" t="s">
        <v>147</v>
      </c>
      <c r="F11" s="129" t="s">
        <v>291</v>
      </c>
      <c r="G11" s="175"/>
    </row>
    <row r="12" spans="1:8" ht="20.100000000000001" customHeight="1">
      <c r="A12" s="274"/>
      <c r="D12" s="129">
        <v>9</v>
      </c>
      <c r="E12" s="258" t="s">
        <v>275</v>
      </c>
      <c r="F12" s="129" t="s">
        <v>292</v>
      </c>
      <c r="G12" s="175"/>
    </row>
    <row r="13" spans="1:8" ht="20.100000000000001" customHeight="1">
      <c r="A13" s="274"/>
    </row>
    <row r="14" spans="1:8" ht="20.100000000000001" customHeight="1">
      <c r="A14" s="274" t="s">
        <v>307</v>
      </c>
    </row>
    <row r="15" spans="1:8" ht="20.100000000000001" customHeight="1">
      <c r="A15" s="274"/>
    </row>
    <row r="16" spans="1:8" ht="20.100000000000001" customHeight="1">
      <c r="A16" s="274"/>
    </row>
    <row r="17" spans="1:1" ht="15.6">
      <c r="A17" s="275" t="s">
        <v>308</v>
      </c>
    </row>
    <row r="18" spans="1:1" ht="34.5" customHeight="1">
      <c r="A18" s="275"/>
    </row>
    <row r="19" spans="1:1" ht="20.100000000000001" customHeight="1">
      <c r="A19" s="275"/>
    </row>
  </sheetData>
  <mergeCells count="3">
    <mergeCell ref="A10:A13"/>
    <mergeCell ref="A14:A16"/>
    <mergeCell ref="A17:A19"/>
  </mergeCells>
  <phoneticPr fontId="12" type="noConversion"/>
  <hyperlinks>
    <hyperlink ref="E5" location="'审定表K11-1'!Print_Area" display="审定表"/>
    <hyperlink ref="E6" location="'附注披露信息（上市公司）'!Print_Area" display="附注披露信息（上市公司）"/>
    <hyperlink ref="E8" location="'明细表K11-2'!Print_Area" display="明细表"/>
    <hyperlink ref="E11" location="'应收政府补助检查表K11-5'!Print_Area" display="应收政府补助检查表"/>
    <hyperlink ref="E7" location="'附注披露信息（国企）'!Print_Area" display="附注披露信息（国企）"/>
    <hyperlink ref="E4" location="实质性程序表K11A!_FilterDatabase" display="实质性程序表"/>
    <hyperlink ref="E9" location="'调整分录汇总K11-3'!Print_Area" display="调整分录汇总"/>
    <hyperlink ref="E10" location="'政府补助核对表K11-4'!A1" display="政府补助核对表"/>
    <hyperlink ref="E12" location="'其他收益检查表K11-6'!A1" display="其他收益检查表"/>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J26"/>
  <sheetViews>
    <sheetView view="pageBreakPreview" zoomScaleSheetLayoutView="100" workbookViewId="0">
      <selection sqref="A1:I1"/>
    </sheetView>
  </sheetViews>
  <sheetFormatPr defaultColWidth="9" defaultRowHeight="30.75" customHeight="1"/>
  <cols>
    <col min="1" max="1" width="4.3984375" style="62" customWidth="1"/>
    <col min="2" max="2" width="63.69921875" style="58" customWidth="1"/>
    <col min="3" max="3" width="9.09765625" style="58" customWidth="1"/>
    <col min="4" max="4" width="5.3984375" style="58" customWidth="1"/>
    <col min="5" max="5" width="6.59765625" style="58" customWidth="1"/>
    <col min="6" max="6" width="7.69921875" style="58" customWidth="1"/>
    <col min="7" max="7" width="6.09765625" style="58" customWidth="1"/>
    <col min="8" max="8" width="6.59765625" style="58" customWidth="1"/>
    <col min="9" max="9" width="7.59765625" style="58" customWidth="1"/>
    <col min="10" max="10" width="56.296875" style="58" customWidth="1"/>
    <col min="11" max="16384" width="9" style="58"/>
  </cols>
  <sheetData>
    <row r="1" spans="1:10" s="55" customFormat="1" ht="19.95" customHeight="1">
      <c r="A1" s="286" t="s">
        <v>175</v>
      </c>
      <c r="B1" s="286"/>
      <c r="C1" s="286"/>
      <c r="D1" s="286"/>
      <c r="E1" s="286"/>
      <c r="F1" s="286"/>
      <c r="G1" s="286"/>
      <c r="H1" s="286"/>
      <c r="I1" s="286"/>
    </row>
    <row r="2" spans="1:10" s="55" customFormat="1" ht="19.95" customHeight="1">
      <c r="A2" s="287" t="s">
        <v>65</v>
      </c>
      <c r="B2" s="288"/>
      <c r="C2" s="288"/>
      <c r="D2" s="288"/>
      <c r="E2" s="288"/>
      <c r="F2" s="288"/>
      <c r="G2" s="288"/>
      <c r="H2" s="288"/>
      <c r="I2" s="288"/>
    </row>
    <row r="3" spans="1:10" s="57" customFormat="1" ht="19.95" customHeight="1">
      <c r="A3" s="90" t="str">
        <f>底稿目录!A2</f>
        <v>被审计单位：</v>
      </c>
      <c r="B3" s="90"/>
      <c r="C3" s="90" t="str">
        <f>底稿目录!A4</f>
        <v>编制人：</v>
      </c>
      <c r="D3" s="108"/>
      <c r="E3" s="108" t="str">
        <f>底稿目录!A5</f>
        <v>编制日期：</v>
      </c>
      <c r="F3" s="108"/>
      <c r="G3" s="108"/>
      <c r="H3" s="108" t="s">
        <v>91</v>
      </c>
      <c r="I3" s="260" t="str">
        <f>底稿目录!F4</f>
        <v>K10A</v>
      </c>
    </row>
    <row r="4" spans="1:10" s="57" customFormat="1" ht="19.95" customHeight="1">
      <c r="A4" s="90" t="str">
        <f>底稿目录!A3</f>
        <v>会计期间：202X年度</v>
      </c>
      <c r="B4" s="90"/>
      <c r="C4" s="90" t="str">
        <f>底稿目录!A6</f>
        <v>复核人：</v>
      </c>
      <c r="D4" s="108"/>
      <c r="E4" s="108" t="str">
        <f>底稿目录!A7</f>
        <v>复核日期：</v>
      </c>
      <c r="F4" s="108"/>
      <c r="G4" s="108"/>
      <c r="H4" s="108" t="s">
        <v>92</v>
      </c>
      <c r="I4" s="109"/>
    </row>
    <row r="5" spans="1:10" ht="19.95" customHeight="1">
      <c r="A5" s="283" t="s">
        <v>54</v>
      </c>
      <c r="B5" s="283"/>
    </row>
    <row r="6" spans="1:10" ht="19.95" customHeight="1">
      <c r="A6" s="209" t="s">
        <v>66</v>
      </c>
      <c r="B6" s="56"/>
      <c r="C6" s="56"/>
      <c r="D6" s="56"/>
      <c r="E6" s="56"/>
      <c r="F6" s="56"/>
      <c r="G6" s="56"/>
      <c r="H6" s="56"/>
      <c r="I6" s="56"/>
    </row>
    <row r="7" spans="1:10" s="57" customFormat="1" ht="19.95" customHeight="1">
      <c r="A7" s="112" t="s">
        <v>89</v>
      </c>
      <c r="B7" s="110"/>
      <c r="C7" s="111"/>
    </row>
    <row r="8" spans="1:10" s="57" customFormat="1" ht="19.95" customHeight="1">
      <c r="A8" s="289" t="s">
        <v>90</v>
      </c>
      <c r="B8" s="289"/>
      <c r="C8" s="289"/>
      <c r="D8" s="289"/>
      <c r="E8" s="289"/>
      <c r="F8" s="289"/>
      <c r="G8" s="277" t="s">
        <v>55</v>
      </c>
      <c r="H8" s="277"/>
      <c r="I8" s="277"/>
    </row>
    <row r="9" spans="1:10" s="57" customFormat="1" ht="19.95" customHeight="1">
      <c r="A9" s="276" t="s">
        <v>281</v>
      </c>
      <c r="B9" s="276"/>
      <c r="C9" s="276"/>
      <c r="D9" s="276"/>
      <c r="E9" s="276"/>
      <c r="F9" s="276"/>
      <c r="G9" s="278" t="s">
        <v>56</v>
      </c>
      <c r="H9" s="278"/>
      <c r="I9" s="278"/>
    </row>
    <row r="10" spans="1:10" s="57" customFormat="1" ht="19.95" customHeight="1">
      <c r="A10" s="276" t="s">
        <v>206</v>
      </c>
      <c r="B10" s="276"/>
      <c r="C10" s="276"/>
      <c r="D10" s="276"/>
      <c r="E10" s="276"/>
      <c r="F10" s="276"/>
      <c r="G10" s="278" t="s">
        <v>57</v>
      </c>
      <c r="H10" s="278"/>
      <c r="I10" s="278"/>
    </row>
    <row r="11" spans="1:10" s="57" customFormat="1" ht="19.95" customHeight="1">
      <c r="A11" s="276" t="s">
        <v>302</v>
      </c>
      <c r="B11" s="276"/>
      <c r="C11" s="276"/>
      <c r="D11" s="276"/>
      <c r="E11" s="276"/>
      <c r="F11" s="276"/>
      <c r="G11" s="278" t="s">
        <v>58</v>
      </c>
      <c r="H11" s="278"/>
      <c r="I11" s="278"/>
    </row>
    <row r="12" spans="1:10" s="57" customFormat="1" ht="19.95" customHeight="1">
      <c r="A12" s="276" t="s">
        <v>207</v>
      </c>
      <c r="B12" s="276"/>
      <c r="C12" s="276"/>
      <c r="D12" s="276"/>
      <c r="E12" s="276"/>
      <c r="F12" s="276"/>
      <c r="G12" s="278" t="s">
        <v>300</v>
      </c>
      <c r="H12" s="278"/>
      <c r="I12" s="278"/>
    </row>
    <row r="13" spans="1:10" s="57" customFormat="1" ht="19.95" customHeight="1">
      <c r="A13" s="276" t="s">
        <v>303</v>
      </c>
      <c r="B13" s="276"/>
      <c r="C13" s="276"/>
      <c r="D13" s="276"/>
      <c r="E13" s="276"/>
      <c r="F13" s="276"/>
      <c r="G13" s="278" t="s">
        <v>301</v>
      </c>
      <c r="H13" s="278"/>
      <c r="I13" s="278"/>
    </row>
    <row r="14" spans="1:10" s="57" customFormat="1" ht="19.95" customHeight="1">
      <c r="A14" s="283" t="s">
        <v>59</v>
      </c>
      <c r="B14" s="283"/>
      <c r="C14" s="59"/>
    </row>
    <row r="15" spans="1:10" s="57" customFormat="1" ht="19.95" customHeight="1">
      <c r="A15" s="281" t="s">
        <v>97</v>
      </c>
      <c r="B15" s="282" t="s">
        <v>310</v>
      </c>
      <c r="C15" s="279" t="s">
        <v>99</v>
      </c>
      <c r="D15" s="284" t="s">
        <v>98</v>
      </c>
      <c r="E15" s="285"/>
      <c r="F15" s="285"/>
      <c r="G15" s="285"/>
      <c r="H15" s="285"/>
      <c r="I15" s="280" t="s">
        <v>170</v>
      </c>
    </row>
    <row r="16" spans="1:10" s="57" customFormat="1" ht="19.95" customHeight="1">
      <c r="A16" s="281"/>
      <c r="B16" s="282"/>
      <c r="C16" s="279"/>
      <c r="D16" s="210" t="s">
        <v>93</v>
      </c>
      <c r="E16" s="210" t="s">
        <v>94</v>
      </c>
      <c r="F16" s="210" t="s">
        <v>95</v>
      </c>
      <c r="G16" s="210" t="s">
        <v>96</v>
      </c>
      <c r="H16" s="210" t="s">
        <v>110</v>
      </c>
      <c r="I16" s="280"/>
      <c r="J16" s="266" t="s">
        <v>309</v>
      </c>
    </row>
    <row r="17" spans="1:10" ht="43.8" customHeight="1">
      <c r="A17" s="208" t="s">
        <v>102</v>
      </c>
      <c r="B17" s="113" t="s">
        <v>208</v>
      </c>
      <c r="C17" s="60" t="s">
        <v>101</v>
      </c>
      <c r="D17" s="106" t="s">
        <v>117</v>
      </c>
      <c r="E17" s="106" t="s">
        <v>117</v>
      </c>
      <c r="F17" s="119" t="s">
        <v>117</v>
      </c>
      <c r="G17" s="107"/>
      <c r="H17" s="107"/>
      <c r="I17" s="107" t="s">
        <v>293</v>
      </c>
    </row>
    <row r="18" spans="1:10" s="61" customFormat="1" ht="49.8" customHeight="1">
      <c r="A18" s="208" t="s">
        <v>60</v>
      </c>
      <c r="B18" s="115" t="s">
        <v>107</v>
      </c>
      <c r="C18" s="60" t="s">
        <v>101</v>
      </c>
      <c r="D18" s="107"/>
      <c r="E18" s="119" t="s">
        <v>118</v>
      </c>
      <c r="F18" s="106" t="s">
        <v>118</v>
      </c>
      <c r="G18" s="107"/>
      <c r="H18" s="107"/>
      <c r="I18" s="267" t="s">
        <v>103</v>
      </c>
      <c r="J18" s="177" t="s">
        <v>171</v>
      </c>
    </row>
    <row r="19" spans="1:10" ht="31.2" customHeight="1">
      <c r="A19" s="208" t="s">
        <v>61</v>
      </c>
      <c r="B19" s="113" t="s">
        <v>282</v>
      </c>
      <c r="C19" s="60" t="s">
        <v>104</v>
      </c>
      <c r="D19" s="107"/>
      <c r="E19" s="107"/>
      <c r="F19" s="107"/>
      <c r="G19" s="106" t="s">
        <v>118</v>
      </c>
      <c r="H19" s="107"/>
      <c r="I19" s="107"/>
      <c r="J19" s="178" t="s">
        <v>172</v>
      </c>
    </row>
    <row r="20" spans="1:10" ht="34.200000000000003" customHeight="1">
      <c r="A20" s="208" t="s">
        <v>62</v>
      </c>
      <c r="B20" s="115" t="s">
        <v>108</v>
      </c>
      <c r="C20" s="116" t="s">
        <v>109</v>
      </c>
      <c r="D20" s="118" t="s">
        <v>124</v>
      </c>
      <c r="E20" s="118" t="s">
        <v>106</v>
      </c>
      <c r="F20" s="118" t="s">
        <v>106</v>
      </c>
      <c r="G20" s="118"/>
      <c r="H20" s="117"/>
      <c r="I20" s="107" t="s">
        <v>293</v>
      </c>
    </row>
    <row r="21" spans="1:10" ht="99.6" customHeight="1">
      <c r="A21" s="208" t="s">
        <v>63</v>
      </c>
      <c r="B21" s="211" t="s">
        <v>283</v>
      </c>
      <c r="C21" s="181" t="s">
        <v>173</v>
      </c>
      <c r="D21" s="179" t="s">
        <v>105</v>
      </c>
      <c r="E21" s="114"/>
      <c r="F21" s="114" t="s">
        <v>106</v>
      </c>
      <c r="G21" s="114" t="s">
        <v>105</v>
      </c>
      <c r="H21" s="180"/>
      <c r="I21" s="180" t="s">
        <v>294</v>
      </c>
      <c r="J21" s="139"/>
    </row>
    <row r="22" spans="1:10" ht="115.2" customHeight="1">
      <c r="A22" s="208" t="s">
        <v>64</v>
      </c>
      <c r="B22" s="212" t="s">
        <v>209</v>
      </c>
      <c r="C22" s="60" t="s">
        <v>104</v>
      </c>
      <c r="D22" s="179" t="s">
        <v>105</v>
      </c>
      <c r="E22" s="114"/>
      <c r="F22" s="114" t="s">
        <v>106</v>
      </c>
      <c r="G22" s="114" t="s">
        <v>105</v>
      </c>
      <c r="H22" s="180"/>
      <c r="I22" s="180"/>
      <c r="J22" s="139"/>
    </row>
    <row r="23" spans="1:10" ht="117.6" customHeight="1">
      <c r="A23" s="208" t="s">
        <v>121</v>
      </c>
      <c r="B23" s="212" t="s">
        <v>285</v>
      </c>
      <c r="C23" s="60" t="s">
        <v>104</v>
      </c>
      <c r="D23" s="179" t="s">
        <v>105</v>
      </c>
      <c r="E23" s="114"/>
      <c r="F23" s="114" t="s">
        <v>106</v>
      </c>
      <c r="G23" s="114" t="s">
        <v>105</v>
      </c>
      <c r="H23" s="180"/>
      <c r="I23" s="180" t="s">
        <v>291</v>
      </c>
      <c r="J23" s="139"/>
    </row>
    <row r="24" spans="1:10" ht="37.200000000000003" customHeight="1">
      <c r="A24" s="208" t="s">
        <v>122</v>
      </c>
      <c r="B24" s="115" t="s">
        <v>123</v>
      </c>
      <c r="C24" s="60" t="s">
        <v>104</v>
      </c>
      <c r="D24" s="114" t="s">
        <v>100</v>
      </c>
      <c r="E24" s="114" t="s">
        <v>100</v>
      </c>
      <c r="F24" s="119" t="s">
        <v>119</v>
      </c>
      <c r="G24" s="114"/>
      <c r="H24" s="107"/>
      <c r="I24" s="107" t="s">
        <v>149</v>
      </c>
      <c r="J24" s="222"/>
    </row>
    <row r="25" spans="1:10" ht="48.6" customHeight="1">
      <c r="A25" s="208" t="s">
        <v>210</v>
      </c>
      <c r="B25" s="120" t="s">
        <v>120</v>
      </c>
      <c r="C25" s="118" t="s">
        <v>284</v>
      </c>
      <c r="D25" s="106"/>
      <c r="E25" s="106"/>
      <c r="F25" s="106"/>
      <c r="G25" s="106"/>
      <c r="H25" s="121"/>
      <c r="I25" s="107"/>
    </row>
    <row r="26" spans="1:10" ht="28.2" customHeight="1">
      <c r="A26" s="208" t="s">
        <v>211</v>
      </c>
      <c r="B26" s="221" t="s">
        <v>216</v>
      </c>
      <c r="C26" s="60" t="s">
        <v>101</v>
      </c>
      <c r="D26" s="114"/>
      <c r="E26" s="114"/>
      <c r="F26" s="114"/>
      <c r="G26" s="114"/>
      <c r="H26" s="114" t="s">
        <v>106</v>
      </c>
      <c r="I26" s="182" t="s">
        <v>174</v>
      </c>
    </row>
  </sheetData>
  <mergeCells count="21">
    <mergeCell ref="A1:I1"/>
    <mergeCell ref="A2:I2"/>
    <mergeCell ref="A5:B5"/>
    <mergeCell ref="A8:F8"/>
    <mergeCell ref="A9:F9"/>
    <mergeCell ref="C15:C16"/>
    <mergeCell ref="I15:I16"/>
    <mergeCell ref="A15:A16"/>
    <mergeCell ref="B15:B16"/>
    <mergeCell ref="A14:B14"/>
    <mergeCell ref="D15:H15"/>
    <mergeCell ref="A13:F13"/>
    <mergeCell ref="G8:I8"/>
    <mergeCell ref="G9:I9"/>
    <mergeCell ref="G10:I10"/>
    <mergeCell ref="G11:I11"/>
    <mergeCell ref="G12:I12"/>
    <mergeCell ref="G13:I13"/>
    <mergeCell ref="A10:F10"/>
    <mergeCell ref="A11:F11"/>
    <mergeCell ref="A12:F12"/>
  </mergeCells>
  <phoneticPr fontId="33" type="noConversion"/>
  <hyperlinks>
    <hyperlink ref="I3" location="底稿目录!A1" display="底稿目录!A1"/>
  </hyperlinks>
  <printOptions horizontalCentered="1"/>
  <pageMargins left="0.7" right="0.7" top="0.75" bottom="0.75" header="0.3" footer="0.3"/>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7"/>
  <sheetViews>
    <sheetView view="pageBreakPreview" zoomScaleSheetLayoutView="100" workbookViewId="0">
      <selection sqref="A1:K1"/>
    </sheetView>
  </sheetViews>
  <sheetFormatPr defaultColWidth="9" defaultRowHeight="13.8"/>
  <cols>
    <col min="1" max="1" width="29.69921875" style="5" customWidth="1"/>
    <col min="2" max="2" width="15.5" style="5" customWidth="1"/>
    <col min="3" max="3" width="13.09765625" style="5" customWidth="1"/>
    <col min="4" max="4" width="11" style="5" customWidth="1"/>
    <col min="5" max="5" width="11.796875" style="5" customWidth="1"/>
    <col min="6" max="6" width="8.59765625" style="5" customWidth="1"/>
    <col min="7" max="10" width="14.69921875" style="5" customWidth="1"/>
    <col min="11" max="11" width="13.69921875" style="5" customWidth="1"/>
    <col min="12" max="16384" width="9" style="5"/>
  </cols>
  <sheetData>
    <row r="1" spans="1:11" s="27" customFormat="1" ht="19.95" customHeight="1">
      <c r="A1" s="290" t="s">
        <v>16</v>
      </c>
      <c r="B1" s="290"/>
      <c r="C1" s="290"/>
      <c r="D1" s="290"/>
      <c r="E1" s="290"/>
      <c r="F1" s="290"/>
      <c r="G1" s="290"/>
      <c r="H1" s="290"/>
      <c r="I1" s="290"/>
      <c r="J1" s="290"/>
      <c r="K1" s="290"/>
    </row>
    <row r="2" spans="1:11" s="3" customFormat="1" ht="19.95" customHeight="1">
      <c r="A2" s="291" t="s">
        <v>46</v>
      </c>
      <c r="B2" s="292"/>
      <c r="C2" s="292"/>
      <c r="D2" s="292"/>
      <c r="E2" s="292"/>
      <c r="F2" s="292"/>
      <c r="G2" s="292"/>
      <c r="H2" s="292"/>
      <c r="I2" s="292"/>
      <c r="J2" s="292"/>
      <c r="K2" s="292"/>
    </row>
    <row r="3" spans="1:11" ht="19.95" customHeight="1">
      <c r="A3" s="4" t="str">
        <f>底稿目录!A2</f>
        <v>被审计单位：</v>
      </c>
      <c r="C3" s="4" t="str">
        <f>底稿目录!A4</f>
        <v>编制人：</v>
      </c>
      <c r="H3" s="4" t="str">
        <f>底稿目录!A5</f>
        <v>编制日期：</v>
      </c>
      <c r="I3" s="4"/>
      <c r="J3" s="92" t="s">
        <v>84</v>
      </c>
      <c r="K3" s="260" t="str">
        <f>底稿目录!F5</f>
        <v>K10-1</v>
      </c>
    </row>
    <row r="4" spans="1:11" ht="19.95" customHeight="1">
      <c r="A4" s="4" t="str">
        <f>底稿目录!A3</f>
        <v>会计期间：202X年度</v>
      </c>
      <c r="C4" s="4" t="str">
        <f>底稿目录!A6</f>
        <v>复核人：</v>
      </c>
      <c r="H4" s="4" t="str">
        <f>底稿目录!A7</f>
        <v>复核日期：</v>
      </c>
      <c r="I4" s="4"/>
      <c r="J4" s="92" t="s">
        <v>278</v>
      </c>
      <c r="K4" s="4"/>
    </row>
    <row r="5" spans="1:11" ht="19.95" customHeight="1">
      <c r="A5" s="30" t="s">
        <v>313</v>
      </c>
      <c r="B5" s="30" t="s">
        <v>29</v>
      </c>
      <c r="C5" s="38" t="s">
        <v>38</v>
      </c>
      <c r="D5" s="38" t="s">
        <v>39</v>
      </c>
      <c r="E5" s="30" t="s">
        <v>43</v>
      </c>
      <c r="F5" s="38" t="s">
        <v>40</v>
      </c>
      <c r="G5" s="30" t="s">
        <v>44</v>
      </c>
      <c r="H5" s="38" t="s">
        <v>38</v>
      </c>
      <c r="I5" s="38" t="s">
        <v>39</v>
      </c>
      <c r="J5" s="30" t="s">
        <v>45</v>
      </c>
      <c r="K5" s="38" t="s">
        <v>41</v>
      </c>
    </row>
    <row r="6" spans="1:11" ht="19.95" customHeight="1">
      <c r="A6" s="273" t="str">
        <f>'明细表K10-2'!A11</f>
        <v>总额法下与日常活动相关的政府补助</v>
      </c>
      <c r="B6" s="93">
        <f>'明细表K10-2'!D11</f>
        <v>0</v>
      </c>
      <c r="C6" s="93">
        <f>'明细表K10-2'!E11</f>
        <v>0</v>
      </c>
      <c r="D6" s="93">
        <f>'明细表K10-2'!F11</f>
        <v>0</v>
      </c>
      <c r="E6" s="93">
        <f>B6+C6+D6</f>
        <v>0</v>
      </c>
      <c r="F6" s="6"/>
      <c r="G6" s="93">
        <f>'明细表K10-2'!H11</f>
        <v>0</v>
      </c>
      <c r="H6" s="93">
        <f>'明细表K10-2'!I11</f>
        <v>0</v>
      </c>
      <c r="I6" s="93">
        <f>'明细表K10-2'!J11</f>
        <v>0</v>
      </c>
      <c r="J6" s="94">
        <f>G6+H6+I6</f>
        <v>0</v>
      </c>
      <c r="K6" s="6"/>
    </row>
    <row r="7" spans="1:11" ht="19.95" customHeight="1">
      <c r="A7" s="273" t="str">
        <f>'明细表K10-2'!A12</f>
        <v>增值税进项税额加计抵减（实际缴纳时）</v>
      </c>
      <c r="B7" s="93">
        <f>'明细表K10-2'!D12</f>
        <v>0</v>
      </c>
      <c r="C7" s="93">
        <f>'明细表K10-2'!E12</f>
        <v>0</v>
      </c>
      <c r="D7" s="93">
        <f>'明细表K10-2'!F12</f>
        <v>0</v>
      </c>
      <c r="E7" s="93">
        <f t="shared" ref="E7:E10" si="0">B7+C7+D7</f>
        <v>0</v>
      </c>
      <c r="F7" s="6"/>
      <c r="G7" s="93">
        <f>'明细表K10-2'!H12</f>
        <v>0</v>
      </c>
      <c r="H7" s="93">
        <f>'明细表K10-2'!I12</f>
        <v>0</v>
      </c>
      <c r="I7" s="93">
        <f>'明细表K10-2'!J12</f>
        <v>0</v>
      </c>
      <c r="J7" s="94">
        <f t="shared" ref="J7:J11" si="1">G7+H7+I7</f>
        <v>0</v>
      </c>
      <c r="K7" s="6"/>
    </row>
    <row r="8" spans="1:11" ht="19.95" customHeight="1">
      <c r="A8" s="273" t="str">
        <f>'明细表K10-2'!A13</f>
        <v>增值税直接减免</v>
      </c>
      <c r="B8" s="93">
        <f>'明细表K10-2'!D13</f>
        <v>0</v>
      </c>
      <c r="C8" s="93">
        <f>'明细表K10-2'!E13</f>
        <v>0</v>
      </c>
      <c r="D8" s="93">
        <f>'明细表K10-2'!F13</f>
        <v>0</v>
      </c>
      <c r="E8" s="93">
        <f t="shared" si="0"/>
        <v>0</v>
      </c>
      <c r="F8" s="7"/>
      <c r="G8" s="93">
        <f>'明细表K10-2'!H13</f>
        <v>0</v>
      </c>
      <c r="H8" s="93">
        <f>'明细表K10-2'!I13</f>
        <v>0</v>
      </c>
      <c r="I8" s="93">
        <f>'明细表K10-2'!J13</f>
        <v>0</v>
      </c>
      <c r="J8" s="94">
        <f t="shared" si="1"/>
        <v>0</v>
      </c>
      <c r="K8" s="6"/>
    </row>
    <row r="9" spans="1:11" ht="19.95" customHeight="1">
      <c r="A9" s="273" t="str">
        <f>'明细表K10-2'!A14</f>
        <v>个人所得税扣缴税款手续费返还</v>
      </c>
      <c r="B9" s="93">
        <f>'明细表K10-2'!D14</f>
        <v>0</v>
      </c>
      <c r="C9" s="93">
        <f>'明细表K10-2'!E14</f>
        <v>0</v>
      </c>
      <c r="D9" s="93">
        <f>'明细表K10-2'!F14</f>
        <v>0</v>
      </c>
      <c r="E9" s="93">
        <f t="shared" si="0"/>
        <v>0</v>
      </c>
      <c r="F9" s="7"/>
      <c r="G9" s="93">
        <f>'明细表K10-2'!H14</f>
        <v>0</v>
      </c>
      <c r="H9" s="93">
        <f>'明细表K10-2'!I14</f>
        <v>0</v>
      </c>
      <c r="I9" s="93">
        <f>'明细表K10-2'!J14</f>
        <v>0</v>
      </c>
      <c r="J9" s="94">
        <f t="shared" si="1"/>
        <v>0</v>
      </c>
      <c r="K9" s="6"/>
    </row>
    <row r="10" spans="1:11" ht="19.95" customHeight="1">
      <c r="A10" s="273" t="str">
        <f>'明细表K10-2'!A15</f>
        <v>债务人以非金融资产清偿债务损益</v>
      </c>
      <c r="B10" s="93">
        <f>'明细表K10-2'!D15</f>
        <v>0</v>
      </c>
      <c r="C10" s="93">
        <f>'明细表K10-2'!E15</f>
        <v>0</v>
      </c>
      <c r="D10" s="93">
        <f>'明细表K10-2'!F15</f>
        <v>0</v>
      </c>
      <c r="E10" s="93">
        <f t="shared" si="0"/>
        <v>0</v>
      </c>
      <c r="F10" s="6"/>
      <c r="G10" s="93">
        <f>'明细表K10-2'!H15</f>
        <v>0</v>
      </c>
      <c r="H10" s="93">
        <f>'明细表K10-2'!I15</f>
        <v>0</v>
      </c>
      <c r="I10" s="93">
        <f>'明细表K10-2'!J15</f>
        <v>0</v>
      </c>
      <c r="J10" s="94">
        <f t="shared" si="1"/>
        <v>0</v>
      </c>
      <c r="K10" s="6"/>
    </row>
    <row r="11" spans="1:11" ht="19.95" customHeight="1">
      <c r="A11" s="273" t="str">
        <f>'明细表K10-2'!A16</f>
        <v>……</v>
      </c>
      <c r="B11" s="93">
        <f>'明细表K10-2'!D16</f>
        <v>0</v>
      </c>
      <c r="C11" s="93">
        <f>'明细表K10-2'!E16</f>
        <v>0</v>
      </c>
      <c r="D11" s="93">
        <f>'明细表K10-2'!F16</f>
        <v>0</v>
      </c>
      <c r="E11" s="93">
        <f t="shared" ref="E11" si="2">B11+C11+D11</f>
        <v>0</v>
      </c>
      <c r="F11" s="7"/>
      <c r="G11" s="93">
        <f>'明细表K10-2'!H16</f>
        <v>0</v>
      </c>
      <c r="H11" s="93">
        <f>'明细表K10-2'!I16</f>
        <v>0</v>
      </c>
      <c r="I11" s="93">
        <f>'明细表K10-2'!J16</f>
        <v>0</v>
      </c>
      <c r="J11" s="94">
        <f t="shared" si="1"/>
        <v>0</v>
      </c>
      <c r="K11" s="6"/>
    </row>
    <row r="12" spans="1:11" s="8" customFormat="1" ht="19.95" customHeight="1">
      <c r="A12" s="46" t="s">
        <v>21</v>
      </c>
      <c r="B12" s="94">
        <f>SUM(B6:B11)</f>
        <v>0</v>
      </c>
      <c r="C12" s="94">
        <f t="shared" ref="C12:G12" si="3">SUM(C6:C11)</f>
        <v>0</v>
      </c>
      <c r="D12" s="94">
        <f t="shared" si="3"/>
        <v>0</v>
      </c>
      <c r="E12" s="94">
        <f t="shared" si="3"/>
        <v>0</v>
      </c>
      <c r="F12" s="6"/>
      <c r="G12" s="94">
        <f t="shared" si="3"/>
        <v>0</v>
      </c>
      <c r="H12" s="94">
        <f t="shared" ref="H12" si="4">SUM(H6:H11)</f>
        <v>0</v>
      </c>
      <c r="I12" s="94">
        <f t="shared" ref="I12" si="5">SUM(I6:I11)</f>
        <v>0</v>
      </c>
      <c r="J12" s="94">
        <f t="shared" ref="J12" si="6">SUM(J6:J11)</f>
        <v>0</v>
      </c>
      <c r="K12" s="6"/>
    </row>
    <row r="13" spans="1:11" ht="19.95" customHeight="1">
      <c r="A13" s="63" t="s">
        <v>67</v>
      </c>
      <c r="B13" s="64"/>
      <c r="C13" s="64"/>
      <c r="D13" s="64"/>
      <c r="E13" s="95"/>
      <c r="F13" s="64"/>
      <c r="G13" s="64"/>
      <c r="H13" s="64"/>
      <c r="I13" s="64"/>
      <c r="J13" s="95"/>
    </row>
    <row r="14" spans="1:11" ht="19.95" customHeight="1">
      <c r="A14" s="63" t="s">
        <v>68</v>
      </c>
      <c r="B14" s="64"/>
      <c r="C14" s="64"/>
      <c r="D14" s="64"/>
      <c r="E14" s="95">
        <f>E12-E13</f>
        <v>0</v>
      </c>
      <c r="F14" s="64"/>
      <c r="G14" s="64"/>
      <c r="H14" s="64"/>
      <c r="I14" s="64"/>
      <c r="J14" s="95">
        <f>J12-J13</f>
        <v>0</v>
      </c>
    </row>
    <row r="15" spans="1:11" s="225" customFormat="1" ht="19.95" customHeight="1">
      <c r="A15" s="226" t="s">
        <v>227</v>
      </c>
      <c r="B15" s="64"/>
      <c r="C15" s="64"/>
      <c r="D15" s="64"/>
      <c r="E15" s="224"/>
      <c r="F15" s="64"/>
      <c r="G15" s="64"/>
      <c r="H15" s="64"/>
      <c r="I15" s="64"/>
      <c r="J15" s="224"/>
    </row>
    <row r="16" spans="1:11" s="225" customFormat="1" ht="19.95" customHeight="1">
      <c r="A16" s="226"/>
      <c r="B16" s="64"/>
      <c r="C16" s="64"/>
      <c r="D16" s="64"/>
      <c r="E16" s="224"/>
      <c r="F16" s="64"/>
      <c r="G16" s="64"/>
      <c r="H16" s="64"/>
      <c r="I16" s="64"/>
      <c r="J16" s="224"/>
    </row>
    <row r="17" spans="1:11" s="225" customFormat="1" ht="19.95" customHeight="1">
      <c r="A17" s="226"/>
      <c r="B17" s="64"/>
      <c r="C17" s="64"/>
      <c r="D17" s="64"/>
      <c r="E17" s="224"/>
      <c r="F17" s="64"/>
      <c r="G17" s="64"/>
      <c r="H17" s="64"/>
      <c r="I17" s="64"/>
      <c r="J17" s="224"/>
    </row>
    <row r="18" spans="1:11" s="225" customFormat="1" ht="19.95" customHeight="1">
      <c r="A18" s="226" t="s">
        <v>228</v>
      </c>
      <c r="B18" s="64"/>
      <c r="C18" s="64"/>
      <c r="D18" s="64"/>
      <c r="E18" s="224"/>
      <c r="F18" s="64"/>
      <c r="G18" s="64"/>
      <c r="H18" s="64"/>
      <c r="I18" s="64"/>
      <c r="J18" s="224"/>
    </row>
    <row r="19" spans="1:11" s="225" customFormat="1" ht="19.95" customHeight="1">
      <c r="A19" s="63"/>
      <c r="B19" s="64"/>
      <c r="C19" s="64"/>
      <c r="D19" s="64"/>
      <c r="E19" s="224"/>
      <c r="F19" s="64"/>
      <c r="G19" s="64"/>
      <c r="H19" s="64"/>
      <c r="I19" s="64"/>
      <c r="J19" s="224"/>
    </row>
    <row r="20" spans="1:11" ht="18" customHeight="1">
      <c r="A20" s="223" t="s">
        <v>217</v>
      </c>
    </row>
    <row r="21" spans="1:11" ht="33.6" customHeight="1">
      <c r="A21" s="293" t="s">
        <v>218</v>
      </c>
      <c r="B21" s="293"/>
      <c r="C21" s="293"/>
      <c r="D21" s="293"/>
      <c r="E21" s="293"/>
      <c r="F21" s="293"/>
      <c r="G21" s="293"/>
      <c r="H21" s="293"/>
      <c r="I21" s="293"/>
      <c r="J21" s="293"/>
      <c r="K21" s="293"/>
    </row>
    <row r="22" spans="1:11" ht="16.2" customHeight="1">
      <c r="A22" s="23" t="s">
        <v>225</v>
      </c>
      <c r="B22" s="23" t="s">
        <v>220</v>
      </c>
      <c r="C22" s="23" t="s">
        <v>219</v>
      </c>
      <c r="D22" s="23" t="s">
        <v>221</v>
      </c>
      <c r="E22" s="23" t="s">
        <v>220</v>
      </c>
      <c r="F22" s="23" t="s">
        <v>221</v>
      </c>
      <c r="G22" s="23" t="s">
        <v>221</v>
      </c>
      <c r="H22" s="23" t="s">
        <v>219</v>
      </c>
      <c r="I22" s="23" t="s">
        <v>221</v>
      </c>
      <c r="J22" s="23" t="s">
        <v>220</v>
      </c>
      <c r="K22" s="23" t="s">
        <v>219</v>
      </c>
    </row>
    <row r="23" spans="1:11" ht="16.2" customHeight="1">
      <c r="A23" s="23" t="s">
        <v>226</v>
      </c>
      <c r="B23" s="23" t="s">
        <v>223</v>
      </c>
      <c r="C23" s="23" t="s">
        <v>224</v>
      </c>
      <c r="D23" s="23" t="s">
        <v>223</v>
      </c>
      <c r="E23" s="23" t="s">
        <v>223</v>
      </c>
      <c r="F23" s="23" t="s">
        <v>224</v>
      </c>
      <c r="G23" s="23" t="s">
        <v>224</v>
      </c>
      <c r="H23" s="23" t="s">
        <v>222</v>
      </c>
      <c r="I23" s="23" t="s">
        <v>222</v>
      </c>
      <c r="J23" s="23" t="s">
        <v>222</v>
      </c>
      <c r="K23" s="23" t="s">
        <v>222</v>
      </c>
    </row>
    <row r="24" spans="1:11" ht="70.5" customHeight="1">
      <c r="A24" s="293"/>
      <c r="B24" s="293"/>
      <c r="C24" s="293"/>
      <c r="D24" s="293"/>
      <c r="E24" s="293"/>
      <c r="F24" s="293"/>
      <c r="G24" s="293"/>
      <c r="H24" s="293"/>
      <c r="I24" s="293"/>
      <c r="J24" s="293"/>
      <c r="K24" s="293"/>
    </row>
    <row r="25" spans="1:11">
      <c r="A25" s="186"/>
      <c r="B25" s="186"/>
      <c r="C25" s="186"/>
      <c r="D25" s="186"/>
      <c r="E25" s="186"/>
      <c r="F25" s="186"/>
      <c r="G25" s="186"/>
      <c r="H25" s="186"/>
      <c r="I25" s="186"/>
      <c r="J25" s="186"/>
      <c r="K25" s="186"/>
    </row>
    <row r="26" spans="1:11">
      <c r="A26" s="186"/>
      <c r="B26" s="186"/>
      <c r="C26" s="186"/>
      <c r="D26" s="186"/>
      <c r="E26" s="186"/>
      <c r="F26" s="186"/>
      <c r="G26" s="186"/>
      <c r="H26" s="186"/>
      <c r="I26" s="186"/>
      <c r="J26" s="186"/>
      <c r="K26" s="186"/>
    </row>
    <row r="27" spans="1:11">
      <c r="A27" s="186"/>
      <c r="B27" s="186"/>
      <c r="C27" s="186"/>
      <c r="D27" s="186"/>
      <c r="E27" s="186"/>
      <c r="F27" s="186"/>
      <c r="G27" s="186"/>
      <c r="H27" s="186"/>
      <c r="I27" s="186"/>
      <c r="J27" s="186"/>
      <c r="K27" s="186"/>
    </row>
  </sheetData>
  <mergeCells count="4">
    <mergeCell ref="A1:K1"/>
    <mergeCell ref="A2:K2"/>
    <mergeCell ref="A24:K24"/>
    <mergeCell ref="A21:K21"/>
  </mergeCells>
  <phoneticPr fontId="12" type="noConversion"/>
  <hyperlinks>
    <hyperlink ref="K3" location="底稿目录!A1" display="底稿目录!A1"/>
  </hyperlinks>
  <printOptions horizontalCentered="1"/>
  <pageMargins left="0.55118110236220474" right="0.39370078740157483" top="0.62992125984251968" bottom="0.43307086614173229" header="0.51181102362204722" footer="0.31496062992125984"/>
  <pageSetup paperSize="9" scale="79" orientation="landscape"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39"/>
  <sheetViews>
    <sheetView view="pageBreakPreview" zoomScale="85" zoomScaleSheetLayoutView="85" workbookViewId="0">
      <selection activeCell="C13" sqref="C13"/>
    </sheetView>
  </sheetViews>
  <sheetFormatPr defaultColWidth="9" defaultRowHeight="13.8"/>
  <cols>
    <col min="1" max="1" width="36.5" style="12" customWidth="1"/>
    <col min="2" max="2" width="17.3984375" style="12" customWidth="1"/>
    <col min="3" max="3" width="23" style="12" customWidth="1"/>
    <col min="4" max="4" width="26.5" style="12" customWidth="1"/>
    <col min="5" max="5" width="10.59765625" style="12" customWidth="1"/>
    <col min="6" max="16384" width="9" style="12"/>
  </cols>
  <sheetData>
    <row r="1" spans="1:17" s="27" customFormat="1" ht="19.95" customHeight="1">
      <c r="A1" s="290" t="s">
        <v>16</v>
      </c>
      <c r="B1" s="290"/>
      <c r="C1" s="290"/>
      <c r="D1" s="290"/>
      <c r="E1" s="290"/>
      <c r="F1" s="29"/>
      <c r="G1" s="29"/>
      <c r="H1" s="29"/>
      <c r="I1" s="29"/>
      <c r="J1" s="29"/>
      <c r="K1" s="29"/>
      <c r="L1" s="29"/>
      <c r="M1" s="29"/>
      <c r="N1" s="29"/>
      <c r="O1" s="29"/>
      <c r="P1" s="29"/>
      <c r="Q1" s="29"/>
    </row>
    <row r="2" spans="1:17" s="3" customFormat="1" ht="19.95" customHeight="1">
      <c r="A2" s="291" t="s">
        <v>50</v>
      </c>
      <c r="B2" s="292"/>
      <c r="C2" s="292"/>
      <c r="D2" s="292"/>
      <c r="E2" s="292"/>
      <c r="F2" s="44"/>
      <c r="G2" s="44"/>
      <c r="H2" s="44"/>
      <c r="I2" s="44"/>
      <c r="J2" s="44"/>
      <c r="K2" s="294"/>
      <c r="L2" s="294"/>
      <c r="M2" s="294"/>
      <c r="N2" s="294"/>
      <c r="O2" s="294"/>
      <c r="P2" s="294"/>
      <c r="Q2" s="294"/>
    </row>
    <row r="3" spans="1:17" ht="19.95" customHeight="1">
      <c r="A3" s="11" t="str">
        <f>底稿目录!A2</f>
        <v>被审计单位：</v>
      </c>
      <c r="B3" s="11" t="str">
        <f>底稿目录!A4</f>
        <v>编制人：</v>
      </c>
      <c r="C3" s="11" t="str">
        <f>底稿目录!A5</f>
        <v>编制日期：</v>
      </c>
      <c r="D3" s="96" t="s">
        <v>84</v>
      </c>
      <c r="E3" s="172">
        <f>底稿目录!F6</f>
        <v>0</v>
      </c>
      <c r="O3" s="11"/>
      <c r="P3" s="11"/>
      <c r="Q3" s="11"/>
    </row>
    <row r="4" spans="1:17" ht="19.95" customHeight="1">
      <c r="A4" s="11" t="str">
        <f>底稿目录!A3</f>
        <v>会计期间：202X年度</v>
      </c>
      <c r="B4" s="11" t="str">
        <f>底稿目录!A6</f>
        <v>复核人：</v>
      </c>
      <c r="C4" s="11" t="str">
        <f>底稿目录!A7</f>
        <v>复核日期：</v>
      </c>
      <c r="D4" s="97" t="s">
        <v>17</v>
      </c>
      <c r="E4" s="11"/>
      <c r="H4" s="11"/>
      <c r="O4" s="11"/>
      <c r="P4" s="11"/>
      <c r="Q4" s="11"/>
    </row>
    <row r="5" spans="1:17" ht="19.95" customHeight="1">
      <c r="A5" s="13" t="s">
        <v>79</v>
      </c>
    </row>
    <row r="6" spans="1:17" s="74" customFormat="1" ht="19.95" customHeight="1" thickBot="1">
      <c r="A6" s="72" t="s">
        <v>78</v>
      </c>
    </row>
    <row r="7" spans="1:17" s="74" customFormat="1" ht="19.95" customHeight="1" thickBot="1">
      <c r="A7" s="75" t="s">
        <v>80</v>
      </c>
      <c r="B7" s="76" t="s">
        <v>32</v>
      </c>
      <c r="C7" s="76" t="s">
        <v>33</v>
      </c>
      <c r="D7" s="89"/>
      <c r="E7" s="77"/>
    </row>
    <row r="8" spans="1:17" s="74" customFormat="1" ht="19.95" customHeight="1">
      <c r="A8" s="78" t="str">
        <f>'明细表K10-2'!A11</f>
        <v>总额法下与日常活动相关的政府补助</v>
      </c>
      <c r="B8" s="79">
        <f>'明细表K10-2'!G11</f>
        <v>0</v>
      </c>
      <c r="C8" s="79">
        <f>'明细表K10-2'!K11</f>
        <v>0</v>
      </c>
      <c r="D8" s="88"/>
      <c r="E8" s="77"/>
    </row>
    <row r="9" spans="1:17" s="74" customFormat="1" ht="19.95" customHeight="1">
      <c r="A9" s="78" t="str">
        <f>'明细表K10-2'!A12</f>
        <v>增值税进项税额加计抵减（实际缴纳时）</v>
      </c>
      <c r="B9" s="79">
        <f>'明细表K10-2'!G12</f>
        <v>0</v>
      </c>
      <c r="C9" s="79">
        <f>'明细表K10-2'!K12</f>
        <v>0</v>
      </c>
      <c r="D9" s="88"/>
      <c r="E9" s="77"/>
    </row>
    <row r="10" spans="1:17" s="74" customFormat="1" ht="19.95" customHeight="1">
      <c r="A10" s="78" t="str">
        <f>'明细表K10-2'!A13</f>
        <v>增值税直接减免</v>
      </c>
      <c r="B10" s="79">
        <f>'明细表K10-2'!G13</f>
        <v>0</v>
      </c>
      <c r="C10" s="79">
        <f>'明细表K10-2'!K13</f>
        <v>0</v>
      </c>
      <c r="D10" s="88"/>
      <c r="E10" s="77"/>
    </row>
    <row r="11" spans="1:17" s="74" customFormat="1" ht="19.95" customHeight="1">
      <c r="A11" s="78" t="str">
        <f>'明细表K10-2'!A14</f>
        <v>个人所得税扣缴税款手续费返还</v>
      </c>
      <c r="B11" s="79">
        <f>'明细表K10-2'!G14</f>
        <v>0</v>
      </c>
      <c r="C11" s="79">
        <f>'明细表K10-2'!K14</f>
        <v>0</v>
      </c>
      <c r="D11" s="88"/>
      <c r="E11" s="77"/>
    </row>
    <row r="12" spans="1:17" s="74" customFormat="1" ht="19.95" customHeight="1">
      <c r="A12" s="78" t="str">
        <f>'明细表K10-2'!A15</f>
        <v>债务人以非金融资产清偿债务损益</v>
      </c>
      <c r="B12" s="79">
        <f>'明细表K10-2'!G15</f>
        <v>0</v>
      </c>
      <c r="C12" s="79">
        <f>'明细表K10-2'!K15</f>
        <v>0</v>
      </c>
      <c r="D12" s="88"/>
      <c r="E12" s="77"/>
    </row>
    <row r="13" spans="1:17" s="74" customFormat="1" ht="19.95" customHeight="1">
      <c r="A13" s="78" t="str">
        <f>'明细表K10-2'!A16</f>
        <v>……</v>
      </c>
      <c r="B13" s="79">
        <f>'明细表K10-2'!G16</f>
        <v>0</v>
      </c>
      <c r="C13" s="79">
        <f>'明细表K10-2'!K16</f>
        <v>0</v>
      </c>
      <c r="D13" s="88"/>
      <c r="E13" s="77"/>
    </row>
    <row r="14" spans="1:17" s="74" customFormat="1" ht="19.95" customHeight="1" thickBot="1">
      <c r="A14" s="80" t="s">
        <v>35</v>
      </c>
      <c r="B14" s="81">
        <f>SUM(B8:B13)</f>
        <v>0</v>
      </c>
      <c r="C14" s="81">
        <f>SUM(C8:C13)</f>
        <v>0</v>
      </c>
      <c r="D14" s="88"/>
      <c r="E14" s="77"/>
    </row>
    <row r="15" spans="1:17" s="74" customFormat="1" ht="19.95" customHeight="1">
      <c r="A15" s="82" t="s">
        <v>37</v>
      </c>
    </row>
    <row r="16" spans="1:17" s="74" customFormat="1" ht="19.95" customHeight="1">
      <c r="A16" s="82" t="s">
        <v>81</v>
      </c>
    </row>
    <row r="17" spans="1:5" s="74" customFormat="1" ht="20.100000000000001" customHeight="1">
      <c r="A17" s="83"/>
    </row>
    <row r="18" spans="1:5" s="74" customFormat="1" ht="144" customHeight="1">
      <c r="A18" s="295" t="s">
        <v>82</v>
      </c>
      <c r="B18" s="295"/>
      <c r="C18" s="295"/>
      <c r="D18" s="295"/>
      <c r="E18" s="295"/>
    </row>
    <row r="21" spans="1:5" s="45" customFormat="1" ht="15.6">
      <c r="A21" s="12"/>
      <c r="B21" s="12"/>
      <c r="C21" s="12"/>
      <c r="D21" s="12"/>
      <c r="E21" s="12"/>
    </row>
    <row r="22" spans="1:5" s="45" customFormat="1" ht="15.6">
      <c r="A22" s="12"/>
      <c r="B22" s="12"/>
      <c r="C22" s="12"/>
      <c r="D22" s="12"/>
    </row>
    <row r="23" spans="1:5" s="45" customFormat="1" ht="15.6">
      <c r="A23" s="12"/>
      <c r="B23" s="12"/>
      <c r="C23" s="12"/>
      <c r="D23" s="12"/>
    </row>
    <row r="24" spans="1:5" s="45" customFormat="1" ht="15.6">
      <c r="A24" s="12"/>
      <c r="B24" s="12"/>
      <c r="C24" s="12"/>
      <c r="D24" s="12"/>
    </row>
    <row r="25" spans="1:5" s="45" customFormat="1" ht="15.6">
      <c r="A25" s="12"/>
      <c r="B25" s="12"/>
      <c r="C25" s="12"/>
      <c r="D25" s="12"/>
    </row>
    <row r="26" spans="1:5" s="45" customFormat="1" ht="15.6">
      <c r="A26" s="12"/>
      <c r="B26" s="12"/>
      <c r="C26" s="12"/>
      <c r="D26" s="12"/>
    </row>
    <row r="27" spans="1:5" s="45" customFormat="1" ht="15.6">
      <c r="A27" s="12"/>
      <c r="B27" s="12"/>
      <c r="C27" s="12"/>
      <c r="D27" s="12"/>
    </row>
    <row r="28" spans="1:5" s="45" customFormat="1" ht="15.6">
      <c r="A28" s="12"/>
      <c r="B28" s="12"/>
      <c r="C28" s="12"/>
      <c r="D28" s="12"/>
    </row>
    <row r="29" spans="1:5" s="45" customFormat="1" ht="15.6">
      <c r="A29" s="12"/>
      <c r="B29" s="12"/>
      <c r="C29" s="12"/>
      <c r="D29" s="12"/>
    </row>
    <row r="30" spans="1:5" s="45" customFormat="1" ht="15.6">
      <c r="A30" s="12"/>
      <c r="B30" s="12"/>
      <c r="C30" s="12"/>
      <c r="D30" s="12"/>
    </row>
    <row r="31" spans="1:5" s="45" customFormat="1" ht="15.6">
      <c r="A31" s="12"/>
      <c r="B31" s="12"/>
      <c r="C31" s="12"/>
      <c r="D31" s="12"/>
    </row>
    <row r="32" spans="1:5" s="45" customFormat="1" ht="15.6">
      <c r="A32" s="12"/>
      <c r="B32" s="12"/>
      <c r="C32" s="12"/>
      <c r="D32" s="12"/>
    </row>
    <row r="33" spans="1:4" s="45" customFormat="1" ht="40.5" customHeight="1">
      <c r="A33" s="12"/>
      <c r="B33" s="12"/>
      <c r="C33" s="12"/>
      <c r="D33" s="12"/>
    </row>
    <row r="34" spans="1:4" s="45" customFormat="1" ht="15.6">
      <c r="A34" s="12"/>
      <c r="B34" s="12"/>
      <c r="C34" s="12"/>
      <c r="D34" s="12"/>
    </row>
    <row r="35" spans="1:4" s="45" customFormat="1" ht="15.6">
      <c r="A35" s="12"/>
      <c r="B35" s="12"/>
      <c r="C35" s="12"/>
      <c r="D35" s="12"/>
    </row>
    <row r="36" spans="1:4" s="45" customFormat="1" ht="15.6">
      <c r="A36" s="12"/>
      <c r="B36" s="12"/>
      <c r="C36" s="12"/>
      <c r="D36" s="12"/>
    </row>
    <row r="37" spans="1:4" s="45" customFormat="1" ht="15.6">
      <c r="A37" s="12"/>
      <c r="B37" s="12"/>
      <c r="C37" s="12"/>
      <c r="D37" s="12"/>
    </row>
    <row r="38" spans="1:4" s="45" customFormat="1" ht="15.6">
      <c r="A38" s="12"/>
      <c r="B38" s="12"/>
      <c r="C38" s="12"/>
      <c r="D38" s="12"/>
    </row>
    <row r="39" spans="1:4" s="45" customFormat="1" ht="15.6"/>
  </sheetData>
  <mergeCells count="4">
    <mergeCell ref="A1:E1"/>
    <mergeCell ref="A2:E2"/>
    <mergeCell ref="K2:Q2"/>
    <mergeCell ref="A18:E18"/>
  </mergeCells>
  <phoneticPr fontId="12" type="noConversion"/>
  <printOptions horizontalCentered="1"/>
  <pageMargins left="0.70866141732283472" right="0.70866141732283472" top="0.74803149606299213" bottom="0.74803149606299213" header="0.31496062992125984" footer="0.31496062992125984"/>
  <pageSetup paperSize="9" scale="72" fitToHeight="100" orientation="portrait" blackAndWhite="1" cellComments="atEn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17"/>
  <sheetViews>
    <sheetView view="pageBreakPreview" zoomScaleSheetLayoutView="100" workbookViewId="0">
      <selection activeCell="G15" sqref="G15"/>
    </sheetView>
  </sheetViews>
  <sheetFormatPr defaultColWidth="9" defaultRowHeight="15.6"/>
  <cols>
    <col min="1" max="1" width="26.59765625" style="45" customWidth="1"/>
    <col min="2" max="2" width="15.59765625" style="45" customWidth="1"/>
    <col min="3" max="3" width="16.796875" style="45" customWidth="1"/>
    <col min="4" max="4" width="9.59765625" style="45" customWidth="1"/>
    <col min="5" max="5" width="4.8984375" style="45" customWidth="1"/>
    <col min="6" max="6" width="13.296875" style="45" customWidth="1"/>
    <col min="7" max="16384" width="9" style="45"/>
  </cols>
  <sheetData>
    <row r="1" spans="1:6" ht="19.95" customHeight="1">
      <c r="A1" s="290" t="s">
        <v>16</v>
      </c>
      <c r="B1" s="290"/>
      <c r="C1" s="290"/>
      <c r="D1" s="290"/>
      <c r="E1" s="290"/>
      <c r="F1" s="29"/>
    </row>
    <row r="2" spans="1:6" ht="19.95" customHeight="1">
      <c r="A2" s="291" t="s">
        <v>50</v>
      </c>
      <c r="B2" s="292"/>
      <c r="C2" s="292"/>
      <c r="D2" s="292"/>
      <c r="E2" s="292"/>
      <c r="F2" s="44"/>
    </row>
    <row r="3" spans="1:6" ht="19.95" customHeight="1">
      <c r="A3" s="11" t="str">
        <f>底稿目录!A2</f>
        <v>被审计单位：</v>
      </c>
      <c r="B3" s="11" t="str">
        <f>底稿目录!A4</f>
        <v>编制人：</v>
      </c>
      <c r="C3" s="11" t="str">
        <f>底稿目录!A5</f>
        <v>编制日期：</v>
      </c>
      <c r="D3" s="99" t="s">
        <v>84</v>
      </c>
      <c r="E3" s="172">
        <f>底稿目录!F7</f>
        <v>0</v>
      </c>
    </row>
    <row r="4" spans="1:6" ht="19.95" customHeight="1">
      <c r="A4" s="11" t="str">
        <f>底稿目录!A3</f>
        <v>会计期间：202X年度</v>
      </c>
      <c r="B4" s="11" t="str">
        <f>底稿目录!A6</f>
        <v>复核人：</v>
      </c>
      <c r="C4" s="11" t="str">
        <f>底稿目录!A7</f>
        <v>复核日期：</v>
      </c>
      <c r="D4" s="99" t="s">
        <v>23</v>
      </c>
      <c r="E4" s="12"/>
    </row>
    <row r="5" spans="1:6" s="71" customFormat="1" ht="19.95" customHeight="1">
      <c r="A5" s="70" t="s">
        <v>36</v>
      </c>
      <c r="B5" s="70"/>
    </row>
    <row r="6" spans="1:6" s="71" customFormat="1" ht="19.95" customHeight="1" thickBot="1">
      <c r="A6" s="72" t="s">
        <v>78</v>
      </c>
      <c r="B6" s="84"/>
      <c r="C6" s="74"/>
      <c r="D6" s="74"/>
      <c r="E6" s="74"/>
    </row>
    <row r="7" spans="1:6" s="71" customFormat="1" ht="19.95" customHeight="1" thickBot="1">
      <c r="A7" s="85" t="s">
        <v>34</v>
      </c>
      <c r="B7" s="86" t="s">
        <v>32</v>
      </c>
      <c r="C7" s="86" t="s">
        <v>33</v>
      </c>
      <c r="D7" s="74"/>
      <c r="E7" s="74"/>
    </row>
    <row r="8" spans="1:6" s="71" customFormat="1" ht="19.95" customHeight="1">
      <c r="A8" s="78" t="str">
        <f>'明细表K10-2'!A11</f>
        <v>总额法下与日常活动相关的政府补助</v>
      </c>
      <c r="B8" s="79">
        <f>'明细表K10-2'!G11</f>
        <v>0</v>
      </c>
      <c r="C8" s="79">
        <f>'明细表K10-2'!K11</f>
        <v>0</v>
      </c>
      <c r="D8" s="74"/>
      <c r="E8" s="74"/>
    </row>
    <row r="9" spans="1:6" s="71" customFormat="1" ht="19.95" customHeight="1">
      <c r="A9" s="78" t="str">
        <f>'明细表K10-2'!A12</f>
        <v>增值税进项税额加计抵减（实际缴纳时）</v>
      </c>
      <c r="B9" s="79">
        <f>'明细表K10-2'!G12</f>
        <v>0</v>
      </c>
      <c r="C9" s="79">
        <f>'明细表K10-2'!K12</f>
        <v>0</v>
      </c>
      <c r="D9" s="74"/>
      <c r="E9" s="74"/>
    </row>
    <row r="10" spans="1:6" s="71" customFormat="1" ht="19.95" customHeight="1">
      <c r="A10" s="78" t="str">
        <f>'明细表K10-2'!A13</f>
        <v>增值税直接减免</v>
      </c>
      <c r="B10" s="79">
        <f>'明细表K10-2'!G13</f>
        <v>0</v>
      </c>
      <c r="C10" s="79">
        <f>'明细表K10-2'!K13</f>
        <v>0</v>
      </c>
      <c r="D10" s="79"/>
      <c r="E10" s="74"/>
    </row>
    <row r="11" spans="1:6" s="71" customFormat="1" ht="19.95" customHeight="1">
      <c r="A11" s="78" t="str">
        <f>'明细表K10-2'!A14</f>
        <v>个人所得税扣缴税款手续费返还</v>
      </c>
      <c r="B11" s="79">
        <f>'明细表K10-2'!G14</f>
        <v>0</v>
      </c>
      <c r="C11" s="79">
        <f>'明细表K10-2'!K14</f>
        <v>0</v>
      </c>
      <c r="D11" s="79"/>
      <c r="E11" s="74"/>
    </row>
    <row r="12" spans="1:6" s="71" customFormat="1" ht="19.95" customHeight="1">
      <c r="A12" s="78" t="str">
        <f>'明细表K10-2'!A15</f>
        <v>债务人以非金融资产清偿债务损益</v>
      </c>
      <c r="B12" s="79">
        <f>'明细表K10-2'!G15</f>
        <v>0</v>
      </c>
      <c r="C12" s="79">
        <f>'明细表K10-2'!K15</f>
        <v>0</v>
      </c>
      <c r="D12" s="79"/>
      <c r="E12" s="74"/>
    </row>
    <row r="13" spans="1:6" s="71" customFormat="1" ht="19.95" customHeight="1" thickBot="1">
      <c r="A13" s="78" t="str">
        <f>'明细表K10-2'!A16</f>
        <v>……</v>
      </c>
      <c r="B13" s="79">
        <f>'明细表K10-2'!G16</f>
        <v>0</v>
      </c>
      <c r="C13" s="79">
        <f>'明细表K10-2'!K16</f>
        <v>0</v>
      </c>
      <c r="D13" s="79"/>
      <c r="E13" s="74"/>
    </row>
    <row r="14" spans="1:6" s="71" customFormat="1" ht="19.95" customHeight="1" thickBot="1">
      <c r="A14" s="75" t="s">
        <v>35</v>
      </c>
      <c r="B14" s="87">
        <f>SUM(B8:B13)</f>
        <v>0</v>
      </c>
      <c r="C14" s="87">
        <f>SUM(C8:C13)</f>
        <v>0</v>
      </c>
      <c r="D14" s="98"/>
      <c r="E14" s="74"/>
    </row>
    <row r="15" spans="1:6" s="71" customFormat="1" ht="127.05" customHeight="1">
      <c r="A15" s="296" t="s">
        <v>83</v>
      </c>
      <c r="B15" s="296"/>
      <c r="C15" s="296"/>
      <c r="D15" s="296"/>
      <c r="E15" s="296"/>
    </row>
    <row r="16" spans="1:6" s="71" customFormat="1">
      <c r="A16" s="73"/>
    </row>
    <row r="17" spans="1:1" s="71" customFormat="1">
      <c r="A17" s="72"/>
    </row>
  </sheetData>
  <mergeCells count="3">
    <mergeCell ref="A2:E2"/>
    <mergeCell ref="A1:E1"/>
    <mergeCell ref="A15:E15"/>
  </mergeCells>
  <phoneticPr fontId="12" type="noConversion"/>
  <pageMargins left="0.70866141732283472" right="0.70866141732283472" top="0.74803149606299213" bottom="0.74803149606299213" header="0.31496062992125984" footer="0.31496062992125984"/>
  <pageSetup paperSize="9" scale="98" orientation="portrait"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L43"/>
  <sheetViews>
    <sheetView view="pageBreakPreview" zoomScaleSheetLayoutView="100" workbookViewId="0">
      <selection sqref="A1:L1"/>
    </sheetView>
  </sheetViews>
  <sheetFormatPr defaultColWidth="9" defaultRowHeight="15.6"/>
  <cols>
    <col min="1" max="1" width="26.296875" style="40" customWidth="1"/>
    <col min="2" max="2" width="19.796875" style="40" customWidth="1"/>
    <col min="3" max="3" width="12.296875" style="40" customWidth="1"/>
    <col min="4" max="4" width="12.09765625" style="40" customWidth="1"/>
    <col min="5" max="5" width="9" style="40"/>
    <col min="6" max="6" width="11.69921875" style="40" customWidth="1"/>
    <col min="7" max="7" width="10.5" style="40" customWidth="1"/>
    <col min="8" max="8" width="9.09765625" style="40" customWidth="1"/>
    <col min="9" max="9" width="9" style="40"/>
    <col min="10" max="10" width="11.296875" style="40" customWidth="1"/>
    <col min="11" max="11" width="11.796875" style="40" customWidth="1"/>
    <col min="12" max="12" width="7.09765625" style="40" customWidth="1"/>
    <col min="13" max="16384" width="9" style="40"/>
  </cols>
  <sheetData>
    <row r="1" spans="1:12" ht="19.95" customHeight="1">
      <c r="A1" s="297" t="s">
        <v>16</v>
      </c>
      <c r="B1" s="297"/>
      <c r="C1" s="297"/>
      <c r="D1" s="297"/>
      <c r="E1" s="297"/>
      <c r="F1" s="297"/>
      <c r="G1" s="297"/>
      <c r="H1" s="297"/>
      <c r="I1" s="297"/>
      <c r="J1" s="297"/>
      <c r="K1" s="297"/>
      <c r="L1" s="297"/>
    </row>
    <row r="2" spans="1:12" ht="19.95" customHeight="1">
      <c r="A2" s="291" t="s">
        <v>47</v>
      </c>
      <c r="B2" s="291"/>
      <c r="C2" s="291"/>
      <c r="D2" s="291"/>
      <c r="E2" s="291"/>
      <c r="F2" s="291"/>
      <c r="G2" s="291"/>
      <c r="H2" s="291"/>
      <c r="I2" s="291"/>
      <c r="J2" s="291"/>
      <c r="K2" s="291"/>
      <c r="L2" s="291"/>
    </row>
    <row r="3" spans="1:12" ht="19.95" customHeight="1">
      <c r="A3" s="11" t="str">
        <f>底稿目录!A2</f>
        <v>被审计单位：</v>
      </c>
      <c r="B3" s="12"/>
      <c r="C3" s="12"/>
      <c r="D3" s="11" t="str">
        <f>底稿目录!A4</f>
        <v>编制人：</v>
      </c>
      <c r="E3" s="12"/>
      <c r="F3" s="12"/>
      <c r="G3" s="12"/>
      <c r="H3" s="11" t="str">
        <f>底稿目录!A5</f>
        <v>编制日期：</v>
      </c>
      <c r="I3" s="12"/>
      <c r="J3" s="12"/>
      <c r="K3" s="97" t="s">
        <v>88</v>
      </c>
      <c r="L3" s="260" t="str">
        <f>底稿目录!F8</f>
        <v>K10-2</v>
      </c>
    </row>
    <row r="4" spans="1:12" ht="19.95" customHeight="1">
      <c r="A4" s="11" t="str">
        <f>底稿目录!A3</f>
        <v>会计期间：202X年度</v>
      </c>
      <c r="B4" s="12"/>
      <c r="C4" s="12"/>
      <c r="D4" s="11" t="str">
        <f>底稿目录!A6</f>
        <v>复核人：</v>
      </c>
      <c r="E4" s="12"/>
      <c r="F4" s="12"/>
      <c r="G4" s="12"/>
      <c r="H4" s="11" t="str">
        <f>底稿目录!A7</f>
        <v>复核日期：</v>
      </c>
      <c r="I4" s="12"/>
      <c r="J4" s="12"/>
      <c r="K4" s="259" t="s">
        <v>279</v>
      </c>
      <c r="L4" s="12"/>
    </row>
    <row r="5" spans="1:12" ht="19.95" customHeight="1">
      <c r="A5" s="31" t="s">
        <v>18</v>
      </c>
      <c r="D5" s="2"/>
      <c r="H5" s="2"/>
      <c r="L5" s="1"/>
    </row>
    <row r="6" spans="1:12" ht="19.95" customHeight="1">
      <c r="A6" s="132" t="s">
        <v>229</v>
      </c>
      <c r="B6" s="132"/>
      <c r="C6" s="133"/>
      <c r="D6" s="133"/>
      <c r="E6" s="131" t="s">
        <v>230</v>
      </c>
      <c r="F6" s="134"/>
      <c r="G6" s="133"/>
      <c r="H6" s="133"/>
      <c r="I6" s="133"/>
      <c r="L6" s="1"/>
    </row>
    <row r="7" spans="1:12" ht="19.95" customHeight="1">
      <c r="A7" s="131" t="s">
        <v>231</v>
      </c>
      <c r="B7" s="132"/>
      <c r="C7" s="133"/>
      <c r="D7" s="133"/>
      <c r="E7" s="131"/>
      <c r="F7" s="134"/>
      <c r="G7" s="133"/>
      <c r="H7" s="133"/>
      <c r="I7" s="133"/>
      <c r="L7" s="1"/>
    </row>
    <row r="8" spans="1:12" ht="19.95" customHeight="1">
      <c r="A8" s="31" t="s">
        <v>19</v>
      </c>
      <c r="D8" s="2"/>
      <c r="H8" s="2"/>
      <c r="L8" s="1"/>
    </row>
    <row r="9" spans="1:12" ht="19.95" customHeight="1">
      <c r="A9" s="302" t="s">
        <v>313</v>
      </c>
      <c r="B9" s="302" t="s">
        <v>317</v>
      </c>
      <c r="C9" s="298" t="s">
        <v>112</v>
      </c>
      <c r="D9" s="298" t="s">
        <v>116</v>
      </c>
      <c r="E9" s="300" t="s">
        <v>27</v>
      </c>
      <c r="F9" s="301"/>
      <c r="G9" s="298" t="s">
        <v>30</v>
      </c>
      <c r="H9" s="298" t="s">
        <v>113</v>
      </c>
      <c r="I9" s="300" t="s">
        <v>28</v>
      </c>
      <c r="J9" s="301"/>
      <c r="K9" s="298" t="s">
        <v>114</v>
      </c>
      <c r="L9" s="298" t="s">
        <v>115</v>
      </c>
    </row>
    <row r="10" spans="1:12" ht="19.95" customHeight="1">
      <c r="A10" s="299"/>
      <c r="B10" s="299"/>
      <c r="C10" s="299"/>
      <c r="D10" s="299"/>
      <c r="E10" s="30" t="s">
        <v>26</v>
      </c>
      <c r="F10" s="38" t="s">
        <v>20</v>
      </c>
      <c r="G10" s="299"/>
      <c r="H10" s="299"/>
      <c r="I10" s="30" t="s">
        <v>26</v>
      </c>
      <c r="J10" s="38" t="s">
        <v>20</v>
      </c>
      <c r="K10" s="299"/>
      <c r="L10" s="299"/>
    </row>
    <row r="11" spans="1:12" ht="19.95" customHeight="1">
      <c r="A11" s="272" t="s">
        <v>320</v>
      </c>
      <c r="B11" s="34"/>
      <c r="C11" s="34"/>
      <c r="D11" s="43"/>
      <c r="E11" s="43"/>
      <c r="F11" s="43"/>
      <c r="G11" s="100">
        <f>D11+E11+F11</f>
        <v>0</v>
      </c>
      <c r="H11" s="43"/>
      <c r="I11" s="43"/>
      <c r="J11" s="43"/>
      <c r="K11" s="100">
        <f>H11+I11+J11</f>
        <v>0</v>
      </c>
      <c r="L11" s="34"/>
    </row>
    <row r="12" spans="1:12" ht="19.95" customHeight="1">
      <c r="A12" s="272" t="s">
        <v>314</v>
      </c>
      <c r="B12" s="34"/>
      <c r="C12" s="34"/>
      <c r="D12" s="43"/>
      <c r="E12" s="43"/>
      <c r="F12" s="43"/>
      <c r="G12" s="100">
        <f t="shared" ref="G12:G14" si="0">D12+E12+F12</f>
        <v>0</v>
      </c>
      <c r="H12" s="43"/>
      <c r="I12" s="43"/>
      <c r="J12" s="43"/>
      <c r="K12" s="100">
        <f t="shared" ref="K12:K14" si="1">H12+I12+J12</f>
        <v>0</v>
      </c>
      <c r="L12" s="34"/>
    </row>
    <row r="13" spans="1:12" ht="19.95" customHeight="1">
      <c r="A13" s="272" t="s">
        <v>318</v>
      </c>
      <c r="B13" s="34"/>
      <c r="C13" s="34"/>
      <c r="D13" s="43"/>
      <c r="E13" s="43"/>
      <c r="F13" s="43"/>
      <c r="G13" s="100">
        <f t="shared" si="0"/>
        <v>0</v>
      </c>
      <c r="H13" s="43"/>
      <c r="I13" s="43"/>
      <c r="J13" s="43"/>
      <c r="K13" s="100">
        <f t="shared" si="1"/>
        <v>0</v>
      </c>
      <c r="L13" s="34"/>
    </row>
    <row r="14" spans="1:12" ht="19.95" customHeight="1">
      <c r="A14" s="272" t="s">
        <v>315</v>
      </c>
      <c r="B14" s="34"/>
      <c r="C14" s="34"/>
      <c r="D14" s="43"/>
      <c r="E14" s="43"/>
      <c r="F14" s="43"/>
      <c r="G14" s="100">
        <f t="shared" si="0"/>
        <v>0</v>
      </c>
      <c r="H14" s="43"/>
      <c r="I14" s="43"/>
      <c r="J14" s="43"/>
      <c r="K14" s="100">
        <f t="shared" si="1"/>
        <v>0</v>
      </c>
      <c r="L14" s="34"/>
    </row>
    <row r="15" spans="1:12" ht="19.95" customHeight="1">
      <c r="A15" s="272" t="s">
        <v>316</v>
      </c>
      <c r="B15" s="34"/>
      <c r="C15" s="34"/>
      <c r="D15" s="43"/>
      <c r="E15" s="43"/>
      <c r="F15" s="43"/>
      <c r="G15" s="100">
        <f t="shared" ref="G15:G16" si="2">D15+E15+F15</f>
        <v>0</v>
      </c>
      <c r="H15" s="43"/>
      <c r="I15" s="43"/>
      <c r="J15" s="43"/>
      <c r="K15" s="100">
        <f t="shared" ref="K15:K16" si="3">H15+I15+J15</f>
        <v>0</v>
      </c>
      <c r="L15" s="34"/>
    </row>
    <row r="16" spans="1:12" ht="19.95" customHeight="1">
      <c r="A16" s="272" t="s">
        <v>319</v>
      </c>
      <c r="B16" s="34"/>
      <c r="C16" s="34"/>
      <c r="D16" s="43"/>
      <c r="E16" s="43"/>
      <c r="F16" s="43"/>
      <c r="G16" s="100">
        <f t="shared" si="2"/>
        <v>0</v>
      </c>
      <c r="H16" s="43"/>
      <c r="I16" s="43"/>
      <c r="J16" s="43"/>
      <c r="K16" s="100">
        <f t="shared" si="3"/>
        <v>0</v>
      </c>
      <c r="L16" s="34"/>
    </row>
    <row r="17" spans="1:12" s="270" customFormat="1" ht="19.95" customHeight="1">
      <c r="A17" s="264" t="s">
        <v>31</v>
      </c>
      <c r="B17" s="268"/>
      <c r="C17" s="268"/>
      <c r="D17" s="269">
        <f t="shared" ref="D17:K17" si="4">SUM(D11:D16)</f>
        <v>0</v>
      </c>
      <c r="E17" s="269">
        <f t="shared" si="4"/>
        <v>0</v>
      </c>
      <c r="F17" s="269">
        <f t="shared" si="4"/>
        <v>0</v>
      </c>
      <c r="G17" s="269">
        <f t="shared" si="4"/>
        <v>0</v>
      </c>
      <c r="H17" s="269">
        <f t="shared" si="4"/>
        <v>0</v>
      </c>
      <c r="I17" s="269">
        <f t="shared" si="4"/>
        <v>0</v>
      </c>
      <c r="J17" s="269">
        <f t="shared" si="4"/>
        <v>0</v>
      </c>
      <c r="K17" s="269">
        <f t="shared" si="4"/>
        <v>0</v>
      </c>
      <c r="L17" s="268"/>
    </row>
    <row r="18" spans="1:12" ht="19.95" customHeight="1">
      <c r="A18" s="39" t="s">
        <v>48</v>
      </c>
    </row>
    <row r="19" spans="1:12" ht="19.95" customHeight="1">
      <c r="A19" s="1"/>
    </row>
    <row r="20" spans="1:12" ht="19.95" customHeight="1">
      <c r="A20" s="39" t="s">
        <v>49</v>
      </c>
    </row>
    <row r="21" spans="1:12" ht="19.95" customHeight="1"/>
    <row r="22" spans="1:12" ht="19.95" customHeight="1"/>
    <row r="24" spans="1:12">
      <c r="A24" s="10" t="s">
        <v>145</v>
      </c>
      <c r="K24" s="157"/>
    </row>
    <row r="25" spans="1:12">
      <c r="A25" s="187" t="s">
        <v>178</v>
      </c>
    </row>
    <row r="26" spans="1:12">
      <c r="A26" s="10" t="s">
        <v>51</v>
      </c>
    </row>
    <row r="27" spans="1:12">
      <c r="A27" s="10" t="s">
        <v>52</v>
      </c>
    </row>
    <row r="37" spans="6:8">
      <c r="F37" s="12"/>
      <c r="G37" s="12"/>
      <c r="H37" s="12"/>
    </row>
    <row r="38" spans="6:8">
      <c r="F38" s="12"/>
      <c r="G38" s="12"/>
      <c r="H38" s="12"/>
    </row>
    <row r="39" spans="6:8">
      <c r="F39" s="12"/>
      <c r="G39" s="12"/>
      <c r="H39" s="12"/>
    </row>
    <row r="40" spans="6:8">
      <c r="F40" s="12"/>
      <c r="G40" s="12"/>
      <c r="H40" s="12"/>
    </row>
    <row r="41" spans="6:8">
      <c r="F41" s="12"/>
      <c r="G41" s="12"/>
      <c r="H41" s="12"/>
    </row>
    <row r="42" spans="6:8">
      <c r="F42" s="12"/>
      <c r="G42" s="12"/>
      <c r="H42" s="12"/>
    </row>
    <row r="43" spans="6:8">
      <c r="F43" s="12"/>
      <c r="G43" s="12"/>
      <c r="H43" s="12"/>
    </row>
  </sheetData>
  <mergeCells count="12">
    <mergeCell ref="A1:L1"/>
    <mergeCell ref="A2:L2"/>
    <mergeCell ref="K9:K10"/>
    <mergeCell ref="L9:L10"/>
    <mergeCell ref="E9:F9"/>
    <mergeCell ref="I9:J9"/>
    <mergeCell ref="A9:A10"/>
    <mergeCell ref="B9:B10"/>
    <mergeCell ref="C9:C10"/>
    <mergeCell ref="D9:D10"/>
    <mergeCell ref="G9:G10"/>
    <mergeCell ref="H9:H10"/>
  </mergeCells>
  <phoneticPr fontId="12" type="noConversion"/>
  <dataValidations count="1">
    <dataValidation type="list" allowBlank="1" showInputMessage="1" showErrorMessage="1" sqref="B11:B16">
      <formula1>"与资产相关的政府补助,与收益相关的政府补助,其他"</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80" fitToHeight="0" orientation="landscape" blackAndWhite="1" r:id="rId1"/>
  <headerFooter>
    <oddFooter>&amp;C&amp;P/&amp;N</oddFooter>
  </headerFooter>
  <drawing r:id="rId2"/>
  <legacyDrawing r:id="rId3"/>
  <oleObjects>
    <mc:AlternateContent xmlns:mc="http://schemas.openxmlformats.org/markup-compatibility/2006">
      <mc:Choice Requires="x14">
        <oleObject progId="文档" dvAspect="DVASPECT_ICON" shapeId="2049" r:id="rId4">
          <objectPr defaultSize="0" autoPict="0" r:id="rId5">
            <anchor moveWithCells="1">
              <from>
                <xdr:col>1</xdr:col>
                <xdr:colOff>0</xdr:colOff>
                <xdr:row>27</xdr:row>
                <xdr:rowOff>0</xdr:rowOff>
              </from>
              <to>
                <xdr:col>2</xdr:col>
                <xdr:colOff>38100</xdr:colOff>
                <xdr:row>34</xdr:row>
                <xdr:rowOff>45720</xdr:rowOff>
              </to>
            </anchor>
          </objectPr>
        </oleObject>
      </mc:Choice>
      <mc:Fallback>
        <oleObject progId="文档" dvAspect="DVASPECT_ICON" shapeId="2049" r:id="rId4"/>
      </mc:Fallback>
    </mc:AlternateContent>
    <mc:AlternateContent xmlns:mc="http://schemas.openxmlformats.org/markup-compatibility/2006">
      <mc:Choice Requires="x14">
        <oleObject progId="文档" dvAspect="DVASPECT_ICON" shapeId="2051" r:id="rId6">
          <objectPr defaultSize="0" autoPict="0" r:id="rId7">
            <anchor moveWithCells="1" sizeWithCells="1">
              <from>
                <xdr:col>3</xdr:col>
                <xdr:colOff>0</xdr:colOff>
                <xdr:row>27</xdr:row>
                <xdr:rowOff>0</xdr:rowOff>
              </from>
              <to>
                <xdr:col>3</xdr:col>
                <xdr:colOff>1120140</xdr:colOff>
                <xdr:row>33</xdr:row>
                <xdr:rowOff>114300</xdr:rowOff>
              </to>
            </anchor>
          </objectPr>
        </oleObject>
      </mc:Choice>
      <mc:Fallback>
        <oleObject progId="文档" dvAspect="DVASPECT_ICON" shapeId="2051" r:id="rId6"/>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5"/>
  <sheetViews>
    <sheetView view="pageBreakPreview" zoomScaleNormal="100" zoomScaleSheetLayoutView="100" workbookViewId="0">
      <selection sqref="A1:J1"/>
    </sheetView>
  </sheetViews>
  <sheetFormatPr defaultRowHeight="15.6"/>
  <cols>
    <col min="1" max="1" width="18" customWidth="1"/>
    <col min="2" max="2" width="14.8984375" customWidth="1"/>
    <col min="3" max="3" width="12.19921875" customWidth="1"/>
    <col min="4" max="4" width="16.8984375" customWidth="1"/>
    <col min="5" max="5" width="15" customWidth="1"/>
    <col min="7" max="7" width="10.296875" customWidth="1"/>
    <col min="8" max="8" width="10.8984375" customWidth="1"/>
    <col min="10" max="10" width="11.8984375" customWidth="1"/>
  </cols>
  <sheetData>
    <row r="1" spans="1:10" ht="19.95" customHeight="1">
      <c r="A1" s="303" t="s">
        <v>16</v>
      </c>
      <c r="B1" s="303"/>
      <c r="C1" s="303"/>
      <c r="D1" s="303"/>
      <c r="E1" s="303"/>
      <c r="F1" s="303"/>
      <c r="G1" s="303"/>
      <c r="H1" s="303"/>
      <c r="I1" s="303"/>
      <c r="J1" s="303"/>
    </row>
    <row r="2" spans="1:10" ht="19.95" customHeight="1">
      <c r="A2" s="304" t="s">
        <v>77</v>
      </c>
      <c r="B2" s="304"/>
      <c r="C2" s="304"/>
      <c r="D2" s="305"/>
      <c r="E2" s="305"/>
      <c r="F2" s="305"/>
      <c r="G2" s="305"/>
      <c r="H2" s="305"/>
      <c r="I2" s="305"/>
      <c r="J2" s="305"/>
    </row>
    <row r="3" spans="1:10" ht="19.95" customHeight="1">
      <c r="A3" s="9" t="str">
        <f>底稿目录!A2</f>
        <v>被审计单位：</v>
      </c>
      <c r="B3" s="9"/>
      <c r="C3" s="9" t="str">
        <f>底稿目录!A4</f>
        <v>编制人：</v>
      </c>
      <c r="F3" s="9" t="str">
        <f>底稿目录!A5</f>
        <v>编制日期：</v>
      </c>
      <c r="H3" s="9"/>
      <c r="I3" s="102" t="s">
        <v>85</v>
      </c>
      <c r="J3" s="260" t="str">
        <f>底稿目录!F9</f>
        <v>K10-3</v>
      </c>
    </row>
    <row r="4" spans="1:10" ht="19.95" customHeight="1">
      <c r="A4" s="9" t="str">
        <f>底稿目录!A3</f>
        <v>会计期间：202X年度</v>
      </c>
      <c r="B4" s="9"/>
      <c r="C4" s="9" t="str">
        <f>底稿目录!A6</f>
        <v>复核人：</v>
      </c>
      <c r="F4" s="9" t="str">
        <f>底稿目录!A7</f>
        <v>复核日期：</v>
      </c>
      <c r="H4" s="9"/>
      <c r="I4" s="102" t="s">
        <v>86</v>
      </c>
      <c r="J4" s="101">
        <v>1</v>
      </c>
    </row>
    <row r="5" spans="1:10" ht="33.6" customHeight="1">
      <c r="A5" s="65" t="s">
        <v>69</v>
      </c>
      <c r="B5" s="105" t="s">
        <v>70</v>
      </c>
      <c r="C5" s="66" t="s">
        <v>111</v>
      </c>
      <c r="D5" s="66" t="s">
        <v>71</v>
      </c>
      <c r="E5" s="66" t="s">
        <v>72</v>
      </c>
      <c r="F5" s="67" t="s">
        <v>53</v>
      </c>
      <c r="G5" s="66" t="s">
        <v>73</v>
      </c>
      <c r="H5" s="66" t="s">
        <v>74</v>
      </c>
      <c r="I5" s="66" t="s">
        <v>75</v>
      </c>
      <c r="J5" s="66" t="s">
        <v>76</v>
      </c>
    </row>
    <row r="6" spans="1:10" ht="19.95" customHeight="1">
      <c r="A6" s="162"/>
      <c r="B6" s="162"/>
      <c r="C6" s="163"/>
      <c r="D6" s="162"/>
      <c r="E6" s="162"/>
      <c r="F6" s="162"/>
      <c r="G6" s="164"/>
      <c r="H6" s="164"/>
      <c r="I6" s="165"/>
      <c r="J6" s="162"/>
    </row>
    <row r="7" spans="1:10" ht="19.95" customHeight="1">
      <c r="A7" s="162"/>
      <c r="B7" s="162"/>
      <c r="C7" s="163"/>
      <c r="D7" s="162"/>
      <c r="E7" s="162"/>
      <c r="F7" s="162"/>
      <c r="G7" s="164"/>
      <c r="H7" s="164"/>
      <c r="I7" s="165"/>
      <c r="J7" s="162"/>
    </row>
    <row r="8" spans="1:10" ht="19.95" customHeight="1">
      <c r="A8" s="162"/>
      <c r="B8" s="162"/>
      <c r="C8" s="163"/>
      <c r="D8" s="162"/>
      <c r="E8" s="162"/>
      <c r="F8" s="162"/>
      <c r="G8" s="164"/>
      <c r="H8" s="164"/>
      <c r="I8" s="165"/>
      <c r="J8" s="162"/>
    </row>
    <row r="9" spans="1:10" ht="19.95" customHeight="1">
      <c r="A9" s="162"/>
      <c r="B9" s="162"/>
      <c r="C9" s="163"/>
      <c r="D9" s="162"/>
      <c r="E9" s="162"/>
      <c r="F9" s="162"/>
      <c r="G9" s="164"/>
      <c r="H9" s="164"/>
      <c r="I9" s="165"/>
      <c r="J9" s="162"/>
    </row>
    <row r="10" spans="1:10" ht="19.95" customHeight="1">
      <c r="A10" s="162"/>
      <c r="B10" s="162"/>
      <c r="C10" s="163"/>
      <c r="D10" s="162"/>
      <c r="E10" s="162"/>
      <c r="F10" s="162"/>
      <c r="G10" s="164"/>
      <c r="H10" s="164"/>
      <c r="I10" s="165"/>
      <c r="J10" s="162"/>
    </row>
    <row r="11" spans="1:10" ht="19.95" customHeight="1">
      <c r="A11" s="162"/>
      <c r="B11" s="162"/>
      <c r="C11" s="163"/>
      <c r="D11" s="162"/>
      <c r="E11" s="162"/>
      <c r="F11" s="162"/>
      <c r="G11" s="164"/>
      <c r="H11" s="164"/>
      <c r="I11" s="165"/>
      <c r="J11" s="162"/>
    </row>
    <row r="12" spans="1:10" ht="19.95" customHeight="1">
      <c r="A12" s="162"/>
      <c r="B12" s="162"/>
      <c r="C12" s="163"/>
      <c r="D12" s="162"/>
      <c r="E12" s="162"/>
      <c r="F12" s="162"/>
      <c r="G12" s="164"/>
      <c r="H12" s="164"/>
      <c r="I12" s="165"/>
      <c r="J12" s="162"/>
    </row>
    <row r="13" spans="1:10" ht="19.95" customHeight="1">
      <c r="A13" s="162"/>
      <c r="B13" s="162"/>
      <c r="C13" s="163"/>
      <c r="D13" s="162"/>
      <c r="E13" s="162"/>
      <c r="F13" s="162"/>
      <c r="G13" s="164"/>
      <c r="H13" s="164"/>
      <c r="I13" s="165"/>
      <c r="J13" s="162"/>
    </row>
    <row r="14" spans="1:10" ht="19.95" customHeight="1">
      <c r="A14" s="162"/>
      <c r="B14" s="162"/>
      <c r="C14" s="163"/>
      <c r="D14" s="162"/>
      <c r="E14" s="162"/>
      <c r="F14" s="162"/>
      <c r="G14" s="164"/>
      <c r="H14" s="164"/>
      <c r="I14" s="165"/>
      <c r="J14" s="162"/>
    </row>
    <row r="15" spans="1:10" ht="19.95" customHeight="1">
      <c r="A15" s="162"/>
      <c r="B15" s="162"/>
      <c r="C15" s="163"/>
      <c r="D15" s="162"/>
      <c r="E15" s="162"/>
      <c r="F15" s="162"/>
      <c r="G15" s="164"/>
      <c r="H15" s="164"/>
      <c r="I15" s="165"/>
      <c r="J15" s="162"/>
    </row>
    <row r="16" spans="1:10" ht="19.95" customHeight="1">
      <c r="A16" s="162"/>
      <c r="B16" s="162"/>
      <c r="C16" s="163"/>
      <c r="D16" s="162"/>
      <c r="E16" s="162"/>
      <c r="F16" s="162"/>
      <c r="G16" s="164"/>
      <c r="H16" s="164"/>
      <c r="I16" s="165"/>
      <c r="J16" s="162"/>
    </row>
    <row r="17" spans="1:10" ht="19.95" customHeight="1">
      <c r="A17" s="162"/>
      <c r="B17" s="162"/>
      <c r="C17" s="163"/>
      <c r="D17" s="162"/>
      <c r="E17" s="162"/>
      <c r="F17" s="162"/>
      <c r="G17" s="164"/>
      <c r="H17" s="164"/>
      <c r="I17" s="165"/>
      <c r="J17" s="162"/>
    </row>
    <row r="18" spans="1:10" ht="19.95" customHeight="1">
      <c r="A18" s="162"/>
      <c r="B18" s="162"/>
      <c r="C18" s="163"/>
      <c r="D18" s="162"/>
      <c r="E18" s="162"/>
      <c r="F18" s="162"/>
      <c r="G18" s="164"/>
      <c r="H18" s="164"/>
      <c r="I18" s="165"/>
      <c r="J18" s="162"/>
    </row>
    <row r="19" spans="1:10" ht="19.95" customHeight="1">
      <c r="A19" s="162"/>
      <c r="B19" s="162"/>
      <c r="C19" s="163"/>
      <c r="D19" s="162"/>
      <c r="E19" s="162"/>
      <c r="F19" s="162"/>
      <c r="G19" s="164"/>
      <c r="H19" s="164"/>
      <c r="I19" s="165"/>
      <c r="J19" s="162"/>
    </row>
    <row r="20" spans="1:10" ht="19.95" customHeight="1">
      <c r="A20" s="162"/>
      <c r="B20" s="162"/>
      <c r="C20" s="163"/>
      <c r="D20" s="162"/>
      <c r="E20" s="162"/>
      <c r="F20" s="162"/>
      <c r="G20" s="164"/>
      <c r="H20" s="164"/>
      <c r="I20" s="165"/>
      <c r="J20" s="162"/>
    </row>
    <row r="21" spans="1:10">
      <c r="A21" s="68"/>
      <c r="B21" s="68"/>
      <c r="C21" s="68"/>
      <c r="D21" s="68"/>
      <c r="E21" s="68"/>
      <c r="F21" s="68"/>
      <c r="G21" s="68"/>
      <c r="H21" s="68"/>
      <c r="I21" s="68"/>
      <c r="J21" s="68"/>
    </row>
    <row r="22" spans="1:10">
      <c r="A22" s="68"/>
      <c r="B22" s="68"/>
      <c r="C22" s="68"/>
      <c r="D22" s="68"/>
      <c r="E22" s="68"/>
      <c r="F22" s="68"/>
      <c r="G22" s="68"/>
      <c r="H22" s="68"/>
      <c r="I22" s="68"/>
      <c r="J22" s="68"/>
    </row>
    <row r="23" spans="1:10" ht="37.799999999999997" customHeight="1">
      <c r="A23" s="306" t="s">
        <v>176</v>
      </c>
      <c r="B23" s="307"/>
      <c r="C23" s="307"/>
      <c r="D23" s="307"/>
      <c r="E23" s="307"/>
      <c r="F23" s="307"/>
      <c r="G23" s="307"/>
      <c r="H23" s="307"/>
      <c r="I23" s="307"/>
      <c r="J23" s="307"/>
    </row>
    <row r="24" spans="1:10">
      <c r="A24" s="68"/>
      <c r="B24" s="68"/>
      <c r="C24" s="68"/>
      <c r="D24" s="68"/>
      <c r="E24" s="68"/>
      <c r="F24" s="68"/>
      <c r="G24" s="68"/>
      <c r="H24" s="68"/>
      <c r="I24" s="68"/>
      <c r="J24" s="68"/>
    </row>
    <row r="25" spans="1:10">
      <c r="A25" s="68"/>
      <c r="B25" s="68"/>
      <c r="C25" s="68"/>
      <c r="D25" s="68"/>
      <c r="E25" s="68"/>
      <c r="F25" s="68"/>
      <c r="G25" s="68"/>
      <c r="H25" s="68"/>
      <c r="I25" s="68"/>
      <c r="J25" s="68"/>
    </row>
  </sheetData>
  <mergeCells count="3">
    <mergeCell ref="A1:J1"/>
    <mergeCell ref="A2:J2"/>
    <mergeCell ref="A23:J23"/>
  </mergeCells>
  <phoneticPr fontId="12"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S37"/>
  <sheetViews>
    <sheetView view="pageBreakPreview" zoomScaleNormal="100" zoomScaleSheetLayoutView="100" workbookViewId="0">
      <selection sqref="A1:S1"/>
    </sheetView>
  </sheetViews>
  <sheetFormatPr defaultRowHeight="15.6"/>
  <cols>
    <col min="1" max="1" width="15.8984375" customWidth="1"/>
    <col min="2" max="2" width="9.19921875" bestFit="1" customWidth="1"/>
    <col min="4" max="4" width="10.59765625" customWidth="1"/>
    <col min="5" max="5" width="9.5" customWidth="1"/>
    <col min="6" max="6" width="10.19921875" customWidth="1"/>
    <col min="7" max="8" width="8.8984375" bestFit="1" customWidth="1"/>
    <col min="9" max="9" width="10.19921875" customWidth="1"/>
    <col min="10" max="10" width="10.09765625" customWidth="1"/>
    <col min="11" max="11" width="10.5" customWidth="1"/>
    <col min="12" max="12" width="8.8984375" bestFit="1" customWidth="1"/>
    <col min="13" max="13" width="9.796875" customWidth="1"/>
    <col min="14" max="15" width="8.8984375" bestFit="1" customWidth="1"/>
    <col min="16" max="16" width="10.09765625" customWidth="1"/>
    <col min="17" max="17" width="7.3984375" customWidth="1"/>
    <col min="18" max="18" width="10.09765625" customWidth="1"/>
  </cols>
  <sheetData>
    <row r="1" spans="1:19" ht="19.95" customHeight="1">
      <c r="A1" s="310" t="s">
        <v>273</v>
      </c>
      <c r="B1" s="310"/>
      <c r="C1" s="310"/>
      <c r="D1" s="310"/>
      <c r="E1" s="310"/>
      <c r="F1" s="310"/>
      <c r="G1" s="310"/>
      <c r="H1" s="310"/>
      <c r="I1" s="310"/>
      <c r="J1" s="310"/>
      <c r="K1" s="310"/>
      <c r="L1" s="310"/>
      <c r="M1" s="310"/>
      <c r="N1" s="310"/>
      <c r="O1" s="310"/>
      <c r="P1" s="310"/>
      <c r="Q1" s="310"/>
      <c r="R1" s="310"/>
      <c r="S1" s="310"/>
    </row>
    <row r="2" spans="1:19" ht="19.95" customHeight="1">
      <c r="A2" s="311" t="s">
        <v>276</v>
      </c>
      <c r="B2" s="311"/>
      <c r="C2" s="311"/>
      <c r="D2" s="311"/>
      <c r="E2" s="311"/>
      <c r="F2" s="311"/>
      <c r="G2" s="311"/>
      <c r="H2" s="311"/>
      <c r="I2" s="311"/>
      <c r="J2" s="311"/>
      <c r="K2" s="311"/>
      <c r="L2" s="311"/>
      <c r="M2" s="311"/>
      <c r="N2" s="311"/>
      <c r="O2" s="311"/>
      <c r="P2" s="311"/>
      <c r="Q2" s="311"/>
      <c r="R2" s="311"/>
      <c r="S2" s="311"/>
    </row>
    <row r="3" spans="1:19" ht="19.95" customHeight="1">
      <c r="A3" s="12" t="str">
        <f>底稿目录!A2</f>
        <v>被审计单位：</v>
      </c>
      <c r="B3" s="14"/>
      <c r="C3" s="14"/>
      <c r="E3" s="14" t="str">
        <f>底稿目录!A4</f>
        <v>编制人：</v>
      </c>
      <c r="F3" s="12"/>
      <c r="G3" s="12"/>
      <c r="H3" s="12"/>
      <c r="J3" s="14"/>
      <c r="K3" s="14" t="str">
        <f>底稿目录!A5</f>
        <v>编制日期：</v>
      </c>
      <c r="O3" s="138"/>
      <c r="P3" s="14"/>
      <c r="Q3" s="14"/>
      <c r="R3" s="97" t="s">
        <v>129</v>
      </c>
      <c r="S3" s="260" t="str">
        <f>底稿目录!F10</f>
        <v>K10-4</v>
      </c>
    </row>
    <row r="4" spans="1:19" ht="19.95" customHeight="1">
      <c r="A4" s="12" t="str">
        <f>底稿目录!A3</f>
        <v>会计期间：202X年度</v>
      </c>
      <c r="B4" s="14"/>
      <c r="C4" s="14"/>
      <c r="E4" s="14" t="str">
        <f>底稿目录!A6</f>
        <v>复核人：</v>
      </c>
      <c r="F4" s="12"/>
      <c r="G4" s="12"/>
      <c r="H4" s="12"/>
      <c r="J4" s="14"/>
      <c r="K4" s="14" t="str">
        <f>底稿目录!A7</f>
        <v>复核日期：</v>
      </c>
      <c r="O4" s="138"/>
      <c r="P4" s="14"/>
      <c r="Q4" s="14"/>
      <c r="R4" s="96" t="s">
        <v>278</v>
      </c>
      <c r="S4" s="14"/>
    </row>
    <row r="5" spans="1:19" ht="19.95" customHeight="1">
      <c r="A5" s="31" t="s">
        <v>18</v>
      </c>
      <c r="B5" s="14"/>
      <c r="C5" s="14"/>
      <c r="E5" s="12"/>
      <c r="F5" s="12"/>
      <c r="G5" s="12"/>
      <c r="H5" s="12"/>
      <c r="I5" s="14"/>
      <c r="J5" s="14"/>
      <c r="P5" s="14"/>
      <c r="Q5" s="14"/>
      <c r="R5" s="14"/>
      <c r="S5" s="14"/>
    </row>
    <row r="6" spans="1:19" ht="19.95" customHeight="1">
      <c r="A6" s="135" t="s">
        <v>240</v>
      </c>
      <c r="B6" s="14"/>
      <c r="C6" s="14"/>
      <c r="D6" s="136"/>
      <c r="E6" s="11"/>
      <c r="F6" s="12"/>
      <c r="G6" s="12"/>
      <c r="H6" s="12" t="s">
        <v>241</v>
      </c>
      <c r="I6" s="103"/>
      <c r="J6" s="14"/>
      <c r="P6" s="14"/>
      <c r="Q6" s="14"/>
      <c r="R6" s="14"/>
      <c r="S6" s="14"/>
    </row>
    <row r="7" spans="1:19" ht="19.95" customHeight="1">
      <c r="A7" s="135" t="s">
        <v>232</v>
      </c>
      <c r="B7" s="14"/>
      <c r="C7" s="14"/>
      <c r="D7" s="136"/>
      <c r="E7" s="11"/>
      <c r="F7" s="12"/>
      <c r="G7" s="12"/>
      <c r="H7" s="12"/>
      <c r="I7" s="103"/>
      <c r="J7" s="14"/>
      <c r="P7" s="14"/>
      <c r="Q7" s="14"/>
      <c r="R7" s="14"/>
      <c r="S7" s="14"/>
    </row>
    <row r="8" spans="1:19" ht="19.95" customHeight="1">
      <c r="A8" s="15" t="s">
        <v>24</v>
      </c>
      <c r="B8" s="14"/>
      <c r="C8" s="14"/>
      <c r="E8" s="12"/>
      <c r="F8" s="12"/>
      <c r="G8" s="12"/>
      <c r="H8" s="12"/>
      <c r="I8" s="14"/>
      <c r="J8" s="14"/>
      <c r="P8" s="14"/>
      <c r="Q8" s="14"/>
      <c r="R8" s="14"/>
      <c r="S8" s="14"/>
    </row>
    <row r="9" spans="1:19" ht="19.95" customHeight="1">
      <c r="A9" s="312" t="s">
        <v>180</v>
      </c>
      <c r="B9" s="308" t="s">
        <v>181</v>
      </c>
      <c r="C9" s="309" t="s">
        <v>150</v>
      </c>
      <c r="D9" s="309" t="s">
        <v>151</v>
      </c>
      <c r="E9" s="309"/>
      <c r="F9" s="308" t="s">
        <v>190</v>
      </c>
      <c r="G9" s="309"/>
      <c r="H9" s="309"/>
      <c r="I9" s="308" t="s">
        <v>182</v>
      </c>
      <c r="J9" s="309"/>
      <c r="K9" s="309"/>
      <c r="L9" s="309"/>
      <c r="M9" s="309"/>
      <c r="N9" s="309"/>
      <c r="O9" s="309"/>
      <c r="P9" s="309"/>
      <c r="Q9" s="308" t="s">
        <v>188</v>
      </c>
      <c r="R9" s="308" t="s">
        <v>189</v>
      </c>
      <c r="S9" s="314" t="s">
        <v>152</v>
      </c>
    </row>
    <row r="10" spans="1:19" ht="55.8" customHeight="1">
      <c r="A10" s="313"/>
      <c r="B10" s="309"/>
      <c r="C10" s="309"/>
      <c r="D10" s="159" t="s">
        <v>153</v>
      </c>
      <c r="E10" s="159" t="s">
        <v>154</v>
      </c>
      <c r="F10" s="159" t="s">
        <v>191</v>
      </c>
      <c r="G10" s="188" t="s">
        <v>183</v>
      </c>
      <c r="H10" s="188" t="s">
        <v>184</v>
      </c>
      <c r="I10" s="194" t="s">
        <v>199</v>
      </c>
      <c r="J10" s="188" t="s">
        <v>198</v>
      </c>
      <c r="K10" s="159" t="s">
        <v>185</v>
      </c>
      <c r="L10" s="188" t="s">
        <v>186</v>
      </c>
      <c r="M10" s="188" t="s">
        <v>187</v>
      </c>
      <c r="N10" s="159" t="s">
        <v>155</v>
      </c>
      <c r="O10" s="159" t="s">
        <v>156</v>
      </c>
      <c r="P10" s="159" t="s">
        <v>157</v>
      </c>
      <c r="Q10" s="309"/>
      <c r="R10" s="309"/>
      <c r="S10" s="313"/>
    </row>
    <row r="11" spans="1:19" ht="19.95" customHeight="1">
      <c r="A11" s="122" t="s">
        <v>158</v>
      </c>
      <c r="B11" s="123"/>
      <c r="C11" s="124"/>
      <c r="D11" s="124"/>
      <c r="E11" s="124"/>
      <c r="F11" s="123"/>
      <c r="G11" s="123"/>
      <c r="H11" s="123"/>
      <c r="I11" s="123"/>
      <c r="J11" s="123"/>
      <c r="K11" s="123"/>
      <c r="L11" s="123"/>
      <c r="M11" s="123"/>
      <c r="N11" s="123"/>
      <c r="O11" s="123"/>
      <c r="P11" s="123"/>
      <c r="Q11" s="123"/>
      <c r="R11" s="123"/>
      <c r="S11" s="125"/>
    </row>
    <row r="12" spans="1:19" ht="19.95" customHeight="1">
      <c r="A12" s="166"/>
      <c r="B12" s="168"/>
      <c r="C12" s="169"/>
      <c r="D12" s="167"/>
      <c r="E12" s="167"/>
      <c r="F12" s="168"/>
      <c r="G12" s="168"/>
      <c r="H12" s="168"/>
      <c r="I12" s="168"/>
      <c r="J12" s="168"/>
      <c r="K12" s="168"/>
      <c r="L12" s="168"/>
      <c r="M12" s="168"/>
      <c r="N12" s="168"/>
      <c r="O12" s="168"/>
      <c r="P12" s="128">
        <f>I12+J12-K12-L12-M12-N12-O12</f>
        <v>0</v>
      </c>
      <c r="Q12" s="195"/>
      <c r="R12" s="195"/>
      <c r="S12" s="168"/>
    </row>
    <row r="13" spans="1:19" ht="19.95" customHeight="1">
      <c r="A13" s="166"/>
      <c r="B13" s="168"/>
      <c r="C13" s="169"/>
      <c r="D13" s="167"/>
      <c r="E13" s="167"/>
      <c r="F13" s="168"/>
      <c r="G13" s="168"/>
      <c r="H13" s="168"/>
      <c r="I13" s="168"/>
      <c r="J13" s="168"/>
      <c r="K13" s="168"/>
      <c r="L13" s="168"/>
      <c r="M13" s="168"/>
      <c r="N13" s="168"/>
      <c r="O13" s="168"/>
      <c r="P13" s="128">
        <f t="shared" ref="P13:P21" si="0">I13+J13-K13-L13-M13-N13-O13</f>
        <v>0</v>
      </c>
      <c r="Q13" s="195"/>
      <c r="R13" s="195"/>
      <c r="S13" s="168"/>
    </row>
    <row r="14" spans="1:19" ht="19.95" customHeight="1">
      <c r="A14" s="166"/>
      <c r="B14" s="168"/>
      <c r="C14" s="169"/>
      <c r="D14" s="167"/>
      <c r="E14" s="167"/>
      <c r="F14" s="168"/>
      <c r="G14" s="168"/>
      <c r="H14" s="168"/>
      <c r="I14" s="168"/>
      <c r="J14" s="168"/>
      <c r="K14" s="168"/>
      <c r="L14" s="168"/>
      <c r="M14" s="168"/>
      <c r="N14" s="168"/>
      <c r="O14" s="168"/>
      <c r="P14" s="128">
        <f t="shared" si="0"/>
        <v>0</v>
      </c>
      <c r="Q14" s="195"/>
      <c r="R14" s="195"/>
      <c r="S14" s="168"/>
    </row>
    <row r="15" spans="1:19" ht="19.95" customHeight="1">
      <c r="A15" s="166"/>
      <c r="B15" s="168"/>
      <c r="C15" s="169"/>
      <c r="D15" s="167"/>
      <c r="E15" s="167"/>
      <c r="F15" s="168"/>
      <c r="G15" s="168"/>
      <c r="H15" s="168"/>
      <c r="I15" s="168"/>
      <c r="J15" s="168"/>
      <c r="K15" s="168"/>
      <c r="L15" s="168"/>
      <c r="M15" s="168"/>
      <c r="N15" s="168"/>
      <c r="O15" s="168"/>
      <c r="P15" s="128">
        <f>I15+J15-K15-L15-M15-N15-O15</f>
        <v>0</v>
      </c>
      <c r="Q15" s="195"/>
      <c r="R15" s="195"/>
      <c r="S15" s="168"/>
    </row>
    <row r="16" spans="1:19" s="205" customFormat="1" ht="19.95" customHeight="1">
      <c r="A16" s="202" t="s">
        <v>197</v>
      </c>
      <c r="B16" s="203">
        <f>SUM(B12:B15)</f>
        <v>0</v>
      </c>
      <c r="C16" s="124"/>
      <c r="D16" s="204"/>
      <c r="E16" s="204"/>
      <c r="F16" s="203">
        <f t="shared" ref="F16:P16" si="1">SUM(F12:F15)</f>
        <v>0</v>
      </c>
      <c r="G16" s="203">
        <f t="shared" si="1"/>
        <v>0</v>
      </c>
      <c r="H16" s="203">
        <f t="shared" si="1"/>
        <v>0</v>
      </c>
      <c r="I16" s="203">
        <f t="shared" si="1"/>
        <v>0</v>
      </c>
      <c r="J16" s="203">
        <f t="shared" si="1"/>
        <v>0</v>
      </c>
      <c r="K16" s="203">
        <f t="shared" si="1"/>
        <v>0</v>
      </c>
      <c r="L16" s="203">
        <f t="shared" si="1"/>
        <v>0</v>
      </c>
      <c r="M16" s="203">
        <f t="shared" si="1"/>
        <v>0</v>
      </c>
      <c r="N16" s="203">
        <f t="shared" si="1"/>
        <v>0</v>
      </c>
      <c r="O16" s="203">
        <f t="shared" si="1"/>
        <v>0</v>
      </c>
      <c r="P16" s="203">
        <f t="shared" si="1"/>
        <v>0</v>
      </c>
      <c r="Q16" s="125"/>
      <c r="R16" s="203">
        <f>SUM(R12:R15)</f>
        <v>0</v>
      </c>
      <c r="S16" s="203"/>
    </row>
    <row r="17" spans="1:19" ht="19.95" customHeight="1">
      <c r="A17" s="122" t="s">
        <v>159</v>
      </c>
      <c r="B17" s="127"/>
      <c r="C17" s="127"/>
      <c r="D17" s="127"/>
      <c r="E17" s="127"/>
      <c r="F17" s="126"/>
      <c r="G17" s="126"/>
      <c r="H17" s="126"/>
      <c r="I17" s="126"/>
      <c r="J17" s="126"/>
      <c r="K17" s="126"/>
      <c r="L17" s="126"/>
      <c r="M17" s="126"/>
      <c r="N17" s="126"/>
      <c r="O17" s="126"/>
      <c r="P17" s="128"/>
      <c r="Q17" s="128"/>
      <c r="R17" s="128"/>
      <c r="S17" s="125"/>
    </row>
    <row r="18" spans="1:19" ht="19.95" customHeight="1">
      <c r="A18" s="130"/>
      <c r="B18" s="168"/>
      <c r="C18" s="169"/>
      <c r="D18" s="167"/>
      <c r="E18" s="167"/>
      <c r="F18" s="168"/>
      <c r="G18" s="168"/>
      <c r="H18" s="168"/>
      <c r="I18" s="168"/>
      <c r="J18" s="168"/>
      <c r="K18" s="168"/>
      <c r="L18" s="168"/>
      <c r="M18" s="168"/>
      <c r="N18" s="168"/>
      <c r="O18" s="168"/>
      <c r="P18" s="128">
        <f t="shared" si="0"/>
        <v>0</v>
      </c>
      <c r="Q18" s="195"/>
      <c r="R18" s="195"/>
      <c r="S18" s="168"/>
    </row>
    <row r="19" spans="1:19" ht="19.95" customHeight="1">
      <c r="A19" s="130"/>
      <c r="B19" s="168"/>
      <c r="C19" s="169"/>
      <c r="D19" s="167"/>
      <c r="E19" s="167"/>
      <c r="F19" s="168"/>
      <c r="G19" s="168"/>
      <c r="H19" s="168"/>
      <c r="I19" s="168"/>
      <c r="J19" s="168"/>
      <c r="K19" s="168"/>
      <c r="L19" s="168"/>
      <c r="M19" s="168"/>
      <c r="N19" s="168"/>
      <c r="O19" s="168"/>
      <c r="P19" s="128">
        <f t="shared" si="0"/>
        <v>0</v>
      </c>
      <c r="Q19" s="195"/>
      <c r="R19" s="195"/>
      <c r="S19" s="168"/>
    </row>
    <row r="20" spans="1:19" ht="19.95" customHeight="1">
      <c r="A20" s="130"/>
      <c r="B20" s="168"/>
      <c r="C20" s="169"/>
      <c r="D20" s="167"/>
      <c r="E20" s="167"/>
      <c r="F20" s="168"/>
      <c r="G20" s="168"/>
      <c r="H20" s="168"/>
      <c r="I20" s="168"/>
      <c r="J20" s="168"/>
      <c r="K20" s="168"/>
      <c r="L20" s="168"/>
      <c r="M20" s="168"/>
      <c r="N20" s="168"/>
      <c r="O20" s="168"/>
      <c r="P20" s="128">
        <f t="shared" si="0"/>
        <v>0</v>
      </c>
      <c r="Q20" s="195"/>
      <c r="R20" s="195"/>
      <c r="S20" s="168"/>
    </row>
    <row r="21" spans="1:19" ht="19.95" customHeight="1">
      <c r="A21" s="130"/>
      <c r="B21" s="168"/>
      <c r="C21" s="169"/>
      <c r="D21" s="167"/>
      <c r="E21" s="167"/>
      <c r="F21" s="168"/>
      <c r="G21" s="168"/>
      <c r="H21" s="168"/>
      <c r="I21" s="168"/>
      <c r="J21" s="168"/>
      <c r="K21" s="168"/>
      <c r="L21" s="168"/>
      <c r="M21" s="168"/>
      <c r="N21" s="168"/>
      <c r="O21" s="168"/>
      <c r="P21" s="128">
        <f t="shared" si="0"/>
        <v>0</v>
      </c>
      <c r="Q21" s="195"/>
      <c r="R21" s="195"/>
      <c r="S21" s="168"/>
    </row>
    <row r="22" spans="1:19" s="205" customFormat="1" ht="19.95" customHeight="1">
      <c r="A22" s="202" t="s">
        <v>197</v>
      </c>
      <c r="B22" s="203">
        <f>SUM(B18:B21)</f>
        <v>0</v>
      </c>
      <c r="C22" s="124"/>
      <c r="D22" s="204"/>
      <c r="E22" s="206"/>
      <c r="F22" s="203">
        <f t="shared" ref="F22:P22" si="2">SUM(F18:F21)</f>
        <v>0</v>
      </c>
      <c r="G22" s="203">
        <f t="shared" si="2"/>
        <v>0</v>
      </c>
      <c r="H22" s="203">
        <f t="shared" si="2"/>
        <v>0</v>
      </c>
      <c r="I22" s="203">
        <f t="shared" si="2"/>
        <v>0</v>
      </c>
      <c r="J22" s="203">
        <f t="shared" si="2"/>
        <v>0</v>
      </c>
      <c r="K22" s="203">
        <f t="shared" si="2"/>
        <v>0</v>
      </c>
      <c r="L22" s="203">
        <f t="shared" si="2"/>
        <v>0</v>
      </c>
      <c r="M22" s="203">
        <f t="shared" si="2"/>
        <v>0</v>
      </c>
      <c r="N22" s="203">
        <f t="shared" si="2"/>
        <v>0</v>
      </c>
      <c r="O22" s="203">
        <f t="shared" si="2"/>
        <v>0</v>
      </c>
      <c r="P22" s="203">
        <f t="shared" si="2"/>
        <v>0</v>
      </c>
      <c r="Q22" s="203"/>
      <c r="R22" s="203">
        <f>SUM(R18:R21)</f>
        <v>0</v>
      </c>
      <c r="S22" s="203"/>
    </row>
    <row r="23" spans="1:19" s="200" customFormat="1" ht="19.95" customHeight="1">
      <c r="A23" s="201" t="s">
        <v>196</v>
      </c>
      <c r="B23" s="199">
        <f>B22+B16</f>
        <v>0</v>
      </c>
      <c r="C23" s="199"/>
      <c r="D23" s="199"/>
      <c r="E23" s="199"/>
      <c r="F23" s="199">
        <f t="shared" ref="F23:P23" si="3">F22+F16</f>
        <v>0</v>
      </c>
      <c r="G23" s="199">
        <f t="shared" si="3"/>
        <v>0</v>
      </c>
      <c r="H23" s="199">
        <f t="shared" si="3"/>
        <v>0</v>
      </c>
      <c r="I23" s="199">
        <f t="shared" si="3"/>
        <v>0</v>
      </c>
      <c r="J23" s="199">
        <f t="shared" si="3"/>
        <v>0</v>
      </c>
      <c r="K23" s="199">
        <f t="shared" si="3"/>
        <v>0</v>
      </c>
      <c r="L23" s="199">
        <f t="shared" si="3"/>
        <v>0</v>
      </c>
      <c r="M23" s="199">
        <f t="shared" si="3"/>
        <v>0</v>
      </c>
      <c r="N23" s="199">
        <f t="shared" si="3"/>
        <v>0</v>
      </c>
      <c r="O23" s="199">
        <f t="shared" si="3"/>
        <v>0</v>
      </c>
      <c r="P23" s="199">
        <f t="shared" si="3"/>
        <v>0</v>
      </c>
      <c r="Q23" s="199"/>
      <c r="R23" s="199">
        <f>R22+R16</f>
        <v>0</v>
      </c>
      <c r="S23" s="100"/>
    </row>
    <row r="24" spans="1:19" ht="19.95" customHeight="1">
      <c r="A24" s="32" t="s">
        <v>25</v>
      </c>
    </row>
    <row r="25" spans="1:19" ht="19.95" customHeight="1">
      <c r="A25" s="157" t="s">
        <v>212</v>
      </c>
      <c r="B25" s="213"/>
      <c r="C25" s="213"/>
      <c r="D25" s="213"/>
      <c r="E25" s="213"/>
      <c r="F25" s="213"/>
      <c r="G25" s="213"/>
      <c r="H25" s="213"/>
      <c r="I25" s="213"/>
      <c r="J25" s="213"/>
    </row>
    <row r="26" spans="1:19" ht="19.95" customHeight="1">
      <c r="A26" s="214"/>
      <c r="B26" s="213"/>
      <c r="C26" s="213"/>
      <c r="D26" s="213"/>
      <c r="E26" s="213"/>
      <c r="F26" s="213"/>
      <c r="G26" s="213"/>
      <c r="H26" s="213"/>
      <c r="I26" s="213"/>
      <c r="J26" s="213"/>
    </row>
    <row r="27" spans="1:19" ht="19.95" customHeight="1">
      <c r="A27" s="157" t="s">
        <v>213</v>
      </c>
      <c r="B27" s="213"/>
      <c r="C27" s="213"/>
      <c r="D27" s="213"/>
      <c r="E27" s="213"/>
      <c r="F27" s="213"/>
      <c r="G27" s="213"/>
      <c r="H27" s="213"/>
      <c r="I27" s="213"/>
      <c r="J27" s="213"/>
    </row>
    <row r="28" spans="1:19" ht="19.95" customHeight="1">
      <c r="A28" s="157" t="s">
        <v>214</v>
      </c>
      <c r="B28" s="215"/>
      <c r="C28" s="215"/>
      <c r="D28" s="215"/>
      <c r="E28" s="215"/>
      <c r="F28" s="215"/>
      <c r="G28" s="215"/>
      <c r="H28" s="215"/>
      <c r="I28" s="215"/>
      <c r="J28" s="215"/>
    </row>
    <row r="29" spans="1:19" s="197" customFormat="1" ht="19.95" customHeight="1">
      <c r="A29" s="316" t="s">
        <v>192</v>
      </c>
      <c r="B29" s="316"/>
      <c r="C29" s="316"/>
      <c r="D29" s="220" t="s">
        <v>193</v>
      </c>
      <c r="E29" s="220" t="s">
        <v>194</v>
      </c>
      <c r="F29" s="320" t="s">
        <v>192</v>
      </c>
      <c r="G29" s="321"/>
      <c r="H29" s="322"/>
      <c r="I29" s="220" t="s">
        <v>193</v>
      </c>
      <c r="J29" s="220" t="s">
        <v>194</v>
      </c>
      <c r="K29" s="198"/>
      <c r="L29" s="198"/>
    </row>
    <row r="30" spans="1:19" ht="19.95" customHeight="1">
      <c r="A30" s="315" t="s">
        <v>200</v>
      </c>
      <c r="B30" s="315"/>
      <c r="C30" s="315"/>
      <c r="D30" s="216"/>
      <c r="E30" s="217">
        <f>D30-F23-K23</f>
        <v>0</v>
      </c>
      <c r="F30" s="315" t="s">
        <v>204</v>
      </c>
      <c r="G30" s="315"/>
      <c r="H30" s="315"/>
      <c r="I30" s="216"/>
      <c r="J30" s="217">
        <f>I30-K23-L23-M23</f>
        <v>0</v>
      </c>
    </row>
    <row r="31" spans="1:19" ht="19.95" customHeight="1">
      <c r="A31" s="315" t="s">
        <v>201</v>
      </c>
      <c r="B31" s="315"/>
      <c r="C31" s="315"/>
      <c r="D31" s="216"/>
      <c r="E31" s="217">
        <f>D31-G23-L23</f>
        <v>0</v>
      </c>
      <c r="F31" s="315" t="s">
        <v>195</v>
      </c>
      <c r="G31" s="315"/>
      <c r="H31" s="315"/>
      <c r="I31" s="216"/>
      <c r="J31" s="217">
        <f>I31-P23</f>
        <v>0</v>
      </c>
    </row>
    <row r="32" spans="1:19" ht="19.95" customHeight="1">
      <c r="A32" s="315" t="s">
        <v>202</v>
      </c>
      <c r="B32" s="315"/>
      <c r="C32" s="315"/>
      <c r="D32" s="216"/>
      <c r="E32" s="217">
        <f>D32-H23-M23</f>
        <v>0</v>
      </c>
      <c r="F32" s="315" t="s">
        <v>205</v>
      </c>
      <c r="G32" s="315"/>
      <c r="H32" s="315"/>
      <c r="I32" s="216"/>
      <c r="J32" s="217">
        <f>I32-R23</f>
        <v>0</v>
      </c>
    </row>
    <row r="33" spans="1:10" ht="19.95" customHeight="1">
      <c r="A33" s="315" t="s">
        <v>203</v>
      </c>
      <c r="B33" s="315"/>
      <c r="C33" s="315"/>
      <c r="D33" s="216"/>
      <c r="E33" s="217">
        <f>D33-J23</f>
        <v>0</v>
      </c>
      <c r="F33" s="317"/>
      <c r="G33" s="318"/>
      <c r="H33" s="319"/>
      <c r="I33" s="216"/>
      <c r="J33" s="217"/>
    </row>
    <row r="34" spans="1:10" ht="19.95" customHeight="1">
      <c r="A34" s="157" t="s">
        <v>215</v>
      </c>
      <c r="B34" s="218"/>
      <c r="C34" s="218"/>
      <c r="D34" s="213"/>
      <c r="E34" s="219"/>
      <c r="F34" s="213"/>
      <c r="G34" s="213"/>
      <c r="H34" s="213"/>
      <c r="I34" s="213"/>
      <c r="J34" s="213"/>
    </row>
    <row r="35" spans="1:10" ht="19.95" customHeight="1">
      <c r="E35" s="196"/>
    </row>
    <row r="36" spans="1:10" ht="19.95" customHeight="1">
      <c r="A36" s="19" t="s">
        <v>22</v>
      </c>
    </row>
    <row r="37" spans="1:10" ht="19.95" customHeight="1"/>
  </sheetData>
  <mergeCells count="21">
    <mergeCell ref="F33:H33"/>
    <mergeCell ref="F29:H29"/>
    <mergeCell ref="F31:H31"/>
    <mergeCell ref="F30:H30"/>
    <mergeCell ref="F32:H32"/>
    <mergeCell ref="A30:C30"/>
    <mergeCell ref="A31:C31"/>
    <mergeCell ref="A32:C32"/>
    <mergeCell ref="A33:C33"/>
    <mergeCell ref="A29:C29"/>
    <mergeCell ref="F9:H9"/>
    <mergeCell ref="I9:P9"/>
    <mergeCell ref="A1:S1"/>
    <mergeCell ref="A2:S2"/>
    <mergeCell ref="A9:A10"/>
    <mergeCell ref="B9:B10"/>
    <mergeCell ref="C9:C10"/>
    <mergeCell ref="D9:E9"/>
    <mergeCell ref="S9:S10"/>
    <mergeCell ref="Q9:Q10"/>
    <mergeCell ref="R9:R10"/>
  </mergeCells>
  <phoneticPr fontId="12" type="noConversion"/>
  <dataValidations count="1">
    <dataValidation type="list" allowBlank="1" showInputMessage="1" showErrorMessage="1" sqref="C12:C16 C18:C22">
      <formula1>"总额法,净额法"</formula1>
    </dataValidation>
  </dataValidations>
  <hyperlinks>
    <hyperlink ref="S3" location="底稿目录!A1" display="底稿目录!A1"/>
  </hyperlinks>
  <pageMargins left="0.70866141732283472" right="0.70866141732283472" top="0.74803149606299213" bottom="0.74803149606299213" header="0.31496062992125984" footer="0.31496062992125984"/>
  <pageSetup paperSize="9" scale="66"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view="pageBreakPreview" zoomScaleSheetLayoutView="100" workbookViewId="0">
      <selection sqref="A1:H1"/>
    </sheetView>
  </sheetViews>
  <sheetFormatPr defaultRowHeight="20.100000000000001" customHeight="1"/>
  <cols>
    <col min="1" max="1" width="21.3984375" style="140" customWidth="1"/>
    <col min="2" max="2" width="12" style="140" customWidth="1"/>
    <col min="3" max="3" width="11.796875" style="140" customWidth="1"/>
    <col min="4" max="4" width="14.5" style="140" customWidth="1"/>
    <col min="5" max="5" width="14.59765625" style="140" customWidth="1"/>
    <col min="6" max="6" width="18.69921875" style="140" customWidth="1"/>
    <col min="7" max="7" width="11.09765625" style="140" customWidth="1"/>
    <col min="8" max="8" width="11.796875" style="140" customWidth="1"/>
    <col min="9" max="16384" width="8.796875" style="140"/>
  </cols>
  <sheetData>
    <row r="1" spans="1:10" ht="19.95" customHeight="1">
      <c r="A1" s="328" t="s">
        <v>16</v>
      </c>
      <c r="B1" s="328"/>
      <c r="C1" s="328"/>
      <c r="D1" s="328"/>
      <c r="E1" s="328"/>
      <c r="F1" s="328"/>
      <c r="G1" s="328"/>
      <c r="H1" s="328"/>
    </row>
    <row r="2" spans="1:10" ht="19.95" customHeight="1">
      <c r="A2" s="329" t="s">
        <v>130</v>
      </c>
      <c r="B2" s="329"/>
      <c r="C2" s="329"/>
      <c r="D2" s="329"/>
      <c r="E2" s="329"/>
      <c r="F2" s="329"/>
      <c r="G2" s="329"/>
      <c r="H2" s="329"/>
    </row>
    <row r="3" spans="1:10" ht="19.95" customHeight="1">
      <c r="A3" s="141" t="str">
        <f>底稿目录!A2</f>
        <v>被审计单位：</v>
      </c>
      <c r="B3" s="142"/>
      <c r="C3" s="141" t="str">
        <f>底稿目录!A4</f>
        <v>编制人：</v>
      </c>
      <c r="E3" s="143" t="str">
        <f>底稿目录!A5</f>
        <v>编制日期：</v>
      </c>
      <c r="G3" s="144" t="s">
        <v>131</v>
      </c>
      <c r="H3" s="260" t="str">
        <f>底稿目录!F11</f>
        <v>K10-5</v>
      </c>
    </row>
    <row r="4" spans="1:10" ht="19.95" customHeight="1">
      <c r="A4" s="141" t="str">
        <f>底稿目录!A3</f>
        <v>会计期间：202X年度</v>
      </c>
      <c r="B4" s="142"/>
      <c r="C4" s="141" t="str">
        <f>底稿目录!A6</f>
        <v>复核人：</v>
      </c>
      <c r="E4" s="143" t="str">
        <f>底稿目录!A7</f>
        <v>复核日期：</v>
      </c>
      <c r="G4" s="144" t="s">
        <v>280</v>
      </c>
      <c r="H4" s="145"/>
    </row>
    <row r="5" spans="1:10" ht="19.95" customHeight="1">
      <c r="A5" s="146" t="s">
        <v>132</v>
      </c>
      <c r="B5" s="147"/>
      <c r="C5" s="147"/>
      <c r="D5" s="147"/>
      <c r="E5" s="147"/>
      <c r="F5" s="147"/>
      <c r="G5" s="147"/>
    </row>
    <row r="6" spans="1:10" ht="19.95" customHeight="1">
      <c r="A6" s="148" t="s">
        <v>239</v>
      </c>
      <c r="B6" s="148"/>
      <c r="C6" s="148"/>
      <c r="D6" s="147"/>
      <c r="E6" s="147"/>
      <c r="F6" s="147"/>
      <c r="G6" s="147"/>
    </row>
    <row r="7" spans="1:10" ht="19.95" customHeight="1">
      <c r="A7" s="146" t="s">
        <v>133</v>
      </c>
      <c r="B7" s="147"/>
      <c r="C7" s="147"/>
      <c r="D7" s="147"/>
      <c r="E7" s="147"/>
      <c r="F7" s="147"/>
      <c r="G7" s="147"/>
    </row>
    <row r="8" spans="1:10" ht="19.95" customHeight="1">
      <c r="A8" s="241" t="s">
        <v>238</v>
      </c>
      <c r="B8" s="147"/>
      <c r="C8" s="147"/>
      <c r="D8" s="147"/>
      <c r="E8" s="147"/>
      <c r="F8" s="147"/>
      <c r="G8" s="147"/>
    </row>
    <row r="9" spans="1:10" ht="37.200000000000003" customHeight="1">
      <c r="A9" s="232" t="s">
        <v>135</v>
      </c>
      <c r="B9" s="232" t="s">
        <v>235</v>
      </c>
      <c r="C9" s="232" t="s">
        <v>236</v>
      </c>
      <c r="D9" s="232" t="s">
        <v>136</v>
      </c>
      <c r="E9" s="232" t="s">
        <v>134</v>
      </c>
      <c r="F9" s="233" t="s">
        <v>137</v>
      </c>
      <c r="G9" s="233" t="s">
        <v>146</v>
      </c>
      <c r="H9" s="150" t="s">
        <v>237</v>
      </c>
      <c r="I9" s="158"/>
      <c r="J9" s="156"/>
    </row>
    <row r="10" spans="1:10" ht="19.95" customHeight="1">
      <c r="A10" s="151"/>
      <c r="B10" s="152"/>
      <c r="C10" s="152"/>
      <c r="D10" s="153"/>
      <c r="E10" s="151"/>
      <c r="F10" s="238"/>
      <c r="G10" s="170"/>
      <c r="H10" s="171"/>
      <c r="I10" s="158"/>
      <c r="J10" s="156"/>
    </row>
    <row r="11" spans="1:10" ht="19.95" customHeight="1">
      <c r="A11" s="151"/>
      <c r="B11" s="152"/>
      <c r="C11" s="152"/>
      <c r="D11" s="153"/>
      <c r="E11" s="151"/>
      <c r="F11" s="170"/>
      <c r="G11" s="170"/>
      <c r="H11" s="171"/>
      <c r="I11" s="158"/>
      <c r="J11" s="156"/>
    </row>
    <row r="12" spans="1:10" ht="19.95" customHeight="1">
      <c r="A12" s="151"/>
      <c r="B12" s="152"/>
      <c r="C12" s="152"/>
      <c r="D12" s="153"/>
      <c r="E12" s="151"/>
      <c r="F12" s="170"/>
      <c r="G12" s="170"/>
      <c r="H12" s="171"/>
      <c r="I12" s="158"/>
      <c r="J12" s="156"/>
    </row>
    <row r="13" spans="1:10" ht="19.95" customHeight="1">
      <c r="A13" s="151"/>
      <c r="B13" s="152"/>
      <c r="C13" s="152"/>
      <c r="D13" s="153"/>
      <c r="E13" s="151"/>
      <c r="F13" s="170"/>
      <c r="G13" s="170"/>
      <c r="H13" s="171"/>
      <c r="I13" s="158"/>
      <c r="J13" s="156"/>
    </row>
    <row r="14" spans="1:10" ht="19.95" customHeight="1">
      <c r="A14" s="151"/>
      <c r="B14" s="152"/>
      <c r="C14" s="152"/>
      <c r="D14" s="153"/>
      <c r="E14" s="151"/>
      <c r="F14" s="170"/>
      <c r="G14" s="170"/>
      <c r="H14" s="171"/>
      <c r="I14" s="158"/>
      <c r="J14" s="156"/>
    </row>
    <row r="15" spans="1:10" ht="19.95" customHeight="1">
      <c r="A15" s="149" t="s">
        <v>138</v>
      </c>
      <c r="B15" s="234">
        <f>SUM(B10:B14)</f>
        <v>0</v>
      </c>
      <c r="C15" s="234">
        <f>SUM(C10:C14)</f>
        <v>0</v>
      </c>
      <c r="D15" s="149"/>
      <c r="E15" s="149"/>
      <c r="F15" s="150"/>
      <c r="G15" s="150"/>
      <c r="H15" s="150"/>
    </row>
    <row r="16" spans="1:10" ht="19.95" customHeight="1"/>
    <row r="17" spans="1:8" s="228" customFormat="1" ht="19.95" customHeight="1">
      <c r="A17" s="227" t="s">
        <v>233</v>
      </c>
      <c r="D17" s="229"/>
    </row>
    <row r="18" spans="1:8" s="228" customFormat="1" ht="19.8" customHeight="1">
      <c r="A18" s="232" t="s">
        <v>135</v>
      </c>
      <c r="B18" s="330" t="s">
        <v>144</v>
      </c>
      <c r="C18" s="331"/>
      <c r="D18" s="330" t="s">
        <v>148</v>
      </c>
      <c r="E18" s="331"/>
      <c r="F18" s="239" t="s">
        <v>139</v>
      </c>
      <c r="G18" s="240" t="s">
        <v>140</v>
      </c>
      <c r="H18" s="230"/>
    </row>
    <row r="19" spans="1:8" s="228" customFormat="1" ht="33" customHeight="1">
      <c r="A19" s="231"/>
      <c r="B19" s="326"/>
      <c r="C19" s="327"/>
      <c r="D19" s="332" t="s">
        <v>177</v>
      </c>
      <c r="E19" s="333"/>
      <c r="F19" s="323" t="s">
        <v>141</v>
      </c>
      <c r="G19" s="231"/>
    </row>
    <row r="20" spans="1:8" s="228" customFormat="1" ht="33" customHeight="1">
      <c r="A20" s="231"/>
      <c r="B20" s="326"/>
      <c r="C20" s="327"/>
      <c r="D20" s="334"/>
      <c r="E20" s="335"/>
      <c r="F20" s="324"/>
      <c r="G20" s="231"/>
    </row>
    <row r="21" spans="1:8" s="228" customFormat="1" ht="33" customHeight="1">
      <c r="A21" s="231"/>
      <c r="B21" s="326"/>
      <c r="C21" s="327"/>
      <c r="D21" s="334"/>
      <c r="E21" s="335"/>
      <c r="F21" s="324"/>
      <c r="G21" s="231"/>
    </row>
    <row r="22" spans="1:8" s="228" customFormat="1" ht="33" customHeight="1">
      <c r="A22" s="231"/>
      <c r="B22" s="326"/>
      <c r="C22" s="327"/>
      <c r="D22" s="334"/>
      <c r="E22" s="335"/>
      <c r="F22" s="324"/>
      <c r="G22" s="231"/>
    </row>
    <row r="23" spans="1:8" s="228" customFormat="1" ht="33" customHeight="1">
      <c r="A23" s="231"/>
      <c r="B23" s="326"/>
      <c r="C23" s="327"/>
      <c r="D23" s="336"/>
      <c r="E23" s="337"/>
      <c r="F23" s="325"/>
      <c r="G23" s="231"/>
    </row>
    <row r="24" spans="1:8" ht="19.95" customHeight="1">
      <c r="A24" s="154"/>
      <c r="B24" s="154"/>
      <c r="C24" s="154"/>
      <c r="D24" s="154"/>
      <c r="E24" s="154"/>
      <c r="F24" s="154"/>
    </row>
    <row r="25" spans="1:8" ht="19.95" customHeight="1">
      <c r="A25" s="155" t="s">
        <v>142</v>
      </c>
    </row>
    <row r="26" spans="1:8" ht="19.95" customHeight="1">
      <c r="A26" s="142"/>
    </row>
    <row r="27" spans="1:8" ht="19.95" customHeight="1">
      <c r="A27" s="142"/>
    </row>
    <row r="28" spans="1:8" ht="19.95" customHeight="1">
      <c r="A28" s="155" t="s">
        <v>143</v>
      </c>
    </row>
    <row r="29" spans="1:8" ht="19.95" customHeight="1"/>
    <row r="30" spans="1:8" ht="20.100000000000001" customHeight="1">
      <c r="A30" s="236" t="s">
        <v>234</v>
      </c>
    </row>
    <row r="31" spans="1:8" ht="20.100000000000001" customHeight="1">
      <c r="A31" s="235" t="s">
        <v>247</v>
      </c>
    </row>
    <row r="32" spans="1:8" ht="20.100000000000001" customHeight="1">
      <c r="A32" s="237" t="s">
        <v>248</v>
      </c>
      <c r="B32" s="156"/>
      <c r="C32" s="156"/>
      <c r="D32" s="156"/>
      <c r="E32" s="156"/>
      <c r="F32" s="156"/>
      <c r="G32" s="156"/>
      <c r="H32" s="156"/>
    </row>
    <row r="33" spans="1:2" s="12" customFormat="1" ht="18" customHeight="1">
      <c r="A33" s="245" t="s">
        <v>249</v>
      </c>
      <c r="B33" s="24"/>
    </row>
    <row r="34" spans="1:2" s="12" customFormat="1" ht="18" customHeight="1">
      <c r="A34" s="244" t="s">
        <v>250</v>
      </c>
      <c r="B34" s="24"/>
    </row>
    <row r="35" spans="1:2" s="12" customFormat="1" ht="18" customHeight="1">
      <c r="A35" s="244" t="s">
        <v>251</v>
      </c>
      <c r="B35" s="24"/>
    </row>
    <row r="36" spans="1:2" s="12" customFormat="1" ht="18" customHeight="1">
      <c r="A36" s="244" t="s">
        <v>252</v>
      </c>
      <c r="B36" s="24"/>
    </row>
    <row r="37" spans="1:2" s="12" customFormat="1" ht="13.8">
      <c r="A37" s="243"/>
    </row>
  </sheetData>
  <mergeCells count="11">
    <mergeCell ref="F19:F23"/>
    <mergeCell ref="B20:C20"/>
    <mergeCell ref="B21:C21"/>
    <mergeCell ref="B22:C22"/>
    <mergeCell ref="A1:H1"/>
    <mergeCell ref="A2:H2"/>
    <mergeCell ref="B23:C23"/>
    <mergeCell ref="B18:C18"/>
    <mergeCell ref="D18:E18"/>
    <mergeCell ref="B19:C19"/>
    <mergeCell ref="D19:E23"/>
  </mergeCells>
  <phoneticPr fontId="12" type="noConversion"/>
  <hyperlinks>
    <hyperlink ref="H3" location="底稿目录!A1" display="底稿目录!A1"/>
  </hyperlinks>
  <pageMargins left="0.74803149606299213" right="0.74803149606299213" top="0.98425196850393704" bottom="0.98425196850393704" header="0.51181102362204722" footer="0.51181102362204722"/>
  <pageSetup paperSize="9" scale="65" orientation="portrait" blackAndWhite="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83"/>
  <sheetViews>
    <sheetView view="pageBreakPreview" zoomScaleSheetLayoutView="100" workbookViewId="0">
      <selection activeCell="Q3" sqref="Q3"/>
    </sheetView>
  </sheetViews>
  <sheetFormatPr defaultColWidth="9" defaultRowHeight="13.8"/>
  <cols>
    <col min="1" max="1" width="11.59765625" style="12" customWidth="1"/>
    <col min="2" max="3" width="9" style="12"/>
    <col min="4" max="4" width="12.59765625" style="12" customWidth="1"/>
    <col min="5" max="5" width="9.59765625" style="12" customWidth="1"/>
    <col min="6" max="6" width="13.59765625" style="12" customWidth="1"/>
    <col min="7" max="7" width="10.19921875" style="12" customWidth="1"/>
    <col min="8" max="8" width="11.09765625" style="12" customWidth="1"/>
    <col min="9" max="9" width="23.19921875" style="12" customWidth="1"/>
    <col min="10" max="14" width="4.09765625" style="12" customWidth="1"/>
    <col min="15" max="15" width="9.3984375" style="12" customWidth="1"/>
    <col min="16" max="16" width="7" style="12" customWidth="1"/>
    <col min="17" max="17" width="14.19921875" style="12" customWidth="1"/>
    <col min="18" max="18" width="24.5" style="12" customWidth="1"/>
    <col min="19" max="16384" width="9" style="12"/>
  </cols>
  <sheetData>
    <row r="1" spans="1:18" s="28" customFormat="1" ht="19.95" customHeight="1">
      <c r="A1" s="310" t="s">
        <v>16</v>
      </c>
      <c r="B1" s="310"/>
      <c r="C1" s="310"/>
      <c r="D1" s="310"/>
      <c r="E1" s="310"/>
      <c r="F1" s="310"/>
      <c r="G1" s="310"/>
      <c r="H1" s="310"/>
      <c r="I1" s="310"/>
      <c r="J1" s="310"/>
      <c r="K1" s="310"/>
      <c r="L1" s="310"/>
      <c r="M1" s="310"/>
      <c r="N1" s="310"/>
      <c r="O1" s="310"/>
      <c r="P1" s="310"/>
      <c r="Q1" s="310"/>
    </row>
    <row r="2" spans="1:18" s="13" customFormat="1" ht="19.95" customHeight="1">
      <c r="A2" s="311" t="s">
        <v>254</v>
      </c>
      <c r="B2" s="311"/>
      <c r="C2" s="311"/>
      <c r="D2" s="311"/>
      <c r="E2" s="311"/>
      <c r="F2" s="311"/>
      <c r="G2" s="311"/>
      <c r="H2" s="311"/>
      <c r="I2" s="311"/>
      <c r="J2" s="311"/>
      <c r="K2" s="311"/>
      <c r="L2" s="311"/>
      <c r="M2" s="311"/>
      <c r="N2" s="311"/>
      <c r="O2" s="311"/>
      <c r="P2" s="311"/>
      <c r="Q2" s="311"/>
    </row>
    <row r="3" spans="1:18" ht="19.95" customHeight="1">
      <c r="A3" s="12" t="str">
        <f>底稿目录!A2</f>
        <v>被审计单位：</v>
      </c>
      <c r="C3" s="14"/>
      <c r="D3" s="14"/>
      <c r="F3" s="14" t="str">
        <f>底稿目录!A4</f>
        <v>编制人：</v>
      </c>
      <c r="I3" s="14" t="str">
        <f>底稿目录!A5</f>
        <v>编制日期：</v>
      </c>
      <c r="P3" s="103" t="s">
        <v>84</v>
      </c>
      <c r="Q3" s="260" t="str">
        <f>底稿目录!F12</f>
        <v>K10-6</v>
      </c>
    </row>
    <row r="4" spans="1:18" ht="19.95" customHeight="1">
      <c r="A4" s="12" t="str">
        <f>底稿目录!A3</f>
        <v>会计期间：202X年度</v>
      </c>
      <c r="C4" s="14"/>
      <c r="D4" s="14"/>
      <c r="F4" s="14" t="str">
        <f>底稿目录!A6</f>
        <v>复核人：</v>
      </c>
      <c r="I4" s="14" t="str">
        <f>底稿目录!A7</f>
        <v>复核日期：</v>
      </c>
      <c r="P4" s="14" t="s">
        <v>17</v>
      </c>
      <c r="Q4" s="14"/>
    </row>
    <row r="5" spans="1:18" s="16" customFormat="1" ht="19.95" customHeight="1">
      <c r="A5" s="31" t="s">
        <v>18</v>
      </c>
      <c r="B5" s="15"/>
      <c r="D5" s="15"/>
      <c r="E5" s="15"/>
      <c r="F5" s="15"/>
      <c r="G5" s="15"/>
      <c r="H5" s="15"/>
      <c r="I5" s="15"/>
      <c r="J5" s="15"/>
      <c r="K5" s="15"/>
      <c r="L5" s="15"/>
    </row>
    <row r="6" spans="1:18" s="16" customFormat="1" ht="19.95" customHeight="1">
      <c r="A6" s="135" t="s">
        <v>125</v>
      </c>
      <c r="B6" s="135"/>
      <c r="D6" s="33"/>
      <c r="E6" s="33"/>
      <c r="F6" s="33"/>
      <c r="G6" s="33"/>
      <c r="H6" s="135" t="s">
        <v>126</v>
      </c>
      <c r="I6" s="135"/>
      <c r="J6" s="33"/>
      <c r="K6" s="33"/>
      <c r="L6" s="33"/>
    </row>
    <row r="7" spans="1:18" s="16" customFormat="1" ht="19.95" customHeight="1">
      <c r="A7" s="135" t="s">
        <v>127</v>
      </c>
      <c r="B7" s="135"/>
      <c r="D7" s="33"/>
      <c r="E7" s="33"/>
      <c r="F7" s="33"/>
      <c r="G7" s="33"/>
      <c r="H7" s="135" t="s">
        <v>128</v>
      </c>
      <c r="I7" s="135"/>
      <c r="J7" s="33"/>
      <c r="K7" s="33"/>
      <c r="L7" s="33"/>
    </row>
    <row r="8" spans="1:18" s="16" customFormat="1" ht="19.95" customHeight="1">
      <c r="A8" s="190" t="s">
        <v>270</v>
      </c>
      <c r="C8" s="246" t="s">
        <v>253</v>
      </c>
      <c r="D8" s="191"/>
      <c r="E8" s="192"/>
      <c r="F8" s="193"/>
    </row>
    <row r="9" spans="1:18" s="16" customFormat="1" ht="19.95" customHeight="1">
      <c r="A9" s="189" t="s">
        <v>179</v>
      </c>
      <c r="B9" s="17"/>
      <c r="C9" s="35"/>
      <c r="D9" s="35"/>
      <c r="E9" s="36"/>
      <c r="F9" s="37"/>
      <c r="G9" s="17"/>
      <c r="H9" s="17"/>
      <c r="I9" s="17"/>
      <c r="J9" s="17"/>
      <c r="K9" s="17"/>
      <c r="L9" s="17"/>
      <c r="M9" s="17"/>
      <c r="N9" s="17"/>
      <c r="O9" s="17"/>
      <c r="P9" s="17"/>
    </row>
    <row r="10" spans="1:18" s="16" customFormat="1" ht="19.95" customHeight="1">
      <c r="A10" s="339" t="s">
        <v>255</v>
      </c>
      <c r="B10" s="352" t="s">
        <v>256</v>
      </c>
      <c r="C10" s="353"/>
      <c r="D10" s="353"/>
      <c r="E10" s="353"/>
      <c r="F10" s="353"/>
      <c r="G10" s="354"/>
      <c r="H10" s="348" t="s">
        <v>257</v>
      </c>
      <c r="I10" s="349"/>
      <c r="J10" s="345" t="s">
        <v>258</v>
      </c>
      <c r="K10" s="346"/>
      <c r="L10" s="346"/>
      <c r="M10" s="346"/>
      <c r="N10" s="346"/>
      <c r="O10" s="347" t="s">
        <v>259</v>
      </c>
      <c r="P10" s="341" t="s">
        <v>260</v>
      </c>
      <c r="Q10" s="343" t="s">
        <v>261</v>
      </c>
      <c r="R10" s="338"/>
    </row>
    <row r="11" spans="1:18" ht="19.95" customHeight="1">
      <c r="A11" s="340"/>
      <c r="B11" s="262" t="s">
        <v>262</v>
      </c>
      <c r="C11" s="262" t="s">
        <v>263</v>
      </c>
      <c r="D11" s="262" t="s">
        <v>264</v>
      </c>
      <c r="E11" s="262" t="s">
        <v>265</v>
      </c>
      <c r="F11" s="262" t="s">
        <v>266</v>
      </c>
      <c r="G11" s="261" t="s">
        <v>267</v>
      </c>
      <c r="H11" s="350"/>
      <c r="I11" s="351"/>
      <c r="J11" s="247">
        <v>1</v>
      </c>
      <c r="K11" s="247">
        <v>2</v>
      </c>
      <c r="L11" s="247">
        <v>3</v>
      </c>
      <c r="M11" s="247">
        <v>4</v>
      </c>
      <c r="N11" s="247">
        <v>5</v>
      </c>
      <c r="O11" s="347"/>
      <c r="P11" s="342"/>
      <c r="Q11" s="344"/>
      <c r="R11" s="338"/>
    </row>
    <row r="12" spans="1:18" ht="19.95" customHeight="1">
      <c r="A12" s="34"/>
      <c r="B12" s="248"/>
      <c r="C12" s="249"/>
      <c r="D12" s="250"/>
      <c r="E12" s="250"/>
      <c r="F12" s="250"/>
      <c r="G12" s="251"/>
      <c r="H12" s="355" t="s">
        <v>268</v>
      </c>
      <c r="I12" s="356"/>
      <c r="J12" s="252"/>
      <c r="K12" s="252"/>
      <c r="L12" s="252"/>
      <c r="M12" s="252"/>
      <c r="N12" s="252"/>
      <c r="O12" s="253"/>
      <c r="P12" s="254"/>
      <c r="Q12" s="254"/>
    </row>
    <row r="13" spans="1:18" ht="19.95" customHeight="1">
      <c r="A13" s="34"/>
      <c r="B13" s="248"/>
      <c r="C13" s="249"/>
      <c r="D13" s="250"/>
      <c r="E13" s="250"/>
      <c r="F13" s="250"/>
      <c r="G13" s="251"/>
      <c r="H13" s="355"/>
      <c r="I13" s="356"/>
      <c r="J13" s="252"/>
      <c r="K13" s="252"/>
      <c r="L13" s="252"/>
      <c r="M13" s="252"/>
      <c r="N13" s="252"/>
      <c r="O13" s="253"/>
      <c r="P13" s="254"/>
      <c r="Q13" s="254"/>
    </row>
    <row r="14" spans="1:18" ht="19.95" customHeight="1">
      <c r="A14" s="34"/>
      <c r="B14" s="248"/>
      <c r="C14" s="249"/>
      <c r="D14" s="250"/>
      <c r="E14" s="250"/>
      <c r="F14" s="250"/>
      <c r="G14" s="251"/>
      <c r="H14" s="355"/>
      <c r="I14" s="356"/>
      <c r="J14" s="252"/>
      <c r="K14" s="252"/>
      <c r="L14" s="252"/>
      <c r="M14" s="252"/>
      <c r="N14" s="252"/>
      <c r="O14" s="253"/>
      <c r="P14" s="254"/>
      <c r="Q14" s="254"/>
    </row>
    <row r="15" spans="1:18" ht="19.95" customHeight="1">
      <c r="A15" s="34"/>
      <c r="B15" s="248"/>
      <c r="C15" s="249"/>
      <c r="D15" s="250"/>
      <c r="E15" s="250"/>
      <c r="F15" s="250"/>
      <c r="G15" s="251"/>
      <c r="H15" s="355"/>
      <c r="I15" s="356"/>
      <c r="J15" s="252"/>
      <c r="K15" s="252"/>
      <c r="L15" s="252"/>
      <c r="M15" s="252"/>
      <c r="N15" s="252"/>
      <c r="O15" s="253"/>
      <c r="P15" s="254"/>
      <c r="Q15" s="254"/>
    </row>
    <row r="16" spans="1:18" ht="19.95" customHeight="1">
      <c r="A16" s="34"/>
      <c r="B16" s="248"/>
      <c r="C16" s="249"/>
      <c r="D16" s="250"/>
      <c r="E16" s="250"/>
      <c r="F16" s="250"/>
      <c r="G16" s="251"/>
      <c r="H16" s="355"/>
      <c r="I16" s="356"/>
      <c r="J16" s="252"/>
      <c r="K16" s="252"/>
      <c r="L16" s="252"/>
      <c r="M16" s="252"/>
      <c r="N16" s="252"/>
      <c r="O16" s="253"/>
      <c r="P16" s="254"/>
      <c r="Q16" s="254"/>
    </row>
    <row r="17" spans="1:17" ht="19.95" customHeight="1">
      <c r="A17" s="34"/>
      <c r="B17" s="248"/>
      <c r="C17" s="249"/>
      <c r="D17" s="250"/>
      <c r="E17" s="250"/>
      <c r="F17" s="250"/>
      <c r="G17" s="251"/>
      <c r="H17" s="355"/>
      <c r="I17" s="356"/>
      <c r="J17" s="252"/>
      <c r="K17" s="252"/>
      <c r="L17" s="252"/>
      <c r="M17" s="252"/>
      <c r="N17" s="252"/>
      <c r="O17" s="253"/>
      <c r="P17" s="254"/>
      <c r="Q17" s="254"/>
    </row>
    <row r="18" spans="1:17" ht="19.95" customHeight="1">
      <c r="A18" s="34"/>
      <c r="B18" s="248"/>
      <c r="C18" s="249"/>
      <c r="D18" s="250"/>
      <c r="E18" s="250"/>
      <c r="F18" s="250"/>
      <c r="G18" s="251"/>
      <c r="H18" s="355"/>
      <c r="I18" s="356"/>
      <c r="J18" s="252"/>
      <c r="K18" s="252"/>
      <c r="L18" s="252"/>
      <c r="M18" s="252"/>
      <c r="N18" s="252"/>
      <c r="O18" s="253"/>
      <c r="P18" s="254"/>
      <c r="Q18" s="254"/>
    </row>
    <row r="19" spans="1:17" ht="19.95" customHeight="1">
      <c r="A19" s="34"/>
      <c r="B19" s="248"/>
      <c r="C19" s="249"/>
      <c r="D19" s="250"/>
      <c r="E19" s="250"/>
      <c r="F19" s="250"/>
      <c r="G19" s="251"/>
      <c r="H19" s="355"/>
      <c r="I19" s="356"/>
      <c r="J19" s="252"/>
      <c r="K19" s="252"/>
      <c r="L19" s="252"/>
      <c r="M19" s="252"/>
      <c r="N19" s="252"/>
      <c r="O19" s="253"/>
      <c r="P19" s="254"/>
      <c r="Q19" s="254"/>
    </row>
    <row r="20" spans="1:17" ht="19.95" customHeight="1">
      <c r="A20" s="34"/>
      <c r="B20" s="248"/>
      <c r="C20" s="249"/>
      <c r="D20" s="250"/>
      <c r="E20" s="250"/>
      <c r="F20" s="250"/>
      <c r="G20" s="251"/>
      <c r="H20" s="355"/>
      <c r="I20" s="356"/>
      <c r="J20" s="252"/>
      <c r="K20" s="252"/>
      <c r="L20" s="252"/>
      <c r="M20" s="252"/>
      <c r="N20" s="252"/>
      <c r="O20" s="253"/>
      <c r="P20" s="254"/>
      <c r="Q20" s="254"/>
    </row>
    <row r="21" spans="1:17" ht="19.95" customHeight="1">
      <c r="A21" s="34"/>
      <c r="B21" s="248"/>
      <c r="C21" s="249"/>
      <c r="D21" s="250"/>
      <c r="E21" s="250"/>
      <c r="F21" s="250"/>
      <c r="G21" s="251"/>
      <c r="H21" s="355"/>
      <c r="I21" s="356"/>
      <c r="J21" s="252"/>
      <c r="K21" s="252"/>
      <c r="L21" s="252"/>
      <c r="M21" s="252"/>
      <c r="N21" s="252"/>
      <c r="O21" s="253"/>
      <c r="P21" s="254"/>
      <c r="Q21" s="254"/>
    </row>
    <row r="22" spans="1:17" ht="19.95" customHeight="1">
      <c r="A22" s="361" t="s">
        <v>269</v>
      </c>
      <c r="B22" s="361"/>
      <c r="C22" s="361"/>
      <c r="D22" s="361"/>
      <c r="E22" s="255"/>
      <c r="F22" s="255"/>
      <c r="G22" s="256">
        <f>SUM(G12:G21)</f>
        <v>0</v>
      </c>
      <c r="H22" s="360"/>
      <c r="I22" s="360"/>
      <c r="J22" s="257"/>
      <c r="K22" s="257"/>
      <c r="L22" s="256"/>
      <c r="M22" s="257"/>
      <c r="N22" s="257"/>
      <c r="O22" s="256"/>
      <c r="P22" s="257"/>
      <c r="Q22" s="257"/>
    </row>
    <row r="23" spans="1:17" ht="19.95" customHeight="1">
      <c r="A23" s="357" t="s">
        <v>311</v>
      </c>
      <c r="B23" s="357"/>
      <c r="C23" s="357"/>
      <c r="D23" s="357"/>
      <c r="E23" s="255"/>
      <c r="F23" s="255"/>
      <c r="G23" s="256">
        <f>'明细表K10-2'!G17</f>
        <v>0</v>
      </c>
      <c r="H23" s="358"/>
      <c r="I23" s="359"/>
      <c r="J23" s="257"/>
      <c r="K23" s="257"/>
      <c r="L23" s="256"/>
      <c r="M23" s="257"/>
      <c r="N23" s="257"/>
      <c r="O23" s="256"/>
      <c r="P23" s="257"/>
      <c r="Q23" s="257"/>
    </row>
    <row r="24" spans="1:17" ht="19.95" customHeight="1">
      <c r="A24" s="357" t="s">
        <v>312</v>
      </c>
      <c r="B24" s="357"/>
      <c r="C24" s="357"/>
      <c r="D24" s="357"/>
      <c r="E24" s="255"/>
      <c r="F24" s="255"/>
      <c r="G24" s="271" t="e">
        <f>G22/G23</f>
        <v>#DIV/0!</v>
      </c>
      <c r="H24" s="358"/>
      <c r="I24" s="359"/>
      <c r="J24" s="257"/>
      <c r="K24" s="257"/>
      <c r="L24" s="256"/>
      <c r="M24" s="257"/>
      <c r="N24" s="257"/>
      <c r="O24" s="256"/>
      <c r="P24" s="257"/>
      <c r="Q24" s="257"/>
    </row>
    <row r="25" spans="1:17" s="11" customFormat="1" ht="19.95" customHeight="1">
      <c r="A25" s="190" t="s">
        <v>271</v>
      </c>
      <c r="H25" s="183"/>
      <c r="I25" s="184"/>
      <c r="J25" s="184"/>
      <c r="K25" s="18"/>
      <c r="L25" s="18"/>
      <c r="M25" s="18"/>
      <c r="N25" s="18"/>
      <c r="O25" s="18"/>
    </row>
    <row r="26" spans="1:17" s="11" customFormat="1" ht="19.95" customHeight="1">
      <c r="I26" s="184"/>
      <c r="J26" s="184"/>
      <c r="K26" s="18"/>
      <c r="L26" s="18"/>
      <c r="M26" s="18"/>
      <c r="N26" s="18"/>
      <c r="O26" s="18"/>
    </row>
    <row r="27" spans="1:17" s="19" customFormat="1" ht="19.95" customHeight="1">
      <c r="I27" s="184"/>
      <c r="J27" s="185"/>
      <c r="K27" s="20"/>
      <c r="L27" s="20"/>
      <c r="M27" s="20"/>
      <c r="N27" s="20"/>
      <c r="O27" s="20"/>
    </row>
    <row r="28" spans="1:17" ht="19.95" customHeight="1">
      <c r="A28" s="11"/>
      <c r="B28" s="11"/>
      <c r="C28" s="11"/>
      <c r="D28" s="11"/>
      <c r="E28" s="11"/>
      <c r="F28" s="11"/>
      <c r="G28" s="11"/>
      <c r="H28" s="11"/>
      <c r="J28" s="14"/>
      <c r="K28" s="14"/>
      <c r="L28" s="14"/>
      <c r="M28" s="14"/>
      <c r="N28" s="14"/>
      <c r="O28" s="14"/>
      <c r="P28" s="11"/>
      <c r="Q28" s="11"/>
    </row>
    <row r="29" spans="1:17" ht="19.95" customHeight="1">
      <c r="A29" s="137" t="s">
        <v>272</v>
      </c>
      <c r="B29" s="11"/>
      <c r="C29" s="11"/>
      <c r="D29" s="11"/>
      <c r="E29" s="11"/>
      <c r="F29" s="11"/>
      <c r="G29" s="11"/>
      <c r="H29" s="11"/>
      <c r="J29" s="14"/>
      <c r="K29" s="14"/>
      <c r="L29" s="14"/>
      <c r="M29" s="14"/>
      <c r="N29" s="14"/>
      <c r="O29" s="14"/>
      <c r="P29" s="11"/>
      <c r="Q29" s="11"/>
    </row>
    <row r="30" spans="1:17" ht="19.95" customHeight="1">
      <c r="A30" s="11"/>
      <c r="B30" s="11"/>
      <c r="C30" s="11"/>
      <c r="D30" s="11"/>
      <c r="E30" s="11"/>
      <c r="F30" s="11"/>
      <c r="G30" s="11"/>
      <c r="H30" s="11"/>
      <c r="I30" s="14"/>
      <c r="J30" s="14"/>
      <c r="K30" s="14"/>
      <c r="L30" s="14"/>
      <c r="M30" s="14"/>
      <c r="N30" s="14"/>
      <c r="O30" s="14"/>
      <c r="P30" s="11"/>
      <c r="Q30" s="11"/>
    </row>
    <row r="31" spans="1:17" ht="18" customHeight="1">
      <c r="A31" s="242" t="s">
        <v>246</v>
      </c>
      <c r="B31" s="21"/>
      <c r="D31" s="22"/>
      <c r="E31" s="22"/>
      <c r="F31" s="22"/>
      <c r="G31" s="22"/>
      <c r="H31" s="22"/>
      <c r="I31" s="22"/>
      <c r="J31" s="22"/>
      <c r="K31" s="22"/>
      <c r="L31" s="22"/>
      <c r="M31" s="22"/>
      <c r="N31" s="22"/>
      <c r="O31" s="22"/>
    </row>
    <row r="32" spans="1:17" ht="18" customHeight="1">
      <c r="A32" s="243" t="s">
        <v>242</v>
      </c>
      <c r="F32" s="22"/>
      <c r="G32" s="22"/>
      <c r="H32" s="22"/>
      <c r="I32" s="22"/>
      <c r="J32" s="22"/>
      <c r="K32" s="22"/>
      <c r="L32" s="22"/>
      <c r="M32" s="22"/>
      <c r="N32" s="22"/>
      <c r="O32" s="22"/>
    </row>
    <row r="33" spans="1:4" ht="18" customHeight="1">
      <c r="A33" s="243" t="s">
        <v>243</v>
      </c>
    </row>
    <row r="34" spans="1:4" ht="18" customHeight="1">
      <c r="A34" s="243" t="s">
        <v>244</v>
      </c>
      <c r="B34" s="23"/>
    </row>
    <row r="35" spans="1:4" ht="18" customHeight="1">
      <c r="A35" s="244" t="s">
        <v>245</v>
      </c>
      <c r="B35" s="24"/>
    </row>
    <row r="41" spans="1:4">
      <c r="B41" s="23"/>
    </row>
    <row r="42" spans="1:4" s="23" customFormat="1">
      <c r="B42" s="25"/>
    </row>
    <row r="43" spans="1:4" s="23" customFormat="1">
      <c r="B43" s="25"/>
    </row>
    <row r="44" spans="1:4" s="23" customFormat="1">
      <c r="B44" s="25"/>
    </row>
    <row r="45" spans="1:4" s="23" customFormat="1">
      <c r="B45" s="25"/>
    </row>
    <row r="46" spans="1:4" s="23" customFormat="1">
      <c r="B46" s="25"/>
    </row>
    <row r="47" spans="1:4" s="23" customFormat="1">
      <c r="B47" s="25"/>
      <c r="C47" s="41"/>
      <c r="D47" s="10"/>
    </row>
    <row r="48" spans="1:4" s="23" customFormat="1">
      <c r="B48" s="25"/>
      <c r="C48" s="10"/>
      <c r="D48" s="10"/>
    </row>
    <row r="49" spans="2:4" s="23" customFormat="1">
      <c r="B49" s="25"/>
      <c r="C49" s="10"/>
      <c r="D49" s="10"/>
    </row>
    <row r="50" spans="2:4" s="23" customFormat="1">
      <c r="B50" s="26"/>
      <c r="C50" s="10"/>
      <c r="D50" s="9"/>
    </row>
    <row r="51" spans="2:4" s="23" customFormat="1">
      <c r="C51" s="10"/>
      <c r="D51" s="9"/>
    </row>
    <row r="52" spans="2:4" s="23" customFormat="1"/>
    <row r="53" spans="2:4">
      <c r="B53" s="25"/>
      <c r="C53" s="23"/>
    </row>
    <row r="54" spans="2:4">
      <c r="C54" s="23"/>
    </row>
    <row r="55" spans="2:4">
      <c r="C55" s="23"/>
    </row>
    <row r="56" spans="2:4">
      <c r="C56" s="23"/>
    </row>
    <row r="57" spans="2:4">
      <c r="C57" s="23"/>
    </row>
    <row r="58" spans="2:4">
      <c r="C58" s="23"/>
    </row>
    <row r="59" spans="2:4">
      <c r="C59" s="23"/>
    </row>
    <row r="61" spans="2:4">
      <c r="C61" s="42"/>
    </row>
    <row r="62" spans="2:4">
      <c r="C62" s="23"/>
    </row>
    <row r="63" spans="2:4">
      <c r="C63" s="23"/>
    </row>
    <row r="65" spans="2:4">
      <c r="B65" s="25"/>
      <c r="C65" s="23"/>
      <c r="D65" s="23"/>
    </row>
    <row r="66" spans="2:4">
      <c r="C66" s="23"/>
      <c r="D66" s="23"/>
    </row>
    <row r="67" spans="2:4">
      <c r="C67" s="23"/>
      <c r="D67" s="23"/>
    </row>
    <row r="68" spans="2:4">
      <c r="C68" s="23"/>
      <c r="D68" s="23"/>
    </row>
    <row r="69" spans="2:4">
      <c r="C69" s="23"/>
      <c r="D69" s="23"/>
    </row>
    <row r="70" spans="2:4">
      <c r="C70" s="23"/>
      <c r="D70" s="23"/>
    </row>
    <row r="71" spans="2:4">
      <c r="C71" s="23"/>
    </row>
    <row r="72" spans="2:4">
      <c r="C72" s="23"/>
    </row>
    <row r="73" spans="2:4">
      <c r="C73" s="23"/>
    </row>
    <row r="74" spans="2:4">
      <c r="C74" s="42"/>
      <c r="D74" s="23"/>
    </row>
    <row r="75" spans="2:4">
      <c r="C75" s="23"/>
      <c r="D75" s="23"/>
    </row>
    <row r="76" spans="2:4">
      <c r="C76" s="23"/>
      <c r="D76" s="23"/>
    </row>
    <row r="77" spans="2:4">
      <c r="C77" s="23"/>
      <c r="D77" s="23"/>
    </row>
    <row r="78" spans="2:4">
      <c r="C78" s="23"/>
      <c r="D78" s="23"/>
    </row>
    <row r="79" spans="2:4">
      <c r="C79" s="23"/>
      <c r="D79" s="23"/>
    </row>
    <row r="80" spans="2:4">
      <c r="C80" s="23"/>
      <c r="D80" s="23"/>
    </row>
    <row r="81" spans="3:4">
      <c r="C81" s="23"/>
      <c r="D81" s="23"/>
    </row>
    <row r="82" spans="3:4">
      <c r="C82" s="23"/>
      <c r="D82" s="23"/>
    </row>
    <row r="83" spans="3:4">
      <c r="C83" s="23"/>
      <c r="D83" s="23"/>
    </row>
  </sheetData>
  <mergeCells count="26">
    <mergeCell ref="A24:D24"/>
    <mergeCell ref="H23:I23"/>
    <mergeCell ref="H24:I24"/>
    <mergeCell ref="H14:I14"/>
    <mergeCell ref="H15:I15"/>
    <mergeCell ref="H16:I16"/>
    <mergeCell ref="H20:I20"/>
    <mergeCell ref="H21:I21"/>
    <mergeCell ref="H22:I22"/>
    <mergeCell ref="A23:D23"/>
    <mergeCell ref="A22:D22"/>
    <mergeCell ref="H12:I12"/>
    <mergeCell ref="H13:I13"/>
    <mergeCell ref="H17:I17"/>
    <mergeCell ref="H18:I18"/>
    <mergeCell ref="H19:I19"/>
    <mergeCell ref="A2:Q2"/>
    <mergeCell ref="A1:Q1"/>
    <mergeCell ref="R10:R11"/>
    <mergeCell ref="A10:A11"/>
    <mergeCell ref="P10:P11"/>
    <mergeCell ref="Q10:Q11"/>
    <mergeCell ref="J10:N10"/>
    <mergeCell ref="O10:O11"/>
    <mergeCell ref="H10:I11"/>
    <mergeCell ref="B10:G10"/>
  </mergeCells>
  <phoneticPr fontId="12" type="noConversion"/>
  <dataValidations count="1">
    <dataValidation type="list" allowBlank="1" showInputMessage="1" showErrorMessage="1" sqref="J12:N21">
      <formula1>"√,X"</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5" fitToHeight="100" orientation="landscape" blackAndWhite="1" cellComments="atEnd"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12</vt:i4>
      </vt:variant>
    </vt:vector>
  </HeadingPairs>
  <TitlesOfParts>
    <vt:vector size="23" baseType="lpstr">
      <vt:lpstr>底稿目录</vt:lpstr>
      <vt:lpstr>实质性程序表K10A</vt:lpstr>
      <vt:lpstr>审定表K10-1</vt:lpstr>
      <vt:lpstr>附注披露信息（上市公司）</vt:lpstr>
      <vt:lpstr>附注披露信息（国企）</vt:lpstr>
      <vt:lpstr>明细表K10-2</vt:lpstr>
      <vt:lpstr>调整分录汇总K10-3</vt:lpstr>
      <vt:lpstr>政府补助核对表K10-4</vt:lpstr>
      <vt:lpstr>应收政府补助检查表K10-5</vt:lpstr>
      <vt:lpstr>其他收益检查表K10-6</vt:lpstr>
      <vt:lpstr>GT_Custom</vt:lpstr>
      <vt:lpstr>实质性程序表K10A!_FilterDatabase</vt:lpstr>
      <vt:lpstr>'调整分录汇总K10-3'!Print_Area</vt:lpstr>
      <vt:lpstr>'附注披露信息（国企）'!Print_Area</vt:lpstr>
      <vt:lpstr>'附注披露信息（上市公司）'!Print_Area</vt:lpstr>
      <vt:lpstr>'明细表K10-2'!Print_Area</vt:lpstr>
      <vt:lpstr>'其他收益检查表K10-6'!Print_Area</vt:lpstr>
      <vt:lpstr>'审定表K10-1'!Print_Area</vt:lpstr>
      <vt:lpstr>实质性程序表K10A!Print_Area</vt:lpstr>
      <vt:lpstr>'应收政府补助检查表K10-5'!Print_Area</vt:lpstr>
      <vt:lpstr>'政府补助核对表K10-4'!Print_Area</vt:lpstr>
      <vt:lpstr>'审定表K10-1'!Print_Titles</vt:lpstr>
      <vt:lpstr>实质性程序表K10A!Print_Titles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2025-10-22T03:16:54Z</cp:lastPrinted>
  <dcterms:created xsi:type="dcterms:W3CDTF">2007-05-20T08:51:05Z</dcterms:created>
  <dcterms:modified xsi:type="dcterms:W3CDTF">2025-11-05T07:31:21Z</dcterms:modified>
</cp:coreProperties>
</file>