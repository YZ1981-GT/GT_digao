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768" yWindow="768" windowWidth="23040" windowHeight="11964" tabRatio="826"/>
  </bookViews>
  <sheets>
    <sheet name="底稿目录" sheetId="6" r:id="rId1"/>
    <sheet name="实质性程序表 K5A" sheetId="11" r:id="rId2"/>
    <sheet name="审定表 K5-1" sheetId="1" r:id="rId3"/>
    <sheet name="附注披露信息（上市公司)" sheetId="3" r:id="rId4"/>
    <sheet name="附注披露信息（国企）" sheetId="14" r:id="rId5"/>
    <sheet name="明细表 K5-2" sheetId="4" r:id="rId6"/>
    <sheet name="调整分录汇总 K5-3" sheetId="13" r:id="rId7"/>
    <sheet name="产品质量保修检查表 K5-4" sheetId="8" r:id="rId8"/>
    <sheet name="弃置费用检查表 K5-5" sheetId="7" r:id="rId9"/>
    <sheet name="未决诉讼检查表 K5-6" sheetId="12" r:id="rId10"/>
    <sheet name="预计负债检查表 K5-7" sheetId="5" r:id="rId11"/>
  </sheets>
  <definedNames>
    <definedName name="_xlnm.Print_Area" localSheetId="7">'产品质量保修检查表 K5-4'!$A$1:$G$44</definedName>
    <definedName name="_xlnm.Print_Area" localSheetId="6">'调整分录汇总 K5-3'!$A$1:$J$20</definedName>
    <definedName name="_xlnm.Print_Area" localSheetId="4">'附注披露信息（国企）'!$A$1:$E$15</definedName>
    <definedName name="_xlnm.Print_Area" localSheetId="5">'明细表 K5-2'!$A$1:$Q$27</definedName>
    <definedName name="_xlnm.Print_Area" localSheetId="8">'弃置费用检查表 K5-5'!$A$1:$H$30</definedName>
    <definedName name="_xlnm.Print_Area" localSheetId="2">'审定表 K5-1'!$A$1:$L$25</definedName>
    <definedName name="_xlnm.Print_Area" localSheetId="1">'实质性程序表 K5A'!$A$1:$I$30</definedName>
    <definedName name="_xlnm.Print_Area" localSheetId="9">'未决诉讼检查表 K5-6'!$A$1:$J$24</definedName>
    <definedName name="_xlnm.Print_Area" localSheetId="10">'预计负债检查表 K5-7'!$A$1:$Q$46</definedName>
    <definedName name="_xlnm.Print_Titles" localSheetId="1">'实质性程序表 K5A'!$15:$16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5" l="1"/>
  <c r="F41" i="5" s="1"/>
  <c r="H38" i="5" l="1"/>
  <c r="H27" i="5"/>
  <c r="F42" i="5" s="1"/>
  <c r="G38" i="5" l="1"/>
  <c r="F43" i="5" s="1"/>
  <c r="O13" i="4" l="1"/>
  <c r="N13" i="4"/>
  <c r="M13" i="4"/>
  <c r="P13" i="4" s="1"/>
  <c r="G19" i="8" l="1"/>
  <c r="F19" i="8"/>
  <c r="E19" i="8"/>
  <c r="D19" i="8"/>
  <c r="C19" i="8"/>
  <c r="B19" i="8"/>
  <c r="E38" i="8" l="1"/>
  <c r="D38" i="8"/>
  <c r="C38" i="8"/>
  <c r="D21" i="4" l="1"/>
  <c r="E21" i="4"/>
  <c r="G21" i="4"/>
  <c r="H21" i="4"/>
  <c r="I21" i="4"/>
  <c r="J21" i="4"/>
  <c r="K21" i="4"/>
  <c r="L21" i="4"/>
  <c r="C21" i="4"/>
  <c r="F19" i="4"/>
  <c r="F13" i="4"/>
  <c r="F18" i="4"/>
  <c r="F20" i="4"/>
  <c r="E3" i="3" l="1"/>
  <c r="J3" i="12"/>
  <c r="Q3" i="5"/>
  <c r="E28" i="8"/>
  <c r="G3" i="8"/>
  <c r="H3" i="7"/>
  <c r="J3" i="13"/>
  <c r="C3" i="13"/>
  <c r="Q3" i="4"/>
  <c r="M19" i="4"/>
  <c r="N19" i="4"/>
  <c r="O19" i="4"/>
  <c r="E3" i="14"/>
  <c r="L3" i="1"/>
  <c r="I3" i="11"/>
  <c r="A4" i="11"/>
  <c r="P19" i="4" l="1"/>
  <c r="C4" i="14"/>
  <c r="B4" i="14"/>
  <c r="A4" i="14"/>
  <c r="C3" i="14"/>
  <c r="B3" i="14"/>
  <c r="A3" i="14"/>
  <c r="C13" i="14"/>
  <c r="B13" i="14"/>
  <c r="D14" i="14"/>
  <c r="D13" i="14"/>
  <c r="D12" i="14"/>
  <c r="D11" i="14"/>
  <c r="D10" i="14"/>
  <c r="D9" i="14"/>
  <c r="D8" i="14"/>
  <c r="D7" i="14"/>
  <c r="M14" i="4"/>
  <c r="N14" i="4"/>
  <c r="O14" i="4"/>
  <c r="M15" i="4"/>
  <c r="C9" i="14" s="1"/>
  <c r="N15" i="4"/>
  <c r="O15" i="4"/>
  <c r="M16" i="4"/>
  <c r="C10" i="3" s="1"/>
  <c r="N16" i="4"/>
  <c r="O16" i="4"/>
  <c r="M17" i="4"/>
  <c r="C11" i="3" s="1"/>
  <c r="N17" i="4"/>
  <c r="O17" i="4"/>
  <c r="M18" i="4"/>
  <c r="C12" i="3" s="1"/>
  <c r="N18" i="4"/>
  <c r="O18" i="4"/>
  <c r="M20" i="4"/>
  <c r="N20" i="4"/>
  <c r="O20" i="4"/>
  <c r="D7" i="1"/>
  <c r="D8" i="1"/>
  <c r="D9" i="1"/>
  <c r="D10" i="1"/>
  <c r="D11" i="1"/>
  <c r="D12" i="1"/>
  <c r="D13" i="1"/>
  <c r="D14" i="1"/>
  <c r="F7" i="1"/>
  <c r="F14" i="4"/>
  <c r="F15" i="4"/>
  <c r="F9" i="1" s="1"/>
  <c r="F16" i="4"/>
  <c r="F10" i="1" s="1"/>
  <c r="F17" i="4"/>
  <c r="F11" i="1" s="1"/>
  <c r="F12" i="1"/>
  <c r="F13" i="1"/>
  <c r="F14" i="1"/>
  <c r="G7" i="1"/>
  <c r="G8" i="1"/>
  <c r="G9" i="1"/>
  <c r="G10" i="1"/>
  <c r="G11" i="1"/>
  <c r="G12" i="1"/>
  <c r="G13" i="1"/>
  <c r="G14" i="1"/>
  <c r="H7" i="1"/>
  <c r="H8" i="1"/>
  <c r="H9" i="1"/>
  <c r="H10" i="1"/>
  <c r="H11" i="1"/>
  <c r="H12" i="1"/>
  <c r="H13" i="1"/>
  <c r="H14" i="1"/>
  <c r="C7" i="1"/>
  <c r="C8" i="1"/>
  <c r="C9" i="1"/>
  <c r="C10" i="1"/>
  <c r="C11" i="1"/>
  <c r="C12" i="1"/>
  <c r="C13" i="1"/>
  <c r="C14" i="1"/>
  <c r="B7" i="1"/>
  <c r="B8" i="1"/>
  <c r="B9" i="1"/>
  <c r="B10" i="1"/>
  <c r="B11" i="1"/>
  <c r="B12" i="1"/>
  <c r="B13" i="1"/>
  <c r="E13" i="1" s="1"/>
  <c r="B14" i="1"/>
  <c r="A3" i="13"/>
  <c r="F4" i="13"/>
  <c r="C4" i="13"/>
  <c r="A4" i="13"/>
  <c r="F3" i="13"/>
  <c r="D4" i="12"/>
  <c r="F4" i="5"/>
  <c r="C4" i="8"/>
  <c r="C4" i="7"/>
  <c r="G4" i="4"/>
  <c r="B4" i="3"/>
  <c r="D4" i="1"/>
  <c r="F4" i="12"/>
  <c r="J4" i="5"/>
  <c r="E4" i="8"/>
  <c r="E4" i="7"/>
  <c r="L4" i="4"/>
  <c r="C4" i="3"/>
  <c r="I4" i="1"/>
  <c r="E4" i="11"/>
  <c r="C4" i="11"/>
  <c r="A4" i="12"/>
  <c r="F3" i="12"/>
  <c r="D3" i="12"/>
  <c r="A3" i="12"/>
  <c r="F17" i="12"/>
  <c r="F16" i="12"/>
  <c r="F15" i="12"/>
  <c r="F14" i="12"/>
  <c r="F13" i="12"/>
  <c r="F12" i="12"/>
  <c r="F11" i="12"/>
  <c r="E3" i="11"/>
  <c r="C3" i="11"/>
  <c r="A3" i="11"/>
  <c r="D13" i="3"/>
  <c r="C13" i="3"/>
  <c r="B13" i="3"/>
  <c r="A13" i="1"/>
  <c r="A13" i="3" s="1"/>
  <c r="A14" i="1"/>
  <c r="A14" i="3" s="1"/>
  <c r="D8" i="3"/>
  <c r="D9" i="3"/>
  <c r="D10" i="3"/>
  <c r="D11" i="3"/>
  <c r="D12" i="3"/>
  <c r="D14" i="3"/>
  <c r="D7" i="3"/>
  <c r="G25" i="7"/>
  <c r="C25" i="7"/>
  <c r="I3" i="1"/>
  <c r="D3" i="1"/>
  <c r="A4" i="1"/>
  <c r="A3" i="1"/>
  <c r="D25" i="8"/>
  <c r="F25" i="8" s="1"/>
  <c r="D26" i="8"/>
  <c r="F26" i="8" s="1"/>
  <c r="D27" i="8"/>
  <c r="F27" i="8" s="1"/>
  <c r="D24" i="8"/>
  <c r="F24" i="8" s="1"/>
  <c r="B28" i="8"/>
  <c r="A4" i="8"/>
  <c r="E3" i="8"/>
  <c r="C3" i="8"/>
  <c r="A3" i="8"/>
  <c r="A8" i="1"/>
  <c r="A8" i="3" s="1"/>
  <c r="A9" i="1"/>
  <c r="A9" i="14" s="1"/>
  <c r="A10" i="1"/>
  <c r="A10" i="14" s="1"/>
  <c r="A11" i="1"/>
  <c r="A11" i="14" s="1"/>
  <c r="A12" i="1"/>
  <c r="A12" i="14" s="1"/>
  <c r="A7" i="1"/>
  <c r="A7" i="3" s="1"/>
  <c r="A4" i="7"/>
  <c r="E3" i="7"/>
  <c r="C3" i="7"/>
  <c r="A3" i="7"/>
  <c r="A4" i="5"/>
  <c r="J3" i="5"/>
  <c r="F3" i="5"/>
  <c r="A3" i="5"/>
  <c r="A4" i="4"/>
  <c r="L3" i="4"/>
  <c r="G3" i="4"/>
  <c r="A3" i="4"/>
  <c r="A4" i="3"/>
  <c r="C3" i="3"/>
  <c r="B3" i="3"/>
  <c r="A3" i="3"/>
  <c r="E10" i="1" l="1"/>
  <c r="F28" i="8"/>
  <c r="F8" i="1"/>
  <c r="I8" i="1" s="1"/>
  <c r="F21" i="4"/>
  <c r="O21" i="4"/>
  <c r="E41" i="5" s="1"/>
  <c r="G41" i="5" s="1"/>
  <c r="N21" i="4"/>
  <c r="E42" i="5" s="1"/>
  <c r="G42" i="5" s="1"/>
  <c r="C8" i="3"/>
  <c r="M21" i="4"/>
  <c r="D28" i="8"/>
  <c r="E8" i="1"/>
  <c r="E12" i="1"/>
  <c r="E11" i="1"/>
  <c r="H15" i="1"/>
  <c r="H17" i="1" s="1"/>
  <c r="E14" i="1"/>
  <c r="I13" i="1"/>
  <c r="J13" i="1" s="1"/>
  <c r="K13" i="1" s="1"/>
  <c r="B15" i="1"/>
  <c r="B17" i="1" s="1"/>
  <c r="E7" i="1"/>
  <c r="I14" i="1"/>
  <c r="D15" i="1"/>
  <c r="D17" i="1" s="1"/>
  <c r="A11" i="3"/>
  <c r="I12" i="1"/>
  <c r="I11" i="1"/>
  <c r="G15" i="1"/>
  <c r="G17" i="1" s="1"/>
  <c r="I10" i="1"/>
  <c r="C15" i="1"/>
  <c r="C17" i="1" s="1"/>
  <c r="I7" i="1"/>
  <c r="A9" i="3"/>
  <c r="E9" i="1"/>
  <c r="I9" i="1"/>
  <c r="F18" i="12"/>
  <c r="P14" i="4"/>
  <c r="P15" i="4"/>
  <c r="B9" i="3" s="1"/>
  <c r="P20" i="4"/>
  <c r="B14" i="14" s="1"/>
  <c r="P18" i="4"/>
  <c r="C14" i="14"/>
  <c r="C12" i="14"/>
  <c r="C8" i="14"/>
  <c r="A10" i="3"/>
  <c r="A7" i="14"/>
  <c r="C9" i="3"/>
  <c r="C14" i="3"/>
  <c r="P17" i="4"/>
  <c r="A8" i="14"/>
  <c r="A12" i="3"/>
  <c r="P16" i="4"/>
  <c r="B7" i="3"/>
  <c r="B7" i="14"/>
  <c r="C7" i="3"/>
  <c r="C11" i="14"/>
  <c r="C10" i="14"/>
  <c r="A13" i="14"/>
  <c r="C7" i="14"/>
  <c r="A14" i="14"/>
  <c r="F15" i="1" l="1"/>
  <c r="F17" i="1" s="1"/>
  <c r="J8" i="1"/>
  <c r="K8" i="1" s="1"/>
  <c r="B8" i="3"/>
  <c r="P21" i="4"/>
  <c r="E43" i="5" s="1"/>
  <c r="G43" i="5" s="1"/>
  <c r="E15" i="1"/>
  <c r="E17" i="1" s="1"/>
  <c r="C15" i="3"/>
  <c r="B9" i="14"/>
  <c r="J14" i="1"/>
  <c r="K14" i="1" s="1"/>
  <c r="B14" i="3"/>
  <c r="B8" i="14"/>
  <c r="J7" i="1"/>
  <c r="K7" i="1" s="1"/>
  <c r="I15" i="1"/>
  <c r="J9" i="1"/>
  <c r="K9" i="1" s="1"/>
  <c r="B10" i="3"/>
  <c r="J10" i="1"/>
  <c r="K10" i="1" s="1"/>
  <c r="B10" i="14"/>
  <c r="B11" i="14"/>
  <c r="B11" i="3"/>
  <c r="B12" i="3"/>
  <c r="J12" i="1"/>
  <c r="K12" i="1" s="1"/>
  <c r="B12" i="14"/>
  <c r="C15" i="14"/>
  <c r="J11" i="1"/>
  <c r="K11" i="1" s="1"/>
  <c r="J15" i="1" l="1"/>
  <c r="B15" i="14"/>
  <c r="B15" i="3"/>
  <c r="I17" i="1"/>
  <c r="J17" i="1" l="1"/>
  <c r="K15" i="1"/>
  <c r="K17" i="1"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<sst xmlns="http://schemas.openxmlformats.org/spreadsheetml/2006/main" count="470" uniqueCount="346">
  <si>
    <t>致同会计师事务所</t>
  </si>
  <si>
    <t>附注披露信息（上市公司）</t>
    <phoneticPr fontId="5" type="noConversion"/>
  </si>
  <si>
    <t>期初数</t>
  </si>
  <si>
    <t>期末数</t>
  </si>
  <si>
    <t>页次：</t>
  </si>
  <si>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</si>
  <si>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</si>
  <si>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</si>
  <si>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</si>
  <si>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预计负债</t>
  </si>
  <si>
    <t>形成原因</t>
  </si>
  <si>
    <r>
      <rPr>
        <b/>
        <sz val="10"/>
        <color indexed="8"/>
        <rFont val="宋体"/>
        <family val="3"/>
        <charset val="134"/>
      </rPr>
      <t>项目</t>
    </r>
  </si>
  <si>
    <t>期初数</t>
    <phoneticPr fontId="5" type="noConversion"/>
  </si>
  <si>
    <t>期末数</t>
    <phoneticPr fontId="5" type="noConversion"/>
  </si>
  <si>
    <t>本期审定数与上期
审定数的比较</t>
    <phoneticPr fontId="5" type="noConversion"/>
  </si>
  <si>
    <t>原因分析</t>
    <phoneticPr fontId="5" type="noConversion"/>
  </si>
  <si>
    <t>未审数</t>
    <phoneticPr fontId="5" type="noConversion"/>
  </si>
  <si>
    <t>账项调整</t>
    <phoneticPr fontId="5" type="noConversion"/>
  </si>
  <si>
    <t>重分类调整</t>
    <phoneticPr fontId="5" type="noConversion"/>
  </si>
  <si>
    <t>审定数</t>
    <phoneticPr fontId="5" type="noConversion"/>
  </si>
  <si>
    <t>变动率</t>
    <phoneticPr fontId="5" type="noConversion"/>
  </si>
  <si>
    <t>变动额</t>
    <phoneticPr fontId="5" type="noConversion"/>
  </si>
  <si>
    <r>
      <rPr>
        <b/>
        <sz val="10"/>
        <color indexed="8"/>
        <rFont val="宋体"/>
        <family val="3"/>
        <charset val="134"/>
      </rPr>
      <t>合计</t>
    </r>
    <phoneticPr fontId="5" type="noConversion"/>
  </si>
  <si>
    <r>
      <t>主要原因</t>
    </r>
    <r>
      <rPr>
        <sz val="10"/>
        <color indexed="10"/>
        <rFont val="宋体"/>
        <family val="3"/>
        <charset val="134"/>
      </rPr>
      <t>（比例超过30%的）</t>
    </r>
    <r>
      <rPr>
        <sz val="10"/>
        <rFont val="宋体"/>
        <family val="3"/>
        <charset val="134"/>
      </rPr>
      <t>：</t>
    </r>
    <phoneticPr fontId="5" type="noConversion"/>
  </si>
  <si>
    <r>
      <t>（</t>
    </r>
    <r>
      <rPr>
        <sz val="10"/>
        <rFont val="Arial Narrow"/>
        <family val="2"/>
      </rPr>
      <t>2</t>
    </r>
    <r>
      <rPr>
        <sz val="10"/>
        <rFont val="宋体"/>
        <family val="3"/>
        <charset val="134"/>
      </rPr>
      <t>）情况说明。</t>
    </r>
    <phoneticPr fontId="5" type="noConversion"/>
  </si>
  <si>
    <t>预计负债审定表</t>
    <phoneticPr fontId="5" type="noConversion"/>
  </si>
  <si>
    <r>
      <t>（</t>
    </r>
    <r>
      <rPr>
        <sz val="10"/>
        <rFont val="Arial Narrow"/>
        <family val="2"/>
      </rPr>
      <t>1</t>
    </r>
    <r>
      <rPr>
        <sz val="10"/>
        <rFont val="宋体"/>
        <family val="3"/>
        <charset val="134"/>
      </rPr>
      <t>）预计负债本期较上期增加（负数为减少）：</t>
    </r>
    <phoneticPr fontId="5" type="noConversion"/>
  </si>
  <si>
    <t>2.bb</t>
    <phoneticPr fontId="41" type="noConversion"/>
  </si>
  <si>
    <t>3.cc</t>
    <phoneticPr fontId="41" type="noConversion"/>
  </si>
  <si>
    <r>
      <t>1</t>
    </r>
    <r>
      <rPr>
        <b/>
        <sz val="10"/>
        <rFont val="宋体"/>
        <family val="3"/>
        <charset val="134"/>
      </rPr>
      <t>、</t>
    </r>
    <r>
      <rPr>
        <b/>
        <sz val="10"/>
        <rFont val="Arial Narrow"/>
        <family val="2"/>
      </rPr>
      <t>aa</t>
    </r>
    <phoneticPr fontId="41" type="noConversion"/>
  </si>
  <si>
    <t>合计</t>
    <phoneticPr fontId="45" type="noConversion"/>
  </si>
  <si>
    <r>
      <rPr>
        <sz val="10"/>
        <rFont val="宋体"/>
        <family val="3"/>
        <charset val="134"/>
      </rPr>
      <t>页次：</t>
    </r>
  </si>
  <si>
    <t>一、审计目标:</t>
    <phoneticPr fontId="12" type="noConversion"/>
  </si>
  <si>
    <t>二、审计过程：</t>
    <phoneticPr fontId="39" type="noConversion"/>
  </si>
  <si>
    <r>
      <rPr>
        <b/>
        <sz val="10"/>
        <rFont val="宋体"/>
        <family val="3"/>
        <charset val="134"/>
      </rPr>
      <t>计提基数</t>
    </r>
    <phoneticPr fontId="45" type="noConversion"/>
  </si>
  <si>
    <r>
      <rPr>
        <b/>
        <sz val="10"/>
        <rFont val="宋体"/>
        <family val="3"/>
        <charset val="134"/>
      </rPr>
      <t>计提比例</t>
    </r>
    <phoneticPr fontId="45" type="noConversion"/>
  </si>
  <si>
    <r>
      <rPr>
        <b/>
        <sz val="10"/>
        <rFont val="宋体"/>
        <family val="3"/>
        <charset val="134"/>
      </rPr>
      <t>应计提金额</t>
    </r>
    <phoneticPr fontId="45" type="noConversion"/>
  </si>
  <si>
    <r>
      <rPr>
        <b/>
        <sz val="10"/>
        <rFont val="宋体"/>
        <family val="3"/>
        <charset val="134"/>
      </rPr>
      <t>账面已计提金额</t>
    </r>
    <phoneticPr fontId="45" type="noConversion"/>
  </si>
  <si>
    <r>
      <rPr>
        <b/>
        <sz val="10"/>
        <rFont val="宋体"/>
        <family val="3"/>
        <charset val="134"/>
      </rPr>
      <t>差异金额</t>
    </r>
    <phoneticPr fontId="45" type="noConversion"/>
  </si>
  <si>
    <r>
      <rPr>
        <b/>
        <sz val="10"/>
        <rFont val="宋体"/>
        <family val="3"/>
        <charset val="134"/>
      </rPr>
      <t>差异原因</t>
    </r>
    <phoneticPr fontId="45" type="noConversion"/>
  </si>
  <si>
    <r>
      <rPr>
        <b/>
        <sz val="10"/>
        <rFont val="宋体"/>
        <family val="3"/>
        <charset val="134"/>
      </rPr>
      <t>三、审计说明：</t>
    </r>
    <phoneticPr fontId="5" type="noConversion"/>
  </si>
  <si>
    <r>
      <rPr>
        <b/>
        <sz val="10"/>
        <rFont val="宋体"/>
        <family val="3"/>
        <charset val="134"/>
      </rPr>
      <t>四、审计结论：</t>
    </r>
    <phoneticPr fontId="41" type="noConversion"/>
  </si>
  <si>
    <r>
      <rPr>
        <b/>
        <sz val="10"/>
        <rFont val="宋体"/>
        <family val="3"/>
        <charset val="134"/>
      </rPr>
      <t>序号</t>
    </r>
    <phoneticPr fontId="41" type="noConversion"/>
  </si>
  <si>
    <r>
      <rPr>
        <b/>
        <sz val="10"/>
        <rFont val="宋体"/>
        <family val="3"/>
        <charset val="134"/>
      </rPr>
      <t>描述相关内部资料、外部评估报告等</t>
    </r>
    <phoneticPr fontId="41" type="noConversion"/>
  </si>
  <si>
    <r>
      <rPr>
        <b/>
        <sz val="10"/>
        <rFont val="宋体"/>
        <family val="3"/>
        <charset val="134"/>
      </rPr>
      <t>描述与第三方机构或监管机构的函件</t>
    </r>
    <phoneticPr fontId="41" type="noConversion"/>
  </si>
  <si>
    <r>
      <rPr>
        <b/>
        <sz val="10"/>
        <rFont val="宋体"/>
        <family val="3"/>
        <charset val="134"/>
      </rPr>
      <t>检查固定资产本期增加，是否有迹象表明计提的弃置费用不足</t>
    </r>
    <phoneticPr fontId="5" type="noConversion"/>
  </si>
  <si>
    <r>
      <rPr>
        <b/>
        <sz val="10"/>
        <rFont val="宋体"/>
        <family val="3"/>
        <charset val="134"/>
      </rPr>
      <t>实地观察固定资产，是否有迹象表明计提的弃置费用不足</t>
    </r>
    <phoneticPr fontId="41" type="noConversion"/>
  </si>
  <si>
    <r>
      <rPr>
        <b/>
        <sz val="10"/>
        <rFont val="宋体"/>
        <family val="3"/>
        <charset val="134"/>
      </rPr>
      <t>相关支持性资料索引</t>
    </r>
    <phoneticPr fontId="41" type="noConversion"/>
  </si>
  <si>
    <t>关键假设</t>
    <phoneticPr fontId="41" type="noConversion"/>
  </si>
  <si>
    <r>
      <rPr>
        <b/>
        <sz val="10"/>
        <rFont val="宋体"/>
        <family val="3"/>
        <charset val="134"/>
      </rPr>
      <t>是否与历史数据、行业数据一致</t>
    </r>
    <phoneticPr fontId="41" type="noConversion"/>
  </si>
  <si>
    <r>
      <rPr>
        <b/>
        <sz val="10"/>
        <rFont val="宋体"/>
        <family val="3"/>
        <charset val="134"/>
      </rPr>
      <t>期后事项是否会影响关键假设？</t>
    </r>
    <phoneticPr fontId="41" type="noConversion"/>
  </si>
  <si>
    <r>
      <rPr>
        <b/>
        <sz val="10"/>
        <rFont val="宋体"/>
        <family val="3"/>
        <charset val="134"/>
      </rPr>
      <t>关键假设是否合理？</t>
    </r>
    <phoneticPr fontId="41" type="noConversion"/>
  </si>
  <si>
    <r>
      <rPr>
        <b/>
        <sz val="10"/>
        <rFont val="宋体"/>
        <family val="3"/>
        <charset val="134"/>
      </rPr>
      <t>序号</t>
    </r>
    <phoneticPr fontId="5" type="noConversion"/>
  </si>
  <si>
    <r>
      <rPr>
        <b/>
        <sz val="10"/>
        <rFont val="宋体"/>
        <family val="3"/>
        <charset val="134"/>
      </rPr>
      <t>对应科目</t>
    </r>
  </si>
  <si>
    <r>
      <rPr>
        <b/>
        <sz val="10"/>
        <rFont val="宋体"/>
        <family val="3"/>
        <charset val="134"/>
      </rPr>
      <t>对应金额</t>
    </r>
    <phoneticPr fontId="5" type="noConversion"/>
  </si>
  <si>
    <r>
      <rPr>
        <b/>
        <sz val="10"/>
        <rFont val="宋体"/>
        <family val="3"/>
        <charset val="134"/>
      </rPr>
      <t>备注</t>
    </r>
    <phoneticPr fontId="5" type="noConversion"/>
  </si>
  <si>
    <r>
      <rPr>
        <b/>
        <sz val="10"/>
        <rFont val="宋体"/>
        <family val="3"/>
        <charset val="134"/>
      </rPr>
      <t>对应金额</t>
    </r>
  </si>
  <si>
    <r>
      <rPr>
        <b/>
        <sz val="10"/>
        <rFont val="宋体"/>
        <family val="3"/>
        <charset val="134"/>
      </rPr>
      <t>备注</t>
    </r>
  </si>
  <si>
    <r>
      <rPr>
        <b/>
        <sz val="10"/>
        <rFont val="宋体"/>
        <family val="3"/>
        <charset val="134"/>
      </rPr>
      <t>小计</t>
    </r>
  </si>
  <si>
    <r>
      <rPr>
        <b/>
        <sz val="10"/>
        <color indexed="8"/>
        <rFont val="宋体"/>
        <family val="3"/>
        <charset val="134"/>
      </rPr>
      <t>项目类别</t>
    </r>
  </si>
  <si>
    <r>
      <rPr>
        <b/>
        <sz val="10"/>
        <color indexed="8"/>
        <rFont val="宋体"/>
        <family val="3"/>
        <charset val="134"/>
      </rPr>
      <t>预计负债计提原因</t>
    </r>
  </si>
  <si>
    <r>
      <rPr>
        <sz val="10"/>
        <color indexed="10"/>
        <rFont val="宋体"/>
        <family val="3"/>
        <charset val="134"/>
      </rPr>
      <t>弃置费用</t>
    </r>
  </si>
  <si>
    <r>
      <rPr>
        <sz val="10"/>
        <color indexed="10"/>
        <rFont val="宋体"/>
        <family val="3"/>
        <charset val="134"/>
      </rPr>
      <t>对外提供担保</t>
    </r>
  </si>
  <si>
    <r>
      <rPr>
        <sz val="10"/>
        <color indexed="10"/>
        <rFont val="宋体"/>
        <family val="3"/>
        <charset val="134"/>
      </rPr>
      <t>未决诉讼</t>
    </r>
  </si>
  <si>
    <r>
      <rPr>
        <sz val="10"/>
        <color indexed="10"/>
        <rFont val="宋体"/>
        <family val="3"/>
        <charset val="134"/>
      </rPr>
      <t>产品质量保证</t>
    </r>
  </si>
  <si>
    <r>
      <rPr>
        <sz val="10"/>
        <color indexed="10"/>
        <rFont val="宋体"/>
        <family val="3"/>
        <charset val="134"/>
      </rPr>
      <t>重组义务</t>
    </r>
  </si>
  <si>
    <r>
      <rPr>
        <sz val="10"/>
        <color indexed="10"/>
        <rFont val="宋体"/>
        <family val="3"/>
        <charset val="134"/>
      </rPr>
      <t>待执行的亏损合同</t>
    </r>
  </si>
  <si>
    <r>
      <rPr>
        <sz val="10"/>
        <color indexed="10"/>
        <rFont val="宋体"/>
        <family val="3"/>
        <charset val="134"/>
      </rPr>
      <t>其他</t>
    </r>
  </si>
  <si>
    <r>
      <rPr>
        <b/>
        <sz val="10"/>
        <color indexed="8"/>
        <rFont val="宋体"/>
        <family val="3"/>
        <charset val="134"/>
      </rPr>
      <t>合计</t>
    </r>
  </si>
  <si>
    <r>
      <rPr>
        <b/>
        <sz val="10"/>
        <rFont val="宋体"/>
        <family val="3"/>
        <charset val="134"/>
      </rPr>
      <t>二、样本选取标准与规模：</t>
    </r>
    <phoneticPr fontId="35" type="noConversion"/>
  </si>
  <si>
    <r>
      <rPr>
        <b/>
        <sz val="10"/>
        <rFont val="宋体"/>
        <family val="3"/>
        <charset val="134"/>
      </rPr>
      <t>三、测试：</t>
    </r>
    <phoneticPr fontId="35" type="noConversion"/>
  </si>
  <si>
    <r>
      <rPr>
        <b/>
        <sz val="10"/>
        <rFont val="宋体"/>
        <family val="3"/>
        <charset val="134"/>
      </rPr>
      <t>四、审计说明：</t>
    </r>
    <phoneticPr fontId="35" type="noConversion"/>
  </si>
  <si>
    <r>
      <rPr>
        <b/>
        <sz val="10"/>
        <rFont val="宋体"/>
        <family val="3"/>
        <charset val="134"/>
      </rPr>
      <t>五、审计结论：</t>
    </r>
    <phoneticPr fontId="5" type="noConversion"/>
  </si>
  <si>
    <t>一、审计目标:</t>
    <phoneticPr fontId="12" type="noConversion"/>
  </si>
  <si>
    <t>二、审计过程：</t>
    <phoneticPr fontId="39" type="noConversion"/>
  </si>
  <si>
    <r>
      <rPr>
        <b/>
        <sz val="10"/>
        <color indexed="8"/>
        <rFont val="宋体"/>
        <family val="3"/>
        <charset val="134"/>
      </rPr>
      <t>未审数</t>
    </r>
    <phoneticPr fontId="39" type="noConversion"/>
  </si>
  <si>
    <r>
      <rPr>
        <b/>
        <sz val="10"/>
        <color indexed="8"/>
        <rFont val="宋体"/>
        <family val="3"/>
        <charset val="134"/>
      </rPr>
      <t>期初调整</t>
    </r>
    <phoneticPr fontId="39" type="noConversion"/>
  </si>
  <si>
    <r>
      <rPr>
        <b/>
        <sz val="10"/>
        <color indexed="8"/>
        <rFont val="宋体"/>
        <family val="3"/>
        <charset val="134"/>
      </rPr>
      <t>账项调整</t>
    </r>
    <phoneticPr fontId="39" type="noConversion"/>
  </si>
  <si>
    <r>
      <rPr>
        <b/>
        <sz val="10"/>
        <color indexed="8"/>
        <rFont val="宋体"/>
        <family val="3"/>
        <charset val="134"/>
      </rPr>
      <t>重分类调整</t>
    </r>
    <phoneticPr fontId="39" type="noConversion"/>
  </si>
  <si>
    <r>
      <rPr>
        <b/>
        <sz val="10"/>
        <color indexed="8"/>
        <rFont val="宋体"/>
        <family val="3"/>
        <charset val="134"/>
      </rPr>
      <t>审定数</t>
    </r>
    <phoneticPr fontId="39" type="noConversion"/>
  </si>
  <si>
    <r>
      <rPr>
        <b/>
        <sz val="10"/>
        <color indexed="8"/>
        <rFont val="宋体"/>
        <family val="3"/>
        <charset val="134"/>
      </rPr>
      <t>期初数</t>
    </r>
    <phoneticPr fontId="39" type="noConversion"/>
  </si>
  <si>
    <r>
      <rPr>
        <b/>
        <sz val="10"/>
        <color indexed="8"/>
        <rFont val="宋体"/>
        <family val="3"/>
        <charset val="134"/>
      </rPr>
      <t>本期增加</t>
    </r>
    <phoneticPr fontId="39" type="noConversion"/>
  </si>
  <si>
    <r>
      <rPr>
        <b/>
        <sz val="10"/>
        <color indexed="8"/>
        <rFont val="宋体"/>
        <family val="3"/>
        <charset val="134"/>
      </rPr>
      <t>本期减少</t>
    </r>
    <phoneticPr fontId="39" type="noConversion"/>
  </si>
  <si>
    <r>
      <rPr>
        <b/>
        <sz val="10"/>
        <color indexed="8"/>
        <rFont val="宋体"/>
        <family val="3"/>
        <charset val="134"/>
      </rPr>
      <t>期末数</t>
    </r>
    <phoneticPr fontId="39" type="noConversion"/>
  </si>
  <si>
    <r>
      <rPr>
        <b/>
        <sz val="10"/>
        <rFont val="宋体"/>
        <family val="3"/>
        <charset val="134"/>
      </rPr>
      <t>三、审计说明：</t>
    </r>
    <phoneticPr fontId="5" type="noConversion"/>
  </si>
  <si>
    <r>
      <rPr>
        <b/>
        <sz val="12"/>
        <rFont val="宋体"/>
        <family val="3"/>
        <charset val="134"/>
      </rPr>
      <t>底稿开列时，可先在以下单元格填写有关内容，以便其他底稿引用有关数据：</t>
    </r>
    <phoneticPr fontId="5" type="noConversion"/>
  </si>
  <si>
    <t>应付退货款</t>
    <phoneticPr fontId="39" type="noConversion"/>
  </si>
  <si>
    <t>1年以内</t>
    <phoneticPr fontId="39" type="noConversion"/>
  </si>
  <si>
    <t>1年以上</t>
    <phoneticPr fontId="39" type="noConversion"/>
  </si>
  <si>
    <t>一、审计说明：</t>
    <phoneticPr fontId="5" type="noConversion"/>
  </si>
  <si>
    <t>致同会计师事务所</t>
    <phoneticPr fontId="5" type="noConversion"/>
  </si>
  <si>
    <t>预计负债实质性程序</t>
    <phoneticPr fontId="5" type="noConversion"/>
  </si>
  <si>
    <t>预计负债</t>
    <phoneticPr fontId="5" type="noConversion"/>
  </si>
  <si>
    <r>
      <rPr>
        <b/>
        <sz val="10"/>
        <rFont val="宋体"/>
        <family val="3"/>
        <charset val="134"/>
      </rPr>
      <t>财务报表的认定　</t>
    </r>
  </si>
  <si>
    <t>三、计划实施的实质性程序</t>
    <phoneticPr fontId="5" type="noConversion"/>
  </si>
  <si>
    <t>程序分类</t>
    <phoneticPr fontId="5" type="noConversion"/>
  </si>
  <si>
    <t>常规★</t>
    <phoneticPr fontId="5" type="noConversion"/>
  </si>
  <si>
    <t>1</t>
    <phoneticPr fontId="5" type="noConversion"/>
  </si>
  <si>
    <t>备选</t>
    <phoneticPr fontId="5" type="noConversion"/>
  </si>
  <si>
    <t>未决诉讼检查表</t>
    <phoneticPr fontId="5" type="noConversion"/>
  </si>
  <si>
    <t>二、审计过程：</t>
    <phoneticPr fontId="5" type="noConversion"/>
  </si>
  <si>
    <t>诉讼事项</t>
    <phoneticPr fontId="5" type="noConversion"/>
  </si>
  <si>
    <t>进展情况</t>
    <phoneticPr fontId="5" type="noConversion"/>
  </si>
  <si>
    <t>判决文件资料</t>
    <phoneticPr fontId="5" type="noConversion"/>
  </si>
  <si>
    <t>应承担的赔偿支出金额</t>
    <phoneticPr fontId="5" type="noConversion"/>
  </si>
  <si>
    <t>已计提的预计负债</t>
    <phoneticPr fontId="5" type="noConversion"/>
  </si>
  <si>
    <t>差异金额</t>
    <phoneticPr fontId="5" type="noConversion"/>
  </si>
  <si>
    <t>差异原因</t>
    <phoneticPr fontId="5" type="noConversion"/>
  </si>
  <si>
    <t>法律专家意见</t>
    <phoneticPr fontId="5" type="noConversion"/>
  </si>
  <si>
    <t>法律意见书/律师询证函索引号</t>
    <phoneticPr fontId="5" type="noConversion"/>
  </si>
  <si>
    <t>合计</t>
    <phoneticPr fontId="5" type="noConversion"/>
  </si>
  <si>
    <t>二、审计结论：</t>
    <phoneticPr fontId="5" type="noConversion"/>
  </si>
  <si>
    <r>
      <rPr>
        <sz val="10"/>
        <color indexed="8"/>
        <rFont val="宋体"/>
        <family val="3"/>
        <charset val="134"/>
      </rPr>
      <t>索引号：</t>
    </r>
  </si>
  <si>
    <t>调整事项说明</t>
    <phoneticPr fontId="5" type="noConversion"/>
  </si>
  <si>
    <t>类别（报表调整/账项调整/其他）</t>
    <phoneticPr fontId="5" type="noConversion"/>
  </si>
  <si>
    <t>科目名称</t>
    <phoneticPr fontId="5" type="noConversion"/>
  </si>
  <si>
    <t>附注项目</t>
    <phoneticPr fontId="5" type="noConversion"/>
  </si>
  <si>
    <t>……</t>
    <phoneticPr fontId="5" type="noConversion"/>
  </si>
  <si>
    <t>借方调整金额</t>
    <phoneticPr fontId="5" type="noConversion"/>
  </si>
  <si>
    <t>贷方调整金额</t>
    <phoneticPr fontId="5" type="noConversion"/>
  </si>
  <si>
    <t>索引</t>
    <phoneticPr fontId="5" type="noConversion"/>
  </si>
  <si>
    <t>备注</t>
    <phoneticPr fontId="5" type="noConversion"/>
  </si>
  <si>
    <t>预计负债调整分录汇总表</t>
    <phoneticPr fontId="5" type="noConversion"/>
  </si>
  <si>
    <t>备选</t>
    <phoneticPr fontId="30" type="noConversion"/>
  </si>
  <si>
    <t>TB数据：</t>
    <phoneticPr fontId="5" type="noConversion"/>
  </si>
  <si>
    <t>差异：</t>
    <phoneticPr fontId="5" type="noConversion"/>
  </si>
  <si>
    <t xml:space="preserve">                                              </t>
    <phoneticPr fontId="5" type="noConversion"/>
  </si>
  <si>
    <t>附注披露信息（国企）</t>
    <phoneticPr fontId="5" type="noConversion"/>
  </si>
  <si>
    <t>项  目</t>
  </si>
  <si>
    <r>
      <t>合</t>
    </r>
    <r>
      <rPr>
        <b/>
        <sz val="10"/>
        <color indexed="8"/>
        <rFont val="宋体"/>
        <family val="3"/>
        <charset val="134"/>
        <scheme val="minor"/>
      </rPr>
      <t xml:space="preserve">  计</t>
    </r>
  </si>
  <si>
    <r>
      <t>说明：</t>
    </r>
    <r>
      <rPr>
        <sz val="10"/>
        <color indexed="12"/>
        <rFont val="宋体"/>
        <family val="3"/>
        <charset val="134"/>
        <scheme val="minor"/>
      </rPr>
      <t>重要的预计负债，应披露相关重要假设、估计。</t>
    </r>
  </si>
  <si>
    <r>
      <rPr>
        <sz val="10"/>
        <rFont val="宋体"/>
        <family val="3"/>
        <charset val="134"/>
      </rPr>
      <t>索引号：</t>
    </r>
    <r>
      <rPr>
        <sz val="10"/>
        <rFont val="Arial Narrow"/>
        <family val="2"/>
      </rPr>
      <t/>
    </r>
    <phoneticPr fontId="5" type="noConversion"/>
  </si>
  <si>
    <t>K5A</t>
  </si>
  <si>
    <t>K5-2</t>
  </si>
  <si>
    <t>K5-3</t>
  </si>
  <si>
    <t>索引：</t>
    <phoneticPr fontId="5" type="noConversion"/>
  </si>
  <si>
    <r>
      <rPr>
        <sz val="10"/>
        <rFont val="宋体"/>
        <family val="3"/>
        <charset val="134"/>
      </rPr>
      <t>索引：</t>
    </r>
    <phoneticPr fontId="5" type="noConversion"/>
  </si>
  <si>
    <r>
      <rPr>
        <sz val="10"/>
        <rFont val="宋体"/>
        <family val="3"/>
        <charset val="134"/>
      </rPr>
      <t>页次：</t>
    </r>
    <phoneticPr fontId="5" type="noConversion"/>
  </si>
  <si>
    <t>页次：</t>
    <phoneticPr fontId="5" type="noConversion"/>
  </si>
  <si>
    <t>页次：</t>
    <phoneticPr fontId="57" type="noConversion"/>
  </si>
  <si>
    <t>索引号：</t>
    <phoneticPr fontId="5" type="noConversion"/>
  </si>
  <si>
    <t>索引号：</t>
    <phoneticPr fontId="5" type="noConversion"/>
  </si>
  <si>
    <t>四、审计结论：</t>
    <phoneticPr fontId="39" type="noConversion"/>
  </si>
  <si>
    <t>一、本账户涉及的科目</t>
  </si>
  <si>
    <t>二、审计目标与认定的对应关系</t>
  </si>
  <si>
    <t>审计目标</t>
    <phoneticPr fontId="5" type="noConversion"/>
  </si>
  <si>
    <t>存在</t>
  </si>
  <si>
    <t>完整性</t>
  </si>
  <si>
    <t>权利和义务</t>
  </si>
  <si>
    <t>序号</t>
    <phoneticPr fontId="5" type="noConversion"/>
  </si>
  <si>
    <t>财务报表的认定</t>
    <phoneticPr fontId="5" type="noConversion"/>
  </si>
  <si>
    <t>存在</t>
    <phoneticPr fontId="5" type="noConversion"/>
  </si>
  <si>
    <t>完整性</t>
    <phoneticPr fontId="5" type="noConversion"/>
  </si>
  <si>
    <t>权利和
义务</t>
    <phoneticPr fontId="5" type="noConversion"/>
  </si>
  <si>
    <r>
      <rPr>
        <sz val="10"/>
        <color theme="1"/>
        <rFont val="宋体"/>
        <family val="3"/>
        <charset val="134"/>
      </rPr>
      <t>常规★</t>
    </r>
    <phoneticPr fontId="67" type="noConversion"/>
  </si>
  <si>
    <t>√</t>
    <phoneticPr fontId="5" type="noConversion"/>
  </si>
  <si>
    <t>√</t>
    <phoneticPr fontId="5" type="noConversion"/>
  </si>
  <si>
    <t>√</t>
    <phoneticPr fontId="5" type="noConversion"/>
  </si>
  <si>
    <t>2</t>
  </si>
  <si>
    <t>3</t>
  </si>
  <si>
    <t>4</t>
  </si>
  <si>
    <t>5</t>
  </si>
  <si>
    <t>6</t>
  </si>
  <si>
    <t>7</t>
  </si>
  <si>
    <t>准确性、计价和分摊</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</si>
  <si>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</si>
  <si>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8</t>
  </si>
  <si>
    <t>列报</t>
    <phoneticPr fontId="57" type="noConversion"/>
  </si>
  <si>
    <t>列报</t>
    <phoneticPr fontId="5" type="noConversion"/>
  </si>
  <si>
    <t>期末数</t>
    <phoneticPr fontId="45" type="noConversion"/>
  </si>
  <si>
    <t>合计</t>
    <phoneticPr fontId="57" type="noConversion"/>
  </si>
  <si>
    <t>一、审计目标：</t>
    <phoneticPr fontId="35" type="noConversion"/>
  </si>
  <si>
    <t>√</t>
    <phoneticPr fontId="5" type="noConversion"/>
  </si>
  <si>
    <t>√</t>
  </si>
  <si>
    <t>√</t>
    <phoneticPr fontId="5" type="noConversion"/>
  </si>
  <si>
    <t>√</t>
    <phoneticPr fontId="5" type="noConversion"/>
  </si>
  <si>
    <t>报表项目</t>
    <phoneticPr fontId="5" type="noConversion"/>
  </si>
  <si>
    <r>
      <t>3.</t>
    </r>
    <r>
      <rPr>
        <sz val="10"/>
        <rFont val="宋体"/>
        <family val="3"/>
        <charset val="134"/>
      </rPr>
      <t>预计负债以恰当的金额包括在财务报表中，与之相关的计价或分摊调整已恰当记录，相关披露已得到恰当计量和描述。</t>
    </r>
    <phoneticPr fontId="12" type="noConversion"/>
  </si>
  <si>
    <r>
      <t>1.</t>
    </r>
    <r>
      <rPr>
        <sz val="10"/>
        <rFont val="宋体"/>
        <family val="3"/>
        <charset val="134"/>
      </rPr>
      <t>资产负债表中记录的预计负债是存在的，且已经记录在恰当的账户中；</t>
    </r>
    <r>
      <rPr>
        <sz val="10"/>
        <rFont val="Arial Narrow"/>
        <family val="2"/>
      </rPr>
      <t/>
    </r>
    <phoneticPr fontId="5" type="noConversion"/>
  </si>
  <si>
    <t>9</t>
  </si>
  <si>
    <t>10</t>
  </si>
  <si>
    <t>11</t>
  </si>
  <si>
    <t>12</t>
  </si>
  <si>
    <t>√</t>
    <phoneticPr fontId="5" type="noConversion"/>
  </si>
  <si>
    <t>√</t>
    <phoneticPr fontId="5" type="noConversion"/>
  </si>
  <si>
    <r>
      <t>3.</t>
    </r>
    <r>
      <rPr>
        <sz val="10"/>
        <rFont val="宋体"/>
        <family val="3"/>
        <charset val="134"/>
      </rPr>
      <t>预计负债以恰当的金额包括在财务报表中，与之相关的计价或分摊调整已恰当记录，相关披露已得到恰当计量和描述。</t>
    </r>
    <phoneticPr fontId="5" type="noConversion"/>
  </si>
  <si>
    <r>
      <t>2.</t>
    </r>
    <r>
      <rPr>
        <sz val="10"/>
        <rFont val="宋体"/>
        <family val="3"/>
        <charset val="134"/>
      </rPr>
      <t>记录的预计负债是被审计单位应当履行的偿还义务；</t>
    </r>
    <phoneticPr fontId="5" type="noConversion"/>
  </si>
  <si>
    <t>预计保修发生时间</t>
    <phoneticPr fontId="39" type="noConversion"/>
  </si>
  <si>
    <t>产品</t>
    <phoneticPr fontId="45" type="noConversion"/>
  </si>
  <si>
    <r>
      <rPr>
        <sz val="10"/>
        <color rgb="FF0000FF"/>
        <rFont val="宋体"/>
        <family val="3"/>
        <charset val="134"/>
      </rPr>
      <t>产品</t>
    </r>
    <r>
      <rPr>
        <sz val="10"/>
        <color rgb="FF0000FF"/>
        <rFont val="Arial Narrow"/>
        <family val="2"/>
      </rPr>
      <t>2</t>
    </r>
  </si>
  <si>
    <r>
      <rPr>
        <sz val="10"/>
        <color rgb="FF0000FF"/>
        <rFont val="宋体"/>
        <family val="3"/>
        <charset val="134"/>
      </rPr>
      <t>产品</t>
    </r>
    <r>
      <rPr>
        <sz val="10"/>
        <color rgb="FF0000FF"/>
        <rFont val="Arial Narrow"/>
        <family val="2"/>
      </rPr>
      <t>3</t>
    </r>
  </si>
  <si>
    <r>
      <rPr>
        <sz val="10"/>
        <color rgb="FF0000FF"/>
        <rFont val="宋体"/>
        <family val="3"/>
        <charset val="134"/>
      </rPr>
      <t>产品</t>
    </r>
    <r>
      <rPr>
        <sz val="10"/>
        <color rgb="FF0000FF"/>
        <rFont val="Arial Narrow"/>
        <family val="2"/>
      </rPr>
      <t>4</t>
    </r>
  </si>
  <si>
    <r>
      <rPr>
        <sz val="10"/>
        <color rgb="FF0000FF"/>
        <rFont val="宋体"/>
        <family val="3"/>
        <charset val="134"/>
      </rPr>
      <t>产品</t>
    </r>
    <r>
      <rPr>
        <sz val="10"/>
        <color rgb="FF0000FF"/>
        <rFont val="Arial Narrow"/>
        <family val="2"/>
      </rPr>
      <t>1</t>
    </r>
    <phoneticPr fontId="57" type="noConversion"/>
  </si>
  <si>
    <t>本期实际发生金额</t>
    <phoneticPr fontId="45" type="noConversion"/>
  </si>
  <si>
    <t>本期收入金额</t>
    <phoneticPr fontId="45" type="noConversion"/>
  </si>
  <si>
    <r>
      <t>202X</t>
    </r>
    <r>
      <rPr>
        <b/>
        <sz val="10"/>
        <rFont val="宋体"/>
        <family val="3"/>
        <charset val="134"/>
      </rPr>
      <t>年实际发生金额</t>
    </r>
    <phoneticPr fontId="57" type="noConversion"/>
  </si>
  <si>
    <r>
      <t>202X</t>
    </r>
    <r>
      <rPr>
        <b/>
        <sz val="10"/>
        <rFont val="宋体"/>
        <family val="3"/>
        <charset val="134"/>
      </rPr>
      <t>年收入金额</t>
    </r>
    <phoneticPr fontId="57" type="noConversion"/>
  </si>
  <si>
    <t>产品类别</t>
    <phoneticPr fontId="45" type="noConversion"/>
  </si>
  <si>
    <t>产品类别</t>
    <phoneticPr fontId="45" type="noConversion"/>
  </si>
  <si>
    <t>（一）产品质量保修政策</t>
    <phoneticPr fontId="45" type="noConversion"/>
  </si>
  <si>
    <t>（三）重新测算产品质量保证金</t>
    <phoneticPr fontId="45" type="noConversion"/>
  </si>
  <si>
    <t>（四）预计保修发生时间</t>
    <phoneticPr fontId="57" type="noConversion"/>
  </si>
  <si>
    <t>（一）弃置费用的完整性检查</t>
    <phoneticPr fontId="5" type="noConversion"/>
  </si>
  <si>
    <t>（二）关键假设评估</t>
    <phoneticPr fontId="41" type="noConversion"/>
  </si>
  <si>
    <r>
      <t>2.</t>
    </r>
    <r>
      <rPr>
        <b/>
        <sz val="10"/>
        <rFont val="宋体"/>
        <family val="3"/>
        <charset val="134"/>
      </rPr>
      <t>审计结论</t>
    </r>
    <phoneticPr fontId="5" type="noConversion"/>
  </si>
  <si>
    <t>对方明细科目</t>
    <phoneticPr fontId="5" type="noConversion"/>
  </si>
  <si>
    <t>项目</t>
    <phoneticPr fontId="5" type="noConversion"/>
  </si>
  <si>
    <t>无需打印</t>
    <phoneticPr fontId="5" type="noConversion"/>
  </si>
  <si>
    <t>无需打印</t>
    <phoneticPr fontId="5" type="noConversion"/>
  </si>
  <si>
    <t>K5-1</t>
    <phoneticPr fontId="30" type="noConversion"/>
  </si>
  <si>
    <t>K5-4</t>
  </si>
  <si>
    <t>K5-5</t>
  </si>
  <si>
    <t>K5-6</t>
  </si>
  <si>
    <t>K5-7</t>
  </si>
  <si>
    <t>底稿索引号</t>
    <phoneticPr fontId="5"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</si>
  <si>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67"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</si>
  <si>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67" type="noConversion"/>
  </si>
  <si>
    <t>K5-6</t>
    <phoneticPr fontId="57" type="noConversion"/>
  </si>
  <si>
    <t>K5-7</t>
    <phoneticPr fontId="57" type="noConversion"/>
  </si>
  <si>
    <r>
      <t>A 1-1/</t>
    </r>
    <r>
      <rPr>
        <sz val="10"/>
        <color rgb="FFFF0000"/>
        <rFont val="Arial Narrow"/>
        <family val="2"/>
      </rPr>
      <t>A1-15 /A1-16</t>
    </r>
    <phoneticPr fontId="5" type="noConversion"/>
  </si>
  <si>
    <t>预计负债明细表</t>
  </si>
  <si>
    <t>弃置费用检查表</t>
    <phoneticPr fontId="41" type="noConversion"/>
  </si>
  <si>
    <t>产品质量保修检查表</t>
    <phoneticPr fontId="41" type="noConversion"/>
  </si>
  <si>
    <t>预计负债检查表</t>
    <phoneticPr fontId="5" type="noConversion"/>
  </si>
  <si>
    <r>
      <t>1.</t>
    </r>
    <r>
      <rPr>
        <sz val="10"/>
        <rFont val="宋体"/>
        <family val="3"/>
        <charset val="134"/>
      </rPr>
      <t>了解形成预计负债的原因，并与管理层就预计负债的完整性和充分计提进行讨论，以确定金额估计是否合理，相关的会计处理是否正确</t>
    </r>
    <phoneticPr fontId="39" type="noConversion"/>
  </si>
  <si>
    <r>
      <t>2.</t>
    </r>
    <r>
      <rPr>
        <sz val="10"/>
        <rFont val="宋体"/>
        <family val="3"/>
        <charset val="134"/>
      </rPr>
      <t>根据外部公开信息、会议纪要、公章使用登记簿等渠道，查找是否存在未入账的预计负债，例如未入账的对外担保、未决诉讼等事项的程序。</t>
    </r>
    <phoneticPr fontId="39" type="noConversion"/>
  </si>
  <si>
    <r>
      <rPr>
        <sz val="10"/>
        <rFont val="宋体"/>
        <family val="3"/>
        <charset val="134"/>
      </rPr>
      <t>测试总体：</t>
    </r>
    <phoneticPr fontId="5" type="noConversion"/>
  </si>
  <si>
    <r>
      <rPr>
        <sz val="10"/>
        <color rgb="FF0000FF"/>
        <rFont val="宋体"/>
        <family val="3"/>
        <charset val="134"/>
      </rPr>
      <t>如借方发生额所有凭证共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5" type="noConversion"/>
  </si>
  <si>
    <r>
      <rPr>
        <sz val="10"/>
        <rFont val="宋体"/>
        <family val="3"/>
        <charset val="134"/>
      </rPr>
      <t>特定样本：</t>
    </r>
    <phoneticPr fontId="5"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</si>
  <si>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5" type="noConversion"/>
  </si>
  <si>
    <r>
      <rPr>
        <sz val="10"/>
        <rFont val="宋体"/>
        <family val="3"/>
        <charset val="134"/>
      </rPr>
      <t>抽样总体：</t>
    </r>
    <phoneticPr fontId="5"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</si>
  <si>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5" type="noConversion"/>
  </si>
  <si>
    <r>
      <rPr>
        <sz val="10"/>
        <rFont val="宋体"/>
        <family val="3"/>
        <charset val="134"/>
      </rPr>
      <t>确定的抽样样本量：</t>
    </r>
    <phoneticPr fontId="5"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</si>
  <si>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5"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</si>
  <si>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5" type="noConversion"/>
  </si>
  <si>
    <r>
      <rPr>
        <sz val="10"/>
        <rFont val="宋体"/>
        <family val="3"/>
        <charset val="134"/>
      </rPr>
      <t>抽样方法：</t>
    </r>
    <phoneticPr fontId="5" type="noConversion"/>
  </si>
  <si>
    <r>
      <rPr>
        <sz val="10"/>
        <rFont val="宋体"/>
        <family val="3"/>
        <charset val="134"/>
      </rPr>
      <t>抽样过程：</t>
    </r>
    <phoneticPr fontId="5"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</si>
  <si>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5" type="noConversion"/>
  </si>
  <si>
    <t>1.关于应付退货款的检查，详见收入底稿D2XXXX</t>
    <phoneticPr fontId="39" type="noConversion"/>
  </si>
  <si>
    <t>日期</t>
  </si>
  <si>
    <t>凭证编号</t>
  </si>
  <si>
    <t>业务内容</t>
    <phoneticPr fontId="5" type="noConversion"/>
  </si>
  <si>
    <t>借方金额</t>
    <phoneticPr fontId="5" type="noConversion"/>
  </si>
  <si>
    <t>合计</t>
    <phoneticPr fontId="5" type="noConversion"/>
  </si>
  <si>
    <r>
      <t>1.</t>
    </r>
    <r>
      <rPr>
        <b/>
        <sz val="10"/>
        <rFont val="宋体"/>
        <family val="3"/>
        <charset val="134"/>
      </rPr>
      <t>审计说明</t>
    </r>
    <phoneticPr fontId="5" type="noConversion"/>
  </si>
  <si>
    <r>
      <t>3</t>
    </r>
    <r>
      <rPr>
        <sz val="10"/>
        <color rgb="FF0000FF"/>
        <rFont val="宋体"/>
        <family val="3"/>
        <charset val="134"/>
      </rPr>
      <t>、企业由对外提供担保、未决诉讼、重组义务产生的预计负债，应按确定的金额，借记</t>
    </r>
    <r>
      <rPr>
        <sz val="10"/>
        <color rgb="FF0000FF"/>
        <rFont val="Arial Narrow"/>
        <family val="2"/>
      </rPr>
      <t>“</t>
    </r>
    <r>
      <rPr>
        <sz val="10"/>
        <color rgb="FF0000FF"/>
        <rFont val="宋体"/>
        <family val="3"/>
        <charset val="134"/>
      </rPr>
      <t>营业外支出</t>
    </r>
    <r>
      <rPr>
        <sz val="10"/>
        <color rgb="FF0000FF"/>
        <rFont val="Arial Narrow"/>
        <family val="2"/>
      </rPr>
      <t>”</t>
    </r>
    <r>
      <rPr>
        <sz val="10"/>
        <color rgb="FF0000FF"/>
        <rFont val="宋体"/>
        <family val="3"/>
        <charset val="134"/>
      </rPr>
      <t>等科目，贷记本科目。</t>
    </r>
    <phoneticPr fontId="5" type="noConversion"/>
  </si>
  <si>
    <r>
      <rPr>
        <sz val="10"/>
        <color rgb="FF0000FF"/>
        <rFont val="宋体"/>
        <family val="3"/>
        <charset val="134"/>
      </rPr>
      <t>在固定资产或油气资产的使用寿命内，按计算确定各期应负担的利息费用，借记</t>
    </r>
    <r>
      <rPr>
        <sz val="10"/>
        <color rgb="FF0000FF"/>
        <rFont val="Arial Narrow"/>
        <family val="2"/>
      </rPr>
      <t>“</t>
    </r>
    <r>
      <rPr>
        <sz val="10"/>
        <color rgb="FF0000FF"/>
        <rFont val="宋体"/>
        <family val="3"/>
        <charset val="134"/>
      </rPr>
      <t>财务费用</t>
    </r>
    <r>
      <rPr>
        <sz val="10"/>
        <color rgb="FF0000FF"/>
        <rFont val="Arial Narrow"/>
        <family val="2"/>
      </rPr>
      <t>”</t>
    </r>
    <r>
      <rPr>
        <sz val="10"/>
        <color rgb="FF0000FF"/>
        <rFont val="宋体"/>
        <family val="3"/>
        <charset val="134"/>
      </rPr>
      <t>科目，贷记本科目。</t>
    </r>
    <phoneticPr fontId="5" type="noConversion"/>
  </si>
  <si>
    <t>提示：本底稿适用于调整分录较多、较复杂的项目，且仅列示与本报表项目相关的审计调整。项目组可根据项目实际情况选择是否使用该底稿。</t>
    <phoneticPr fontId="5" type="noConversion"/>
  </si>
  <si>
    <t>小计</t>
  </si>
  <si>
    <r>
      <rPr>
        <sz val="10"/>
        <color indexed="12"/>
        <rFont val="宋体"/>
        <family val="3"/>
        <charset val="134"/>
      </rPr>
      <t>证监会发布的《</t>
    </r>
    <r>
      <rPr>
        <sz val="10"/>
        <color indexed="12"/>
        <rFont val="Arial Narrow"/>
        <family val="2"/>
      </rPr>
      <t>2020</t>
    </r>
    <r>
      <rPr>
        <sz val="10"/>
        <color indexed="12"/>
        <rFont val="宋体"/>
        <family val="3"/>
        <charset val="134"/>
      </rPr>
      <t xml:space="preserve">年上市公司年报会计监管报告》指出：
</t>
    </r>
    <r>
      <rPr>
        <sz val="10"/>
        <color indexed="12"/>
        <rFont val="Arial Narrow"/>
        <family val="2"/>
      </rPr>
      <t>1.</t>
    </r>
    <r>
      <rPr>
        <sz val="10"/>
        <color indexed="12"/>
        <rFont val="宋体"/>
        <family val="3"/>
        <charset val="134"/>
      </rPr>
      <t xml:space="preserve">未恰当确认因诉讼产生的支付义务
根据企业会计准则及相关规定，对于未决诉讼、未决仲裁等形成的或有负债，随着时间推移和事态的进展，相关未决诉讼在被证实很可能导致经济利益流出，且该义务金额也能够可靠计量时，企业应当确认预计负债。企业应当在资产负债表日对预计负债的账面价值进行复核。有确凿证据表明该账面价值不能真实反映当前最佳估计数的，应当按照当前最佳估计数对该账面价值进行调整。年报分析发现，个别上市公司因合同纠纷被起诉，在法院一审判决其败诉并要求对原告进行赔偿的情况下，上市公司仍以上诉为由未确认相关损失和预计负债，缺乏合理性。
</t>
    </r>
    <r>
      <rPr>
        <sz val="10"/>
        <color indexed="12"/>
        <rFont val="Arial Narrow"/>
        <family val="2"/>
      </rPr>
      <t>2.</t>
    </r>
    <r>
      <rPr>
        <sz val="10"/>
        <color indexed="12"/>
        <rFont val="宋体"/>
        <family val="3"/>
        <charset val="134"/>
      </rPr>
      <t xml:space="preserve">不恰当抵销预计负债与或有资产
根据企业会计准则及相关规定，与或有事项相关的义务同时满足现时义务、很可能导致经济利益流出、金额能够可能计量的条件时，应当确认为预计负债。或有事项产生的经济利益只有在企业基本确定能够收到的情况下，才予以确认为资产。针对同一公司的预计负债与或有资产应在满足上述条件的前提下分别确认，二者之间不得随意抵销。年报分析发现，个别上市公司与不同公司间存在多个诉讼事项，相关公司同属一个集团。根据判决结果，个别诉讼判决公司需对外支付赔偿款，个别诉讼判决公司胜诉并基本确定能够获得赔偿款。公司认为相关诉讼案件中，其应付的赔偿义务与应收赔偿款金额大致持平，未根据实际情况合理确认预计负债及或有资产，错误地抵销预计负债与或有资产，未恰当确认预计赔偿损失及补偿收益。
</t>
    </r>
    <phoneticPr fontId="5" type="noConversion"/>
  </si>
  <si>
    <r>
      <rPr>
        <b/>
        <sz val="10"/>
        <color rgb="FF0000FF"/>
        <rFont val="宋体"/>
        <family val="3"/>
        <charset val="134"/>
        <scheme val="minor"/>
      </rPr>
      <t>提示：对于财务报表批准报出日已取得一审判决，在一审判决公司败诉并要求对原告进行赔偿的情况下，如果被审计单位未按照一审判决金额计提预计负债，建议项目组尽早履行业务咨询。</t>
    </r>
    <phoneticPr fontId="5" type="noConversion"/>
  </si>
  <si>
    <t>（二）检查历史质量保修情况，并评估产品质量保证金的计提比例是否合理</t>
    <phoneticPr fontId="45"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</si>
  <si>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5" type="noConversion"/>
  </si>
  <si>
    <r>
      <t xml:space="preserve">A. </t>
    </r>
    <r>
      <rPr>
        <sz val="10"/>
        <rFont val="宋体"/>
        <family val="3"/>
        <charset val="134"/>
      </rPr>
      <t>资产负债表中记录的预计负债是存在的，且已记录于恰当的账户</t>
    </r>
    <phoneticPr fontId="5" type="noConversion"/>
  </si>
  <si>
    <r>
      <t xml:space="preserve">B. </t>
    </r>
    <r>
      <rPr>
        <sz val="10"/>
        <rFont val="宋体"/>
        <family val="3"/>
        <charset val="134"/>
      </rPr>
      <t>所有应记录的预计负债均已记录，所有应当包括在财务报表中的相关披露均已包括</t>
    </r>
    <phoneticPr fontId="5" type="noConversion"/>
  </si>
  <si>
    <r>
      <t xml:space="preserve">C. </t>
    </r>
    <r>
      <rPr>
        <sz val="10"/>
        <rFont val="宋体"/>
        <family val="3"/>
        <charset val="134"/>
      </rPr>
      <t>记录的预计负债是被审计单位应当履行的偿还义务</t>
    </r>
    <phoneticPr fontId="5" type="noConversion"/>
  </si>
  <si>
    <r>
      <t xml:space="preserve">E. </t>
    </r>
    <r>
      <rPr>
        <sz val="10"/>
        <rFont val="宋体"/>
        <family val="3"/>
        <charset val="134"/>
      </rPr>
      <t>预计负债已被恰当地汇总或分解且表述清楚，相关披露在按照企业会计准则的编制基础下是相关的、可理解的</t>
    </r>
    <phoneticPr fontId="5" type="noConversion"/>
  </si>
  <si>
    <r>
      <rPr>
        <sz val="10"/>
        <rFont val="宋体"/>
        <family val="3"/>
        <charset val="134"/>
      </rPr>
      <t>获取或编制明细表、执行下列程序，并编制审定表：
（</t>
    </r>
    <r>
      <rPr>
        <sz val="10"/>
        <rFont val="Arial Narrow"/>
        <family val="2"/>
      </rPr>
      <t>1</t>
    </r>
    <r>
      <rPr>
        <sz val="10"/>
        <rFont val="宋体"/>
        <family val="3"/>
        <charset val="134"/>
      </rPr>
      <t>）复核加计正确，并与总账数和明细账合计数核对是否相符，期初余额与上期审定期末余额是否相符；
（</t>
    </r>
    <r>
      <rPr>
        <sz val="10"/>
        <rFont val="Arial Narrow"/>
        <family val="2"/>
      </rPr>
      <t>2</t>
    </r>
    <r>
      <rPr>
        <sz val="10"/>
        <rFont val="宋体"/>
        <family val="3"/>
        <charset val="134"/>
      </rPr>
      <t>）识别重大的账户、识别账户中单项重大的明细项目；
（</t>
    </r>
    <r>
      <rPr>
        <sz val="10"/>
        <rFont val="Arial Narrow"/>
        <family val="2"/>
      </rPr>
      <t>3</t>
    </r>
    <r>
      <rPr>
        <sz val="10"/>
        <rFont val="宋体"/>
        <family val="3"/>
        <charset val="134"/>
      </rPr>
      <t>）了解明细项目的核算目的和用途；</t>
    </r>
    <phoneticPr fontId="5" type="noConversion"/>
  </si>
  <si>
    <r>
      <t>获取上期期末的预计负债明细，复核加计正确，总账与明细账核对一致；识别重大的明细项目、查找异常项目并了解该明细项目的核算目的和用途；将个别重大负债与其支持文件核对；检查期初预计负债在本期支付、转销情况，考虑是否需要函证期初余额以及其他必要追加的审计程序。</t>
    </r>
    <r>
      <rPr>
        <sz val="10"/>
        <color rgb="FFFF0000"/>
        <rFont val="宋体"/>
        <family val="3"/>
        <charset val="134"/>
      </rPr>
      <t>（适用于首次承接）</t>
    </r>
    <phoneticPr fontId="5" type="noConversion"/>
  </si>
  <si>
    <t>D4-19</t>
    <phoneticPr fontId="57" type="noConversion"/>
  </si>
  <si>
    <t>关注会计政策、会计估计合理性、一贯性；关注其是否利用会计政策和会计估计及其变更操纵利润；对涉及重大会计估计的事项完成S类会计估计和相关披露底稿。</t>
    <phoneticPr fontId="5" type="noConversion"/>
  </si>
  <si>
    <t>未决诉讼：
（1）查阅董事会和股东大会有关会议记录，对常年法律顾问进行函证，检查是否存在未确认、未披露的诉讼事项；
（2）根据获取诉状、判决书、律师函等文件，了解诉讼进展情况和可能的结果，检查确认的赔偿金额是否合理、披露是否完整；
（3）必要时与被审计单位法务负责人、律师访谈诉讼和索赔事项的可能结果，获取管理层和治理层（如适用）就诉讼和索赔事项的书面声明，必要时利用法律专家工作，取得法律意见书；
（4）结合业务管理费中的诉讼费、法务费的审计，了解支出的用途，并结合外部媒体报道，检查是否存在未披露的未决诉讼。</t>
    <phoneticPr fontId="57" type="noConversion"/>
  </si>
  <si>
    <t>对外提供担保：向被审计单位询问，结合银行函证、诉讼等其他事项了解被审计单位是否存在提供担保事项(性质、金额、时间)以及存在或有损失的可能性，检查其是否满足预计负债确认的条件，如是，确认的金额和会计处理是否正确。</t>
    <phoneticPr fontId="57" type="noConversion"/>
  </si>
  <si>
    <t>结合营业收入、营业外支出、销售费用、管理费用、固定资产、财务费用等报表账户的审计，检查应付退货款、质量保证、弃置义务、未决诉讼、担保等记录和披露完整；检查是否存在重组义务、待执行的亏损合同等其他可能出现预计负债的情况，检查其是否满足预计负债确认的条件，如是，确认的金额和会计处理是否正确。</t>
    <phoneticPr fontId="57" type="noConversion"/>
  </si>
  <si>
    <t>检查与预计负债有关的的记账凭证和相应的支持性证据以确定交易的真实性，是否按规定进行相应的会计处理和披露。</t>
    <phoneticPr fontId="5" type="noConversion"/>
  </si>
  <si>
    <t>考虑是否存在超出被审计单位正常经营活动的重大、异常交易等，根据评估的舞弊风险等因素增加的审计程序。</t>
    <phoneticPr fontId="5" type="noConversion"/>
  </si>
  <si>
    <t>检查预计负债是否已按企业会计准则或其他适用的规定在财务报表中做出恰当列报和披露。</t>
    <phoneticPr fontId="5" type="noConversion"/>
  </si>
  <si>
    <t>13</t>
  </si>
  <si>
    <t>14</t>
  </si>
  <si>
    <r>
      <rPr>
        <sz val="10"/>
        <rFont val="宋体"/>
        <family val="3"/>
        <charset val="134"/>
      </rPr>
      <t>检查关联方交易：
（</t>
    </r>
    <r>
      <rPr>
        <sz val="10"/>
        <rFont val="Arial Narrow"/>
        <family val="2"/>
      </rPr>
      <t>1</t>
    </r>
    <r>
      <rPr>
        <sz val="10"/>
        <rFont val="宋体"/>
        <family val="3"/>
        <charset val="134"/>
      </rPr>
      <t>）了解关联交易的商业理由、交易事项的目的、价格和条件，考虑对关联方担保事项、预计负债的完整性、合理性、合法性；
（</t>
    </r>
    <r>
      <rPr>
        <sz val="10"/>
        <rFont val="Arial Narrow"/>
        <family val="2"/>
      </rPr>
      <t>2</t>
    </r>
    <r>
      <rPr>
        <sz val="10"/>
        <rFont val="宋体"/>
        <family val="3"/>
        <charset val="134"/>
      </rPr>
      <t>）检查对关联方预计负债的真实性相关的支持性文件、检查会计处理是否正确；
（</t>
    </r>
    <r>
      <rPr>
        <sz val="10"/>
        <rFont val="Arial Narrow"/>
        <family val="2"/>
      </rPr>
      <t>3</t>
    </r>
    <r>
      <rPr>
        <sz val="10"/>
        <rFont val="宋体"/>
        <family val="3"/>
        <charset val="134"/>
      </rPr>
      <t>）考虑向关联方或其他注册会计师函证重大的关联采购交易和余额（包括担保和其他重要信息）；
（</t>
    </r>
    <r>
      <rPr>
        <sz val="10"/>
        <rFont val="Arial Narrow"/>
        <family val="2"/>
      </rPr>
      <t>4</t>
    </r>
    <r>
      <rPr>
        <sz val="10"/>
        <rFont val="宋体"/>
        <family val="3"/>
        <charset val="134"/>
      </rPr>
      <t>）必要时，向与交易相关的人员和机构（如银行、律师）函证或与其讨论有关信息；
（</t>
    </r>
    <r>
      <rPr>
        <sz val="10"/>
        <rFont val="Arial Narrow"/>
        <family val="2"/>
      </rPr>
      <t>5</t>
    </r>
    <r>
      <rPr>
        <sz val="10"/>
        <rFont val="宋体"/>
        <family val="3"/>
        <charset val="134"/>
      </rPr>
      <t>）考虑是否存在未识别的关联方，关联交易和余额披露是否正确。</t>
    </r>
    <phoneticPr fontId="5" type="noConversion"/>
  </si>
  <si>
    <t>弃置费用：
（1）询问被审计单位有关环保政策和程序，取得环保监管部门的相关文件、与被审计单位往来函件，识别需要反映的环保整治义务，检查其是否满足预计负债确认的条件；
（2）取得弃置费用计提的相关资料和依据，复核计提是否充分、合理，涉及到的关键假设是否一致、是否发生变化、是否合理，弃置费用计算是否正确；</t>
    <phoneticPr fontId="57" type="noConversion"/>
  </si>
  <si>
    <t>产品质量保证：
（1）取得并检查产品质量保修政策、以及本期产品质量保证金计提的相关支持性资料，检查质量保证分类是否正确、计算依据是否充分；
（2）根据历史资料及期后发生质量保修的情况，评估被审计单位产品质量保证金的计提比例和金额是否合理；
（3）重新测算质量保证金并与账面金额进行比较，评估差异金额是否在可接受的范围内。</t>
    <phoneticPr fontId="57" type="noConversion"/>
  </si>
  <si>
    <t>应付退货款：在营业收入中取得并检查产品退货政策及计提的相关支持性资料，重新测试应付退货金额，与账面金额进行比较，根据历史资料及期后发生产品退货的情况，评估被审计单位产品产品退货的计提比例和金额是否合理，计入预计负债金额核对一致。</t>
    <phoneticPr fontId="57" type="noConversion"/>
  </si>
  <si>
    <t>提示：</t>
    <phoneticPr fontId="5" type="noConversion"/>
  </si>
  <si>
    <r>
      <t>1.</t>
    </r>
    <r>
      <rPr>
        <sz val="10"/>
        <rFont val="宋体"/>
        <family val="3"/>
        <charset val="134"/>
      </rPr>
      <t>资产负债表中记录的预计负债是存在的，且已记录于恰当的账户；</t>
    </r>
    <phoneticPr fontId="12" type="noConversion"/>
  </si>
  <si>
    <r>
      <t>2.</t>
    </r>
    <r>
      <rPr>
        <sz val="10"/>
        <rFont val="宋体"/>
        <family val="3"/>
        <charset val="134"/>
      </rPr>
      <t>所有应记录的预计负债均已记录，所有应当包括在财务报表中的相关披露均已包括；</t>
    </r>
    <phoneticPr fontId="12" type="noConversion"/>
  </si>
  <si>
    <r>
      <t xml:space="preserve">2. </t>
    </r>
    <r>
      <rPr>
        <sz val="10"/>
        <rFont val="宋体"/>
        <family val="3"/>
        <charset val="134"/>
      </rPr>
      <t>所有应记录的预计负债均已记录，所有应当包括在财务报表中的相关披露均已包括；</t>
    </r>
    <r>
      <rPr>
        <sz val="10"/>
        <rFont val="Arial Narrow"/>
        <family val="2"/>
      </rPr>
      <t>3.</t>
    </r>
    <r>
      <rPr>
        <sz val="10"/>
        <rFont val="宋体"/>
        <family val="3"/>
        <charset val="134"/>
      </rPr>
      <t>记录的预计负债是被审计单位应当履行的偿还义务；</t>
    </r>
    <phoneticPr fontId="5" type="noConversion"/>
  </si>
  <si>
    <r>
      <t>4.</t>
    </r>
    <r>
      <rPr>
        <sz val="10"/>
        <rFont val="宋体"/>
        <family val="3"/>
        <charset val="134"/>
      </rPr>
      <t>预计负债以恰当的金额包括在财务报表中，与之相关的计价或分摊调整已恰当记录，相关披露已得到恰当计量和描述。</t>
    </r>
    <phoneticPr fontId="5" type="noConversion"/>
  </si>
  <si>
    <r>
      <t>1.</t>
    </r>
    <r>
      <rPr>
        <sz val="10"/>
        <color rgb="FFFF0000"/>
        <rFont val="宋体"/>
        <family val="3"/>
        <charset val="134"/>
      </rPr>
      <t>诉讼事项描述：</t>
    </r>
    <phoneticPr fontId="5" type="noConversion"/>
  </si>
  <si>
    <r>
      <t>2.</t>
    </r>
    <r>
      <rPr>
        <sz val="10"/>
        <color rgb="FFFF0000"/>
        <rFont val="宋体"/>
        <family val="3"/>
        <charset val="134"/>
      </rPr>
      <t>截止审计报告日诉讼判决进展情况……</t>
    </r>
    <phoneticPr fontId="5" type="noConversion"/>
  </si>
  <si>
    <r>
      <t>3.</t>
    </r>
    <r>
      <rPr>
        <sz val="10"/>
        <color rgb="FFFF0000"/>
        <rFont val="宋体"/>
        <family val="3"/>
        <charset val="134"/>
      </rPr>
      <t>期后支付情况……</t>
    </r>
    <phoneticPr fontId="5" type="noConversion"/>
  </si>
  <si>
    <t>明细项目</t>
    <phoneticPr fontId="5" type="noConversion"/>
  </si>
  <si>
    <t>记账凭证</t>
    <phoneticPr fontId="5" type="noConversion"/>
  </si>
  <si>
    <t>支持性文件</t>
    <phoneticPr fontId="5" type="noConversion"/>
  </si>
  <si>
    <r>
      <rPr>
        <b/>
        <sz val="10"/>
        <rFont val="宋体"/>
        <family val="3"/>
        <charset val="134"/>
      </rPr>
      <t>核对内容</t>
    </r>
  </si>
  <si>
    <t>索引号</t>
  </si>
  <si>
    <t>是否异常</t>
    <phoneticPr fontId="5" type="noConversion"/>
  </si>
  <si>
    <t>备注说明</t>
    <phoneticPr fontId="5" type="noConversion"/>
  </si>
  <si>
    <t>对方科目</t>
    <phoneticPr fontId="5" type="noConversion"/>
  </si>
  <si>
    <t>贷方金额</t>
    <phoneticPr fontId="5" type="noConversion"/>
  </si>
  <si>
    <t>1.本期发生额检查</t>
  </si>
  <si>
    <r>
      <t>2.</t>
    </r>
    <r>
      <rPr>
        <b/>
        <sz val="10"/>
        <rFont val="宋体"/>
        <family val="3"/>
        <charset val="134"/>
      </rPr>
      <t>期后检查</t>
    </r>
    <phoneticPr fontId="5" type="noConversion"/>
  </si>
  <si>
    <t>预计负债检查表</t>
    <phoneticPr fontId="30" type="noConversion"/>
  </si>
  <si>
    <t>产品质量保修检查表</t>
    <phoneticPr fontId="30" type="noConversion"/>
  </si>
  <si>
    <t>弃置费用检查表</t>
    <phoneticPr fontId="30" type="noConversion"/>
  </si>
  <si>
    <t>实质性程序表</t>
  </si>
  <si>
    <t>审定表</t>
    <phoneticPr fontId="30" type="noConversion"/>
  </si>
  <si>
    <t>附注披露信息（上市公司)</t>
    <phoneticPr fontId="30" type="noConversion"/>
  </si>
  <si>
    <t>附注披露信息（国企）</t>
    <phoneticPr fontId="30" type="noConversion"/>
  </si>
  <si>
    <t>明细表</t>
    <phoneticPr fontId="30" type="noConversion"/>
  </si>
  <si>
    <t>调整分录汇总</t>
    <phoneticPr fontId="30" type="noConversion"/>
  </si>
  <si>
    <t>未决诉讼检查表</t>
    <phoneticPr fontId="30" type="noConversion"/>
  </si>
  <si>
    <t>IPO/上市/新三板/重组/舞弊应对</t>
    <phoneticPr fontId="67" type="noConversion"/>
  </si>
  <si>
    <t>K5-1
/K5-2</t>
    <phoneticPr fontId="57" type="noConversion"/>
  </si>
  <si>
    <t>T1</t>
    <phoneticPr fontId="5" type="noConversion"/>
  </si>
  <si>
    <t>K5-4</t>
    <phoneticPr fontId="57" type="noConversion"/>
  </si>
  <si>
    <t>K5-5</t>
    <phoneticPr fontId="57" type="noConversion"/>
  </si>
  <si>
    <r>
      <t xml:space="preserve">K5-1
/K5-2
</t>
    </r>
    <r>
      <rPr>
        <sz val="10"/>
        <color rgb="FFFF0000"/>
        <rFont val="Arial Narrow"/>
        <family val="2"/>
      </rPr>
      <t>/S</t>
    </r>
    <phoneticPr fontId="57" type="noConversion"/>
  </si>
  <si>
    <r>
      <rPr>
        <sz val="10"/>
        <rFont val="宋体"/>
        <family val="3"/>
        <charset val="134"/>
      </rPr>
      <t>被审计单位：</t>
    </r>
    <r>
      <rPr>
        <sz val="10"/>
        <rFont val="Arial Narrow"/>
        <family val="2"/>
      </rPr>
      <t/>
    </r>
    <phoneticPr fontId="5" type="noConversion"/>
  </si>
  <si>
    <t>编制人：</t>
    <phoneticPr fontId="5" type="noConversion"/>
  </si>
  <si>
    <t>编制日期：</t>
    <phoneticPr fontId="5" type="noConversion"/>
  </si>
  <si>
    <t>复核人：</t>
    <phoneticPr fontId="5" type="noConversion"/>
  </si>
  <si>
    <t>复核日期：</t>
    <phoneticPr fontId="5" type="noConversion"/>
  </si>
  <si>
    <t>序号</t>
    <phoneticPr fontId="45" type="noConversion"/>
  </si>
  <si>
    <r>
      <rPr>
        <b/>
        <sz val="10"/>
        <rFont val="宋体"/>
        <family val="3"/>
        <charset val="134"/>
      </rPr>
      <t>借方发生额分析</t>
    </r>
  </si>
  <si>
    <r>
      <rPr>
        <b/>
        <sz val="10"/>
        <rFont val="宋体"/>
        <family val="3"/>
        <charset val="134"/>
      </rPr>
      <t>贷方发生数分析</t>
    </r>
    <phoneticPr fontId="5" type="noConversion"/>
  </si>
  <si>
    <r>
      <t xml:space="preserve">D. </t>
    </r>
    <r>
      <rPr>
        <sz val="10"/>
        <rFont val="宋体"/>
        <family val="3"/>
        <charset val="134"/>
      </rPr>
      <t>预计负债以恰当的金额包括在财务报表中，与之相关的计价或分摊调整已恰当记录，相关披露已得到恰当计量和描述</t>
    </r>
    <phoneticPr fontId="5" type="noConversion"/>
  </si>
  <si>
    <t>关于工作底稿与审计程序索引号对应的说明</t>
    <phoneticPr fontId="5"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</si>
  <si>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5"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</si>
  <si>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5"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</si>
  <si>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5"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</si>
  <si>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5" type="noConversion"/>
  </si>
  <si>
    <t>根据被审计单位实际情况和风险评估情况裁剪、修改或增加审计程序</t>
    <phoneticPr fontId="5" type="noConversion"/>
  </si>
  <si>
    <t>审计程序</t>
    <phoneticPr fontId="67" type="noConversion"/>
  </si>
  <si>
    <t>随机选样/系统选样/货币单元抽样/随意选样（非统计抽样适用）</t>
    <phoneticPr fontId="5" type="noConversion"/>
  </si>
  <si>
    <r>
      <t>1.</t>
    </r>
    <r>
      <rPr>
        <sz val="10"/>
        <rFont val="宋体"/>
        <family val="3"/>
        <charset val="134"/>
      </rPr>
      <t>本期发生额、期末余额检查比例：</t>
    </r>
    <phoneticPr fontId="5" type="noConversion"/>
  </si>
  <si>
    <t>方向</t>
    <phoneticPr fontId="5" type="noConversion"/>
  </si>
  <si>
    <t>账面金额</t>
    <phoneticPr fontId="5" type="noConversion"/>
  </si>
  <si>
    <t>检查金额</t>
    <phoneticPr fontId="5" type="noConversion"/>
  </si>
  <si>
    <t>检查比例</t>
    <phoneticPr fontId="5" type="noConversion"/>
  </si>
  <si>
    <t>如果检查比例较低应扩大检查样本量或说明原因</t>
    <phoneticPr fontId="5" type="noConversion"/>
  </si>
  <si>
    <t>本期借方</t>
    <phoneticPr fontId="5" type="noConversion"/>
  </si>
  <si>
    <t>本期贷方</t>
    <phoneticPr fontId="5" type="noConversion"/>
  </si>
  <si>
    <t>期末余额</t>
    <phoneticPr fontId="5" type="noConversion"/>
  </si>
  <si>
    <t>2.……</t>
    <phoneticPr fontId="5" type="noConversion"/>
  </si>
  <si>
    <r>
      <t>4</t>
    </r>
    <r>
      <rPr>
        <sz val="10"/>
        <color rgb="FF0000FF"/>
        <rFont val="宋体"/>
        <family val="3"/>
        <charset val="134"/>
      </rPr>
      <t>、因保证类质量保证产生的预计负债，应当按确定的金额，借记“主营业务成本”、“其他业务成本”等科目，贷记预计负债；。</t>
    </r>
    <phoneticPr fontId="5" type="noConversion"/>
  </si>
  <si>
    <r>
      <t>5</t>
    </r>
    <r>
      <rPr>
        <sz val="10"/>
        <color rgb="FF0000FF"/>
        <rFont val="宋体"/>
        <family val="3"/>
        <charset val="134"/>
      </rPr>
      <t>、由附有销售退回条款的销售产生的预计负债，按预期因销售退回将退还的金额，借记</t>
    </r>
    <r>
      <rPr>
        <sz val="10"/>
        <color rgb="FF0000FF"/>
        <rFont val="Arial Narrow"/>
        <family val="2"/>
      </rPr>
      <t>"</t>
    </r>
    <r>
      <rPr>
        <sz val="10"/>
        <color rgb="FF0000FF"/>
        <rFont val="宋体"/>
        <family val="3"/>
        <charset val="134"/>
      </rPr>
      <t>银行存款</t>
    </r>
    <r>
      <rPr>
        <sz val="10"/>
        <color rgb="FF0000FF"/>
        <rFont val="Arial Narrow"/>
        <family val="2"/>
      </rPr>
      <t>"</t>
    </r>
    <r>
      <rPr>
        <sz val="10"/>
        <color rgb="FF0000FF"/>
        <rFont val="宋体"/>
        <family val="3"/>
        <charset val="134"/>
      </rPr>
      <t>或</t>
    </r>
    <r>
      <rPr>
        <sz val="10"/>
        <color rgb="FF0000FF"/>
        <rFont val="Arial Narrow"/>
        <family val="2"/>
      </rPr>
      <t>"</t>
    </r>
    <r>
      <rPr>
        <sz val="10"/>
        <color rgb="FF0000FF"/>
        <rFont val="宋体"/>
        <family val="3"/>
        <charset val="134"/>
      </rPr>
      <t>应收账款</t>
    </r>
    <r>
      <rPr>
        <sz val="10"/>
        <color rgb="FF0000FF"/>
        <rFont val="Arial Narrow"/>
        <family val="2"/>
      </rPr>
      <t>"</t>
    </r>
    <r>
      <rPr>
        <sz val="10"/>
        <color rgb="FF0000FF"/>
        <rFont val="宋体"/>
        <family val="3"/>
        <charset val="134"/>
      </rPr>
      <t>，贷记本科目。</t>
    </r>
    <phoneticPr fontId="39" type="noConversion"/>
  </si>
  <si>
    <r>
      <t>6</t>
    </r>
    <r>
      <rPr>
        <sz val="10"/>
        <color rgb="FF0000FF"/>
        <rFont val="宋体"/>
        <family val="3"/>
        <charset val="134"/>
      </rPr>
      <t>、因亏损合同产生的预计负债，应当按照功能分类，借记</t>
    </r>
    <r>
      <rPr>
        <sz val="10"/>
        <color rgb="FF0000FF"/>
        <rFont val="Arial Narrow"/>
        <family val="2"/>
      </rPr>
      <t>“</t>
    </r>
    <r>
      <rPr>
        <sz val="10"/>
        <color rgb="FF0000FF"/>
        <rFont val="宋体"/>
        <family val="3"/>
        <charset val="134"/>
      </rPr>
      <t>主营业务成本</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其他业务成本</t>
    </r>
    <r>
      <rPr>
        <sz val="10"/>
        <color rgb="FF0000FF"/>
        <rFont val="Arial Narrow"/>
        <family val="2"/>
      </rPr>
      <t>”</t>
    </r>
    <r>
      <rPr>
        <sz val="10"/>
        <color rgb="FF0000FF"/>
        <rFont val="宋体"/>
        <family val="3"/>
        <charset val="134"/>
      </rPr>
      <t>等科目，贷记预计负债。</t>
    </r>
    <phoneticPr fontId="39" type="noConversion"/>
  </si>
  <si>
    <r>
      <t>7</t>
    </r>
    <r>
      <rPr>
        <sz val="10"/>
        <color rgb="FF0000FF"/>
        <rFont val="宋体"/>
        <family val="3"/>
        <charset val="134"/>
      </rPr>
      <t>、由资产弃置义务产生的预计负债，应按确定的金额，借记</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或</t>
    </r>
    <r>
      <rPr>
        <sz val="10"/>
        <color rgb="FF0000FF"/>
        <rFont val="Arial Narrow"/>
        <family val="2"/>
      </rPr>
      <t>“</t>
    </r>
    <r>
      <rPr>
        <sz val="10"/>
        <color rgb="FF0000FF"/>
        <rFont val="宋体"/>
        <family val="3"/>
        <charset val="134"/>
      </rPr>
      <t>油气资产</t>
    </r>
    <r>
      <rPr>
        <sz val="10"/>
        <color rgb="FF0000FF"/>
        <rFont val="Arial Narrow"/>
        <family val="2"/>
      </rPr>
      <t>”</t>
    </r>
    <r>
      <rPr>
        <sz val="10"/>
        <color rgb="FF0000FF"/>
        <rFont val="宋体"/>
        <family val="3"/>
        <charset val="134"/>
      </rPr>
      <t>科目，贷记本科目。</t>
    </r>
    <phoneticPr fontId="5" type="noConversion"/>
  </si>
  <si>
    <r>
      <t>8</t>
    </r>
    <r>
      <rPr>
        <sz val="10"/>
        <color rgb="FF0000FF"/>
        <rFont val="宋体"/>
        <family val="3"/>
        <charset val="134"/>
      </rPr>
      <t>、检查被审计单位资产负债表日已经签订的待执行合同、合同各方往来信函等，以识别亏损合同，检查其是否满足预计负债确认的条件，如是，会计处理是否正确。</t>
    </r>
    <phoneticPr fontId="5" type="noConversion"/>
  </si>
  <si>
    <r>
      <t>9</t>
    </r>
    <r>
      <rPr>
        <sz val="10"/>
        <color rgb="FF0000FF"/>
        <rFont val="宋体"/>
        <family val="3"/>
        <charset val="134"/>
      </rPr>
      <t>、检查在资产负债表日被审计单位是否对外公告详细和正式的重组计划而承担了重组义务，检查其是否满足预计负债确认的条件，如是，会计处理是否正确。</t>
    </r>
    <phoneticPr fontId="39" type="noConversion"/>
  </si>
  <si>
    <r>
      <t>10</t>
    </r>
    <r>
      <rPr>
        <sz val="10"/>
        <color rgb="FF0000FF"/>
        <rFont val="宋体"/>
        <family val="3"/>
        <charset val="134"/>
      </rPr>
      <t>、检查被审计单位是否因在投资合同中约定对被投资单位的超额亏损承担额外损失，检查其是否满足预计负债确认的条件，如是，会计处理是否正确。</t>
    </r>
    <phoneticPr fontId="39" type="noConversion"/>
  </si>
  <si>
    <r>
      <t>11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5" type="noConversion"/>
  </si>
  <si>
    <r>
      <t>12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5" type="noConversion"/>
  </si>
  <si>
    <r>
      <t>1</t>
    </r>
    <r>
      <rPr>
        <sz val="10"/>
        <color rgb="FF0000FF"/>
        <rFont val="宋体"/>
        <family val="3"/>
        <charset val="134"/>
      </rPr>
      <t>、本科目核算企业确认的对外提供担保、未决诉讼、产品质量保证、重组义务、亏损性合同等预计负债。常见预计负债的项目：未决诉讼、未决仲裁、对外担保、票据贴现、亏损合同、环境污染整冶义务、附有销售退回条款的销售、重组义务、产品质量保证、承诺等。</t>
    </r>
    <phoneticPr fontId="5" type="noConversion"/>
  </si>
  <si>
    <r>
      <t>2</t>
    </r>
    <r>
      <rPr>
        <sz val="10"/>
        <color rgb="FF0000FF"/>
        <rFont val="宋体"/>
        <family val="3"/>
        <charset val="134"/>
      </rPr>
      <t>、对预计负债的计提方法应在</t>
    </r>
    <r>
      <rPr>
        <sz val="10"/>
        <color rgb="FF0000FF"/>
        <rFont val="Arial Narrow"/>
        <family val="2"/>
      </rPr>
      <t>“</t>
    </r>
    <r>
      <rPr>
        <sz val="10"/>
        <color rgb="FF0000FF"/>
        <rFont val="宋体"/>
        <family val="3"/>
        <charset val="134"/>
      </rPr>
      <t>备注</t>
    </r>
    <r>
      <rPr>
        <sz val="10"/>
        <color rgb="FF0000FF"/>
        <rFont val="Arial Narrow"/>
        <family val="2"/>
      </rPr>
      <t>”</t>
    </r>
    <r>
      <rPr>
        <sz val="10"/>
        <color rgb="FF0000FF"/>
        <rFont val="宋体"/>
        <family val="3"/>
        <charset val="134"/>
      </rPr>
      <t>栏中说明。满足预计负债的条件是：该义务是企业承担的现实义务；履行该义务很可能导致经济利益流出企业；该义务金额能够可靠计量。</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</si>
</sst>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_);[Red]\(0\)"/>
  </numFmts>
  <fonts count="97">
    <font>
      <sz val="10"/>
      <color theme="1"/>
      <name val="宋体"/>
      <charset val="134"/>
      <scheme val="minor"/>
    </font>
    <font>
      <sz val="11"/>
      <color theme="1"/>
      <name val="宋体"/>
      <family val="2"/>
      <charset val="134"/>
      <scheme val="minor"/>
    </font>
    <font>
      <sz val="11"/>
      <color theme="1"/>
      <name val="宋体"/>
      <family val="2"/>
      <scheme val="minor"/>
    </font>
    <font>
      <sz val="12"/>
      <name val="宋体"/>
      <family val="3"/>
      <charset val="134"/>
    </font>
    <font>
      <b/>
      <sz val="10"/>
      <name val="宋体"/>
      <family val="3"/>
      <charset val="134"/>
    </font>
    <font>
      <sz val="9"/>
      <name val="宋体"/>
      <family val="3"/>
      <charset val="134"/>
    </font>
    <font>
      <b/>
      <sz val="10"/>
      <name val="Arial Narrow"/>
      <family val="2"/>
    </font>
    <font>
      <sz val="12"/>
      <name val="Arial Narrow"/>
      <family val="2"/>
    </font>
    <font>
      <b/>
      <sz val="12"/>
      <name val="宋体"/>
      <family val="3"/>
      <charset val="134"/>
    </font>
    <font>
      <b/>
      <sz val="12"/>
      <name val="Arial Narrow"/>
      <family val="2"/>
    </font>
    <font>
      <sz val="10"/>
      <name val="Arial Narrow"/>
      <family val="2"/>
    </font>
    <font>
      <sz val="10"/>
      <name val="宋体"/>
      <family val="3"/>
      <charset val="134"/>
    </font>
    <font>
      <sz val="10"/>
      <name val="Times New Roman"/>
      <family val="1"/>
    </font>
    <font>
      <sz val="10"/>
      <color indexed="12"/>
      <name val="宋体"/>
      <family val="3"/>
      <charset val="134"/>
    </font>
    <font>
      <u/>
      <sz val="12"/>
      <color indexed="12"/>
      <name val="宋体"/>
      <family val="3"/>
      <charset val="134"/>
    </font>
    <font>
      <sz val="12"/>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indexed="8"/>
      <name val="宋体"/>
      <family val="3"/>
      <charset val="134"/>
    </font>
    <font>
      <sz val="9"/>
      <name val="宋体"/>
      <family val="3"/>
      <charset val="134"/>
    </font>
    <font>
      <b/>
      <sz val="12"/>
      <color indexed="8"/>
      <name val="Arial Narrow"/>
      <family val="2"/>
    </font>
    <font>
      <sz val="10"/>
      <color indexed="12"/>
      <name val="Arial Narrow"/>
      <family val="2"/>
    </font>
    <font>
      <b/>
      <sz val="10"/>
      <color indexed="8"/>
      <name val="Arial Narrow"/>
      <family val="2"/>
    </font>
    <font>
      <sz val="10"/>
      <color indexed="8"/>
      <name val="Arial Narrow"/>
      <family val="2"/>
    </font>
    <font>
      <sz val="18"/>
      <color indexed="48"/>
      <name val="魏碑"/>
      <family val="3"/>
      <charset val="134"/>
    </font>
    <font>
      <b/>
      <sz val="10"/>
      <color indexed="12"/>
      <name val="宋体"/>
      <family val="3"/>
      <charset val="134"/>
    </font>
    <font>
      <sz val="10"/>
      <color indexed="10"/>
      <name val="宋体"/>
      <family val="3"/>
      <charset val="134"/>
    </font>
    <font>
      <sz val="10"/>
      <name val="宋体"/>
      <family val="3"/>
      <charset val="134"/>
    </font>
    <font>
      <sz val="9"/>
      <name val="宋体"/>
      <family val="3"/>
      <charset val="134"/>
    </font>
    <font>
      <sz val="12"/>
      <name val="宋体"/>
      <family val="3"/>
      <charset val="134"/>
    </font>
    <font>
      <sz val="9"/>
      <name val="宋体"/>
      <family val="3"/>
      <charset val="134"/>
    </font>
    <font>
      <b/>
      <u/>
      <sz val="10"/>
      <color indexed="10"/>
      <name val="Arial Narrow"/>
      <family val="2"/>
    </font>
    <font>
      <i/>
      <u/>
      <sz val="10"/>
      <color indexed="12"/>
      <name val="宋体"/>
      <family val="3"/>
      <charset val="134"/>
    </font>
    <font>
      <u/>
      <sz val="10"/>
      <name val="Arial Narrow"/>
      <family val="2"/>
    </font>
    <font>
      <sz val="9"/>
      <name val="宋体"/>
      <family val="3"/>
      <charset val="134"/>
    </font>
    <font>
      <u/>
      <sz val="10"/>
      <color indexed="12"/>
      <name val="宋体"/>
      <family val="3"/>
      <charset val="134"/>
    </font>
    <font>
      <sz val="12"/>
      <name val="仿宋_GB2312"/>
      <family val="3"/>
      <charset val="134"/>
    </font>
    <font>
      <sz val="12"/>
      <color indexed="12"/>
      <name val="仿宋_GB2312"/>
      <family val="3"/>
      <charset val="134"/>
    </font>
    <font>
      <i/>
      <sz val="10"/>
      <color indexed="12"/>
      <name val="Arial Narrow"/>
      <family val="2"/>
    </font>
    <font>
      <b/>
      <sz val="10"/>
      <color indexed="12"/>
      <name val="Arial Narrow"/>
      <family val="2"/>
    </font>
    <font>
      <sz val="10"/>
      <color indexed="8"/>
      <name val="宋体"/>
      <family val="3"/>
      <charset val="134"/>
      <scheme val="minor"/>
    </font>
    <font>
      <b/>
      <sz val="10"/>
      <color rgb="FFFF0000"/>
      <name val="Arial Narrow"/>
      <family val="2"/>
    </font>
    <font>
      <sz val="10"/>
      <color rgb="FFFF0000"/>
      <name val="Arial Narrow"/>
      <family val="2"/>
    </font>
    <font>
      <sz val="10"/>
      <color rgb="FF0000FF"/>
      <name val="Arial Narrow"/>
      <family val="2"/>
    </font>
    <font>
      <sz val="10"/>
      <color rgb="FFFF0000"/>
      <name val="宋体"/>
      <family val="3"/>
      <charset val="134"/>
    </font>
    <font>
      <sz val="10"/>
      <color rgb="FF0000FF"/>
      <name val="宋体"/>
      <family val="3"/>
      <charset val="134"/>
    </font>
    <font>
      <sz val="9"/>
      <name val="宋体"/>
      <family val="3"/>
      <charset val="134"/>
      <scheme val="minor"/>
    </font>
    <font>
      <b/>
      <sz val="14"/>
      <name val="宋体"/>
      <family val="3"/>
      <charset val="134"/>
    </font>
    <font>
      <b/>
      <sz val="10"/>
      <color theme="0" tint="-0.499984740745262"/>
      <name val="Arial Narrow"/>
      <family val="2"/>
    </font>
    <font>
      <sz val="11"/>
      <color theme="1"/>
      <name val="Arial Narrow"/>
      <family val="2"/>
    </font>
    <font>
      <b/>
      <sz val="10"/>
      <color theme="1"/>
      <name val="宋体"/>
      <family val="3"/>
      <charset val="134"/>
    </font>
    <font>
      <sz val="10"/>
      <color indexed="8"/>
      <name val="宋体"/>
      <family val="3"/>
      <charset val="134"/>
    </font>
    <font>
      <sz val="10"/>
      <name val="微软雅黑"/>
      <family val="2"/>
      <charset val="134"/>
    </font>
    <font>
      <sz val="10"/>
      <color theme="1"/>
      <name val="宋体"/>
      <family val="3"/>
      <charset val="134"/>
    </font>
    <font>
      <sz val="10"/>
      <name val="Arial Narrow"/>
      <family val="3"/>
      <charset val="134"/>
    </font>
    <font>
      <b/>
      <sz val="10"/>
      <name val="Arial"/>
      <family val="2"/>
    </font>
    <font>
      <sz val="9"/>
      <name val="宋体"/>
      <family val="2"/>
      <charset val="134"/>
      <scheme val="minor"/>
    </font>
    <font>
      <sz val="10"/>
      <color theme="1"/>
      <name val="宋体"/>
      <family val="3"/>
      <charset val="134"/>
      <scheme val="minor"/>
    </font>
    <font>
      <b/>
      <sz val="10"/>
      <color rgb="FF0000FF"/>
      <name val="宋体"/>
      <family val="3"/>
      <charset val="134"/>
      <scheme val="minor"/>
    </font>
    <font>
      <sz val="11"/>
      <color theme="1"/>
      <name val="宋体"/>
      <family val="3"/>
      <charset val="134"/>
      <scheme val="minor"/>
    </font>
    <font>
      <b/>
      <sz val="10"/>
      <color indexed="10"/>
      <name val="Arial Narrow"/>
      <family val="2"/>
    </font>
    <font>
      <b/>
      <sz val="10"/>
      <color rgb="FFE92841"/>
      <name val="Arial Narrow"/>
      <family val="2"/>
    </font>
    <font>
      <sz val="10"/>
      <color rgb="FF000000"/>
      <name val="宋体"/>
      <family val="2"/>
      <charset val="134"/>
    </font>
    <font>
      <b/>
      <sz val="12"/>
      <name val="宋体"/>
      <family val="3"/>
      <charset val="134"/>
      <scheme val="major"/>
    </font>
    <font>
      <b/>
      <sz val="10"/>
      <name val="宋体"/>
      <family val="3"/>
      <charset val="134"/>
      <scheme val="major"/>
    </font>
    <font>
      <sz val="10"/>
      <name val="仿宋_GB2312"/>
      <family val="3"/>
      <charset val="134"/>
    </font>
    <font>
      <sz val="10"/>
      <name val="宋体"/>
      <family val="3"/>
      <charset val="134"/>
      <scheme val="minor"/>
    </font>
    <font>
      <b/>
      <sz val="10"/>
      <name val="宋体"/>
      <family val="3"/>
      <charset val="134"/>
      <scheme val="minor"/>
    </font>
    <font>
      <b/>
      <sz val="10"/>
      <color rgb="FF000000"/>
      <name val="宋体"/>
      <family val="3"/>
      <charset val="134"/>
      <scheme val="minor"/>
    </font>
    <font>
      <b/>
      <sz val="10"/>
      <color indexed="8"/>
      <name val="宋体"/>
      <family val="3"/>
      <charset val="134"/>
      <scheme val="minor"/>
    </font>
    <font>
      <sz val="10"/>
      <color indexed="12"/>
      <name val="宋体"/>
      <family val="3"/>
      <charset val="134"/>
      <scheme val="minor"/>
    </font>
    <font>
      <sz val="10"/>
      <name val="."/>
    </font>
    <font>
      <sz val="10"/>
      <color rgb="FF000000"/>
      <name val="Arial Narrow"/>
      <family val="2"/>
    </font>
    <font>
      <b/>
      <sz val="10"/>
      <color rgb="FF000000"/>
      <name val="Arial Narrow"/>
      <family val="2"/>
    </font>
    <font>
      <sz val="10"/>
      <color theme="1"/>
      <name val="Arial Narrow"/>
      <family val="2"/>
    </font>
    <font>
      <sz val="10"/>
      <color theme="1"/>
      <name val="Arial"/>
      <family val="2"/>
    </font>
    <font>
      <b/>
      <sz val="10"/>
      <color rgb="FFFF0000"/>
      <name val="宋体"/>
      <family val="3"/>
      <charset val="134"/>
    </font>
    <font>
      <sz val="9"/>
      <color rgb="FF0000FF"/>
      <name val="Arial Narrow"/>
      <family val="2"/>
    </font>
    <font>
      <sz val="9"/>
      <color rgb="FF0000FF"/>
      <name val="宋体"/>
      <family val="3"/>
      <charset val="134"/>
    </font>
    <font>
      <b/>
      <sz val="12"/>
      <name val="宋体"/>
      <family val="3"/>
      <charset val="134"/>
      <scheme val="minor"/>
    </font>
    <font>
      <b/>
      <sz val="14"/>
      <name val="宋体"/>
      <family val="3"/>
      <charset val="134"/>
      <scheme val="minor"/>
    </font>
    <font>
      <b/>
      <sz val="14"/>
      <name val="Arial Narrow"/>
      <family val="2"/>
    </font>
    <font>
      <b/>
      <sz val="10"/>
      <color rgb="FF0000FF"/>
      <name val="Arial Narrow"/>
      <family val="2"/>
    </font>
    <font>
      <b/>
      <sz val="10"/>
      <color rgb="FF0000FF"/>
      <name val="宋体"/>
      <family val="3"/>
      <charset val="134"/>
    </font>
    <font>
      <b/>
      <sz val="9"/>
      <color indexed="81"/>
      <name val="宋体"/>
      <family val="3"/>
      <charset val="134"/>
    </font>
    <font>
      <sz val="9"/>
      <color indexed="81"/>
      <name val="宋体"/>
      <family val="3"/>
      <charset val="134"/>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14"/>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E4DFEC"/>
        <bgColor indexed="64"/>
      </patternFill>
    </fill>
    <fill>
      <patternFill patternType="solid">
        <fgColor theme="7" tint="0.79998168889431442"/>
        <bgColor rgb="FFB7DEE8"/>
      </patternFill>
    </fill>
  </fills>
  <borders count="12">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style="hair">
        <color indexed="64"/>
      </left>
      <right style="hair">
        <color indexed="64"/>
      </right>
      <top style="hair">
        <color indexed="64"/>
      </top>
      <bottom style="hair">
        <color indexed="64"/>
      </bottom>
      <diagonal/>
    </border>
    <border>
      <left/>
      <right/>
      <top style="medium">
        <color indexed="64"/>
      </top>
      <bottom style="medium">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bottom style="hair">
        <color indexed="64"/>
      </bottom>
      <diagonal/>
    </border>
  </borders>
  <cellStyleXfs count="68">
    <xf numFmtId="190" fontId="0" fillId="0" borderId="0">
      <alignment vertical="center"/>
    </xf>
    <xf numFmtId="49" fontId="12" fillId="0" borderId="0" applyProtection="0">
      <alignment horizontal="left"/>
    </xf>
    <xf numFmtId="176" fontId="12" fillId="0" borderId="0" applyFill="0" applyBorder="0" applyProtection="0">
      <alignment horizontal="right"/>
    </xf>
    <xf numFmtId="177" fontId="12" fillId="0" borderId="0" applyFill="0" applyBorder="0" applyProtection="0">
      <alignment horizontal="right"/>
    </xf>
    <xf numFmtId="178" fontId="16" fillId="0" borderId="0" applyFill="0" applyBorder="0" applyProtection="0">
      <alignment horizontal="center"/>
    </xf>
    <xf numFmtId="179" fontId="16" fillId="0" borderId="0" applyFill="0" applyBorder="0" applyProtection="0">
      <alignment horizontal="center"/>
    </xf>
    <xf numFmtId="180" fontId="17" fillId="0" borderId="0" applyFill="0" applyBorder="0" applyProtection="0">
      <alignment horizontal="right"/>
    </xf>
    <xf numFmtId="181" fontId="12" fillId="0" borderId="0" applyFill="0" applyBorder="0" applyProtection="0">
      <alignment horizontal="right"/>
    </xf>
    <xf numFmtId="182" fontId="12" fillId="0" borderId="0" applyFill="0" applyBorder="0" applyProtection="0">
      <alignment horizontal="right"/>
    </xf>
    <xf numFmtId="183" fontId="12" fillId="0" borderId="0" applyFill="0" applyBorder="0" applyProtection="0">
      <alignment horizontal="right"/>
    </xf>
    <xf numFmtId="184" fontId="12" fillId="0" borderId="0" applyFill="0" applyBorder="0" applyProtection="0">
      <alignment horizontal="right"/>
    </xf>
    <xf numFmtId="3" fontId="18" fillId="0" borderId="0"/>
    <xf numFmtId="185" fontId="19" fillId="0" borderId="1" applyAlignment="0" applyProtection="0"/>
    <xf numFmtId="186" fontId="20" fillId="0" borderId="0" applyFont="0" applyFill="0" applyBorder="0" applyAlignment="0" applyProtection="0"/>
    <xf numFmtId="187" fontId="20" fillId="0" borderId="0" applyFont="0" applyFill="0" applyBorder="0" applyAlignment="0" applyProtection="0"/>
    <xf numFmtId="188" fontId="20" fillId="0" borderId="0" applyFont="0" applyFill="0" applyBorder="0" applyAlignment="0" applyProtection="0"/>
    <xf numFmtId="189" fontId="20" fillId="0" borderId="0" applyFont="0" applyFill="0" applyBorder="0" applyAlignment="0" applyProtection="0"/>
    <xf numFmtId="41" fontId="20" fillId="0" borderId="0" applyFont="0" applyFill="0" applyBorder="0" applyAlignment="0" applyProtection="0"/>
    <xf numFmtId="43" fontId="20" fillId="0" borderId="0" applyFont="0" applyFill="0" applyBorder="0" applyAlignment="0" applyProtection="0"/>
    <xf numFmtId="190" fontId="12" fillId="0" borderId="0" applyFont="0" applyFill="0" applyBorder="0" applyAlignment="0" applyProtection="0"/>
    <xf numFmtId="190" fontId="21" fillId="0" borderId="0" applyNumberFormat="0" applyFill="0" applyBorder="0" applyAlignment="0" applyProtection="0">
      <alignment vertical="top"/>
      <protection locked="0"/>
    </xf>
    <xf numFmtId="38" fontId="22" fillId="2" borderId="0" applyNumberFormat="0" applyBorder="0" applyAlignment="0" applyProtection="0"/>
    <xf numFmtId="190" fontId="23" fillId="0" borderId="0" applyNumberFormat="0" applyFill="0" applyBorder="0" applyAlignment="0" applyProtection="0">
      <alignment vertical="top"/>
      <protection locked="0"/>
    </xf>
    <xf numFmtId="10" fontId="22" fillId="3" borderId="2" applyNumberFormat="0" applyBorder="0" applyAlignment="0" applyProtection="0"/>
    <xf numFmtId="191" fontId="3" fillId="0" borderId="0" applyFont="0" applyFill="0" applyBorder="0" applyAlignment="0" applyProtection="0"/>
    <xf numFmtId="192" fontId="3" fillId="0" borderId="0" applyFont="0" applyFill="0" applyBorder="0" applyAlignment="0" applyProtection="0"/>
    <xf numFmtId="190" fontId="24" fillId="0" borderId="0"/>
    <xf numFmtId="193" fontId="3" fillId="0" borderId="0"/>
    <xf numFmtId="190" fontId="25" fillId="0" borderId="0"/>
    <xf numFmtId="10" fontId="20" fillId="0" borderId="0" applyFont="0" applyFill="0" applyBorder="0" applyAlignment="0" applyProtection="0"/>
    <xf numFmtId="3" fontId="26" fillId="0" borderId="0"/>
    <xf numFmtId="9" fontId="3" fillId="0" borderId="0" applyFont="0" applyFill="0" applyBorder="0" applyAlignment="0" applyProtection="0"/>
    <xf numFmtId="190" fontId="3" fillId="0" borderId="0">
      <protection locked="0"/>
    </xf>
    <xf numFmtId="190" fontId="3" fillId="0" borderId="0">
      <protection locked="0"/>
    </xf>
    <xf numFmtId="190" fontId="38" fillId="0" borderId="0"/>
    <xf numFmtId="190" fontId="3" fillId="0" borderId="0"/>
    <xf numFmtId="190" fontId="3" fillId="0" borderId="0">
      <alignment vertical="center"/>
    </xf>
    <xf numFmtId="190" fontId="15" fillId="0" borderId="0"/>
    <xf numFmtId="190" fontId="3" fillId="0" borderId="0"/>
    <xf numFmtId="190" fontId="3" fillId="0" borderId="0" applyFill="0" applyBorder="0"/>
    <xf numFmtId="190" fontId="40" fillId="0" borderId="0">
      <alignment vertical="center"/>
    </xf>
    <xf numFmtId="190" fontId="14" fillId="0" borderId="0" applyNumberFormat="0" applyFill="0" applyBorder="0" applyAlignment="0" applyProtection="0">
      <alignment vertical="top"/>
      <protection locked="0"/>
    </xf>
    <xf numFmtId="190" fontId="27" fillId="0" borderId="0"/>
    <xf numFmtId="41" fontId="3" fillId="0" borderId="0" applyFont="0" applyFill="0" applyBorder="0" applyAlignment="0" applyProtection="0"/>
    <xf numFmtId="43" fontId="3" fillId="0" borderId="0" applyFont="0" applyFill="0" applyBorder="0" applyAlignment="0" applyProtection="0"/>
    <xf numFmtId="41" fontId="28"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190" fontId="20" fillId="0" borderId="0"/>
    <xf numFmtId="190" fontId="3" fillId="0" borderId="0">
      <alignment vertical="center"/>
    </xf>
    <xf numFmtId="190" fontId="2" fillId="0" borderId="0"/>
    <xf numFmtId="190" fontId="3" fillId="0" borderId="0">
      <protection locked="0"/>
    </xf>
    <xf numFmtId="190" fontId="68" fillId="0" borderId="0">
      <alignment vertical="center"/>
    </xf>
    <xf numFmtId="190" fontId="70" fillId="0" borderId="0">
      <alignment vertical="center"/>
    </xf>
    <xf numFmtId="190" fontId="70" fillId="0" borderId="0">
      <alignment vertical="center"/>
    </xf>
    <xf numFmtId="190" fontId="3" fillId="0" borderId="0"/>
    <xf numFmtId="190" fontId="14" fillId="0" borderId="0" applyNumberFormat="0" applyFill="0" applyBorder="0" applyAlignment="0" applyProtection="0">
      <alignment vertical="top"/>
      <protection locked="0"/>
    </xf>
    <xf numFmtId="9" fontId="3" fillId="0" borderId="0" applyFont="0" applyFill="0" applyBorder="0" applyAlignment="0" applyProtection="0"/>
    <xf numFmtId="190" fontId="11" fillId="0" borderId="0">
      <alignment vertical="center"/>
    </xf>
    <xf numFmtId="190" fontId="46" fillId="0" borderId="0">
      <alignment vertical="top"/>
      <protection locked="0"/>
    </xf>
    <xf numFmtId="190" fontId="3" fillId="0" borderId="0"/>
    <xf numFmtId="190" fontId="3" fillId="0" borderId="0">
      <protection locked="0"/>
    </xf>
    <xf numFmtId="190" fontId="12" fillId="0" borderId="0">
      <protection locked="0"/>
    </xf>
    <xf numFmtId="190" fontId="70" fillId="0" borderId="0">
      <alignment vertical="center"/>
    </xf>
    <xf numFmtId="190" fontId="3" fillId="0" borderId="0">
      <alignment vertical="center"/>
      <protection locked="0"/>
    </xf>
    <xf numFmtId="43" fontId="3" fillId="0" borderId="0" applyFont="0" applyFill="0" applyBorder="0" applyAlignment="0" applyProtection="0">
      <alignment vertical="center"/>
    </xf>
    <xf numFmtId="0" fontId="3" fillId="0" borderId="0">
      <protection locked="0"/>
    </xf>
    <xf numFmtId="190" fontId="1" fillId="0" borderId="0">
      <alignment vertical="center"/>
    </xf>
  </cellStyleXfs>
  <cellXfs count="364">
    <xf numFmtId="190" fontId="0" fillId="0" borderId="0" xfId="0">
      <alignment vertical="center"/>
    </xf>
    <xf numFmtId="43" fontId="7" fillId="0" borderId="0" xfId="39" applyNumberFormat="1" applyFont="1" applyBorder="1" applyAlignment="1">
      <alignment vertical="center"/>
    </xf>
    <xf numFmtId="43" fontId="10" fillId="0" borderId="0" xfId="39" applyNumberFormat="1" applyFont="1" applyBorder="1" applyAlignment="1">
      <alignment vertical="center"/>
    </xf>
    <xf numFmtId="43" fontId="10" fillId="0" borderId="0" xfId="39" applyNumberFormat="1" applyFont="1" applyBorder="1" applyAlignment="1">
      <alignment horizontal="left" vertical="center"/>
    </xf>
    <xf numFmtId="49" fontId="10" fillId="0" borderId="0" xfId="39" applyNumberFormat="1" applyFont="1" applyBorder="1" applyAlignment="1">
      <alignment vertical="center"/>
    </xf>
    <xf numFmtId="43" fontId="6" fillId="0" borderId="0" xfId="39" applyNumberFormat="1" applyFont="1" applyBorder="1" applyAlignment="1">
      <alignment vertical="center"/>
    </xf>
    <xf numFmtId="190" fontId="7" fillId="0" borderId="0" xfId="32" applyFont="1">
      <protection locked="0"/>
    </xf>
    <xf numFmtId="190" fontId="10" fillId="0" borderId="0" xfId="32" applyFont="1">
      <protection locked="0"/>
    </xf>
    <xf numFmtId="190" fontId="32" fillId="0" borderId="0" xfId="32" applyFont="1">
      <protection locked="0"/>
    </xf>
    <xf numFmtId="190" fontId="10" fillId="0" borderId="0" xfId="32" applyFont="1" applyAlignment="1">
      <alignment vertical="center"/>
      <protection locked="0"/>
    </xf>
    <xf numFmtId="190" fontId="10" fillId="0" borderId="3" xfId="32" applyFont="1" applyBorder="1" applyAlignment="1">
      <alignment vertical="center"/>
      <protection locked="0"/>
    </xf>
    <xf numFmtId="190" fontId="6" fillId="0" borderId="0" xfId="32" applyFont="1">
      <protection locked="0"/>
    </xf>
    <xf numFmtId="43" fontId="34" fillId="4" borderId="4" xfId="47" applyFont="1" applyFill="1" applyBorder="1" applyAlignment="1">
      <alignment horizontal="right" vertical="center"/>
    </xf>
    <xf numFmtId="190" fontId="34" fillId="4" borderId="4" xfId="32" applyFont="1" applyFill="1" applyBorder="1" applyAlignment="1">
      <alignment horizontal="justify" vertical="center"/>
      <protection locked="0"/>
    </xf>
    <xf numFmtId="190" fontId="7" fillId="0" borderId="0" xfId="36" applyFont="1">
      <alignment vertical="center"/>
    </xf>
    <xf numFmtId="190" fontId="9" fillId="0" borderId="0" xfId="36" applyFont="1">
      <alignment vertical="center"/>
    </xf>
    <xf numFmtId="190" fontId="10" fillId="0" borderId="0" xfId="32" applyFont="1" applyAlignment="1">
      <alignment horizontal="left" vertical="center"/>
      <protection locked="0"/>
    </xf>
    <xf numFmtId="190" fontId="6" fillId="0" borderId="0" xfId="38" applyFont="1" applyAlignment="1">
      <alignment horizontal="left" vertical="center"/>
    </xf>
    <xf numFmtId="190" fontId="10" fillId="0" borderId="0" xfId="38" applyFont="1" applyAlignment="1" applyProtection="1">
      <alignment vertical="center"/>
      <protection locked="0"/>
    </xf>
    <xf numFmtId="190" fontId="32" fillId="0" borderId="0" xfId="38" applyFont="1" applyAlignment="1" applyProtection="1">
      <alignment horizontal="center" vertical="center"/>
      <protection hidden="1"/>
    </xf>
    <xf numFmtId="190" fontId="10" fillId="0" borderId="0" xfId="38" applyFont="1" applyAlignment="1" applyProtection="1">
      <alignment horizontal="left" vertical="center"/>
      <protection hidden="1"/>
    </xf>
    <xf numFmtId="190" fontId="32" fillId="0" borderId="0" xfId="38" applyFont="1" applyAlignment="1" applyProtection="1">
      <alignment horizontal="left" vertical="center"/>
      <protection locked="0"/>
    </xf>
    <xf numFmtId="190" fontId="10" fillId="0" borderId="0" xfId="32" applyFont="1" applyAlignment="1">
      <alignment horizontal="center" vertical="center"/>
      <protection locked="0"/>
    </xf>
    <xf numFmtId="190" fontId="6" fillId="0" borderId="0" xfId="32" applyFont="1" applyAlignment="1">
      <alignment vertical="center"/>
      <protection locked="0"/>
    </xf>
    <xf numFmtId="190" fontId="6" fillId="0" borderId="0" xfId="32" applyFont="1" applyAlignment="1">
      <alignment horizontal="left" vertical="center"/>
      <protection locked="0"/>
    </xf>
    <xf numFmtId="190" fontId="31" fillId="0" borderId="0" xfId="0" applyFont="1" applyAlignment="1">
      <alignment horizontal="left" vertical="center"/>
    </xf>
    <xf numFmtId="190" fontId="33" fillId="0" borderId="0" xfId="0" applyFont="1" applyAlignment="1">
      <alignment horizontal="left" vertical="center"/>
    </xf>
    <xf numFmtId="190" fontId="33" fillId="0" borderId="0" xfId="0" applyFont="1" applyAlignment="1">
      <alignment horizontal="center" vertical="center"/>
    </xf>
    <xf numFmtId="190" fontId="33" fillId="0" borderId="2" xfId="0" applyFont="1" applyBorder="1" applyAlignment="1">
      <alignment horizontal="center" vertical="center"/>
    </xf>
    <xf numFmtId="190" fontId="34" fillId="0" borderId="0" xfId="0" applyFont="1">
      <alignment vertical="center"/>
    </xf>
    <xf numFmtId="190" fontId="33" fillId="0" borderId="2" xfId="0" applyFont="1" applyBorder="1">
      <alignment vertical="center"/>
    </xf>
    <xf numFmtId="190" fontId="34" fillId="0" borderId="2" xfId="0" applyFont="1" applyBorder="1">
      <alignment vertical="center"/>
    </xf>
    <xf numFmtId="190" fontId="34" fillId="0" borderId="0" xfId="0" applyFont="1" applyAlignment="1">
      <alignment horizontal="center" vertical="center"/>
    </xf>
    <xf numFmtId="43" fontId="10" fillId="0" borderId="0" xfId="39" applyNumberFormat="1" applyFont="1" applyFill="1" applyBorder="1" applyAlignment="1">
      <alignment vertical="center"/>
    </xf>
    <xf numFmtId="190" fontId="42" fillId="0" borderId="0" xfId="32" applyFont="1" applyAlignment="1" applyProtection="1">
      <alignment horizontal="center"/>
    </xf>
    <xf numFmtId="190" fontId="10" fillId="0" borderId="0" xfId="32" applyFont="1" applyAlignment="1">
      <alignment vertical="center" wrapText="1"/>
      <protection locked="0"/>
    </xf>
    <xf numFmtId="190" fontId="10" fillId="0" borderId="0" xfId="32" applyFont="1" applyAlignment="1">
      <alignment horizontal="right" vertical="center"/>
      <protection locked="0"/>
    </xf>
    <xf numFmtId="190" fontId="10" fillId="0" borderId="0" xfId="32" applyFont="1" applyAlignment="1">
      <alignment horizontal="justify" vertical="center" wrapText="1"/>
      <protection locked="0"/>
    </xf>
    <xf numFmtId="190" fontId="6" fillId="0" borderId="0" xfId="32" applyFont="1" applyAlignment="1" applyProtection="1">
      <alignment horizontal="left" vertical="center"/>
    </xf>
    <xf numFmtId="190" fontId="10" fillId="0" borderId="0" xfId="40" applyFont="1">
      <alignment vertical="center"/>
    </xf>
    <xf numFmtId="190" fontId="4" fillId="6" borderId="4" xfId="35" applyFont="1" applyFill="1" applyBorder="1" applyAlignment="1" applyProtection="1">
      <alignment horizontal="center" vertical="center" wrapText="1"/>
      <protection locked="0"/>
    </xf>
    <xf numFmtId="190" fontId="4" fillId="6" borderId="4" xfId="33" applyFont="1" applyFill="1" applyBorder="1" applyAlignment="1">
      <alignment horizontal="center" vertical="center"/>
      <protection locked="0"/>
    </xf>
    <xf numFmtId="190" fontId="29" fillId="6" borderId="4" xfId="33" applyFont="1" applyFill="1" applyBorder="1" applyAlignment="1">
      <alignment horizontal="center" vertical="center" wrapText="1"/>
      <protection locked="0"/>
    </xf>
    <xf numFmtId="190" fontId="33" fillId="0" borderId="4" xfId="0" applyFont="1" applyBorder="1">
      <alignment vertical="center"/>
    </xf>
    <xf numFmtId="190" fontId="33" fillId="6" borderId="4" xfId="0" applyFont="1" applyFill="1" applyBorder="1" applyAlignment="1">
      <alignment horizontal="center" vertical="center"/>
    </xf>
    <xf numFmtId="43" fontId="10" fillId="0" borderId="3" xfId="39" applyNumberFormat="1" applyFont="1" applyBorder="1" applyAlignment="1">
      <alignment horizontal="left" vertical="center"/>
    </xf>
    <xf numFmtId="43" fontId="43" fillId="0" borderId="3" xfId="41" applyNumberFormat="1" applyFont="1" applyBorder="1" applyAlignment="1" applyProtection="1">
      <alignment horizontal="center" vertical="center"/>
    </xf>
    <xf numFmtId="43" fontId="10" fillId="0" borderId="3" xfId="39" applyNumberFormat="1" applyFont="1" applyBorder="1" applyAlignment="1">
      <alignment vertical="center"/>
    </xf>
    <xf numFmtId="190" fontId="11" fillId="0" borderId="0" xfId="37" applyFont="1" applyAlignment="1">
      <alignment vertical="center"/>
    </xf>
    <xf numFmtId="190" fontId="10" fillId="0" borderId="0" xfId="37" applyFont="1" applyAlignment="1">
      <alignment vertical="center"/>
    </xf>
    <xf numFmtId="9" fontId="44" fillId="0" borderId="0" xfId="31" applyFont="1" applyBorder="1" applyAlignment="1">
      <alignment horizontal="left" vertical="center"/>
    </xf>
    <xf numFmtId="190" fontId="11" fillId="0" borderId="0" xfId="37" applyFont="1" applyAlignment="1">
      <alignment horizontal="left" vertical="center"/>
    </xf>
    <xf numFmtId="190" fontId="10" fillId="0" borderId="0" xfId="37" applyFont="1" applyAlignment="1">
      <alignment horizontal="left" vertical="center"/>
    </xf>
    <xf numFmtId="190" fontId="4" fillId="0" borderId="0" xfId="37" applyFont="1" applyAlignment="1">
      <alignment vertical="center"/>
    </xf>
    <xf numFmtId="190" fontId="10" fillId="0" borderId="0" xfId="32" applyFont="1" applyAlignment="1" applyProtection="1">
      <alignment vertical="center"/>
    </xf>
    <xf numFmtId="190" fontId="10" fillId="0" borderId="0" xfId="32" applyFont="1" applyAlignment="1">
      <alignment horizontal="center" vertical="center" wrapText="1"/>
      <protection locked="0"/>
    </xf>
    <xf numFmtId="190" fontId="51" fillId="0" borderId="4" xfId="0" applyFont="1" applyBorder="1">
      <alignment vertical="center"/>
    </xf>
    <xf numFmtId="14" fontId="10" fillId="0" borderId="0" xfId="39" applyNumberFormat="1" applyFont="1" applyBorder="1" applyAlignment="1">
      <alignment horizontal="left" vertical="center"/>
    </xf>
    <xf numFmtId="14" fontId="10" fillId="0" borderId="0" xfId="39" applyNumberFormat="1" applyFont="1" applyBorder="1" applyAlignment="1">
      <alignment vertical="center"/>
    </xf>
    <xf numFmtId="190" fontId="9" fillId="0" borderId="0" xfId="32" applyFont="1" applyAlignment="1">
      <alignment vertical="center"/>
      <protection locked="0"/>
    </xf>
    <xf numFmtId="190" fontId="6" fillId="0" borderId="0" xfId="38" applyFont="1" applyAlignment="1">
      <alignment vertical="center"/>
    </xf>
    <xf numFmtId="190" fontId="32" fillId="0" borderId="0" xfId="32" applyFont="1" applyAlignment="1">
      <alignment vertical="center"/>
      <protection locked="0"/>
    </xf>
    <xf numFmtId="190" fontId="7" fillId="0" borderId="0" xfId="32" applyFont="1" applyAlignment="1">
      <alignment vertical="center"/>
      <protection locked="0"/>
    </xf>
    <xf numFmtId="190" fontId="32" fillId="0" borderId="0" xfId="32" applyFont="1" applyAlignment="1">
      <alignment horizontal="right"/>
      <protection locked="0"/>
    </xf>
    <xf numFmtId="190" fontId="6" fillId="6" borderId="4" xfId="32" applyFont="1" applyFill="1" applyBorder="1" applyAlignment="1" applyProtection="1">
      <alignment horizontal="center" vertical="center"/>
    </xf>
    <xf numFmtId="190" fontId="6" fillId="0" borderId="0" xfId="32" applyFont="1" applyAlignment="1" applyProtection="1">
      <alignment horizontal="center" vertical="center"/>
    </xf>
    <xf numFmtId="43" fontId="33" fillId="0" borderId="0" xfId="47" applyFont="1" applyFill="1" applyBorder="1" applyAlignment="1">
      <alignment horizontal="right" vertical="center"/>
    </xf>
    <xf numFmtId="190" fontId="3" fillId="0" borderId="0" xfId="32" applyAlignment="1">
      <alignment vertical="center"/>
      <protection locked="0"/>
    </xf>
    <xf numFmtId="190" fontId="10" fillId="0" borderId="0" xfId="32" applyFont="1" applyAlignment="1" applyProtection="1">
      <alignment horizontal="center" vertical="center"/>
    </xf>
    <xf numFmtId="190" fontId="10" fillId="0" borderId="4" xfId="32" applyFont="1" applyBorder="1" applyAlignment="1" applyProtection="1">
      <alignment vertical="center"/>
    </xf>
    <xf numFmtId="190" fontId="6" fillId="0" borderId="4" xfId="32" applyFont="1" applyBorder="1" applyAlignment="1" applyProtection="1">
      <alignment vertical="center"/>
    </xf>
    <xf numFmtId="190" fontId="6" fillId="0" borderId="0" xfId="32" applyFont="1" applyAlignment="1" applyProtection="1">
      <alignment vertical="center"/>
    </xf>
    <xf numFmtId="190" fontId="49" fillId="0" borderId="0" xfId="32" applyFont="1" applyAlignment="1">
      <alignment vertical="center"/>
      <protection locked="0"/>
    </xf>
    <xf numFmtId="190" fontId="10" fillId="0" borderId="0" xfId="32" applyFont="1" applyAlignment="1">
      <alignment horizontal="left" vertical="center" indent="2"/>
      <protection locked="0"/>
    </xf>
    <xf numFmtId="190" fontId="50" fillId="0" borderId="0" xfId="32" applyFont="1" applyAlignment="1">
      <alignment horizontal="left"/>
      <protection locked="0"/>
    </xf>
    <xf numFmtId="190" fontId="6" fillId="6" borderId="4" xfId="32" applyFont="1" applyFill="1" applyBorder="1" applyAlignment="1" applyProtection="1">
      <alignment horizontal="center" vertical="center" wrapText="1"/>
    </xf>
    <xf numFmtId="190" fontId="52" fillId="0" borderId="0" xfId="32" applyFont="1" applyAlignment="1" applyProtection="1">
      <alignment horizontal="left" vertical="center"/>
    </xf>
    <xf numFmtId="190" fontId="6" fillId="6" borderId="4" xfId="0" applyFont="1" applyFill="1" applyBorder="1" applyAlignment="1">
      <alignment horizontal="center" vertical="center"/>
    </xf>
    <xf numFmtId="190" fontId="10" fillId="4" borderId="4" xfId="0" applyFont="1" applyFill="1" applyBorder="1">
      <alignment vertical="center"/>
    </xf>
    <xf numFmtId="190" fontId="33" fillId="6" borderId="4" xfId="32" applyFont="1" applyFill="1" applyBorder="1" applyAlignment="1">
      <alignment horizontal="center" vertical="center"/>
      <protection locked="0"/>
    </xf>
    <xf numFmtId="190" fontId="53" fillId="0" borderId="4" xfId="32" applyFont="1" applyBorder="1" applyAlignment="1">
      <alignment horizontal="left" vertical="center" wrapText="1"/>
      <protection locked="0"/>
    </xf>
    <xf numFmtId="190" fontId="53" fillId="4" borderId="4" xfId="32" applyFont="1" applyFill="1" applyBorder="1" applyAlignment="1">
      <alignment horizontal="justify" vertical="center"/>
      <protection locked="0"/>
    </xf>
    <xf numFmtId="190" fontId="53" fillId="4" borderId="4" xfId="32" applyFont="1" applyFill="1" applyBorder="1" applyAlignment="1">
      <alignment horizontal="left" vertical="center"/>
      <protection locked="0"/>
    </xf>
    <xf numFmtId="190" fontId="6" fillId="0" borderId="3" xfId="32" applyFont="1" applyBorder="1" applyAlignment="1">
      <alignment vertical="center"/>
      <protection locked="0"/>
    </xf>
    <xf numFmtId="43" fontId="11" fillId="0" borderId="0" xfId="39" applyNumberFormat="1" applyFont="1" applyFill="1" applyBorder="1" applyAlignment="1">
      <alignment vertical="center"/>
    </xf>
    <xf numFmtId="43" fontId="8" fillId="0" borderId="0" xfId="39" applyNumberFormat="1" applyFont="1" applyFill="1" applyBorder="1" applyAlignment="1">
      <alignment vertical="center"/>
    </xf>
    <xf numFmtId="49" fontId="10" fillId="0" borderId="0" xfId="39" applyNumberFormat="1" applyFont="1" applyFill="1" applyBorder="1" applyAlignment="1">
      <alignment vertical="center"/>
    </xf>
    <xf numFmtId="190" fontId="0" fillId="0" borderId="0" xfId="0" applyProtection="1">
      <alignment vertical="center"/>
      <protection locked="0"/>
    </xf>
    <xf numFmtId="190" fontId="9" fillId="0" borderId="0" xfId="0" applyFont="1" applyProtection="1">
      <alignment vertical="center"/>
      <protection locked="0"/>
    </xf>
    <xf numFmtId="190" fontId="11" fillId="0" borderId="0" xfId="32" applyFont="1" applyAlignment="1" applyProtection="1">
      <alignment vertical="center"/>
    </xf>
    <xf numFmtId="190" fontId="55" fillId="4" borderId="4" xfId="32" applyFont="1" applyFill="1" applyBorder="1" applyAlignment="1">
      <alignment horizontal="justify" vertical="center"/>
      <protection locked="0"/>
    </xf>
    <xf numFmtId="190" fontId="54" fillId="0" borderId="0" xfId="32" applyFont="1">
      <protection locked="0"/>
    </xf>
    <xf numFmtId="190" fontId="10" fillId="7" borderId="0" xfId="32" applyFont="1" applyFill="1">
      <protection locked="0"/>
    </xf>
    <xf numFmtId="190" fontId="29" fillId="6" borderId="4" xfId="32" applyFont="1" applyFill="1" applyBorder="1" applyAlignment="1">
      <alignment horizontal="center" vertical="center"/>
      <protection locked="0"/>
    </xf>
    <xf numFmtId="190" fontId="4" fillId="0" borderId="0" xfId="32" applyFont="1" applyAlignment="1">
      <alignment vertical="center"/>
      <protection locked="0"/>
    </xf>
    <xf numFmtId="190" fontId="10" fillId="0" borderId="0" xfId="49" applyFont="1">
      <alignment vertical="center"/>
    </xf>
    <xf numFmtId="190" fontId="6" fillId="0" borderId="0" xfId="32" applyFont="1" applyAlignment="1">
      <alignment horizontal="justify" vertical="center"/>
      <protection locked="0"/>
    </xf>
    <xf numFmtId="190" fontId="59" fillId="8" borderId="0" xfId="32" applyFont="1" applyFill="1" applyAlignment="1">
      <alignment horizontal="center" vertical="center"/>
      <protection locked="0"/>
    </xf>
    <xf numFmtId="190" fontId="10" fillId="8" borderId="0" xfId="32" applyFont="1" applyFill="1" applyAlignment="1">
      <alignment horizontal="left" vertical="center"/>
      <protection locked="0"/>
    </xf>
    <xf numFmtId="190" fontId="6" fillId="8" borderId="0" xfId="32" applyFont="1" applyFill="1" applyAlignment="1">
      <alignment horizontal="left" vertical="center"/>
      <protection locked="0"/>
    </xf>
    <xf numFmtId="190" fontId="10" fillId="8" borderId="0" xfId="32" applyFont="1" applyFill="1" applyAlignment="1">
      <alignment horizontal="left" vertical="center" wrapText="1"/>
      <protection locked="0"/>
    </xf>
    <xf numFmtId="190" fontId="11" fillId="8" borderId="0" xfId="32" applyFont="1" applyFill="1" applyAlignment="1">
      <alignment horizontal="left" vertical="center"/>
      <protection locked="0"/>
    </xf>
    <xf numFmtId="49" fontId="6" fillId="0" borderId="0" xfId="49" applyNumberFormat="1" applyFont="1" applyAlignment="1">
      <alignment horizontal="left" vertical="center"/>
    </xf>
    <xf numFmtId="190" fontId="6" fillId="0" borderId="0" xfId="32" applyFont="1" applyAlignment="1">
      <alignment horizontal="left" vertical="center" wrapText="1"/>
      <protection locked="0"/>
    </xf>
    <xf numFmtId="190" fontId="64" fillId="0" borderId="0" xfId="32" applyFont="1" applyAlignment="1" applyProtection="1">
      <alignment horizontal="center" vertical="center" wrapText="1"/>
    </xf>
    <xf numFmtId="49" fontId="10" fillId="0" borderId="0" xfId="49" applyNumberFormat="1" applyFont="1" applyAlignment="1">
      <alignment horizontal="left" vertical="center"/>
    </xf>
    <xf numFmtId="190" fontId="65" fillId="0" borderId="0" xfId="32" applyFont="1" applyAlignment="1">
      <alignment vertical="center"/>
      <protection locked="0"/>
    </xf>
    <xf numFmtId="190" fontId="66" fillId="0" borderId="0" xfId="49" applyFont="1">
      <alignment vertical="center"/>
    </xf>
    <xf numFmtId="190" fontId="29" fillId="6" borderId="9" xfId="32" applyFont="1" applyFill="1" applyBorder="1" applyAlignment="1">
      <alignment horizontal="center" vertical="center"/>
      <protection locked="0"/>
    </xf>
    <xf numFmtId="190" fontId="68" fillId="0" borderId="0" xfId="52">
      <alignment vertical="center"/>
    </xf>
    <xf numFmtId="190" fontId="68" fillId="0" borderId="4" xfId="52" applyBorder="1">
      <alignment vertical="center"/>
    </xf>
    <xf numFmtId="190" fontId="4" fillId="0" borderId="4" xfId="32" applyFont="1" applyBorder="1" applyAlignment="1">
      <alignment horizontal="center" vertical="center" wrapText="1"/>
      <protection locked="0"/>
    </xf>
    <xf numFmtId="43" fontId="63" fillId="0" borderId="0" xfId="39" applyNumberFormat="1" applyFont="1" applyBorder="1" applyAlignment="1">
      <alignment horizontal="left" vertical="center"/>
    </xf>
    <xf numFmtId="190" fontId="3" fillId="0" borderId="0" xfId="51">
      <protection locked="0"/>
    </xf>
    <xf numFmtId="43" fontId="47" fillId="0" borderId="0" xfId="39" applyNumberFormat="1" applyFont="1" applyFill="1" applyBorder="1" applyAlignment="1">
      <alignment vertical="center"/>
    </xf>
    <xf numFmtId="190" fontId="71" fillId="0" borderId="0" xfId="54" applyFont="1">
      <alignment vertical="center"/>
    </xf>
    <xf numFmtId="190" fontId="29" fillId="6" borderId="4" xfId="51" applyFont="1" applyFill="1" applyBorder="1" applyAlignment="1" applyProtection="1">
      <alignment vertical="center"/>
    </xf>
    <xf numFmtId="190" fontId="4" fillId="6" borderId="4" xfId="55" applyFont="1" applyFill="1" applyBorder="1" applyAlignment="1" applyProtection="1">
      <alignment horizontal="center" vertical="center" wrapText="1"/>
      <protection locked="0"/>
    </xf>
    <xf numFmtId="190" fontId="72" fillId="6" borderId="4" xfId="55" applyFont="1" applyFill="1" applyBorder="1" applyAlignment="1" applyProtection="1">
      <alignment horizontal="center" vertical="center" wrapText="1"/>
      <protection locked="0"/>
    </xf>
    <xf numFmtId="190" fontId="6" fillId="0" borderId="0" xfId="37" applyFont="1" applyAlignment="1">
      <alignment vertical="center"/>
    </xf>
    <xf numFmtId="190" fontId="29" fillId="6" borderId="4" xfId="0" applyFont="1" applyFill="1" applyBorder="1" applyAlignment="1">
      <alignment horizontal="center" vertical="center"/>
    </xf>
    <xf numFmtId="190" fontId="73" fillId="0" borderId="2" xfId="0" applyFont="1" applyBorder="1">
      <alignment vertical="center"/>
    </xf>
    <xf numFmtId="43" fontId="34" fillId="0" borderId="4" xfId="47" applyFont="1" applyFill="1" applyBorder="1" applyAlignment="1">
      <alignment horizontal="right" vertical="center"/>
    </xf>
    <xf numFmtId="43" fontId="74" fillId="0" borderId="0" xfId="58" applyNumberFormat="1" applyFont="1">
      <alignment vertical="center"/>
    </xf>
    <xf numFmtId="43" fontId="75" fillId="0" borderId="0" xfId="58" applyNumberFormat="1" applyFont="1">
      <alignment vertical="center"/>
    </xf>
    <xf numFmtId="43" fontId="11" fillId="0" borderId="0" xfId="58" applyNumberFormat="1">
      <alignment vertical="center"/>
    </xf>
    <xf numFmtId="43" fontId="76" fillId="0" borderId="0" xfId="58" applyNumberFormat="1" applyFont="1">
      <alignment vertical="center"/>
    </xf>
    <xf numFmtId="190" fontId="77" fillId="0" borderId="0" xfId="0" applyFont="1" applyAlignment="1" applyProtection="1">
      <alignment horizontal="justify" vertical="center"/>
      <protection locked="0"/>
    </xf>
    <xf numFmtId="190" fontId="77" fillId="0" borderId="0" xfId="0" applyFont="1" applyProtection="1">
      <alignment vertical="center"/>
      <protection locked="0"/>
    </xf>
    <xf numFmtId="190" fontId="68" fillId="0" borderId="0" xfId="0" applyFont="1" applyProtection="1">
      <alignment vertical="center"/>
      <protection locked="0"/>
    </xf>
    <xf numFmtId="190" fontId="78" fillId="0" borderId="5" xfId="0" applyFont="1" applyBorder="1" applyAlignment="1" applyProtection="1">
      <alignment horizontal="justify" vertical="center" wrapText="1"/>
      <protection locked="0"/>
    </xf>
    <xf numFmtId="190" fontId="79" fillId="0" borderId="5" xfId="0" applyFont="1" applyBorder="1" applyAlignment="1" applyProtection="1">
      <alignment horizontal="right" vertical="center" wrapText="1"/>
      <protection locked="0"/>
    </xf>
    <xf numFmtId="190" fontId="77" fillId="0" borderId="0" xfId="0" applyFont="1" applyAlignment="1" applyProtection="1">
      <alignment horizontal="left" vertical="center" wrapText="1"/>
      <protection locked="0"/>
    </xf>
    <xf numFmtId="190" fontId="79" fillId="0" borderId="5" xfId="0" applyFont="1" applyBorder="1" applyAlignment="1" applyProtection="1">
      <alignment horizontal="justify" vertical="center" wrapText="1"/>
      <protection locked="0"/>
    </xf>
    <xf numFmtId="190" fontId="77" fillId="0" borderId="0" xfId="0" applyFont="1" applyAlignment="1" applyProtection="1">
      <alignment horizontal="left" vertical="center"/>
      <protection locked="0"/>
    </xf>
    <xf numFmtId="43" fontId="82" fillId="0" borderId="0" xfId="39" applyNumberFormat="1" applyFont="1" applyBorder="1" applyAlignment="1">
      <alignment vertical="center"/>
    </xf>
    <xf numFmtId="43" fontId="83" fillId="0" borderId="0" xfId="0" applyNumberFormat="1" applyFont="1" applyAlignment="1" applyProtection="1">
      <alignment horizontal="right" vertical="center" wrapText="1"/>
      <protection locked="0"/>
    </xf>
    <xf numFmtId="43" fontId="10" fillId="0" borderId="0" xfId="0" applyNumberFormat="1" applyFont="1" applyAlignment="1" applyProtection="1">
      <alignment horizontal="right" vertical="center" wrapText="1"/>
      <protection locked="0"/>
    </xf>
    <xf numFmtId="43" fontId="10" fillId="0" borderId="0" xfId="47" applyFont="1" applyFill="1" applyAlignment="1" applyProtection="1">
      <alignment horizontal="right" vertical="center" wrapText="1" shrinkToFit="1"/>
      <protection locked="0"/>
    </xf>
    <xf numFmtId="43" fontId="84" fillId="0" borderId="5" xfId="47" applyFont="1" applyFill="1" applyBorder="1" applyAlignment="1" applyProtection="1">
      <alignment horizontal="right" vertical="center" wrapText="1" shrinkToFit="1"/>
      <protection locked="0"/>
    </xf>
    <xf numFmtId="190" fontId="84" fillId="0" borderId="5" xfId="0" applyFont="1" applyBorder="1" applyAlignment="1" applyProtection="1">
      <alignment horizontal="right" vertical="center" wrapText="1"/>
      <protection locked="0"/>
    </xf>
    <xf numFmtId="49" fontId="10" fillId="0" borderId="0" xfId="39" applyNumberFormat="1" applyFont="1" applyBorder="1" applyAlignment="1">
      <alignment horizontal="left" vertical="center"/>
    </xf>
    <xf numFmtId="43" fontId="10" fillId="0" borderId="0" xfId="39" applyNumberFormat="1" applyFont="1" applyBorder="1" applyAlignment="1">
      <alignment horizontal="right" vertical="center"/>
    </xf>
    <xf numFmtId="43" fontId="34" fillId="9" borderId="4" xfId="47" applyFont="1" applyFill="1" applyBorder="1" applyAlignment="1">
      <alignment horizontal="right" vertical="center"/>
    </xf>
    <xf numFmtId="43" fontId="34" fillId="6" borderId="9" xfId="47" applyFont="1" applyFill="1" applyBorder="1" applyAlignment="1" applyProtection="1">
      <alignment horizontal="center" vertical="center"/>
      <protection locked="0"/>
    </xf>
    <xf numFmtId="43" fontId="10" fillId="9" borderId="4" xfId="47" applyFont="1" applyFill="1" applyBorder="1" applyAlignment="1">
      <alignment horizontal="right" vertical="center" wrapText="1"/>
    </xf>
    <xf numFmtId="10" fontId="10" fillId="9" borderId="4" xfId="31" applyNumberFormat="1" applyFont="1" applyFill="1" applyBorder="1" applyAlignment="1">
      <alignment horizontal="right" vertical="center" wrapText="1"/>
    </xf>
    <xf numFmtId="190" fontId="79" fillId="0" borderId="0" xfId="0" applyFont="1" applyBorder="1" applyAlignment="1" applyProtection="1">
      <alignment horizontal="right" vertical="center" wrapText="1"/>
      <protection locked="0"/>
    </xf>
    <xf numFmtId="190" fontId="84" fillId="0" borderId="0" xfId="0" applyFont="1" applyBorder="1" applyAlignment="1" applyProtection="1">
      <alignment horizontal="right" vertical="center" wrapText="1"/>
      <protection locked="0"/>
    </xf>
    <xf numFmtId="190" fontId="11" fillId="0" borderId="0" xfId="32" applyFont="1" applyAlignment="1">
      <alignment vertical="center"/>
      <protection locked="0"/>
    </xf>
    <xf numFmtId="14" fontId="10" fillId="0" borderId="0" xfId="39" applyNumberFormat="1" applyFont="1" applyBorder="1" applyAlignment="1">
      <alignment horizontal="right" vertical="center"/>
    </xf>
    <xf numFmtId="190" fontId="85" fillId="0" borderId="0" xfId="0" applyFont="1">
      <alignment vertical="center"/>
    </xf>
    <xf numFmtId="43" fontId="33" fillId="9" borderId="4" xfId="47" applyFont="1" applyFill="1" applyBorder="1" applyAlignment="1">
      <alignment horizontal="right" vertical="center"/>
    </xf>
    <xf numFmtId="190" fontId="11" fillId="0" borderId="0" xfId="32" applyFont="1" applyAlignment="1">
      <alignment horizontal="right" vertical="center"/>
      <protection locked="0"/>
    </xf>
    <xf numFmtId="49" fontId="4" fillId="0" borderId="0" xfId="51" applyNumberFormat="1" applyFont="1" applyBorder="1" applyAlignment="1">
      <alignment horizontal="left" vertical="center"/>
      <protection locked="0"/>
    </xf>
    <xf numFmtId="190" fontId="4" fillId="6" borderId="4" xfId="53" applyFont="1" applyFill="1" applyBorder="1" applyAlignment="1" applyProtection="1">
      <alignment horizontal="center" vertical="center"/>
      <protection locked="0"/>
    </xf>
    <xf numFmtId="190" fontId="4" fillId="6" borderId="4" xfId="53" applyFont="1" applyFill="1" applyBorder="1" applyAlignment="1" applyProtection="1">
      <alignment horizontal="center" vertical="center" wrapText="1"/>
      <protection locked="0"/>
    </xf>
    <xf numFmtId="190" fontId="11" fillId="0" borderId="4" xfId="32" applyFont="1" applyFill="1" applyBorder="1" applyAlignment="1">
      <alignment horizontal="left" vertical="center" wrapText="1"/>
      <protection locked="0"/>
    </xf>
    <xf numFmtId="190" fontId="11" fillId="0" borderId="6" xfId="32" applyFont="1" applyFill="1" applyBorder="1" applyAlignment="1">
      <alignment horizontal="center" vertical="center" wrapText="1"/>
      <protection locked="0"/>
    </xf>
    <xf numFmtId="190" fontId="86" fillId="0" borderId="6" xfId="50" applyFont="1" applyFill="1" applyBorder="1" applyAlignment="1">
      <alignment horizontal="center" vertical="center" wrapText="1"/>
    </xf>
    <xf numFmtId="190" fontId="10" fillId="0" borderId="4" xfId="32" applyFont="1" applyFill="1" applyBorder="1" applyAlignment="1">
      <alignment vertical="center" wrapText="1"/>
      <protection locked="0"/>
    </xf>
    <xf numFmtId="190" fontId="10" fillId="0" borderId="4" xfId="51" applyFont="1" applyFill="1" applyBorder="1" applyAlignment="1">
      <alignment horizontal="left" vertical="center" wrapText="1"/>
      <protection locked="0"/>
    </xf>
    <xf numFmtId="190" fontId="11" fillId="0" borderId="4" xfId="53" applyFont="1" applyFill="1" applyBorder="1" applyAlignment="1" applyProtection="1">
      <alignment horizontal="center" vertical="center"/>
      <protection locked="0"/>
    </xf>
    <xf numFmtId="190" fontId="11" fillId="0" borderId="4" xfId="51" applyFont="1" applyFill="1" applyBorder="1" applyAlignment="1">
      <alignment horizontal="left" vertical="center" wrapText="1"/>
      <protection locked="0"/>
    </xf>
    <xf numFmtId="190" fontId="10" fillId="0" borderId="4" xfId="32" applyFont="1" applyFill="1" applyBorder="1" applyAlignment="1">
      <alignment horizontal="center" vertical="center" wrapText="1"/>
      <protection locked="0"/>
    </xf>
    <xf numFmtId="190" fontId="20" fillId="0" borderId="4" xfId="50" applyFont="1" applyFill="1" applyBorder="1" applyAlignment="1" applyProtection="1">
      <alignment horizontal="center" vertical="center" wrapText="1"/>
      <protection locked="0"/>
    </xf>
    <xf numFmtId="190" fontId="10" fillId="0" borderId="4" xfId="51" applyFont="1" applyFill="1" applyBorder="1" applyAlignment="1">
      <alignment horizontal="left" vertical="center" wrapText="1"/>
      <protection locked="0"/>
    </xf>
    <xf numFmtId="190" fontId="85" fillId="0" borderId="4" xfId="53" applyFont="1" applyFill="1" applyBorder="1" applyAlignment="1">
      <alignment horizontal="center" vertical="center" wrapText="1"/>
    </xf>
    <xf numFmtId="190" fontId="64" fillId="0" borderId="4" xfId="53" applyFont="1" applyFill="1" applyBorder="1" applyAlignment="1">
      <alignment horizontal="center" vertical="center" wrapText="1"/>
    </xf>
    <xf numFmtId="190" fontId="6" fillId="0" borderId="0" xfId="32" applyFont="1" applyBorder="1" applyAlignment="1" applyProtection="1">
      <alignment horizontal="center" vertical="center"/>
    </xf>
    <xf numFmtId="190" fontId="10" fillId="0" borderId="0" xfId="32" applyFont="1" applyAlignment="1" applyProtection="1">
      <alignment horizontal="left" vertical="center"/>
    </xf>
    <xf numFmtId="190" fontId="4" fillId="0" borderId="0" xfId="60" applyFont="1" applyAlignment="1">
      <alignment vertical="center"/>
    </xf>
    <xf numFmtId="190" fontId="10" fillId="0" borderId="0" xfId="60" applyFont="1" applyAlignment="1">
      <alignment horizontal="left" vertical="center"/>
    </xf>
    <xf numFmtId="190" fontId="4" fillId="0" borderId="0" xfId="60" applyFont="1" applyAlignment="1">
      <alignment horizontal="left" vertical="center" wrapText="1"/>
    </xf>
    <xf numFmtId="190" fontId="6" fillId="0" borderId="0" xfId="60" applyFont="1" applyAlignment="1">
      <alignment horizontal="left" vertical="center" wrapText="1"/>
    </xf>
    <xf numFmtId="190" fontId="3" fillId="0" borderId="0" xfId="61">
      <protection locked="0"/>
    </xf>
    <xf numFmtId="190" fontId="56" fillId="0" borderId="0" xfId="60" applyFont="1" applyAlignment="1">
      <alignment horizontal="left" vertical="center"/>
    </xf>
    <xf numFmtId="43" fontId="33" fillId="6" borderId="4" xfId="47" applyFont="1" applyFill="1" applyBorder="1" applyAlignment="1" applyProtection="1">
      <alignment horizontal="center" vertical="center"/>
      <protection locked="0"/>
    </xf>
    <xf numFmtId="190" fontId="61" fillId="0" borderId="4" xfId="53" applyFont="1" applyFill="1" applyBorder="1" applyAlignment="1">
      <alignment horizontal="center" vertical="center" wrapText="1"/>
    </xf>
    <xf numFmtId="190" fontId="4" fillId="0" borderId="4" xfId="53" applyFont="1" applyFill="1" applyBorder="1" applyAlignment="1" applyProtection="1">
      <alignment horizontal="center" vertical="center"/>
      <protection locked="0"/>
    </xf>
    <xf numFmtId="190" fontId="11" fillId="0" borderId="4" xfId="53" applyFont="1" applyFill="1" applyBorder="1" applyAlignment="1" applyProtection="1">
      <alignment horizontal="center" vertical="center" wrapText="1"/>
      <protection locked="0"/>
    </xf>
    <xf numFmtId="190" fontId="11" fillId="0" borderId="4" xfId="61" applyFont="1" applyBorder="1" applyAlignment="1">
      <alignment horizontal="center" vertical="center" wrapText="1"/>
      <protection locked="0"/>
    </xf>
    <xf numFmtId="190" fontId="10" fillId="0" borderId="8" xfId="32" applyFont="1" applyFill="1" applyBorder="1" applyAlignment="1">
      <alignment vertical="center" wrapText="1"/>
      <protection locked="0"/>
    </xf>
    <xf numFmtId="190" fontId="10" fillId="0" borderId="0" xfId="62" applyFont="1" applyAlignment="1">
      <alignment vertical="center"/>
      <protection locked="0"/>
    </xf>
    <xf numFmtId="190" fontId="77" fillId="0" borderId="0" xfId="0" applyFont="1" applyAlignment="1" applyProtection="1">
      <alignment horizontal="left" vertical="center"/>
    </xf>
    <xf numFmtId="190" fontId="10" fillId="0" borderId="0" xfId="0" applyFont="1" applyAlignment="1" applyProtection="1">
      <alignment vertical="center"/>
      <protection locked="0"/>
    </xf>
    <xf numFmtId="190" fontId="10" fillId="0" borderId="0" xfId="62" applyFont="1">
      <protection locked="0"/>
    </xf>
    <xf numFmtId="190" fontId="29" fillId="6" borderId="4" xfId="51" applyFont="1" applyFill="1" applyBorder="1" applyAlignment="1" applyProtection="1">
      <alignment vertical="center" wrapText="1"/>
    </xf>
    <xf numFmtId="194" fontId="6" fillId="0" borderId="4" xfId="32" applyNumberFormat="1" applyFont="1" applyBorder="1" applyAlignment="1" applyProtection="1">
      <alignment horizontal="center" vertical="center"/>
    </xf>
    <xf numFmtId="190" fontId="54" fillId="0" borderId="0" xfId="32" applyFont="1" applyAlignment="1">
      <alignment vertical="center"/>
      <protection locked="0"/>
    </xf>
    <xf numFmtId="190" fontId="29" fillId="6" borderId="9" xfId="32" applyFont="1" applyFill="1" applyBorder="1" applyAlignment="1">
      <alignment horizontal="center" vertical="center" wrapText="1"/>
      <protection locked="0"/>
    </xf>
    <xf numFmtId="190" fontId="53" fillId="0" borderId="0" xfId="32" applyFont="1" applyAlignment="1">
      <alignment vertical="center"/>
      <protection locked="0"/>
    </xf>
    <xf numFmtId="194" fontId="6" fillId="0" borderId="0" xfId="32" applyNumberFormat="1" applyFont="1" applyBorder="1" applyAlignment="1" applyProtection="1">
      <alignment horizontal="center" vertical="center"/>
    </xf>
    <xf numFmtId="190" fontId="10" fillId="0" borderId="4" xfId="32" applyFont="1" applyBorder="1" applyAlignment="1">
      <alignment horizontal="left" vertical="center" wrapText="1"/>
      <protection locked="0"/>
    </xf>
    <xf numFmtId="190" fontId="4" fillId="0" borderId="0" xfId="32" applyFont="1" applyAlignment="1" applyProtection="1">
      <alignment horizontal="left" vertical="center"/>
    </xf>
    <xf numFmtId="190" fontId="4" fillId="0" borderId="0" xfId="32" applyFont="1" applyAlignment="1" applyProtection="1">
      <alignment vertical="center"/>
    </xf>
    <xf numFmtId="190" fontId="10" fillId="5" borderId="0" xfId="0" applyFont="1" applyFill="1" applyBorder="1" applyAlignment="1" applyProtection="1">
      <alignment horizontal="justify" vertical="center" wrapText="1"/>
      <protection locked="0"/>
    </xf>
    <xf numFmtId="190" fontId="34" fillId="4" borderId="4" xfId="32" applyFont="1" applyFill="1" applyBorder="1" applyAlignment="1">
      <alignment horizontal="center" vertical="center"/>
      <protection locked="0"/>
    </xf>
    <xf numFmtId="43" fontId="10" fillId="0" borderId="4" xfId="47" applyFont="1" applyBorder="1" applyAlignment="1" applyProtection="1">
      <alignment vertical="center"/>
    </xf>
    <xf numFmtId="43" fontId="10" fillId="4" borderId="4" xfId="47" applyFont="1" applyFill="1" applyBorder="1" applyAlignment="1">
      <alignment vertical="center"/>
    </xf>
    <xf numFmtId="43" fontId="34" fillId="4" borderId="4" xfId="47" applyFont="1" applyFill="1" applyBorder="1" applyAlignment="1">
      <alignment horizontal="center" vertical="center"/>
    </xf>
    <xf numFmtId="190" fontId="34" fillId="0" borderId="4" xfId="64" applyFont="1" applyFill="1" applyBorder="1" applyAlignment="1" applyProtection="1">
      <alignment vertical="center"/>
    </xf>
    <xf numFmtId="190" fontId="34" fillId="0" borderId="4" xfId="51" applyFont="1" applyBorder="1" applyAlignment="1" applyProtection="1">
      <alignment vertical="center"/>
    </xf>
    <xf numFmtId="43" fontId="34" fillId="0" borderId="4" xfId="47" applyFont="1" applyFill="1" applyBorder="1" applyAlignment="1" applyProtection="1">
      <alignment vertical="center"/>
    </xf>
    <xf numFmtId="190" fontId="34" fillId="0" borderId="4" xfId="64" applyFont="1" applyFill="1" applyBorder="1" applyAlignment="1" applyProtection="1">
      <alignment horizontal="center" vertical="center"/>
    </xf>
    <xf numFmtId="49" fontId="34" fillId="0" borderId="2" xfId="0" applyNumberFormat="1" applyFont="1" applyBorder="1" applyAlignment="1">
      <alignment horizontal="center" vertical="center"/>
    </xf>
    <xf numFmtId="190" fontId="11" fillId="0" borderId="0" xfId="0" applyFont="1" applyAlignment="1" applyProtection="1">
      <alignment vertical="center"/>
      <protection locked="0"/>
    </xf>
    <xf numFmtId="190" fontId="88" fillId="8" borderId="0" xfId="53" applyFont="1" applyFill="1" applyAlignment="1" applyProtection="1">
      <alignment horizontal="left" vertical="top" wrapText="1"/>
      <protection locked="0"/>
    </xf>
    <xf numFmtId="190" fontId="88" fillId="8" borderId="0" xfId="53" applyFont="1" applyFill="1" applyAlignment="1" applyProtection="1">
      <alignment horizontal="left" vertical="center" wrapText="1"/>
      <protection locked="0"/>
    </xf>
    <xf numFmtId="190" fontId="10" fillId="0" borderId="4" xfId="51" applyFont="1" applyBorder="1" applyAlignment="1">
      <alignment horizontal="center" vertical="center" wrapText="1"/>
      <protection locked="0"/>
    </xf>
    <xf numFmtId="190" fontId="10" fillId="0" borderId="0" xfId="38" applyFont="1" applyAlignment="1">
      <alignment horizontal="left" vertical="center"/>
    </xf>
    <xf numFmtId="190" fontId="54" fillId="0" borderId="0" xfId="38" applyFont="1" applyAlignment="1">
      <alignment horizontal="left" vertical="center"/>
    </xf>
    <xf numFmtId="190" fontId="10" fillId="0" borderId="0" xfId="0" applyFont="1" applyAlignment="1" applyProtection="1">
      <protection locked="0"/>
    </xf>
    <xf numFmtId="190" fontId="90" fillId="0" borderId="0" xfId="36" applyFont="1" applyAlignment="1">
      <alignment vertical="center"/>
    </xf>
    <xf numFmtId="190" fontId="91" fillId="0" borderId="0" xfId="36" applyFont="1" applyAlignment="1">
      <alignment vertical="center"/>
    </xf>
    <xf numFmtId="190" fontId="53" fillId="0" borderId="0" xfId="32" applyFont="1" applyAlignment="1">
      <alignment horizontal="left" vertical="center"/>
      <protection locked="0"/>
    </xf>
    <xf numFmtId="190" fontId="4" fillId="6" borderId="4" xfId="61" applyFont="1" applyFill="1" applyBorder="1" applyAlignment="1">
      <alignment horizontal="center" vertical="center"/>
      <protection locked="0"/>
    </xf>
    <xf numFmtId="190" fontId="10" fillId="0" borderId="4" xfId="61" applyFont="1" applyBorder="1" applyAlignment="1">
      <alignment vertical="center"/>
      <protection locked="0"/>
    </xf>
    <xf numFmtId="14" fontId="10" fillId="0" borderId="4" xfId="61" applyNumberFormat="1" applyFont="1" applyBorder="1" applyAlignment="1">
      <alignment horizontal="center" vertical="center"/>
      <protection locked="0"/>
    </xf>
    <xf numFmtId="49" fontId="10" fillId="0" borderId="4" xfId="61" applyNumberFormat="1" applyFont="1" applyBorder="1" applyAlignment="1">
      <alignment horizontal="center" vertical="center"/>
      <protection locked="0"/>
    </xf>
    <xf numFmtId="43" fontId="10" fillId="0" borderId="4" xfId="65" applyFont="1" applyBorder="1" applyAlignment="1" applyProtection="1">
      <alignment vertical="center"/>
      <protection locked="0"/>
    </xf>
    <xf numFmtId="49" fontId="10" fillId="0" borderId="4" xfId="61" applyNumberFormat="1" applyFont="1" applyBorder="1" applyAlignment="1">
      <alignment vertical="center"/>
      <protection locked="0"/>
    </xf>
    <xf numFmtId="190" fontId="11" fillId="6" borderId="4" xfId="61" applyFont="1" applyFill="1" applyBorder="1" applyAlignment="1">
      <alignment vertical="center"/>
      <protection locked="0"/>
    </xf>
    <xf numFmtId="43" fontId="6" fillId="6" borderId="4" xfId="65" applyFont="1" applyFill="1" applyBorder="1" applyAlignment="1" applyProtection="1">
      <alignment vertical="center"/>
      <protection locked="0"/>
    </xf>
    <xf numFmtId="190" fontId="4" fillId="6" borderId="4" xfId="61" applyFont="1" applyFill="1" applyBorder="1" applyAlignment="1">
      <alignment vertical="center"/>
      <protection locked="0"/>
    </xf>
    <xf numFmtId="190" fontId="6" fillId="0" borderId="11" xfId="38" applyFont="1" applyBorder="1" applyAlignment="1">
      <alignment vertical="center"/>
    </xf>
    <xf numFmtId="190" fontId="80" fillId="0" borderId="0" xfId="32" applyFont="1" applyAlignment="1" applyProtection="1">
      <alignment vertical="center"/>
    </xf>
    <xf numFmtId="190" fontId="78" fillId="0" borderId="0" xfId="32" applyFont="1" applyAlignment="1" applyProtection="1">
      <alignment horizontal="left" vertical="center"/>
    </xf>
    <xf numFmtId="190" fontId="54" fillId="7" borderId="0" xfId="32" applyFont="1" applyFill="1" applyAlignment="1">
      <alignment vertical="center"/>
      <protection locked="0"/>
    </xf>
    <xf numFmtId="190" fontId="54" fillId="7" borderId="0" xfId="32" applyFont="1" applyFill="1">
      <protection locked="0"/>
    </xf>
    <xf numFmtId="190" fontId="85" fillId="0" borderId="0" xfId="52" applyFont="1">
      <alignment vertical="center"/>
    </xf>
    <xf numFmtId="190" fontId="93" fillId="0" borderId="0" xfId="52" applyFont="1">
      <alignment vertical="center"/>
    </xf>
    <xf numFmtId="190" fontId="53" fillId="0" borderId="0" xfId="0" applyFont="1" applyFill="1" applyBorder="1" applyAlignment="1" applyProtection="1">
      <alignment horizontal="left" vertical="center"/>
      <protection locked="0"/>
    </xf>
    <xf numFmtId="190" fontId="31" fillId="0" borderId="0" xfId="0" applyFont="1" applyAlignment="1">
      <alignment vertical="center"/>
    </xf>
    <xf numFmtId="190" fontId="10" fillId="0" borderId="0" xfId="32" applyFont="1" applyBorder="1" applyAlignment="1">
      <alignment vertical="center" wrapText="1"/>
      <protection locked="0"/>
    </xf>
    <xf numFmtId="49" fontId="10" fillId="0" borderId="4" xfId="49" applyNumberFormat="1" applyFont="1" applyFill="1" applyBorder="1" applyAlignment="1">
      <alignment horizontal="center" vertical="center"/>
    </xf>
    <xf numFmtId="190" fontId="11" fillId="0" borderId="4" xfId="61" applyFont="1" applyBorder="1" applyAlignment="1">
      <alignment horizontal="left" vertical="center" wrapText="1"/>
      <protection locked="0"/>
    </xf>
    <xf numFmtId="190" fontId="59" fillId="8" borderId="0" xfId="32" applyFont="1" applyFill="1" applyBorder="1" applyAlignment="1">
      <alignment horizontal="centerContinuous" vertical="center"/>
      <protection locked="0"/>
    </xf>
    <xf numFmtId="190" fontId="60" fillId="8" borderId="0" xfId="32" applyFont="1" applyFill="1" applyBorder="1" applyAlignment="1" applyProtection="1">
      <alignment horizontal="centerContinuous" vertical="center"/>
    </xf>
    <xf numFmtId="190" fontId="94" fillId="0" borderId="0" xfId="32" applyFont="1" applyAlignment="1">
      <alignment vertical="center"/>
      <protection locked="0"/>
    </xf>
    <xf numFmtId="190" fontId="32" fillId="0" borderId="0" xfId="0" applyFont="1" applyAlignment="1" applyProtection="1">
      <alignment vertical="center"/>
      <protection locked="0"/>
    </xf>
    <xf numFmtId="43" fontId="34" fillId="6" borderId="4" xfId="47" applyFont="1" applyFill="1" applyBorder="1" applyAlignment="1">
      <alignment horizontal="right" vertical="center"/>
    </xf>
    <xf numFmtId="43" fontId="10" fillId="6" borderId="4" xfId="47" applyFont="1" applyFill="1" applyBorder="1" applyAlignment="1">
      <alignment horizontal="right" vertical="center"/>
    </xf>
    <xf numFmtId="190" fontId="10" fillId="6" borderId="4" xfId="0" applyFont="1" applyFill="1" applyBorder="1" applyAlignment="1">
      <alignment horizontal="center" vertical="center"/>
    </xf>
    <xf numFmtId="190" fontId="36" fillId="0" borderId="0" xfId="32" applyFont="1" applyAlignment="1">
      <alignment vertical="center"/>
      <protection locked="0"/>
    </xf>
    <xf numFmtId="0" fontId="6" fillId="6" borderId="4" xfId="0" applyNumberFormat="1" applyFont="1" applyFill="1" applyBorder="1" applyAlignment="1" applyProtection="1">
      <alignment horizontal="center" vertical="center"/>
      <protection locked="0"/>
    </xf>
    <xf numFmtId="190" fontId="10" fillId="0" borderId="4" xfId="0" applyFont="1" applyBorder="1" applyAlignment="1" applyProtection="1">
      <alignment horizontal="center" vertical="center"/>
      <protection locked="0"/>
    </xf>
    <xf numFmtId="49" fontId="11" fillId="0" borderId="4" xfId="61" applyNumberFormat="1" applyFont="1" applyBorder="1" applyAlignment="1">
      <alignment horizontal="left" vertical="center"/>
      <protection locked="0"/>
    </xf>
    <xf numFmtId="190" fontId="4" fillId="0" borderId="11" xfId="38" applyFont="1" applyBorder="1" applyAlignment="1">
      <alignment vertical="center"/>
    </xf>
    <xf numFmtId="190" fontId="3" fillId="0" borderId="4" xfId="61" applyBorder="1">
      <protection locked="0"/>
    </xf>
    <xf numFmtId="190" fontId="3" fillId="6" borderId="4" xfId="61" applyFill="1" applyBorder="1">
      <protection locked="0"/>
    </xf>
    <xf numFmtId="190" fontId="46" fillId="0" borderId="2" xfId="41" applyFont="1" applyBorder="1" applyAlignment="1" applyProtection="1">
      <alignment vertical="center"/>
    </xf>
    <xf numFmtId="190" fontId="34" fillId="0" borderId="2" xfId="0" applyFont="1" applyBorder="1" applyAlignment="1">
      <alignment horizontal="center" vertical="center"/>
    </xf>
    <xf numFmtId="190" fontId="46" fillId="0" borderId="2" xfId="41" quotePrefix="1" applyFont="1" applyBorder="1" applyAlignment="1" applyProtection="1">
      <alignment vertical="center"/>
    </xf>
    <xf numFmtId="190" fontId="62" fillId="0" borderId="0" xfId="0" applyFont="1">
      <alignment vertical="center"/>
    </xf>
    <xf numFmtId="190" fontId="32" fillId="0" borderId="0" xfId="41" applyFont="1" applyAlignment="1">
      <alignment horizontal="left" vertical="center"/>
      <protection locked="0"/>
    </xf>
    <xf numFmtId="190" fontId="4" fillId="6" borderId="4" xfId="32" applyFont="1" applyFill="1" applyBorder="1" applyAlignment="1">
      <alignment horizontal="center" vertical="center" wrapText="1"/>
      <protection locked="0"/>
    </xf>
    <xf numFmtId="190" fontId="6" fillId="6" borderId="4" xfId="32" applyFont="1" applyFill="1" applyBorder="1" applyAlignment="1" applyProtection="1">
      <alignment horizontal="center" vertical="center"/>
    </xf>
    <xf numFmtId="190" fontId="11" fillId="5" borderId="0" xfId="0" applyFont="1" applyFill="1" applyBorder="1" applyAlignment="1" applyProtection="1">
      <alignment horizontal="justify" vertical="center" wrapText="1"/>
      <protection locked="0"/>
    </xf>
    <xf numFmtId="43" fontId="10" fillId="6" borderId="4" xfId="47" applyFont="1" applyFill="1" applyBorder="1" applyAlignment="1">
      <alignment horizontal="right" vertical="center" wrapText="1"/>
    </xf>
    <xf numFmtId="190" fontId="4" fillId="0" borderId="0" xfId="32" applyFont="1" applyFill="1" applyAlignment="1" applyProtection="1">
      <alignment horizontal="left" vertical="center"/>
    </xf>
    <xf numFmtId="190" fontId="10" fillId="0" borderId="0" xfId="32" applyFont="1" applyFill="1" applyAlignment="1" applyProtection="1">
      <alignment vertical="center"/>
    </xf>
    <xf numFmtId="194" fontId="54" fillId="0" borderId="4" xfId="32" applyNumberFormat="1" applyFont="1" applyFill="1" applyBorder="1" applyAlignment="1" applyProtection="1">
      <alignment horizontal="center" vertical="center"/>
    </xf>
    <xf numFmtId="43" fontId="10" fillId="0" borderId="4" xfId="47" applyFont="1" applyFill="1" applyBorder="1" applyAlignment="1" applyProtection="1">
      <alignment vertical="center"/>
    </xf>
    <xf numFmtId="10" fontId="10" fillId="0" borderId="4" xfId="31" applyNumberFormat="1" applyFont="1" applyFill="1" applyBorder="1" applyAlignment="1" applyProtection="1">
      <alignment vertical="center"/>
    </xf>
    <xf numFmtId="194" fontId="6" fillId="0" borderId="4" xfId="32" applyNumberFormat="1" applyFont="1" applyFill="1" applyBorder="1" applyAlignment="1" applyProtection="1">
      <alignment horizontal="center" vertical="center"/>
    </xf>
    <xf numFmtId="43" fontId="10" fillId="0" borderId="4" xfId="47" applyFont="1" applyFill="1" applyBorder="1" applyAlignment="1" applyProtection="1">
      <alignment horizontal="center" vertical="center"/>
    </xf>
    <xf numFmtId="190" fontId="6" fillId="6" borderId="0" xfId="32" applyFont="1" applyFill="1" applyBorder="1" applyAlignment="1" applyProtection="1">
      <alignment horizontal="center" vertical="center"/>
    </xf>
    <xf numFmtId="43" fontId="33" fillId="6" borderId="4" xfId="47" applyFont="1" applyFill="1" applyBorder="1" applyAlignment="1">
      <alignment horizontal="right" vertical="center"/>
    </xf>
    <xf numFmtId="190" fontId="4" fillId="0" borderId="0" xfId="32" applyFont="1" applyFill="1" applyBorder="1" applyAlignment="1" applyProtection="1">
      <alignment horizontal="left" vertical="center"/>
    </xf>
    <xf numFmtId="190" fontId="6" fillId="0" borderId="0" xfId="32" applyFont="1" applyFill="1" applyBorder="1" applyAlignment="1" applyProtection="1">
      <alignment horizontal="center" vertical="center"/>
    </xf>
    <xf numFmtId="190" fontId="4" fillId="6" borderId="4" xfId="32" applyFont="1" applyFill="1" applyBorder="1" applyAlignment="1" applyProtection="1">
      <alignment horizontal="center" vertical="center"/>
    </xf>
    <xf numFmtId="10" fontId="33" fillId="6" borderId="4" xfId="31" applyNumberFormat="1" applyFont="1" applyFill="1" applyBorder="1" applyAlignment="1">
      <alignment horizontal="right" vertical="center"/>
    </xf>
    <xf numFmtId="190" fontId="4" fillId="6" borderId="4" xfId="32" applyFont="1" applyFill="1" applyBorder="1" applyAlignment="1">
      <alignment horizontal="center" vertical="center"/>
      <protection locked="0"/>
    </xf>
    <xf numFmtId="190" fontId="6" fillId="6" borderId="4" xfId="32" applyFont="1" applyFill="1" applyBorder="1" applyAlignment="1">
      <alignment vertical="center"/>
      <protection locked="0"/>
    </xf>
    <xf numFmtId="190" fontId="10" fillId="0" borderId="0" xfId="32" applyFont="1" applyAlignment="1">
      <alignment horizontal="left" vertical="center"/>
      <protection locked="0"/>
    </xf>
    <xf numFmtId="190" fontId="11" fillId="0" borderId="0" xfId="32" applyFont="1" applyBorder="1" applyAlignment="1">
      <alignment vertical="center"/>
      <protection locked="0"/>
    </xf>
    <xf numFmtId="190" fontId="58" fillId="0" borderId="0" xfId="0" applyFont="1" applyAlignment="1" applyProtection="1">
      <alignment horizontal="center" vertical="center"/>
      <protection locked="0"/>
    </xf>
    <xf numFmtId="190" fontId="56" fillId="0" borderId="0" xfId="67" applyFont="1" applyFill="1" applyAlignment="1">
      <alignment horizontal="left" vertical="center"/>
    </xf>
    <xf numFmtId="190" fontId="56" fillId="0" borderId="0" xfId="38" applyFont="1" applyAlignment="1">
      <alignment horizontal="left" vertical="center"/>
    </xf>
    <xf numFmtId="0" fontId="10" fillId="0" borderId="0" xfId="66" applyFont="1" applyAlignment="1">
      <alignment vertical="center"/>
      <protection locked="0"/>
    </xf>
    <xf numFmtId="190" fontId="0" fillId="0" borderId="0" xfId="0" applyAlignment="1" applyProtection="1">
      <protection locked="0"/>
    </xf>
    <xf numFmtId="190" fontId="11" fillId="0" borderId="4" xfId="0" applyFont="1" applyBorder="1" applyAlignment="1" applyProtection="1">
      <alignment horizontal="center" vertical="center"/>
      <protection locked="0"/>
    </xf>
    <xf numFmtId="0" fontId="55" fillId="0" borderId="0" xfId="66" applyFont="1" applyAlignment="1">
      <alignment vertical="center"/>
      <protection locked="0"/>
    </xf>
    <xf numFmtId="0" fontId="6" fillId="0" borderId="0" xfId="66" applyFont="1" applyAlignment="1">
      <alignment vertical="center"/>
      <protection locked="0"/>
    </xf>
    <xf numFmtId="43" fontId="10" fillId="0" borderId="4" xfId="65" applyFont="1" applyBorder="1" applyAlignment="1" applyProtection="1">
      <alignment horizontal="center" vertical="center"/>
      <protection locked="0"/>
    </xf>
    <xf numFmtId="10" fontId="10" fillId="0" borderId="4" xfId="31" applyNumberFormat="1" applyFont="1" applyBorder="1" applyAlignment="1" applyProtection="1">
      <alignment horizontal="center" vertical="center"/>
      <protection locked="0"/>
    </xf>
    <xf numFmtId="0" fontId="53" fillId="0" borderId="0" xfId="66" applyFont="1" applyAlignment="1">
      <alignment vertical="center"/>
      <protection locked="0"/>
    </xf>
    <xf numFmtId="190" fontId="11" fillId="0" borderId="0" xfId="0" applyFont="1" applyBorder="1" applyAlignment="1" applyProtection="1">
      <alignment horizontal="center" vertical="center"/>
      <protection locked="0"/>
    </xf>
    <xf numFmtId="43" fontId="10" fillId="0" borderId="0" xfId="65" applyFont="1" applyBorder="1" applyAlignment="1" applyProtection="1">
      <alignment horizontal="center" vertical="center"/>
      <protection locked="0"/>
    </xf>
    <xf numFmtId="10" fontId="10" fillId="0" borderId="0" xfId="31" applyNumberFormat="1" applyFont="1" applyBorder="1" applyAlignment="1" applyProtection="1">
      <alignment horizontal="center" vertical="center"/>
      <protection locked="0"/>
    </xf>
    <xf numFmtId="190" fontId="55" fillId="0" borderId="0" xfId="32" applyFont="1" applyAlignment="1">
      <alignment vertical="center"/>
      <protection locked="0"/>
    </xf>
    <xf numFmtId="190" fontId="9" fillId="0" borderId="0" xfId="0" applyFont="1" applyAlignment="1" applyProtection="1">
      <alignment horizontal="left" vertical="center" wrapText="1"/>
      <protection locked="0"/>
    </xf>
    <xf numFmtId="190" fontId="7" fillId="0" borderId="0" xfId="0" applyFont="1" applyAlignment="1" applyProtection="1">
      <alignment horizontal="left" vertical="center" wrapText="1"/>
      <protection locked="0"/>
    </xf>
    <xf numFmtId="190" fontId="8" fillId="0" borderId="0" xfId="36" applyFont="1" applyAlignment="1">
      <alignment horizontal="center" vertical="center"/>
    </xf>
    <xf numFmtId="190" fontId="58" fillId="0" borderId="0" xfId="36" applyFont="1" applyAlignment="1">
      <alignment horizontal="center" vertical="center"/>
    </xf>
    <xf numFmtId="190" fontId="4" fillId="0" borderId="0" xfId="32" applyFont="1" applyAlignment="1">
      <alignment horizontal="left" vertical="center"/>
      <protection locked="0"/>
    </xf>
    <xf numFmtId="190" fontId="6" fillId="6" borderId="4" xfId="51" applyFont="1" applyFill="1" applyBorder="1" applyAlignment="1">
      <alignment horizontal="center" vertical="center" wrapText="1"/>
      <protection locked="0"/>
    </xf>
    <xf numFmtId="190" fontId="11" fillId="0" borderId="4" xfId="51" applyFont="1" applyBorder="1" applyAlignment="1">
      <alignment horizontal="center" vertical="center" wrapText="1"/>
      <protection locked="0"/>
    </xf>
    <xf numFmtId="190" fontId="4" fillId="6" borderId="9" xfId="32" applyFont="1" applyFill="1" applyBorder="1" applyAlignment="1">
      <alignment horizontal="center" vertical="center" wrapText="1"/>
      <protection locked="0"/>
    </xf>
    <xf numFmtId="190" fontId="4" fillId="6" borderId="10" xfId="32" applyFont="1" applyFill="1" applyBorder="1" applyAlignment="1">
      <alignment horizontal="center" vertical="center" wrapText="1"/>
      <protection locked="0"/>
    </xf>
    <xf numFmtId="190" fontId="4" fillId="6" borderId="4" xfId="51" applyFont="1" applyFill="1" applyBorder="1" applyAlignment="1">
      <alignment horizontal="center" vertical="center" wrapText="1"/>
      <protection locked="0"/>
    </xf>
    <xf numFmtId="190" fontId="6" fillId="0" borderId="0" xfId="32" applyFont="1" applyAlignment="1">
      <alignment horizontal="left" vertical="center"/>
      <protection locked="0"/>
    </xf>
    <xf numFmtId="190" fontId="4" fillId="6" borderId="4" xfId="53" applyFont="1" applyFill="1" applyBorder="1" applyAlignment="1" applyProtection="1">
      <alignment horizontal="center" vertical="center"/>
      <protection locked="0"/>
    </xf>
    <xf numFmtId="190" fontId="6" fillId="6" borderId="4" xfId="53" applyFont="1" applyFill="1" applyBorder="1" applyAlignment="1" applyProtection="1">
      <alignment horizontal="center" vertical="center"/>
      <protection locked="0"/>
    </xf>
    <xf numFmtId="49" fontId="4" fillId="6" borderId="9" xfId="32" applyNumberFormat="1" applyFont="1" applyFill="1" applyBorder="1" applyAlignment="1">
      <alignment horizontal="center" vertical="center"/>
      <protection locked="0"/>
    </xf>
    <xf numFmtId="49" fontId="4" fillId="6" borderId="10" xfId="32" applyNumberFormat="1" applyFont="1" applyFill="1" applyBorder="1" applyAlignment="1">
      <alignment horizontal="center" vertical="center"/>
      <protection locked="0"/>
    </xf>
    <xf numFmtId="190" fontId="4" fillId="6" borderId="4" xfId="53" applyFont="1" applyFill="1" applyBorder="1" applyAlignment="1" applyProtection="1">
      <alignment horizontal="center" vertical="center" wrapText="1"/>
      <protection locked="0"/>
    </xf>
    <xf numFmtId="190" fontId="10" fillId="0" borderId="4" xfId="51" applyFont="1" applyFill="1" applyBorder="1" applyAlignment="1">
      <alignment horizontal="left" vertical="center" wrapText="1"/>
      <protection locked="0"/>
    </xf>
    <xf numFmtId="10" fontId="44" fillId="0" borderId="0" xfId="31" applyNumberFormat="1" applyFont="1" applyBorder="1" applyAlignment="1">
      <alignment horizontal="left" vertical="center"/>
    </xf>
    <xf numFmtId="190" fontId="33" fillId="6" borderId="4" xfId="0" applyFont="1" applyFill="1" applyBorder="1" applyAlignment="1">
      <alignment horizontal="center" vertical="center"/>
    </xf>
    <xf numFmtId="190" fontId="33" fillId="6" borderId="4" xfId="0" applyFont="1" applyFill="1" applyBorder="1">
      <alignment vertical="center"/>
    </xf>
    <xf numFmtId="43" fontId="8" fillId="0" borderId="0" xfId="39" applyNumberFormat="1" applyFont="1" applyBorder="1" applyAlignment="1">
      <alignment horizontal="center" vertical="center"/>
    </xf>
    <xf numFmtId="43" fontId="58" fillId="0" borderId="0" xfId="39" applyNumberFormat="1" applyFont="1" applyBorder="1" applyAlignment="1">
      <alignment horizontal="center" vertical="center"/>
    </xf>
    <xf numFmtId="190" fontId="4" fillId="6" borderId="6" xfId="35" applyFont="1" applyFill="1" applyBorder="1" applyAlignment="1" applyProtection="1">
      <alignment horizontal="center" vertical="center" wrapText="1"/>
      <protection locked="0"/>
    </xf>
    <xf numFmtId="190" fontId="6" fillId="6" borderId="7" xfId="35" applyFont="1" applyFill="1" applyBorder="1" applyAlignment="1" applyProtection="1">
      <alignment horizontal="center" vertical="center" wrapText="1"/>
      <protection locked="0"/>
    </xf>
    <xf numFmtId="190" fontId="6" fillId="6" borderId="8" xfId="35" applyFont="1" applyFill="1" applyBorder="1" applyAlignment="1" applyProtection="1">
      <alignment horizontal="center" vertical="center" wrapText="1"/>
      <protection locked="0"/>
    </xf>
    <xf numFmtId="190" fontId="29" fillId="6" borderId="4" xfId="33" applyFont="1" applyFill="1" applyBorder="1" applyAlignment="1">
      <alignment horizontal="center" vertical="center" wrapText="1"/>
      <protection locked="0"/>
    </xf>
    <xf numFmtId="190" fontId="4" fillId="6" borderId="4" xfId="33" applyFont="1" applyFill="1" applyBorder="1" applyAlignment="1">
      <alignment horizontal="center" vertical="center" wrapText="1"/>
      <protection locked="0"/>
    </xf>
    <xf numFmtId="190" fontId="29" fillId="6" borderId="4" xfId="0" applyFont="1" applyFill="1" applyBorder="1" applyAlignment="1">
      <alignment horizontal="center" vertical="center"/>
    </xf>
    <xf numFmtId="190" fontId="34" fillId="6" borderId="4" xfId="0" applyFont="1" applyFill="1" applyBorder="1">
      <alignment vertical="center"/>
    </xf>
    <xf numFmtId="190" fontId="8" fillId="0" borderId="0" xfId="37" applyFont="1" applyAlignment="1">
      <alignment horizontal="center" vertical="center"/>
    </xf>
    <xf numFmtId="43" fontId="58" fillId="0" borderId="0" xfId="39" applyNumberFormat="1" applyFont="1" applyFill="1" applyBorder="1" applyAlignment="1">
      <alignment horizontal="center" vertical="center"/>
    </xf>
    <xf numFmtId="190" fontId="90" fillId="0" borderId="0" xfId="36" applyFont="1" applyAlignment="1">
      <alignment horizontal="center" vertical="center"/>
    </xf>
    <xf numFmtId="190" fontId="91" fillId="0" borderId="0" xfId="36" applyFont="1" applyAlignment="1">
      <alignment horizontal="center" vertical="center"/>
    </xf>
    <xf numFmtId="190" fontId="33" fillId="6" borderId="9" xfId="32" applyFont="1" applyFill="1" applyBorder="1" applyAlignment="1">
      <alignment horizontal="center" vertical="center"/>
      <protection locked="0"/>
    </xf>
    <xf numFmtId="190" fontId="33" fillId="6" borderId="10" xfId="32" applyFont="1" applyFill="1" applyBorder="1" applyAlignment="1">
      <alignment horizontal="center" vertical="center"/>
      <protection locked="0"/>
    </xf>
    <xf numFmtId="190" fontId="33" fillId="6" borderId="6" xfId="32" applyFont="1" applyFill="1" applyBorder="1" applyAlignment="1">
      <alignment horizontal="center" vertical="center"/>
      <protection locked="0"/>
    </xf>
    <xf numFmtId="190" fontId="33" fillId="6" borderId="7" xfId="32" applyFont="1" applyFill="1" applyBorder="1" applyAlignment="1">
      <alignment horizontal="center" vertical="center"/>
      <protection locked="0"/>
    </xf>
    <xf numFmtId="190" fontId="33" fillId="6" borderId="8" xfId="32" applyFont="1" applyFill="1" applyBorder="1" applyAlignment="1">
      <alignment horizontal="center" vertical="center"/>
      <protection locked="0"/>
    </xf>
    <xf numFmtId="43" fontId="90" fillId="0" borderId="0" xfId="39" applyNumberFormat="1" applyFont="1" applyBorder="1" applyAlignment="1">
      <alignment horizontal="center" vertical="center"/>
    </xf>
    <xf numFmtId="43" fontId="92" fillId="0" borderId="0" xfId="39" applyNumberFormat="1" applyFont="1" applyBorder="1" applyAlignment="1">
      <alignment horizontal="center" vertical="center"/>
    </xf>
    <xf numFmtId="190" fontId="48" fillId="0" borderId="0" xfId="51" applyFont="1" applyAlignment="1">
      <alignment horizontal="left" vertical="center" wrapText="1"/>
      <protection locked="0"/>
    </xf>
    <xf numFmtId="190" fontId="7" fillId="0" borderId="0" xfId="51" applyFont="1" applyAlignment="1">
      <alignment horizontal="left" vertical="center" wrapText="1"/>
      <protection locked="0"/>
    </xf>
    <xf numFmtId="190" fontId="4" fillId="6" borderId="9" xfId="32" applyFont="1" applyFill="1" applyBorder="1" applyAlignment="1" applyProtection="1">
      <alignment horizontal="center" vertical="center"/>
    </xf>
    <xf numFmtId="190" fontId="6" fillId="6" borderId="10" xfId="32" applyFont="1" applyFill="1" applyBorder="1" applyAlignment="1" applyProtection="1">
      <alignment horizontal="center" vertical="center"/>
    </xf>
    <xf numFmtId="190" fontId="29" fillId="6" borderId="9" xfId="32" applyFont="1" applyFill="1" applyBorder="1" applyAlignment="1">
      <alignment horizontal="center" vertical="center"/>
      <protection locked="0"/>
    </xf>
    <xf numFmtId="190" fontId="29" fillId="6" borderId="6" xfId="32" applyFont="1" applyFill="1" applyBorder="1" applyAlignment="1">
      <alignment horizontal="center" vertical="center"/>
      <protection locked="0"/>
    </xf>
    <xf numFmtId="190" fontId="6" fillId="6" borderId="4" xfId="0" applyFont="1" applyFill="1" applyBorder="1" applyAlignment="1">
      <alignment horizontal="center" vertical="center"/>
    </xf>
    <xf numFmtId="190" fontId="10" fillId="0" borderId="4" xfId="0" applyFont="1" applyBorder="1" applyAlignment="1">
      <alignment horizontal="center" vertical="center"/>
    </xf>
    <xf numFmtId="43" fontId="78" fillId="6" borderId="4" xfId="47" applyFont="1" applyFill="1" applyBorder="1" applyAlignment="1">
      <alignment horizontal="center" vertical="center"/>
    </xf>
    <xf numFmtId="190" fontId="78" fillId="6" borderId="4" xfId="32" applyFont="1" applyFill="1" applyBorder="1" applyAlignment="1" applyProtection="1">
      <alignment horizontal="center" vertical="center"/>
    </xf>
    <xf numFmtId="190" fontId="6" fillId="6" borderId="4" xfId="32" applyFont="1" applyFill="1" applyBorder="1" applyAlignment="1" applyProtection="1">
      <alignment horizontal="center" vertical="center"/>
    </xf>
    <xf numFmtId="190" fontId="6" fillId="6" borderId="4" xfId="32" applyFont="1" applyFill="1" applyBorder="1" applyAlignment="1" applyProtection="1">
      <alignment horizontal="center" vertical="center" wrapText="1"/>
    </xf>
    <xf numFmtId="190" fontId="6" fillId="6" borderId="6" xfId="0" applyFont="1" applyFill="1" applyBorder="1" applyAlignment="1">
      <alignment horizontal="center" vertical="center"/>
    </xf>
    <xf numFmtId="190" fontId="6" fillId="6" borderId="7" xfId="0" applyFont="1" applyFill="1" applyBorder="1" applyAlignment="1">
      <alignment horizontal="center" vertical="center"/>
    </xf>
    <xf numFmtId="190" fontId="6" fillId="6" borderId="8" xfId="0" applyFont="1" applyFill="1" applyBorder="1" applyAlignment="1">
      <alignment horizontal="center" vertical="center"/>
    </xf>
    <xf numFmtId="190" fontId="32" fillId="0" borderId="0" xfId="32" applyFont="1" applyAlignment="1">
      <alignment vertical="top" wrapText="1"/>
      <protection locked="0"/>
    </xf>
    <xf numFmtId="0" fontId="4" fillId="6" borderId="4" xfId="66" applyFont="1" applyFill="1" applyBorder="1" applyAlignment="1">
      <alignment horizontal="center" vertical="center"/>
      <protection locked="0"/>
    </xf>
    <xf numFmtId="0" fontId="6" fillId="6" borderId="4" xfId="66" applyFont="1" applyFill="1" applyBorder="1" applyAlignment="1">
      <alignment horizontal="center" vertical="center"/>
      <protection locked="0"/>
    </xf>
    <xf numFmtId="190" fontId="90" fillId="0" borderId="0" xfId="32" applyFont="1" applyAlignment="1">
      <alignment horizontal="center" vertical="center"/>
      <protection locked="0"/>
    </xf>
    <xf numFmtId="190" fontId="91" fillId="0" borderId="0" xfId="32" applyFont="1" applyAlignment="1">
      <alignment horizontal="center" vertical="center"/>
      <protection locked="0"/>
    </xf>
    <xf numFmtId="190" fontId="4" fillId="6" borderId="9" xfId="61" applyFont="1" applyFill="1" applyBorder="1" applyAlignment="1">
      <alignment horizontal="center" vertical="center"/>
      <protection locked="0"/>
    </xf>
    <xf numFmtId="190" fontId="4" fillId="6" borderId="10" xfId="61" applyFont="1" applyFill="1" applyBorder="1" applyAlignment="1">
      <alignment horizontal="center" vertical="center"/>
      <protection locked="0"/>
    </xf>
    <xf numFmtId="190" fontId="4" fillId="10" borderId="9" xfId="32" applyFont="1" applyFill="1" applyBorder="1" applyAlignment="1" applyProtection="1">
      <alignment horizontal="center" vertical="center" wrapText="1"/>
    </xf>
    <xf numFmtId="190" fontId="4" fillId="10" borderId="10" xfId="32" applyFont="1" applyFill="1" applyBorder="1" applyAlignment="1" applyProtection="1">
      <alignment horizontal="center" vertical="center" wrapText="1"/>
    </xf>
    <xf numFmtId="190" fontId="4" fillId="6" borderId="4" xfId="32" applyFont="1" applyFill="1" applyBorder="1" applyAlignment="1">
      <alignment horizontal="center" vertical="center"/>
      <protection locked="0"/>
    </xf>
    <xf numFmtId="0" fontId="4" fillId="6" borderId="4" xfId="66" applyFont="1" applyFill="1" applyBorder="1" applyAlignment="1">
      <alignment horizontal="center" vertical="center" wrapText="1"/>
      <protection locked="0"/>
    </xf>
    <xf numFmtId="0" fontId="6" fillId="6" borderId="4" xfId="66" applyFont="1" applyFill="1" applyBorder="1" applyAlignment="1">
      <alignment horizontal="center" vertical="center" wrapText="1"/>
      <protection locked="0"/>
    </xf>
    <xf numFmtId="190" fontId="6" fillId="6" borderId="6" xfId="0" applyFont="1" applyFill="1" applyBorder="1" applyAlignment="1" applyProtection="1">
      <alignment horizontal="center" vertical="center"/>
      <protection locked="0"/>
    </xf>
    <xf numFmtId="190" fontId="6" fillId="6" borderId="7" xfId="0" applyFont="1" applyFill="1" applyBorder="1" applyAlignment="1" applyProtection="1">
      <alignment horizontal="center" vertical="center"/>
      <protection locked="0"/>
    </xf>
    <xf numFmtId="190" fontId="4" fillId="10" borderId="4" xfId="32" applyFont="1" applyFill="1" applyBorder="1" applyAlignment="1" applyProtection="1">
      <alignment horizontal="center" vertical="center" wrapText="1"/>
    </xf>
    <xf numFmtId="190" fontId="4" fillId="6" borderId="4" xfId="61" applyFont="1" applyFill="1" applyBorder="1" applyAlignment="1">
      <alignment horizontal="center" vertical="center"/>
      <protection locked="0"/>
    </xf>
    <xf numFmtId="190" fontId="6" fillId="6" borderId="4" xfId="0" applyFont="1" applyFill="1" applyBorder="1" applyAlignment="1" applyProtection="1">
      <alignment horizontal="center" vertical="center"/>
      <protection locked="0"/>
    </xf>
  </cellXfs>
  <cellStyles count="68">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xfId="57"/>
    <cellStyle name="常规" xfId="0" builtinId="0"/>
    <cellStyle name="常规 11 5" xfId="67"/>
    <cellStyle name="常规 2" xfId="32"/>
    <cellStyle name="常规 2 2" xfId="64"/>
    <cellStyle name="常规 2 2 2" xfId="66"/>
    <cellStyle name="常规 2 3" xfId="50"/>
    <cellStyle name="常规 2 8" xfId="51"/>
    <cellStyle name="常规 2 8 2" xfId="61"/>
    <cellStyle name="常规 3" xfId="33"/>
    <cellStyle name="常规 3 2" xfId="34"/>
    <cellStyle name="常规 4" xfId="35"/>
    <cellStyle name="常规 4 2" xfId="54"/>
    <cellStyle name="常规 4 2 2" xfId="55"/>
    <cellStyle name="常规 5" xfId="52"/>
    <cellStyle name="常规 6" xfId="58"/>
    <cellStyle name="常规 7" xfId="53"/>
    <cellStyle name="常规 7 2" xfId="63"/>
    <cellStyle name="常规_Book1" xfId="36"/>
    <cellStyle name="常规_c-资产类" xfId="37"/>
    <cellStyle name="常规_sheet" xfId="62"/>
    <cellStyle name="常规_进一步审计程序--销售与收款循环" xfId="38"/>
    <cellStyle name="常规_进一步审计程序--销售与收款循环 2" xfId="60"/>
    <cellStyle name="常规_新审定表" xfId="39"/>
    <cellStyle name="常规_制造费用" xfId="40"/>
    <cellStyle name="常规_制造费用 2" xfId="49"/>
    <cellStyle name="超链接" xfId="41" builtinId="8"/>
    <cellStyle name="超链接 2" xfId="59"/>
    <cellStyle name="超链接 3 2" xfId="56"/>
    <cellStyle name="普通_ 外G9(3)" xfId="42"/>
    <cellStyle name="千分位[0]_宁波" xfId="43"/>
    <cellStyle name="千分位_宁波" xfId="44"/>
    <cellStyle name="千位[0]_laroux" xfId="45"/>
    <cellStyle name="千位_laroux" xfId="46"/>
    <cellStyle name="千位分隔" xfId="47" builtinId="3"/>
    <cellStyle name="千位分隔 6" xfId="65"/>
    <cellStyle name="样式 1" xfId="4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9"/>
  <sheetViews>
    <sheetView tabSelected="1" workbookViewId="0"/>
  </sheetViews>
  <sheetFormatPr defaultColWidth="9.109375" defaultRowHeight="13.8"/>
  <cols>
    <col min="1" max="1" width="93.88671875" style="29" bestFit="1" customWidth="1"/>
    <col min="2" max="2" width="5.6640625" style="32" bestFit="1" customWidth="1"/>
    <col min="3" max="3" width="33.44140625" style="29" customWidth="1"/>
    <col min="4" max="4" width="7.6640625" style="29" bestFit="1" customWidth="1"/>
    <col min="5" max="5" width="5.6640625" style="29" bestFit="1" customWidth="1"/>
    <col min="6" max="16384" width="9.109375" style="29"/>
  </cols>
  <sheetData>
    <row r="1" spans="1:6" s="25" customFormat="1" ht="22.5" customHeight="1">
      <c r="A1" s="88" t="s">
        <v>85</v>
      </c>
    </row>
    <row r="2" spans="1:6" s="26" customFormat="1" ht="19.2" customHeight="1">
      <c r="A2" s="196" t="s">
        <v>308</v>
      </c>
      <c r="B2" s="233"/>
      <c r="C2" s="233"/>
      <c r="D2" s="233"/>
      <c r="E2" s="233"/>
    </row>
    <row r="3" spans="1:6" s="27" customFormat="1" ht="19.2" customHeight="1">
      <c r="A3" s="196" t="s">
        <v>321</v>
      </c>
    </row>
    <row r="4" spans="1:6" ht="19.2" customHeight="1">
      <c r="A4" s="258" t="s">
        <v>309</v>
      </c>
      <c r="B4" s="28" t="s">
        <v>5</v>
      </c>
      <c r="C4" s="28" t="s">
        <v>6</v>
      </c>
      <c r="D4" s="28" t="s">
        <v>7</v>
      </c>
      <c r="E4" s="28" t="s">
        <v>8</v>
      </c>
    </row>
    <row r="5" spans="1:6" ht="19.2" customHeight="1">
      <c r="A5" s="258" t="s">
        <v>310</v>
      </c>
      <c r="B5" s="205">
        <v>1</v>
      </c>
      <c r="C5" s="251" t="s">
        <v>295</v>
      </c>
      <c r="D5" s="252" t="s">
        <v>132</v>
      </c>
      <c r="E5" s="31"/>
    </row>
    <row r="6" spans="1:6" ht="19.2" customHeight="1">
      <c r="A6" s="258" t="s">
        <v>311</v>
      </c>
      <c r="B6" s="205">
        <v>2</v>
      </c>
      <c r="C6" s="251" t="s">
        <v>296</v>
      </c>
      <c r="D6" s="252" t="s">
        <v>209</v>
      </c>
      <c r="E6" s="30"/>
    </row>
    <row r="7" spans="1:6" ht="19.2" customHeight="1">
      <c r="A7" s="258" t="s">
        <v>312</v>
      </c>
      <c r="B7" s="205">
        <v>3</v>
      </c>
      <c r="C7" s="253" t="s">
        <v>297</v>
      </c>
      <c r="D7" s="252"/>
      <c r="E7" s="31"/>
      <c r="F7" s="206" t="s">
        <v>207</v>
      </c>
    </row>
    <row r="8" spans="1:6" ht="19.2" customHeight="1">
      <c r="B8" s="205">
        <v>4</v>
      </c>
      <c r="C8" s="253" t="s">
        <v>298</v>
      </c>
      <c r="D8" s="252"/>
      <c r="E8" s="31"/>
      <c r="F8" s="206" t="s">
        <v>208</v>
      </c>
    </row>
    <row r="9" spans="1:6" ht="19.2" customHeight="1">
      <c r="A9" s="277" t="s">
        <v>317</v>
      </c>
      <c r="B9" s="205">
        <v>5</v>
      </c>
      <c r="C9" s="253" t="s">
        <v>299</v>
      </c>
      <c r="D9" s="252" t="s">
        <v>133</v>
      </c>
      <c r="E9" s="31"/>
    </row>
    <row r="10" spans="1:6" ht="19.2" customHeight="1">
      <c r="A10" s="292" t="s">
        <v>318</v>
      </c>
      <c r="B10" s="205">
        <v>6</v>
      </c>
      <c r="C10" s="253" t="s">
        <v>300</v>
      </c>
      <c r="D10" s="252" t="s">
        <v>134</v>
      </c>
      <c r="E10" s="121" t="s">
        <v>123</v>
      </c>
    </row>
    <row r="11" spans="1:6" ht="19.2" customHeight="1">
      <c r="A11" s="292"/>
      <c r="B11" s="205">
        <v>8</v>
      </c>
      <c r="C11" s="251" t="s">
        <v>293</v>
      </c>
      <c r="D11" s="252" t="s">
        <v>210</v>
      </c>
      <c r="E11" s="31"/>
    </row>
    <row r="12" spans="1:6" ht="19.2" customHeight="1">
      <c r="A12" s="292"/>
      <c r="B12" s="205">
        <v>7</v>
      </c>
      <c r="C12" s="251" t="s">
        <v>294</v>
      </c>
      <c r="D12" s="252" t="s">
        <v>211</v>
      </c>
      <c r="E12" s="31"/>
    </row>
    <row r="13" spans="1:6" ht="19.2" customHeight="1">
      <c r="A13" s="292"/>
      <c r="B13" s="205">
        <v>9</v>
      </c>
      <c r="C13" s="251" t="s">
        <v>301</v>
      </c>
      <c r="D13" s="252" t="s">
        <v>212</v>
      </c>
      <c r="E13" s="31"/>
    </row>
    <row r="14" spans="1:6" ht="18" customHeight="1">
      <c r="A14" s="292" t="s">
        <v>319</v>
      </c>
      <c r="B14" s="205">
        <v>10</v>
      </c>
      <c r="C14" s="251" t="s">
        <v>292</v>
      </c>
      <c r="D14" s="252" t="s">
        <v>213</v>
      </c>
      <c r="E14" s="31"/>
    </row>
    <row r="15" spans="1:6">
      <c r="A15" s="292"/>
      <c r="C15" s="254"/>
    </row>
    <row r="16" spans="1:6">
      <c r="A16" s="292"/>
      <c r="C16" s="254"/>
    </row>
    <row r="17" spans="1:1">
      <c r="A17" s="293" t="s">
        <v>320</v>
      </c>
    </row>
    <row r="18" spans="1:1">
      <c r="A18" s="293"/>
    </row>
    <row r="19" spans="1:1">
      <c r="A19" s="293"/>
    </row>
  </sheetData>
  <mergeCells count="3">
    <mergeCell ref="A10:A13"/>
    <mergeCell ref="A14:A16"/>
    <mergeCell ref="A17:A19"/>
  </mergeCells>
  <phoneticPr fontId="30" type="noConversion"/>
  <hyperlinks>
    <hyperlink ref="C6" location="'审定表 K5-1'!Print_Area" display="审定表"/>
    <hyperlink ref="C8" location="'附注披露信息（国企）'!Print_Area" display="附注披露信息（国企）"/>
    <hyperlink ref="C7" location="'附注披露信息（上市公司)'!A1" display="附注披露信息（上市公司)"/>
    <hyperlink ref="C9" location="'明细表 K5-2'!Print_Area" display="明细表"/>
    <hyperlink ref="C11" location="'产品质量保修检查表 K5-4'!A1" display="产品质量保修检查表"/>
    <hyperlink ref="C12" location="'弃置费用检查表 K5-5'!A1" display="弃置费用检查表"/>
    <hyperlink ref="C14" location="'预计负债检查表 K5-7'!A1" display="预计负债检查表"/>
    <hyperlink ref="C5" location="'实质性程序表 K5A'!A1" display="实质性程序表"/>
    <hyperlink ref="C13" location="'未决诉讼检查表 K5-6'!Print_Area" display="未决诉讼检查表"/>
    <hyperlink ref="C10" location="'调整分录汇总 K5-3'!Print_Area" display="调整分录汇总"/>
  </hyperlinks>
  <pageMargins left="0.70866141732283472" right="0.70866141732283472" top="0.74803149606299213" bottom="0.74803149606299213" header="0.31496062992125984" footer="0.31496062992125984"/>
  <pageSetup paperSize="9" orientation="portrait" blackAndWhite="1"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35"/>
  <sheetViews>
    <sheetView view="pageBreakPreview" zoomScaleNormal="100" zoomScaleSheetLayoutView="100" workbookViewId="0">
      <selection sqref="A1:I1"/>
    </sheetView>
  </sheetViews>
  <sheetFormatPr defaultRowHeight="13.8"/>
  <cols>
    <col min="1" max="1" width="5.5546875" style="105" customWidth="1"/>
    <col min="2" max="2" width="71.88671875" style="95" customWidth="1"/>
    <col min="3" max="3" width="11.6640625" style="95" customWidth="1"/>
    <col min="4" max="4" width="6.44140625" style="95" customWidth="1"/>
    <col min="5" max="5" width="7.21875" style="95" customWidth="1"/>
    <col min="6" max="6" width="7.6640625" style="95" customWidth="1"/>
    <col min="7" max="7" width="8.6640625" style="95" customWidth="1"/>
    <col min="8" max="8" width="6.21875" style="95" customWidth="1"/>
    <col min="9" max="9" width="8" style="95" customWidth="1"/>
    <col min="10" max="10" width="60.5546875" style="95" customWidth="1"/>
    <col min="11" max="254" width="9.109375" style="95"/>
    <col min="255" max="255" width="9.44140625" style="95" customWidth="1"/>
    <col min="256" max="256" width="102" style="95" customWidth="1"/>
    <col min="257" max="257" width="0" style="95" hidden="1" customWidth="1"/>
    <col min="258" max="258" width="6.109375" style="95" customWidth="1"/>
    <col min="259" max="259" width="15.5546875" style="95" customWidth="1"/>
    <col min="260" max="260" width="7.44140625" style="95" customWidth="1"/>
    <col min="261" max="261" width="7.6640625" style="95" customWidth="1"/>
    <col min="262" max="262" width="6.33203125" style="95" customWidth="1"/>
    <col min="263" max="263" width="7.5546875" style="95" customWidth="1"/>
    <col min="264" max="264" width="11" style="95" customWidth="1"/>
    <col min="265" max="265" width="11.5546875" style="95" customWidth="1"/>
    <col min="266" max="266" width="26" style="95" customWidth="1"/>
    <col min="267" max="510" width="9.109375" style="95"/>
    <col min="511" max="511" width="9.44140625" style="95" customWidth="1"/>
    <col min="512" max="512" width="102" style="95" customWidth="1"/>
    <col min="513" max="513" width="0" style="95" hidden="1" customWidth="1"/>
    <col min="514" max="514" width="6.109375" style="95" customWidth="1"/>
    <col min="515" max="515" width="15.5546875" style="95" customWidth="1"/>
    <col min="516" max="516" width="7.44140625" style="95" customWidth="1"/>
    <col min="517" max="517" width="7.6640625" style="95" customWidth="1"/>
    <col min="518" max="518" width="6.33203125" style="95" customWidth="1"/>
    <col min="519" max="519" width="7.5546875" style="95" customWidth="1"/>
    <col min="520" max="520" width="11" style="95" customWidth="1"/>
    <col min="521" max="521" width="11.5546875" style="95" customWidth="1"/>
    <col min="522" max="522" width="26" style="95" customWidth="1"/>
    <col min="523" max="766" width="9.109375" style="95"/>
    <col min="767" max="767" width="9.44140625" style="95" customWidth="1"/>
    <col min="768" max="768" width="102" style="95" customWidth="1"/>
    <col min="769" max="769" width="0" style="95" hidden="1" customWidth="1"/>
    <col min="770" max="770" width="6.109375" style="95" customWidth="1"/>
    <col min="771" max="771" width="15.5546875" style="95" customWidth="1"/>
    <col min="772" max="772" width="7.44140625" style="95" customWidth="1"/>
    <col min="773" max="773" width="7.6640625" style="95" customWidth="1"/>
    <col min="774" max="774" width="6.33203125" style="95" customWidth="1"/>
    <col min="775" max="775" width="7.5546875" style="95" customWidth="1"/>
    <col min="776" max="776" width="11" style="95" customWidth="1"/>
    <col min="777" max="777" width="11.5546875" style="95" customWidth="1"/>
    <col min="778" max="778" width="26" style="95" customWidth="1"/>
    <col min="779" max="1022" width="9.109375" style="95"/>
    <col min="1023" max="1023" width="9.44140625" style="95" customWidth="1"/>
    <col min="1024" max="1024" width="102" style="95" customWidth="1"/>
    <col min="1025" max="1025" width="0" style="95" hidden="1" customWidth="1"/>
    <col min="1026" max="1026" width="6.109375" style="95" customWidth="1"/>
    <col min="1027" max="1027" width="15.5546875" style="95" customWidth="1"/>
    <col min="1028" max="1028" width="7.44140625" style="95" customWidth="1"/>
    <col min="1029" max="1029" width="7.6640625" style="95" customWidth="1"/>
    <col min="1030" max="1030" width="6.33203125" style="95" customWidth="1"/>
    <col min="1031" max="1031" width="7.5546875" style="95" customWidth="1"/>
    <col min="1032" max="1032" width="11" style="95" customWidth="1"/>
    <col min="1033" max="1033" width="11.5546875" style="95" customWidth="1"/>
    <col min="1034" max="1034" width="26" style="95" customWidth="1"/>
    <col min="1035" max="1278" width="9.109375" style="95"/>
    <col min="1279" max="1279" width="9.44140625" style="95" customWidth="1"/>
    <col min="1280" max="1280" width="102" style="95" customWidth="1"/>
    <col min="1281" max="1281" width="0" style="95" hidden="1" customWidth="1"/>
    <col min="1282" max="1282" width="6.109375" style="95" customWidth="1"/>
    <col min="1283" max="1283" width="15.5546875" style="95" customWidth="1"/>
    <col min="1284" max="1284" width="7.44140625" style="95" customWidth="1"/>
    <col min="1285" max="1285" width="7.6640625" style="95" customWidth="1"/>
    <col min="1286" max="1286" width="6.33203125" style="95" customWidth="1"/>
    <col min="1287" max="1287" width="7.5546875" style="95" customWidth="1"/>
    <col min="1288" max="1288" width="11" style="95" customWidth="1"/>
    <col min="1289" max="1289" width="11.5546875" style="95" customWidth="1"/>
    <col min="1290" max="1290" width="26" style="95" customWidth="1"/>
    <col min="1291" max="1534" width="9.109375" style="95"/>
    <col min="1535" max="1535" width="9.44140625" style="95" customWidth="1"/>
    <col min="1536" max="1536" width="102" style="95" customWidth="1"/>
    <col min="1537" max="1537" width="0" style="95" hidden="1" customWidth="1"/>
    <col min="1538" max="1538" width="6.109375" style="95" customWidth="1"/>
    <col min="1539" max="1539" width="15.5546875" style="95" customWidth="1"/>
    <col min="1540" max="1540" width="7.44140625" style="95" customWidth="1"/>
    <col min="1541" max="1541" width="7.6640625" style="95" customWidth="1"/>
    <col min="1542" max="1542" width="6.33203125" style="95" customWidth="1"/>
    <col min="1543" max="1543" width="7.5546875" style="95" customWidth="1"/>
    <col min="1544" max="1544" width="11" style="95" customWidth="1"/>
    <col min="1545" max="1545" width="11.5546875" style="95" customWidth="1"/>
    <col min="1546" max="1546" width="26" style="95" customWidth="1"/>
    <col min="1547" max="1790" width="9.109375" style="95"/>
    <col min="1791" max="1791" width="9.44140625" style="95" customWidth="1"/>
    <col min="1792" max="1792" width="102" style="95" customWidth="1"/>
    <col min="1793" max="1793" width="0" style="95" hidden="1" customWidth="1"/>
    <col min="1794" max="1794" width="6.109375" style="95" customWidth="1"/>
    <col min="1795" max="1795" width="15.5546875" style="95" customWidth="1"/>
    <col min="1796" max="1796" width="7.44140625" style="95" customWidth="1"/>
    <col min="1797" max="1797" width="7.6640625" style="95" customWidth="1"/>
    <col min="1798" max="1798" width="6.33203125" style="95" customWidth="1"/>
    <col min="1799" max="1799" width="7.5546875" style="95" customWidth="1"/>
    <col min="1800" max="1800" width="11" style="95" customWidth="1"/>
    <col min="1801" max="1801" width="11.5546875" style="95" customWidth="1"/>
    <col min="1802" max="1802" width="26" style="95" customWidth="1"/>
    <col min="1803" max="2046" width="9.109375" style="95"/>
    <col min="2047" max="2047" width="9.44140625" style="95" customWidth="1"/>
    <col min="2048" max="2048" width="102" style="95" customWidth="1"/>
    <col min="2049" max="2049" width="0" style="95" hidden="1" customWidth="1"/>
    <col min="2050" max="2050" width="6.109375" style="95" customWidth="1"/>
    <col min="2051" max="2051" width="15.5546875" style="95" customWidth="1"/>
    <col min="2052" max="2052" width="7.44140625" style="95" customWidth="1"/>
    <col min="2053" max="2053" width="7.6640625" style="95" customWidth="1"/>
    <col min="2054" max="2054" width="6.33203125" style="95" customWidth="1"/>
    <col min="2055" max="2055" width="7.5546875" style="95" customWidth="1"/>
    <col min="2056" max="2056" width="11" style="95" customWidth="1"/>
    <col min="2057" max="2057" width="11.5546875" style="95" customWidth="1"/>
    <col min="2058" max="2058" width="26" style="95" customWidth="1"/>
    <col min="2059" max="2302" width="9.109375" style="95"/>
    <col min="2303" max="2303" width="9.44140625" style="95" customWidth="1"/>
    <col min="2304" max="2304" width="102" style="95" customWidth="1"/>
    <col min="2305" max="2305" width="0" style="95" hidden="1" customWidth="1"/>
    <col min="2306" max="2306" width="6.109375" style="95" customWidth="1"/>
    <col min="2307" max="2307" width="15.5546875" style="95" customWidth="1"/>
    <col min="2308" max="2308" width="7.44140625" style="95" customWidth="1"/>
    <col min="2309" max="2309" width="7.6640625" style="95" customWidth="1"/>
    <col min="2310" max="2310" width="6.33203125" style="95" customWidth="1"/>
    <col min="2311" max="2311" width="7.5546875" style="95" customWidth="1"/>
    <col min="2312" max="2312" width="11" style="95" customWidth="1"/>
    <col min="2313" max="2313" width="11.5546875" style="95" customWidth="1"/>
    <col min="2314" max="2314" width="26" style="95" customWidth="1"/>
    <col min="2315" max="2558" width="9.109375" style="95"/>
    <col min="2559" max="2559" width="9.44140625" style="95" customWidth="1"/>
    <col min="2560" max="2560" width="102" style="95" customWidth="1"/>
    <col min="2561" max="2561" width="0" style="95" hidden="1" customWidth="1"/>
    <col min="2562" max="2562" width="6.109375" style="95" customWidth="1"/>
    <col min="2563" max="2563" width="15.5546875" style="95" customWidth="1"/>
    <col min="2564" max="2564" width="7.44140625" style="95" customWidth="1"/>
    <col min="2565" max="2565" width="7.6640625" style="95" customWidth="1"/>
    <col min="2566" max="2566" width="6.33203125" style="95" customWidth="1"/>
    <col min="2567" max="2567" width="7.5546875" style="95" customWidth="1"/>
    <col min="2568" max="2568" width="11" style="95" customWidth="1"/>
    <col min="2569" max="2569" width="11.5546875" style="95" customWidth="1"/>
    <col min="2570" max="2570" width="26" style="95" customWidth="1"/>
    <col min="2571" max="2814" width="9.109375" style="95"/>
    <col min="2815" max="2815" width="9.44140625" style="95" customWidth="1"/>
    <col min="2816" max="2816" width="102" style="95" customWidth="1"/>
    <col min="2817" max="2817" width="0" style="95" hidden="1" customWidth="1"/>
    <col min="2818" max="2818" width="6.109375" style="95" customWidth="1"/>
    <col min="2819" max="2819" width="15.5546875" style="95" customWidth="1"/>
    <col min="2820" max="2820" width="7.44140625" style="95" customWidth="1"/>
    <col min="2821" max="2821" width="7.6640625" style="95" customWidth="1"/>
    <col min="2822" max="2822" width="6.33203125" style="95" customWidth="1"/>
    <col min="2823" max="2823" width="7.5546875" style="95" customWidth="1"/>
    <col min="2824" max="2824" width="11" style="95" customWidth="1"/>
    <col min="2825" max="2825" width="11.5546875" style="95" customWidth="1"/>
    <col min="2826" max="2826" width="26" style="95" customWidth="1"/>
    <col min="2827" max="3070" width="9.109375" style="95"/>
    <col min="3071" max="3071" width="9.44140625" style="95" customWidth="1"/>
    <col min="3072" max="3072" width="102" style="95" customWidth="1"/>
    <col min="3073" max="3073" width="0" style="95" hidden="1" customWidth="1"/>
    <col min="3074" max="3074" width="6.109375" style="95" customWidth="1"/>
    <col min="3075" max="3075" width="15.5546875" style="95" customWidth="1"/>
    <col min="3076" max="3076" width="7.44140625" style="95" customWidth="1"/>
    <col min="3077" max="3077" width="7.6640625" style="95" customWidth="1"/>
    <col min="3078" max="3078" width="6.33203125" style="95" customWidth="1"/>
    <col min="3079" max="3079" width="7.5546875" style="95" customWidth="1"/>
    <col min="3080" max="3080" width="11" style="95" customWidth="1"/>
    <col min="3081" max="3081" width="11.5546875" style="95" customWidth="1"/>
    <col min="3082" max="3082" width="26" style="95" customWidth="1"/>
    <col min="3083" max="3326" width="9.109375" style="95"/>
    <col min="3327" max="3327" width="9.44140625" style="95" customWidth="1"/>
    <col min="3328" max="3328" width="102" style="95" customWidth="1"/>
    <col min="3329" max="3329" width="0" style="95" hidden="1" customWidth="1"/>
    <col min="3330" max="3330" width="6.109375" style="95" customWidth="1"/>
    <col min="3331" max="3331" width="15.5546875" style="95" customWidth="1"/>
    <col min="3332" max="3332" width="7.44140625" style="95" customWidth="1"/>
    <col min="3333" max="3333" width="7.6640625" style="95" customWidth="1"/>
    <col min="3334" max="3334" width="6.33203125" style="95" customWidth="1"/>
    <col min="3335" max="3335" width="7.5546875" style="95" customWidth="1"/>
    <col min="3336" max="3336" width="11" style="95" customWidth="1"/>
    <col min="3337" max="3337" width="11.5546875" style="95" customWidth="1"/>
    <col min="3338" max="3338" width="26" style="95" customWidth="1"/>
    <col min="3339" max="3582" width="9.109375" style="95"/>
    <col min="3583" max="3583" width="9.44140625" style="95" customWidth="1"/>
    <col min="3584" max="3584" width="102" style="95" customWidth="1"/>
    <col min="3585" max="3585" width="0" style="95" hidden="1" customWidth="1"/>
    <col min="3586" max="3586" width="6.109375" style="95" customWidth="1"/>
    <col min="3587" max="3587" width="15.5546875" style="95" customWidth="1"/>
    <col min="3588" max="3588" width="7.44140625" style="95" customWidth="1"/>
    <col min="3589" max="3589" width="7.6640625" style="95" customWidth="1"/>
    <col min="3590" max="3590" width="6.33203125" style="95" customWidth="1"/>
    <col min="3591" max="3591" width="7.5546875" style="95" customWidth="1"/>
    <col min="3592" max="3592" width="11" style="95" customWidth="1"/>
    <col min="3593" max="3593" width="11.5546875" style="95" customWidth="1"/>
    <col min="3594" max="3594" width="26" style="95" customWidth="1"/>
    <col min="3595" max="3838" width="9.109375" style="95"/>
    <col min="3839" max="3839" width="9.44140625" style="95" customWidth="1"/>
    <col min="3840" max="3840" width="102" style="95" customWidth="1"/>
    <col min="3841" max="3841" width="0" style="95" hidden="1" customWidth="1"/>
    <col min="3842" max="3842" width="6.109375" style="95" customWidth="1"/>
    <col min="3843" max="3843" width="15.5546875" style="95" customWidth="1"/>
    <col min="3844" max="3844" width="7.44140625" style="95" customWidth="1"/>
    <col min="3845" max="3845" width="7.6640625" style="95" customWidth="1"/>
    <col min="3846" max="3846" width="6.33203125" style="95" customWidth="1"/>
    <col min="3847" max="3847" width="7.5546875" style="95" customWidth="1"/>
    <col min="3848" max="3848" width="11" style="95" customWidth="1"/>
    <col min="3849" max="3849" width="11.5546875" style="95" customWidth="1"/>
    <col min="3850" max="3850" width="26" style="95" customWidth="1"/>
    <col min="3851" max="4094" width="9.109375" style="95"/>
    <col min="4095" max="4095" width="9.44140625" style="95" customWidth="1"/>
    <col min="4096" max="4096" width="102" style="95" customWidth="1"/>
    <col min="4097" max="4097" width="0" style="95" hidden="1" customWidth="1"/>
    <col min="4098" max="4098" width="6.109375" style="95" customWidth="1"/>
    <col min="4099" max="4099" width="15.5546875" style="95" customWidth="1"/>
    <col min="4100" max="4100" width="7.44140625" style="95" customWidth="1"/>
    <col min="4101" max="4101" width="7.6640625" style="95" customWidth="1"/>
    <col min="4102" max="4102" width="6.33203125" style="95" customWidth="1"/>
    <col min="4103" max="4103" width="7.5546875" style="95" customWidth="1"/>
    <col min="4104" max="4104" width="11" style="95" customWidth="1"/>
    <col min="4105" max="4105" width="11.5546875" style="95" customWidth="1"/>
    <col min="4106" max="4106" width="26" style="95" customWidth="1"/>
    <col min="4107" max="4350" width="9.109375" style="95"/>
    <col min="4351" max="4351" width="9.44140625" style="95" customWidth="1"/>
    <col min="4352" max="4352" width="102" style="95" customWidth="1"/>
    <col min="4353" max="4353" width="0" style="95" hidden="1" customWidth="1"/>
    <col min="4354" max="4354" width="6.109375" style="95" customWidth="1"/>
    <col min="4355" max="4355" width="15.5546875" style="95" customWidth="1"/>
    <col min="4356" max="4356" width="7.44140625" style="95" customWidth="1"/>
    <col min="4357" max="4357" width="7.6640625" style="95" customWidth="1"/>
    <col min="4358" max="4358" width="6.33203125" style="95" customWidth="1"/>
    <col min="4359" max="4359" width="7.5546875" style="95" customWidth="1"/>
    <col min="4360" max="4360" width="11" style="95" customWidth="1"/>
    <col min="4361" max="4361" width="11.5546875" style="95" customWidth="1"/>
    <col min="4362" max="4362" width="26" style="95" customWidth="1"/>
    <col min="4363" max="4606" width="9.109375" style="95"/>
    <col min="4607" max="4607" width="9.44140625" style="95" customWidth="1"/>
    <col min="4608" max="4608" width="102" style="95" customWidth="1"/>
    <col min="4609" max="4609" width="0" style="95" hidden="1" customWidth="1"/>
    <col min="4610" max="4610" width="6.109375" style="95" customWidth="1"/>
    <col min="4611" max="4611" width="15.5546875" style="95" customWidth="1"/>
    <col min="4612" max="4612" width="7.44140625" style="95" customWidth="1"/>
    <col min="4613" max="4613" width="7.6640625" style="95" customWidth="1"/>
    <col min="4614" max="4614" width="6.33203125" style="95" customWidth="1"/>
    <col min="4615" max="4615" width="7.5546875" style="95" customWidth="1"/>
    <col min="4616" max="4616" width="11" style="95" customWidth="1"/>
    <col min="4617" max="4617" width="11.5546875" style="95" customWidth="1"/>
    <col min="4618" max="4618" width="26" style="95" customWidth="1"/>
    <col min="4619" max="4862" width="9.109375" style="95"/>
    <col min="4863" max="4863" width="9.44140625" style="95" customWidth="1"/>
    <col min="4864" max="4864" width="102" style="95" customWidth="1"/>
    <col min="4865" max="4865" width="0" style="95" hidden="1" customWidth="1"/>
    <col min="4866" max="4866" width="6.109375" style="95" customWidth="1"/>
    <col min="4867" max="4867" width="15.5546875" style="95" customWidth="1"/>
    <col min="4868" max="4868" width="7.44140625" style="95" customWidth="1"/>
    <col min="4869" max="4869" width="7.6640625" style="95" customWidth="1"/>
    <col min="4870" max="4870" width="6.33203125" style="95" customWidth="1"/>
    <col min="4871" max="4871" width="7.5546875" style="95" customWidth="1"/>
    <col min="4872" max="4872" width="11" style="95" customWidth="1"/>
    <col min="4873" max="4873" width="11.5546875" style="95" customWidth="1"/>
    <col min="4874" max="4874" width="26" style="95" customWidth="1"/>
    <col min="4875" max="5118" width="9.109375" style="95"/>
    <col min="5119" max="5119" width="9.44140625" style="95" customWidth="1"/>
    <col min="5120" max="5120" width="102" style="95" customWidth="1"/>
    <col min="5121" max="5121" width="0" style="95" hidden="1" customWidth="1"/>
    <col min="5122" max="5122" width="6.109375" style="95" customWidth="1"/>
    <col min="5123" max="5123" width="15.5546875" style="95" customWidth="1"/>
    <col min="5124" max="5124" width="7.44140625" style="95" customWidth="1"/>
    <col min="5125" max="5125" width="7.6640625" style="95" customWidth="1"/>
    <col min="5126" max="5126" width="6.33203125" style="95" customWidth="1"/>
    <col min="5127" max="5127" width="7.5546875" style="95" customWidth="1"/>
    <col min="5128" max="5128" width="11" style="95" customWidth="1"/>
    <col min="5129" max="5129" width="11.5546875" style="95" customWidth="1"/>
    <col min="5130" max="5130" width="26" style="95" customWidth="1"/>
    <col min="5131" max="5374" width="9.109375" style="95"/>
    <col min="5375" max="5375" width="9.44140625" style="95" customWidth="1"/>
    <col min="5376" max="5376" width="102" style="95" customWidth="1"/>
    <col min="5377" max="5377" width="0" style="95" hidden="1" customWidth="1"/>
    <col min="5378" max="5378" width="6.109375" style="95" customWidth="1"/>
    <col min="5379" max="5379" width="15.5546875" style="95" customWidth="1"/>
    <col min="5380" max="5380" width="7.44140625" style="95" customWidth="1"/>
    <col min="5381" max="5381" width="7.6640625" style="95" customWidth="1"/>
    <col min="5382" max="5382" width="6.33203125" style="95" customWidth="1"/>
    <col min="5383" max="5383" width="7.5546875" style="95" customWidth="1"/>
    <col min="5384" max="5384" width="11" style="95" customWidth="1"/>
    <col min="5385" max="5385" width="11.5546875" style="95" customWidth="1"/>
    <col min="5386" max="5386" width="26" style="95" customWidth="1"/>
    <col min="5387" max="5630" width="9.109375" style="95"/>
    <col min="5631" max="5631" width="9.44140625" style="95" customWidth="1"/>
    <col min="5632" max="5632" width="102" style="95" customWidth="1"/>
    <col min="5633" max="5633" width="0" style="95" hidden="1" customWidth="1"/>
    <col min="5634" max="5634" width="6.109375" style="95" customWidth="1"/>
    <col min="5635" max="5635" width="15.5546875" style="95" customWidth="1"/>
    <col min="5636" max="5636" width="7.44140625" style="95" customWidth="1"/>
    <col min="5637" max="5637" width="7.6640625" style="95" customWidth="1"/>
    <col min="5638" max="5638" width="6.33203125" style="95" customWidth="1"/>
    <col min="5639" max="5639" width="7.5546875" style="95" customWidth="1"/>
    <col min="5640" max="5640" width="11" style="95" customWidth="1"/>
    <col min="5641" max="5641" width="11.5546875" style="95" customWidth="1"/>
    <col min="5642" max="5642" width="26" style="95" customWidth="1"/>
    <col min="5643" max="5886" width="9.109375" style="95"/>
    <col min="5887" max="5887" width="9.44140625" style="95" customWidth="1"/>
    <col min="5888" max="5888" width="102" style="95" customWidth="1"/>
    <col min="5889" max="5889" width="0" style="95" hidden="1" customWidth="1"/>
    <col min="5890" max="5890" width="6.109375" style="95" customWidth="1"/>
    <col min="5891" max="5891" width="15.5546875" style="95" customWidth="1"/>
    <col min="5892" max="5892" width="7.44140625" style="95" customWidth="1"/>
    <col min="5893" max="5893" width="7.6640625" style="95" customWidth="1"/>
    <col min="5894" max="5894" width="6.33203125" style="95" customWidth="1"/>
    <col min="5895" max="5895" width="7.5546875" style="95" customWidth="1"/>
    <col min="5896" max="5896" width="11" style="95" customWidth="1"/>
    <col min="5897" max="5897" width="11.5546875" style="95" customWidth="1"/>
    <col min="5898" max="5898" width="26" style="95" customWidth="1"/>
    <col min="5899" max="6142" width="9.109375" style="95"/>
    <col min="6143" max="6143" width="9.44140625" style="95" customWidth="1"/>
    <col min="6144" max="6144" width="102" style="95" customWidth="1"/>
    <col min="6145" max="6145" width="0" style="95" hidden="1" customWidth="1"/>
    <col min="6146" max="6146" width="6.109375" style="95" customWidth="1"/>
    <col min="6147" max="6147" width="15.5546875" style="95" customWidth="1"/>
    <col min="6148" max="6148" width="7.44140625" style="95" customWidth="1"/>
    <col min="6149" max="6149" width="7.6640625" style="95" customWidth="1"/>
    <col min="6150" max="6150" width="6.33203125" style="95" customWidth="1"/>
    <col min="6151" max="6151" width="7.5546875" style="95" customWidth="1"/>
    <col min="6152" max="6152" width="11" style="95" customWidth="1"/>
    <col min="6153" max="6153" width="11.5546875" style="95" customWidth="1"/>
    <col min="6154" max="6154" width="26" style="95" customWidth="1"/>
    <col min="6155" max="6398" width="9.109375" style="95"/>
    <col min="6399" max="6399" width="9.44140625" style="95" customWidth="1"/>
    <col min="6400" max="6400" width="102" style="95" customWidth="1"/>
    <col min="6401" max="6401" width="0" style="95" hidden="1" customWidth="1"/>
    <col min="6402" max="6402" width="6.109375" style="95" customWidth="1"/>
    <col min="6403" max="6403" width="15.5546875" style="95" customWidth="1"/>
    <col min="6404" max="6404" width="7.44140625" style="95" customWidth="1"/>
    <col min="6405" max="6405" width="7.6640625" style="95" customWidth="1"/>
    <col min="6406" max="6406" width="6.33203125" style="95" customWidth="1"/>
    <col min="6407" max="6407" width="7.5546875" style="95" customWidth="1"/>
    <col min="6408" max="6408" width="11" style="95" customWidth="1"/>
    <col min="6409" max="6409" width="11.5546875" style="95" customWidth="1"/>
    <col min="6410" max="6410" width="26" style="95" customWidth="1"/>
    <col min="6411" max="6654" width="9.109375" style="95"/>
    <col min="6655" max="6655" width="9.44140625" style="95" customWidth="1"/>
    <col min="6656" max="6656" width="102" style="95" customWidth="1"/>
    <col min="6657" max="6657" width="0" style="95" hidden="1" customWidth="1"/>
    <col min="6658" max="6658" width="6.109375" style="95" customWidth="1"/>
    <col min="6659" max="6659" width="15.5546875" style="95" customWidth="1"/>
    <col min="6660" max="6660" width="7.44140625" style="95" customWidth="1"/>
    <col min="6661" max="6661" width="7.6640625" style="95" customWidth="1"/>
    <col min="6662" max="6662" width="6.33203125" style="95" customWidth="1"/>
    <col min="6663" max="6663" width="7.5546875" style="95" customWidth="1"/>
    <col min="6664" max="6664" width="11" style="95" customWidth="1"/>
    <col min="6665" max="6665" width="11.5546875" style="95" customWidth="1"/>
    <col min="6666" max="6666" width="26" style="95" customWidth="1"/>
    <col min="6667" max="6910" width="9.109375" style="95"/>
    <col min="6911" max="6911" width="9.44140625" style="95" customWidth="1"/>
    <col min="6912" max="6912" width="102" style="95" customWidth="1"/>
    <col min="6913" max="6913" width="0" style="95" hidden="1" customWidth="1"/>
    <col min="6914" max="6914" width="6.109375" style="95" customWidth="1"/>
    <col min="6915" max="6915" width="15.5546875" style="95" customWidth="1"/>
    <col min="6916" max="6916" width="7.44140625" style="95" customWidth="1"/>
    <col min="6917" max="6917" width="7.6640625" style="95" customWidth="1"/>
    <col min="6918" max="6918" width="6.33203125" style="95" customWidth="1"/>
    <col min="6919" max="6919" width="7.5546875" style="95" customWidth="1"/>
    <col min="6920" max="6920" width="11" style="95" customWidth="1"/>
    <col min="6921" max="6921" width="11.5546875" style="95" customWidth="1"/>
    <col min="6922" max="6922" width="26" style="95" customWidth="1"/>
    <col min="6923" max="7166" width="9.109375" style="95"/>
    <col min="7167" max="7167" width="9.44140625" style="95" customWidth="1"/>
    <col min="7168" max="7168" width="102" style="95" customWidth="1"/>
    <col min="7169" max="7169" width="0" style="95" hidden="1" customWidth="1"/>
    <col min="7170" max="7170" width="6.109375" style="95" customWidth="1"/>
    <col min="7171" max="7171" width="15.5546875" style="95" customWidth="1"/>
    <col min="7172" max="7172" width="7.44140625" style="95" customWidth="1"/>
    <col min="7173" max="7173" width="7.6640625" style="95" customWidth="1"/>
    <col min="7174" max="7174" width="6.33203125" style="95" customWidth="1"/>
    <col min="7175" max="7175" width="7.5546875" style="95" customWidth="1"/>
    <col min="7176" max="7176" width="11" style="95" customWidth="1"/>
    <col min="7177" max="7177" width="11.5546875" style="95" customWidth="1"/>
    <col min="7178" max="7178" width="26" style="95" customWidth="1"/>
    <col min="7179" max="7422" width="9.109375" style="95"/>
    <col min="7423" max="7423" width="9.44140625" style="95" customWidth="1"/>
    <col min="7424" max="7424" width="102" style="95" customWidth="1"/>
    <col min="7425" max="7425" width="0" style="95" hidden="1" customWidth="1"/>
    <col min="7426" max="7426" width="6.109375" style="95" customWidth="1"/>
    <col min="7427" max="7427" width="15.5546875" style="95" customWidth="1"/>
    <col min="7428" max="7428" width="7.44140625" style="95" customWidth="1"/>
    <col min="7429" max="7429" width="7.6640625" style="95" customWidth="1"/>
    <col min="7430" max="7430" width="6.33203125" style="95" customWidth="1"/>
    <col min="7431" max="7431" width="7.5546875" style="95" customWidth="1"/>
    <col min="7432" max="7432" width="11" style="95" customWidth="1"/>
    <col min="7433" max="7433" width="11.5546875" style="95" customWidth="1"/>
    <col min="7434" max="7434" width="26" style="95" customWidth="1"/>
    <col min="7435" max="7678" width="9.109375" style="95"/>
    <col min="7679" max="7679" width="9.44140625" style="95" customWidth="1"/>
    <col min="7680" max="7680" width="102" style="95" customWidth="1"/>
    <col min="7681" max="7681" width="0" style="95" hidden="1" customWidth="1"/>
    <col min="7682" max="7682" width="6.109375" style="95" customWidth="1"/>
    <col min="7683" max="7683" width="15.5546875" style="95" customWidth="1"/>
    <col min="7684" max="7684" width="7.44140625" style="95" customWidth="1"/>
    <col min="7685" max="7685" width="7.6640625" style="95" customWidth="1"/>
    <col min="7686" max="7686" width="6.33203125" style="95" customWidth="1"/>
    <col min="7687" max="7687" width="7.5546875" style="95" customWidth="1"/>
    <col min="7688" max="7688" width="11" style="95" customWidth="1"/>
    <col min="7689" max="7689" width="11.5546875" style="95" customWidth="1"/>
    <col min="7690" max="7690" width="26" style="95" customWidth="1"/>
    <col min="7691" max="7934" width="9.109375" style="95"/>
    <col min="7935" max="7935" width="9.44140625" style="95" customWidth="1"/>
    <col min="7936" max="7936" width="102" style="95" customWidth="1"/>
    <col min="7937" max="7937" width="0" style="95" hidden="1" customWidth="1"/>
    <col min="7938" max="7938" width="6.109375" style="95" customWidth="1"/>
    <col min="7939" max="7939" width="15.5546875" style="95" customWidth="1"/>
    <col min="7940" max="7940" width="7.44140625" style="95" customWidth="1"/>
    <col min="7941" max="7941" width="7.6640625" style="95" customWidth="1"/>
    <col min="7942" max="7942" width="6.33203125" style="95" customWidth="1"/>
    <col min="7943" max="7943" width="7.5546875" style="95" customWidth="1"/>
    <col min="7944" max="7944" width="11" style="95" customWidth="1"/>
    <col min="7945" max="7945" width="11.5546875" style="95" customWidth="1"/>
    <col min="7946" max="7946" width="26" style="95" customWidth="1"/>
    <col min="7947" max="8190" width="9.109375" style="95"/>
    <col min="8191" max="8191" width="9.44140625" style="95" customWidth="1"/>
    <col min="8192" max="8192" width="102" style="95" customWidth="1"/>
    <col min="8193" max="8193" width="0" style="95" hidden="1" customWidth="1"/>
    <col min="8194" max="8194" width="6.109375" style="95" customWidth="1"/>
    <col min="8195" max="8195" width="15.5546875" style="95" customWidth="1"/>
    <col min="8196" max="8196" width="7.44140625" style="95" customWidth="1"/>
    <col min="8197" max="8197" width="7.6640625" style="95" customWidth="1"/>
    <col min="8198" max="8198" width="6.33203125" style="95" customWidth="1"/>
    <col min="8199" max="8199" width="7.5546875" style="95" customWidth="1"/>
    <col min="8200" max="8200" width="11" style="95" customWidth="1"/>
    <col min="8201" max="8201" width="11.5546875" style="95" customWidth="1"/>
    <col min="8202" max="8202" width="26" style="95" customWidth="1"/>
    <col min="8203" max="8446" width="9.109375" style="95"/>
    <col min="8447" max="8447" width="9.44140625" style="95" customWidth="1"/>
    <col min="8448" max="8448" width="102" style="95" customWidth="1"/>
    <col min="8449" max="8449" width="0" style="95" hidden="1" customWidth="1"/>
    <col min="8450" max="8450" width="6.109375" style="95" customWidth="1"/>
    <col min="8451" max="8451" width="15.5546875" style="95" customWidth="1"/>
    <col min="8452" max="8452" width="7.44140625" style="95" customWidth="1"/>
    <col min="8453" max="8453" width="7.6640625" style="95" customWidth="1"/>
    <col min="8454" max="8454" width="6.33203125" style="95" customWidth="1"/>
    <col min="8455" max="8455" width="7.5546875" style="95" customWidth="1"/>
    <col min="8456" max="8456" width="11" style="95" customWidth="1"/>
    <col min="8457" max="8457" width="11.5546875" style="95" customWidth="1"/>
    <col min="8458" max="8458" width="26" style="95" customWidth="1"/>
    <col min="8459" max="8702" width="9.109375" style="95"/>
    <col min="8703" max="8703" width="9.44140625" style="95" customWidth="1"/>
    <col min="8704" max="8704" width="102" style="95" customWidth="1"/>
    <col min="8705" max="8705" width="0" style="95" hidden="1" customWidth="1"/>
    <col min="8706" max="8706" width="6.109375" style="95" customWidth="1"/>
    <col min="8707" max="8707" width="15.5546875" style="95" customWidth="1"/>
    <col min="8708" max="8708" width="7.44140625" style="95" customWidth="1"/>
    <col min="8709" max="8709" width="7.6640625" style="95" customWidth="1"/>
    <col min="8710" max="8710" width="6.33203125" style="95" customWidth="1"/>
    <col min="8711" max="8711" width="7.5546875" style="95" customWidth="1"/>
    <col min="8712" max="8712" width="11" style="95" customWidth="1"/>
    <col min="8713" max="8713" width="11.5546875" style="95" customWidth="1"/>
    <col min="8714" max="8714" width="26" style="95" customWidth="1"/>
    <col min="8715" max="8958" width="9.109375" style="95"/>
    <col min="8959" max="8959" width="9.44140625" style="95" customWidth="1"/>
    <col min="8960" max="8960" width="102" style="95" customWidth="1"/>
    <col min="8961" max="8961" width="0" style="95" hidden="1" customWidth="1"/>
    <col min="8962" max="8962" width="6.109375" style="95" customWidth="1"/>
    <col min="8963" max="8963" width="15.5546875" style="95" customWidth="1"/>
    <col min="8964" max="8964" width="7.44140625" style="95" customWidth="1"/>
    <col min="8965" max="8965" width="7.6640625" style="95" customWidth="1"/>
    <col min="8966" max="8966" width="6.33203125" style="95" customWidth="1"/>
    <col min="8967" max="8967" width="7.5546875" style="95" customWidth="1"/>
    <col min="8968" max="8968" width="11" style="95" customWidth="1"/>
    <col min="8969" max="8969" width="11.5546875" style="95" customWidth="1"/>
    <col min="8970" max="8970" width="26" style="95" customWidth="1"/>
    <col min="8971" max="9214" width="9.109375" style="95"/>
    <col min="9215" max="9215" width="9.44140625" style="95" customWidth="1"/>
    <col min="9216" max="9216" width="102" style="95" customWidth="1"/>
    <col min="9217" max="9217" width="0" style="95" hidden="1" customWidth="1"/>
    <col min="9218" max="9218" width="6.109375" style="95" customWidth="1"/>
    <col min="9219" max="9219" width="15.5546875" style="95" customWidth="1"/>
    <col min="9220" max="9220" width="7.44140625" style="95" customWidth="1"/>
    <col min="9221" max="9221" width="7.6640625" style="95" customWidth="1"/>
    <col min="9222" max="9222" width="6.33203125" style="95" customWidth="1"/>
    <col min="9223" max="9223" width="7.5546875" style="95" customWidth="1"/>
    <col min="9224" max="9224" width="11" style="95" customWidth="1"/>
    <col min="9225" max="9225" width="11.5546875" style="95" customWidth="1"/>
    <col min="9226" max="9226" width="26" style="95" customWidth="1"/>
    <col min="9227" max="9470" width="9.109375" style="95"/>
    <col min="9471" max="9471" width="9.44140625" style="95" customWidth="1"/>
    <col min="9472" max="9472" width="102" style="95" customWidth="1"/>
    <col min="9473" max="9473" width="0" style="95" hidden="1" customWidth="1"/>
    <col min="9474" max="9474" width="6.109375" style="95" customWidth="1"/>
    <col min="9475" max="9475" width="15.5546875" style="95" customWidth="1"/>
    <col min="9476" max="9476" width="7.44140625" style="95" customWidth="1"/>
    <col min="9477" max="9477" width="7.6640625" style="95" customWidth="1"/>
    <col min="9478" max="9478" width="6.33203125" style="95" customWidth="1"/>
    <col min="9479" max="9479" width="7.5546875" style="95" customWidth="1"/>
    <col min="9480" max="9480" width="11" style="95" customWidth="1"/>
    <col min="9481" max="9481" width="11.5546875" style="95" customWidth="1"/>
    <col min="9482" max="9482" width="26" style="95" customWidth="1"/>
    <col min="9483" max="9726" width="9.109375" style="95"/>
    <col min="9727" max="9727" width="9.44140625" style="95" customWidth="1"/>
    <col min="9728" max="9728" width="102" style="95" customWidth="1"/>
    <col min="9729" max="9729" width="0" style="95" hidden="1" customWidth="1"/>
    <col min="9730" max="9730" width="6.109375" style="95" customWidth="1"/>
    <col min="9731" max="9731" width="15.5546875" style="95" customWidth="1"/>
    <col min="9732" max="9732" width="7.44140625" style="95" customWidth="1"/>
    <col min="9733" max="9733" width="7.6640625" style="95" customWidth="1"/>
    <col min="9734" max="9734" width="6.33203125" style="95" customWidth="1"/>
    <col min="9735" max="9735" width="7.5546875" style="95" customWidth="1"/>
    <col min="9736" max="9736" width="11" style="95" customWidth="1"/>
    <col min="9737" max="9737" width="11.5546875" style="95" customWidth="1"/>
    <col min="9738" max="9738" width="26" style="95" customWidth="1"/>
    <col min="9739" max="9982" width="9.109375" style="95"/>
    <col min="9983" max="9983" width="9.44140625" style="95" customWidth="1"/>
    <col min="9984" max="9984" width="102" style="95" customWidth="1"/>
    <col min="9985" max="9985" width="0" style="95" hidden="1" customWidth="1"/>
    <col min="9986" max="9986" width="6.109375" style="95" customWidth="1"/>
    <col min="9987" max="9987" width="15.5546875" style="95" customWidth="1"/>
    <col min="9988" max="9988" width="7.44140625" style="95" customWidth="1"/>
    <col min="9989" max="9989" width="7.6640625" style="95" customWidth="1"/>
    <col min="9990" max="9990" width="6.33203125" style="95" customWidth="1"/>
    <col min="9991" max="9991" width="7.5546875" style="95" customWidth="1"/>
    <col min="9992" max="9992" width="11" style="95" customWidth="1"/>
    <col min="9993" max="9993" width="11.5546875" style="95" customWidth="1"/>
    <col min="9994" max="9994" width="26" style="95" customWidth="1"/>
    <col min="9995" max="10238" width="9.109375" style="95"/>
    <col min="10239" max="10239" width="9.44140625" style="95" customWidth="1"/>
    <col min="10240" max="10240" width="102" style="95" customWidth="1"/>
    <col min="10241" max="10241" width="0" style="95" hidden="1" customWidth="1"/>
    <col min="10242" max="10242" width="6.109375" style="95" customWidth="1"/>
    <col min="10243" max="10243" width="15.5546875" style="95" customWidth="1"/>
    <col min="10244" max="10244" width="7.44140625" style="95" customWidth="1"/>
    <col min="10245" max="10245" width="7.6640625" style="95" customWidth="1"/>
    <col min="10246" max="10246" width="6.33203125" style="95" customWidth="1"/>
    <col min="10247" max="10247" width="7.5546875" style="95" customWidth="1"/>
    <col min="10248" max="10248" width="11" style="95" customWidth="1"/>
    <col min="10249" max="10249" width="11.5546875" style="95" customWidth="1"/>
    <col min="10250" max="10250" width="26" style="95" customWidth="1"/>
    <col min="10251" max="10494" width="9.109375" style="95"/>
    <col min="10495" max="10495" width="9.44140625" style="95" customWidth="1"/>
    <col min="10496" max="10496" width="102" style="95" customWidth="1"/>
    <col min="10497" max="10497" width="0" style="95" hidden="1" customWidth="1"/>
    <col min="10498" max="10498" width="6.109375" style="95" customWidth="1"/>
    <col min="10499" max="10499" width="15.5546875" style="95" customWidth="1"/>
    <col min="10500" max="10500" width="7.44140625" style="95" customWidth="1"/>
    <col min="10501" max="10501" width="7.6640625" style="95" customWidth="1"/>
    <col min="10502" max="10502" width="6.33203125" style="95" customWidth="1"/>
    <col min="10503" max="10503" width="7.5546875" style="95" customWidth="1"/>
    <col min="10504" max="10504" width="11" style="95" customWidth="1"/>
    <col min="10505" max="10505" width="11.5546875" style="95" customWidth="1"/>
    <col min="10506" max="10506" width="26" style="95" customWidth="1"/>
    <col min="10507" max="10750" width="9.109375" style="95"/>
    <col min="10751" max="10751" width="9.44140625" style="95" customWidth="1"/>
    <col min="10752" max="10752" width="102" style="95" customWidth="1"/>
    <col min="10753" max="10753" width="0" style="95" hidden="1" customWidth="1"/>
    <col min="10754" max="10754" width="6.109375" style="95" customWidth="1"/>
    <col min="10755" max="10755" width="15.5546875" style="95" customWidth="1"/>
    <col min="10756" max="10756" width="7.44140625" style="95" customWidth="1"/>
    <col min="10757" max="10757" width="7.6640625" style="95" customWidth="1"/>
    <col min="10758" max="10758" width="6.33203125" style="95" customWidth="1"/>
    <col min="10759" max="10759" width="7.5546875" style="95" customWidth="1"/>
    <col min="10760" max="10760" width="11" style="95" customWidth="1"/>
    <col min="10761" max="10761" width="11.5546875" style="95" customWidth="1"/>
    <col min="10762" max="10762" width="26" style="95" customWidth="1"/>
    <col min="10763" max="11006" width="9.109375" style="95"/>
    <col min="11007" max="11007" width="9.44140625" style="95" customWidth="1"/>
    <col min="11008" max="11008" width="102" style="95" customWidth="1"/>
    <col min="11009" max="11009" width="0" style="95" hidden="1" customWidth="1"/>
    <col min="11010" max="11010" width="6.109375" style="95" customWidth="1"/>
    <col min="11011" max="11011" width="15.5546875" style="95" customWidth="1"/>
    <col min="11012" max="11012" width="7.44140625" style="95" customWidth="1"/>
    <col min="11013" max="11013" width="7.6640625" style="95" customWidth="1"/>
    <col min="11014" max="11014" width="6.33203125" style="95" customWidth="1"/>
    <col min="11015" max="11015" width="7.5546875" style="95" customWidth="1"/>
    <col min="11016" max="11016" width="11" style="95" customWidth="1"/>
    <col min="11017" max="11017" width="11.5546875" style="95" customWidth="1"/>
    <col min="11018" max="11018" width="26" style="95" customWidth="1"/>
    <col min="11019" max="11262" width="9.109375" style="95"/>
    <col min="11263" max="11263" width="9.44140625" style="95" customWidth="1"/>
    <col min="11264" max="11264" width="102" style="95" customWidth="1"/>
    <col min="11265" max="11265" width="0" style="95" hidden="1" customWidth="1"/>
    <col min="11266" max="11266" width="6.109375" style="95" customWidth="1"/>
    <col min="11267" max="11267" width="15.5546875" style="95" customWidth="1"/>
    <col min="11268" max="11268" width="7.44140625" style="95" customWidth="1"/>
    <col min="11269" max="11269" width="7.6640625" style="95" customWidth="1"/>
    <col min="11270" max="11270" width="6.33203125" style="95" customWidth="1"/>
    <col min="11271" max="11271" width="7.5546875" style="95" customWidth="1"/>
    <col min="11272" max="11272" width="11" style="95" customWidth="1"/>
    <col min="11273" max="11273" width="11.5546875" style="95" customWidth="1"/>
    <col min="11274" max="11274" width="26" style="95" customWidth="1"/>
    <col min="11275" max="11518" width="9.109375" style="95"/>
    <col min="11519" max="11519" width="9.44140625" style="95" customWidth="1"/>
    <col min="11520" max="11520" width="102" style="95" customWidth="1"/>
    <col min="11521" max="11521" width="0" style="95" hidden="1" customWidth="1"/>
    <col min="11522" max="11522" width="6.109375" style="95" customWidth="1"/>
    <col min="11523" max="11523" width="15.5546875" style="95" customWidth="1"/>
    <col min="11524" max="11524" width="7.44140625" style="95" customWidth="1"/>
    <col min="11525" max="11525" width="7.6640625" style="95" customWidth="1"/>
    <col min="11526" max="11526" width="6.33203125" style="95" customWidth="1"/>
    <col min="11527" max="11527" width="7.5546875" style="95" customWidth="1"/>
    <col min="11528" max="11528" width="11" style="95" customWidth="1"/>
    <col min="11529" max="11529" width="11.5546875" style="95" customWidth="1"/>
    <col min="11530" max="11530" width="26" style="95" customWidth="1"/>
    <col min="11531" max="11774" width="9.109375" style="95"/>
    <col min="11775" max="11775" width="9.44140625" style="95" customWidth="1"/>
    <col min="11776" max="11776" width="102" style="95" customWidth="1"/>
    <col min="11777" max="11777" width="0" style="95" hidden="1" customWidth="1"/>
    <col min="11778" max="11778" width="6.109375" style="95" customWidth="1"/>
    <col min="11779" max="11779" width="15.5546875" style="95" customWidth="1"/>
    <col min="11780" max="11780" width="7.44140625" style="95" customWidth="1"/>
    <col min="11781" max="11781" width="7.6640625" style="95" customWidth="1"/>
    <col min="11782" max="11782" width="6.33203125" style="95" customWidth="1"/>
    <col min="11783" max="11783" width="7.5546875" style="95" customWidth="1"/>
    <col min="11784" max="11784" width="11" style="95" customWidth="1"/>
    <col min="11785" max="11785" width="11.5546875" style="95" customWidth="1"/>
    <col min="11786" max="11786" width="26" style="95" customWidth="1"/>
    <col min="11787" max="12030" width="9.109375" style="95"/>
    <col min="12031" max="12031" width="9.44140625" style="95" customWidth="1"/>
    <col min="12032" max="12032" width="102" style="95" customWidth="1"/>
    <col min="12033" max="12033" width="0" style="95" hidden="1" customWidth="1"/>
    <col min="12034" max="12034" width="6.109375" style="95" customWidth="1"/>
    <col min="12035" max="12035" width="15.5546875" style="95" customWidth="1"/>
    <col min="12036" max="12036" width="7.44140625" style="95" customWidth="1"/>
    <col min="12037" max="12037" width="7.6640625" style="95" customWidth="1"/>
    <col min="12038" max="12038" width="6.33203125" style="95" customWidth="1"/>
    <col min="12039" max="12039" width="7.5546875" style="95" customWidth="1"/>
    <col min="12040" max="12040" width="11" style="95" customWidth="1"/>
    <col min="12041" max="12041" width="11.5546875" style="95" customWidth="1"/>
    <col min="12042" max="12042" width="26" style="95" customWidth="1"/>
    <col min="12043" max="12286" width="9.109375" style="95"/>
    <col min="12287" max="12287" width="9.44140625" style="95" customWidth="1"/>
    <col min="12288" max="12288" width="102" style="95" customWidth="1"/>
    <col min="12289" max="12289" width="0" style="95" hidden="1" customWidth="1"/>
    <col min="12290" max="12290" width="6.109375" style="95" customWidth="1"/>
    <col min="12291" max="12291" width="15.5546875" style="95" customWidth="1"/>
    <col min="12292" max="12292" width="7.44140625" style="95" customWidth="1"/>
    <col min="12293" max="12293" width="7.6640625" style="95" customWidth="1"/>
    <col min="12294" max="12294" width="6.33203125" style="95" customWidth="1"/>
    <col min="12295" max="12295" width="7.5546875" style="95" customWidth="1"/>
    <col min="12296" max="12296" width="11" style="95" customWidth="1"/>
    <col min="12297" max="12297" width="11.5546875" style="95" customWidth="1"/>
    <col min="12298" max="12298" width="26" style="95" customWidth="1"/>
    <col min="12299" max="12542" width="9.109375" style="95"/>
    <col min="12543" max="12543" width="9.44140625" style="95" customWidth="1"/>
    <col min="12544" max="12544" width="102" style="95" customWidth="1"/>
    <col min="12545" max="12545" width="0" style="95" hidden="1" customWidth="1"/>
    <col min="12546" max="12546" width="6.109375" style="95" customWidth="1"/>
    <col min="12547" max="12547" width="15.5546875" style="95" customWidth="1"/>
    <col min="12548" max="12548" width="7.44140625" style="95" customWidth="1"/>
    <col min="12549" max="12549" width="7.6640625" style="95" customWidth="1"/>
    <col min="12550" max="12550" width="6.33203125" style="95" customWidth="1"/>
    <col min="12551" max="12551" width="7.5546875" style="95" customWidth="1"/>
    <col min="12552" max="12552" width="11" style="95" customWidth="1"/>
    <col min="12553" max="12553" width="11.5546875" style="95" customWidth="1"/>
    <col min="12554" max="12554" width="26" style="95" customWidth="1"/>
    <col min="12555" max="12798" width="9.109375" style="95"/>
    <col min="12799" max="12799" width="9.44140625" style="95" customWidth="1"/>
    <col min="12800" max="12800" width="102" style="95" customWidth="1"/>
    <col min="12801" max="12801" width="0" style="95" hidden="1" customWidth="1"/>
    <col min="12802" max="12802" width="6.109375" style="95" customWidth="1"/>
    <col min="12803" max="12803" width="15.5546875" style="95" customWidth="1"/>
    <col min="12804" max="12804" width="7.44140625" style="95" customWidth="1"/>
    <col min="12805" max="12805" width="7.6640625" style="95" customWidth="1"/>
    <col min="12806" max="12806" width="6.33203125" style="95" customWidth="1"/>
    <col min="12807" max="12807" width="7.5546875" style="95" customWidth="1"/>
    <col min="12808" max="12808" width="11" style="95" customWidth="1"/>
    <col min="12809" max="12809" width="11.5546875" style="95" customWidth="1"/>
    <col min="12810" max="12810" width="26" style="95" customWidth="1"/>
    <col min="12811" max="13054" width="9.109375" style="95"/>
    <col min="13055" max="13055" width="9.44140625" style="95" customWidth="1"/>
    <col min="13056" max="13056" width="102" style="95" customWidth="1"/>
    <col min="13057" max="13057" width="0" style="95" hidden="1" customWidth="1"/>
    <col min="13058" max="13058" width="6.109375" style="95" customWidth="1"/>
    <col min="13059" max="13059" width="15.5546875" style="95" customWidth="1"/>
    <col min="13060" max="13060" width="7.44140625" style="95" customWidth="1"/>
    <col min="13061" max="13061" width="7.6640625" style="95" customWidth="1"/>
    <col min="13062" max="13062" width="6.33203125" style="95" customWidth="1"/>
    <col min="13063" max="13063" width="7.5546875" style="95" customWidth="1"/>
    <col min="13064" max="13064" width="11" style="95" customWidth="1"/>
    <col min="13065" max="13065" width="11.5546875" style="95" customWidth="1"/>
    <col min="13066" max="13066" width="26" style="95" customWidth="1"/>
    <col min="13067" max="13310" width="9.109375" style="95"/>
    <col min="13311" max="13311" width="9.44140625" style="95" customWidth="1"/>
    <col min="13312" max="13312" width="102" style="95" customWidth="1"/>
    <col min="13313" max="13313" width="0" style="95" hidden="1" customWidth="1"/>
    <col min="13314" max="13314" width="6.109375" style="95" customWidth="1"/>
    <col min="13315" max="13315" width="15.5546875" style="95" customWidth="1"/>
    <col min="13316" max="13316" width="7.44140625" style="95" customWidth="1"/>
    <col min="13317" max="13317" width="7.6640625" style="95" customWidth="1"/>
    <col min="13318" max="13318" width="6.33203125" style="95" customWidth="1"/>
    <col min="13319" max="13319" width="7.5546875" style="95" customWidth="1"/>
    <col min="13320" max="13320" width="11" style="95" customWidth="1"/>
    <col min="13321" max="13321" width="11.5546875" style="95" customWidth="1"/>
    <col min="13322" max="13322" width="26" style="95" customWidth="1"/>
    <col min="13323" max="13566" width="9.109375" style="95"/>
    <col min="13567" max="13567" width="9.44140625" style="95" customWidth="1"/>
    <col min="13568" max="13568" width="102" style="95" customWidth="1"/>
    <col min="13569" max="13569" width="0" style="95" hidden="1" customWidth="1"/>
    <col min="13570" max="13570" width="6.109375" style="95" customWidth="1"/>
    <col min="13571" max="13571" width="15.5546875" style="95" customWidth="1"/>
    <col min="13572" max="13572" width="7.44140625" style="95" customWidth="1"/>
    <col min="13573" max="13573" width="7.6640625" style="95" customWidth="1"/>
    <col min="13574" max="13574" width="6.33203125" style="95" customWidth="1"/>
    <col min="13575" max="13575" width="7.5546875" style="95" customWidth="1"/>
    <col min="13576" max="13576" width="11" style="95" customWidth="1"/>
    <col min="13577" max="13577" width="11.5546875" style="95" customWidth="1"/>
    <col min="13578" max="13578" width="26" style="95" customWidth="1"/>
    <col min="13579" max="13822" width="9.109375" style="95"/>
    <col min="13823" max="13823" width="9.44140625" style="95" customWidth="1"/>
    <col min="13824" max="13824" width="102" style="95" customWidth="1"/>
    <col min="13825" max="13825" width="0" style="95" hidden="1" customWidth="1"/>
    <col min="13826" max="13826" width="6.109375" style="95" customWidth="1"/>
    <col min="13827" max="13827" width="15.5546875" style="95" customWidth="1"/>
    <col min="13828" max="13828" width="7.44140625" style="95" customWidth="1"/>
    <col min="13829" max="13829" width="7.6640625" style="95" customWidth="1"/>
    <col min="13830" max="13830" width="6.33203125" style="95" customWidth="1"/>
    <col min="13831" max="13831" width="7.5546875" style="95" customWidth="1"/>
    <col min="13832" max="13832" width="11" style="95" customWidth="1"/>
    <col min="13833" max="13833" width="11.5546875" style="95" customWidth="1"/>
    <col min="13834" max="13834" width="26" style="95" customWidth="1"/>
    <col min="13835" max="14078" width="9.109375" style="95"/>
    <col min="14079" max="14079" width="9.44140625" style="95" customWidth="1"/>
    <col min="14080" max="14080" width="102" style="95" customWidth="1"/>
    <col min="14081" max="14081" width="0" style="95" hidden="1" customWidth="1"/>
    <col min="14082" max="14082" width="6.109375" style="95" customWidth="1"/>
    <col min="14083" max="14083" width="15.5546875" style="95" customWidth="1"/>
    <col min="14084" max="14084" width="7.44140625" style="95" customWidth="1"/>
    <col min="14085" max="14085" width="7.6640625" style="95" customWidth="1"/>
    <col min="14086" max="14086" width="6.33203125" style="95" customWidth="1"/>
    <col min="14087" max="14087" width="7.5546875" style="95" customWidth="1"/>
    <col min="14088" max="14088" width="11" style="95" customWidth="1"/>
    <col min="14089" max="14089" width="11.5546875" style="95" customWidth="1"/>
    <col min="14090" max="14090" width="26" style="95" customWidth="1"/>
    <col min="14091" max="14334" width="9.109375" style="95"/>
    <col min="14335" max="14335" width="9.44140625" style="95" customWidth="1"/>
    <col min="14336" max="14336" width="102" style="95" customWidth="1"/>
    <col min="14337" max="14337" width="0" style="95" hidden="1" customWidth="1"/>
    <col min="14338" max="14338" width="6.109375" style="95" customWidth="1"/>
    <col min="14339" max="14339" width="15.5546875" style="95" customWidth="1"/>
    <col min="14340" max="14340" width="7.44140625" style="95" customWidth="1"/>
    <col min="14341" max="14341" width="7.6640625" style="95" customWidth="1"/>
    <col min="14342" max="14342" width="6.33203125" style="95" customWidth="1"/>
    <col min="14343" max="14343" width="7.5546875" style="95" customWidth="1"/>
    <col min="14344" max="14344" width="11" style="95" customWidth="1"/>
    <col min="14345" max="14345" width="11.5546875" style="95" customWidth="1"/>
    <col min="14346" max="14346" width="26" style="95" customWidth="1"/>
    <col min="14347" max="14590" width="9.109375" style="95"/>
    <col min="14591" max="14591" width="9.44140625" style="95" customWidth="1"/>
    <col min="14592" max="14592" width="102" style="95" customWidth="1"/>
    <col min="14593" max="14593" width="0" style="95" hidden="1" customWidth="1"/>
    <col min="14594" max="14594" width="6.109375" style="95" customWidth="1"/>
    <col min="14595" max="14595" width="15.5546875" style="95" customWidth="1"/>
    <col min="14596" max="14596" width="7.44140625" style="95" customWidth="1"/>
    <col min="14597" max="14597" width="7.6640625" style="95" customWidth="1"/>
    <col min="14598" max="14598" width="6.33203125" style="95" customWidth="1"/>
    <col min="14599" max="14599" width="7.5546875" style="95" customWidth="1"/>
    <col min="14600" max="14600" width="11" style="95" customWidth="1"/>
    <col min="14601" max="14601" width="11.5546875" style="95" customWidth="1"/>
    <col min="14602" max="14602" width="26" style="95" customWidth="1"/>
    <col min="14603" max="14846" width="9.109375" style="95"/>
    <col min="14847" max="14847" width="9.44140625" style="95" customWidth="1"/>
    <col min="14848" max="14848" width="102" style="95" customWidth="1"/>
    <col min="14849" max="14849" width="0" style="95" hidden="1" customWidth="1"/>
    <col min="14850" max="14850" width="6.109375" style="95" customWidth="1"/>
    <col min="14851" max="14851" width="15.5546875" style="95" customWidth="1"/>
    <col min="14852" max="14852" width="7.44140625" style="95" customWidth="1"/>
    <col min="14853" max="14853" width="7.6640625" style="95" customWidth="1"/>
    <col min="14854" max="14854" width="6.33203125" style="95" customWidth="1"/>
    <col min="14855" max="14855" width="7.5546875" style="95" customWidth="1"/>
    <col min="14856" max="14856" width="11" style="95" customWidth="1"/>
    <col min="14857" max="14857" width="11.5546875" style="95" customWidth="1"/>
    <col min="14858" max="14858" width="26" style="95" customWidth="1"/>
    <col min="14859" max="15102" width="9.109375" style="95"/>
    <col min="15103" max="15103" width="9.44140625" style="95" customWidth="1"/>
    <col min="15104" max="15104" width="102" style="95" customWidth="1"/>
    <col min="15105" max="15105" width="0" style="95" hidden="1" customWidth="1"/>
    <col min="15106" max="15106" width="6.109375" style="95" customWidth="1"/>
    <col min="15107" max="15107" width="15.5546875" style="95" customWidth="1"/>
    <col min="15108" max="15108" width="7.44140625" style="95" customWidth="1"/>
    <col min="15109" max="15109" width="7.6640625" style="95" customWidth="1"/>
    <col min="15110" max="15110" width="6.33203125" style="95" customWidth="1"/>
    <col min="15111" max="15111" width="7.5546875" style="95" customWidth="1"/>
    <col min="15112" max="15112" width="11" style="95" customWidth="1"/>
    <col min="15113" max="15113" width="11.5546875" style="95" customWidth="1"/>
    <col min="15114" max="15114" width="26" style="95" customWidth="1"/>
    <col min="15115" max="15358" width="9.109375" style="95"/>
    <col min="15359" max="15359" width="9.44140625" style="95" customWidth="1"/>
    <col min="15360" max="15360" width="102" style="95" customWidth="1"/>
    <col min="15361" max="15361" width="0" style="95" hidden="1" customWidth="1"/>
    <col min="15362" max="15362" width="6.109375" style="95" customWidth="1"/>
    <col min="15363" max="15363" width="15.5546875" style="95" customWidth="1"/>
    <col min="15364" max="15364" width="7.44140625" style="95" customWidth="1"/>
    <col min="15365" max="15365" width="7.6640625" style="95" customWidth="1"/>
    <col min="15366" max="15366" width="6.33203125" style="95" customWidth="1"/>
    <col min="15367" max="15367" width="7.5546875" style="95" customWidth="1"/>
    <col min="15368" max="15368" width="11" style="95" customWidth="1"/>
    <col min="15369" max="15369" width="11.5546875" style="95" customWidth="1"/>
    <col min="15370" max="15370" width="26" style="95" customWidth="1"/>
    <col min="15371" max="15614" width="9.109375" style="95"/>
    <col min="15615" max="15615" width="9.44140625" style="95" customWidth="1"/>
    <col min="15616" max="15616" width="102" style="95" customWidth="1"/>
    <col min="15617" max="15617" width="0" style="95" hidden="1" customWidth="1"/>
    <col min="15618" max="15618" width="6.109375" style="95" customWidth="1"/>
    <col min="15619" max="15619" width="15.5546875" style="95" customWidth="1"/>
    <col min="15620" max="15620" width="7.44140625" style="95" customWidth="1"/>
    <col min="15621" max="15621" width="7.6640625" style="95" customWidth="1"/>
    <col min="15622" max="15622" width="6.33203125" style="95" customWidth="1"/>
    <col min="15623" max="15623" width="7.5546875" style="95" customWidth="1"/>
    <col min="15624" max="15624" width="11" style="95" customWidth="1"/>
    <col min="15625" max="15625" width="11.5546875" style="95" customWidth="1"/>
    <col min="15626" max="15626" width="26" style="95" customWidth="1"/>
    <col min="15627" max="15870" width="9.109375" style="95"/>
    <col min="15871" max="15871" width="9.44140625" style="95" customWidth="1"/>
    <col min="15872" max="15872" width="102" style="95" customWidth="1"/>
    <col min="15873" max="15873" width="0" style="95" hidden="1" customWidth="1"/>
    <col min="15874" max="15874" width="6.109375" style="95" customWidth="1"/>
    <col min="15875" max="15875" width="15.5546875" style="95" customWidth="1"/>
    <col min="15876" max="15876" width="7.44140625" style="95" customWidth="1"/>
    <col min="15877" max="15877" width="7.6640625" style="95" customWidth="1"/>
    <col min="15878" max="15878" width="6.33203125" style="95" customWidth="1"/>
    <col min="15879" max="15879" width="7.5546875" style="95" customWidth="1"/>
    <col min="15880" max="15880" width="11" style="95" customWidth="1"/>
    <col min="15881" max="15881" width="11.5546875" style="95" customWidth="1"/>
    <col min="15882" max="15882" width="26" style="95" customWidth="1"/>
    <col min="15883" max="16126" width="9.109375" style="95"/>
    <col min="16127" max="16127" width="9.44140625" style="95" customWidth="1"/>
    <col min="16128" max="16128" width="102" style="95" customWidth="1"/>
    <col min="16129" max="16129" width="0" style="95" hidden="1" customWidth="1"/>
    <col min="16130" max="16130" width="6.109375" style="95" customWidth="1"/>
    <col min="16131" max="16131" width="15.5546875" style="95" customWidth="1"/>
    <col min="16132" max="16132" width="7.44140625" style="95" customWidth="1"/>
    <col min="16133" max="16133" width="7.6640625" style="95" customWidth="1"/>
    <col min="16134" max="16134" width="6.33203125" style="95" customWidth="1"/>
    <col min="16135" max="16135" width="7.5546875" style="95" customWidth="1"/>
    <col min="16136" max="16136" width="11" style="95" customWidth="1"/>
    <col min="16137" max="16137" width="11.5546875" style="95" customWidth="1"/>
    <col min="16138" max="16138" width="26" style="95" customWidth="1"/>
    <col min="16139" max="16382" width="9.109375" style="95"/>
    <col min="16383" max="16384" width="9.109375" style="95" customWidth="1"/>
  </cols>
  <sheetData>
    <row r="1" spans="1:12" s="14" customFormat="1" ht="19.95" customHeight="1">
      <c r="A1" s="294" t="s">
        <v>90</v>
      </c>
      <c r="B1" s="294"/>
      <c r="C1" s="294"/>
      <c r="D1" s="294"/>
      <c r="E1" s="294"/>
      <c r="F1" s="294"/>
      <c r="G1" s="294"/>
      <c r="H1" s="294"/>
      <c r="I1" s="294"/>
    </row>
    <row r="2" spans="1:12" s="14" customFormat="1" ht="19.95" customHeight="1">
      <c r="A2" s="295" t="s">
        <v>91</v>
      </c>
      <c r="B2" s="295"/>
      <c r="C2" s="295"/>
      <c r="D2" s="295"/>
      <c r="E2" s="295"/>
      <c r="F2" s="295"/>
      <c r="G2" s="295"/>
      <c r="H2" s="295"/>
      <c r="I2" s="295"/>
    </row>
    <row r="3" spans="1:12" s="9" customFormat="1" ht="19.95" customHeight="1">
      <c r="A3" s="9" t="str">
        <f>底稿目录!A2</f>
        <v>被审计单位：</v>
      </c>
      <c r="C3" s="9" t="str">
        <f>底稿目录!A4</f>
        <v>编制人：</v>
      </c>
      <c r="E3" s="9" t="str">
        <f>底稿目录!A5</f>
        <v>编制日期：</v>
      </c>
      <c r="H3" s="36" t="s">
        <v>131</v>
      </c>
      <c r="I3" s="255" t="str">
        <f>底稿目录!D5</f>
        <v>K5A</v>
      </c>
    </row>
    <row r="4" spans="1:12" s="9" customFormat="1" ht="19.95" customHeight="1">
      <c r="A4" s="9" t="str">
        <f>底稿目录!A3</f>
        <v>截止日：202X年12月31日</v>
      </c>
      <c r="C4" s="106" t="str">
        <f>底稿目录!A6</f>
        <v>复核人：</v>
      </c>
      <c r="E4" s="9" t="str">
        <f>底稿目录!A7</f>
        <v>复核日期：</v>
      </c>
      <c r="H4" s="36" t="s">
        <v>31</v>
      </c>
      <c r="I4" s="16"/>
    </row>
    <row r="5" spans="1:12" ht="19.95" customHeight="1">
      <c r="A5" s="296" t="s">
        <v>143</v>
      </c>
      <c r="B5" s="296"/>
    </row>
    <row r="6" spans="1:12" ht="19.95" customHeight="1">
      <c r="A6" s="276" t="s">
        <v>92</v>
      </c>
      <c r="B6" s="234"/>
      <c r="C6" s="234"/>
      <c r="D6" s="234"/>
      <c r="E6" s="234"/>
      <c r="F6" s="234"/>
      <c r="G6" s="234"/>
      <c r="H6" s="234"/>
      <c r="I6" s="234"/>
    </row>
    <row r="7" spans="1:12" s="9" customFormat="1" ht="19.95" customHeight="1">
      <c r="A7" s="154" t="s">
        <v>144</v>
      </c>
      <c r="B7" s="24"/>
      <c r="C7" s="96"/>
    </row>
    <row r="8" spans="1:12" s="9" customFormat="1" ht="19.95" customHeight="1">
      <c r="A8" s="301" t="s">
        <v>145</v>
      </c>
      <c r="B8" s="301"/>
      <c r="C8" s="301"/>
      <c r="D8" s="301"/>
      <c r="E8" s="301"/>
      <c r="F8" s="301"/>
      <c r="G8" s="297" t="s">
        <v>93</v>
      </c>
      <c r="H8" s="297"/>
      <c r="I8" s="297"/>
    </row>
    <row r="9" spans="1:12" s="9" customFormat="1" ht="19.95" customHeight="1">
      <c r="A9" s="308" t="s">
        <v>253</v>
      </c>
      <c r="B9" s="308"/>
      <c r="C9" s="308"/>
      <c r="D9" s="308"/>
      <c r="E9" s="308"/>
      <c r="F9" s="308"/>
      <c r="G9" s="298" t="s">
        <v>146</v>
      </c>
      <c r="H9" s="298"/>
      <c r="I9" s="298"/>
    </row>
    <row r="10" spans="1:12" s="9" customFormat="1" ht="19.95" customHeight="1">
      <c r="A10" s="308" t="s">
        <v>254</v>
      </c>
      <c r="B10" s="308"/>
      <c r="C10" s="308"/>
      <c r="D10" s="308"/>
      <c r="E10" s="308"/>
      <c r="F10" s="308"/>
      <c r="G10" s="298" t="s">
        <v>147</v>
      </c>
      <c r="H10" s="298"/>
      <c r="I10" s="298"/>
    </row>
    <row r="11" spans="1:12" s="9" customFormat="1" ht="19.95" customHeight="1">
      <c r="A11" s="308" t="s">
        <v>255</v>
      </c>
      <c r="B11" s="308"/>
      <c r="C11" s="308"/>
      <c r="D11" s="308"/>
      <c r="E11" s="308"/>
      <c r="F11" s="308"/>
      <c r="G11" s="298" t="s">
        <v>148</v>
      </c>
      <c r="H11" s="298"/>
      <c r="I11" s="298"/>
    </row>
    <row r="12" spans="1:12" s="9" customFormat="1" ht="19.95" customHeight="1">
      <c r="A12" s="308" t="s">
        <v>316</v>
      </c>
      <c r="B12" s="308"/>
      <c r="C12" s="308"/>
      <c r="D12" s="308"/>
      <c r="E12" s="308"/>
      <c r="F12" s="308"/>
      <c r="G12" s="298" t="s">
        <v>164</v>
      </c>
      <c r="H12" s="298"/>
      <c r="I12" s="298"/>
    </row>
    <row r="13" spans="1:12" s="9" customFormat="1" ht="19.95" customHeight="1">
      <c r="A13" s="308" t="s">
        <v>256</v>
      </c>
      <c r="B13" s="308"/>
      <c r="C13" s="308"/>
      <c r="D13" s="308"/>
      <c r="E13" s="308"/>
      <c r="F13" s="308"/>
      <c r="G13" s="298" t="s">
        <v>167</v>
      </c>
      <c r="H13" s="298"/>
      <c r="I13" s="298"/>
    </row>
    <row r="14" spans="1:12" s="9" customFormat="1" ht="19.95" customHeight="1">
      <c r="A14" s="296" t="s">
        <v>94</v>
      </c>
      <c r="B14" s="302"/>
      <c r="C14" s="96"/>
      <c r="J14" s="237"/>
      <c r="K14" s="238"/>
      <c r="L14" s="238"/>
    </row>
    <row r="15" spans="1:12" s="9" customFormat="1" ht="32.25" customHeight="1">
      <c r="A15" s="305" t="s">
        <v>149</v>
      </c>
      <c r="B15" s="307" t="s">
        <v>323</v>
      </c>
      <c r="C15" s="299" t="s">
        <v>95</v>
      </c>
      <c r="D15" s="303" t="s">
        <v>150</v>
      </c>
      <c r="E15" s="304"/>
      <c r="F15" s="304"/>
      <c r="G15" s="304"/>
      <c r="H15" s="304"/>
      <c r="I15" s="301" t="s">
        <v>214</v>
      </c>
      <c r="J15" s="97"/>
      <c r="K15" s="97"/>
      <c r="L15" s="97"/>
    </row>
    <row r="16" spans="1:12" s="23" customFormat="1" ht="35.4" customHeight="1">
      <c r="A16" s="306"/>
      <c r="B16" s="307"/>
      <c r="C16" s="300"/>
      <c r="D16" s="155" t="s">
        <v>151</v>
      </c>
      <c r="E16" s="155" t="s">
        <v>152</v>
      </c>
      <c r="F16" s="156" t="s">
        <v>153</v>
      </c>
      <c r="G16" s="156" t="s">
        <v>164</v>
      </c>
      <c r="H16" s="156" t="s">
        <v>168</v>
      </c>
      <c r="I16" s="301"/>
      <c r="J16" s="278" t="s">
        <v>322</v>
      </c>
      <c r="K16" s="98"/>
      <c r="L16" s="99"/>
    </row>
    <row r="17" spans="1:12" s="23" customFormat="1" ht="68.400000000000006" customHeight="1">
      <c r="A17" s="235" t="s">
        <v>97</v>
      </c>
      <c r="B17" s="161" t="s">
        <v>257</v>
      </c>
      <c r="C17" s="158" t="s">
        <v>96</v>
      </c>
      <c r="D17" s="168" t="s">
        <v>157</v>
      </c>
      <c r="E17" s="168" t="s">
        <v>157</v>
      </c>
      <c r="F17" s="167"/>
      <c r="G17" s="178" t="s">
        <v>172</v>
      </c>
      <c r="H17" s="167"/>
      <c r="I17" s="164" t="s">
        <v>303</v>
      </c>
      <c r="J17" s="98"/>
      <c r="K17" s="98"/>
      <c r="L17" s="99"/>
    </row>
    <row r="18" spans="1:12" s="107" customFormat="1" ht="49.2" customHeight="1">
      <c r="A18" s="235" t="s">
        <v>158</v>
      </c>
      <c r="B18" s="163" t="s">
        <v>165</v>
      </c>
      <c r="C18" s="159" t="s">
        <v>154</v>
      </c>
      <c r="D18" s="162"/>
      <c r="E18" s="179" t="s">
        <v>157</v>
      </c>
      <c r="F18" s="162"/>
      <c r="G18" s="168" t="s">
        <v>157</v>
      </c>
      <c r="H18" s="180"/>
      <c r="I18" s="165" t="s">
        <v>304</v>
      </c>
      <c r="J18" s="207" t="s">
        <v>215</v>
      </c>
    </row>
    <row r="19" spans="1:12" s="23" customFormat="1" ht="58.8" customHeight="1">
      <c r="A19" s="235" t="s">
        <v>159</v>
      </c>
      <c r="B19" s="163" t="s">
        <v>258</v>
      </c>
      <c r="C19" s="158" t="s">
        <v>98</v>
      </c>
      <c r="D19" s="168" t="s">
        <v>183</v>
      </c>
      <c r="E19" s="178" t="s">
        <v>183</v>
      </c>
      <c r="F19" s="168" t="s">
        <v>183</v>
      </c>
      <c r="G19" s="168" t="s">
        <v>183</v>
      </c>
      <c r="H19" s="180"/>
      <c r="I19" s="164"/>
      <c r="J19" s="208" t="s">
        <v>216</v>
      </c>
      <c r="K19" s="101"/>
      <c r="L19" s="99"/>
    </row>
    <row r="20" spans="1:12" s="23" customFormat="1" ht="40.200000000000003" customHeight="1">
      <c r="A20" s="235" t="s">
        <v>160</v>
      </c>
      <c r="B20" s="163" t="s">
        <v>260</v>
      </c>
      <c r="C20" s="158" t="s">
        <v>96</v>
      </c>
      <c r="D20" s="168" t="s">
        <v>156</v>
      </c>
      <c r="E20" s="168" t="s">
        <v>156</v>
      </c>
      <c r="F20" s="167"/>
      <c r="G20" s="168" t="s">
        <v>184</v>
      </c>
      <c r="H20" s="167"/>
      <c r="I20" s="164" t="s">
        <v>307</v>
      </c>
      <c r="J20" s="100"/>
      <c r="K20" s="98"/>
      <c r="L20" s="99"/>
    </row>
    <row r="21" spans="1:12" s="9" customFormat="1" ht="58.8" customHeight="1">
      <c r="A21" s="235" t="s">
        <v>161</v>
      </c>
      <c r="B21" s="157" t="s">
        <v>272</v>
      </c>
      <c r="C21" s="158" t="s">
        <v>98</v>
      </c>
      <c r="D21" s="168" t="s">
        <v>174</v>
      </c>
      <c r="E21" s="178" t="s">
        <v>155</v>
      </c>
      <c r="F21" s="168" t="s">
        <v>157</v>
      </c>
      <c r="G21" s="168" t="s">
        <v>174</v>
      </c>
      <c r="H21" s="167"/>
      <c r="I21" s="164" t="s">
        <v>259</v>
      </c>
      <c r="J21" s="98"/>
      <c r="K21" s="98"/>
      <c r="L21" s="98"/>
    </row>
    <row r="22" spans="1:12" s="9" customFormat="1" ht="87" customHeight="1">
      <c r="A22" s="235" t="s">
        <v>162</v>
      </c>
      <c r="B22" s="157" t="s">
        <v>271</v>
      </c>
      <c r="C22" s="158" t="s">
        <v>98</v>
      </c>
      <c r="D22" s="168" t="s">
        <v>174</v>
      </c>
      <c r="E22" s="178" t="s">
        <v>155</v>
      </c>
      <c r="F22" s="168" t="s">
        <v>157</v>
      </c>
      <c r="G22" s="168" t="s">
        <v>174</v>
      </c>
      <c r="H22" s="167"/>
      <c r="I22" s="164" t="s">
        <v>305</v>
      </c>
      <c r="J22" s="98"/>
      <c r="K22" s="98"/>
      <c r="L22" s="98"/>
    </row>
    <row r="23" spans="1:12" s="9" customFormat="1" ht="82.2" customHeight="1">
      <c r="A23" s="235" t="s">
        <v>163</v>
      </c>
      <c r="B23" s="157" t="s">
        <v>270</v>
      </c>
      <c r="C23" s="158" t="s">
        <v>98</v>
      </c>
      <c r="D23" s="168" t="s">
        <v>174</v>
      </c>
      <c r="E23" s="178" t="s">
        <v>155</v>
      </c>
      <c r="F23" s="168" t="s">
        <v>157</v>
      </c>
      <c r="G23" s="168" t="s">
        <v>174</v>
      </c>
      <c r="H23" s="167"/>
      <c r="I23" s="164" t="s">
        <v>306</v>
      </c>
      <c r="J23" s="98"/>
      <c r="K23" s="98"/>
      <c r="L23" s="98"/>
    </row>
    <row r="24" spans="1:12" s="9" customFormat="1" ht="128.4" customHeight="1">
      <c r="A24" s="235" t="s">
        <v>166</v>
      </c>
      <c r="B24" s="157" t="s">
        <v>261</v>
      </c>
      <c r="C24" s="158" t="s">
        <v>98</v>
      </c>
      <c r="D24" s="168" t="s">
        <v>155</v>
      </c>
      <c r="E24" s="178" t="s">
        <v>155</v>
      </c>
      <c r="F24" s="168" t="s">
        <v>157</v>
      </c>
      <c r="G24" s="178" t="s">
        <v>174</v>
      </c>
      <c r="H24" s="168" t="s">
        <v>155</v>
      </c>
      <c r="I24" s="164" t="s">
        <v>217</v>
      </c>
      <c r="J24" s="98"/>
      <c r="K24" s="98"/>
      <c r="L24" s="98"/>
    </row>
    <row r="25" spans="1:12" s="9" customFormat="1" ht="52.2" customHeight="1">
      <c r="A25" s="235" t="s">
        <v>179</v>
      </c>
      <c r="B25" s="157" t="s">
        <v>262</v>
      </c>
      <c r="C25" s="158" t="s">
        <v>98</v>
      </c>
      <c r="D25" s="168" t="s">
        <v>155</v>
      </c>
      <c r="E25" s="178" t="s">
        <v>155</v>
      </c>
      <c r="F25" s="168" t="s">
        <v>155</v>
      </c>
      <c r="G25" s="178" t="s">
        <v>155</v>
      </c>
      <c r="H25" s="168"/>
      <c r="I25" s="164"/>
      <c r="J25" s="98"/>
      <c r="K25" s="98"/>
      <c r="L25" s="98"/>
    </row>
    <row r="26" spans="1:12" s="9" customFormat="1" ht="57.6" customHeight="1">
      <c r="A26" s="235" t="s">
        <v>180</v>
      </c>
      <c r="B26" s="157" t="s">
        <v>263</v>
      </c>
      <c r="C26" s="158" t="s">
        <v>96</v>
      </c>
      <c r="D26" s="168"/>
      <c r="E26" s="178" t="s">
        <v>155</v>
      </c>
      <c r="F26" s="168"/>
      <c r="G26" s="178"/>
      <c r="H26" s="168"/>
      <c r="I26" s="164"/>
      <c r="J26" s="98"/>
      <c r="K26" s="98"/>
      <c r="L26" s="98"/>
    </row>
    <row r="27" spans="1:12" s="23" customFormat="1" ht="124.8" customHeight="1">
      <c r="A27" s="235" t="s">
        <v>181</v>
      </c>
      <c r="B27" s="166" t="s">
        <v>269</v>
      </c>
      <c r="C27" s="158" t="s">
        <v>96</v>
      </c>
      <c r="D27" s="168" t="s">
        <v>173</v>
      </c>
      <c r="E27" s="178" t="s">
        <v>173</v>
      </c>
      <c r="F27" s="168" t="s">
        <v>173</v>
      </c>
      <c r="G27" s="178" t="s">
        <v>173</v>
      </c>
      <c r="H27" s="168" t="s">
        <v>173</v>
      </c>
      <c r="I27" s="164"/>
      <c r="J27" s="98"/>
      <c r="K27" s="98"/>
      <c r="L27" s="99"/>
    </row>
    <row r="28" spans="1:12" s="9" customFormat="1" ht="32.4" customHeight="1">
      <c r="A28" s="235" t="s">
        <v>182</v>
      </c>
      <c r="B28" s="163" t="s">
        <v>264</v>
      </c>
      <c r="C28" s="158" t="s">
        <v>96</v>
      </c>
      <c r="D28" s="178" t="s">
        <v>174</v>
      </c>
      <c r="E28" s="168"/>
      <c r="F28" s="168" t="s">
        <v>175</v>
      </c>
      <c r="G28" s="168" t="s">
        <v>174</v>
      </c>
      <c r="H28" s="167"/>
      <c r="I28" s="164" t="s">
        <v>218</v>
      </c>
      <c r="J28" s="98"/>
      <c r="K28" s="98"/>
      <c r="L28" s="98"/>
    </row>
    <row r="29" spans="1:12" s="9" customFormat="1" ht="36.6" customHeight="1">
      <c r="A29" s="235" t="s">
        <v>267</v>
      </c>
      <c r="B29" s="236" t="s">
        <v>265</v>
      </c>
      <c r="C29" s="168" t="s">
        <v>302</v>
      </c>
      <c r="D29" s="181"/>
      <c r="E29" s="181"/>
      <c r="F29" s="181"/>
      <c r="G29" s="181"/>
      <c r="H29" s="182"/>
      <c r="I29" s="164"/>
      <c r="J29" s="98"/>
      <c r="K29" s="98"/>
      <c r="L29" s="98"/>
    </row>
    <row r="30" spans="1:12" s="9" customFormat="1" ht="33" customHeight="1">
      <c r="A30" s="235" t="s">
        <v>268</v>
      </c>
      <c r="B30" s="236" t="s">
        <v>266</v>
      </c>
      <c r="C30" s="158" t="s">
        <v>96</v>
      </c>
      <c r="D30" s="160"/>
      <c r="E30" s="160"/>
      <c r="F30" s="160"/>
      <c r="G30" s="160"/>
      <c r="H30" s="162" t="s">
        <v>155</v>
      </c>
      <c r="I30" s="209" t="s">
        <v>219</v>
      </c>
      <c r="J30" s="98"/>
      <c r="K30" s="98"/>
      <c r="L30" s="98"/>
    </row>
    <row r="31" spans="1:12" s="9" customFormat="1" ht="27.75" customHeight="1">
      <c r="A31" s="102"/>
      <c r="B31" s="103"/>
      <c r="C31" s="104"/>
      <c r="D31" s="55"/>
      <c r="E31" s="55"/>
      <c r="F31" s="55"/>
      <c r="G31" s="55"/>
      <c r="H31" s="55"/>
      <c r="I31" s="55"/>
      <c r="J31" s="98"/>
      <c r="K31" s="98"/>
      <c r="L31" s="98"/>
    </row>
    <row r="32" spans="1:12" ht="24" customHeight="1"/>
    <row r="33" spans="1:1">
      <c r="A33" s="95"/>
    </row>
    <row r="34" spans="1:1">
      <c r="A34" s="95"/>
    </row>
    <row r="35" spans="1:1">
      <c r="A35" s="95"/>
    </row>
  </sheetData>
  <mergeCells count="21">
    <mergeCell ref="G12:I12"/>
    <mergeCell ref="G13:I13"/>
    <mergeCell ref="A8:F8"/>
    <mergeCell ref="A9:F9"/>
    <mergeCell ref="A10:F10"/>
    <mergeCell ref="A11:F11"/>
    <mergeCell ref="A12:F12"/>
    <mergeCell ref="A13:F13"/>
    <mergeCell ref="G11:I11"/>
    <mergeCell ref="G10:I10"/>
    <mergeCell ref="C15:C16"/>
    <mergeCell ref="I15:I16"/>
    <mergeCell ref="A14:B14"/>
    <mergeCell ref="D15:H15"/>
    <mergeCell ref="A15:A16"/>
    <mergeCell ref="B15:B16"/>
    <mergeCell ref="A1:I1"/>
    <mergeCell ref="A2:I2"/>
    <mergeCell ref="A5:B5"/>
    <mergeCell ref="G8:I8"/>
    <mergeCell ref="G9:I9"/>
  </mergeCells>
  <phoneticPr fontId="57"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2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5"/>
  <sheetViews>
    <sheetView view="pageBreakPreview" zoomScaleSheetLayoutView="100" workbookViewId="0">
      <selection sqref="A1:L1"/>
    </sheetView>
  </sheetViews>
  <sheetFormatPr defaultColWidth="9.109375" defaultRowHeight="23.25" customHeight="1"/>
  <cols>
    <col min="1" max="1" width="19.33203125" style="2" customWidth="1"/>
    <col min="2" max="9" width="11.5546875" style="2" customWidth="1"/>
    <col min="10" max="11" width="13.109375" style="2" customWidth="1"/>
    <col min="12" max="12" width="14.5546875" style="2" customWidth="1"/>
    <col min="13" max="13" width="13.5546875" style="2" customWidth="1"/>
    <col min="14" max="14" width="9.44140625" style="2" customWidth="1"/>
    <col min="15" max="15" width="5.88671875" style="2" customWidth="1"/>
    <col min="16" max="17" width="9.109375" style="2"/>
    <col min="18" max="18" width="6.109375" style="2" customWidth="1"/>
    <col min="19" max="16384" width="9.109375" style="2"/>
  </cols>
  <sheetData>
    <row r="1" spans="1:12" s="1" customFormat="1" ht="20.100000000000001" customHeight="1">
      <c r="A1" s="312" t="s">
        <v>0</v>
      </c>
      <c r="B1" s="312"/>
      <c r="C1" s="312"/>
      <c r="D1" s="312"/>
      <c r="E1" s="312"/>
      <c r="F1" s="312"/>
      <c r="G1" s="312"/>
      <c r="H1" s="312"/>
      <c r="I1" s="312"/>
      <c r="J1" s="312"/>
      <c r="K1" s="312"/>
      <c r="L1" s="312"/>
    </row>
    <row r="2" spans="1:12" s="1" customFormat="1" ht="24.9" customHeight="1">
      <c r="A2" s="313" t="s">
        <v>25</v>
      </c>
      <c r="B2" s="313"/>
      <c r="C2" s="313"/>
      <c r="D2" s="313"/>
      <c r="E2" s="313"/>
      <c r="F2" s="313"/>
      <c r="G2" s="313"/>
      <c r="H2" s="313"/>
      <c r="I2" s="313"/>
      <c r="J2" s="313"/>
      <c r="K2" s="313"/>
      <c r="L2" s="313"/>
    </row>
    <row r="3" spans="1:12" ht="20.100000000000001" customHeight="1">
      <c r="A3" s="2" t="str">
        <f>底稿目录!A2</f>
        <v>被审计单位：</v>
      </c>
      <c r="D3" s="3" t="str">
        <f>底稿目录!A4</f>
        <v>编制人：</v>
      </c>
      <c r="I3" s="57" t="str">
        <f>底稿目录!A5</f>
        <v>编制日期：</v>
      </c>
      <c r="K3" s="142" t="s">
        <v>136</v>
      </c>
      <c r="L3" s="255" t="str">
        <f>底稿目录!D6</f>
        <v>K5-1</v>
      </c>
    </row>
    <row r="4" spans="1:12" ht="20.100000000000001" customHeight="1">
      <c r="A4" s="2" t="str">
        <f>底稿目录!A3</f>
        <v>截止日：202X年12月31日</v>
      </c>
      <c r="B4" s="4"/>
      <c r="D4" s="112" t="str">
        <f>底稿目录!A6</f>
        <v>复核人：</v>
      </c>
      <c r="I4" s="57" t="str">
        <f>底稿目录!A7</f>
        <v>复核日期：</v>
      </c>
      <c r="K4" s="142" t="s">
        <v>137</v>
      </c>
      <c r="L4" s="141">
        <v>1</v>
      </c>
    </row>
    <row r="5" spans="1:12" ht="30.75" customHeight="1">
      <c r="A5" s="310" t="s">
        <v>11</v>
      </c>
      <c r="B5" s="314" t="s">
        <v>12</v>
      </c>
      <c r="C5" s="315"/>
      <c r="D5" s="315"/>
      <c r="E5" s="316"/>
      <c r="F5" s="314" t="s">
        <v>13</v>
      </c>
      <c r="G5" s="315"/>
      <c r="H5" s="315"/>
      <c r="I5" s="316"/>
      <c r="J5" s="317" t="s">
        <v>14</v>
      </c>
      <c r="K5" s="318"/>
      <c r="L5" s="319" t="s">
        <v>15</v>
      </c>
    </row>
    <row r="6" spans="1:12" ht="20.100000000000001" customHeight="1">
      <c r="A6" s="311"/>
      <c r="B6" s="40" t="s">
        <v>16</v>
      </c>
      <c r="C6" s="40" t="s">
        <v>17</v>
      </c>
      <c r="D6" s="40" t="s">
        <v>18</v>
      </c>
      <c r="E6" s="40" t="s">
        <v>19</v>
      </c>
      <c r="F6" s="40" t="s">
        <v>16</v>
      </c>
      <c r="G6" s="40" t="s">
        <v>17</v>
      </c>
      <c r="H6" s="40" t="s">
        <v>18</v>
      </c>
      <c r="I6" s="40" t="s">
        <v>19</v>
      </c>
      <c r="J6" s="41" t="s">
        <v>21</v>
      </c>
      <c r="K6" s="42" t="s">
        <v>20</v>
      </c>
      <c r="L6" s="320"/>
    </row>
    <row r="7" spans="1:12" s="5" customFormat="1" ht="20.100000000000001" customHeight="1">
      <c r="A7" s="56" t="str">
        <f>'明细表 K5-2'!A13</f>
        <v>弃置费用</v>
      </c>
      <c r="B7" s="143">
        <f>'明细表 K5-2'!C13</f>
        <v>0</v>
      </c>
      <c r="C7" s="143">
        <f>'明细表 K5-2'!G13</f>
        <v>0</v>
      </c>
      <c r="D7" s="143">
        <f>'明细表 K5-2'!H13</f>
        <v>0</v>
      </c>
      <c r="E7" s="241">
        <f>B7+C7+D7</f>
        <v>0</v>
      </c>
      <c r="F7" s="241">
        <f>'明细表 K5-2'!F13</f>
        <v>0</v>
      </c>
      <c r="G7" s="241">
        <f>'明细表 K5-2'!G13+'明细表 K5-2'!I13-'明细表 K5-2'!J13</f>
        <v>0</v>
      </c>
      <c r="H7" s="241">
        <f>'明细表 K5-2'!H13+'明细表 K5-2'!K13-'明细表 K5-2'!L13</f>
        <v>0</v>
      </c>
      <c r="I7" s="241">
        <f>F7+G7+H7</f>
        <v>0</v>
      </c>
      <c r="J7" s="259">
        <f>I7-E7</f>
        <v>0</v>
      </c>
      <c r="K7" s="146">
        <f t="shared" ref="K7:K15" si="0">IF(AND(E7=0,J7=0),0,IF(AND(E7=0,J7&gt;0),1,J7/E7))</f>
        <v>0</v>
      </c>
      <c r="L7" s="43"/>
    </row>
    <row r="8" spans="1:12" s="5" customFormat="1" ht="20.100000000000001" customHeight="1">
      <c r="A8" s="56" t="str">
        <f>'明细表 K5-2'!A14</f>
        <v>对外提供担保</v>
      </c>
      <c r="B8" s="143">
        <f>'明细表 K5-2'!C14</f>
        <v>0</v>
      </c>
      <c r="C8" s="143">
        <f>'明细表 K5-2'!G14</f>
        <v>0</v>
      </c>
      <c r="D8" s="143">
        <f>'明细表 K5-2'!H14</f>
        <v>0</v>
      </c>
      <c r="E8" s="241">
        <f t="shared" ref="E8:E14" si="1">B8+C8+D8</f>
        <v>0</v>
      </c>
      <c r="F8" s="241">
        <f>'明细表 K5-2'!F14</f>
        <v>0</v>
      </c>
      <c r="G8" s="241">
        <f>'明细表 K5-2'!G14+'明细表 K5-2'!I14-'明细表 K5-2'!J14</f>
        <v>0</v>
      </c>
      <c r="H8" s="241">
        <f>'明细表 K5-2'!H14+'明细表 K5-2'!K14-'明细表 K5-2'!L14</f>
        <v>0</v>
      </c>
      <c r="I8" s="241">
        <f t="shared" ref="I8:I14" si="2">F8+G8+H8</f>
        <v>0</v>
      </c>
      <c r="J8" s="259">
        <f t="shared" ref="J8:J14" si="3">I8-E8</f>
        <v>0</v>
      </c>
      <c r="K8" s="146">
        <f t="shared" si="0"/>
        <v>0</v>
      </c>
      <c r="L8" s="43"/>
    </row>
    <row r="9" spans="1:12" s="5" customFormat="1" ht="20.100000000000001" customHeight="1">
      <c r="A9" s="56" t="str">
        <f>'明细表 K5-2'!A15</f>
        <v>未决诉讼</v>
      </c>
      <c r="B9" s="143">
        <f>'明细表 K5-2'!C15</f>
        <v>0</v>
      </c>
      <c r="C9" s="143">
        <f>'明细表 K5-2'!G15</f>
        <v>0</v>
      </c>
      <c r="D9" s="143">
        <f>'明细表 K5-2'!H15</f>
        <v>0</v>
      </c>
      <c r="E9" s="241">
        <f t="shared" si="1"/>
        <v>0</v>
      </c>
      <c r="F9" s="241">
        <f>'明细表 K5-2'!F15</f>
        <v>0</v>
      </c>
      <c r="G9" s="241">
        <f>'明细表 K5-2'!G15+'明细表 K5-2'!I15-'明细表 K5-2'!J15</f>
        <v>0</v>
      </c>
      <c r="H9" s="241">
        <f>'明细表 K5-2'!H15+'明细表 K5-2'!K15-'明细表 K5-2'!L15</f>
        <v>0</v>
      </c>
      <c r="I9" s="241">
        <f t="shared" si="2"/>
        <v>0</v>
      </c>
      <c r="J9" s="259">
        <f t="shared" si="3"/>
        <v>0</v>
      </c>
      <c r="K9" s="146">
        <f t="shared" si="0"/>
        <v>0</v>
      </c>
      <c r="L9" s="43"/>
    </row>
    <row r="10" spans="1:12" s="5" customFormat="1" ht="20.100000000000001" customHeight="1">
      <c r="A10" s="56" t="str">
        <f>'明细表 K5-2'!A16</f>
        <v>产品质量保证</v>
      </c>
      <c r="B10" s="143">
        <f>'明细表 K5-2'!C16</f>
        <v>0</v>
      </c>
      <c r="C10" s="143">
        <f>'明细表 K5-2'!G16</f>
        <v>0</v>
      </c>
      <c r="D10" s="143">
        <f>'明细表 K5-2'!H16</f>
        <v>0</v>
      </c>
      <c r="E10" s="241">
        <f t="shared" si="1"/>
        <v>0</v>
      </c>
      <c r="F10" s="241">
        <f>'明细表 K5-2'!F16</f>
        <v>0</v>
      </c>
      <c r="G10" s="241">
        <f>'明细表 K5-2'!G16+'明细表 K5-2'!I16-'明细表 K5-2'!J16</f>
        <v>0</v>
      </c>
      <c r="H10" s="241">
        <f>'明细表 K5-2'!H16+'明细表 K5-2'!K16-'明细表 K5-2'!L16</f>
        <v>0</v>
      </c>
      <c r="I10" s="241">
        <f t="shared" si="2"/>
        <v>0</v>
      </c>
      <c r="J10" s="259">
        <f t="shared" si="3"/>
        <v>0</v>
      </c>
      <c r="K10" s="146">
        <f t="shared" si="0"/>
        <v>0</v>
      </c>
      <c r="L10" s="43"/>
    </row>
    <row r="11" spans="1:12" s="5" customFormat="1" ht="20.100000000000001" customHeight="1">
      <c r="A11" s="56" t="str">
        <f>'明细表 K5-2'!A17</f>
        <v>重组义务</v>
      </c>
      <c r="B11" s="143">
        <f>'明细表 K5-2'!C17</f>
        <v>0</v>
      </c>
      <c r="C11" s="143">
        <f>'明细表 K5-2'!G17</f>
        <v>0</v>
      </c>
      <c r="D11" s="143">
        <f>'明细表 K5-2'!H17</f>
        <v>0</v>
      </c>
      <c r="E11" s="241">
        <f t="shared" si="1"/>
        <v>0</v>
      </c>
      <c r="F11" s="241">
        <f>'明细表 K5-2'!F17</f>
        <v>0</v>
      </c>
      <c r="G11" s="241">
        <f>'明细表 K5-2'!G17+'明细表 K5-2'!I17-'明细表 K5-2'!J17</f>
        <v>0</v>
      </c>
      <c r="H11" s="241">
        <f>'明细表 K5-2'!H17+'明细表 K5-2'!K17-'明细表 K5-2'!L17</f>
        <v>0</v>
      </c>
      <c r="I11" s="241">
        <f t="shared" si="2"/>
        <v>0</v>
      </c>
      <c r="J11" s="259">
        <f t="shared" si="3"/>
        <v>0</v>
      </c>
      <c r="K11" s="146">
        <f t="shared" si="0"/>
        <v>0</v>
      </c>
      <c r="L11" s="43"/>
    </row>
    <row r="12" spans="1:12" s="5" customFormat="1" ht="20.100000000000001" customHeight="1">
      <c r="A12" s="56" t="str">
        <f>'明细表 K5-2'!A18</f>
        <v>待执行的亏损合同</v>
      </c>
      <c r="B12" s="143">
        <f>'明细表 K5-2'!C18</f>
        <v>0</v>
      </c>
      <c r="C12" s="143">
        <f>'明细表 K5-2'!G18</f>
        <v>0</v>
      </c>
      <c r="D12" s="143">
        <f>'明细表 K5-2'!H18</f>
        <v>0</v>
      </c>
      <c r="E12" s="241">
        <f t="shared" si="1"/>
        <v>0</v>
      </c>
      <c r="F12" s="241">
        <f>'明细表 K5-2'!F18</f>
        <v>0</v>
      </c>
      <c r="G12" s="241">
        <f>'明细表 K5-2'!G18+'明细表 K5-2'!I18-'明细表 K5-2'!J18</f>
        <v>0</v>
      </c>
      <c r="H12" s="241">
        <f>'明细表 K5-2'!H18+'明细表 K5-2'!K18-'明细表 K5-2'!L18</f>
        <v>0</v>
      </c>
      <c r="I12" s="241">
        <f t="shared" si="2"/>
        <v>0</v>
      </c>
      <c r="J12" s="259">
        <f t="shared" si="3"/>
        <v>0</v>
      </c>
      <c r="K12" s="146">
        <f t="shared" si="0"/>
        <v>0</v>
      </c>
      <c r="L12" s="43"/>
    </row>
    <row r="13" spans="1:12" s="5" customFormat="1" ht="20.100000000000001" customHeight="1">
      <c r="A13" s="56" t="str">
        <f>'明细表 K5-2'!A19</f>
        <v>应付退货款</v>
      </c>
      <c r="B13" s="143">
        <f>'明细表 K5-2'!C19</f>
        <v>0</v>
      </c>
      <c r="C13" s="143">
        <f>'明细表 K5-2'!G19</f>
        <v>0</v>
      </c>
      <c r="D13" s="143">
        <f>'明细表 K5-2'!H19</f>
        <v>0</v>
      </c>
      <c r="E13" s="241">
        <f t="shared" si="1"/>
        <v>0</v>
      </c>
      <c r="F13" s="241">
        <f>'明细表 K5-2'!F19</f>
        <v>0</v>
      </c>
      <c r="G13" s="241">
        <f>'明细表 K5-2'!G19+'明细表 K5-2'!I19-'明细表 K5-2'!J19</f>
        <v>0</v>
      </c>
      <c r="H13" s="241">
        <f>'明细表 K5-2'!H19+'明细表 K5-2'!K19-'明细表 K5-2'!L19</f>
        <v>0</v>
      </c>
      <c r="I13" s="241">
        <f t="shared" si="2"/>
        <v>0</v>
      </c>
      <c r="J13" s="259">
        <f t="shared" si="3"/>
        <v>0</v>
      </c>
      <c r="K13" s="146">
        <f t="shared" si="0"/>
        <v>0</v>
      </c>
      <c r="L13" s="43"/>
    </row>
    <row r="14" spans="1:12" s="5" customFormat="1" ht="20.100000000000001" customHeight="1">
      <c r="A14" s="56" t="str">
        <f>'明细表 K5-2'!A20</f>
        <v>其他</v>
      </c>
      <c r="B14" s="143">
        <f>'明细表 K5-2'!C20</f>
        <v>0</v>
      </c>
      <c r="C14" s="143">
        <f>'明细表 K5-2'!G20</f>
        <v>0</v>
      </c>
      <c r="D14" s="143">
        <f>'明细表 K5-2'!H20</f>
        <v>0</v>
      </c>
      <c r="E14" s="241">
        <f t="shared" si="1"/>
        <v>0</v>
      </c>
      <c r="F14" s="241">
        <f>'明细表 K5-2'!F20</f>
        <v>0</v>
      </c>
      <c r="G14" s="241">
        <f>'明细表 K5-2'!G20+'明细表 K5-2'!I20-'明细表 K5-2'!J20</f>
        <v>0</v>
      </c>
      <c r="H14" s="241">
        <f>'明细表 K5-2'!H20+'明细表 K5-2'!K20-'明细表 K5-2'!L20</f>
        <v>0</v>
      </c>
      <c r="I14" s="241">
        <f t="shared" si="2"/>
        <v>0</v>
      </c>
      <c r="J14" s="259">
        <f t="shared" si="3"/>
        <v>0</v>
      </c>
      <c r="K14" s="146">
        <f t="shared" si="0"/>
        <v>0</v>
      </c>
      <c r="L14" s="43"/>
    </row>
    <row r="15" spans="1:12" s="33" customFormat="1" ht="20.100000000000001" customHeight="1">
      <c r="A15" s="44" t="s">
        <v>22</v>
      </c>
      <c r="B15" s="143">
        <f>SUM(B7:B14)</f>
        <v>0</v>
      </c>
      <c r="C15" s="143">
        <f t="shared" ref="C15:I15" si="4">SUM(C7:C14)</f>
        <v>0</v>
      </c>
      <c r="D15" s="143">
        <f t="shared" si="4"/>
        <v>0</v>
      </c>
      <c r="E15" s="143">
        <f t="shared" si="4"/>
        <v>0</v>
      </c>
      <c r="F15" s="143">
        <f t="shared" si="4"/>
        <v>0</v>
      </c>
      <c r="G15" s="143">
        <f t="shared" si="4"/>
        <v>0</v>
      </c>
      <c r="H15" s="143">
        <f t="shared" si="4"/>
        <v>0</v>
      </c>
      <c r="I15" s="143">
        <f t="shared" si="4"/>
        <v>0</v>
      </c>
      <c r="J15" s="145">
        <f>I15-E15</f>
        <v>0</v>
      </c>
      <c r="K15" s="146">
        <f t="shared" si="0"/>
        <v>0</v>
      </c>
      <c r="L15" s="43"/>
    </row>
    <row r="16" spans="1:12" s="33" customFormat="1" ht="20.100000000000001" customHeight="1">
      <c r="A16" s="120" t="s">
        <v>124</v>
      </c>
      <c r="B16" s="122"/>
      <c r="C16" s="122"/>
      <c r="D16" s="122"/>
      <c r="E16" s="122"/>
      <c r="F16" s="122"/>
      <c r="G16" s="122"/>
      <c r="H16" s="122"/>
      <c r="I16" s="122"/>
      <c r="J16" s="122"/>
      <c r="K16" s="122"/>
      <c r="L16" s="43"/>
    </row>
    <row r="17" spans="1:12" s="33" customFormat="1" ht="20.100000000000001" customHeight="1">
      <c r="A17" s="120" t="s">
        <v>125</v>
      </c>
      <c r="B17" s="143">
        <f>B15-B16</f>
        <v>0</v>
      </c>
      <c r="C17" s="143">
        <f t="shared" ref="C17:I17" si="5">C15-C16</f>
        <v>0</v>
      </c>
      <c r="D17" s="143">
        <f t="shared" si="5"/>
        <v>0</v>
      </c>
      <c r="E17" s="143">
        <f t="shared" si="5"/>
        <v>0</v>
      </c>
      <c r="F17" s="143">
        <f t="shared" si="5"/>
        <v>0</v>
      </c>
      <c r="G17" s="143">
        <f t="shared" si="5"/>
        <v>0</v>
      </c>
      <c r="H17" s="143">
        <f t="shared" si="5"/>
        <v>0</v>
      </c>
      <c r="I17" s="143">
        <f t="shared" si="5"/>
        <v>0</v>
      </c>
      <c r="J17" s="143">
        <f t="shared" ref="J17:K17" si="6">J15-J16</f>
        <v>0</v>
      </c>
      <c r="K17" s="143">
        <f t="shared" si="6"/>
        <v>0</v>
      </c>
      <c r="L17" s="43"/>
    </row>
    <row r="18" spans="1:12" ht="20.100000000000001" customHeight="1">
      <c r="A18" s="119" t="s">
        <v>244</v>
      </c>
      <c r="B18" s="45"/>
      <c r="C18" s="45"/>
      <c r="D18" s="45"/>
      <c r="E18" s="45"/>
      <c r="F18" s="46"/>
      <c r="G18" s="46"/>
      <c r="H18" s="45"/>
      <c r="I18" s="47"/>
      <c r="J18" s="47"/>
      <c r="K18" s="47"/>
      <c r="L18" s="47"/>
    </row>
    <row r="19" spans="1:12" ht="20.100000000000001" customHeight="1">
      <c r="A19" s="48" t="s">
        <v>26</v>
      </c>
      <c r="B19" s="49"/>
      <c r="C19" s="49"/>
      <c r="D19" s="50"/>
      <c r="E19" s="50"/>
      <c r="F19" s="309"/>
      <c r="G19" s="309"/>
      <c r="H19" s="309"/>
    </row>
    <row r="20" spans="1:12" ht="20.100000000000001" customHeight="1">
      <c r="A20" s="48" t="s">
        <v>23</v>
      </c>
      <c r="B20" s="49"/>
      <c r="C20" s="49"/>
      <c r="D20" s="49"/>
      <c r="E20" s="49"/>
      <c r="F20" s="49"/>
      <c r="G20" s="49"/>
      <c r="H20" s="49"/>
    </row>
    <row r="21" spans="1:12" ht="20.100000000000001" customHeight="1">
      <c r="A21" s="48"/>
      <c r="B21" s="49"/>
      <c r="C21" s="49"/>
      <c r="D21" s="49"/>
      <c r="E21" s="49"/>
      <c r="F21" s="49"/>
      <c r="G21" s="49"/>
      <c r="H21" s="49"/>
    </row>
    <row r="22" spans="1:12" ht="20.100000000000001" customHeight="1">
      <c r="A22" s="51" t="s">
        <v>24</v>
      </c>
      <c r="B22" s="49"/>
      <c r="C22" s="49"/>
      <c r="D22" s="49"/>
      <c r="E22" s="49"/>
      <c r="F22" s="49"/>
      <c r="G22" s="49"/>
      <c r="H22" s="49"/>
    </row>
    <row r="23" spans="1:12" ht="20.100000000000001" customHeight="1">
      <c r="B23" s="52"/>
      <c r="C23" s="52"/>
      <c r="D23" s="52"/>
      <c r="E23" s="52"/>
      <c r="F23" s="52"/>
      <c r="G23" s="52"/>
      <c r="H23" s="52"/>
    </row>
    <row r="24" spans="1:12" ht="20.100000000000001" customHeight="1">
      <c r="A24" s="119" t="s">
        <v>204</v>
      </c>
      <c r="B24" s="52"/>
      <c r="C24" s="52"/>
      <c r="D24" s="52"/>
      <c r="E24" s="52"/>
      <c r="F24" s="52"/>
      <c r="G24" s="52"/>
      <c r="H24" s="52"/>
    </row>
    <row r="25" spans="1:12" ht="20.100000000000001" customHeight="1">
      <c r="A25" s="48"/>
      <c r="B25" s="49"/>
      <c r="C25" s="49"/>
      <c r="D25" s="49"/>
      <c r="E25" s="49"/>
      <c r="F25" s="49"/>
      <c r="G25" s="49"/>
      <c r="H25" s="49"/>
    </row>
  </sheetData>
  <mergeCells count="8">
    <mergeCell ref="F19:H19"/>
    <mergeCell ref="A5:A6"/>
    <mergeCell ref="A1:L1"/>
    <mergeCell ref="A2:L2"/>
    <mergeCell ref="B5:E5"/>
    <mergeCell ref="F5:I5"/>
    <mergeCell ref="J5:K5"/>
    <mergeCell ref="L5:L6"/>
  </mergeCells>
  <phoneticPr fontId="5" type="noConversion"/>
  <hyperlinks>
    <hyperlink ref="L3" location="底稿目录!A1" display="底稿目录!A1"/>
  </hyperlinks>
  <printOptions horizontalCentered="1"/>
  <pageMargins left="0.74803149606299213" right="0.35433070866141736" top="0.59055118110236227" bottom="0.27559055118110237" header="0.51181102362204722" footer="0.19685039370078741"/>
  <pageSetup paperSize="9" scale="9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18"/>
  <sheetViews>
    <sheetView view="pageBreakPreview" zoomScaleSheetLayoutView="100" workbookViewId="0">
      <selection activeCell="H11" sqref="H11"/>
    </sheetView>
  </sheetViews>
  <sheetFormatPr defaultColWidth="9.109375" defaultRowHeight="15.6"/>
  <cols>
    <col min="1" max="1" width="23.5546875" style="67" bestFit="1" customWidth="1"/>
    <col min="2" max="2" width="13.88671875" style="67" customWidth="1"/>
    <col min="3" max="3" width="20.33203125" style="67" customWidth="1"/>
    <col min="4" max="4" width="11.33203125" style="67" customWidth="1"/>
    <col min="5" max="5" width="7.88671875" style="67" customWidth="1"/>
    <col min="6" max="16384" width="9.109375" style="67"/>
  </cols>
  <sheetData>
    <row r="1" spans="1:12" s="84" customFormat="1" ht="19.95" customHeight="1">
      <c r="A1" s="321" t="s">
        <v>0</v>
      </c>
      <c r="B1" s="321"/>
      <c r="C1" s="321"/>
      <c r="D1" s="321"/>
      <c r="E1" s="321"/>
      <c r="F1" s="53"/>
      <c r="G1" s="53"/>
      <c r="H1" s="53"/>
      <c r="I1" s="53"/>
      <c r="J1" s="53"/>
      <c r="K1" s="53"/>
      <c r="L1" s="53"/>
    </row>
    <row r="2" spans="1:12" s="84" customFormat="1" ht="19.95" customHeight="1">
      <c r="A2" s="322" t="s">
        <v>1</v>
      </c>
      <c r="B2" s="322"/>
      <c r="C2" s="322"/>
      <c r="D2" s="322"/>
      <c r="E2" s="322"/>
      <c r="F2" s="85"/>
      <c r="G2" s="85"/>
      <c r="H2" s="85"/>
      <c r="I2" s="85"/>
      <c r="J2" s="85"/>
      <c r="K2" s="85"/>
      <c r="L2" s="85"/>
    </row>
    <row r="3" spans="1:12" s="84" customFormat="1" ht="19.95" customHeight="1">
      <c r="A3" s="2" t="str">
        <f>底稿目录!A2</f>
        <v>被审计单位：</v>
      </c>
      <c r="B3" s="2" t="str">
        <f>底稿目录!A4</f>
        <v>编制人：</v>
      </c>
      <c r="C3" s="2" t="str">
        <f>底稿目录!A5</f>
        <v>编制日期：</v>
      </c>
      <c r="D3" s="142" t="s">
        <v>135</v>
      </c>
      <c r="E3" s="2">
        <f>底稿目录!D7</f>
        <v>0</v>
      </c>
      <c r="I3" s="33"/>
      <c r="J3" s="33"/>
      <c r="L3" s="33"/>
    </row>
    <row r="4" spans="1:12" s="84" customFormat="1" ht="19.95" customHeight="1">
      <c r="A4" s="2" t="str">
        <f>底稿目录!A3</f>
        <v>截止日：202X年12月31日</v>
      </c>
      <c r="B4" s="2" t="str">
        <f>底稿目录!A6</f>
        <v>复核人：</v>
      </c>
      <c r="C4" s="2" t="str">
        <f>底稿目录!A7</f>
        <v>复核日期：</v>
      </c>
      <c r="D4" s="142" t="s">
        <v>138</v>
      </c>
      <c r="E4" s="4">
        <v>1</v>
      </c>
      <c r="I4" s="33"/>
      <c r="J4" s="33"/>
      <c r="L4" s="86"/>
    </row>
    <row r="5" spans="1:12" s="87" customFormat="1" ht="19.95" customHeight="1" thickBot="1">
      <c r="A5" s="127" t="s">
        <v>9</v>
      </c>
      <c r="B5" s="128"/>
      <c r="C5" s="128"/>
      <c r="D5" s="128"/>
      <c r="E5" s="129"/>
    </row>
    <row r="6" spans="1:12" s="87" customFormat="1" ht="19.95" customHeight="1" thickBot="1">
      <c r="A6" s="130" t="s">
        <v>128</v>
      </c>
      <c r="B6" s="131" t="s">
        <v>3</v>
      </c>
      <c r="C6" s="131" t="s">
        <v>2</v>
      </c>
      <c r="D6" s="131" t="s">
        <v>10</v>
      </c>
      <c r="E6" s="129"/>
    </row>
    <row r="7" spans="1:12" s="87" customFormat="1" ht="19.95" customHeight="1">
      <c r="A7" s="132" t="str">
        <f>'审定表 K5-1'!A7</f>
        <v>弃置费用</v>
      </c>
      <c r="B7" s="136">
        <f>'明细表 K5-2'!P13</f>
        <v>0</v>
      </c>
      <c r="C7" s="137">
        <f>'明细表 K5-2'!M13</f>
        <v>0</v>
      </c>
      <c r="D7" s="138">
        <f>'明细表 K5-2'!B13</f>
        <v>0</v>
      </c>
      <c r="E7" s="129"/>
    </row>
    <row r="8" spans="1:12" s="87" customFormat="1" ht="19.95" customHeight="1">
      <c r="A8" s="132" t="str">
        <f>'审定表 K5-1'!A8</f>
        <v>对外提供担保</v>
      </c>
      <c r="B8" s="136">
        <f>'明细表 K5-2'!P14</f>
        <v>0</v>
      </c>
      <c r="C8" s="137">
        <f>'明细表 K5-2'!M14</f>
        <v>0</v>
      </c>
      <c r="D8" s="138">
        <f>'明细表 K5-2'!B14</f>
        <v>0</v>
      </c>
      <c r="E8" s="129"/>
    </row>
    <row r="9" spans="1:12" s="87" customFormat="1" ht="19.95" customHeight="1">
      <c r="A9" s="132" t="str">
        <f>'审定表 K5-1'!A9</f>
        <v>未决诉讼</v>
      </c>
      <c r="B9" s="136">
        <f>'明细表 K5-2'!P15</f>
        <v>0</v>
      </c>
      <c r="C9" s="137">
        <f>'明细表 K5-2'!M15</f>
        <v>0</v>
      </c>
      <c r="D9" s="138">
        <f>'明细表 K5-2'!B15</f>
        <v>0</v>
      </c>
      <c r="E9" s="129"/>
    </row>
    <row r="10" spans="1:12" s="87" customFormat="1" ht="19.95" customHeight="1">
      <c r="A10" s="132" t="str">
        <f>'审定表 K5-1'!A10</f>
        <v>产品质量保证</v>
      </c>
      <c r="B10" s="136">
        <f>'明细表 K5-2'!P16</f>
        <v>0</v>
      </c>
      <c r="C10" s="137">
        <f>'明细表 K5-2'!M16</f>
        <v>0</v>
      </c>
      <c r="D10" s="138">
        <f>'明细表 K5-2'!B16</f>
        <v>0</v>
      </c>
      <c r="E10" s="129"/>
    </row>
    <row r="11" spans="1:12" s="87" customFormat="1" ht="19.95" customHeight="1">
      <c r="A11" s="132" t="str">
        <f>'审定表 K5-1'!A11</f>
        <v>重组义务</v>
      </c>
      <c r="B11" s="136">
        <f>'明细表 K5-2'!P17</f>
        <v>0</v>
      </c>
      <c r="C11" s="137">
        <f>'明细表 K5-2'!M17</f>
        <v>0</v>
      </c>
      <c r="D11" s="138">
        <f>'明细表 K5-2'!B17</f>
        <v>0</v>
      </c>
      <c r="E11" s="129"/>
    </row>
    <row r="12" spans="1:12" s="87" customFormat="1" ht="19.95" customHeight="1">
      <c r="A12" s="132" t="str">
        <f>'审定表 K5-1'!A12</f>
        <v>待执行的亏损合同</v>
      </c>
      <c r="B12" s="136">
        <f>'明细表 K5-2'!P18</f>
        <v>0</v>
      </c>
      <c r="C12" s="137">
        <f>'明细表 K5-2'!M18</f>
        <v>0</v>
      </c>
      <c r="D12" s="138">
        <f>'明细表 K5-2'!B18</f>
        <v>0</v>
      </c>
      <c r="E12" s="129"/>
    </row>
    <row r="13" spans="1:12" s="87" customFormat="1" ht="19.95" customHeight="1">
      <c r="A13" s="132" t="str">
        <f>'审定表 K5-1'!A13</f>
        <v>应付退货款</v>
      </c>
      <c r="B13" s="136">
        <f>'明细表 K5-2'!P19</f>
        <v>0</v>
      </c>
      <c r="C13" s="137">
        <f>'明细表 K5-2'!M19</f>
        <v>0</v>
      </c>
      <c r="D13" s="138">
        <f>'明细表 K5-2'!B19</f>
        <v>0</v>
      </c>
      <c r="E13" s="129"/>
    </row>
    <row r="14" spans="1:12" s="87" customFormat="1" ht="19.95" customHeight="1" thickBot="1">
      <c r="A14" s="132" t="str">
        <f>'审定表 K5-1'!A14</f>
        <v>其他</v>
      </c>
      <c r="B14" s="136">
        <f>'明细表 K5-2'!P20</f>
        <v>0</v>
      </c>
      <c r="C14" s="137">
        <f>'明细表 K5-2'!M20</f>
        <v>0</v>
      </c>
      <c r="D14" s="138">
        <f>'明细表 K5-2'!B20</f>
        <v>0</v>
      </c>
      <c r="E14" s="129"/>
    </row>
    <row r="15" spans="1:12" s="87" customFormat="1" ht="19.95" customHeight="1" thickBot="1">
      <c r="A15" s="133" t="s">
        <v>129</v>
      </c>
      <c r="B15" s="139">
        <f>SUM(B7:B14)</f>
        <v>0</v>
      </c>
      <c r="C15" s="139">
        <f>SUM(C7:C14)</f>
        <v>0</v>
      </c>
      <c r="D15" s="140"/>
      <c r="E15" s="129"/>
    </row>
    <row r="16" spans="1:12" s="87" customFormat="1" ht="19.95" customHeight="1">
      <c r="A16" s="134" t="s">
        <v>130</v>
      </c>
      <c r="B16" s="128"/>
      <c r="C16" s="128"/>
      <c r="D16" s="128"/>
      <c r="E16" s="129"/>
    </row>
    <row r="17" s="87" customFormat="1" ht="12"/>
    <row r="18" s="87" customFormat="1" ht="12"/>
  </sheetData>
  <mergeCells count="2">
    <mergeCell ref="A1:E1"/>
    <mergeCell ref="A2:E2"/>
  </mergeCells>
  <phoneticPr fontId="5" type="noConversion"/>
  <pageMargins left="0.70866141732283472" right="0.70866141732283472" top="0.74803149606299213" bottom="0.74803149606299213" header="0.31496062992125984" footer="0.31496062992125984"/>
  <pageSetup paperSize="9"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31"/>
  <sheetViews>
    <sheetView showGridLines="0" view="pageBreakPreview" zoomScaleNormal="100" zoomScaleSheetLayoutView="100" workbookViewId="0">
      <selection activeCell="G19" sqref="G19"/>
    </sheetView>
  </sheetViews>
  <sheetFormatPr defaultColWidth="9" defaultRowHeight="20.25" customHeight="1"/>
  <cols>
    <col min="1" max="1" width="25" style="125" customWidth="1"/>
    <col min="2" max="2" width="21" style="125" customWidth="1"/>
    <col min="3" max="3" width="20" style="125" customWidth="1"/>
    <col min="4" max="4" width="20.21875" style="125" customWidth="1"/>
    <col min="5" max="5" width="5.6640625" style="125" customWidth="1"/>
    <col min="6" max="6" width="20.21875" style="125" customWidth="1"/>
    <col min="7" max="12" width="17" style="125" customWidth="1"/>
    <col min="13" max="13" width="22.5546875" style="125" customWidth="1"/>
    <col min="14" max="14" width="17" style="125" customWidth="1"/>
    <col min="15" max="15" width="19.5546875" style="125" customWidth="1"/>
    <col min="16" max="18" width="17" style="125" customWidth="1"/>
    <col min="19" max="19" width="9" style="125" customWidth="1"/>
    <col min="20" max="16384" width="9" style="125"/>
  </cols>
  <sheetData>
    <row r="1" spans="1:14" s="124" customFormat="1" ht="19.95" customHeight="1">
      <c r="A1" s="321" t="s">
        <v>0</v>
      </c>
      <c r="B1" s="321"/>
      <c r="C1" s="321"/>
      <c r="D1" s="321"/>
      <c r="E1" s="321"/>
      <c r="F1" s="53"/>
      <c r="G1" s="123"/>
      <c r="H1" s="123"/>
      <c r="I1" s="123"/>
      <c r="J1" s="123"/>
      <c r="K1" s="123"/>
      <c r="L1" s="123"/>
      <c r="M1" s="123"/>
      <c r="N1" s="123"/>
    </row>
    <row r="2" spans="1:14" ht="19.95" customHeight="1">
      <c r="A2" s="322" t="s">
        <v>127</v>
      </c>
      <c r="B2" s="322"/>
      <c r="C2" s="322"/>
      <c r="D2" s="322"/>
      <c r="E2" s="322"/>
      <c r="F2" s="85"/>
    </row>
    <row r="3" spans="1:14" ht="19.95" customHeight="1">
      <c r="A3" s="2" t="str">
        <f>底稿目录!A2</f>
        <v>被审计单位：</v>
      </c>
      <c r="B3" s="135" t="str">
        <f>底稿目录!A4</f>
        <v>编制人：</v>
      </c>
      <c r="C3" s="2" t="str">
        <f>底稿目录!A5</f>
        <v>编制日期：</v>
      </c>
      <c r="D3" s="142" t="s">
        <v>135</v>
      </c>
      <c r="E3" s="2">
        <f>底稿目录!D8</f>
        <v>0</v>
      </c>
    </row>
    <row r="4" spans="1:14" ht="19.95" customHeight="1">
      <c r="A4" s="2" t="str">
        <f>底稿目录!A3</f>
        <v>截止日：202X年12月31日</v>
      </c>
      <c r="B4" s="2" t="str">
        <f>底稿目录!A6</f>
        <v>复核人：</v>
      </c>
      <c r="C4" s="2" t="str">
        <f>底稿目录!A7</f>
        <v>复核日期：</v>
      </c>
      <c r="D4" s="142" t="s">
        <v>139</v>
      </c>
      <c r="E4" s="4">
        <v>1</v>
      </c>
    </row>
    <row r="5" spans="1:14" ht="19.95" customHeight="1" thickBot="1">
      <c r="A5" s="127" t="s">
        <v>9</v>
      </c>
      <c r="B5" s="128"/>
      <c r="C5" s="128"/>
      <c r="D5" s="129"/>
      <c r="E5" s="129"/>
    </row>
    <row r="6" spans="1:14" ht="19.95" customHeight="1" thickBot="1">
      <c r="A6" s="130" t="s">
        <v>128</v>
      </c>
      <c r="B6" s="131" t="s">
        <v>3</v>
      </c>
      <c r="C6" s="131" t="s">
        <v>2</v>
      </c>
      <c r="D6" s="131" t="s">
        <v>10</v>
      </c>
      <c r="E6" s="147"/>
    </row>
    <row r="7" spans="1:14" ht="19.95" customHeight="1">
      <c r="A7" s="132" t="str">
        <f>'审定表 K5-1'!A7</f>
        <v>弃置费用</v>
      </c>
      <c r="B7" s="136">
        <f>'明细表 K5-2'!P13</f>
        <v>0</v>
      </c>
      <c r="C7" s="137">
        <f>'明细表 K5-2'!M13</f>
        <v>0</v>
      </c>
      <c r="D7" s="138">
        <f>'明细表 K5-2'!B13</f>
        <v>0</v>
      </c>
      <c r="E7" s="138"/>
    </row>
    <row r="8" spans="1:14" ht="19.95" customHeight="1">
      <c r="A8" s="132" t="str">
        <f>'审定表 K5-1'!A8</f>
        <v>对外提供担保</v>
      </c>
      <c r="B8" s="136">
        <f>'明细表 K5-2'!P14</f>
        <v>0</v>
      </c>
      <c r="C8" s="137">
        <f>'明细表 K5-2'!M14</f>
        <v>0</v>
      </c>
      <c r="D8" s="138">
        <f>'明细表 K5-2'!B14</f>
        <v>0</v>
      </c>
      <c r="E8" s="138"/>
    </row>
    <row r="9" spans="1:14" ht="19.95" customHeight="1">
      <c r="A9" s="132" t="str">
        <f>'审定表 K5-1'!A9</f>
        <v>未决诉讼</v>
      </c>
      <c r="B9" s="136">
        <f>'明细表 K5-2'!P15</f>
        <v>0</v>
      </c>
      <c r="C9" s="137">
        <f>'明细表 K5-2'!M15</f>
        <v>0</v>
      </c>
      <c r="D9" s="138">
        <f>'明细表 K5-2'!B15</f>
        <v>0</v>
      </c>
      <c r="E9" s="138"/>
    </row>
    <row r="10" spans="1:14" ht="19.95" customHeight="1">
      <c r="A10" s="132" t="str">
        <f>'审定表 K5-1'!A10</f>
        <v>产品质量保证</v>
      </c>
      <c r="B10" s="136">
        <f>'明细表 K5-2'!P16</f>
        <v>0</v>
      </c>
      <c r="C10" s="137">
        <f>'明细表 K5-2'!M16</f>
        <v>0</v>
      </c>
      <c r="D10" s="138">
        <f>'明细表 K5-2'!B16</f>
        <v>0</v>
      </c>
      <c r="E10" s="138"/>
    </row>
    <row r="11" spans="1:14" ht="19.95" customHeight="1">
      <c r="A11" s="132" t="str">
        <f>'审定表 K5-1'!A11</f>
        <v>重组义务</v>
      </c>
      <c r="B11" s="136">
        <f>'明细表 K5-2'!P17</f>
        <v>0</v>
      </c>
      <c r="C11" s="137">
        <f>'明细表 K5-2'!M17</f>
        <v>0</v>
      </c>
      <c r="D11" s="138">
        <f>'明细表 K5-2'!B17</f>
        <v>0</v>
      </c>
      <c r="E11" s="138"/>
    </row>
    <row r="12" spans="1:14" ht="19.95" customHeight="1">
      <c r="A12" s="132" t="str">
        <f>'审定表 K5-1'!A12</f>
        <v>待执行的亏损合同</v>
      </c>
      <c r="B12" s="136">
        <f>'明细表 K5-2'!P18</f>
        <v>0</v>
      </c>
      <c r="C12" s="137">
        <f>'明细表 K5-2'!M18</f>
        <v>0</v>
      </c>
      <c r="D12" s="138">
        <f>'明细表 K5-2'!B18</f>
        <v>0</v>
      </c>
      <c r="E12" s="138"/>
    </row>
    <row r="13" spans="1:14" ht="19.95" customHeight="1">
      <c r="A13" s="132" t="str">
        <f>'审定表 K5-1'!A13</f>
        <v>应付退货款</v>
      </c>
      <c r="B13" s="136">
        <f>'明细表 K5-2'!P19</f>
        <v>0</v>
      </c>
      <c r="C13" s="137">
        <f>'明细表 K5-2'!M19</f>
        <v>0</v>
      </c>
      <c r="D13" s="138">
        <f>'明细表 K5-2'!B19</f>
        <v>0</v>
      </c>
      <c r="E13" s="138"/>
    </row>
    <row r="14" spans="1:14" ht="19.95" customHeight="1" thickBot="1">
      <c r="A14" s="132" t="str">
        <f>'审定表 K5-1'!A14</f>
        <v>其他</v>
      </c>
      <c r="B14" s="136">
        <f>'明细表 K5-2'!P20</f>
        <v>0</v>
      </c>
      <c r="C14" s="137">
        <f>'明细表 K5-2'!M20</f>
        <v>0</v>
      </c>
      <c r="D14" s="138">
        <f>'明细表 K5-2'!B20</f>
        <v>0</v>
      </c>
      <c r="E14" s="138"/>
    </row>
    <row r="15" spans="1:14" ht="19.95" customHeight="1" thickBot="1">
      <c r="A15" s="133" t="s">
        <v>129</v>
      </c>
      <c r="B15" s="139">
        <f>SUM(B7:B14)</f>
        <v>0</v>
      </c>
      <c r="C15" s="139">
        <f>SUM(C7:C14)</f>
        <v>0</v>
      </c>
      <c r="D15" s="140"/>
      <c r="E15" s="148"/>
    </row>
    <row r="16" spans="1:14" ht="12"/>
    <row r="17" spans="4:5" ht="12"/>
    <row r="18" spans="4:5" ht="12"/>
    <row r="19" spans="4:5" ht="12"/>
    <row r="20" spans="4:5" ht="12"/>
    <row r="21" spans="4:5" ht="12"/>
    <row r="22" spans="4:5" ht="12"/>
    <row r="23" spans="4:5" ht="12"/>
    <row r="24" spans="4:5" ht="12"/>
    <row r="25" spans="4:5" ht="12"/>
    <row r="26" spans="4:5" ht="12"/>
    <row r="27" spans="4:5" ht="12"/>
    <row r="28" spans="4:5" ht="12"/>
    <row r="29" spans="4:5" ht="12"/>
    <row r="30" spans="4:5" ht="12"/>
    <row r="31" spans="4:5" ht="12">
      <c r="D31" s="126"/>
      <c r="E31" s="126"/>
    </row>
  </sheetData>
  <mergeCells count="2">
    <mergeCell ref="A1:E1"/>
    <mergeCell ref="A2:E2"/>
  </mergeCells>
  <phoneticPr fontId="57" type="noConversion"/>
  <pageMargins left="0.7" right="0.7" top="0.75" bottom="0.75" header="0.3" footer="0.3"/>
  <pageSetup paperSize="9" scale="9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W44"/>
  <sheetViews>
    <sheetView view="pageBreakPreview" zoomScaleNormal="115" zoomScaleSheetLayoutView="100" workbookViewId="0">
      <selection sqref="A1:Q1"/>
    </sheetView>
  </sheetViews>
  <sheetFormatPr defaultColWidth="9.109375" defaultRowHeight="15.6"/>
  <cols>
    <col min="1" max="1" width="19.88671875" style="6" customWidth="1"/>
    <col min="2" max="2" width="19.44140625" style="6" customWidth="1"/>
    <col min="3" max="6" width="10.44140625" style="6" customWidth="1"/>
    <col min="7" max="7" width="10.88671875" style="6" customWidth="1"/>
    <col min="8" max="8" width="12.44140625" style="6" customWidth="1"/>
    <col min="9" max="12" width="10.6640625" style="6" customWidth="1"/>
    <col min="13" max="16" width="10.44140625" style="6" customWidth="1"/>
    <col min="17" max="17" width="14.44140625" style="6" customWidth="1"/>
    <col min="18" max="18" width="12.109375" style="6" customWidth="1"/>
    <col min="19" max="16384" width="9.109375" style="6"/>
  </cols>
  <sheetData>
    <row r="1" spans="1:23" s="14" customFormat="1" ht="19.95" customHeight="1">
      <c r="A1" s="323" t="s">
        <v>0</v>
      </c>
      <c r="B1" s="323"/>
      <c r="C1" s="323"/>
      <c r="D1" s="323"/>
      <c r="E1" s="323"/>
      <c r="F1" s="323"/>
      <c r="G1" s="323"/>
      <c r="H1" s="323"/>
      <c r="I1" s="323"/>
      <c r="J1" s="323"/>
      <c r="K1" s="323"/>
      <c r="L1" s="323"/>
      <c r="M1" s="323"/>
      <c r="N1" s="323"/>
      <c r="O1" s="323"/>
      <c r="P1" s="323"/>
      <c r="Q1" s="323"/>
      <c r="R1" s="15"/>
      <c r="S1" s="15"/>
      <c r="T1" s="15"/>
    </row>
    <row r="2" spans="1:23" s="14" customFormat="1" ht="19.95" customHeight="1">
      <c r="A2" s="324" t="s">
        <v>220</v>
      </c>
      <c r="B2" s="324"/>
      <c r="C2" s="324"/>
      <c r="D2" s="324"/>
      <c r="E2" s="324"/>
      <c r="F2" s="324"/>
      <c r="G2" s="324"/>
      <c r="H2" s="324"/>
      <c r="I2" s="324"/>
      <c r="J2" s="324"/>
      <c r="K2" s="324"/>
      <c r="L2" s="324"/>
      <c r="M2" s="324"/>
      <c r="N2" s="324"/>
      <c r="O2" s="324"/>
      <c r="P2" s="324"/>
      <c r="Q2" s="324"/>
      <c r="R2" s="15"/>
      <c r="S2" s="15"/>
      <c r="T2" s="15"/>
    </row>
    <row r="3" spans="1:23" s="9" customFormat="1" ht="19.95" customHeight="1">
      <c r="A3" s="2" t="str">
        <f>底稿目录!A2</f>
        <v>被审计单位：</v>
      </c>
      <c r="G3" s="3" t="str">
        <f>底稿目录!A4</f>
        <v>编制人：</v>
      </c>
      <c r="L3" s="58" t="str">
        <f>底稿目录!A5</f>
        <v>编制日期：</v>
      </c>
      <c r="M3" s="57"/>
      <c r="P3" s="150" t="s">
        <v>140</v>
      </c>
      <c r="Q3" s="255" t="str">
        <f>底稿目录!D9</f>
        <v>K5-2</v>
      </c>
    </row>
    <row r="4" spans="1:23" s="9" customFormat="1" ht="19.95" customHeight="1">
      <c r="A4" s="2" t="str">
        <f>底稿目录!A3</f>
        <v>截止日：202X年12月31日</v>
      </c>
      <c r="G4" s="3" t="str">
        <f>底稿目录!A6</f>
        <v>复核人：</v>
      </c>
      <c r="L4" s="58" t="str">
        <f>底稿目录!A7</f>
        <v>复核日期：</v>
      </c>
      <c r="M4" s="57"/>
      <c r="P4" s="150" t="s">
        <v>4</v>
      </c>
    </row>
    <row r="5" spans="1:23" s="9" customFormat="1" ht="19.95" customHeight="1">
      <c r="A5" s="226" t="s">
        <v>73</v>
      </c>
      <c r="B5" s="34"/>
      <c r="F5" s="35"/>
      <c r="G5" s="35"/>
      <c r="H5" s="35"/>
      <c r="I5" s="35"/>
      <c r="J5" s="35"/>
      <c r="K5" s="35"/>
      <c r="L5" s="35"/>
      <c r="P5" s="35"/>
      <c r="T5" s="36"/>
      <c r="W5" s="37"/>
    </row>
    <row r="6" spans="1:23" s="9" customFormat="1" ht="19.95" customHeight="1">
      <c r="A6" s="183" t="s">
        <v>274</v>
      </c>
      <c r="B6" s="183"/>
      <c r="C6" s="184"/>
      <c r="D6" s="185"/>
      <c r="E6" s="185"/>
      <c r="G6" s="183" t="s">
        <v>275</v>
      </c>
      <c r="H6" s="186"/>
      <c r="I6" s="185"/>
      <c r="J6" s="185"/>
      <c r="K6" s="185"/>
      <c r="L6" s="185"/>
      <c r="P6" s="35"/>
      <c r="T6" s="36"/>
      <c r="W6" s="37"/>
    </row>
    <row r="7" spans="1:23" s="9" customFormat="1" ht="19.95" customHeight="1">
      <c r="A7" s="185" t="s">
        <v>177</v>
      </c>
      <c r="B7" s="183"/>
      <c r="C7" s="184"/>
      <c r="D7" s="185"/>
      <c r="E7" s="185"/>
      <c r="F7" s="183"/>
      <c r="G7" s="185"/>
      <c r="H7" s="186"/>
      <c r="I7" s="185"/>
      <c r="J7" s="185"/>
      <c r="K7" s="185"/>
      <c r="L7" s="185"/>
      <c r="M7" s="185"/>
      <c r="P7" s="35"/>
      <c r="T7" s="36"/>
      <c r="W7" s="37"/>
    </row>
    <row r="8" spans="1:23" s="9" customFormat="1" ht="19.95" customHeight="1">
      <c r="A8" s="227" t="s">
        <v>74</v>
      </c>
      <c r="F8" s="39"/>
      <c r="G8" s="39"/>
      <c r="H8" s="54"/>
      <c r="I8" s="39"/>
      <c r="J8" s="39"/>
      <c r="K8" s="39"/>
      <c r="L8" s="39"/>
      <c r="P8" s="39"/>
      <c r="T8" s="36"/>
      <c r="W8" s="37"/>
    </row>
    <row r="9" spans="1:23" s="9" customFormat="1" ht="19.95" customHeight="1">
      <c r="A9" s="54" t="s">
        <v>224</v>
      </c>
      <c r="B9" s="89"/>
      <c r="D9" s="54"/>
      <c r="E9" s="54"/>
      <c r="J9" s="39"/>
      <c r="K9" s="39"/>
      <c r="L9" s="39"/>
      <c r="P9" s="39"/>
      <c r="T9" s="36"/>
      <c r="W9" s="37"/>
    </row>
    <row r="10" spans="1:23" s="9" customFormat="1" ht="19.95" customHeight="1">
      <c r="A10" s="54" t="s">
        <v>225</v>
      </c>
      <c r="F10" s="39"/>
      <c r="G10" s="39"/>
      <c r="H10" s="39"/>
      <c r="I10" s="39"/>
      <c r="J10" s="39"/>
      <c r="K10" s="39"/>
      <c r="L10" s="39"/>
      <c r="P10" s="39"/>
      <c r="T10" s="36"/>
      <c r="W10" s="37"/>
    </row>
    <row r="11" spans="1:23" s="7" customFormat="1" ht="19.95" customHeight="1">
      <c r="A11" s="325" t="s">
        <v>59</v>
      </c>
      <c r="B11" s="325" t="s">
        <v>60</v>
      </c>
      <c r="C11" s="327" t="s">
        <v>75</v>
      </c>
      <c r="D11" s="328"/>
      <c r="E11" s="328"/>
      <c r="F11" s="329"/>
      <c r="G11" s="327" t="s">
        <v>76</v>
      </c>
      <c r="H11" s="329"/>
      <c r="I11" s="327" t="s">
        <v>77</v>
      </c>
      <c r="J11" s="329"/>
      <c r="K11" s="327" t="s">
        <v>78</v>
      </c>
      <c r="L11" s="329"/>
      <c r="M11" s="327" t="s">
        <v>79</v>
      </c>
      <c r="N11" s="328"/>
      <c r="O11" s="328"/>
      <c r="P11" s="329"/>
      <c r="Q11" s="325" t="s">
        <v>8</v>
      </c>
    </row>
    <row r="12" spans="1:23" s="7" customFormat="1" ht="19.95" customHeight="1">
      <c r="A12" s="326"/>
      <c r="B12" s="326"/>
      <c r="C12" s="79" t="s">
        <v>80</v>
      </c>
      <c r="D12" s="79" t="s">
        <v>81</v>
      </c>
      <c r="E12" s="79" t="s">
        <v>82</v>
      </c>
      <c r="F12" s="79" t="s">
        <v>83</v>
      </c>
      <c r="G12" s="79" t="s">
        <v>77</v>
      </c>
      <c r="H12" s="79" t="s">
        <v>78</v>
      </c>
      <c r="I12" s="79" t="s">
        <v>81</v>
      </c>
      <c r="J12" s="79" t="s">
        <v>82</v>
      </c>
      <c r="K12" s="79" t="s">
        <v>81</v>
      </c>
      <c r="L12" s="79" t="s">
        <v>82</v>
      </c>
      <c r="M12" s="79" t="s">
        <v>80</v>
      </c>
      <c r="N12" s="79" t="s">
        <v>81</v>
      </c>
      <c r="O12" s="79" t="s">
        <v>82</v>
      </c>
      <c r="P12" s="79" t="s">
        <v>83</v>
      </c>
      <c r="Q12" s="326"/>
    </row>
    <row r="13" spans="1:23" s="7" customFormat="1" ht="19.95" customHeight="1">
      <c r="A13" s="80" t="s">
        <v>61</v>
      </c>
      <c r="B13" s="13"/>
      <c r="C13" s="12"/>
      <c r="D13" s="12"/>
      <c r="E13" s="12"/>
      <c r="F13" s="143">
        <f>C13+D13-E13</f>
        <v>0</v>
      </c>
      <c r="G13" s="12"/>
      <c r="H13" s="12"/>
      <c r="I13" s="12"/>
      <c r="J13" s="12"/>
      <c r="K13" s="12"/>
      <c r="L13" s="12"/>
      <c r="M13" s="143">
        <f>C13+G13+H13</f>
        <v>0</v>
      </c>
      <c r="N13" s="143">
        <f>D13+I13+K13</f>
        <v>0</v>
      </c>
      <c r="O13" s="143">
        <f>E13+J13+L13</f>
        <v>0</v>
      </c>
      <c r="P13" s="143">
        <f>M13+N13-O13</f>
        <v>0</v>
      </c>
      <c r="Q13" s="197"/>
    </row>
    <row r="14" spans="1:23" s="7" customFormat="1" ht="19.95" customHeight="1">
      <c r="A14" s="80" t="s">
        <v>62</v>
      </c>
      <c r="B14" s="13"/>
      <c r="C14" s="12"/>
      <c r="D14" s="12"/>
      <c r="E14" s="12"/>
      <c r="F14" s="143">
        <f t="shared" ref="F14:F20" si="0">C14+D14-E14</f>
        <v>0</v>
      </c>
      <c r="G14" s="12"/>
      <c r="H14" s="12"/>
      <c r="I14" s="12"/>
      <c r="J14" s="12"/>
      <c r="K14" s="12"/>
      <c r="L14" s="12"/>
      <c r="M14" s="143">
        <f t="shared" ref="M14:M20" si="1">C14+G14+H14</f>
        <v>0</v>
      </c>
      <c r="N14" s="143">
        <f t="shared" ref="N14:N20" si="2">D14+I14+K14</f>
        <v>0</v>
      </c>
      <c r="O14" s="143">
        <f t="shared" ref="O14:O20" si="3">E14+J14+L14</f>
        <v>0</v>
      </c>
      <c r="P14" s="143">
        <f t="shared" ref="P14:P20" si="4">M14+N14-O14</f>
        <v>0</v>
      </c>
      <c r="Q14" s="197"/>
    </row>
    <row r="15" spans="1:23" s="7" customFormat="1" ht="19.95" customHeight="1">
      <c r="A15" s="80" t="s">
        <v>63</v>
      </c>
      <c r="B15" s="13"/>
      <c r="C15" s="12"/>
      <c r="D15" s="12"/>
      <c r="E15" s="12"/>
      <c r="F15" s="143">
        <f t="shared" si="0"/>
        <v>0</v>
      </c>
      <c r="G15" s="12"/>
      <c r="H15" s="12"/>
      <c r="I15" s="12"/>
      <c r="J15" s="12"/>
      <c r="K15" s="12"/>
      <c r="L15" s="12"/>
      <c r="M15" s="143">
        <f t="shared" si="1"/>
        <v>0</v>
      </c>
      <c r="N15" s="143">
        <f t="shared" si="2"/>
        <v>0</v>
      </c>
      <c r="O15" s="143">
        <f t="shared" si="3"/>
        <v>0</v>
      </c>
      <c r="P15" s="143">
        <f t="shared" si="4"/>
        <v>0</v>
      </c>
      <c r="Q15" s="197"/>
    </row>
    <row r="16" spans="1:23" s="7" customFormat="1" ht="19.95" customHeight="1">
      <c r="A16" s="80" t="s">
        <v>64</v>
      </c>
      <c r="B16" s="13"/>
      <c r="C16" s="12"/>
      <c r="D16" s="12"/>
      <c r="E16" s="12"/>
      <c r="F16" s="143">
        <f t="shared" si="0"/>
        <v>0</v>
      </c>
      <c r="G16" s="12"/>
      <c r="H16" s="12"/>
      <c r="I16" s="12"/>
      <c r="J16" s="12"/>
      <c r="K16" s="12"/>
      <c r="L16" s="12"/>
      <c r="M16" s="143">
        <f t="shared" si="1"/>
        <v>0</v>
      </c>
      <c r="N16" s="143">
        <f t="shared" si="2"/>
        <v>0</v>
      </c>
      <c r="O16" s="143">
        <f t="shared" si="3"/>
        <v>0</v>
      </c>
      <c r="P16" s="143">
        <f t="shared" si="4"/>
        <v>0</v>
      </c>
      <c r="Q16" s="197"/>
    </row>
    <row r="17" spans="1:19" s="7" customFormat="1" ht="19.95" customHeight="1">
      <c r="A17" s="80" t="s">
        <v>65</v>
      </c>
      <c r="B17" s="13"/>
      <c r="C17" s="12"/>
      <c r="D17" s="12"/>
      <c r="E17" s="12"/>
      <c r="F17" s="143">
        <f t="shared" si="0"/>
        <v>0</v>
      </c>
      <c r="G17" s="12"/>
      <c r="H17" s="12"/>
      <c r="I17" s="12"/>
      <c r="J17" s="12"/>
      <c r="K17" s="12"/>
      <c r="L17" s="12"/>
      <c r="M17" s="143">
        <f t="shared" si="1"/>
        <v>0</v>
      </c>
      <c r="N17" s="143">
        <f t="shared" si="2"/>
        <v>0</v>
      </c>
      <c r="O17" s="143">
        <f t="shared" si="3"/>
        <v>0</v>
      </c>
      <c r="P17" s="143">
        <f t="shared" si="4"/>
        <v>0</v>
      </c>
      <c r="Q17" s="197"/>
    </row>
    <row r="18" spans="1:19" s="7" customFormat="1" ht="19.95" customHeight="1">
      <c r="A18" s="81" t="s">
        <v>66</v>
      </c>
      <c r="B18" s="13"/>
      <c r="C18" s="12"/>
      <c r="D18" s="12"/>
      <c r="E18" s="12"/>
      <c r="F18" s="143">
        <f t="shared" si="0"/>
        <v>0</v>
      </c>
      <c r="G18" s="12"/>
      <c r="H18" s="12"/>
      <c r="I18" s="12"/>
      <c r="J18" s="12"/>
      <c r="K18" s="12"/>
      <c r="L18" s="12"/>
      <c r="M18" s="143">
        <f t="shared" si="1"/>
        <v>0</v>
      </c>
      <c r="N18" s="143">
        <f t="shared" si="2"/>
        <v>0</v>
      </c>
      <c r="O18" s="143">
        <f t="shared" si="3"/>
        <v>0</v>
      </c>
      <c r="P18" s="143">
        <f t="shared" si="4"/>
        <v>0</v>
      </c>
      <c r="Q18" s="197"/>
    </row>
    <row r="19" spans="1:19" s="7" customFormat="1" ht="19.95" customHeight="1">
      <c r="A19" s="90" t="s">
        <v>86</v>
      </c>
      <c r="B19" s="13"/>
      <c r="C19" s="12"/>
      <c r="D19" s="12"/>
      <c r="E19" s="12"/>
      <c r="F19" s="241">
        <f>C19+D19-E19</f>
        <v>0</v>
      </c>
      <c r="G19" s="12"/>
      <c r="H19" s="12"/>
      <c r="I19" s="12"/>
      <c r="J19" s="12"/>
      <c r="K19" s="12"/>
      <c r="L19" s="12"/>
      <c r="M19" s="143">
        <f t="shared" ref="M19" si="5">C19+G19+H19</f>
        <v>0</v>
      </c>
      <c r="N19" s="143">
        <f t="shared" ref="N19" si="6">D19+I19+K19</f>
        <v>0</v>
      </c>
      <c r="O19" s="143">
        <f t="shared" ref="O19" si="7">E19+J19+L19</f>
        <v>0</v>
      </c>
      <c r="P19" s="143">
        <f t="shared" ref="P19" si="8">M19+N19-O19</f>
        <v>0</v>
      </c>
      <c r="Q19" s="197"/>
    </row>
    <row r="20" spans="1:19" s="7" customFormat="1" ht="19.95" customHeight="1">
      <c r="A20" s="82" t="s">
        <v>67</v>
      </c>
      <c r="B20" s="13"/>
      <c r="C20" s="12"/>
      <c r="D20" s="12"/>
      <c r="E20" s="12"/>
      <c r="F20" s="241">
        <f t="shared" si="0"/>
        <v>0</v>
      </c>
      <c r="G20" s="12"/>
      <c r="H20" s="12"/>
      <c r="I20" s="12"/>
      <c r="J20" s="12"/>
      <c r="K20" s="12"/>
      <c r="L20" s="12"/>
      <c r="M20" s="143">
        <f t="shared" si="1"/>
        <v>0</v>
      </c>
      <c r="N20" s="143">
        <f t="shared" si="2"/>
        <v>0</v>
      </c>
      <c r="O20" s="143">
        <f t="shared" si="3"/>
        <v>0</v>
      </c>
      <c r="P20" s="143">
        <f t="shared" si="4"/>
        <v>0</v>
      </c>
      <c r="Q20" s="197"/>
    </row>
    <row r="21" spans="1:19" s="11" customFormat="1" ht="19.95" customHeight="1">
      <c r="A21" s="79" t="s">
        <v>68</v>
      </c>
      <c r="B21" s="274"/>
      <c r="C21" s="143">
        <f>SUM(C13:C20)</f>
        <v>0</v>
      </c>
      <c r="D21" s="143">
        <f t="shared" ref="D21:P21" si="9">SUM(D13:D20)</f>
        <v>0</v>
      </c>
      <c r="E21" s="143">
        <f t="shared" si="9"/>
        <v>0</v>
      </c>
      <c r="F21" s="143">
        <f t="shared" si="9"/>
        <v>0</v>
      </c>
      <c r="G21" s="143">
        <f t="shared" si="9"/>
        <v>0</v>
      </c>
      <c r="H21" s="143">
        <f t="shared" si="9"/>
        <v>0</v>
      </c>
      <c r="I21" s="143">
        <f t="shared" si="9"/>
        <v>0</v>
      </c>
      <c r="J21" s="143">
        <f t="shared" si="9"/>
        <v>0</v>
      </c>
      <c r="K21" s="143">
        <f t="shared" si="9"/>
        <v>0</v>
      </c>
      <c r="L21" s="143">
        <f t="shared" si="9"/>
        <v>0</v>
      </c>
      <c r="M21" s="143">
        <f t="shared" si="9"/>
        <v>0</v>
      </c>
      <c r="N21" s="143">
        <f t="shared" si="9"/>
        <v>0</v>
      </c>
      <c r="O21" s="143">
        <f t="shared" si="9"/>
        <v>0</v>
      </c>
      <c r="P21" s="143">
        <f t="shared" si="9"/>
        <v>0</v>
      </c>
      <c r="Q21" s="79"/>
    </row>
    <row r="22" spans="1:19" s="7" customFormat="1" ht="19.95" customHeight="1">
      <c r="A22" s="83" t="s">
        <v>84</v>
      </c>
      <c r="B22" s="10"/>
      <c r="C22" s="10"/>
      <c r="D22" s="10"/>
      <c r="E22" s="10"/>
      <c r="F22" s="10"/>
      <c r="G22" s="10"/>
      <c r="H22" s="10"/>
      <c r="I22" s="10"/>
      <c r="J22" s="10"/>
      <c r="K22" s="10"/>
      <c r="L22" s="10"/>
      <c r="M22" s="10"/>
      <c r="N22" s="10"/>
      <c r="O22" s="10"/>
      <c r="P22" s="10"/>
      <c r="Q22" s="10"/>
    </row>
    <row r="23" spans="1:19" s="7" customFormat="1" ht="19.95" customHeight="1">
      <c r="A23" s="291" t="s">
        <v>238</v>
      </c>
      <c r="B23" s="9"/>
      <c r="C23" s="9"/>
      <c r="D23" s="9"/>
      <c r="E23" s="9"/>
      <c r="F23" s="9"/>
      <c r="G23" s="9"/>
      <c r="H23" s="9"/>
      <c r="I23" s="9"/>
      <c r="J23" s="9"/>
      <c r="K23" s="9"/>
      <c r="L23" s="9"/>
      <c r="M23" s="9"/>
      <c r="N23" s="9"/>
      <c r="O23" s="9"/>
      <c r="P23" s="9"/>
      <c r="Q23" s="9"/>
    </row>
    <row r="24" spans="1:19" s="7" customFormat="1" ht="19.95" customHeight="1">
      <c r="A24" s="189"/>
      <c r="B24" s="9"/>
      <c r="C24" s="9"/>
      <c r="D24" s="9"/>
      <c r="E24" s="9"/>
      <c r="F24" s="9"/>
      <c r="G24" s="9"/>
      <c r="H24" s="9"/>
      <c r="I24" s="9"/>
      <c r="J24" s="9"/>
      <c r="K24" s="9"/>
      <c r="L24" s="9"/>
      <c r="M24" s="9"/>
      <c r="N24" s="9"/>
      <c r="O24" s="9"/>
      <c r="P24" s="9"/>
      <c r="Q24" s="9"/>
    </row>
    <row r="25" spans="1:19" s="7" customFormat="1" ht="19.95" customHeight="1">
      <c r="A25" s="23"/>
      <c r="B25" s="9"/>
      <c r="C25" s="9"/>
      <c r="D25" s="9"/>
      <c r="E25" s="9"/>
      <c r="F25" s="9"/>
      <c r="G25" s="9"/>
      <c r="H25" s="9"/>
      <c r="I25" s="9"/>
      <c r="J25" s="9"/>
      <c r="K25" s="9"/>
      <c r="L25" s="9"/>
      <c r="M25" s="9"/>
      <c r="N25" s="9"/>
      <c r="O25" s="9"/>
      <c r="P25" s="9"/>
      <c r="Q25" s="9"/>
    </row>
    <row r="26" spans="1:19" s="7" customFormat="1" ht="19.95" customHeight="1">
      <c r="A26" s="94" t="s">
        <v>142</v>
      </c>
      <c r="B26" s="9"/>
      <c r="C26" s="9"/>
      <c r="D26" s="9"/>
      <c r="E26" s="9"/>
      <c r="F26" s="9"/>
      <c r="G26" s="9"/>
      <c r="H26" s="9"/>
      <c r="I26" s="9"/>
      <c r="J26" s="9"/>
      <c r="K26" s="9"/>
      <c r="L26" s="9"/>
      <c r="M26" s="9"/>
      <c r="N26" s="9"/>
      <c r="O26" s="9"/>
      <c r="P26" s="9"/>
      <c r="Q26" s="9"/>
    </row>
    <row r="27" spans="1:19" s="7" customFormat="1" ht="19.95" customHeight="1">
      <c r="A27" s="9"/>
      <c r="B27" s="9"/>
      <c r="C27" s="9"/>
      <c r="D27" s="9"/>
      <c r="E27" s="9"/>
      <c r="F27" s="9"/>
      <c r="G27" s="9"/>
      <c r="H27" s="9"/>
      <c r="I27" s="9"/>
      <c r="J27" s="9"/>
      <c r="K27" s="9"/>
      <c r="L27" s="9"/>
      <c r="M27" s="9"/>
      <c r="N27" s="9"/>
      <c r="O27" s="9"/>
      <c r="P27" s="9"/>
      <c r="Q27" s="9"/>
    </row>
    <row r="28" spans="1:19" s="7" customFormat="1" ht="18.75" customHeight="1">
      <c r="A28" s="9"/>
      <c r="B28" s="9"/>
      <c r="C28" s="9"/>
      <c r="D28" s="9"/>
      <c r="E28" s="9"/>
      <c r="F28" s="9"/>
      <c r="G28" s="9"/>
      <c r="H28" s="9"/>
      <c r="I28" s="9"/>
      <c r="J28" s="9"/>
      <c r="K28" s="9"/>
      <c r="L28" s="9"/>
      <c r="M28" s="9"/>
      <c r="N28" s="9"/>
      <c r="O28" s="9"/>
      <c r="P28" s="9"/>
      <c r="Q28" s="9"/>
    </row>
    <row r="29" spans="1:19" s="7" customFormat="1" ht="18" customHeight="1">
      <c r="A29" s="239" t="s">
        <v>273</v>
      </c>
      <c r="B29" s="189"/>
      <c r="C29" s="189"/>
      <c r="D29" s="189"/>
      <c r="E29" s="189"/>
      <c r="F29" s="189"/>
      <c r="G29" s="189"/>
      <c r="H29" s="189"/>
      <c r="I29" s="189"/>
      <c r="J29" s="189"/>
      <c r="K29" s="189"/>
      <c r="L29" s="189"/>
      <c r="M29" s="72"/>
      <c r="N29" s="9"/>
      <c r="O29" s="9"/>
      <c r="P29" s="9"/>
      <c r="Q29" s="9"/>
      <c r="R29" s="9"/>
      <c r="S29" s="9"/>
    </row>
    <row r="30" spans="1:19" s="7" customFormat="1" ht="18" customHeight="1">
      <c r="A30" s="189" t="s">
        <v>344</v>
      </c>
      <c r="B30" s="91"/>
      <c r="C30" s="91"/>
      <c r="D30" s="91"/>
      <c r="E30" s="91"/>
      <c r="F30" s="91"/>
      <c r="G30" s="91"/>
      <c r="H30" s="91"/>
      <c r="I30" s="91"/>
      <c r="J30" s="91"/>
      <c r="K30" s="91"/>
      <c r="L30" s="91"/>
      <c r="M30" s="61"/>
      <c r="N30" s="61"/>
      <c r="O30" s="62"/>
      <c r="P30" s="62"/>
      <c r="Q30" s="62"/>
      <c r="R30" s="62"/>
      <c r="S30" s="62"/>
    </row>
    <row r="31" spans="1:19" s="7" customFormat="1" ht="18" customHeight="1">
      <c r="A31" s="189" t="s">
        <v>345</v>
      </c>
      <c r="B31" s="91"/>
      <c r="C31" s="91"/>
      <c r="D31" s="91"/>
      <c r="E31" s="91"/>
      <c r="F31" s="91"/>
      <c r="G31" s="91"/>
      <c r="H31" s="91"/>
      <c r="I31" s="91"/>
      <c r="J31" s="91"/>
      <c r="K31" s="91"/>
      <c r="L31" s="91"/>
      <c r="M31" s="8"/>
      <c r="N31" s="8"/>
      <c r="O31" s="62"/>
      <c r="P31" s="62"/>
      <c r="Q31" s="62"/>
      <c r="R31" s="62"/>
      <c r="S31" s="62"/>
    </row>
    <row r="32" spans="1:19" s="7" customFormat="1" ht="18" customHeight="1">
      <c r="A32" s="189" t="s">
        <v>245</v>
      </c>
      <c r="B32" s="91"/>
      <c r="C32" s="91"/>
      <c r="D32" s="91"/>
      <c r="E32" s="91"/>
      <c r="F32" s="91"/>
      <c r="G32" s="91"/>
      <c r="H32" s="91"/>
      <c r="I32" s="91"/>
      <c r="J32" s="91"/>
      <c r="K32" s="91"/>
      <c r="L32" s="91"/>
      <c r="M32" s="74"/>
      <c r="N32" s="8"/>
      <c r="O32" s="62"/>
      <c r="P32" s="62"/>
      <c r="Q32" s="62"/>
      <c r="R32" s="62"/>
      <c r="S32" s="62"/>
    </row>
    <row r="33" spans="1:19" s="7" customFormat="1" ht="18" customHeight="1">
      <c r="A33" s="189" t="s">
        <v>335</v>
      </c>
      <c r="B33" s="91"/>
      <c r="C33" s="91"/>
      <c r="D33" s="91"/>
      <c r="E33" s="91"/>
      <c r="F33" s="91"/>
      <c r="G33" s="91"/>
      <c r="H33" s="91"/>
      <c r="I33" s="91"/>
      <c r="J33" s="91"/>
      <c r="K33" s="91"/>
      <c r="L33" s="91"/>
      <c r="M33" s="63"/>
      <c r="N33" s="8"/>
      <c r="O33" s="62"/>
      <c r="P33" s="62"/>
      <c r="Q33" s="62"/>
      <c r="R33" s="62"/>
      <c r="S33" s="62"/>
    </row>
    <row r="34" spans="1:19" s="92" customFormat="1" ht="18" customHeight="1">
      <c r="A34" s="228" t="s">
        <v>336</v>
      </c>
      <c r="B34" s="229"/>
      <c r="C34" s="229"/>
      <c r="D34" s="229"/>
      <c r="E34" s="229"/>
      <c r="F34" s="229"/>
      <c r="G34" s="229"/>
      <c r="H34" s="229"/>
      <c r="I34" s="229"/>
      <c r="J34" s="229"/>
      <c r="K34" s="229"/>
      <c r="L34" s="229"/>
      <c r="M34" s="63"/>
      <c r="N34" s="8"/>
      <c r="O34" s="62"/>
      <c r="P34" s="62"/>
      <c r="Q34" s="62"/>
      <c r="R34" s="62"/>
      <c r="S34" s="62"/>
    </row>
    <row r="35" spans="1:19" s="7" customFormat="1" ht="18" customHeight="1">
      <c r="A35" s="189" t="s">
        <v>337</v>
      </c>
      <c r="B35" s="91"/>
      <c r="C35" s="91"/>
      <c r="D35" s="91"/>
      <c r="E35" s="91"/>
      <c r="F35" s="91"/>
      <c r="G35" s="91"/>
      <c r="H35" s="91"/>
      <c r="I35" s="91"/>
      <c r="J35" s="91"/>
      <c r="K35" s="91"/>
      <c r="L35" s="91"/>
      <c r="M35" s="63"/>
      <c r="N35" s="8"/>
      <c r="O35" s="62"/>
      <c r="P35" s="62"/>
      <c r="Q35" s="62"/>
      <c r="R35" s="62"/>
      <c r="S35" s="62"/>
    </row>
    <row r="36" spans="1:19" s="7" customFormat="1" ht="18" customHeight="1">
      <c r="A36" s="189" t="s">
        <v>338</v>
      </c>
      <c r="B36" s="91"/>
      <c r="C36" s="91"/>
      <c r="D36" s="91"/>
      <c r="E36" s="91"/>
      <c r="F36" s="91"/>
      <c r="G36" s="91"/>
      <c r="H36" s="91"/>
      <c r="I36" s="91"/>
      <c r="J36" s="91"/>
      <c r="K36" s="91"/>
      <c r="L36" s="91"/>
      <c r="M36" s="63"/>
      <c r="N36" s="8"/>
      <c r="O36" s="62"/>
      <c r="P36" s="62"/>
      <c r="Q36" s="62"/>
      <c r="R36" s="62"/>
      <c r="S36" s="62"/>
    </row>
    <row r="37" spans="1:19" s="7" customFormat="1" ht="18" customHeight="1">
      <c r="A37" s="189" t="s">
        <v>246</v>
      </c>
      <c r="B37" s="91"/>
      <c r="C37" s="91"/>
      <c r="D37" s="91"/>
      <c r="E37" s="91"/>
      <c r="F37" s="91"/>
      <c r="G37" s="91"/>
      <c r="H37" s="91"/>
      <c r="I37" s="91"/>
      <c r="J37" s="91"/>
      <c r="K37" s="91"/>
      <c r="L37" s="91"/>
      <c r="M37" s="62"/>
      <c r="N37" s="62"/>
      <c r="O37" s="62"/>
      <c r="P37" s="62"/>
      <c r="Q37" s="62"/>
      <c r="R37" s="62"/>
      <c r="S37" s="62"/>
    </row>
    <row r="38" spans="1:19" s="7" customFormat="1" ht="18" customHeight="1">
      <c r="A38" s="189" t="s">
        <v>339</v>
      </c>
      <c r="B38" s="91"/>
      <c r="C38" s="91"/>
      <c r="D38" s="91"/>
      <c r="E38" s="91"/>
      <c r="F38" s="91"/>
      <c r="G38" s="91"/>
      <c r="H38" s="91"/>
      <c r="I38" s="91"/>
      <c r="J38" s="91"/>
      <c r="K38" s="91"/>
      <c r="L38" s="91"/>
    </row>
    <row r="39" spans="1:19" s="7" customFormat="1" ht="18" customHeight="1">
      <c r="A39" s="189" t="s">
        <v>340</v>
      </c>
      <c r="B39" s="91"/>
      <c r="C39" s="91"/>
      <c r="D39" s="91"/>
      <c r="E39" s="91"/>
      <c r="F39" s="91"/>
      <c r="G39" s="91"/>
      <c r="H39" s="91"/>
      <c r="I39" s="91"/>
      <c r="J39" s="91"/>
      <c r="K39" s="91"/>
      <c r="L39" s="91"/>
    </row>
    <row r="40" spans="1:19" s="7" customFormat="1" ht="21" customHeight="1">
      <c r="A40" s="189" t="s">
        <v>341</v>
      </c>
      <c r="B40" s="91"/>
      <c r="C40" s="91"/>
      <c r="D40" s="91"/>
      <c r="E40" s="91"/>
      <c r="F40" s="91"/>
      <c r="G40" s="91"/>
      <c r="H40" s="91"/>
      <c r="I40" s="91"/>
      <c r="J40" s="91"/>
      <c r="K40" s="91"/>
      <c r="L40" s="91"/>
    </row>
    <row r="41" spans="1:19" s="7" customFormat="1" ht="15" customHeight="1">
      <c r="A41" s="240" t="s">
        <v>342</v>
      </c>
    </row>
    <row r="42" spans="1:19" s="7" customFormat="1" ht="15" customHeight="1">
      <c r="A42" s="240" t="s">
        <v>343</v>
      </c>
    </row>
    <row r="43" spans="1:19" s="7" customFormat="1" ht="15" customHeight="1"/>
    <row r="44" spans="1:19" s="7" customFormat="1" ht="15" customHeight="1"/>
  </sheetData>
  <mergeCells count="10">
    <mergeCell ref="A1:Q1"/>
    <mergeCell ref="A2:Q2"/>
    <mergeCell ref="A11:A12"/>
    <mergeCell ref="B11:B12"/>
    <mergeCell ref="C11:F11"/>
    <mergeCell ref="G11:H11"/>
    <mergeCell ref="I11:J11"/>
    <mergeCell ref="K11:L11"/>
    <mergeCell ref="M11:P11"/>
    <mergeCell ref="Q11:Q12"/>
  </mergeCells>
  <phoneticPr fontId="39" type="noConversion"/>
  <hyperlinks>
    <hyperlink ref="Q3" location="底稿目录!A1" display="底稿目录!A1"/>
  </hyperlinks>
  <printOptions horizontalCentered="1"/>
  <pageMargins left="0.35433070866141736" right="0.43307086614173229" top="0.51181102362204722" bottom="0.47244094488188981" header="0.51181102362204722" footer="0.39370078740157483"/>
  <pageSetup paperSize="9" scale="70"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1"/>
  <sheetViews>
    <sheetView view="pageBreakPreview" zoomScaleNormal="100" zoomScaleSheetLayoutView="100" workbookViewId="0">
      <selection sqref="A1:J1"/>
    </sheetView>
  </sheetViews>
  <sheetFormatPr defaultRowHeight="15.6"/>
  <cols>
    <col min="1" max="1" width="23.88671875" style="113" customWidth="1"/>
    <col min="2" max="2" width="23" style="113" customWidth="1"/>
    <col min="3" max="4" width="14.109375" style="113" customWidth="1"/>
    <col min="5" max="5" width="20" style="113" customWidth="1"/>
    <col min="6" max="6" width="12.109375" style="113" customWidth="1"/>
    <col min="7" max="7" width="11.88671875" style="113" customWidth="1"/>
    <col min="8" max="8" width="11.109375" style="113" customWidth="1"/>
    <col min="9" max="9" width="8.88671875" style="113"/>
    <col min="10" max="10" width="14" style="113" customWidth="1"/>
    <col min="11" max="16384" width="8.88671875" style="113"/>
  </cols>
  <sheetData>
    <row r="1" spans="1:10" ht="19.95" customHeight="1">
      <c r="A1" s="330" t="s">
        <v>0</v>
      </c>
      <c r="B1" s="330"/>
      <c r="C1" s="330"/>
      <c r="D1" s="330"/>
      <c r="E1" s="330"/>
      <c r="F1" s="330"/>
      <c r="G1" s="330"/>
      <c r="H1" s="330"/>
      <c r="I1" s="330"/>
      <c r="J1" s="330"/>
    </row>
    <row r="2" spans="1:10" ht="19.95" customHeight="1">
      <c r="A2" s="313" t="s">
        <v>122</v>
      </c>
      <c r="B2" s="313"/>
      <c r="C2" s="313"/>
      <c r="D2" s="331"/>
      <c r="E2" s="331"/>
      <c r="F2" s="331"/>
      <c r="G2" s="331"/>
      <c r="H2" s="331"/>
      <c r="I2" s="331"/>
      <c r="J2" s="331"/>
    </row>
    <row r="3" spans="1:10" ht="19.95" customHeight="1">
      <c r="A3" s="33" t="str">
        <f>底稿目录!A2</f>
        <v>被审计单位：</v>
      </c>
      <c r="C3" s="33" t="str">
        <f>底稿目录!A4</f>
        <v>编制人：</v>
      </c>
      <c r="E3" s="33"/>
      <c r="F3" s="33" t="str">
        <f>底稿目录!A5</f>
        <v>编制日期：</v>
      </c>
      <c r="G3" s="33"/>
      <c r="H3" s="114"/>
      <c r="I3" s="33" t="s">
        <v>112</v>
      </c>
      <c r="J3" s="255" t="str">
        <f>底稿目录!D10</f>
        <v>K5-3</v>
      </c>
    </row>
    <row r="4" spans="1:10" ht="19.95" customHeight="1">
      <c r="A4" s="33" t="str">
        <f>底稿目录!A3</f>
        <v>截止日：202X年12月31日</v>
      </c>
      <c r="C4" s="33" t="str">
        <f>底稿目录!A6</f>
        <v>复核人：</v>
      </c>
      <c r="E4" s="33"/>
      <c r="F4" s="33" t="str">
        <f>底稿目录!A7</f>
        <v>复核日期：</v>
      </c>
      <c r="G4" s="33"/>
      <c r="H4" s="33"/>
      <c r="I4" s="33" t="s">
        <v>4</v>
      </c>
      <c r="J4" s="115"/>
    </row>
    <row r="5" spans="1:10" ht="29.4" customHeight="1">
      <c r="A5" s="116" t="s">
        <v>113</v>
      </c>
      <c r="B5" s="187" t="s">
        <v>114</v>
      </c>
      <c r="C5" s="117" t="s">
        <v>176</v>
      </c>
      <c r="D5" s="117" t="s">
        <v>115</v>
      </c>
      <c r="E5" s="117" t="s">
        <v>116</v>
      </c>
      <c r="F5" s="118" t="s">
        <v>117</v>
      </c>
      <c r="G5" s="117" t="s">
        <v>118</v>
      </c>
      <c r="H5" s="117" t="s">
        <v>119</v>
      </c>
      <c r="I5" s="117" t="s">
        <v>120</v>
      </c>
      <c r="J5" s="117" t="s">
        <v>121</v>
      </c>
    </row>
    <row r="6" spans="1:10" ht="19.95" customHeight="1">
      <c r="A6" s="201"/>
      <c r="B6" s="201"/>
      <c r="C6" s="202"/>
      <c r="D6" s="201"/>
      <c r="E6" s="201"/>
      <c r="F6" s="201"/>
      <c r="G6" s="203"/>
      <c r="H6" s="203"/>
      <c r="I6" s="204"/>
      <c r="J6" s="201"/>
    </row>
    <row r="7" spans="1:10" ht="19.95" customHeight="1">
      <c r="A7" s="201"/>
      <c r="B7" s="201"/>
      <c r="C7" s="202"/>
      <c r="D7" s="201"/>
      <c r="E7" s="201"/>
      <c r="F7" s="201"/>
      <c r="G7" s="203"/>
      <c r="H7" s="203"/>
      <c r="I7" s="204"/>
      <c r="J7" s="201"/>
    </row>
    <row r="8" spans="1:10" ht="19.95" customHeight="1">
      <c r="A8" s="201"/>
      <c r="B8" s="201"/>
      <c r="C8" s="202"/>
      <c r="D8" s="201"/>
      <c r="E8" s="201"/>
      <c r="F8" s="201"/>
      <c r="G8" s="203"/>
      <c r="H8" s="203"/>
      <c r="I8" s="204"/>
      <c r="J8" s="201"/>
    </row>
    <row r="9" spans="1:10" ht="19.95" customHeight="1">
      <c r="A9" s="201"/>
      <c r="B9" s="201"/>
      <c r="C9" s="202"/>
      <c r="D9" s="201"/>
      <c r="E9" s="201"/>
      <c r="F9" s="201"/>
      <c r="G9" s="203"/>
      <c r="H9" s="203"/>
      <c r="I9" s="204"/>
      <c r="J9" s="201"/>
    </row>
    <row r="10" spans="1:10" ht="19.95" customHeight="1">
      <c r="A10" s="201"/>
      <c r="B10" s="201"/>
      <c r="C10" s="202"/>
      <c r="D10" s="201"/>
      <c r="E10" s="201"/>
      <c r="F10" s="201"/>
      <c r="G10" s="203"/>
      <c r="H10" s="203"/>
      <c r="I10" s="204"/>
      <c r="J10" s="201"/>
    </row>
    <row r="11" spans="1:10" ht="19.95" customHeight="1">
      <c r="A11" s="201"/>
      <c r="B11" s="201"/>
      <c r="C11" s="202"/>
      <c r="D11" s="201"/>
      <c r="E11" s="201"/>
      <c r="F11" s="201"/>
      <c r="G11" s="203"/>
      <c r="H11" s="203"/>
      <c r="I11" s="204"/>
      <c r="J11" s="201"/>
    </row>
    <row r="12" spans="1:10" ht="19.95" customHeight="1">
      <c r="A12" s="201"/>
      <c r="B12" s="201"/>
      <c r="C12" s="202"/>
      <c r="D12" s="201"/>
      <c r="E12" s="201"/>
      <c r="F12" s="201"/>
      <c r="G12" s="203"/>
      <c r="H12" s="203"/>
      <c r="I12" s="204"/>
      <c r="J12" s="201"/>
    </row>
    <row r="13" spans="1:10" ht="19.95" customHeight="1">
      <c r="A13" s="201"/>
      <c r="B13" s="201"/>
      <c r="C13" s="202"/>
      <c r="D13" s="201"/>
      <c r="E13" s="201"/>
      <c r="F13" s="201"/>
      <c r="G13" s="203"/>
      <c r="H13" s="203"/>
      <c r="I13" s="204"/>
      <c r="J13" s="201"/>
    </row>
    <row r="14" spans="1:10" ht="19.95" customHeight="1">
      <c r="A14" s="201"/>
      <c r="B14" s="201"/>
      <c r="C14" s="202"/>
      <c r="D14" s="201"/>
      <c r="E14" s="201"/>
      <c r="F14" s="201"/>
      <c r="G14" s="203"/>
      <c r="H14" s="203"/>
      <c r="I14" s="204"/>
      <c r="J14" s="201"/>
    </row>
    <row r="15" spans="1:10" ht="19.95" customHeight="1">
      <c r="A15" s="201"/>
      <c r="B15" s="201"/>
      <c r="C15" s="202"/>
      <c r="D15" s="201"/>
      <c r="E15" s="201"/>
      <c r="F15" s="201"/>
      <c r="G15" s="203"/>
      <c r="H15" s="203"/>
      <c r="I15" s="204"/>
      <c r="J15" s="201"/>
    </row>
    <row r="16" spans="1:10" ht="19.95" customHeight="1">
      <c r="A16" s="201"/>
      <c r="B16" s="201"/>
      <c r="C16" s="202"/>
      <c r="D16" s="201"/>
      <c r="E16" s="201"/>
      <c r="F16" s="201"/>
      <c r="G16" s="203"/>
      <c r="H16" s="203"/>
      <c r="I16" s="204"/>
      <c r="J16" s="201"/>
    </row>
    <row r="17" spans="1:10" ht="19.95" customHeight="1">
      <c r="A17" s="201"/>
      <c r="B17" s="201"/>
      <c r="C17" s="202"/>
      <c r="D17" s="201"/>
      <c r="E17" s="201"/>
      <c r="F17" s="201"/>
      <c r="G17" s="203"/>
      <c r="H17" s="203"/>
      <c r="I17" s="204"/>
      <c r="J17" s="201"/>
    </row>
    <row r="18" spans="1:10" ht="19.95" customHeight="1">
      <c r="A18" s="201"/>
      <c r="B18" s="201"/>
      <c r="C18" s="202"/>
      <c r="D18" s="201"/>
      <c r="E18" s="201"/>
      <c r="F18" s="201"/>
      <c r="G18" s="203"/>
      <c r="H18" s="203"/>
      <c r="I18" s="204"/>
      <c r="J18" s="201"/>
    </row>
    <row r="19" spans="1:10" ht="19.95" customHeight="1">
      <c r="A19" s="201"/>
      <c r="B19" s="201"/>
      <c r="C19" s="202"/>
      <c r="D19" s="201"/>
      <c r="E19" s="201"/>
      <c r="F19" s="201"/>
      <c r="G19" s="203"/>
      <c r="H19" s="203"/>
      <c r="I19" s="204"/>
      <c r="J19" s="201"/>
    </row>
    <row r="20" spans="1:10" ht="19.95" customHeight="1">
      <c r="A20" s="201"/>
      <c r="B20" s="201"/>
      <c r="C20" s="202"/>
      <c r="D20" s="201"/>
      <c r="E20" s="201"/>
      <c r="F20" s="201"/>
      <c r="G20" s="203"/>
      <c r="H20" s="203"/>
      <c r="I20" s="204"/>
      <c r="J20" s="201"/>
    </row>
    <row r="21" spans="1:10" ht="36.6" customHeight="1">
      <c r="A21" s="332" t="s">
        <v>247</v>
      </c>
      <c r="B21" s="333"/>
      <c r="C21" s="333"/>
      <c r="D21" s="333"/>
      <c r="E21" s="333"/>
      <c r="F21" s="333"/>
      <c r="G21" s="333"/>
      <c r="H21" s="333"/>
      <c r="I21" s="333"/>
      <c r="J21" s="333"/>
    </row>
  </sheetData>
  <mergeCells count="3">
    <mergeCell ref="A1:J1"/>
    <mergeCell ref="A2:J2"/>
    <mergeCell ref="A21:J21"/>
  </mergeCells>
  <phoneticPr fontId="57"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W50"/>
  <sheetViews>
    <sheetView view="pageBreakPreview" zoomScaleSheetLayoutView="100" workbookViewId="0">
      <selection sqref="A1:G1"/>
    </sheetView>
  </sheetViews>
  <sheetFormatPr defaultColWidth="9.109375" defaultRowHeight="15.6"/>
  <cols>
    <col min="1" max="1" width="10.109375" style="6" customWidth="1"/>
    <col min="2" max="2" width="22.5546875" style="6" customWidth="1"/>
    <col min="3" max="3" width="25.21875" style="6" customWidth="1"/>
    <col min="4" max="4" width="22.6640625" style="6" customWidth="1"/>
    <col min="5" max="5" width="19.77734375" style="6" customWidth="1"/>
    <col min="6" max="6" width="18.88671875" style="6" customWidth="1"/>
    <col min="7" max="7" width="19.5546875" style="6" customWidth="1"/>
    <col min="8" max="8" width="24.44140625" style="6" customWidth="1"/>
    <col min="9" max="16384" width="9.109375" style="6"/>
  </cols>
  <sheetData>
    <row r="1" spans="1:23" s="14" customFormat="1" ht="19.95" customHeight="1">
      <c r="A1" s="323" t="s">
        <v>0</v>
      </c>
      <c r="B1" s="323"/>
      <c r="C1" s="323"/>
      <c r="D1" s="323"/>
      <c r="E1" s="323"/>
      <c r="F1" s="323"/>
      <c r="G1" s="323"/>
      <c r="H1" s="15"/>
      <c r="I1" s="15"/>
      <c r="J1" s="15"/>
    </row>
    <row r="2" spans="1:23" s="14" customFormat="1" ht="19.95" customHeight="1">
      <c r="A2" s="324" t="s">
        <v>222</v>
      </c>
      <c r="B2" s="324"/>
      <c r="C2" s="324"/>
      <c r="D2" s="324"/>
      <c r="E2" s="324"/>
      <c r="F2" s="324"/>
      <c r="G2" s="324"/>
      <c r="H2" s="15"/>
      <c r="I2" s="15"/>
      <c r="J2" s="15"/>
    </row>
    <row r="3" spans="1:23" s="9" customFormat="1" ht="19.95" customHeight="1">
      <c r="A3" s="2" t="str">
        <f>底稿目录!A2</f>
        <v>被审计单位：</v>
      </c>
      <c r="C3" s="3" t="str">
        <f>底稿目录!A4</f>
        <v>编制人：</v>
      </c>
      <c r="E3" s="58" t="str">
        <f>底稿目录!A5</f>
        <v>编制日期：</v>
      </c>
      <c r="F3" s="153" t="s">
        <v>141</v>
      </c>
      <c r="G3" s="255" t="str">
        <f>底稿目录!D11</f>
        <v>K5-4</v>
      </c>
    </row>
    <row r="4" spans="1:23" s="9" customFormat="1" ht="19.95" customHeight="1">
      <c r="A4" s="2" t="str">
        <f>底稿目录!A3</f>
        <v>截止日：202X年12月31日</v>
      </c>
      <c r="C4" s="3" t="str">
        <f>底稿目录!A6</f>
        <v>复核人：</v>
      </c>
      <c r="E4" s="58" t="str">
        <f>底稿目录!A7</f>
        <v>复核日期：</v>
      </c>
      <c r="F4" s="36" t="s">
        <v>31</v>
      </c>
    </row>
    <row r="5" spans="1:23" s="9" customFormat="1" ht="19.95" customHeight="1">
      <c r="A5" s="226" t="s">
        <v>32</v>
      </c>
      <c r="B5" s="34"/>
      <c r="F5" s="35"/>
      <c r="G5" s="35"/>
      <c r="H5" s="35"/>
      <c r="I5" s="35"/>
      <c r="J5" s="35"/>
      <c r="K5" s="35"/>
      <c r="L5" s="35"/>
      <c r="P5" s="35"/>
      <c r="T5" s="36"/>
      <c r="W5" s="37"/>
    </row>
    <row r="6" spans="1:23" s="9" customFormat="1" ht="19.95" customHeight="1">
      <c r="A6" s="172" t="s">
        <v>178</v>
      </c>
      <c r="B6" s="173"/>
      <c r="C6" s="173"/>
      <c r="D6" s="151"/>
      <c r="E6" s="172"/>
      <c r="G6" s="35"/>
      <c r="H6" s="35"/>
      <c r="I6" s="35"/>
      <c r="J6" s="35"/>
      <c r="K6" s="35"/>
      <c r="L6" s="35"/>
      <c r="P6" s="35"/>
      <c r="T6" s="36"/>
      <c r="W6" s="37"/>
    </row>
    <row r="7" spans="1:23" s="9" customFormat="1" ht="19.95" customHeight="1">
      <c r="A7" s="9" t="s">
        <v>276</v>
      </c>
      <c r="B7" s="173"/>
      <c r="C7" s="173"/>
      <c r="D7" s="151"/>
      <c r="E7" s="172"/>
      <c r="G7" s="35"/>
      <c r="H7" s="35"/>
      <c r="I7" s="35"/>
      <c r="J7" s="35"/>
      <c r="K7" s="35"/>
      <c r="L7" s="35"/>
      <c r="P7" s="35"/>
      <c r="T7" s="36"/>
      <c r="W7" s="37"/>
    </row>
    <row r="8" spans="1:23" s="9" customFormat="1" ht="19.95" customHeight="1">
      <c r="A8" s="172" t="s">
        <v>277</v>
      </c>
      <c r="B8" s="173"/>
      <c r="C8" s="173"/>
      <c r="D8" s="172"/>
      <c r="G8" s="35"/>
      <c r="H8" s="35"/>
      <c r="I8" s="35"/>
      <c r="J8" s="35"/>
      <c r="K8" s="35"/>
      <c r="L8" s="35"/>
      <c r="P8" s="35"/>
      <c r="T8" s="36"/>
      <c r="W8" s="37"/>
    </row>
    <row r="9" spans="1:23" s="9" customFormat="1" ht="19.95" customHeight="1">
      <c r="A9" s="227" t="s">
        <v>33</v>
      </c>
      <c r="F9" s="39"/>
      <c r="G9" s="39"/>
      <c r="H9" s="39"/>
      <c r="I9" s="39"/>
      <c r="J9" s="39"/>
      <c r="K9" s="39"/>
      <c r="L9" s="39"/>
      <c r="P9" s="39"/>
      <c r="T9" s="36"/>
      <c r="W9" s="37"/>
    </row>
    <row r="10" spans="1:23" s="9" customFormat="1" ht="19.95" customHeight="1">
      <c r="A10" s="194" t="s">
        <v>199</v>
      </c>
      <c r="B10" s="54"/>
      <c r="C10" s="54"/>
      <c r="D10" s="54"/>
      <c r="E10" s="54"/>
      <c r="F10" s="54"/>
      <c r="G10" s="54"/>
      <c r="H10" s="54"/>
      <c r="I10" s="54"/>
      <c r="J10" s="54"/>
      <c r="K10" s="54"/>
      <c r="L10" s="54"/>
      <c r="M10" s="54"/>
      <c r="N10" s="54"/>
      <c r="O10" s="54"/>
      <c r="P10" s="54"/>
      <c r="Q10" s="54"/>
      <c r="R10" s="54"/>
      <c r="T10" s="36"/>
      <c r="W10" s="37"/>
    </row>
    <row r="11" spans="1:23" s="9" customFormat="1" ht="19.95" customHeight="1">
      <c r="A11" s="170"/>
      <c r="B11" s="170"/>
      <c r="C11" s="170"/>
      <c r="D11" s="170"/>
      <c r="E11" s="170"/>
      <c r="F11" s="170"/>
      <c r="G11" s="170"/>
      <c r="H11" s="54"/>
      <c r="I11" s="54"/>
      <c r="J11" s="54"/>
      <c r="K11" s="54"/>
      <c r="L11" s="54"/>
      <c r="M11" s="54"/>
      <c r="N11" s="54"/>
      <c r="O11" s="54"/>
      <c r="P11" s="54"/>
      <c r="Q11" s="54"/>
      <c r="R11" s="54"/>
      <c r="T11" s="36"/>
      <c r="W11" s="37"/>
    </row>
    <row r="12" spans="1:23" s="9" customFormat="1" ht="19.95" customHeight="1">
      <c r="A12" s="170"/>
      <c r="B12" s="170"/>
      <c r="C12" s="170"/>
      <c r="D12" s="170"/>
      <c r="E12" s="170"/>
      <c r="F12" s="170"/>
      <c r="G12" s="170"/>
      <c r="H12" s="54"/>
      <c r="I12" s="54"/>
      <c r="J12" s="54"/>
      <c r="K12" s="54"/>
      <c r="L12" s="54"/>
      <c r="M12" s="54"/>
      <c r="N12" s="54"/>
      <c r="O12" s="54"/>
      <c r="P12" s="54"/>
      <c r="Q12" s="54"/>
      <c r="R12" s="54"/>
      <c r="T12" s="36"/>
      <c r="W12" s="37"/>
    </row>
    <row r="13" spans="1:23" s="9" customFormat="1" ht="19.95" customHeight="1">
      <c r="A13" s="260" t="s">
        <v>251</v>
      </c>
      <c r="B13" s="261"/>
      <c r="C13" s="261"/>
      <c r="D13" s="261"/>
      <c r="E13" s="261"/>
      <c r="F13" s="261"/>
      <c r="G13" s="261"/>
      <c r="H13" s="54"/>
      <c r="I13" s="54"/>
      <c r="J13" s="54"/>
      <c r="K13" s="54"/>
      <c r="L13" s="54"/>
      <c r="M13" s="54"/>
      <c r="N13" s="54"/>
      <c r="O13" s="54"/>
      <c r="P13" s="54"/>
      <c r="Q13" s="54"/>
      <c r="R13" s="54"/>
      <c r="T13" s="36"/>
      <c r="W13" s="37"/>
    </row>
    <row r="14" spans="1:23" s="9" customFormat="1" ht="19.95" customHeight="1">
      <c r="A14" s="271" t="s">
        <v>197</v>
      </c>
      <c r="B14" s="271" t="s">
        <v>193</v>
      </c>
      <c r="C14" s="271" t="s">
        <v>194</v>
      </c>
      <c r="D14" s="257" t="s">
        <v>195</v>
      </c>
      <c r="E14" s="257" t="s">
        <v>196</v>
      </c>
      <c r="F14" s="257" t="s">
        <v>195</v>
      </c>
      <c r="G14" s="257" t="s">
        <v>196</v>
      </c>
      <c r="H14" s="54"/>
      <c r="I14" s="54"/>
      <c r="J14" s="54"/>
      <c r="K14" s="54"/>
      <c r="L14" s="54"/>
      <c r="M14" s="54"/>
      <c r="N14" s="54"/>
      <c r="O14" s="54"/>
      <c r="P14" s="54"/>
      <c r="Q14" s="54"/>
      <c r="R14" s="54"/>
      <c r="T14" s="36"/>
      <c r="W14" s="37"/>
    </row>
    <row r="15" spans="1:23" s="9" customFormat="1" ht="19.95" customHeight="1">
      <c r="A15" s="262" t="s">
        <v>192</v>
      </c>
      <c r="B15" s="263"/>
      <c r="C15" s="263"/>
      <c r="D15" s="263"/>
      <c r="E15" s="263"/>
      <c r="F15" s="263"/>
      <c r="G15" s="263"/>
      <c r="H15" s="54"/>
      <c r="I15" s="54"/>
      <c r="J15" s="54"/>
      <c r="K15" s="54"/>
      <c r="L15" s="54"/>
      <c r="M15" s="54"/>
      <c r="N15" s="54"/>
      <c r="O15" s="54"/>
      <c r="P15" s="54"/>
      <c r="Q15" s="54"/>
      <c r="R15" s="54"/>
      <c r="T15" s="36"/>
      <c r="W15" s="37"/>
    </row>
    <row r="16" spans="1:23" s="9" customFormat="1" ht="19.95" customHeight="1">
      <c r="A16" s="262" t="s">
        <v>189</v>
      </c>
      <c r="B16" s="263"/>
      <c r="C16" s="263"/>
      <c r="D16" s="263"/>
      <c r="E16" s="263"/>
      <c r="F16" s="263"/>
      <c r="G16" s="263"/>
      <c r="H16" s="54"/>
      <c r="I16" s="54"/>
      <c r="J16" s="54"/>
      <c r="K16" s="54"/>
      <c r="L16" s="54"/>
      <c r="M16" s="54"/>
      <c r="N16" s="54"/>
      <c r="O16" s="54"/>
      <c r="P16" s="54"/>
      <c r="Q16" s="54"/>
      <c r="R16" s="54"/>
      <c r="T16" s="36"/>
      <c r="W16" s="37"/>
    </row>
    <row r="17" spans="1:23" s="9" customFormat="1" ht="19.95" customHeight="1">
      <c r="A17" s="262" t="s">
        <v>190</v>
      </c>
      <c r="B17" s="263"/>
      <c r="C17" s="263"/>
      <c r="D17" s="263"/>
      <c r="E17" s="263"/>
      <c r="F17" s="263"/>
      <c r="G17" s="263"/>
      <c r="H17" s="54"/>
      <c r="I17" s="54"/>
      <c r="J17" s="54"/>
      <c r="K17" s="54"/>
      <c r="L17" s="54"/>
      <c r="M17" s="54"/>
      <c r="N17" s="54"/>
      <c r="O17" s="54"/>
      <c r="P17" s="54"/>
      <c r="Q17" s="54"/>
      <c r="R17" s="54"/>
      <c r="T17" s="36"/>
      <c r="W17" s="37"/>
    </row>
    <row r="18" spans="1:23" s="9" customFormat="1" ht="19.95" customHeight="1">
      <c r="A18" s="262" t="s">
        <v>191</v>
      </c>
      <c r="B18" s="263"/>
      <c r="C18" s="263"/>
      <c r="D18" s="263"/>
      <c r="E18" s="263"/>
      <c r="F18" s="263"/>
      <c r="G18" s="263"/>
      <c r="H18" s="54"/>
      <c r="I18" s="54"/>
      <c r="J18" s="54"/>
      <c r="K18" s="54"/>
      <c r="L18" s="54"/>
      <c r="M18" s="54"/>
      <c r="N18" s="54"/>
      <c r="O18" s="54"/>
      <c r="P18" s="54"/>
      <c r="Q18" s="54"/>
      <c r="R18" s="54"/>
      <c r="T18" s="36"/>
      <c r="W18" s="37"/>
    </row>
    <row r="19" spans="1:23" s="9" customFormat="1" ht="19.95" customHeight="1">
      <c r="A19" s="257" t="s">
        <v>30</v>
      </c>
      <c r="B19" s="268">
        <f>SUM(B15:B18)</f>
        <v>0</v>
      </c>
      <c r="C19" s="268">
        <f t="shared" ref="C19:G19" si="0">SUM(C15:C18)</f>
        <v>0</v>
      </c>
      <c r="D19" s="268">
        <f t="shared" si="0"/>
        <v>0</v>
      </c>
      <c r="E19" s="268">
        <f t="shared" si="0"/>
        <v>0</v>
      </c>
      <c r="F19" s="268">
        <f t="shared" si="0"/>
        <v>0</v>
      </c>
      <c r="G19" s="268">
        <f t="shared" si="0"/>
        <v>0</v>
      </c>
      <c r="H19" s="54"/>
      <c r="I19" s="54"/>
      <c r="J19" s="54"/>
      <c r="K19" s="54"/>
      <c r="L19" s="54"/>
      <c r="M19" s="54"/>
      <c r="N19" s="54"/>
      <c r="O19" s="54"/>
      <c r="P19" s="54"/>
      <c r="Q19" s="54"/>
      <c r="R19" s="54"/>
      <c r="T19" s="36"/>
      <c r="W19" s="37"/>
    </row>
    <row r="20" spans="1:23" s="9" customFormat="1" ht="19.95" customHeight="1">
      <c r="A20" s="38"/>
      <c r="B20" s="54"/>
      <c r="C20" s="54"/>
      <c r="D20" s="54"/>
      <c r="E20" s="54"/>
      <c r="F20" s="54"/>
      <c r="G20" s="54"/>
      <c r="H20" s="54"/>
      <c r="I20" s="54"/>
      <c r="J20" s="54"/>
      <c r="K20" s="54"/>
      <c r="L20" s="54"/>
      <c r="M20" s="54"/>
      <c r="N20" s="54"/>
      <c r="O20" s="54"/>
      <c r="P20" s="54"/>
      <c r="Q20" s="54"/>
      <c r="R20" s="54"/>
      <c r="T20" s="36"/>
      <c r="W20" s="37"/>
    </row>
    <row r="21" spans="1:23" s="9" customFormat="1" ht="19.95" customHeight="1">
      <c r="A21" s="38"/>
      <c r="B21" s="54"/>
      <c r="C21" s="54"/>
      <c r="D21" s="54"/>
      <c r="E21" s="54"/>
      <c r="F21" s="54"/>
      <c r="G21" s="54"/>
      <c r="H21" s="54"/>
      <c r="I21" s="54"/>
      <c r="J21" s="54"/>
      <c r="K21" s="54"/>
      <c r="L21" s="54"/>
      <c r="M21" s="54"/>
      <c r="N21" s="54"/>
      <c r="O21" s="54"/>
      <c r="P21" s="54"/>
      <c r="Q21" s="54"/>
      <c r="R21" s="54"/>
      <c r="T21" s="36"/>
      <c r="W21" s="37"/>
    </row>
    <row r="22" spans="1:23" s="9" customFormat="1" ht="19.95" customHeight="1">
      <c r="A22" s="194" t="s">
        <v>200</v>
      </c>
      <c r="B22" s="54"/>
      <c r="C22" s="54"/>
      <c r="D22" s="54"/>
      <c r="E22" s="54"/>
      <c r="F22" s="54"/>
      <c r="G22" s="54"/>
      <c r="H22" s="54"/>
      <c r="I22" s="54"/>
      <c r="J22" s="54"/>
      <c r="K22" s="54"/>
      <c r="L22" s="54"/>
      <c r="M22" s="54"/>
      <c r="N22" s="54"/>
      <c r="O22" s="54"/>
      <c r="P22" s="54"/>
      <c r="Q22" s="54"/>
      <c r="R22" s="54"/>
      <c r="T22" s="36"/>
      <c r="W22" s="37"/>
    </row>
    <row r="23" spans="1:23" s="22" customFormat="1" ht="19.95" customHeight="1">
      <c r="A23" s="271" t="s">
        <v>198</v>
      </c>
      <c r="B23" s="257" t="s">
        <v>34</v>
      </c>
      <c r="C23" s="257" t="s">
        <v>35</v>
      </c>
      <c r="D23" s="257" t="s">
        <v>36</v>
      </c>
      <c r="E23" s="257" t="s">
        <v>37</v>
      </c>
      <c r="F23" s="257" t="s">
        <v>38</v>
      </c>
      <c r="G23" s="64" t="s">
        <v>39</v>
      </c>
      <c r="H23" s="68"/>
      <c r="I23" s="68"/>
      <c r="J23" s="68"/>
      <c r="K23" s="68"/>
      <c r="L23" s="68"/>
      <c r="M23" s="68"/>
      <c r="N23" s="68"/>
      <c r="O23" s="68"/>
      <c r="P23" s="68"/>
      <c r="Q23" s="68"/>
      <c r="R23" s="68"/>
      <c r="W23" s="55"/>
    </row>
    <row r="24" spans="1:23" s="9" customFormat="1" ht="19.95" customHeight="1">
      <c r="A24" s="262" t="s">
        <v>192</v>
      </c>
      <c r="B24" s="263"/>
      <c r="C24" s="264"/>
      <c r="D24" s="143">
        <f>B24*C24</f>
        <v>0</v>
      </c>
      <c r="E24" s="198"/>
      <c r="F24" s="241">
        <f>D24-E24</f>
        <v>0</v>
      </c>
      <c r="G24" s="69"/>
      <c r="H24" s="54"/>
      <c r="I24" s="54"/>
      <c r="J24" s="54"/>
      <c r="K24" s="54"/>
      <c r="L24" s="54"/>
      <c r="M24" s="54"/>
      <c r="N24" s="54"/>
      <c r="O24" s="54"/>
      <c r="P24" s="54"/>
      <c r="Q24" s="54"/>
      <c r="R24" s="54"/>
      <c r="T24" s="36"/>
      <c r="W24" s="37"/>
    </row>
    <row r="25" spans="1:23" s="9" customFormat="1" ht="19.95" customHeight="1">
      <c r="A25" s="262" t="s">
        <v>189</v>
      </c>
      <c r="B25" s="263"/>
      <c r="C25" s="264"/>
      <c r="D25" s="143">
        <f>B25*C25</f>
        <v>0</v>
      </c>
      <c r="E25" s="198"/>
      <c r="F25" s="241">
        <f t="shared" ref="F25:F27" si="1">D25-E25</f>
        <v>0</v>
      </c>
      <c r="G25" s="69"/>
      <c r="H25" s="54"/>
      <c r="I25" s="54"/>
      <c r="J25" s="54"/>
      <c r="K25" s="54"/>
      <c r="L25" s="54"/>
      <c r="M25" s="54"/>
      <c r="N25" s="54"/>
      <c r="O25" s="54"/>
      <c r="P25" s="54"/>
      <c r="Q25" s="54"/>
      <c r="R25" s="54"/>
      <c r="T25" s="36"/>
      <c r="W25" s="37"/>
    </row>
    <row r="26" spans="1:23" s="9" customFormat="1" ht="19.95" customHeight="1">
      <c r="A26" s="262" t="s">
        <v>190</v>
      </c>
      <c r="B26" s="263"/>
      <c r="C26" s="264"/>
      <c r="D26" s="143">
        <f>B26*C26</f>
        <v>0</v>
      </c>
      <c r="E26" s="198"/>
      <c r="F26" s="241">
        <f t="shared" si="1"/>
        <v>0</v>
      </c>
      <c r="G26" s="69"/>
      <c r="H26" s="54"/>
      <c r="I26" s="54"/>
      <c r="J26" s="54"/>
      <c r="K26" s="54"/>
      <c r="L26" s="54"/>
      <c r="M26" s="54"/>
      <c r="N26" s="54"/>
      <c r="O26" s="54"/>
      <c r="P26" s="54"/>
      <c r="Q26" s="54"/>
      <c r="R26" s="54"/>
      <c r="T26" s="36"/>
      <c r="W26" s="37"/>
    </row>
    <row r="27" spans="1:23" s="9" customFormat="1" ht="19.95" customHeight="1">
      <c r="A27" s="262" t="s">
        <v>191</v>
      </c>
      <c r="B27" s="263"/>
      <c r="C27" s="264"/>
      <c r="D27" s="143">
        <f>B27*C27</f>
        <v>0</v>
      </c>
      <c r="E27" s="198"/>
      <c r="F27" s="241">
        <f t="shared" si="1"/>
        <v>0</v>
      </c>
      <c r="G27" s="69"/>
      <c r="H27" s="54"/>
      <c r="I27" s="54"/>
      <c r="J27" s="54"/>
      <c r="K27" s="54"/>
      <c r="L27" s="54"/>
      <c r="M27" s="54"/>
      <c r="N27" s="54"/>
      <c r="O27" s="54"/>
      <c r="P27" s="54"/>
      <c r="Q27" s="54"/>
      <c r="R27" s="54"/>
      <c r="T27" s="36"/>
      <c r="W27" s="37"/>
    </row>
    <row r="28" spans="1:23" s="9" customFormat="1" ht="19.95" customHeight="1">
      <c r="A28" s="257" t="s">
        <v>30</v>
      </c>
      <c r="B28" s="268">
        <f>SUM(B24:B27)</f>
        <v>0</v>
      </c>
      <c r="C28" s="272"/>
      <c r="D28" s="268">
        <f>SUM(D24:D27)</f>
        <v>0</v>
      </c>
      <c r="E28" s="268">
        <f>SUM(E24:E27)</f>
        <v>0</v>
      </c>
      <c r="F28" s="152">
        <f>SUM(F24:F27)</f>
        <v>0</v>
      </c>
      <c r="G28" s="70"/>
      <c r="H28" s="54"/>
      <c r="I28" s="54"/>
      <c r="J28" s="54"/>
      <c r="K28" s="54"/>
      <c r="L28" s="54"/>
      <c r="M28" s="54"/>
      <c r="N28" s="54"/>
      <c r="O28" s="54"/>
      <c r="P28" s="54"/>
      <c r="Q28" s="54"/>
      <c r="R28" s="54"/>
      <c r="T28" s="36"/>
      <c r="W28" s="37"/>
    </row>
    <row r="29" spans="1:23" s="9" customFormat="1" ht="19.95" customHeight="1">
      <c r="A29" s="65"/>
      <c r="B29" s="66"/>
      <c r="C29" s="66"/>
      <c r="D29" s="66"/>
      <c r="E29" s="71"/>
      <c r="F29" s="66"/>
      <c r="G29" s="71"/>
      <c r="H29" s="54"/>
      <c r="I29" s="54"/>
      <c r="J29" s="54"/>
      <c r="K29" s="54"/>
      <c r="L29" s="54"/>
      <c r="M29" s="54"/>
      <c r="N29" s="54"/>
      <c r="O29" s="54"/>
      <c r="P29" s="54"/>
      <c r="Q29" s="54"/>
      <c r="R29" s="54"/>
      <c r="T29" s="36"/>
      <c r="W29" s="37"/>
    </row>
    <row r="30" spans="1:23" s="9" customFormat="1" ht="19.95" customHeight="1">
      <c r="A30" s="192"/>
      <c r="B30" s="169"/>
      <c r="C30" s="169"/>
      <c r="D30" s="169"/>
      <c r="E30" s="169"/>
      <c r="F30" s="54"/>
      <c r="G30" s="54"/>
      <c r="H30" s="54"/>
      <c r="I30" s="54"/>
      <c r="J30" s="54"/>
      <c r="K30" s="54"/>
      <c r="L30" s="54"/>
      <c r="M30" s="54"/>
      <c r="N30" s="54"/>
      <c r="O30" s="54"/>
      <c r="P30" s="54"/>
      <c r="Q30" s="54"/>
      <c r="R30" s="54"/>
      <c r="T30" s="36"/>
      <c r="W30" s="37"/>
    </row>
    <row r="31" spans="1:23" s="9" customFormat="1" ht="19.95" customHeight="1">
      <c r="A31" s="269" t="s">
        <v>201</v>
      </c>
      <c r="B31" s="270"/>
      <c r="C31" s="270"/>
      <c r="D31" s="270"/>
      <c r="E31" s="270"/>
      <c r="F31" s="54"/>
      <c r="G31" s="54"/>
      <c r="H31" s="54"/>
      <c r="I31" s="54"/>
      <c r="J31" s="54"/>
      <c r="K31" s="54"/>
      <c r="L31" s="54"/>
      <c r="M31" s="54"/>
      <c r="N31" s="54"/>
      <c r="O31" s="54"/>
      <c r="P31" s="54"/>
      <c r="Q31" s="54"/>
      <c r="R31" s="54"/>
      <c r="T31" s="36"/>
      <c r="W31" s="37"/>
    </row>
    <row r="32" spans="1:23" s="9" customFormat="1" ht="19.95" customHeight="1">
      <c r="A32" s="334" t="s">
        <v>313</v>
      </c>
      <c r="B32" s="336" t="s">
        <v>188</v>
      </c>
      <c r="C32" s="336" t="s">
        <v>169</v>
      </c>
      <c r="D32" s="337" t="s">
        <v>187</v>
      </c>
      <c r="E32" s="328"/>
      <c r="F32" s="54"/>
      <c r="G32" s="54"/>
      <c r="H32" s="54"/>
      <c r="I32" s="54"/>
      <c r="J32" s="54"/>
      <c r="K32" s="54"/>
      <c r="L32" s="54"/>
      <c r="M32" s="54"/>
      <c r="N32" s="54"/>
      <c r="O32" s="54"/>
      <c r="P32" s="54"/>
      <c r="Q32" s="54"/>
      <c r="R32" s="54"/>
      <c r="T32" s="36"/>
      <c r="W32" s="37"/>
    </row>
    <row r="33" spans="1:23" s="9" customFormat="1" ht="19.95" customHeight="1">
      <c r="A33" s="335"/>
      <c r="B33" s="326"/>
      <c r="C33" s="326"/>
      <c r="D33" s="93" t="s">
        <v>87</v>
      </c>
      <c r="E33" s="93" t="s">
        <v>88</v>
      </c>
      <c r="F33" s="54"/>
      <c r="G33" s="54"/>
      <c r="H33" s="54"/>
      <c r="I33" s="54"/>
      <c r="J33" s="54"/>
      <c r="K33" s="54"/>
      <c r="L33" s="54"/>
      <c r="M33" s="54"/>
      <c r="N33" s="54"/>
      <c r="O33" s="54"/>
      <c r="P33" s="54"/>
      <c r="Q33" s="54"/>
      <c r="R33" s="54"/>
      <c r="T33" s="36"/>
      <c r="W33" s="37"/>
    </row>
    <row r="34" spans="1:23" s="9" customFormat="1" ht="19.95" customHeight="1">
      <c r="A34" s="265">
        <v>1</v>
      </c>
      <c r="B34" s="262" t="s">
        <v>192</v>
      </c>
      <c r="C34" s="266"/>
      <c r="D34" s="266"/>
      <c r="E34" s="266"/>
      <c r="F34" s="54"/>
      <c r="G34" s="54"/>
      <c r="H34" s="54"/>
      <c r="I34" s="54"/>
      <c r="J34" s="54"/>
      <c r="K34" s="54"/>
      <c r="L34" s="54"/>
      <c r="M34" s="54"/>
      <c r="N34" s="54"/>
      <c r="O34" s="54"/>
      <c r="P34" s="54"/>
      <c r="Q34" s="54"/>
      <c r="R34" s="54"/>
      <c r="T34" s="36"/>
      <c r="W34" s="37"/>
    </row>
    <row r="35" spans="1:23" s="9" customFormat="1" ht="19.95" customHeight="1">
      <c r="A35" s="265">
        <v>2</v>
      </c>
      <c r="B35" s="262" t="s">
        <v>189</v>
      </c>
      <c r="C35" s="266"/>
      <c r="D35" s="266"/>
      <c r="E35" s="266"/>
      <c r="F35" s="54"/>
      <c r="G35" s="54"/>
      <c r="H35" s="54"/>
      <c r="I35" s="54"/>
      <c r="J35" s="54"/>
      <c r="K35" s="54"/>
      <c r="L35" s="54"/>
      <c r="M35" s="54"/>
      <c r="N35" s="54"/>
      <c r="O35" s="54"/>
      <c r="P35" s="54"/>
      <c r="Q35" s="54"/>
      <c r="R35" s="54"/>
      <c r="T35" s="36"/>
      <c r="W35" s="37"/>
    </row>
    <row r="36" spans="1:23" s="9" customFormat="1" ht="19.95" customHeight="1">
      <c r="A36" s="265">
        <v>3</v>
      </c>
      <c r="B36" s="262" t="s">
        <v>190</v>
      </c>
      <c r="C36" s="266"/>
      <c r="D36" s="266"/>
      <c r="E36" s="266"/>
      <c r="F36" s="54"/>
      <c r="G36" s="54"/>
      <c r="H36" s="54"/>
      <c r="I36" s="54"/>
      <c r="J36" s="54"/>
      <c r="K36" s="54"/>
      <c r="L36" s="54"/>
      <c r="M36" s="54"/>
      <c r="N36" s="54"/>
      <c r="O36" s="54"/>
      <c r="P36" s="54"/>
      <c r="Q36" s="54"/>
      <c r="R36" s="54"/>
      <c r="T36" s="36"/>
      <c r="W36" s="37"/>
    </row>
    <row r="37" spans="1:23" s="9" customFormat="1" ht="19.95" customHeight="1">
      <c r="A37" s="265">
        <v>4</v>
      </c>
      <c r="B37" s="262" t="s">
        <v>191</v>
      </c>
      <c r="C37" s="266"/>
      <c r="D37" s="266"/>
      <c r="E37" s="266"/>
      <c r="F37" s="54"/>
      <c r="G37" s="54"/>
      <c r="H37" s="54"/>
      <c r="I37" s="54"/>
      <c r="J37" s="54"/>
      <c r="K37" s="54"/>
      <c r="L37" s="54"/>
      <c r="M37" s="54"/>
      <c r="N37" s="54"/>
      <c r="O37" s="54"/>
      <c r="P37" s="54"/>
      <c r="Q37" s="54"/>
      <c r="R37" s="54"/>
      <c r="T37" s="36"/>
      <c r="W37" s="37"/>
    </row>
    <row r="38" spans="1:23" s="9" customFormat="1" ht="19.95" customHeight="1">
      <c r="A38" s="267"/>
      <c r="B38" s="267" t="s">
        <v>170</v>
      </c>
      <c r="C38" s="268">
        <f>SUM(C33:C37)</f>
        <v>0</v>
      </c>
      <c r="D38" s="268">
        <f>SUM(D33:D37)</f>
        <v>0</v>
      </c>
      <c r="E38" s="268">
        <f>SUM(E33:E37)</f>
        <v>0</v>
      </c>
      <c r="F38" s="54"/>
      <c r="G38" s="54"/>
      <c r="H38" s="54"/>
      <c r="I38" s="54"/>
      <c r="J38" s="54"/>
      <c r="K38" s="54"/>
      <c r="L38" s="54"/>
      <c r="M38" s="54"/>
      <c r="N38" s="54"/>
      <c r="O38" s="54"/>
      <c r="P38" s="54"/>
      <c r="Q38" s="54"/>
      <c r="R38" s="54"/>
      <c r="T38" s="36"/>
      <c r="W38" s="37"/>
    </row>
    <row r="39" spans="1:23" s="9" customFormat="1" ht="19.95" customHeight="1">
      <c r="A39" s="192"/>
      <c r="B39" s="169"/>
      <c r="C39" s="169"/>
      <c r="D39" s="169"/>
      <c r="E39" s="169"/>
      <c r="F39" s="54"/>
      <c r="G39" s="54"/>
      <c r="H39" s="54"/>
      <c r="I39" s="54"/>
      <c r="J39" s="54"/>
      <c r="K39" s="54"/>
      <c r="L39" s="54"/>
      <c r="M39" s="54"/>
      <c r="N39" s="54"/>
      <c r="O39" s="54"/>
      <c r="P39" s="54"/>
      <c r="Q39" s="54"/>
      <c r="R39" s="54"/>
      <c r="T39" s="36"/>
      <c r="W39" s="37"/>
    </row>
    <row r="40" spans="1:23" s="7" customFormat="1" ht="19.95" customHeight="1">
      <c r="A40" s="23" t="s">
        <v>40</v>
      </c>
      <c r="B40" s="9"/>
      <c r="C40" s="9"/>
      <c r="D40" s="9"/>
      <c r="E40" s="9"/>
      <c r="F40" s="9"/>
      <c r="G40" s="9"/>
    </row>
    <row r="41" spans="1:23" s="7" customFormat="1" ht="19.95" customHeight="1">
      <c r="A41" s="23"/>
      <c r="B41" s="9"/>
      <c r="C41" s="9"/>
      <c r="D41" s="9"/>
      <c r="E41" s="9"/>
      <c r="F41" s="9"/>
      <c r="G41" s="9"/>
    </row>
    <row r="42" spans="1:23" s="7" customFormat="1" ht="19.95" customHeight="1">
      <c r="A42" s="23"/>
      <c r="B42" s="9"/>
      <c r="C42" s="9"/>
      <c r="D42" s="9"/>
      <c r="E42" s="9"/>
      <c r="F42" s="9"/>
      <c r="G42" s="9"/>
    </row>
    <row r="43" spans="1:23" s="7" customFormat="1" ht="19.95" customHeight="1">
      <c r="A43" s="23" t="s">
        <v>41</v>
      </c>
      <c r="B43" s="9"/>
      <c r="C43" s="9"/>
      <c r="D43" s="9"/>
      <c r="E43" s="9"/>
      <c r="F43" s="9"/>
      <c r="G43" s="9"/>
    </row>
    <row r="44" spans="1:23" s="7" customFormat="1" ht="19.95" customHeight="1">
      <c r="A44" s="9"/>
      <c r="B44" s="9"/>
      <c r="C44" s="9"/>
      <c r="D44" s="9"/>
      <c r="E44" s="9"/>
      <c r="F44" s="9"/>
      <c r="G44" s="9"/>
    </row>
    <row r="45" spans="1:23" s="7" customFormat="1" ht="18.75" customHeight="1">
      <c r="A45" s="9"/>
      <c r="B45" s="9"/>
      <c r="C45" s="9"/>
      <c r="D45" s="9"/>
      <c r="E45" s="9"/>
      <c r="F45" s="9"/>
      <c r="G45" s="9"/>
    </row>
    <row r="46" spans="1:23" s="7" customFormat="1" ht="15" customHeight="1"/>
    <row r="47" spans="1:23" s="7" customFormat="1" ht="15" customHeight="1"/>
    <row r="48" spans="1:23" s="7" customFormat="1" ht="15" customHeight="1"/>
    <row r="49" s="7" customFormat="1" ht="15" customHeight="1"/>
    <row r="50" s="7" customFormat="1" ht="15" customHeight="1"/>
  </sheetData>
  <mergeCells count="6">
    <mergeCell ref="A1:G1"/>
    <mergeCell ref="A2:G2"/>
    <mergeCell ref="A32:A33"/>
    <mergeCell ref="B32:B33"/>
    <mergeCell ref="C32:C33"/>
    <mergeCell ref="D32:E32"/>
  </mergeCells>
  <phoneticPr fontId="45" type="noConversion"/>
  <hyperlinks>
    <hyperlink ref="G3" location="底稿目录!A1" display="底稿目录!A1"/>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colBreaks count="1" manualBreakCount="1">
    <brk id="7" max="27"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W36"/>
  <sheetViews>
    <sheetView view="pageBreakPreview" zoomScaleSheetLayoutView="100" workbookViewId="0">
      <selection sqref="A1:H1"/>
    </sheetView>
  </sheetViews>
  <sheetFormatPr defaultColWidth="9.109375" defaultRowHeight="15.6"/>
  <cols>
    <col min="1" max="1" width="10.109375" style="6" customWidth="1"/>
    <col min="2" max="2" width="24.44140625" style="6" customWidth="1"/>
    <col min="3" max="3" width="15.5546875" style="6" customWidth="1"/>
    <col min="4" max="4" width="15" style="6" customWidth="1"/>
    <col min="5" max="5" width="15.88671875" style="6" customWidth="1"/>
    <col min="6" max="6" width="13.6640625" style="6" customWidth="1"/>
    <col min="7" max="7" width="12" style="6" customWidth="1"/>
    <col min="8" max="8" width="24.44140625" style="6" customWidth="1"/>
    <col min="9" max="16384" width="9.109375" style="6"/>
  </cols>
  <sheetData>
    <row r="1" spans="1:23" s="14" customFormat="1" ht="19.95" customHeight="1">
      <c r="A1" s="323" t="s">
        <v>0</v>
      </c>
      <c r="B1" s="323"/>
      <c r="C1" s="323"/>
      <c r="D1" s="323"/>
      <c r="E1" s="323"/>
      <c r="F1" s="323"/>
      <c r="G1" s="323"/>
      <c r="H1" s="323"/>
      <c r="I1" s="213"/>
      <c r="J1" s="213"/>
      <c r="K1" s="213"/>
      <c r="L1" s="213"/>
    </row>
    <row r="2" spans="1:23" s="14" customFormat="1" ht="19.95" customHeight="1">
      <c r="A2" s="324" t="s">
        <v>221</v>
      </c>
      <c r="B2" s="324"/>
      <c r="C2" s="324"/>
      <c r="D2" s="324"/>
      <c r="E2" s="324"/>
      <c r="F2" s="324"/>
      <c r="G2" s="324"/>
      <c r="H2" s="324"/>
      <c r="I2" s="214"/>
      <c r="J2" s="214"/>
      <c r="K2" s="214"/>
      <c r="L2" s="214"/>
    </row>
    <row r="3" spans="1:23" s="9" customFormat="1" ht="19.95" customHeight="1">
      <c r="A3" s="2" t="str">
        <f>底稿目录!A2</f>
        <v>被审计单位：</v>
      </c>
      <c r="C3" s="3" t="str">
        <f>底稿目录!A4</f>
        <v>编制人：</v>
      </c>
      <c r="E3" s="2" t="str">
        <f>底稿目录!A5</f>
        <v>编制日期：</v>
      </c>
      <c r="G3" s="149" t="s">
        <v>141</v>
      </c>
      <c r="H3" s="255" t="str">
        <f>底稿目录!D12</f>
        <v>K5-5</v>
      </c>
    </row>
    <row r="4" spans="1:23" s="9" customFormat="1" ht="19.95" customHeight="1">
      <c r="A4" s="2" t="str">
        <f>底稿目录!A3</f>
        <v>截止日：202X年12月31日</v>
      </c>
      <c r="C4" s="3" t="str">
        <f>底稿目录!A6</f>
        <v>复核人：</v>
      </c>
      <c r="E4" s="2" t="str">
        <f>底稿目录!A7</f>
        <v>复核日期：</v>
      </c>
      <c r="G4" s="9" t="s">
        <v>31</v>
      </c>
    </row>
    <row r="5" spans="1:23" s="9" customFormat="1" ht="19.95" customHeight="1">
      <c r="A5" s="226" t="s">
        <v>32</v>
      </c>
      <c r="B5" s="34"/>
      <c r="F5" s="35"/>
      <c r="G5" s="35"/>
      <c r="H5" s="35"/>
      <c r="I5" s="35"/>
      <c r="J5" s="35"/>
      <c r="K5" s="35"/>
      <c r="L5" s="35"/>
      <c r="P5" s="35"/>
      <c r="T5" s="36"/>
      <c r="W5" s="37"/>
    </row>
    <row r="6" spans="1:23" s="9" customFormat="1" ht="19.95" customHeight="1">
      <c r="A6" s="172" t="s">
        <v>178</v>
      </c>
      <c r="B6" s="173"/>
      <c r="C6" s="173"/>
      <c r="F6" s="172"/>
      <c r="H6" s="35"/>
      <c r="I6" s="35"/>
      <c r="J6" s="35"/>
      <c r="K6" s="35"/>
      <c r="L6" s="35"/>
      <c r="P6" s="35"/>
      <c r="T6" s="36"/>
      <c r="W6" s="37"/>
    </row>
    <row r="7" spans="1:23" s="9" customFormat="1" ht="19.95" customHeight="1">
      <c r="A7" s="9" t="s">
        <v>276</v>
      </c>
      <c r="B7" s="173"/>
      <c r="C7" s="173"/>
      <c r="E7" s="172"/>
      <c r="F7" s="172"/>
      <c r="H7" s="35"/>
      <c r="I7" s="35"/>
      <c r="J7" s="35"/>
      <c r="K7" s="35"/>
      <c r="L7" s="35"/>
      <c r="P7" s="35"/>
      <c r="T7" s="36"/>
      <c r="W7" s="37"/>
    </row>
    <row r="8" spans="1:23" s="9" customFormat="1" ht="19.95" customHeight="1">
      <c r="A8" s="172" t="s">
        <v>277</v>
      </c>
      <c r="B8" s="173"/>
      <c r="C8" s="173"/>
      <c r="D8"/>
      <c r="E8"/>
      <c r="F8" s="35"/>
      <c r="G8" s="35"/>
      <c r="H8" s="35"/>
      <c r="I8" s="35"/>
      <c r="J8" s="35"/>
      <c r="K8" s="35"/>
      <c r="L8" s="35"/>
      <c r="P8" s="35"/>
      <c r="T8" s="36"/>
      <c r="W8" s="37"/>
    </row>
    <row r="9" spans="1:23" s="9" customFormat="1" ht="19.95" customHeight="1">
      <c r="A9" s="227" t="s">
        <v>33</v>
      </c>
      <c r="F9" s="39"/>
      <c r="G9" s="39"/>
      <c r="H9" s="39"/>
      <c r="I9" s="39"/>
      <c r="J9" s="39"/>
      <c r="K9" s="39"/>
      <c r="L9" s="39"/>
      <c r="P9" s="39"/>
      <c r="T9" s="36"/>
      <c r="W9" s="37"/>
    </row>
    <row r="10" spans="1:23" s="9" customFormat="1" ht="19.95" customHeight="1">
      <c r="A10" s="195" t="s">
        <v>202</v>
      </c>
      <c r="B10" s="54"/>
      <c r="C10" s="54"/>
      <c r="D10" s="54"/>
      <c r="E10" s="54"/>
      <c r="F10" s="54"/>
      <c r="G10" s="54"/>
      <c r="H10" s="54"/>
      <c r="I10" s="54"/>
      <c r="J10" s="54"/>
      <c r="K10" s="54"/>
      <c r="L10" s="54"/>
      <c r="M10" s="54"/>
      <c r="N10" s="54"/>
      <c r="O10" s="54"/>
      <c r="P10" s="54"/>
      <c r="Q10" s="54"/>
      <c r="R10" s="54"/>
      <c r="T10" s="36"/>
      <c r="W10" s="37"/>
    </row>
    <row r="11" spans="1:23" s="9" customFormat="1" ht="61.2" customHeight="1">
      <c r="A11" s="64" t="s">
        <v>42</v>
      </c>
      <c r="B11" s="75" t="s">
        <v>43</v>
      </c>
      <c r="C11" s="75" t="s">
        <v>44</v>
      </c>
      <c r="D11" s="75" t="s">
        <v>45</v>
      </c>
      <c r="E11" s="75" t="s">
        <v>46</v>
      </c>
      <c r="F11" s="75" t="s">
        <v>47</v>
      </c>
      <c r="G11" s="54"/>
      <c r="H11" s="54"/>
      <c r="I11" s="54"/>
      <c r="J11" s="54"/>
      <c r="K11" s="54"/>
      <c r="L11" s="54"/>
      <c r="M11" s="54"/>
      <c r="N11" s="54"/>
      <c r="O11" s="54"/>
      <c r="P11" s="54"/>
      <c r="Q11" s="54"/>
      <c r="R11" s="54"/>
      <c r="T11" s="36"/>
      <c r="W11" s="37"/>
    </row>
    <row r="12" spans="1:23" s="9" customFormat="1" ht="19.95" customHeight="1">
      <c r="A12" s="188">
        <v>1</v>
      </c>
      <c r="B12" s="69"/>
      <c r="C12" s="69"/>
      <c r="D12" s="69"/>
      <c r="E12" s="69"/>
      <c r="F12" s="69"/>
      <c r="G12" s="54"/>
      <c r="H12" s="54"/>
      <c r="I12" s="54"/>
      <c r="J12" s="54"/>
      <c r="K12" s="54"/>
      <c r="L12" s="54"/>
      <c r="M12" s="54"/>
      <c r="N12" s="54"/>
      <c r="O12" s="54"/>
      <c r="P12" s="54"/>
      <c r="Q12" s="54"/>
      <c r="R12" s="54"/>
      <c r="T12" s="36"/>
      <c r="W12" s="37"/>
    </row>
    <row r="13" spans="1:23" s="9" customFormat="1" ht="19.95" customHeight="1">
      <c r="A13" s="194" t="s">
        <v>203</v>
      </c>
      <c r="B13" s="71"/>
      <c r="C13" s="54"/>
      <c r="D13" s="54"/>
      <c r="E13" s="54"/>
      <c r="F13" s="54"/>
      <c r="G13" s="54"/>
      <c r="H13" s="54"/>
      <c r="I13" s="54"/>
      <c r="J13" s="54"/>
      <c r="K13" s="54"/>
      <c r="L13" s="54"/>
      <c r="M13" s="54"/>
      <c r="N13" s="54"/>
      <c r="O13" s="54"/>
      <c r="P13" s="54"/>
      <c r="Q13" s="54"/>
      <c r="R13" s="54"/>
      <c r="T13" s="36"/>
      <c r="W13" s="37"/>
    </row>
    <row r="14" spans="1:23" s="9" customFormat="1" ht="19.95" customHeight="1">
      <c r="A14" s="342" t="s">
        <v>42</v>
      </c>
      <c r="B14" s="341" t="s">
        <v>48</v>
      </c>
      <c r="C14" s="341"/>
      <c r="D14" s="341"/>
      <c r="E14" s="343" t="s">
        <v>49</v>
      </c>
      <c r="F14" s="343" t="s">
        <v>50</v>
      </c>
      <c r="G14" s="343" t="s">
        <v>51</v>
      </c>
      <c r="H14" s="343" t="s">
        <v>47</v>
      </c>
      <c r="I14" s="54"/>
      <c r="J14" s="54"/>
      <c r="K14" s="54"/>
      <c r="L14" s="54"/>
      <c r="M14" s="54"/>
      <c r="N14" s="54"/>
      <c r="O14" s="54"/>
      <c r="P14" s="54"/>
      <c r="Q14" s="54"/>
      <c r="R14" s="54"/>
      <c r="T14" s="36"/>
      <c r="W14" s="37"/>
    </row>
    <row r="15" spans="1:23" s="9" customFormat="1" ht="19.95" customHeight="1">
      <c r="A15" s="342"/>
      <c r="B15" s="64" t="s">
        <v>29</v>
      </c>
      <c r="C15" s="64" t="s">
        <v>27</v>
      </c>
      <c r="D15" s="64" t="s">
        <v>28</v>
      </c>
      <c r="E15" s="343"/>
      <c r="F15" s="343"/>
      <c r="G15" s="343"/>
      <c r="H15" s="343"/>
      <c r="I15" s="54"/>
      <c r="J15" s="54"/>
      <c r="K15" s="54"/>
      <c r="L15" s="54"/>
      <c r="M15" s="54"/>
      <c r="N15" s="54"/>
      <c r="O15" s="54"/>
      <c r="P15" s="54"/>
      <c r="Q15" s="54"/>
      <c r="R15" s="54"/>
      <c r="T15" s="36"/>
      <c r="W15" s="37"/>
    </row>
    <row r="16" spans="1:23" s="9" customFormat="1" ht="19.95" customHeight="1">
      <c r="A16" s="188">
        <v>1</v>
      </c>
      <c r="B16" s="198"/>
      <c r="C16" s="198"/>
      <c r="D16" s="198"/>
      <c r="E16" s="198"/>
      <c r="F16" s="198"/>
      <c r="G16" s="198"/>
      <c r="H16" s="69"/>
      <c r="I16" s="54"/>
      <c r="J16" s="54"/>
      <c r="K16" s="54"/>
      <c r="L16" s="54"/>
      <c r="M16" s="54"/>
      <c r="N16" s="54"/>
      <c r="O16" s="54"/>
      <c r="P16" s="54"/>
      <c r="Q16" s="54"/>
      <c r="R16" s="54"/>
      <c r="T16" s="36"/>
      <c r="W16" s="37"/>
    </row>
    <row r="17" spans="1:23" s="9" customFormat="1" ht="19.95" customHeight="1">
      <c r="A17" s="76" t="s">
        <v>126</v>
      </c>
      <c r="B17" s="71"/>
      <c r="C17" s="54"/>
      <c r="D17" s="54"/>
      <c r="E17" s="54"/>
      <c r="F17" s="54"/>
      <c r="G17" s="54"/>
      <c r="H17" s="54"/>
      <c r="I17" s="54"/>
      <c r="J17" s="54"/>
      <c r="K17" s="54"/>
      <c r="L17" s="54"/>
      <c r="M17" s="54"/>
      <c r="N17" s="54"/>
      <c r="O17" s="54"/>
      <c r="P17" s="54"/>
      <c r="Q17" s="54"/>
      <c r="R17" s="54"/>
      <c r="T17" s="36"/>
      <c r="W17" s="37"/>
    </row>
    <row r="18" spans="1:23" s="9" customFormat="1" ht="19.95" customHeight="1">
      <c r="A18" s="344" t="s">
        <v>314</v>
      </c>
      <c r="B18" s="345"/>
      <c r="C18" s="345"/>
      <c r="D18" s="346"/>
      <c r="E18" s="344" t="s">
        <v>315</v>
      </c>
      <c r="F18" s="345"/>
      <c r="G18" s="345"/>
      <c r="H18" s="346"/>
      <c r="I18" s="54"/>
      <c r="J18" s="54"/>
      <c r="K18" s="54"/>
      <c r="L18" s="54"/>
      <c r="M18" s="54"/>
      <c r="N18" s="54"/>
      <c r="O18" s="54"/>
      <c r="P18" s="54"/>
      <c r="Q18" s="54"/>
      <c r="R18" s="54"/>
      <c r="T18" s="36"/>
      <c r="W18" s="37"/>
    </row>
    <row r="19" spans="1:23" s="22" customFormat="1" ht="19.95" customHeight="1">
      <c r="A19" s="77" t="s">
        <v>52</v>
      </c>
      <c r="B19" s="77" t="s">
        <v>53</v>
      </c>
      <c r="C19" s="77" t="s">
        <v>54</v>
      </c>
      <c r="D19" s="77" t="s">
        <v>55</v>
      </c>
      <c r="E19" s="338" t="s">
        <v>53</v>
      </c>
      <c r="F19" s="338"/>
      <c r="G19" s="77" t="s">
        <v>56</v>
      </c>
      <c r="H19" s="77" t="s">
        <v>57</v>
      </c>
      <c r="I19" s="68"/>
      <c r="J19" s="68"/>
      <c r="K19" s="68"/>
      <c r="L19" s="68"/>
      <c r="M19" s="68"/>
      <c r="N19" s="68"/>
      <c r="O19" s="68"/>
      <c r="P19" s="68"/>
      <c r="Q19" s="68"/>
      <c r="R19" s="68"/>
      <c r="W19" s="55"/>
    </row>
    <row r="20" spans="1:23" s="9" customFormat="1" ht="19.95" customHeight="1">
      <c r="A20" s="188">
        <v>1</v>
      </c>
      <c r="B20" s="78"/>
      <c r="C20" s="199"/>
      <c r="D20" s="78"/>
      <c r="E20" s="339"/>
      <c r="F20" s="339"/>
      <c r="G20" s="199"/>
      <c r="H20" s="78"/>
      <c r="I20" s="54"/>
      <c r="J20" s="54"/>
      <c r="K20" s="54"/>
      <c r="L20" s="54"/>
      <c r="M20" s="54"/>
      <c r="N20" s="54"/>
      <c r="O20" s="54"/>
      <c r="P20" s="54"/>
      <c r="Q20" s="54"/>
      <c r="R20" s="54"/>
      <c r="T20" s="36"/>
      <c r="W20" s="37"/>
    </row>
    <row r="21" spans="1:23" s="9" customFormat="1" ht="19.95" customHeight="1">
      <c r="A21" s="188">
        <v>2</v>
      </c>
      <c r="B21" s="78"/>
      <c r="C21" s="199"/>
      <c r="D21" s="78"/>
      <c r="E21" s="339"/>
      <c r="F21" s="339"/>
      <c r="G21" s="199"/>
      <c r="H21" s="78"/>
      <c r="I21" s="54"/>
      <c r="J21" s="54"/>
      <c r="K21" s="54"/>
      <c r="L21" s="54"/>
      <c r="M21" s="54"/>
      <c r="N21" s="54"/>
      <c r="O21" s="54"/>
      <c r="P21" s="54"/>
      <c r="Q21" s="54"/>
      <c r="R21" s="54"/>
      <c r="T21" s="36"/>
      <c r="W21" s="37"/>
    </row>
    <row r="22" spans="1:23" s="9" customFormat="1" ht="19.95" customHeight="1">
      <c r="A22" s="188">
        <v>3</v>
      </c>
      <c r="B22" s="78"/>
      <c r="C22" s="199"/>
      <c r="D22" s="78"/>
      <c r="E22" s="339"/>
      <c r="F22" s="339"/>
      <c r="G22" s="199"/>
      <c r="H22" s="78"/>
      <c r="I22" s="54"/>
      <c r="J22" s="54"/>
      <c r="K22" s="54"/>
      <c r="L22" s="54"/>
      <c r="M22" s="54"/>
      <c r="N22" s="54"/>
      <c r="O22" s="54"/>
      <c r="P22" s="54"/>
      <c r="Q22" s="54"/>
      <c r="R22" s="54"/>
      <c r="T22" s="36"/>
      <c r="W22" s="37"/>
    </row>
    <row r="23" spans="1:23" s="9" customFormat="1" ht="19.95" customHeight="1">
      <c r="A23" s="188">
        <v>4</v>
      </c>
      <c r="B23" s="78"/>
      <c r="C23" s="199"/>
      <c r="D23" s="78"/>
      <c r="E23" s="339"/>
      <c r="F23" s="339"/>
      <c r="G23" s="199"/>
      <c r="H23" s="78"/>
      <c r="I23" s="54"/>
      <c r="J23" s="54"/>
      <c r="K23" s="54"/>
      <c r="L23" s="54"/>
      <c r="M23" s="54"/>
      <c r="N23" s="54"/>
      <c r="O23" s="54"/>
      <c r="P23" s="54"/>
      <c r="Q23" s="54"/>
      <c r="R23" s="54"/>
      <c r="T23" s="36"/>
      <c r="W23" s="37"/>
    </row>
    <row r="24" spans="1:23" s="9" customFormat="1" ht="19.95" customHeight="1">
      <c r="A24" s="188">
        <v>5</v>
      </c>
      <c r="B24" s="78"/>
      <c r="C24" s="199"/>
      <c r="D24" s="78"/>
      <c r="E24" s="339"/>
      <c r="F24" s="339"/>
      <c r="G24" s="199"/>
      <c r="H24" s="78"/>
      <c r="I24" s="54"/>
      <c r="J24" s="54"/>
      <c r="K24" s="54"/>
      <c r="L24" s="54"/>
      <c r="M24" s="54"/>
      <c r="N24" s="54"/>
      <c r="O24" s="54"/>
      <c r="P24" s="54"/>
      <c r="Q24" s="54"/>
      <c r="R24" s="54"/>
      <c r="T24" s="36"/>
      <c r="W24" s="37"/>
    </row>
    <row r="25" spans="1:23" s="9" customFormat="1" ht="19.95" customHeight="1">
      <c r="A25" s="338" t="s">
        <v>58</v>
      </c>
      <c r="B25" s="338"/>
      <c r="C25" s="241">
        <f>SUM(C20:C24)</f>
        <v>0</v>
      </c>
      <c r="D25" s="242"/>
      <c r="E25" s="340" t="s">
        <v>248</v>
      </c>
      <c r="F25" s="340"/>
      <c r="G25" s="241">
        <f>SUM(G20:G24)</f>
        <v>0</v>
      </c>
      <c r="H25" s="243"/>
      <c r="I25" s="54"/>
      <c r="J25" s="54"/>
      <c r="K25" s="54"/>
      <c r="L25" s="54"/>
      <c r="M25" s="54"/>
      <c r="N25" s="54"/>
      <c r="O25" s="54"/>
      <c r="P25" s="54"/>
      <c r="Q25" s="54"/>
      <c r="R25" s="54"/>
      <c r="T25" s="36"/>
      <c r="W25" s="37"/>
    </row>
    <row r="26" spans="1:23" s="7" customFormat="1" ht="19.95" customHeight="1">
      <c r="A26" s="23" t="s">
        <v>40</v>
      </c>
      <c r="B26" s="9"/>
      <c r="C26" s="9"/>
      <c r="D26" s="9"/>
      <c r="E26" s="9"/>
      <c r="F26" s="9"/>
      <c r="G26" s="9"/>
    </row>
    <row r="27" spans="1:23" s="7" customFormat="1" ht="19.95" customHeight="1">
      <c r="A27" s="9"/>
      <c r="B27" s="9"/>
      <c r="C27" s="9"/>
      <c r="D27" s="9"/>
      <c r="E27" s="9"/>
      <c r="F27" s="9"/>
      <c r="G27" s="9"/>
    </row>
    <row r="28" spans="1:23" s="7" customFormat="1" ht="19.95" customHeight="1">
      <c r="A28" s="23" t="s">
        <v>41</v>
      </c>
      <c r="B28" s="9"/>
      <c r="C28" s="9"/>
      <c r="D28" s="9"/>
      <c r="E28" s="9"/>
      <c r="F28" s="9"/>
      <c r="G28" s="9"/>
    </row>
    <row r="29" spans="1:23" s="7" customFormat="1" ht="19.95" customHeight="1">
      <c r="A29" s="23"/>
      <c r="B29" s="9"/>
      <c r="C29" s="9"/>
      <c r="D29" s="9"/>
      <c r="E29" s="9"/>
      <c r="F29" s="9"/>
      <c r="G29" s="9"/>
    </row>
    <row r="30" spans="1:23" s="7" customFormat="1" ht="19.95" customHeight="1">
      <c r="A30" s="9"/>
      <c r="B30" s="9"/>
      <c r="C30" s="9"/>
      <c r="D30" s="9"/>
      <c r="E30" s="9"/>
      <c r="F30" s="9"/>
      <c r="G30" s="9"/>
    </row>
    <row r="31" spans="1:23" s="7" customFormat="1" ht="18.75" customHeight="1">
      <c r="A31" s="9"/>
      <c r="B31" s="9"/>
      <c r="C31" s="9"/>
      <c r="D31" s="9"/>
      <c r="E31" s="9"/>
      <c r="F31" s="9"/>
      <c r="G31" s="9"/>
    </row>
    <row r="32" spans="1:23" s="7" customFormat="1" ht="15" customHeight="1"/>
    <row r="33" s="7" customFormat="1" ht="15" customHeight="1"/>
    <row r="34" s="7" customFormat="1" ht="15" customHeight="1"/>
    <row r="35" s="7" customFormat="1" ht="15" customHeight="1"/>
    <row r="36" s="7" customFormat="1" ht="15" customHeight="1"/>
  </sheetData>
  <mergeCells count="18">
    <mergeCell ref="A25:B25"/>
    <mergeCell ref="E25:F25"/>
    <mergeCell ref="B14:D14"/>
    <mergeCell ref="A14:A15"/>
    <mergeCell ref="E14:E15"/>
    <mergeCell ref="F14:F15"/>
    <mergeCell ref="A18:D18"/>
    <mergeCell ref="E18:H18"/>
    <mergeCell ref="E22:F22"/>
    <mergeCell ref="E23:F23"/>
    <mergeCell ref="E24:F24"/>
    <mergeCell ref="G14:G15"/>
    <mergeCell ref="H14:H15"/>
    <mergeCell ref="A1:H1"/>
    <mergeCell ref="A2:H2"/>
    <mergeCell ref="E19:F19"/>
    <mergeCell ref="E20:F20"/>
    <mergeCell ref="E21:F21"/>
  </mergeCells>
  <phoneticPr fontId="5" type="noConversion"/>
  <hyperlinks>
    <hyperlink ref="H3" location="底稿目录!A1" display="底稿目录!A1"/>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37"/>
  <sheetViews>
    <sheetView view="pageBreakPreview" zoomScaleNormal="100" zoomScaleSheetLayoutView="100" workbookViewId="0">
      <selection sqref="A1:J1"/>
    </sheetView>
  </sheetViews>
  <sheetFormatPr defaultColWidth="9.109375" defaultRowHeight="12"/>
  <cols>
    <col min="1" max="1" width="18.5546875" style="109" customWidth="1"/>
    <col min="2" max="2" width="13.5546875" style="109" customWidth="1"/>
    <col min="3" max="3" width="14.109375" style="109" customWidth="1"/>
    <col min="4" max="4" width="22.6640625" style="109" bestFit="1" customWidth="1"/>
    <col min="5" max="5" width="18.33203125" style="109" bestFit="1" customWidth="1"/>
    <col min="6" max="7" width="13.6640625" style="109" customWidth="1"/>
    <col min="8" max="9" width="12.77734375" style="109" customWidth="1"/>
    <col min="10" max="10" width="11.5546875" style="109" bestFit="1" customWidth="1"/>
    <col min="11" max="16384" width="9.109375" style="109"/>
  </cols>
  <sheetData>
    <row r="1" spans="1:11" ht="19.95" customHeight="1">
      <c r="A1" s="323" t="s">
        <v>0</v>
      </c>
      <c r="B1" s="323"/>
      <c r="C1" s="323"/>
      <c r="D1" s="323"/>
      <c r="E1" s="323"/>
      <c r="F1" s="323"/>
      <c r="G1" s="323"/>
      <c r="H1" s="323"/>
      <c r="I1" s="323"/>
      <c r="J1" s="323"/>
    </row>
    <row r="2" spans="1:11" ht="19.95" customHeight="1">
      <c r="A2" s="295" t="s">
        <v>99</v>
      </c>
      <c r="B2" s="295"/>
      <c r="C2" s="295"/>
      <c r="D2" s="295"/>
      <c r="E2" s="295"/>
      <c r="F2" s="295"/>
      <c r="G2" s="295"/>
      <c r="H2" s="295"/>
      <c r="I2" s="295"/>
      <c r="J2" s="295"/>
    </row>
    <row r="3" spans="1:11" ht="19.95" customHeight="1">
      <c r="A3" s="2" t="str">
        <f>底稿目录!A2</f>
        <v>被审计单位：</v>
      </c>
      <c r="B3" s="9"/>
      <c r="C3" s="9"/>
      <c r="D3" s="3" t="str">
        <f>底稿目录!A4</f>
        <v>编制人：</v>
      </c>
      <c r="E3" s="9"/>
      <c r="F3" s="2" t="str">
        <f>底稿目录!A5</f>
        <v>编制日期：</v>
      </c>
      <c r="I3" s="153" t="s">
        <v>141</v>
      </c>
      <c r="J3" s="255" t="str">
        <f>底稿目录!D13</f>
        <v>K5-6</v>
      </c>
      <c r="K3" s="9"/>
    </row>
    <row r="4" spans="1:11" ht="19.95" customHeight="1">
      <c r="A4" s="2" t="str">
        <f>底稿目录!A3</f>
        <v>截止日：202X年12月31日</v>
      </c>
      <c r="B4" s="9"/>
      <c r="C4" s="9"/>
      <c r="D4" s="3" t="str">
        <f>底稿目录!A6</f>
        <v>复核人：</v>
      </c>
      <c r="E4" s="9"/>
      <c r="F4" s="2" t="str">
        <f>底稿目录!A7</f>
        <v>复核日期：</v>
      </c>
      <c r="I4" s="36" t="s">
        <v>31</v>
      </c>
      <c r="J4" s="73"/>
      <c r="K4" s="9"/>
    </row>
    <row r="5" spans="1:11" ht="19.95" customHeight="1">
      <c r="A5" s="226" t="s">
        <v>32</v>
      </c>
      <c r="B5" s="34"/>
      <c r="C5" s="9"/>
      <c r="D5" s="58"/>
      <c r="E5" s="9"/>
    </row>
    <row r="6" spans="1:11" ht="19.95" customHeight="1">
      <c r="A6" s="172" t="s">
        <v>178</v>
      </c>
      <c r="B6" s="173"/>
      <c r="C6" s="173"/>
      <c r="D6" s="18"/>
      <c r="E6" s="172"/>
      <c r="F6" s="172"/>
      <c r="G6" s="173"/>
      <c r="I6" s="172"/>
    </row>
    <row r="7" spans="1:11" ht="19.95" customHeight="1">
      <c r="A7" s="9" t="s">
        <v>276</v>
      </c>
      <c r="B7" s="173"/>
      <c r="C7" s="173"/>
      <c r="D7" s="18"/>
      <c r="E7" s="172"/>
      <c r="F7" s="172"/>
      <c r="G7" s="173"/>
      <c r="I7" s="172"/>
    </row>
    <row r="8" spans="1:11" ht="19.95" customHeight="1">
      <c r="A8" s="172" t="s">
        <v>277</v>
      </c>
      <c r="B8" s="173"/>
      <c r="C8" s="173"/>
      <c r="D8" s="18"/>
      <c r="E8" s="172"/>
      <c r="F8" s="35"/>
      <c r="G8" s="173"/>
      <c r="H8" s="173"/>
      <c r="I8" s="173"/>
    </row>
    <row r="9" spans="1:11" ht="19.95" customHeight="1">
      <c r="A9" s="227" t="s">
        <v>100</v>
      </c>
      <c r="B9" s="9"/>
      <c r="C9" s="9"/>
      <c r="D9" s="58"/>
      <c r="E9" s="9"/>
    </row>
    <row r="10" spans="1:11" ht="51" customHeight="1">
      <c r="A10" s="108" t="s">
        <v>101</v>
      </c>
      <c r="B10" s="108" t="s">
        <v>102</v>
      </c>
      <c r="C10" s="108" t="s">
        <v>103</v>
      </c>
      <c r="D10" s="108" t="s">
        <v>104</v>
      </c>
      <c r="E10" s="108" t="s">
        <v>105</v>
      </c>
      <c r="F10" s="108" t="s">
        <v>106</v>
      </c>
      <c r="G10" s="108" t="s">
        <v>107</v>
      </c>
      <c r="H10" s="108" t="s">
        <v>108</v>
      </c>
      <c r="I10" s="190" t="s">
        <v>109</v>
      </c>
    </row>
    <row r="11" spans="1:11" ht="19.95" customHeight="1">
      <c r="A11" s="193"/>
      <c r="B11" s="193"/>
      <c r="C11" s="12"/>
      <c r="D11" s="12"/>
      <c r="E11" s="12"/>
      <c r="F11" s="144">
        <f>E11-D11</f>
        <v>0</v>
      </c>
      <c r="G11" s="193"/>
      <c r="H11" s="193"/>
      <c r="I11" s="200"/>
    </row>
    <row r="12" spans="1:11" ht="19.95" customHeight="1">
      <c r="A12" s="193"/>
      <c r="B12" s="193"/>
      <c r="C12" s="12"/>
      <c r="D12" s="12"/>
      <c r="E12" s="12"/>
      <c r="F12" s="144">
        <f t="shared" ref="F12:F17" si="0">E12-D12</f>
        <v>0</v>
      </c>
      <c r="G12" s="193"/>
      <c r="H12" s="193"/>
      <c r="I12" s="200"/>
    </row>
    <row r="13" spans="1:11" ht="19.95" customHeight="1">
      <c r="A13" s="193"/>
      <c r="B13" s="193"/>
      <c r="C13" s="12"/>
      <c r="D13" s="12"/>
      <c r="E13" s="12"/>
      <c r="F13" s="144">
        <f t="shared" si="0"/>
        <v>0</v>
      </c>
      <c r="G13" s="193"/>
      <c r="H13" s="193"/>
      <c r="I13" s="200"/>
    </row>
    <row r="14" spans="1:11" ht="19.95" customHeight="1">
      <c r="A14" s="193"/>
      <c r="B14" s="193"/>
      <c r="C14" s="12"/>
      <c r="D14" s="12"/>
      <c r="E14" s="12"/>
      <c r="F14" s="144">
        <f t="shared" si="0"/>
        <v>0</v>
      </c>
      <c r="G14" s="193"/>
      <c r="H14" s="193"/>
      <c r="I14" s="200"/>
      <c r="J14" s="12"/>
    </row>
    <row r="15" spans="1:11" ht="19.95" customHeight="1">
      <c r="A15" s="193"/>
      <c r="B15" s="193"/>
      <c r="C15" s="12"/>
      <c r="D15" s="12"/>
      <c r="E15" s="12"/>
      <c r="F15" s="144">
        <f t="shared" si="0"/>
        <v>0</v>
      </c>
      <c r="G15" s="193"/>
      <c r="H15" s="193"/>
      <c r="I15" s="200"/>
      <c r="J15" s="12"/>
    </row>
    <row r="16" spans="1:11" ht="19.95" customHeight="1">
      <c r="A16" s="193"/>
      <c r="B16" s="193"/>
      <c r="C16" s="12"/>
      <c r="D16" s="12"/>
      <c r="E16" s="12"/>
      <c r="F16" s="144">
        <f t="shared" si="0"/>
        <v>0</v>
      </c>
      <c r="G16" s="193"/>
      <c r="H16" s="193"/>
      <c r="I16" s="200"/>
      <c r="J16" s="12"/>
    </row>
    <row r="17" spans="1:10" ht="19.95" customHeight="1">
      <c r="A17" s="193"/>
      <c r="B17" s="193"/>
      <c r="C17" s="12"/>
      <c r="D17" s="12"/>
      <c r="E17" s="12"/>
      <c r="F17" s="144">
        <f t="shared" si="0"/>
        <v>0</v>
      </c>
      <c r="G17" s="193"/>
      <c r="H17" s="193"/>
      <c r="I17" s="200"/>
      <c r="J17" s="12"/>
    </row>
    <row r="18" spans="1:10" ht="19.95" customHeight="1">
      <c r="A18" s="111" t="s">
        <v>110</v>
      </c>
      <c r="B18" s="12"/>
      <c r="C18" s="12"/>
      <c r="D18" s="12"/>
      <c r="E18" s="12"/>
      <c r="F18" s="177">
        <f>SUM(F11:F17)</f>
        <v>0</v>
      </c>
      <c r="G18" s="12"/>
      <c r="H18" s="110"/>
      <c r="I18" s="12"/>
      <c r="J18" s="12"/>
    </row>
    <row r="19" spans="1:10" ht="19.95" customHeight="1">
      <c r="A19" s="94" t="s">
        <v>89</v>
      </c>
      <c r="B19" s="9"/>
      <c r="C19" s="9"/>
      <c r="D19" s="9"/>
      <c r="E19" s="9"/>
    </row>
    <row r="20" spans="1:10" ht="19.95" customHeight="1">
      <c r="A20" s="191" t="s">
        <v>278</v>
      </c>
      <c r="B20" s="9"/>
      <c r="C20" s="9"/>
      <c r="D20" s="9"/>
      <c r="E20" s="9"/>
    </row>
    <row r="21" spans="1:10" ht="19.95" customHeight="1">
      <c r="A21" s="191" t="s">
        <v>279</v>
      </c>
      <c r="B21" s="9"/>
      <c r="C21" s="9"/>
      <c r="D21" s="9"/>
      <c r="E21" s="9"/>
    </row>
    <row r="22" spans="1:10" ht="19.95" customHeight="1">
      <c r="A22" s="191" t="s">
        <v>280</v>
      </c>
      <c r="B22" s="9"/>
      <c r="C22" s="9"/>
      <c r="D22" s="9"/>
      <c r="E22" s="9"/>
    </row>
    <row r="23" spans="1:10" ht="19.95" customHeight="1">
      <c r="A23" s="94" t="s">
        <v>111</v>
      </c>
      <c r="B23" s="9"/>
      <c r="C23" s="9"/>
      <c r="D23" s="9"/>
      <c r="E23" s="9"/>
    </row>
    <row r="24" spans="1:10" ht="19.95" customHeight="1">
      <c r="A24" s="9"/>
      <c r="B24" s="9"/>
      <c r="C24" s="9"/>
      <c r="D24" s="9"/>
      <c r="E24" s="9"/>
    </row>
    <row r="26" spans="1:10" ht="13.8">
      <c r="A26" s="244" t="s">
        <v>273</v>
      </c>
      <c r="B26" s="230"/>
      <c r="C26" s="230"/>
      <c r="D26" s="230"/>
      <c r="E26" s="230"/>
      <c r="F26" s="230"/>
      <c r="G26" s="230"/>
      <c r="H26" s="230"/>
      <c r="I26" s="230"/>
    </row>
    <row r="27" spans="1:10" ht="27" customHeight="1">
      <c r="A27" s="347" t="s">
        <v>249</v>
      </c>
      <c r="B27" s="347"/>
      <c r="C27" s="347"/>
      <c r="D27" s="347"/>
      <c r="E27" s="347"/>
      <c r="F27" s="347"/>
      <c r="G27" s="347"/>
      <c r="H27" s="347"/>
      <c r="I27" s="347"/>
    </row>
    <row r="28" spans="1:10">
      <c r="A28" s="347"/>
      <c r="B28" s="347"/>
      <c r="C28" s="347"/>
      <c r="D28" s="347"/>
      <c r="E28" s="347"/>
      <c r="F28" s="347"/>
      <c r="G28" s="347"/>
      <c r="H28" s="347"/>
      <c r="I28" s="347"/>
    </row>
    <row r="29" spans="1:10">
      <c r="A29" s="347"/>
      <c r="B29" s="347"/>
      <c r="C29" s="347"/>
      <c r="D29" s="347"/>
      <c r="E29" s="347"/>
      <c r="F29" s="347"/>
      <c r="G29" s="347"/>
      <c r="H29" s="347"/>
      <c r="I29" s="347"/>
    </row>
    <row r="30" spans="1:10">
      <c r="A30" s="347"/>
      <c r="B30" s="347"/>
      <c r="C30" s="347"/>
      <c r="D30" s="347"/>
      <c r="E30" s="347"/>
      <c r="F30" s="347"/>
      <c r="G30" s="347"/>
      <c r="H30" s="347"/>
      <c r="I30" s="347"/>
    </row>
    <row r="31" spans="1:10">
      <c r="A31" s="347"/>
      <c r="B31" s="347"/>
      <c r="C31" s="347"/>
      <c r="D31" s="347"/>
      <c r="E31" s="347"/>
      <c r="F31" s="347"/>
      <c r="G31" s="347"/>
      <c r="H31" s="347"/>
      <c r="I31" s="347"/>
    </row>
    <row r="32" spans="1:10">
      <c r="A32" s="347"/>
      <c r="B32" s="347"/>
      <c r="C32" s="347"/>
      <c r="D32" s="347"/>
      <c r="E32" s="347"/>
      <c r="F32" s="347"/>
      <c r="G32" s="347"/>
      <c r="H32" s="347"/>
      <c r="I32" s="347"/>
    </row>
    <row r="33" spans="1:9">
      <c r="A33" s="347"/>
      <c r="B33" s="347"/>
      <c r="C33" s="347"/>
      <c r="D33" s="347"/>
      <c r="E33" s="347"/>
      <c r="F33" s="347"/>
      <c r="G33" s="347"/>
      <c r="H33" s="347"/>
      <c r="I33" s="347"/>
    </row>
    <row r="34" spans="1:9">
      <c r="A34" s="347"/>
      <c r="B34" s="347"/>
      <c r="C34" s="347"/>
      <c r="D34" s="347"/>
      <c r="E34" s="347"/>
      <c r="F34" s="347"/>
      <c r="G34" s="347"/>
      <c r="H34" s="347"/>
      <c r="I34" s="347"/>
    </row>
    <row r="35" spans="1:9">
      <c r="A35" s="347"/>
      <c r="B35" s="347"/>
      <c r="C35" s="347"/>
      <c r="D35" s="347"/>
      <c r="E35" s="347"/>
      <c r="F35" s="347"/>
      <c r="G35" s="347"/>
      <c r="H35" s="347"/>
      <c r="I35" s="347"/>
    </row>
    <row r="36" spans="1:9">
      <c r="A36" s="347"/>
      <c r="B36" s="347"/>
      <c r="C36" s="347"/>
      <c r="D36" s="347"/>
      <c r="E36" s="347"/>
      <c r="F36" s="347"/>
      <c r="G36" s="347"/>
      <c r="H36" s="347"/>
      <c r="I36" s="347"/>
    </row>
    <row r="37" spans="1:9" ht="13.8">
      <c r="A37" s="231" t="s">
        <v>250</v>
      </c>
      <c r="B37" s="230"/>
      <c r="C37" s="230"/>
      <c r="D37" s="230"/>
      <c r="E37" s="230"/>
      <c r="F37" s="230"/>
      <c r="G37" s="230"/>
      <c r="H37" s="230"/>
      <c r="I37" s="230"/>
    </row>
  </sheetData>
  <mergeCells count="3">
    <mergeCell ref="A1:J1"/>
    <mergeCell ref="A2:J2"/>
    <mergeCell ref="A27:I36"/>
  </mergeCells>
  <phoneticPr fontId="5" type="noConversion"/>
  <hyperlinks>
    <hyperlink ref="J3" location="底稿目录!A1" display="底稿目录!A1"/>
  </hyperlinks>
  <pageMargins left="0.70866141732283472" right="0.70866141732283472" top="0.74803149606299213" bottom="0.74803149606299213" header="0.31496062992125984" footer="0.31496062992125984"/>
  <pageSetup paperSize="9" scale="90" orientation="landscape" blackAndWhite="1"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Q57"/>
  <sheetViews>
    <sheetView view="pageBreakPreview" zoomScaleSheetLayoutView="100" workbookViewId="0">
      <selection activeCell="Q3" sqref="Q3"/>
    </sheetView>
  </sheetViews>
  <sheetFormatPr defaultColWidth="9.109375" defaultRowHeight="15.6"/>
  <cols>
    <col min="1" max="1" width="10.88671875" style="62" customWidth="1"/>
    <col min="2" max="2" width="8.77734375" style="62" customWidth="1"/>
    <col min="3" max="3" width="13.33203125" style="62" customWidth="1"/>
    <col min="4" max="4" width="13.6640625" style="62" customWidth="1"/>
    <col min="5" max="5" width="11.33203125" style="62" customWidth="1"/>
    <col min="6" max="6" width="14.5546875" style="62" customWidth="1"/>
    <col min="7" max="7" width="12.44140625" style="62" customWidth="1"/>
    <col min="8" max="8" width="13.21875" style="62" customWidth="1"/>
    <col min="9" max="9" width="26.44140625" style="62" customWidth="1"/>
    <col min="10" max="14" width="5.6640625" style="62" customWidth="1"/>
    <col min="15" max="15" width="9.109375" style="62"/>
    <col min="16" max="16" width="7.5546875" style="62" customWidth="1"/>
    <col min="17" max="17" width="9.44140625" style="62" customWidth="1"/>
    <col min="18" max="16384" width="9.109375" style="62"/>
  </cols>
  <sheetData>
    <row r="1" spans="1:17" s="59" customFormat="1" ht="19.95" customHeight="1">
      <c r="A1" s="350" t="s">
        <v>0</v>
      </c>
      <c r="B1" s="350"/>
      <c r="C1" s="350"/>
      <c r="D1" s="350"/>
      <c r="E1" s="350"/>
      <c r="F1" s="350"/>
      <c r="G1" s="350"/>
      <c r="H1" s="350"/>
      <c r="I1" s="350"/>
      <c r="J1" s="350"/>
      <c r="K1" s="350"/>
      <c r="L1" s="350"/>
      <c r="M1" s="350"/>
      <c r="N1" s="350"/>
      <c r="O1" s="350"/>
      <c r="P1" s="350"/>
      <c r="Q1" s="350"/>
    </row>
    <row r="2" spans="1:17" s="59" customFormat="1" ht="19.95" customHeight="1">
      <c r="A2" s="351" t="s">
        <v>223</v>
      </c>
      <c r="B2" s="351"/>
      <c r="C2" s="351"/>
      <c r="D2" s="351"/>
      <c r="E2" s="351"/>
      <c r="F2" s="351"/>
      <c r="G2" s="351"/>
      <c r="H2" s="351"/>
      <c r="I2" s="351"/>
      <c r="J2" s="351"/>
      <c r="K2" s="351"/>
      <c r="L2" s="351"/>
      <c r="M2" s="351"/>
      <c r="N2" s="351"/>
      <c r="O2" s="351"/>
      <c r="P2" s="351"/>
      <c r="Q2" s="351"/>
    </row>
    <row r="3" spans="1:17" s="9" customFormat="1" ht="19.95" customHeight="1">
      <c r="A3" s="2" t="str">
        <f>底稿目录!A2</f>
        <v>被审计单位：</v>
      </c>
      <c r="F3" s="3" t="str">
        <f>底稿目录!A4</f>
        <v>编制人：</v>
      </c>
      <c r="J3" s="2" t="str">
        <f>底稿目录!A5</f>
        <v>编制日期：</v>
      </c>
      <c r="P3" s="153" t="s">
        <v>141</v>
      </c>
      <c r="Q3" s="255" t="str">
        <f>底稿目录!D14</f>
        <v>K5-7</v>
      </c>
    </row>
    <row r="4" spans="1:17" s="9" customFormat="1" ht="19.95" customHeight="1">
      <c r="A4" s="2" t="str">
        <f>底稿目录!A3</f>
        <v>截止日：202X年12月31日</v>
      </c>
      <c r="F4" s="3" t="str">
        <f>底稿目录!A6</f>
        <v>复核人：</v>
      </c>
      <c r="J4" s="2" t="str">
        <f>底稿目录!A7</f>
        <v>复核日期：</v>
      </c>
      <c r="P4" s="36" t="s">
        <v>31</v>
      </c>
      <c r="Q4" s="73"/>
    </row>
    <row r="5" spans="1:17" s="18" customFormat="1" ht="19.95" customHeight="1">
      <c r="A5" s="171" t="s">
        <v>171</v>
      </c>
      <c r="B5" s="17"/>
      <c r="D5" s="17"/>
      <c r="E5" s="17"/>
      <c r="F5" s="17"/>
      <c r="G5" s="17"/>
      <c r="H5" s="17"/>
      <c r="I5" s="17"/>
      <c r="J5" s="17"/>
    </row>
    <row r="6" spans="1:17" s="18" customFormat="1" ht="19.95" customHeight="1">
      <c r="A6" s="172" t="s">
        <v>178</v>
      </c>
      <c r="B6" s="173"/>
      <c r="C6" s="173"/>
      <c r="H6" s="172" t="s">
        <v>186</v>
      </c>
      <c r="I6" s="172"/>
      <c r="J6" s="173"/>
    </row>
    <row r="7" spans="1:17" s="18" customFormat="1" ht="19.95" customHeight="1">
      <c r="A7" s="172" t="s">
        <v>185</v>
      </c>
      <c r="B7" s="173"/>
      <c r="C7" s="173"/>
      <c r="E7" s="172"/>
      <c r="G7" s="173"/>
      <c r="H7" s="173"/>
      <c r="I7" s="173"/>
      <c r="J7" s="173"/>
      <c r="K7" s="174"/>
    </row>
    <row r="8" spans="1:17" s="18" customFormat="1" ht="19.95" customHeight="1">
      <c r="A8" s="17" t="s">
        <v>69</v>
      </c>
      <c r="B8" s="17"/>
      <c r="C8" s="17"/>
      <c r="D8" s="17"/>
      <c r="E8" s="17"/>
      <c r="F8" s="17"/>
      <c r="G8" s="17"/>
      <c r="H8" s="17"/>
      <c r="I8" s="17"/>
      <c r="J8" s="17"/>
    </row>
    <row r="9" spans="1:17" s="18" customFormat="1" ht="19.95" customHeight="1">
      <c r="A9" s="210" t="s">
        <v>226</v>
      </c>
      <c r="B9" s="211" t="s">
        <v>227</v>
      </c>
      <c r="C9" s="212"/>
      <c r="D9" s="212"/>
      <c r="E9" s="212"/>
      <c r="F9" s="210"/>
      <c r="G9" s="210" t="s">
        <v>228</v>
      </c>
      <c r="H9" s="211" t="s">
        <v>229</v>
      </c>
      <c r="I9" s="212"/>
      <c r="K9" s="175"/>
    </row>
    <row r="10" spans="1:17" s="18" customFormat="1" ht="19.95" customHeight="1">
      <c r="A10" s="210" t="s">
        <v>230</v>
      </c>
      <c r="B10" s="211" t="s">
        <v>231</v>
      </c>
      <c r="C10" s="212"/>
      <c r="D10" s="212"/>
      <c r="E10" s="212"/>
      <c r="F10" s="210"/>
      <c r="G10" s="210" t="s">
        <v>232</v>
      </c>
      <c r="H10" s="211" t="s">
        <v>233</v>
      </c>
      <c r="I10" s="211" t="s">
        <v>234</v>
      </c>
      <c r="K10" s="175"/>
    </row>
    <row r="11" spans="1:17" s="18" customFormat="1" ht="19.95" customHeight="1">
      <c r="A11" s="210" t="s">
        <v>235</v>
      </c>
      <c r="B11" s="279" t="s">
        <v>324</v>
      </c>
      <c r="C11" s="212"/>
      <c r="D11" s="212"/>
      <c r="E11" s="212"/>
      <c r="F11" s="210"/>
      <c r="G11" s="210" t="s">
        <v>236</v>
      </c>
      <c r="H11" s="211" t="s">
        <v>237</v>
      </c>
      <c r="I11" s="212"/>
      <c r="K11" s="175"/>
    </row>
    <row r="12" spans="1:17" s="18" customFormat="1" ht="19.95" customHeight="1">
      <c r="A12" s="60" t="s">
        <v>70</v>
      </c>
      <c r="B12" s="176"/>
      <c r="C12" s="19"/>
      <c r="D12" s="20"/>
      <c r="E12" s="21"/>
    </row>
    <row r="13" spans="1:17" s="18" customFormat="1" ht="19.95" customHeight="1">
      <c r="A13" s="232" t="s">
        <v>252</v>
      </c>
      <c r="B13" s="176"/>
      <c r="C13" s="19"/>
      <c r="D13" s="20"/>
      <c r="E13" s="21"/>
    </row>
    <row r="14" spans="1:17" s="18" customFormat="1" ht="19.95" customHeight="1">
      <c r="A14" s="248" t="s">
        <v>290</v>
      </c>
      <c r="B14" s="176"/>
      <c r="C14" s="19"/>
      <c r="D14" s="20"/>
      <c r="E14" s="21"/>
    </row>
    <row r="15" spans="1:17" s="9" customFormat="1" ht="19.95" customHeight="1">
      <c r="A15" s="352" t="s">
        <v>281</v>
      </c>
      <c r="B15" s="356" t="s">
        <v>282</v>
      </c>
      <c r="C15" s="356"/>
      <c r="D15" s="356"/>
      <c r="E15" s="356"/>
      <c r="F15" s="356"/>
      <c r="G15" s="356"/>
      <c r="H15" s="356"/>
      <c r="I15" s="357" t="s">
        <v>283</v>
      </c>
      <c r="J15" s="359" t="s">
        <v>284</v>
      </c>
      <c r="K15" s="360"/>
      <c r="L15" s="360"/>
      <c r="M15" s="360"/>
      <c r="N15" s="360"/>
      <c r="O15" s="361" t="s">
        <v>285</v>
      </c>
      <c r="P15" s="354" t="s">
        <v>286</v>
      </c>
      <c r="Q15" s="348" t="s">
        <v>287</v>
      </c>
    </row>
    <row r="16" spans="1:17" s="9" customFormat="1" ht="19.95" customHeight="1">
      <c r="A16" s="353"/>
      <c r="B16" s="273" t="s">
        <v>239</v>
      </c>
      <c r="C16" s="273" t="s">
        <v>240</v>
      </c>
      <c r="D16" s="273" t="s">
        <v>241</v>
      </c>
      <c r="E16" s="273" t="s">
        <v>288</v>
      </c>
      <c r="F16" s="273" t="s">
        <v>205</v>
      </c>
      <c r="G16" s="256" t="s">
        <v>242</v>
      </c>
      <c r="H16" s="256" t="s">
        <v>289</v>
      </c>
      <c r="I16" s="358"/>
      <c r="J16" s="245">
        <v>1</v>
      </c>
      <c r="K16" s="245">
        <v>2</v>
      </c>
      <c r="L16" s="245">
        <v>3</v>
      </c>
      <c r="M16" s="245">
        <v>4</v>
      </c>
      <c r="N16" s="245">
        <v>5</v>
      </c>
      <c r="O16" s="361"/>
      <c r="P16" s="355"/>
      <c r="Q16" s="349"/>
    </row>
    <row r="17" spans="1:17" s="9" customFormat="1" ht="19.95" customHeight="1">
      <c r="A17" s="217"/>
      <c r="B17" s="218"/>
      <c r="C17" s="219"/>
      <c r="D17" s="217"/>
      <c r="E17" s="217"/>
      <c r="F17" s="217"/>
      <c r="G17" s="220"/>
      <c r="H17" s="220"/>
      <c r="I17" s="247"/>
      <c r="J17" s="246"/>
      <c r="K17" s="246"/>
      <c r="L17" s="246"/>
      <c r="M17" s="246"/>
      <c r="N17" s="246"/>
      <c r="O17" s="219"/>
      <c r="P17" s="219"/>
      <c r="Q17" s="221"/>
    </row>
    <row r="18" spans="1:17" s="9" customFormat="1" ht="19.95" customHeight="1">
      <c r="A18" s="217"/>
      <c r="B18" s="218"/>
      <c r="C18" s="219"/>
      <c r="D18" s="217"/>
      <c r="E18" s="217"/>
      <c r="F18" s="217"/>
      <c r="G18" s="220"/>
      <c r="H18" s="220"/>
      <c r="I18" s="247"/>
      <c r="J18" s="246"/>
      <c r="K18" s="246"/>
      <c r="L18" s="246"/>
      <c r="M18" s="246"/>
      <c r="N18" s="246"/>
      <c r="O18" s="219"/>
      <c r="P18" s="219"/>
      <c r="Q18" s="221"/>
    </row>
    <row r="19" spans="1:17" s="9" customFormat="1" ht="19.95" customHeight="1">
      <c r="A19" s="217"/>
      <c r="B19" s="218"/>
      <c r="C19" s="219"/>
      <c r="D19" s="217"/>
      <c r="E19" s="217"/>
      <c r="F19" s="217"/>
      <c r="G19" s="220"/>
      <c r="H19" s="220"/>
      <c r="I19" s="247"/>
      <c r="J19" s="246"/>
      <c r="K19" s="246"/>
      <c r="L19" s="246"/>
      <c r="M19" s="246"/>
      <c r="N19" s="246"/>
      <c r="O19" s="219"/>
      <c r="P19" s="219"/>
      <c r="Q19" s="221"/>
    </row>
    <row r="20" spans="1:17" s="9" customFormat="1" ht="19.95" customHeight="1">
      <c r="A20" s="217"/>
      <c r="B20" s="218"/>
      <c r="C20" s="219"/>
      <c r="D20" s="217"/>
      <c r="E20" s="217"/>
      <c r="F20" s="217"/>
      <c r="G20" s="220"/>
      <c r="H20" s="220"/>
      <c r="I20" s="247"/>
      <c r="J20" s="246"/>
      <c r="K20" s="246"/>
      <c r="L20" s="246"/>
      <c r="M20" s="246"/>
      <c r="N20" s="246"/>
      <c r="O20" s="219"/>
      <c r="P20" s="219"/>
      <c r="Q20" s="221"/>
    </row>
    <row r="21" spans="1:17" s="9" customFormat="1" ht="19.95" customHeight="1">
      <c r="A21" s="217"/>
      <c r="B21" s="218"/>
      <c r="C21" s="219"/>
      <c r="D21" s="217"/>
      <c r="E21" s="217"/>
      <c r="F21" s="217"/>
      <c r="G21" s="220"/>
      <c r="H21" s="220"/>
      <c r="I21" s="247"/>
      <c r="J21" s="246"/>
      <c r="K21" s="246"/>
      <c r="L21" s="246"/>
      <c r="M21" s="246"/>
      <c r="N21" s="246"/>
      <c r="O21" s="219"/>
      <c r="P21" s="219"/>
      <c r="Q21" s="221"/>
    </row>
    <row r="22" spans="1:17" s="9" customFormat="1" ht="19.95" customHeight="1">
      <c r="A22" s="217"/>
      <c r="B22" s="218"/>
      <c r="C22" s="219"/>
      <c r="D22" s="217"/>
      <c r="E22" s="217"/>
      <c r="F22" s="217"/>
      <c r="G22" s="220"/>
      <c r="H22" s="220"/>
      <c r="I22" s="247"/>
      <c r="J22" s="246"/>
      <c r="K22" s="246"/>
      <c r="L22" s="246"/>
      <c r="M22" s="246"/>
      <c r="N22" s="246"/>
      <c r="O22" s="219"/>
      <c r="P22" s="219"/>
      <c r="Q22" s="221"/>
    </row>
    <row r="23" spans="1:17" s="9" customFormat="1" ht="19.95" customHeight="1">
      <c r="A23" s="217"/>
      <c r="B23" s="218"/>
      <c r="C23" s="219"/>
      <c r="D23" s="217"/>
      <c r="E23" s="217"/>
      <c r="F23" s="217"/>
      <c r="G23" s="220"/>
      <c r="H23" s="220"/>
      <c r="I23" s="247"/>
      <c r="J23" s="246"/>
      <c r="K23" s="246"/>
      <c r="L23" s="246"/>
      <c r="M23" s="246"/>
      <c r="N23" s="246"/>
      <c r="O23" s="219"/>
      <c r="P23" s="219"/>
      <c r="Q23" s="221"/>
    </row>
    <row r="24" spans="1:17" s="9" customFormat="1" ht="19.95" customHeight="1">
      <c r="A24" s="217"/>
      <c r="B24" s="218"/>
      <c r="C24" s="219"/>
      <c r="D24" s="217"/>
      <c r="E24" s="217"/>
      <c r="F24" s="217"/>
      <c r="G24" s="220"/>
      <c r="H24" s="220"/>
      <c r="I24" s="247"/>
      <c r="J24" s="246"/>
      <c r="K24" s="246"/>
      <c r="L24" s="246"/>
      <c r="M24" s="246"/>
      <c r="N24" s="246"/>
      <c r="O24" s="219"/>
      <c r="P24" s="219"/>
      <c r="Q24" s="221"/>
    </row>
    <row r="25" spans="1:17" s="9" customFormat="1" ht="19.95" customHeight="1">
      <c r="A25" s="217"/>
      <c r="B25" s="218"/>
      <c r="C25" s="219"/>
      <c r="D25" s="217"/>
      <c r="E25" s="217"/>
      <c r="F25" s="217"/>
      <c r="G25" s="220"/>
      <c r="H25" s="220"/>
      <c r="I25" s="247"/>
      <c r="J25" s="246"/>
      <c r="K25" s="246"/>
      <c r="L25" s="246"/>
      <c r="M25" s="246"/>
      <c r="N25" s="246"/>
      <c r="O25" s="219"/>
      <c r="P25" s="219"/>
      <c r="Q25" s="221"/>
    </row>
    <row r="26" spans="1:17" s="9" customFormat="1" ht="19.95" customHeight="1">
      <c r="A26" s="217"/>
      <c r="B26" s="218"/>
      <c r="C26" s="219"/>
      <c r="D26" s="217"/>
      <c r="E26" s="217"/>
      <c r="F26" s="217"/>
      <c r="G26" s="220"/>
      <c r="H26" s="220"/>
      <c r="I26" s="219"/>
      <c r="J26" s="246"/>
      <c r="K26" s="246"/>
      <c r="L26" s="246"/>
      <c r="M26" s="246"/>
      <c r="N26" s="246"/>
      <c r="O26" s="219"/>
      <c r="P26" s="221"/>
      <c r="Q26" s="221"/>
    </row>
    <row r="27" spans="1:17" s="9" customFormat="1" ht="19.95" customHeight="1">
      <c r="A27" s="216" t="s">
        <v>243</v>
      </c>
      <c r="B27" s="222"/>
      <c r="C27" s="222"/>
      <c r="D27" s="222"/>
      <c r="E27" s="222"/>
      <c r="F27" s="222"/>
      <c r="G27" s="223">
        <f>SUM(G17:G26)</f>
        <v>0</v>
      </c>
      <c r="H27" s="223">
        <f>SUM(H17:H26)</f>
        <v>0</v>
      </c>
      <c r="I27" s="224"/>
      <c r="J27" s="224"/>
      <c r="K27" s="224"/>
      <c r="L27" s="223"/>
      <c r="M27" s="224"/>
      <c r="N27" s="224"/>
      <c r="O27" s="223"/>
      <c r="P27" s="224"/>
      <c r="Q27" s="224"/>
    </row>
    <row r="28" spans="1:17" s="9" customFormat="1" ht="19.95" customHeight="1">
      <c r="A28" s="225" t="s">
        <v>291</v>
      </c>
      <c r="B28" s="175"/>
      <c r="C28" s="175"/>
      <c r="D28" s="175"/>
      <c r="E28" s="175"/>
      <c r="F28" s="175"/>
      <c r="G28" s="175"/>
      <c r="H28" s="175"/>
      <c r="I28" s="175"/>
      <c r="J28" s="175"/>
      <c r="K28" s="175"/>
      <c r="L28" s="175"/>
      <c r="M28" s="175"/>
      <c r="N28" s="175"/>
      <c r="O28" s="175"/>
      <c r="P28" s="175"/>
      <c r="Q28" s="175"/>
    </row>
    <row r="29" spans="1:17" s="9" customFormat="1" ht="19.95" customHeight="1">
      <c r="A29" s="362" t="s">
        <v>206</v>
      </c>
      <c r="B29" s="356" t="s">
        <v>282</v>
      </c>
      <c r="C29" s="356"/>
      <c r="D29" s="356"/>
      <c r="E29" s="356"/>
      <c r="F29" s="356"/>
      <c r="G29" s="356"/>
      <c r="H29" s="356"/>
      <c r="I29" s="357" t="s">
        <v>283</v>
      </c>
      <c r="J29" s="363" t="s">
        <v>284</v>
      </c>
      <c r="K29" s="363"/>
      <c r="L29" s="363"/>
      <c r="M29" s="363"/>
      <c r="N29" s="363"/>
      <c r="O29" s="361" t="s">
        <v>285</v>
      </c>
      <c r="P29" s="361" t="s">
        <v>286</v>
      </c>
      <c r="Q29" s="348" t="s">
        <v>287</v>
      </c>
    </row>
    <row r="30" spans="1:17" s="9" customFormat="1" ht="19.95" customHeight="1">
      <c r="A30" s="362"/>
      <c r="B30" s="273" t="s">
        <v>239</v>
      </c>
      <c r="C30" s="273" t="s">
        <v>240</v>
      </c>
      <c r="D30" s="273" t="s">
        <v>241</v>
      </c>
      <c r="E30" s="273" t="s">
        <v>288</v>
      </c>
      <c r="F30" s="273" t="s">
        <v>205</v>
      </c>
      <c r="G30" s="256" t="s">
        <v>242</v>
      </c>
      <c r="H30" s="256" t="s">
        <v>289</v>
      </c>
      <c r="I30" s="358"/>
      <c r="J30" s="245">
        <v>1</v>
      </c>
      <c r="K30" s="245">
        <v>2</v>
      </c>
      <c r="L30" s="245">
        <v>3</v>
      </c>
      <c r="M30" s="245">
        <v>4</v>
      </c>
      <c r="N30" s="245">
        <v>5</v>
      </c>
      <c r="O30" s="361"/>
      <c r="P30" s="361"/>
      <c r="Q30" s="349"/>
    </row>
    <row r="31" spans="1:17" s="9" customFormat="1" ht="19.95" customHeight="1">
      <c r="A31" s="217"/>
      <c r="B31" s="218"/>
      <c r="C31" s="219"/>
      <c r="D31" s="217"/>
      <c r="E31" s="217"/>
      <c r="F31" s="217"/>
      <c r="G31" s="220"/>
      <c r="H31" s="220"/>
      <c r="I31" s="221"/>
      <c r="J31" s="246"/>
      <c r="K31" s="246"/>
      <c r="L31" s="246"/>
      <c r="M31" s="246"/>
      <c r="N31" s="246"/>
      <c r="O31" s="221"/>
      <c r="P31" s="219"/>
      <c r="Q31" s="249"/>
    </row>
    <row r="32" spans="1:17" s="9" customFormat="1" ht="19.95" customHeight="1">
      <c r="A32" s="217"/>
      <c r="B32" s="218"/>
      <c r="C32" s="219"/>
      <c r="D32" s="217"/>
      <c r="E32" s="217"/>
      <c r="F32" s="217"/>
      <c r="G32" s="220"/>
      <c r="H32" s="220"/>
      <c r="I32" s="221"/>
      <c r="J32" s="246"/>
      <c r="K32" s="246"/>
      <c r="L32" s="246"/>
      <c r="M32" s="246"/>
      <c r="N32" s="246"/>
      <c r="O32" s="221"/>
      <c r="P32" s="219"/>
      <c r="Q32" s="249"/>
    </row>
    <row r="33" spans="1:17" s="9" customFormat="1" ht="19.95" customHeight="1">
      <c r="A33" s="217"/>
      <c r="B33" s="218"/>
      <c r="C33" s="219"/>
      <c r="D33" s="217"/>
      <c r="E33" s="217"/>
      <c r="F33" s="217"/>
      <c r="G33" s="220"/>
      <c r="H33" s="220"/>
      <c r="I33" s="221"/>
      <c r="J33" s="246"/>
      <c r="K33" s="246"/>
      <c r="L33" s="246"/>
      <c r="M33" s="246"/>
      <c r="N33" s="246"/>
      <c r="O33" s="221"/>
      <c r="P33" s="219"/>
      <c r="Q33" s="249"/>
    </row>
    <row r="34" spans="1:17" s="9" customFormat="1" ht="19.95" customHeight="1">
      <c r="A34" s="217"/>
      <c r="B34" s="218"/>
      <c r="C34" s="219"/>
      <c r="D34" s="217"/>
      <c r="E34" s="217"/>
      <c r="F34" s="217"/>
      <c r="G34" s="220"/>
      <c r="H34" s="220"/>
      <c r="I34" s="221"/>
      <c r="J34" s="246"/>
      <c r="K34" s="246"/>
      <c r="L34" s="246"/>
      <c r="M34" s="246"/>
      <c r="N34" s="246"/>
      <c r="O34" s="221"/>
      <c r="P34" s="219"/>
      <c r="Q34" s="249"/>
    </row>
    <row r="35" spans="1:17" s="9" customFormat="1" ht="19.95" customHeight="1">
      <c r="A35" s="217"/>
      <c r="B35" s="218"/>
      <c r="C35" s="219"/>
      <c r="D35" s="217"/>
      <c r="E35" s="217"/>
      <c r="F35" s="217"/>
      <c r="G35" s="220"/>
      <c r="H35" s="220"/>
      <c r="I35" s="221"/>
      <c r="J35" s="246"/>
      <c r="K35" s="246"/>
      <c r="L35" s="246"/>
      <c r="M35" s="246"/>
      <c r="N35" s="246"/>
      <c r="O35" s="221"/>
      <c r="P35" s="219"/>
      <c r="Q35" s="249"/>
    </row>
    <row r="36" spans="1:17" s="9" customFormat="1" ht="19.95" customHeight="1">
      <c r="A36" s="217"/>
      <c r="B36" s="218"/>
      <c r="C36" s="219"/>
      <c r="D36" s="217"/>
      <c r="E36" s="217"/>
      <c r="F36" s="217"/>
      <c r="G36" s="220"/>
      <c r="H36" s="220"/>
      <c r="I36" s="221"/>
      <c r="J36" s="246"/>
      <c r="K36" s="246"/>
      <c r="L36" s="246"/>
      <c r="M36" s="246"/>
      <c r="N36" s="246"/>
      <c r="O36" s="221"/>
      <c r="P36" s="219"/>
      <c r="Q36" s="249"/>
    </row>
    <row r="37" spans="1:17" s="9" customFormat="1" ht="19.95" customHeight="1">
      <c r="A37" s="217"/>
      <c r="B37" s="218"/>
      <c r="C37" s="219"/>
      <c r="D37" s="217"/>
      <c r="E37" s="217"/>
      <c r="F37" s="217"/>
      <c r="G37" s="220"/>
      <c r="H37" s="220"/>
      <c r="I37" s="221"/>
      <c r="J37" s="246"/>
      <c r="K37" s="246"/>
      <c r="L37" s="246"/>
      <c r="M37" s="246"/>
      <c r="N37" s="246"/>
      <c r="O37" s="221"/>
      <c r="P37" s="219"/>
      <c r="Q37" s="249"/>
    </row>
    <row r="38" spans="1:17" s="9" customFormat="1" ht="19.95" customHeight="1">
      <c r="A38" s="216" t="s">
        <v>243</v>
      </c>
      <c r="B38" s="222"/>
      <c r="C38" s="222"/>
      <c r="D38" s="222"/>
      <c r="E38" s="222"/>
      <c r="F38" s="222"/>
      <c r="G38" s="223">
        <f>SUM(G31:G37)</f>
        <v>0</v>
      </c>
      <c r="H38" s="223">
        <f>SUM(H31:H37)</f>
        <v>0</v>
      </c>
      <c r="I38" s="224"/>
      <c r="J38" s="223"/>
      <c r="K38" s="224"/>
      <c r="L38" s="224"/>
      <c r="M38" s="223"/>
      <c r="N38" s="223"/>
      <c r="O38" s="224"/>
      <c r="P38" s="223"/>
      <c r="Q38" s="250"/>
    </row>
    <row r="39" spans="1:17" s="9" customFormat="1" ht="19.95" customHeight="1">
      <c r="A39" s="60" t="s">
        <v>71</v>
      </c>
      <c r="G39" s="23"/>
      <c r="H39" s="215"/>
      <c r="I39" s="215"/>
      <c r="J39" s="22"/>
      <c r="K39" s="22"/>
      <c r="L39" s="22"/>
      <c r="M39" s="22"/>
      <c r="N39" s="16"/>
    </row>
    <row r="40" spans="1:17" s="9" customFormat="1" ht="19.95" customHeight="1">
      <c r="A40" s="280" t="s">
        <v>325</v>
      </c>
      <c r="B40" s="280"/>
      <c r="C40" s="281"/>
      <c r="D40" s="282" t="s">
        <v>326</v>
      </c>
      <c r="E40" s="282" t="s">
        <v>327</v>
      </c>
      <c r="F40" s="282" t="s">
        <v>328</v>
      </c>
      <c r="G40" s="282" t="s">
        <v>329</v>
      </c>
      <c r="H40" s="283" t="s">
        <v>330</v>
      </c>
      <c r="I40" s="206"/>
      <c r="J40" s="22"/>
      <c r="K40" s="22"/>
      <c r="L40" s="22"/>
      <c r="M40" s="22"/>
      <c r="N40" s="275"/>
    </row>
    <row r="41" spans="1:17" s="9" customFormat="1" ht="19.95" customHeight="1">
      <c r="A41" s="284"/>
      <c r="B41" s="284"/>
      <c r="C41" s="281"/>
      <c r="D41" s="282" t="s">
        <v>331</v>
      </c>
      <c r="E41" s="285">
        <f>'明细表 K5-2'!O21</f>
        <v>0</v>
      </c>
      <c r="F41" s="285">
        <f>G27</f>
        <v>0</v>
      </c>
      <c r="G41" s="286" t="e">
        <f>ROUND(F41/E41,4)</f>
        <v>#DIV/0!</v>
      </c>
      <c r="H41" s="206"/>
      <c r="I41" s="206"/>
      <c r="J41" s="22"/>
      <c r="K41" s="22"/>
      <c r="L41" s="22"/>
      <c r="M41" s="22"/>
      <c r="N41" s="275"/>
    </row>
    <row r="42" spans="1:17" s="9" customFormat="1" ht="19.95" customHeight="1">
      <c r="A42" s="284"/>
      <c r="B42" s="284"/>
      <c r="C42" s="281"/>
      <c r="D42" s="282" t="s">
        <v>332</v>
      </c>
      <c r="E42" s="285">
        <f>'明细表 K5-2'!N21</f>
        <v>0</v>
      </c>
      <c r="F42" s="285">
        <f>H27</f>
        <v>0</v>
      </c>
      <c r="G42" s="286" t="e">
        <f>ROUND(F42/E42,2)</f>
        <v>#DIV/0!</v>
      </c>
      <c r="H42" s="206"/>
      <c r="I42" s="206"/>
      <c r="J42" s="22"/>
      <c r="K42" s="22"/>
      <c r="L42" s="22"/>
      <c r="M42" s="22"/>
      <c r="N42" s="275"/>
    </row>
    <row r="43" spans="1:17" s="9" customFormat="1" ht="19.95" customHeight="1">
      <c r="A43" s="284"/>
      <c r="B43" s="284"/>
      <c r="C43" s="281"/>
      <c r="D43" s="282" t="s">
        <v>333</v>
      </c>
      <c r="E43" s="285">
        <f>'明细表 K5-2'!P21</f>
        <v>0</v>
      </c>
      <c r="F43" s="285">
        <f>G38</f>
        <v>0</v>
      </c>
      <c r="G43" s="286" t="e">
        <f>ROUND(F43/E43,2)</f>
        <v>#DIV/0!</v>
      </c>
      <c r="H43" s="206"/>
      <c r="I43" s="206"/>
      <c r="J43" s="22"/>
      <c r="K43" s="22"/>
      <c r="L43" s="22"/>
      <c r="M43" s="22"/>
      <c r="N43" s="275"/>
    </row>
    <row r="44" spans="1:17" s="9" customFormat="1" ht="19.95" customHeight="1">
      <c r="A44" s="287" t="s">
        <v>334</v>
      </c>
      <c r="B44" s="284"/>
      <c r="C44" s="281"/>
      <c r="D44" s="288"/>
      <c r="E44" s="289"/>
      <c r="F44" s="289"/>
      <c r="G44" s="290"/>
      <c r="H44" s="206"/>
      <c r="I44" s="206"/>
      <c r="J44" s="22"/>
      <c r="K44" s="22"/>
      <c r="L44" s="22"/>
      <c r="M44" s="22"/>
      <c r="N44" s="16"/>
    </row>
    <row r="45" spans="1:17" s="9" customFormat="1" ht="19.95" customHeight="1">
      <c r="A45" s="23" t="s">
        <v>72</v>
      </c>
      <c r="H45" s="16"/>
      <c r="I45" s="16"/>
      <c r="J45" s="16"/>
      <c r="K45" s="16"/>
      <c r="L45" s="16"/>
      <c r="M45" s="16"/>
      <c r="N45" s="16"/>
    </row>
    <row r="46" spans="1:17" s="9" customFormat="1" ht="19.95" customHeight="1">
      <c r="H46" s="16"/>
      <c r="I46" s="16"/>
      <c r="J46" s="16"/>
      <c r="K46" s="16"/>
      <c r="L46" s="16"/>
      <c r="M46" s="16"/>
      <c r="N46" s="16"/>
    </row>
    <row r="47" spans="1:17" s="9" customFormat="1" ht="20.100000000000001" customHeight="1">
      <c r="G47" s="16"/>
      <c r="H47" s="16"/>
      <c r="I47" s="16"/>
      <c r="J47" s="16"/>
      <c r="K47" s="16"/>
      <c r="L47" s="16"/>
      <c r="M47" s="16"/>
      <c r="N47" s="16"/>
    </row>
    <row r="48" spans="1:17" s="9" customFormat="1" ht="20.100000000000001" customHeight="1">
      <c r="G48" s="16"/>
      <c r="H48" s="16"/>
      <c r="I48" s="16"/>
      <c r="J48" s="16"/>
      <c r="K48" s="16"/>
      <c r="L48" s="16"/>
      <c r="M48" s="16"/>
      <c r="N48" s="16"/>
    </row>
    <row r="49" spans="1:14" s="9" customFormat="1" ht="18" customHeight="1">
      <c r="A49" s="22"/>
      <c r="C49" s="16"/>
      <c r="D49" s="16"/>
      <c r="E49" s="16"/>
      <c r="F49" s="16"/>
      <c r="G49" s="16"/>
      <c r="H49" s="16"/>
      <c r="I49" s="16"/>
      <c r="J49" s="16"/>
      <c r="K49" s="16"/>
      <c r="L49" s="16"/>
      <c r="M49" s="16"/>
      <c r="N49" s="16"/>
    </row>
    <row r="50" spans="1:14" s="9" customFormat="1" ht="18" customHeight="1">
      <c r="A50" s="22"/>
      <c r="C50" s="16"/>
      <c r="D50" s="16"/>
      <c r="E50" s="16"/>
      <c r="F50" s="16"/>
      <c r="G50" s="16"/>
      <c r="H50" s="16"/>
      <c r="I50" s="16"/>
      <c r="J50" s="16"/>
      <c r="K50" s="16"/>
      <c r="L50" s="16"/>
      <c r="M50" s="16"/>
      <c r="N50" s="16"/>
    </row>
    <row r="51" spans="1:14" s="9" customFormat="1" ht="18" customHeight="1"/>
    <row r="52" spans="1:14" ht="18" customHeight="1"/>
    <row r="53" spans="1:14" ht="18" customHeight="1"/>
    <row r="54" spans="1:14" ht="18" customHeight="1"/>
    <row r="55" spans="1:14" ht="18" customHeight="1"/>
    <row r="56" spans="1:14" ht="18" customHeight="1"/>
    <row r="57" spans="1:14" ht="18" customHeight="1"/>
  </sheetData>
  <mergeCells count="16">
    <mergeCell ref="Q29:Q30"/>
    <mergeCell ref="A1:Q1"/>
    <mergeCell ref="A2:Q2"/>
    <mergeCell ref="Q15:Q16"/>
    <mergeCell ref="A15:A16"/>
    <mergeCell ref="P15:P16"/>
    <mergeCell ref="B15:H15"/>
    <mergeCell ref="I15:I16"/>
    <mergeCell ref="J15:N15"/>
    <mergeCell ref="O15:O16"/>
    <mergeCell ref="O29:O30"/>
    <mergeCell ref="P29:P30"/>
    <mergeCell ref="A29:A30"/>
    <mergeCell ref="B29:H29"/>
    <mergeCell ref="I29:I30"/>
    <mergeCell ref="J29:N29"/>
  </mergeCells>
  <phoneticPr fontId="5" type="noConversion"/>
  <dataValidations count="1">
    <dataValidation type="list" allowBlank="1" showInputMessage="1" showErrorMessage="1" sqref="J17:N26 J31:N37">
      <formula1>"√,X"</formula1>
    </dataValidation>
  </dataValidations>
  <hyperlinks>
    <hyperlink ref="Q3" location="底稿目录!A1" display="底稿目录!A1"/>
  </hyperlinks>
  <printOptions horizontalCentered="1"/>
  <pageMargins left="0.39370078740157483" right="0.39370078740157483" top="0.35433070866141736" bottom="0.27559055118110237" header="0.31496062992125984" footer="0.19685039370078741"/>
  <pageSetup paperSize="9" scale="70" orientation="landscape"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底稿目录</vt:lpstr>
      <vt:lpstr>实质性程序表 K5A</vt:lpstr>
      <vt:lpstr>审定表 K5-1</vt:lpstr>
      <vt:lpstr>附注披露信息（上市公司)</vt:lpstr>
      <vt:lpstr>附注披露信息（国企）</vt:lpstr>
      <vt:lpstr>明细表 K5-2</vt:lpstr>
      <vt:lpstr>调整分录汇总 K5-3</vt:lpstr>
      <vt:lpstr>产品质量保修检查表 K5-4</vt:lpstr>
      <vt:lpstr>弃置费用检查表 K5-5</vt:lpstr>
      <vt:lpstr>未决诉讼检查表 K5-6</vt:lpstr>
      <vt:lpstr>预计负债检查表 K5-7</vt:lpstr>
      <vt:lpstr>'产品质量保修检查表 K5-4'!Print_Area</vt:lpstr>
      <vt:lpstr>'调整分录汇总 K5-3'!Print_Area</vt:lpstr>
      <vt:lpstr>'附注披露信息（国企）'!Print_Area</vt:lpstr>
      <vt:lpstr>'明细表 K5-2'!Print_Area</vt:lpstr>
      <vt:lpstr>'弃置费用检查表 K5-5'!Print_Area</vt:lpstr>
      <vt:lpstr>'审定表 K5-1'!Print_Area</vt:lpstr>
      <vt:lpstr>'实质性程序表 K5A'!Print_Area</vt:lpstr>
      <vt:lpstr>'未决诉讼检查表 K5-6'!Print_Area</vt:lpstr>
      <vt:lpstr>'预计负债检查表 K5-7'!Print_Area</vt:lpstr>
      <vt:lpstr>'实质性程序表 K5A'!Print_Titles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何先琴</cp:lastModifiedBy>
  <cp:lastPrinted>2025-10-22T02:24:56Z</cp:lastPrinted>
  <dcterms:created xsi:type="dcterms:W3CDTF">2013-12-07T13:04:00Z</dcterms:created>
  <dcterms:modified xsi:type="dcterms:W3CDTF">2025-11-05T07:17:35Z</dcterms:modified>
</cp:coreProperties>
</file>