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480" yWindow="60" windowWidth="15480" windowHeight="8904" tabRatio="813"/>
  </bookViews>
  <sheets>
    <sheet name="底稿目录" sheetId="1" r:id="rId1"/>
    <sheet name="实质性程序表K7A" sheetId="24" r:id="rId2"/>
    <sheet name="审定表K7-1" sheetId="16" r:id="rId3"/>
    <sheet name="附注披露信息（上市公司）" sheetId="19" r:id="rId4"/>
    <sheet name="附注披露信息（国有企业）" sheetId="23" r:id="rId5"/>
    <sheet name="明细表K7-2" sheetId="13" r:id="rId6"/>
    <sheet name="调整分录汇总K7-3" sheetId="25" r:id="rId7"/>
    <sheet name="测算表K7-4" sheetId="22" r:id="rId8"/>
    <sheet name="递延收益检查表K7-5" sheetId="17" r:id="rId9"/>
    <sheet name="会计提示" sheetId="18" r:id="rId10"/>
    <sheet name="GT_Custom" sheetId="21" state="hidden" r:id="rId11"/>
  </sheets>
  <definedNames>
    <definedName name="_xlnm._FilterDatabase" localSheetId="1">实质性程序表K7A!$A$15:$I$26</definedName>
    <definedName name="_xlnm.Print_Area" localSheetId="7">'测算表K7-4'!$A$1:$R$26</definedName>
    <definedName name="_xlnm.Print_Area" localSheetId="8">'递延收益检查表K7-5'!$A$1:$Q$28</definedName>
    <definedName name="_xlnm.Print_Area" localSheetId="6">'调整分录汇总K7-3'!$A$1:$J$20</definedName>
    <definedName name="_xlnm.Print_Area" localSheetId="3">'附注披露信息（上市公司）'!$A$1:$G$13</definedName>
    <definedName name="_xlnm.Print_Area" localSheetId="5">'明细表K7-2'!$A$1:$W$28</definedName>
    <definedName name="_xlnm.Print_Area" localSheetId="2">'审定表K7-1'!$A$1:$M$20</definedName>
    <definedName name="_xlnm.Print_Area" localSheetId="1">实质性程序表K7A!$A$1:$I$26</definedName>
    <definedName name="_xlnm.Print_Titles" localSheetId="1">实质性程序表K7A!$15:$15</definedName>
  </definedNames>
  <calcPr calcId="162913"/>
</workbook>
</file>

<file path=xl/calcChain.xml><?xml version="1.0" encoding="utf-8"?>
<calcChain xmlns="http://schemas.openxmlformats.org/spreadsheetml/2006/main">
  <c r="H20" i="17" l="1"/>
  <c r="G11" i="22" l="1"/>
  <c r="J11" i="22" l="1"/>
  <c r="E8" i="16" l="1"/>
  <c r="E9" i="16"/>
  <c r="E7" i="16"/>
  <c r="K11" i="22" l="1"/>
  <c r="M11" i="22" s="1"/>
  <c r="L11" i="22"/>
  <c r="N11" i="22" l="1"/>
  <c r="P11" i="22" s="1"/>
  <c r="R3" i="22"/>
  <c r="Q3" i="17"/>
  <c r="J3" i="25"/>
  <c r="W3" i="13"/>
  <c r="J3" i="23"/>
  <c r="G3" i="19"/>
  <c r="M3" i="16"/>
  <c r="I3" i="24"/>
  <c r="Q11" i="22" l="1"/>
  <c r="G18" i="23"/>
  <c r="F18" i="23"/>
  <c r="E18" i="23"/>
  <c r="D18" i="23"/>
  <c r="C18" i="23"/>
  <c r="B18" i="23"/>
  <c r="H17" i="23"/>
  <c r="H16" i="23"/>
  <c r="H15" i="23"/>
  <c r="H18" i="23" s="1"/>
  <c r="N4" i="22" l="1"/>
  <c r="G4" i="22"/>
  <c r="I4" i="17"/>
  <c r="E4" i="17"/>
  <c r="O4" i="13"/>
  <c r="H4" i="13"/>
  <c r="E4" i="23"/>
  <c r="C4" i="23"/>
  <c r="D4" i="19"/>
  <c r="B4" i="19"/>
  <c r="I4" i="16"/>
  <c r="E4" i="16"/>
  <c r="E4" i="24"/>
  <c r="C4" i="24"/>
  <c r="E4" i="25" l="1"/>
  <c r="E3" i="25"/>
  <c r="C4" i="25"/>
  <c r="C3" i="25"/>
  <c r="A4" i="25"/>
  <c r="A3" i="25"/>
  <c r="E3" i="24" l="1"/>
  <c r="C3" i="24"/>
  <c r="A4" i="24"/>
  <c r="A3" i="24"/>
  <c r="I8" i="16"/>
  <c r="I9" i="16"/>
  <c r="I7" i="16"/>
  <c r="H8" i="16"/>
  <c r="H9" i="16"/>
  <c r="H7" i="16"/>
  <c r="G8" i="16"/>
  <c r="G9" i="16"/>
  <c r="D8" i="16"/>
  <c r="D9" i="16"/>
  <c r="D7" i="16"/>
  <c r="C8" i="16"/>
  <c r="C9" i="16"/>
  <c r="C7" i="16"/>
  <c r="Q13" i="13"/>
  <c r="S13" i="13" s="1"/>
  <c r="Q14" i="13"/>
  <c r="S14" i="13" s="1"/>
  <c r="Q15" i="13"/>
  <c r="S15" i="13" s="1"/>
  <c r="Q16" i="13"/>
  <c r="S16" i="13" s="1"/>
  <c r="Q17" i="13"/>
  <c r="S17" i="13" s="1"/>
  <c r="Q18" i="13"/>
  <c r="S18" i="13" s="1"/>
  <c r="Q19" i="13"/>
  <c r="S19" i="13" s="1"/>
  <c r="Q20" i="13"/>
  <c r="S20" i="13" s="1"/>
  <c r="Q21" i="13"/>
  <c r="S21" i="13" s="1"/>
  <c r="M14" i="13"/>
  <c r="N14" i="13"/>
  <c r="P14" i="13" s="1"/>
  <c r="M15" i="13"/>
  <c r="N15" i="13"/>
  <c r="P15" i="13" s="1"/>
  <c r="M16" i="13"/>
  <c r="N16" i="13"/>
  <c r="P16" i="13" s="1"/>
  <c r="M17" i="13"/>
  <c r="N17" i="13"/>
  <c r="P17" i="13" s="1"/>
  <c r="M18" i="13"/>
  <c r="N18" i="13"/>
  <c r="P18" i="13" s="1"/>
  <c r="M19" i="13"/>
  <c r="N19" i="13"/>
  <c r="P19" i="13" s="1"/>
  <c r="M20" i="13"/>
  <c r="N20" i="13"/>
  <c r="P20" i="13" s="1"/>
  <c r="M21" i="13"/>
  <c r="N21" i="13"/>
  <c r="P21" i="13" s="1"/>
  <c r="F12" i="13"/>
  <c r="F13" i="13"/>
  <c r="F14" i="13"/>
  <c r="F15" i="13"/>
  <c r="F16" i="13"/>
  <c r="F17" i="13"/>
  <c r="F18" i="13"/>
  <c r="F19" i="13"/>
  <c r="F20" i="13"/>
  <c r="F21" i="13"/>
  <c r="D22" i="13"/>
  <c r="E22" i="13"/>
  <c r="G22" i="13"/>
  <c r="H22" i="13"/>
  <c r="I22" i="13"/>
  <c r="J22" i="13"/>
  <c r="K22" i="13"/>
  <c r="L22" i="13"/>
  <c r="O22" i="13"/>
  <c r="R22" i="13"/>
  <c r="C22" i="13"/>
  <c r="Q12" i="13"/>
  <c r="S12" i="13" s="1"/>
  <c r="N11" i="13"/>
  <c r="M12" i="13"/>
  <c r="N12" i="13"/>
  <c r="P12" i="13" s="1"/>
  <c r="M13" i="13"/>
  <c r="N13" i="13"/>
  <c r="T19" i="13" l="1"/>
  <c r="T18" i="13"/>
  <c r="T21" i="13"/>
  <c r="T17" i="13"/>
  <c r="T15" i="13"/>
  <c r="N22" i="13"/>
  <c r="T20" i="13"/>
  <c r="T16" i="13"/>
  <c r="T13" i="13"/>
  <c r="C11" i="19"/>
  <c r="P13" i="13"/>
  <c r="D11" i="19"/>
  <c r="T14" i="13"/>
  <c r="C10" i="16"/>
  <c r="B11" i="19"/>
  <c r="T12" i="13"/>
  <c r="H21" i="17" l="1"/>
  <c r="H22" i="17" s="1"/>
  <c r="Q11" i="13"/>
  <c r="Q22" i="13" s="1"/>
  <c r="P11" i="13"/>
  <c r="M11" i="13"/>
  <c r="M22" i="13" s="1"/>
  <c r="T11" i="13" l="1"/>
  <c r="J12" i="22" l="1"/>
  <c r="J13" i="22"/>
  <c r="J14" i="22"/>
  <c r="J15" i="22"/>
  <c r="J16" i="22"/>
  <c r="J17" i="22"/>
  <c r="J18" i="22"/>
  <c r="J19" i="22"/>
  <c r="K19" i="22" l="1"/>
  <c r="M19" i="22" s="1"/>
  <c r="L19" i="22"/>
  <c r="N19" i="22" s="1"/>
  <c r="K18" i="22"/>
  <c r="M18" i="22" s="1"/>
  <c r="L18" i="22"/>
  <c r="N18" i="22" s="1"/>
  <c r="L17" i="22"/>
  <c r="N17" i="22" s="1"/>
  <c r="K17" i="22"/>
  <c r="M17" i="22" s="1"/>
  <c r="L16" i="22"/>
  <c r="N16" i="22" s="1"/>
  <c r="K16" i="22"/>
  <c r="M16" i="22" s="1"/>
  <c r="L15" i="22"/>
  <c r="N15" i="22" s="1"/>
  <c r="K15" i="22"/>
  <c r="M15" i="22" s="1"/>
  <c r="L14" i="22"/>
  <c r="N14" i="22" s="1"/>
  <c r="K14" i="22"/>
  <c r="M14" i="22" s="1"/>
  <c r="L13" i="22"/>
  <c r="N13" i="22" s="1"/>
  <c r="K13" i="22"/>
  <c r="M13" i="22" s="1"/>
  <c r="K12" i="22"/>
  <c r="M12" i="22" s="1"/>
  <c r="L12" i="22"/>
  <c r="N12" i="22" s="1"/>
  <c r="O20" i="22"/>
  <c r="C20" i="22"/>
  <c r="E20" i="22"/>
  <c r="B20" i="22"/>
  <c r="S11" i="13"/>
  <c r="F11" i="13"/>
  <c r="Q18" i="22" l="1"/>
  <c r="Q15" i="22"/>
  <c r="Q16" i="22"/>
  <c r="Q12" i="22"/>
  <c r="Q13" i="22"/>
  <c r="Q17" i="22"/>
  <c r="Q14" i="22"/>
  <c r="P19" i="22"/>
  <c r="Q19" i="22"/>
  <c r="P13" i="22"/>
  <c r="P17" i="22"/>
  <c r="P18" i="22"/>
  <c r="P14" i="22"/>
  <c r="P15" i="22"/>
  <c r="P16" i="22"/>
  <c r="P12" i="22"/>
  <c r="F22" i="13"/>
  <c r="G7" i="16"/>
  <c r="I10" i="16"/>
  <c r="N3" i="22"/>
  <c r="F9" i="16" l="1"/>
  <c r="E10" i="16"/>
  <c r="D10" i="16"/>
  <c r="H10" i="16"/>
  <c r="J7" i="16"/>
  <c r="A4" i="23"/>
  <c r="E3" i="23"/>
  <c r="C3" i="23"/>
  <c r="A3" i="23"/>
  <c r="J9" i="16" l="1"/>
  <c r="S22" i="13"/>
  <c r="P22" i="13"/>
  <c r="T22" i="13" l="1"/>
  <c r="K9" i="16"/>
  <c r="L9" i="16"/>
  <c r="G19" i="22"/>
  <c r="G18" i="22"/>
  <c r="G17" i="22"/>
  <c r="G16" i="22"/>
  <c r="G15" i="22"/>
  <c r="G14" i="22"/>
  <c r="G13" i="22"/>
  <c r="G12" i="22"/>
  <c r="G20" i="22" l="1"/>
  <c r="N20" i="22"/>
  <c r="Q20" i="22" l="1"/>
  <c r="P20" i="22"/>
  <c r="A4" i="22"/>
  <c r="G3" i="22"/>
  <c r="A3" i="22"/>
  <c r="F7" i="16" l="1"/>
  <c r="A4" i="19"/>
  <c r="D3" i="19"/>
  <c r="B3" i="19"/>
  <c r="A3" i="19"/>
  <c r="I3" i="17"/>
  <c r="E3" i="17"/>
  <c r="A4" i="17"/>
  <c r="A3" i="17"/>
  <c r="O3" i="13"/>
  <c r="H3" i="13"/>
  <c r="I3" i="16"/>
  <c r="E3" i="16"/>
  <c r="A4" i="16"/>
  <c r="A3" i="16"/>
  <c r="A4" i="13"/>
  <c r="A3" i="13"/>
  <c r="K7" i="16" l="1"/>
  <c r="L7" i="16" s="1"/>
  <c r="C11" i="23"/>
  <c r="D11" i="23"/>
  <c r="E11" i="19" l="1"/>
  <c r="F8" i="16"/>
  <c r="F10" i="16" l="1"/>
  <c r="F12" i="16" s="1"/>
  <c r="J8" i="16"/>
  <c r="G10" i="16"/>
  <c r="E11" i="23"/>
  <c r="B11" i="23"/>
  <c r="J10" i="16" l="1"/>
  <c r="J12" i="16" s="1"/>
  <c r="K8" i="16"/>
  <c r="L8" i="16"/>
  <c r="K10" i="16" l="1"/>
  <c r="L10" i="16" s="1"/>
  <c r="D14" i="16"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<sst xmlns="http://schemas.openxmlformats.org/spreadsheetml/2006/main" count="437" uniqueCount="388">
  <si>
    <t>索引：</t>
    <phoneticPr fontId="12" type="noConversion"/>
  </si>
  <si>
    <t>页次：</t>
    <phoneticPr fontId="12" type="noConversion"/>
  </si>
  <si>
    <t>本期增加</t>
  </si>
  <si>
    <t>本期减少</t>
  </si>
  <si>
    <r>
      <t>主要原因</t>
    </r>
    <r>
      <rPr>
        <sz val="10"/>
        <color indexed="10"/>
        <rFont val="宋体"/>
        <family val="3"/>
        <charset val="134"/>
      </rPr>
      <t>（比例超过30%的）</t>
    </r>
    <r>
      <rPr>
        <sz val="10"/>
        <rFont val="宋体"/>
        <family val="3"/>
        <charset val="134"/>
      </rPr>
      <t>：</t>
    </r>
    <phoneticPr fontId="12" type="noConversion"/>
  </si>
  <si>
    <t>递延收益审定表</t>
    <phoneticPr fontId="12" type="noConversion"/>
  </si>
  <si>
    <r>
      <t>（</t>
    </r>
    <r>
      <rPr>
        <sz val="10"/>
        <rFont val="Arial Narrow"/>
        <family val="2"/>
      </rPr>
      <t>2</t>
    </r>
    <r>
      <rPr>
        <sz val="10"/>
        <rFont val="宋体"/>
        <family val="3"/>
        <charset val="134"/>
      </rPr>
      <t>）情况说明。</t>
    </r>
    <phoneticPr fontId="12" type="noConversion"/>
  </si>
  <si>
    <r>
      <t>（</t>
    </r>
    <r>
      <rPr>
        <sz val="10"/>
        <rFont val="Arial Narrow"/>
        <family val="2"/>
      </rPr>
      <t>1</t>
    </r>
    <r>
      <rPr>
        <sz val="10"/>
        <rFont val="宋体"/>
        <family val="3"/>
        <charset val="134"/>
      </rPr>
      <t>）期末余额较期初余额增加（负数为减少）：</t>
    </r>
    <phoneticPr fontId="12" type="noConversion"/>
  </si>
  <si>
    <t>与资产相关的政府补助</t>
  </si>
  <si>
    <t>与收益相关的政府补助</t>
  </si>
  <si>
    <t>政府补助的确认、计量与列报</t>
  </si>
  <si>
    <t>（一）实务问题</t>
  </si>
  <si>
    <t>（二）我们的理解</t>
  </si>
  <si>
    <t>财政资金拨款的会计处理如下：</t>
  </si>
  <si>
    <t>序号</t>
  </si>
  <si>
    <t>财政资金类别</t>
  </si>
  <si>
    <t>性质</t>
  </si>
  <si>
    <t>会计处理</t>
  </si>
  <si>
    <t>报表列示</t>
  </si>
  <si>
    <t>现金流量分类</t>
  </si>
  <si>
    <t>属于国家直接投资、资本注入的财政资金，如基本建设投资、国债投资项目等</t>
  </si>
  <si>
    <t>政府资本性投入</t>
  </si>
  <si>
    <t>增加国有实收资本和国有资本公积</t>
  </si>
  <si>
    <t>资产负债表：权益</t>
  </si>
  <si>
    <t>筹资活动收到的现金</t>
  </si>
  <si>
    <t>属于投资补助的财政资金，如公益性和公共基础设施投资项目补助、推进科技进步和高新技术产业化的投资项目补助等。</t>
  </si>
  <si>
    <t>资本性投入</t>
  </si>
  <si>
    <t>增加资本公积或者实收资本，由全体投资者共同享有</t>
  </si>
  <si>
    <t>资产负债表：结转资本公积前，应在“专项应付款”列报</t>
  </si>
  <si>
    <t>属于政府转贷、偿还性资助的财政资金，如世界银行贷款项目等</t>
  </si>
  <si>
    <t>负债</t>
  </si>
  <si>
    <t>增加负债</t>
  </si>
  <si>
    <t>资产负债表：负债</t>
  </si>
  <si>
    <t>属于贷款贴息、专项经费补助的财政资金，如技术更新改造项目贷款贴息、中小企业发展专项资金、产业技术研究与开发资金、科技型中小企业技术创新基金、中小企业国际市场开拓资金等</t>
  </si>
  <si>
    <t>政府补助</t>
  </si>
  <si>
    <t>1.与资产相关的政府补助以及补偿企业以后期间相关费用或损失的与收益相关的政府补助，确认为递延收益</t>
  </si>
  <si>
    <t>资产负债表：“其他流动负债”或“其他非流动负债”</t>
  </si>
  <si>
    <t>与资产相关的：投资活动；</t>
  </si>
  <si>
    <t>与收益相关的：经营活动</t>
  </si>
  <si>
    <t>属于弥补亏损、救助损失或者其他用途的财政资金，如国有企业亏损补贴、“非典”期间补偿民航公司的损失、关闭小企业补助等。</t>
  </si>
  <si>
    <t>2.补偿企业已经发生的相关费用或损失的与收益相关的政府补助，计入当期损益</t>
  </si>
  <si>
    <t>利润表：营业外收入</t>
  </si>
  <si>
    <t>C1</t>
  </si>
  <si>
    <t>Custom 1</t>
  </si>
  <si>
    <t>C2</t>
  </si>
  <si>
    <t>Custom 2</t>
  </si>
  <si>
    <t>C3</t>
  </si>
  <si>
    <t>Custom 3</t>
  </si>
  <si>
    <t>C4</t>
  </si>
  <si>
    <t>Custom 4</t>
  </si>
  <si>
    <t>C5</t>
  </si>
  <si>
    <t>Custom 5</t>
  </si>
  <si>
    <t>C6</t>
  </si>
  <si>
    <t>Custom 6</t>
  </si>
  <si>
    <t>C7</t>
  </si>
  <si>
    <t>Custom 7</t>
  </si>
  <si>
    <t>C8</t>
  </si>
  <si>
    <t>Custom 8</t>
  </si>
  <si>
    <t>致同会计师事务所</t>
  </si>
  <si>
    <t>企业发展奖励资金、财政贴息补助；按发电量及补贴标准计算的燃料加工费补贴、按保底水量每吨1元标准确认的定额补助、</t>
  </si>
  <si>
    <r>
      <rPr>
        <sz val="10"/>
        <rFont val="宋体"/>
        <family val="3"/>
        <charset val="134"/>
      </rPr>
      <t>页次：</t>
    </r>
  </si>
  <si>
    <r>
      <rPr>
        <b/>
        <sz val="10"/>
        <color indexed="8"/>
        <rFont val="宋体"/>
        <family val="3"/>
        <charset val="134"/>
      </rPr>
      <t>一、审计目标：</t>
    </r>
    <phoneticPr fontId="12" type="noConversion"/>
  </si>
  <si>
    <r>
      <rPr>
        <b/>
        <sz val="10"/>
        <rFont val="宋体"/>
        <family val="3"/>
        <charset val="134"/>
      </rPr>
      <t>四、审计结论：</t>
    </r>
    <phoneticPr fontId="12" type="noConversion"/>
  </si>
  <si>
    <r>
      <rPr>
        <sz val="10"/>
        <rFont val="宋体"/>
        <family val="3"/>
        <charset val="134"/>
      </rPr>
      <t>页次：</t>
    </r>
    <phoneticPr fontId="12" type="noConversion"/>
  </si>
  <si>
    <t>1、如何区分财政资金与政府补助？收到的资金，如何在资产负债表列报分类（权益、负债或损益），如何现金流量分类？</t>
  </si>
  <si>
    <t>2、政府补助确认时点？对定额的理解，收到还是应收？</t>
  </si>
  <si>
    <t>3、是否为非经常性损益？是否确认有关递延所得税？</t>
  </si>
  <si>
    <t>1、财政资金与政府补助的区分</t>
  </si>
  <si>
    <t>我们认为，应当根据财政拨款的拨付依据、相关财政资金管理办法、企业财务通则等文件，判断政府拨入的财政资金的款项性质。</t>
    <phoneticPr fontId="15" type="noConversion"/>
  </si>
  <si>
    <t>如果存在以下情形，拨款则不属于政府补助：</t>
    <phoneticPr fontId="15" type="noConversion"/>
  </si>
  <si>
    <t>（1）政府因拨款而享有所增加的股权或者独享资本公积，形成投资与被投资的关系,属于互惠交易。</t>
    <phoneticPr fontId="15" type="noConversion"/>
  </si>
  <si>
    <t>（2）款项属于“投资补助”的性质（由全体投资者按股权比例共同享有的）。</t>
    <phoneticPr fontId="15" type="noConversion"/>
  </si>
  <si>
    <t>（3）拨款需要返还（系负债）。</t>
    <phoneticPr fontId="15" type="noConversion"/>
  </si>
  <si>
    <t>作为政府补助，通常是单方面的、无偿的，属于非互惠交易，政府并不因此享有企业的所有权，</t>
    <phoneticPr fontId="15" type="noConversion"/>
  </si>
  <si>
    <t>企业未来也不需要向政府以提供服务、转让资产等方式偿还。</t>
    <phoneticPr fontId="15" type="noConversion"/>
  </si>
  <si>
    <t>按规定列入资本公积的财政资金，应作为政府的权益性投入（资本投入），由文件指定股东或由全体股东享有，</t>
    <phoneticPr fontId="15" type="noConversion"/>
  </si>
  <si>
    <t>不是《CAS16――政府补助》的规范内容，不应作为政府补助项目进行披露。在结转资本公积前（形成资产的），</t>
    <phoneticPr fontId="15" type="noConversion"/>
  </si>
  <si>
    <t>应在“专项应付款”列报，不属于“与资产有关的政府补助”（递延收益）。在利润表，不应作为“其他综合收益”列报。</t>
    <phoneticPr fontId="15" type="noConversion"/>
  </si>
  <si>
    <t>在现金流量表建议列报为“筹资活动收到的现金”。</t>
    <phoneticPr fontId="15" type="noConversion"/>
  </si>
  <si>
    <t>2、政府补助的确认时点</t>
  </si>
  <si>
    <t>《企业会计准则第16号-政府补助》第五条规定，政府补助在企业能够满足政府补助所附条件并能够收到政府补助时予以确认。</t>
  </si>
  <si>
    <t>《企业会计准则第16号-政府补助》应用指南规定，企业取得的各种政府补助为货币性资产的，如通过银行转账等方式拨付的补助，</t>
    <phoneticPr fontId="15" type="noConversion"/>
  </si>
  <si>
    <t>通常按照实际收到的金额计量；存在确凿证据表明该项补助是按照固定的定额标准拨付的，如按照实际销量或储备量与单位</t>
    <phoneticPr fontId="15" type="noConversion"/>
  </si>
  <si>
    <t>补贴定额计算的补助等，可以按照应收的金额计量。</t>
    <phoneticPr fontId="15" type="noConversion"/>
  </si>
  <si>
    <t>实务中，与公司正常经营业务密切相关，符合国家政策规定、按照一定标准定额或定量持续享受的政府补助，</t>
    <phoneticPr fontId="15" type="noConversion"/>
  </si>
  <si>
    <t>如粮棉企业的定额补助，可以按照“权责发生制”确认应收金额，并作为经常性损益。其他情形均应在实际收到时确认政府补助。</t>
    <phoneticPr fontId="15" type="noConversion"/>
  </si>
  <si>
    <t>3、有关案例分析</t>
  </si>
  <si>
    <t>（1）收到税务机关退回公司购买国产设备退增值税款（货币资金），或政府返还的土地出让金，不能直接冲减固定资产</t>
    <phoneticPr fontId="15" type="noConversion"/>
  </si>
  <si>
    <t>或无形资产的购置成本，应作为与资产有关的政府补助，按期摊入损益。现金流量表中应为投资活动（其他）的收到现金。</t>
    <phoneticPr fontId="15" type="noConversion"/>
  </si>
  <si>
    <t>（2）收到的所得税返还，不能直接冲减所得税费用，应作为政府补助，于实际收到时计入营业外收入。</t>
  </si>
  <si>
    <t>（3）不涉及资产直接转移的经济支持的税收优惠，如直接减征、直接免征、增加计税抵扣额、抵免部分税额等，</t>
    <phoneticPr fontId="15" type="noConversion"/>
  </si>
  <si>
    <t>不属于政府补助，不应作为营业外收入。</t>
    <phoneticPr fontId="15" type="noConversion"/>
  </si>
  <si>
    <t>（4）实务中有关案例包括：税收奖励及扶持款、增值税返还；环境保护项目财政补贴、节能技改专项资金；技术创新基金补助款、</t>
    <phoneticPr fontId="15" type="noConversion"/>
  </si>
  <si>
    <t>燃油补贴；生产经营筹资补贴、开发区综合补贴、市场开拓补贴、项目专项补贴、劳动力安置补贴、弥补前期已发生的</t>
    <phoneticPr fontId="15" type="noConversion"/>
  </si>
  <si>
    <t>职工费用的补贴、改制上市奖励等。</t>
    <phoneticPr fontId="15" type="noConversion"/>
  </si>
  <si>
    <r>
      <rPr>
        <b/>
        <sz val="12"/>
        <rFont val="宋体"/>
        <family val="3"/>
        <charset val="134"/>
      </rPr>
      <t>底稿开列时，可先在以下单元格填写有关内容，以便其他底稿引用有关数据：</t>
    </r>
    <phoneticPr fontId="12" type="noConversion"/>
  </si>
  <si>
    <t>递延收益明细表</t>
    <phoneticPr fontId="12" type="noConversion"/>
  </si>
  <si>
    <r>
      <rPr>
        <b/>
        <sz val="10"/>
        <color indexed="8"/>
        <rFont val="宋体"/>
        <family val="3"/>
        <charset val="134"/>
      </rPr>
      <t>二、审计过程</t>
    </r>
    <r>
      <rPr>
        <b/>
        <sz val="10"/>
        <color indexed="8"/>
        <rFont val="Arial Narrow"/>
        <family val="2"/>
      </rPr>
      <t>:</t>
    </r>
    <phoneticPr fontId="12" type="noConversion"/>
  </si>
  <si>
    <t>项目</t>
  </si>
  <si>
    <r>
      <rPr>
        <b/>
        <sz val="10"/>
        <rFont val="宋体"/>
        <family val="3"/>
        <charset val="134"/>
      </rPr>
      <t>未审数</t>
    </r>
    <phoneticPr fontId="12" type="noConversion"/>
  </si>
  <si>
    <r>
      <rPr>
        <b/>
        <sz val="10"/>
        <rFont val="宋体"/>
        <family val="3"/>
        <charset val="134"/>
      </rPr>
      <t>期初调整</t>
    </r>
    <phoneticPr fontId="12" type="noConversion"/>
  </si>
  <si>
    <r>
      <rPr>
        <b/>
        <sz val="10"/>
        <rFont val="宋体"/>
        <family val="3"/>
        <charset val="134"/>
      </rPr>
      <t>账项调整</t>
    </r>
    <phoneticPr fontId="12" type="noConversion"/>
  </si>
  <si>
    <r>
      <rPr>
        <b/>
        <sz val="10"/>
        <rFont val="宋体"/>
        <family val="3"/>
        <charset val="134"/>
      </rPr>
      <t>重分类调整</t>
    </r>
    <phoneticPr fontId="12" type="noConversion"/>
  </si>
  <si>
    <r>
      <rPr>
        <b/>
        <sz val="10"/>
        <rFont val="宋体"/>
        <family val="3"/>
        <charset val="134"/>
      </rPr>
      <t>审定数</t>
    </r>
    <phoneticPr fontId="12" type="noConversion"/>
  </si>
  <si>
    <r>
      <rPr>
        <b/>
        <sz val="10"/>
        <color indexed="8"/>
        <rFont val="宋体"/>
        <family val="3"/>
        <charset val="134"/>
      </rPr>
      <t>形成原因</t>
    </r>
    <phoneticPr fontId="12" type="noConversion"/>
  </si>
  <si>
    <r>
      <rPr>
        <b/>
        <sz val="10"/>
        <color indexed="8"/>
        <rFont val="宋体"/>
        <family val="3"/>
        <charset val="134"/>
      </rPr>
      <t>文件索引号</t>
    </r>
    <phoneticPr fontId="12" type="noConversion"/>
  </si>
  <si>
    <t>备注</t>
    <phoneticPr fontId="12" type="noConversion"/>
  </si>
  <si>
    <r>
      <rPr>
        <b/>
        <sz val="10"/>
        <color indexed="8"/>
        <rFont val="宋体"/>
        <family val="3"/>
        <charset val="134"/>
      </rPr>
      <t>期初数</t>
    </r>
    <phoneticPr fontId="12" type="noConversion"/>
  </si>
  <si>
    <r>
      <rPr>
        <b/>
        <sz val="10"/>
        <color indexed="8"/>
        <rFont val="宋体"/>
        <family val="3"/>
        <charset val="134"/>
      </rPr>
      <t>本期增加</t>
    </r>
    <phoneticPr fontId="12" type="noConversion"/>
  </si>
  <si>
    <t>本期减少</t>
    <phoneticPr fontId="12" type="noConversion"/>
  </si>
  <si>
    <r>
      <rPr>
        <b/>
        <sz val="10"/>
        <color indexed="8"/>
        <rFont val="宋体"/>
        <family val="3"/>
        <charset val="134"/>
      </rPr>
      <t>期末数</t>
    </r>
    <phoneticPr fontId="12" type="noConversion"/>
  </si>
  <si>
    <t>账项调整</t>
    <phoneticPr fontId="12" type="noConversion"/>
  </si>
  <si>
    <t>重分类调整</t>
    <phoneticPr fontId="12" type="noConversion"/>
  </si>
  <si>
    <t>本期增加</t>
    <phoneticPr fontId="12" type="noConversion"/>
  </si>
  <si>
    <r>
      <rPr>
        <b/>
        <sz val="10"/>
        <color indexed="8"/>
        <rFont val="宋体"/>
        <family val="3"/>
        <charset val="134"/>
      </rPr>
      <t>本期减少其中项</t>
    </r>
    <phoneticPr fontId="12" type="noConversion"/>
  </si>
  <si>
    <t>合计</t>
  </si>
  <si>
    <t>递延收益测算表</t>
    <phoneticPr fontId="12" type="noConversion"/>
  </si>
  <si>
    <r>
      <rPr>
        <b/>
        <sz val="10"/>
        <rFont val="宋体"/>
        <family val="3"/>
        <charset val="134"/>
      </rPr>
      <t>摊销期初</t>
    </r>
    <phoneticPr fontId="12" type="noConversion"/>
  </si>
  <si>
    <r>
      <rPr>
        <b/>
        <sz val="10"/>
        <rFont val="宋体"/>
        <family val="3"/>
        <charset val="134"/>
      </rPr>
      <t>摊销期末</t>
    </r>
    <phoneticPr fontId="12" type="noConversion"/>
  </si>
  <si>
    <t>项目</t>
    <phoneticPr fontId="12" type="noConversion"/>
  </si>
  <si>
    <t>期初原值</t>
    <phoneticPr fontId="12" type="noConversion"/>
  </si>
  <si>
    <t>期初金额</t>
  </si>
  <si>
    <t>本年新增入账时间</t>
    <phoneticPr fontId="12" type="noConversion"/>
  </si>
  <si>
    <t>期末原值</t>
    <phoneticPr fontId="12" type="noConversion"/>
  </si>
  <si>
    <r>
      <rPr>
        <b/>
        <sz val="10"/>
        <rFont val="宋体"/>
        <family val="3"/>
        <charset val="134"/>
      </rPr>
      <t>摊销到期日</t>
    </r>
    <phoneticPr fontId="12" type="noConversion"/>
  </si>
  <si>
    <r>
      <rPr>
        <b/>
        <sz val="10"/>
        <rFont val="宋体"/>
        <family val="3"/>
        <charset val="134"/>
      </rPr>
      <t>期初金额摊销月份数</t>
    </r>
    <phoneticPr fontId="12" type="noConversion"/>
  </si>
  <si>
    <r>
      <rPr>
        <b/>
        <sz val="10"/>
        <rFont val="宋体"/>
        <family val="3"/>
        <charset val="134"/>
      </rPr>
      <t>本期新增摊销月份数</t>
    </r>
    <phoneticPr fontId="12" type="noConversion"/>
  </si>
  <si>
    <r>
      <rPr>
        <b/>
        <sz val="10"/>
        <rFont val="宋体"/>
        <family val="3"/>
        <charset val="134"/>
      </rPr>
      <t>期初余额应摊销金额</t>
    </r>
    <phoneticPr fontId="12" type="noConversion"/>
  </si>
  <si>
    <r>
      <rPr>
        <b/>
        <sz val="10"/>
        <rFont val="宋体"/>
        <family val="3"/>
        <charset val="134"/>
      </rPr>
      <t>本期新增应摊销金额</t>
    </r>
    <phoneticPr fontId="12" type="noConversion"/>
  </si>
  <si>
    <t>补摊销金额</t>
    <phoneticPr fontId="12" type="noConversion"/>
  </si>
  <si>
    <t>测算期末余额</t>
    <phoneticPr fontId="12" type="noConversion"/>
  </si>
  <si>
    <t>合计</t>
    <phoneticPr fontId="12" type="noConversion"/>
  </si>
  <si>
    <r>
      <rPr>
        <b/>
        <sz val="12"/>
        <rFont val="宋体"/>
        <family val="3"/>
        <charset val="134"/>
      </rPr>
      <t>附注披露信息（上市公司）</t>
    </r>
    <phoneticPr fontId="34" type="noConversion"/>
  </si>
  <si>
    <t>递延收益</t>
  </si>
  <si>
    <t>项目/类别</t>
  </si>
  <si>
    <t>期末余额</t>
  </si>
  <si>
    <t>合 计</t>
  </si>
  <si>
    <t>注：企业还应当披露与政府补助有关的下列信息：1.政府补助的种类及金额；2.计入当期损益的政府补助金额；3.本期返还的政府补助金额及原因。</t>
  </si>
  <si>
    <t>补助项目</t>
  </si>
  <si>
    <t>期初余额</t>
  </si>
  <si>
    <t>本期新增补助金额</t>
  </si>
  <si>
    <r>
      <rPr>
        <b/>
        <sz val="10"/>
        <color indexed="8"/>
        <rFont val="宋体"/>
        <family val="3"/>
        <charset val="134"/>
      </rPr>
      <t>本期审定数与上期
审定数的比较</t>
    </r>
    <phoneticPr fontId="12" type="noConversion"/>
  </si>
  <si>
    <r>
      <rPr>
        <b/>
        <sz val="10"/>
        <rFont val="宋体"/>
        <family val="3"/>
        <charset val="134"/>
      </rPr>
      <t>变动额</t>
    </r>
    <phoneticPr fontId="12" type="noConversion"/>
  </si>
  <si>
    <r>
      <rPr>
        <b/>
        <sz val="10"/>
        <color indexed="8"/>
        <rFont val="宋体"/>
        <family val="3"/>
        <charset val="134"/>
      </rPr>
      <t>变动率</t>
    </r>
    <phoneticPr fontId="12" type="noConversion"/>
  </si>
  <si>
    <t>期初数</t>
    <phoneticPr fontId="12" type="noConversion"/>
  </si>
  <si>
    <t>原因分析</t>
    <phoneticPr fontId="12" type="noConversion"/>
  </si>
  <si>
    <t>合计</t>
    <phoneticPr fontId="12" type="noConversion"/>
  </si>
  <si>
    <t>所属类别</t>
    <phoneticPr fontId="12" type="noConversion"/>
  </si>
  <si>
    <t>其他</t>
    <phoneticPr fontId="12" type="noConversion"/>
  </si>
  <si>
    <t>3</t>
  </si>
  <si>
    <t>2</t>
    <phoneticPr fontId="12" type="noConversion"/>
  </si>
  <si>
    <t>1</t>
    <phoneticPr fontId="12" type="noConversion"/>
  </si>
  <si>
    <t>T1</t>
    <phoneticPr fontId="12" type="noConversion"/>
  </si>
  <si>
    <r>
      <rPr>
        <b/>
        <sz val="10"/>
        <rFont val="宋体"/>
        <family val="3"/>
        <charset val="134"/>
      </rPr>
      <t>三、计划实施的实质性程序</t>
    </r>
    <phoneticPr fontId="12" type="noConversion"/>
  </si>
  <si>
    <r>
      <rPr>
        <b/>
        <sz val="10"/>
        <rFont val="宋体"/>
        <family val="3"/>
        <charset val="134"/>
      </rPr>
      <t>财务报表的认定　</t>
    </r>
  </si>
  <si>
    <r>
      <rPr>
        <b/>
        <sz val="10"/>
        <rFont val="宋体"/>
        <family val="3"/>
        <charset val="134"/>
      </rPr>
      <t>一、本账户涉及的科目</t>
    </r>
    <phoneticPr fontId="12" type="noConversion"/>
  </si>
  <si>
    <t>递延收益实质性程序表</t>
    <phoneticPr fontId="46" type="noConversion"/>
  </si>
  <si>
    <t>存在</t>
  </si>
  <si>
    <t>完整性</t>
  </si>
  <si>
    <t>权利和义务</t>
  </si>
  <si>
    <t>递延收益</t>
    <phoneticPr fontId="46" type="noConversion"/>
  </si>
  <si>
    <t>4</t>
  </si>
  <si>
    <t>5</t>
  </si>
  <si>
    <t>6</t>
  </si>
  <si>
    <t>试算平衡表数</t>
    <phoneticPr fontId="12" type="noConversion"/>
  </si>
  <si>
    <t>差异数</t>
    <phoneticPr fontId="12" type="noConversion"/>
  </si>
  <si>
    <t>调整事项说明</t>
    <phoneticPr fontId="12" type="noConversion"/>
  </si>
  <si>
    <t>类别（报表调整/账项调整/其他）</t>
    <phoneticPr fontId="12" type="noConversion"/>
  </si>
  <si>
    <t>科目名称</t>
    <phoneticPr fontId="12" type="noConversion"/>
  </si>
  <si>
    <t>附注项目</t>
    <phoneticPr fontId="12" type="noConversion"/>
  </si>
  <si>
    <t>……</t>
    <phoneticPr fontId="12" type="noConversion"/>
  </si>
  <si>
    <t>借方调整金额</t>
    <phoneticPr fontId="12" type="noConversion"/>
  </si>
  <si>
    <t>贷方调整金额</t>
    <phoneticPr fontId="12" type="noConversion"/>
  </si>
  <si>
    <t>索引</t>
    <phoneticPr fontId="12" type="noConversion"/>
  </si>
  <si>
    <t>递延收益调整分录汇总表</t>
    <phoneticPr fontId="12" type="noConversion"/>
  </si>
  <si>
    <t>本期新增补助金额</t>
    <phoneticPr fontId="12" type="noConversion"/>
  </si>
  <si>
    <t>其他增加</t>
    <phoneticPr fontId="12" type="noConversion"/>
  </si>
  <si>
    <t>其他减少</t>
    <phoneticPr fontId="12" type="noConversion"/>
  </si>
  <si>
    <t>本期增加其中项</t>
    <phoneticPr fontId="12" type="noConversion"/>
  </si>
  <si>
    <t>期末数</t>
    <phoneticPr fontId="12" type="noConversion"/>
  </si>
  <si>
    <t>未审数</t>
    <phoneticPr fontId="12" type="noConversion"/>
  </si>
  <si>
    <t>审定数</t>
    <phoneticPr fontId="12" type="noConversion"/>
  </si>
  <si>
    <t>政府补助</t>
    <phoneticPr fontId="34" type="noConversion"/>
  </si>
  <si>
    <t>【公司根据《企业会计准则》规定计入“递延收益”科目的金额，应按如下原则确定所属的报表项目：（1）受益期预计在一年以内（含一年）的，应在“其他流动负债”项目列报；（2）自资产负债表日起算的受益期限超过一年的，在“递延收益”目中列报。】【摊销期限只剩一年或不足一年的， 或预计在一年内（含一年）进行摊销的部分，不得归类为流动负债，仍在该项目中填列，不转入“一年内到期的非流动负债”项目。】</t>
  </si>
  <si>
    <t>期初余额</t>
    <phoneticPr fontId="12" type="noConversion"/>
  </si>
  <si>
    <t>其中：递延收益-政府补助情况【参考披露格式如下】</t>
  </si>
  <si>
    <t>本期计入损益金额</t>
  </si>
  <si>
    <t>本期计入损益的列报项目</t>
  </si>
  <si>
    <t>本期返还的金额</t>
  </si>
  <si>
    <t>其他变动</t>
  </si>
  <si>
    <t>与资产相关/与收益相关</t>
  </si>
  <si>
    <t>本期返还的原因</t>
  </si>
  <si>
    <t>其他收益</t>
  </si>
  <si>
    <t>营业外收入</t>
  </si>
  <si>
    <t>合  计</t>
  </si>
  <si>
    <t>项  目</t>
  </si>
  <si>
    <t>形成原因</t>
  </si>
  <si>
    <t>附注披露信息（国企）</t>
    <phoneticPr fontId="34" type="noConversion"/>
  </si>
  <si>
    <t>期初余额</t>
    <phoneticPr fontId="34" type="noConversion"/>
  </si>
  <si>
    <t>期末余额</t>
    <phoneticPr fontId="34" type="noConversion"/>
  </si>
  <si>
    <t>说明：计入递延收益的政府补助详见附注附注八、政府补助。</t>
    <phoneticPr fontId="34" type="noConversion"/>
  </si>
  <si>
    <t>索引号：</t>
    <phoneticPr fontId="12" type="noConversion"/>
  </si>
  <si>
    <t>索引号：</t>
    <phoneticPr fontId="34" type="noConversion"/>
  </si>
  <si>
    <t>索引号：</t>
    <phoneticPr fontId="12" type="noConversion"/>
  </si>
  <si>
    <t>索引：</t>
    <phoneticPr fontId="12" type="noConversion"/>
  </si>
  <si>
    <t>页次：</t>
    <phoneticPr fontId="12" type="noConversion"/>
  </si>
  <si>
    <t>索引号：</t>
    <phoneticPr fontId="12" type="noConversion"/>
  </si>
  <si>
    <r>
      <rPr>
        <sz val="10"/>
        <rFont val="宋体"/>
        <family val="3"/>
        <charset val="134"/>
      </rPr>
      <t>索引号：</t>
    </r>
    <phoneticPr fontId="12" type="noConversion"/>
  </si>
  <si>
    <t>K7A</t>
  </si>
  <si>
    <t>K7-1</t>
  </si>
  <si>
    <t>K7-2</t>
  </si>
  <si>
    <t>K7-5</t>
  </si>
  <si>
    <r>
      <rPr>
        <u/>
        <sz val="10"/>
        <color indexed="12"/>
        <rFont val="宋体"/>
        <family val="3"/>
        <charset val="134"/>
      </rPr>
      <t>附注披露信息（国有企业）</t>
    </r>
    <phoneticPr fontId="12" type="noConversion"/>
  </si>
  <si>
    <r>
      <rPr>
        <sz val="10"/>
        <rFont val="宋体"/>
        <family val="3"/>
        <charset val="134"/>
      </rPr>
      <t>页</t>
    </r>
    <r>
      <rPr>
        <sz val="10"/>
        <rFont val="Arial Narrow"/>
        <family val="2"/>
      </rPr>
      <t xml:space="preserve">  </t>
    </r>
    <r>
      <rPr>
        <sz val="10"/>
        <rFont val="宋体"/>
        <family val="3"/>
        <charset val="134"/>
      </rPr>
      <t>次：</t>
    </r>
    <phoneticPr fontId="46" type="noConversion"/>
  </si>
  <si>
    <r>
      <rPr>
        <sz val="10"/>
        <rFont val="宋体"/>
        <family val="3"/>
        <charset val="134"/>
      </rPr>
      <t>索引号：</t>
    </r>
    <phoneticPr fontId="46" type="noConversion"/>
  </si>
  <si>
    <t>摊销期限（年）</t>
    <phoneticPr fontId="12" type="noConversion"/>
  </si>
  <si>
    <r>
      <t>202X</t>
    </r>
    <r>
      <rPr>
        <b/>
        <sz val="10"/>
        <rFont val="宋体"/>
        <family val="3"/>
        <charset val="134"/>
      </rPr>
      <t>年项目现状</t>
    </r>
    <phoneticPr fontId="12" type="noConversion"/>
  </si>
  <si>
    <t>账面本期摊销额</t>
    <phoneticPr fontId="12" type="noConversion"/>
  </si>
  <si>
    <t>开始摊销日</t>
    <phoneticPr fontId="12" type="noConversion"/>
  </si>
  <si>
    <r>
      <rPr>
        <b/>
        <sz val="10"/>
        <color indexed="8"/>
        <rFont val="宋体"/>
        <family val="3"/>
        <charset val="134"/>
      </rPr>
      <t>一、审计目标：</t>
    </r>
    <phoneticPr fontId="12" type="noConversion"/>
  </si>
  <si>
    <r>
      <rPr>
        <b/>
        <sz val="10"/>
        <rFont val="宋体"/>
        <family val="3"/>
        <charset val="134"/>
      </rPr>
      <t>三、审计说明：</t>
    </r>
    <phoneticPr fontId="12" type="noConversion"/>
  </si>
  <si>
    <r>
      <rPr>
        <b/>
        <sz val="10"/>
        <rFont val="宋体"/>
        <family val="3"/>
        <charset val="134"/>
      </rPr>
      <t>四、审计结论：</t>
    </r>
    <phoneticPr fontId="12" type="noConversion"/>
  </si>
  <si>
    <t>二、审计目标与认定的对应关系</t>
  </si>
  <si>
    <t>审计目标</t>
    <phoneticPr fontId="12" type="noConversion"/>
  </si>
  <si>
    <t>序号</t>
    <phoneticPr fontId="12" type="noConversion"/>
  </si>
  <si>
    <t>程序分类</t>
    <phoneticPr fontId="12" type="noConversion"/>
  </si>
  <si>
    <t>财务报表的认定</t>
    <phoneticPr fontId="12" type="noConversion"/>
  </si>
  <si>
    <t>存在</t>
    <phoneticPr fontId="12" type="noConversion"/>
  </si>
  <si>
    <t>完整性</t>
    <phoneticPr fontId="12" type="noConversion"/>
  </si>
  <si>
    <t>权利和
义务</t>
    <phoneticPr fontId="12" type="noConversion"/>
  </si>
  <si>
    <r>
      <rPr>
        <sz val="10"/>
        <color theme="1"/>
        <rFont val="宋体"/>
        <family val="3"/>
        <charset val="134"/>
      </rPr>
      <t>常规★</t>
    </r>
    <phoneticPr fontId="46" type="noConversion"/>
  </si>
  <si>
    <r>
      <rPr>
        <sz val="10"/>
        <color theme="1"/>
        <rFont val="宋体"/>
        <family val="3"/>
        <charset val="134"/>
      </rPr>
      <t>常规★</t>
    </r>
    <phoneticPr fontId="46" type="noConversion"/>
  </si>
  <si>
    <r>
      <rPr>
        <sz val="10"/>
        <color theme="1"/>
        <rFont val="宋体"/>
        <family val="3"/>
        <charset val="134"/>
      </rPr>
      <t>常规★</t>
    </r>
    <phoneticPr fontId="46" type="noConversion"/>
  </si>
  <si>
    <t>√</t>
    <phoneticPr fontId="12" type="noConversion"/>
  </si>
  <si>
    <t>准确性、计价和分摊</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</si>
  <si>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</si>
  <si>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关注会计政策、会计估计合理性、一贯性。关注其是否利用会计政策和会计估计及其变更操纵利润。</t>
    <phoneticPr fontId="12" type="noConversion"/>
  </si>
  <si>
    <t>常规★</t>
    <phoneticPr fontId="12" type="noConversion"/>
  </si>
  <si>
    <t>√</t>
    <phoneticPr fontId="12" type="noConversion"/>
  </si>
  <si>
    <t>7</t>
  </si>
  <si>
    <r>
      <rPr>
        <sz val="10"/>
        <rFont val="宋体"/>
        <family val="3"/>
        <charset val="134"/>
      </rPr>
      <t>备选</t>
    </r>
    <phoneticPr fontId="12" type="noConversion"/>
  </si>
  <si>
    <t>列报</t>
    <phoneticPr fontId="12" type="noConversion"/>
  </si>
  <si>
    <t>列报</t>
    <phoneticPr fontId="12" type="noConversion"/>
  </si>
  <si>
    <t>报表项目</t>
    <phoneticPr fontId="12" type="noConversion"/>
  </si>
  <si>
    <t>√</t>
    <phoneticPr fontId="12" type="noConversion"/>
  </si>
  <si>
    <t>K7-1</t>
    <phoneticPr fontId="12" type="noConversion"/>
  </si>
  <si>
    <r>
      <rPr>
        <sz val="10"/>
        <rFont val="宋体"/>
        <family val="3"/>
        <charset val="134"/>
      </rPr>
      <t>根据评估的舞弊风险等因素增加的审计程序。</t>
    </r>
  </si>
  <si>
    <r>
      <t>3.</t>
    </r>
    <r>
      <rPr>
        <sz val="10"/>
        <rFont val="宋体"/>
        <family val="3"/>
        <charset val="134"/>
      </rPr>
      <t>递延收益以恰当的金额包括在财务报表中，与之相关的计价或分摊调整已恰当记录，相关披露已得到恰当计量和描述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12" type="noConversion"/>
  </si>
  <si>
    <r>
      <t>1.</t>
    </r>
    <r>
      <rPr>
        <sz val="10"/>
        <rFont val="宋体"/>
        <family val="3"/>
        <charset val="134"/>
      </rPr>
      <t>资产负债表中记录的递延收益是存在的，且已记录于恰当的账户；</t>
    </r>
    <phoneticPr fontId="12" type="noConversion"/>
  </si>
  <si>
    <r>
      <t>2.</t>
    </r>
    <r>
      <rPr>
        <sz val="10"/>
        <rFont val="宋体"/>
        <family val="3"/>
        <charset val="134"/>
      </rPr>
      <t>所有应记录的递延收益均已记录，所有应当包括在财务报表中的相关披露均已包括；</t>
    </r>
    <phoneticPr fontId="12" type="noConversion"/>
  </si>
  <si>
    <r>
      <rPr>
        <b/>
        <sz val="10"/>
        <rFont val="宋体"/>
        <family val="3"/>
        <charset val="134"/>
      </rPr>
      <t>三、审计说明：</t>
    </r>
    <phoneticPr fontId="12" type="noConversion"/>
  </si>
  <si>
    <r>
      <rPr>
        <b/>
        <sz val="10"/>
        <color indexed="8"/>
        <rFont val="宋体"/>
        <family val="3"/>
        <charset val="134"/>
      </rPr>
      <t>一、审计目标：</t>
    </r>
    <phoneticPr fontId="12" type="noConversion"/>
  </si>
  <si>
    <r>
      <rPr>
        <b/>
        <sz val="10"/>
        <color indexed="8"/>
        <rFont val="宋体"/>
        <family val="3"/>
        <charset val="134"/>
      </rPr>
      <t>测试：</t>
    </r>
    <phoneticPr fontId="12" type="noConversion"/>
  </si>
  <si>
    <t>K7-</t>
    <phoneticPr fontId="12" type="noConversion"/>
  </si>
  <si>
    <t>√</t>
    <phoneticPr fontId="12" type="noConversion"/>
  </si>
  <si>
    <t>√</t>
    <phoneticPr fontId="12" type="noConversion"/>
  </si>
  <si>
    <t>√</t>
    <phoneticPr fontId="12" type="noConversion"/>
  </si>
  <si>
    <t>√</t>
    <phoneticPr fontId="12" type="noConversion"/>
  </si>
  <si>
    <t>√</t>
    <phoneticPr fontId="12" type="noConversion"/>
  </si>
  <si>
    <r>
      <t>2.</t>
    </r>
    <r>
      <rPr>
        <b/>
        <sz val="10"/>
        <rFont val="宋体"/>
        <family val="3"/>
        <charset val="134"/>
      </rPr>
      <t>审计结论</t>
    </r>
    <phoneticPr fontId="12" type="noConversion"/>
  </si>
  <si>
    <t>无需打印</t>
    <phoneticPr fontId="12" type="noConversion"/>
  </si>
  <si>
    <t>K7-3</t>
  </si>
  <si>
    <r>
      <rPr>
        <u/>
        <sz val="10"/>
        <color indexed="12"/>
        <rFont val="宋体"/>
        <family val="3"/>
        <charset val="134"/>
      </rPr>
      <t>实质性程序表</t>
    </r>
  </si>
  <si>
    <r>
      <rPr>
        <u/>
        <sz val="10"/>
        <color indexed="12"/>
        <rFont val="宋体"/>
        <family val="3"/>
        <charset val="134"/>
      </rPr>
      <t>附注披露信息（上市公司）</t>
    </r>
    <phoneticPr fontId="12" type="noConversion"/>
  </si>
  <si>
    <r>
      <rPr>
        <u/>
        <sz val="10"/>
        <color indexed="12"/>
        <rFont val="宋体"/>
        <family val="3"/>
        <charset val="134"/>
      </rPr>
      <t>明细表</t>
    </r>
  </si>
  <si>
    <r>
      <rPr>
        <b/>
        <sz val="10"/>
        <color indexed="8"/>
        <rFont val="宋体"/>
        <family val="3"/>
        <charset val="134"/>
      </rPr>
      <t>序号</t>
    </r>
  </si>
  <si>
    <r>
      <rPr>
        <b/>
        <sz val="10"/>
        <color indexed="8"/>
        <rFont val="宋体"/>
        <family val="3"/>
        <charset val="134"/>
      </rPr>
      <t>内容</t>
    </r>
  </si>
  <si>
    <r>
      <rPr>
        <b/>
        <sz val="10"/>
        <color indexed="8"/>
        <rFont val="宋体"/>
        <family val="3"/>
        <charset val="134"/>
      </rPr>
      <t>索引号</t>
    </r>
  </si>
  <si>
    <r>
      <rPr>
        <b/>
        <sz val="10"/>
        <color indexed="8"/>
        <rFont val="宋体"/>
        <family val="3"/>
        <charset val="134"/>
      </rPr>
      <t>备注</t>
    </r>
  </si>
  <si>
    <r>
      <rPr>
        <u/>
        <sz val="10"/>
        <color indexed="12"/>
        <rFont val="宋体"/>
        <family val="3"/>
        <charset val="134"/>
      </rPr>
      <t>测算表</t>
    </r>
  </si>
  <si>
    <r>
      <rPr>
        <u/>
        <sz val="10"/>
        <color indexed="12"/>
        <rFont val="宋体"/>
        <family val="3"/>
        <charset val="134"/>
      </rPr>
      <t>审定表</t>
    </r>
    <phoneticPr fontId="12" type="noConversion"/>
  </si>
  <si>
    <r>
      <rPr>
        <u/>
        <sz val="10"/>
        <color indexed="12"/>
        <rFont val="宋体"/>
        <family val="3"/>
        <charset val="134"/>
      </rPr>
      <t>调整分录汇总</t>
    </r>
    <phoneticPr fontId="12" type="noConversion"/>
  </si>
  <si>
    <t>底稿索引号</t>
    <phoneticPr fontId="12"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</si>
  <si>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46"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</si>
  <si>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46" type="noConversion"/>
  </si>
  <si>
    <t>K7-4</t>
    <phoneticPr fontId="12" type="noConversion"/>
  </si>
  <si>
    <t>8</t>
  </si>
  <si>
    <t>对递延收益金额进行测算，确定摊销金额是否正确。</t>
    <phoneticPr fontId="12" type="noConversion"/>
  </si>
  <si>
    <t>K7-4</t>
    <phoneticPr fontId="12" type="noConversion"/>
  </si>
  <si>
    <t>致同会计师事务所</t>
    <phoneticPr fontId="46" type="noConversion"/>
  </si>
  <si>
    <t>附注披露信息</t>
    <phoneticPr fontId="12" type="noConversion"/>
  </si>
  <si>
    <t>附注披露信息</t>
    <phoneticPr fontId="12" type="noConversion"/>
  </si>
  <si>
    <t>递延收益以恰当的金额包括在财务报表中，与之相关的计价或分摊调整已恰当记录，相关披露已得到恰当计量和描述。</t>
    <phoneticPr fontId="12" type="noConversion"/>
  </si>
  <si>
    <t>9</t>
  </si>
  <si>
    <r>
      <rPr>
        <sz val="10"/>
        <rFont val="宋体"/>
        <family val="3"/>
        <charset val="134"/>
      </rPr>
      <t>常规★</t>
    </r>
    <phoneticPr fontId="46" type="noConversion"/>
  </si>
  <si>
    <r>
      <t>1.</t>
    </r>
    <r>
      <rPr>
        <b/>
        <sz val="10"/>
        <rFont val="宋体"/>
        <family val="3"/>
        <charset val="134"/>
      </rPr>
      <t>审计说明</t>
    </r>
    <phoneticPr fontId="12"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</si>
  <si>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12" type="noConversion"/>
  </si>
  <si>
    <r>
      <rPr>
        <sz val="10"/>
        <color indexed="12"/>
        <rFont val="宋体"/>
        <family val="3"/>
        <charset val="134"/>
      </rPr>
      <t>提示：</t>
    </r>
    <r>
      <rPr>
        <sz val="10"/>
        <color indexed="12"/>
        <rFont val="Arial Narrow"/>
        <family val="2"/>
      </rPr>
      <t>a</t>
    </r>
    <r>
      <rPr>
        <sz val="10"/>
        <color indexed="12"/>
        <rFont val="宋体"/>
        <family val="3"/>
        <charset val="134"/>
      </rPr>
      <t>、收入科目应当假定存在舞弊的特别风险，如不存在，应说明理由；</t>
    </r>
    <phoneticPr fontId="12" type="noConversion"/>
  </si>
  <si>
    <r>
      <t>b</t>
    </r>
    <r>
      <rPr>
        <sz val="10"/>
        <color indexed="12"/>
        <rFont val="宋体"/>
        <family val="3"/>
        <charset val="134"/>
      </rPr>
      <t>、涉及特别风险时，应当重点说明有关事项、应当措施、结果〔可索引有关底稿〕。</t>
    </r>
  </si>
  <si>
    <r>
      <rPr>
        <sz val="10"/>
        <color indexed="12"/>
        <rFont val="宋体"/>
        <family val="3"/>
        <charset val="134"/>
      </rPr>
      <t>（</t>
    </r>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12"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</si>
  <si>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</si>
  <si>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</si>
  <si>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12" type="noConversion"/>
  </si>
  <si>
    <r>
      <t>B</t>
    </r>
    <r>
      <rPr>
        <sz val="10"/>
        <color indexed="12"/>
        <rFont val="宋体"/>
        <family val="3"/>
        <charset val="134"/>
      </rPr>
      <t>、发现的重大不符事项（如适用）</t>
    </r>
    <phoneticPr fontId="12" type="noConversion"/>
  </si>
  <si>
    <r>
      <rPr>
        <sz val="10"/>
        <color indexed="12"/>
        <rFont val="宋体"/>
        <family val="3"/>
        <charset val="134"/>
      </rPr>
      <t>按调整事项，逐笔概述调整原因及对本科目的调整金额，并说明相关底稿的索引号。</t>
    </r>
    <phoneticPr fontId="12" type="noConversion"/>
  </si>
  <si>
    <r>
      <t>2</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12" type="noConversion"/>
  </si>
  <si>
    <r>
      <rPr>
        <sz val="10"/>
        <color indexed="12"/>
        <rFont val="宋体"/>
        <family val="3"/>
        <charset val="134"/>
      </rPr>
      <t>〔即具体事项内容和调整分录，见经索引的本科目或相关科目的检查表或测算表〕</t>
    </r>
    <phoneticPr fontId="12" type="noConversion"/>
  </si>
  <si>
    <r>
      <rPr>
        <sz val="10"/>
        <color indexed="12"/>
        <rFont val="宋体"/>
        <family val="3"/>
        <charset val="134"/>
      </rPr>
      <t>贷记</t>
    </r>
    <r>
      <rPr>
        <sz val="10"/>
        <color indexed="12"/>
        <rFont val="Arial Narrow"/>
        <family val="2"/>
      </rPr>
      <t>“</t>
    </r>
    <r>
      <rPr>
        <sz val="10"/>
        <color indexed="12"/>
        <rFont val="宋体"/>
        <family val="3"/>
        <charset val="134"/>
      </rPr>
      <t>营业外收入</t>
    </r>
    <r>
      <rPr>
        <sz val="10"/>
        <color indexed="12"/>
        <rFont val="Arial Narrow"/>
        <family val="2"/>
      </rPr>
      <t>”</t>
    </r>
    <r>
      <rPr>
        <sz val="10"/>
        <color indexed="12"/>
        <rFont val="宋体"/>
        <family val="3"/>
        <charset val="134"/>
      </rPr>
      <t>科目。</t>
    </r>
    <phoneticPr fontId="12" type="noConversion"/>
  </si>
  <si>
    <r>
      <rPr>
        <sz val="10"/>
        <color indexed="12"/>
        <rFont val="宋体"/>
        <family val="3"/>
        <charset val="134"/>
      </rPr>
      <t>以及可能对审计报告的影响。</t>
    </r>
    <phoneticPr fontId="12" type="noConversion"/>
  </si>
  <si>
    <r>
      <t>(</t>
    </r>
    <r>
      <rPr>
        <sz val="10"/>
        <color indexed="12"/>
        <rFont val="宋体"/>
        <family val="3"/>
        <charset val="134"/>
      </rPr>
      <t>识别和实际评估的重大错报风险、尤其识特别风险，以及对内控了解和控制测试情况〔采用综合方案时〕）；</t>
    </r>
    <phoneticPr fontId="12" type="noConversion"/>
  </si>
  <si>
    <r>
      <rPr>
        <i/>
        <sz val="10"/>
        <color indexed="12"/>
        <rFont val="宋体"/>
        <family val="3"/>
        <charset val="134"/>
      </rPr>
      <t>编制说明：</t>
    </r>
    <phoneticPr fontId="12" type="noConversion"/>
  </si>
  <si>
    <r>
      <rPr>
        <sz val="10"/>
        <color indexed="12"/>
        <rFont val="宋体"/>
        <family val="3"/>
        <charset val="134"/>
      </rPr>
      <t>在相关资产使用寿命内分配递延收益，借记本科目，贷记</t>
    </r>
    <r>
      <rPr>
        <sz val="10"/>
        <color indexed="12"/>
        <rFont val="Arial Narrow"/>
        <family val="2"/>
      </rPr>
      <t>“</t>
    </r>
    <r>
      <rPr>
        <sz val="10"/>
        <color indexed="12"/>
        <rFont val="宋体"/>
        <family val="3"/>
        <charset val="134"/>
      </rPr>
      <t>营业外收入</t>
    </r>
    <r>
      <rPr>
        <sz val="10"/>
        <color indexed="12"/>
        <rFont val="Arial Narrow"/>
        <family val="2"/>
      </rPr>
      <t>”</t>
    </r>
    <r>
      <rPr>
        <sz val="10"/>
        <color indexed="12"/>
        <rFont val="宋体"/>
        <family val="3"/>
        <charset val="134"/>
      </rPr>
      <t>科目。</t>
    </r>
    <phoneticPr fontId="12" type="noConversion"/>
  </si>
  <si>
    <r>
      <t>“</t>
    </r>
    <r>
      <rPr>
        <sz val="10"/>
        <color indexed="12"/>
        <rFont val="宋体"/>
        <family val="3"/>
        <charset val="134"/>
      </rPr>
      <t>银行存款</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其他应收款</t>
    </r>
    <r>
      <rPr>
        <sz val="10"/>
        <color indexed="12"/>
        <rFont val="Arial Narrow"/>
        <family val="2"/>
      </rPr>
      <t>”</t>
    </r>
    <r>
      <rPr>
        <sz val="10"/>
        <color indexed="12"/>
        <rFont val="宋体"/>
        <family val="3"/>
        <charset val="134"/>
      </rPr>
      <t>等科目，贷记本科目。</t>
    </r>
  </si>
  <si>
    <r>
      <t>A</t>
    </r>
    <r>
      <rPr>
        <sz val="10"/>
        <color indexed="12"/>
        <rFont val="宋体"/>
        <family val="3"/>
        <charset val="134"/>
      </rPr>
      <t>、</t>
    </r>
  </si>
  <si>
    <r>
      <t>B</t>
    </r>
    <r>
      <rPr>
        <sz val="10"/>
        <color indexed="12"/>
        <rFont val="宋体"/>
        <family val="3"/>
        <charset val="134"/>
      </rPr>
      <t>、</t>
    </r>
  </si>
  <si>
    <r>
      <t>C</t>
    </r>
    <r>
      <rPr>
        <sz val="10"/>
        <color indexed="12"/>
        <rFont val="宋体"/>
        <family val="3"/>
        <charset val="134"/>
      </rPr>
      <t>、</t>
    </r>
  </si>
  <si>
    <r>
      <t>4</t>
    </r>
    <r>
      <rPr>
        <sz val="10"/>
        <rFont val="宋体"/>
        <family val="3"/>
        <charset val="134"/>
      </rPr>
      <t>、注释：摊销期限只剩一年或不足一年的，</t>
    </r>
    <r>
      <rPr>
        <sz val="10"/>
        <rFont val="Arial Narrow"/>
        <family val="2"/>
      </rPr>
      <t xml:space="preserve"> </t>
    </r>
    <r>
      <rPr>
        <sz val="10"/>
        <rFont val="宋体"/>
        <family val="3"/>
        <charset val="134"/>
      </rPr>
      <t>或预计在一年内（含一年）进行摊销的部分，不得归类为流动负债，仍在该项目中填列，不转入</t>
    </r>
    <r>
      <rPr>
        <sz val="10"/>
        <rFont val="Arial Narrow"/>
        <family val="2"/>
      </rPr>
      <t>“</t>
    </r>
    <r>
      <rPr>
        <sz val="10"/>
        <rFont val="宋体"/>
        <family val="3"/>
        <charset val="134"/>
      </rPr>
      <t>一年内到期的非流动负债</t>
    </r>
    <r>
      <rPr>
        <sz val="10"/>
        <rFont val="Arial Narrow"/>
        <family val="2"/>
      </rPr>
      <t>”</t>
    </r>
    <r>
      <rPr>
        <sz val="10"/>
        <rFont val="宋体"/>
        <family val="3"/>
        <charset val="134"/>
      </rPr>
      <t>项目。</t>
    </r>
    <phoneticPr fontId="12" type="noConversion"/>
  </si>
  <si>
    <r>
      <rPr>
        <i/>
        <sz val="10"/>
        <color indexed="12"/>
        <rFont val="宋体"/>
        <family val="3"/>
        <charset val="134"/>
      </rPr>
      <t>编制说明：</t>
    </r>
    <phoneticPr fontId="12" type="noConversion"/>
  </si>
  <si>
    <r>
      <t>1</t>
    </r>
    <r>
      <rPr>
        <sz val="10"/>
        <color indexed="12"/>
        <rFont val="宋体"/>
        <family val="3"/>
        <charset val="134"/>
      </rPr>
      <t>、本科目核算企业确认的应在以后期间计入当期损益的政府补助。</t>
    </r>
    <phoneticPr fontId="12" type="noConversion"/>
  </si>
  <si>
    <r>
      <rPr>
        <sz val="10"/>
        <color indexed="12"/>
        <rFont val="宋体"/>
        <family val="3"/>
        <charset val="134"/>
      </rPr>
      <t>企业收到或应收的与资产相关的政府补助，借记</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其他应收款</t>
    </r>
    <r>
      <rPr>
        <sz val="10"/>
        <color indexed="12"/>
        <rFont val="Arial Narrow"/>
        <family val="2"/>
      </rPr>
      <t>”</t>
    </r>
    <r>
      <rPr>
        <sz val="10"/>
        <color indexed="12"/>
        <rFont val="宋体"/>
        <family val="3"/>
        <charset val="134"/>
      </rPr>
      <t>等科目，贷记本科目。</t>
    </r>
    <phoneticPr fontId="12" type="noConversion"/>
  </si>
  <si>
    <r>
      <rPr>
        <sz val="10"/>
        <color indexed="12"/>
        <rFont val="宋体"/>
        <family val="3"/>
        <charset val="134"/>
      </rPr>
      <t>与收益相关的政府补助，用于补偿企业以后期间相关费用或损失的，按收到或应收的金额，借记</t>
    </r>
    <phoneticPr fontId="12" type="noConversion"/>
  </si>
  <si>
    <r>
      <rPr>
        <sz val="10"/>
        <color indexed="12"/>
        <rFont val="宋体"/>
        <family val="3"/>
        <charset val="134"/>
      </rPr>
      <t>在发生相关费用或损失的未来期间，按应补偿的金额，借记本科目，贷记</t>
    </r>
    <r>
      <rPr>
        <sz val="10"/>
        <color indexed="12"/>
        <rFont val="Arial Narrow"/>
        <family val="2"/>
      </rPr>
      <t>“</t>
    </r>
    <r>
      <rPr>
        <sz val="10"/>
        <color indexed="12"/>
        <rFont val="宋体"/>
        <family val="3"/>
        <charset val="134"/>
      </rPr>
      <t>营业外收入</t>
    </r>
    <r>
      <rPr>
        <sz val="10"/>
        <color indexed="12"/>
        <rFont val="Arial Narrow"/>
        <family val="2"/>
      </rPr>
      <t>”</t>
    </r>
    <r>
      <rPr>
        <sz val="10"/>
        <color indexed="12"/>
        <rFont val="宋体"/>
        <family val="3"/>
        <charset val="134"/>
      </rPr>
      <t>科目。</t>
    </r>
    <phoneticPr fontId="12" type="noConversion"/>
  </si>
  <si>
    <r>
      <rPr>
        <sz val="10"/>
        <color indexed="12"/>
        <rFont val="宋体"/>
        <family val="3"/>
        <charset val="134"/>
      </rPr>
      <t>用于补偿企业已发生的相关费用或损失的，按收到或应收的金额，借记</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其他应收款</t>
    </r>
    <r>
      <rPr>
        <sz val="10"/>
        <color indexed="12"/>
        <rFont val="Arial Narrow"/>
        <family val="2"/>
      </rPr>
      <t>”</t>
    </r>
    <r>
      <rPr>
        <sz val="10"/>
        <color indexed="12"/>
        <rFont val="宋体"/>
        <family val="3"/>
        <charset val="134"/>
      </rPr>
      <t>等科目，</t>
    </r>
    <phoneticPr fontId="12" type="noConversion"/>
  </si>
  <si>
    <r>
      <t>3</t>
    </r>
    <r>
      <rPr>
        <sz val="10"/>
        <color indexed="12"/>
        <rFont val="宋体"/>
        <family val="3"/>
        <charset val="134"/>
      </rPr>
      <t>、说明基于获取的审计证据，在有关认定方面，是否发现重大错报或存在重大异常。</t>
    </r>
    <phoneticPr fontId="12" type="noConversion"/>
  </si>
  <si>
    <r>
      <rPr>
        <sz val="10"/>
        <color indexed="12"/>
        <rFont val="宋体"/>
        <family val="3"/>
        <charset val="134"/>
      </rPr>
      <t>未见异常，可以确认。</t>
    </r>
    <phoneticPr fontId="12" type="noConversion"/>
  </si>
  <si>
    <r>
      <rPr>
        <sz val="10"/>
        <color indexed="12"/>
        <rFont val="宋体"/>
        <family val="3"/>
        <charset val="134"/>
      </rPr>
      <t>经审计调整后可确认。</t>
    </r>
    <phoneticPr fontId="12" type="noConversion"/>
  </si>
  <si>
    <r>
      <rPr>
        <sz val="10"/>
        <color indexed="12"/>
        <rFont val="宋体"/>
        <family val="3"/>
        <charset val="134"/>
      </rPr>
      <t>由于存在上述重大未调整事项（或审计范围受到限制无法获取充分、适当证据），不可确认。</t>
    </r>
    <phoneticPr fontId="12" type="noConversion"/>
  </si>
  <si>
    <r>
      <t>特别风险涉及的事项包括但不限于：</t>
    </r>
    <r>
      <rPr>
        <sz val="10"/>
        <color indexed="12"/>
        <rFont val="Arial Narrow"/>
        <family val="2"/>
      </rPr>
      <t/>
    </r>
    <phoneticPr fontId="12" type="noConversion"/>
  </si>
  <si>
    <t>参考结论：</t>
    <phoneticPr fontId="12" type="noConversion"/>
  </si>
  <si>
    <r>
      <t>2</t>
    </r>
    <r>
      <rPr>
        <sz val="10"/>
        <color indexed="12"/>
        <rFont val="宋体"/>
        <family val="3"/>
        <charset val="134"/>
      </rPr>
      <t>、外币政府补助应在</t>
    </r>
    <r>
      <rPr>
        <sz val="10"/>
        <color indexed="12"/>
        <rFont val="Arial Narrow"/>
        <family val="2"/>
      </rPr>
      <t>“</t>
    </r>
    <r>
      <rPr>
        <sz val="10"/>
        <color indexed="12"/>
        <rFont val="宋体"/>
        <family val="3"/>
        <charset val="134"/>
      </rPr>
      <t>备注</t>
    </r>
    <r>
      <rPr>
        <sz val="10"/>
        <color indexed="12"/>
        <rFont val="Arial Narrow"/>
        <family val="2"/>
      </rPr>
      <t>”</t>
    </r>
    <r>
      <rPr>
        <sz val="10"/>
        <color indexed="12"/>
        <rFont val="宋体"/>
        <family val="3"/>
        <charset val="134"/>
      </rPr>
      <t>栏中列明原币金额及折合汇率。</t>
    </r>
    <phoneticPr fontId="12" type="noConversion"/>
  </si>
  <si>
    <r>
      <t>1</t>
    </r>
    <r>
      <rPr>
        <sz val="10"/>
        <color indexed="12"/>
        <rFont val="宋体"/>
        <family val="3"/>
        <charset val="134"/>
      </rPr>
      <t>、本科目核算企业确认的应在以后期间计入当期损益的政府补助。应按政府补助每一明细账户分别列示。</t>
    </r>
    <phoneticPr fontId="12" type="noConversion"/>
  </si>
  <si>
    <t>提示：本底稿适用于调整分录较多、较复杂的项目，且仅列示与本报表项目相关的审计调整。项目组可根据项目实际情况选择是否使用该底稿。</t>
    <phoneticPr fontId="12" type="noConversion"/>
  </si>
  <si>
    <t>日期</t>
  </si>
  <si>
    <t>凭证编号</t>
  </si>
  <si>
    <t>合计</t>
    <phoneticPr fontId="12"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</si>
  <si>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2" type="noConversion"/>
  </si>
  <si>
    <r>
      <t xml:space="preserve">B. </t>
    </r>
    <r>
      <rPr>
        <sz val="10"/>
        <rFont val="宋体"/>
        <family val="3"/>
        <charset val="134"/>
      </rPr>
      <t>所有应记录的递延收益均已记录，所有应当包括在财务报表中的相关披露均已包括</t>
    </r>
    <phoneticPr fontId="12" type="noConversion"/>
  </si>
  <si>
    <r>
      <t>对期初余额的审计，取得递延收益期初余额明细表复核加计是否正确，与总账、明细账合计数是否相符，检查上期递延收益在本期变动情况，将重大递延收益与其支持文件核对。</t>
    </r>
    <r>
      <rPr>
        <sz val="10"/>
        <color rgb="FFFF0000"/>
        <rFont val="宋体"/>
        <family val="3"/>
        <charset val="134"/>
      </rPr>
      <t>（适用于首次承接）</t>
    </r>
    <phoneticPr fontId="12" type="noConversion"/>
  </si>
  <si>
    <t>备选</t>
    <phoneticPr fontId="46" type="noConversion"/>
  </si>
  <si>
    <t>√</t>
    <phoneticPr fontId="12" type="noConversion"/>
  </si>
  <si>
    <t>对重大、异常政府补助：
（1）核对补助事项、查验资金来源，按照政府补助的定义认真核对公司认定的政府补助事项、并对补助资产的来源单位及其与政府文件规定的一致性进行查验；
（2）关注政府补助的发放主体是否具备相应的权力和资质、补助文件中索引的政策依据是否适当，被审计单位申请政府补助的流程是否合法合规、是否已经履行完毕补助文件中的要求、实际收取资金前是否需要政府部门的实质性审核、历史上同类政府补助的实际发放情况；
（3）政府补助文件规定不明确或存在明显不合理迹象时，与相关政府部门沟通或执行函证程序，或在必要时聘请律师或其他外部专家提供意见。</t>
    <phoneticPr fontId="12" type="noConversion"/>
  </si>
  <si>
    <t>对于在资产负债表日按照应收金额确认的政府补助，结合其他应收款、其他收益审计：
（1）查验正式发布的财政资金管理办法中的（定额）测算公式，或检查政府补助批文是否标明确切金额，分析政府补助金额是否存在重大不确定性；
（2）检查政府部门正式发布的财政扶持项目及其财政资金管理办法的适用范围，是否是普惠性的（任何符合规定条件的企业均可申请），而不是专门针对特定企业制定的；
（3）检查补助款批文中承诺的拨付期限，以及款项拨付对应的财政预算，分析政府补助在规定期限内的可收回性；
（4）必要时结合其他应收款函证政府补助金额。</t>
    <phoneticPr fontId="12" type="noConversion"/>
  </si>
  <si>
    <t>检查递延收益是否已按企业会计准则或其他适用的规定在财务报表中做出恰当列报和披露。</t>
    <phoneticPr fontId="12" type="noConversion"/>
  </si>
  <si>
    <t>10</t>
  </si>
  <si>
    <r>
      <t>1.</t>
    </r>
    <r>
      <rPr>
        <sz val="10"/>
        <color rgb="FFFF0000"/>
        <rFont val="宋体"/>
        <family val="3"/>
        <charset val="134"/>
      </rPr>
      <t>相关文件检查见其他收益底稿</t>
    </r>
    <r>
      <rPr>
        <sz val="10"/>
        <color rgb="FFFF0000"/>
        <rFont val="Arial Narrow"/>
        <family val="2"/>
      </rPr>
      <t>K11-4</t>
    </r>
    <r>
      <rPr>
        <sz val="10"/>
        <color rgb="FFFF0000"/>
        <rFont val="宋体"/>
        <family val="3"/>
        <charset val="134"/>
      </rPr>
      <t>、递延收益检查表</t>
    </r>
    <r>
      <rPr>
        <sz val="10"/>
        <color rgb="FFFF0000"/>
        <rFont val="Arial Narrow"/>
        <family val="2"/>
      </rPr>
      <t>K7-5</t>
    </r>
    <r>
      <rPr>
        <sz val="10"/>
        <color rgb="FFFF0000"/>
        <rFont val="宋体"/>
        <family val="3"/>
        <charset val="134"/>
      </rPr>
      <t>。</t>
    </r>
    <phoneticPr fontId="12" type="noConversion"/>
  </si>
  <si>
    <t>二、测试：</t>
    <phoneticPr fontId="22" type="noConversion"/>
  </si>
  <si>
    <t>记账凭证</t>
    <phoneticPr fontId="12" type="noConversion"/>
  </si>
  <si>
    <t>支持性文件</t>
    <phoneticPr fontId="12" type="noConversion"/>
  </si>
  <si>
    <r>
      <rPr>
        <b/>
        <sz val="10"/>
        <rFont val="宋体"/>
        <family val="3"/>
        <charset val="134"/>
      </rPr>
      <t>核对内容</t>
    </r>
  </si>
  <si>
    <t>索引号</t>
  </si>
  <si>
    <t>是否异常</t>
    <phoneticPr fontId="12" type="noConversion"/>
  </si>
  <si>
    <t>备注说明</t>
    <phoneticPr fontId="12" type="noConversion"/>
  </si>
  <si>
    <t>业务内容</t>
    <phoneticPr fontId="12" type="noConversion"/>
  </si>
  <si>
    <t>对方科目</t>
    <phoneticPr fontId="12" type="noConversion"/>
  </si>
  <si>
    <t>对方明细科目</t>
    <phoneticPr fontId="12" type="noConversion"/>
  </si>
  <si>
    <t>借方金额</t>
    <phoneticPr fontId="12" type="noConversion"/>
  </si>
  <si>
    <t>贷方金额</t>
    <phoneticPr fontId="12" type="noConversion"/>
  </si>
  <si>
    <r>
      <t>1.</t>
    </r>
    <r>
      <rPr>
        <sz val="10"/>
        <rFont val="宋体"/>
        <family val="3"/>
        <charset val="134"/>
      </rPr>
      <t>资产负债表中记录的递延收益是存在的，且已经记录在恰当的账户中；</t>
    </r>
    <r>
      <rPr>
        <sz val="10"/>
        <rFont val="Arial Narrow"/>
        <family val="2"/>
      </rPr>
      <t/>
    </r>
    <phoneticPr fontId="12" type="noConversion"/>
  </si>
  <si>
    <r>
      <t>2.</t>
    </r>
    <r>
      <rPr>
        <sz val="10"/>
        <rFont val="宋体"/>
        <family val="3"/>
        <charset val="134"/>
      </rPr>
      <t>记录的递延收益是被审计单位应当履行的偿还义务；</t>
    </r>
    <phoneticPr fontId="12" type="noConversion"/>
  </si>
  <si>
    <r>
      <t>3.</t>
    </r>
    <r>
      <rPr>
        <sz val="10"/>
        <rFont val="宋体"/>
        <family val="3"/>
        <charset val="134"/>
      </rPr>
      <t>递延收益以恰当的金额包括在财务报表中，与之相关的计价或分摊调整已恰当记录，相关披露已得到恰当计量和描述。</t>
    </r>
    <phoneticPr fontId="12" type="noConversion"/>
  </si>
  <si>
    <t>递延收益检查表</t>
    <phoneticPr fontId="12" type="noConversion"/>
  </si>
  <si>
    <t>银行回单、XXX文件、验收报告……</t>
    <phoneticPr fontId="12" type="noConversion"/>
  </si>
  <si>
    <t>三、审计说明：</t>
    <phoneticPr fontId="22" type="noConversion"/>
  </si>
  <si>
    <t>四、审计结论：</t>
    <phoneticPr fontId="12" type="noConversion"/>
  </si>
  <si>
    <t>IPO/上市/新三板/重组/舞弊应对</t>
    <phoneticPr fontId="46" type="noConversion"/>
  </si>
  <si>
    <t>递延收益检查表</t>
    <phoneticPr fontId="12" type="noConversion"/>
  </si>
  <si>
    <t>K7-1
/K7-2</t>
    <phoneticPr fontId="12" type="noConversion"/>
  </si>
  <si>
    <t>K7-1
/K7-2</t>
    <phoneticPr fontId="12" type="noConversion"/>
  </si>
  <si>
    <t>K7-5
/K11-4</t>
    <phoneticPr fontId="12" type="noConversion"/>
  </si>
  <si>
    <t>页  次：</t>
    <phoneticPr fontId="12" type="noConversion"/>
  </si>
  <si>
    <t>页  次：</t>
    <phoneticPr fontId="12" type="noConversion"/>
  </si>
  <si>
    <r>
      <rPr>
        <sz val="10"/>
        <rFont val="宋体"/>
        <family val="3"/>
        <charset val="134"/>
      </rPr>
      <t>页</t>
    </r>
    <r>
      <rPr>
        <sz val="10"/>
        <rFont val="Arial Narrow"/>
        <family val="2"/>
      </rPr>
      <t xml:space="preserve">   </t>
    </r>
    <r>
      <rPr>
        <sz val="10"/>
        <rFont val="宋体"/>
        <family val="3"/>
        <charset val="134"/>
      </rPr>
      <t>次：</t>
    </r>
    <phoneticPr fontId="12" type="noConversion"/>
  </si>
  <si>
    <r>
      <t xml:space="preserve">A. </t>
    </r>
    <r>
      <rPr>
        <sz val="10"/>
        <rFont val="宋体"/>
        <family val="3"/>
        <charset val="134"/>
      </rPr>
      <t>资产负债表中记录的递延收益是存在的，且已记录于恰当的账户</t>
    </r>
    <phoneticPr fontId="12" type="noConversion"/>
  </si>
  <si>
    <t>获取递延收益明细表，并执行下列程序，并编制审定表：
复核加计正确；将总金额与总账核对，期初余额与上期审定期末余额是否相符；了解递延收益核算的内容，判断其分类为递延收益是否恰当。</t>
    <phoneticPr fontId="46" type="noConversion"/>
  </si>
  <si>
    <t>K11-5</t>
    <phoneticPr fontId="12" type="noConversion"/>
  </si>
  <si>
    <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2" type="noConversion"/>
  </si>
  <si>
    <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2" type="noConversion"/>
  </si>
  <si>
    <t>测试原因：大额（）关联方（）大额交易频繁（）异常（）其他（）</t>
    <phoneticPr fontId="12" type="noConversion"/>
  </si>
  <si>
    <t>政府补助项目</t>
    <phoneticPr fontId="12" type="noConversion"/>
  </si>
  <si>
    <r>
      <rPr>
        <sz val="10"/>
        <rFont val="宋体"/>
        <family val="3"/>
        <charset val="134"/>
      </rPr>
      <t>检查政府补助相关原始凭证，结合其他收益的审计，确定业务的真实性、入账金额及会计处理是否正确：
（</t>
    </r>
    <r>
      <rPr>
        <sz val="10"/>
        <rFont val="Arial Narrow"/>
        <family val="2"/>
      </rPr>
      <t>1</t>
    </r>
    <r>
      <rPr>
        <sz val="10"/>
        <rFont val="宋体"/>
        <family val="3"/>
        <charset val="134"/>
      </rPr>
      <t>）获取并检查政府补助文件等支持性文件，判断政府补助是否与日常活动相关、款项是否收到、分类是否正确、会计处理是否适当，同类政府补助是否采用一样的处理方法，如都采用总额法或都采用净额法；</t>
    </r>
    <r>
      <rPr>
        <sz val="10"/>
        <rFont val="Arial Narrow"/>
        <family val="2"/>
      </rPr>
      <t xml:space="preserve"> 
</t>
    </r>
    <r>
      <rPr>
        <sz val="10"/>
        <rFont val="宋体"/>
        <family val="3"/>
        <charset val="134"/>
      </rPr>
      <t>（</t>
    </r>
    <r>
      <rPr>
        <sz val="10"/>
        <rFont val="Arial Narrow"/>
        <family val="2"/>
      </rPr>
      <t>2</t>
    </r>
    <r>
      <rPr>
        <sz val="10"/>
        <rFont val="宋体"/>
        <family val="3"/>
        <charset val="134"/>
      </rPr>
      <t>）如存在验收条件的，获取验收报告等相关材料，检查审核资金使用范围是否符合相关文件规定，分析公司是否满足政府补助的确认条件。</t>
    </r>
    <phoneticPr fontId="12" type="noConversion"/>
  </si>
  <si>
    <r>
      <rPr>
        <sz val="10"/>
        <rFont val="宋体"/>
        <family val="3"/>
        <charset val="134"/>
      </rPr>
      <t>被审计单位：</t>
    </r>
    <r>
      <rPr>
        <sz val="10"/>
        <rFont val="Arial Narrow"/>
        <family val="2"/>
      </rPr>
      <t/>
    </r>
    <phoneticPr fontId="12" type="noConversion"/>
  </si>
  <si>
    <t>编制人：</t>
    <phoneticPr fontId="12" type="noConversion"/>
  </si>
  <si>
    <t>编制日期：</t>
    <phoneticPr fontId="12" type="noConversion"/>
  </si>
  <si>
    <t>复核人：</t>
    <phoneticPr fontId="12" type="noConversion"/>
  </si>
  <si>
    <t>复核日期：</t>
    <phoneticPr fontId="12" type="noConversion"/>
  </si>
  <si>
    <r>
      <t xml:space="preserve">C. </t>
    </r>
    <r>
      <rPr>
        <sz val="10"/>
        <rFont val="宋体"/>
        <family val="3"/>
        <charset val="134"/>
      </rPr>
      <t>记录的递延收益是被审计单位应当履行的偿还义务</t>
    </r>
    <phoneticPr fontId="12" type="noConversion"/>
  </si>
  <si>
    <r>
      <t xml:space="preserve">D. </t>
    </r>
    <r>
      <rPr>
        <sz val="10"/>
        <rFont val="宋体"/>
        <family val="3"/>
        <charset val="134"/>
      </rPr>
      <t>递延收益以恰当的金额包括在财务报表中，与之相关的计价或分摊调整已恰当记录，相关披露已得到恰当计量和描述</t>
    </r>
    <phoneticPr fontId="12" type="noConversion"/>
  </si>
  <si>
    <r>
      <t xml:space="preserve">E. </t>
    </r>
    <r>
      <rPr>
        <sz val="10"/>
        <rFont val="宋体"/>
        <family val="3"/>
        <charset val="134"/>
      </rPr>
      <t>递延收益已被恰当地汇总或分解且表述清楚，相关披露在按照企业会计准则的编制基础下是相关的、可理解的</t>
    </r>
    <phoneticPr fontId="12"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</si>
  <si>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2" type="noConversion"/>
  </si>
  <si>
    <t>关于工作底稿与审计程序索引号对应的说明</t>
    <phoneticPr fontId="12"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</si>
  <si>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</si>
  <si>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2"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</si>
  <si>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2" type="noConversion"/>
  </si>
  <si>
    <t>根据被审计单位实际情况和风险评估情况裁剪、修改或增加审计程序</t>
    <phoneticPr fontId="12" type="noConversion"/>
  </si>
  <si>
    <t>审计程序</t>
    <phoneticPr fontId="46" type="noConversion"/>
  </si>
  <si>
    <t>转入其他收益</t>
    <phoneticPr fontId="12" type="noConversion"/>
  </si>
  <si>
    <t>本期贷方发生额</t>
    <phoneticPr fontId="12" type="noConversion"/>
  </si>
  <si>
    <t>检查比例</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</si>
</sst>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1">
    <numFmt numFmtId="41" formatCode="_ * #,##0_ ;_ * \-#,##0_ ;_ * &quot;-&quot;_ ;_ @_ "/>
    <numFmt numFmtId="43" formatCode="_ * #,##0.00_ ;_ * \-#,##0.00_ ;_ * &quot;-&quot;??_ ;_ @_ "/>
    <numFmt numFmtId="176" formatCode="_-* #,##0_-;\-* #,##0_-;_-* &quot;-&quot;_-;_-@_-"/>
    <numFmt numFmtId="177" formatCode="_-* #,##0.00_-;\-* #,##0.00_-;_-* &quot;-&quot;??_-;_-@_-"/>
    <numFmt numFmtId="178" formatCode="&quot;$&quot;#,##0_);\(&quot;$&quot;#,##0\)"/>
    <numFmt numFmtId="179" formatCode="_-&quot;$&quot;* #,##0_-;\-&quot;$&quot;* #,##0_-;_-&quot;$&quot;* &quot;-&quot;_-;_-@_-"/>
    <numFmt numFmtId="180" formatCode="_-&quot;$&quot;* #,##0.00_-;\-&quot;$&quot;* #,##0.00_-;_-&quot;$&quot;* &quot;-&quot;??_-;_-@_-"/>
    <numFmt numFmtId="181" formatCode="&quot;\&quot;#,##0;&quot;\&quot;&quot;\&quot;\-#,##0"/>
    <numFmt numFmtId="182" formatCode="&quot;\&quot;#,##0;[Red]&quot;\&quot;&quot;\&quot;\-#,##0"/>
    <numFmt numFmtId="183" formatCode="&quot;\&quot;#,##0.00;[Red]&quot;\&quot;&quot;\&quot;\-#,##0.00"/>
    <numFmt numFmtId="184" formatCode="#,##0_ "/>
    <numFmt numFmtId="185" formatCode="_-#,##0.00_-;\(#,##0.00\);_-\ \ &quot;-&quot;_-;_-@_-"/>
    <numFmt numFmtId="186" formatCode="mmm/yyyy;_-\ &quot;N/A&quot;_-;_-\ &quot;-&quot;_-"/>
    <numFmt numFmtId="187" formatCode="mmm/dd/yyyy;_-\ &quot;N/A&quot;_-;_-\ &quot;-&quot;_-"/>
    <numFmt numFmtId="188" formatCode="_-#,##0_-;\(#,##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0_);[Red]\(0.00\)"/>
    <numFmt numFmtId="196" formatCode="0%;\(0%\)"/>
    <numFmt numFmtId="197" formatCode="0.0%"/>
    <numFmt numFmtId="198" formatCode="#,##0;\-#,##0;&quot;-&quot;"/>
    <numFmt numFmtId="199" formatCode="\(#,##0\)\ "/>
    <numFmt numFmtId="200" formatCode="[Blue]0.0%;[Blue]\(0.0%\)"/>
    <numFmt numFmtId="201" formatCode="0.0%;\(0.0%\)"/>
    <numFmt numFmtId="202" formatCode="[Red]0.0%;[Red]\(0.0%\)"/>
    <numFmt numFmtId="203" formatCode="[Blue]#,##0_);[Blue]\(#,##0\)"/>
    <numFmt numFmtId="204" formatCode="#,##0_);[Blue]\(#,##0\)"/>
    <numFmt numFmtId="205" formatCode="&quot;$&quot;#,##0;[Red]&quot;$&quot;&quot;$&quot;&quot;$&quot;&quot;$&quot;&quot;$&quot;&quot;$&quot;&quot;$&quot;\-#,##0"/>
    <numFmt numFmtId="206" formatCode="#,##0;\(#,##0\)"/>
    <numFmt numFmtId="207" formatCode="#,##0.0_);\(#,##0.0\)"/>
    <numFmt numFmtId="208" formatCode="hh:mm\ AM/PM_)"/>
    <numFmt numFmtId="209" formatCode="&quot;$&quot;#,##0.00_);\(&quot;$&quot;#,##0.00\)"/>
    <numFmt numFmtId="210" formatCode=";;;"/>
    <numFmt numFmtId="211" formatCode="\$#,##0.00;\(\$#,##0.00\)"/>
    <numFmt numFmtId="212" formatCode="\$#,##0;\(\$#,##0\)"/>
    <numFmt numFmtId="213" formatCode="_(&quot;$&quot;* #,##0_);_(&quot;$&quot;* \(#,##0\);_(&quot;$&quot;* &quot;-&quot;_);_(@_)"/>
    <numFmt numFmtId="214" formatCode="_(&quot;$&quot;* #,##0.00_);_(&quot;$&quot;* \(#,##0.00\);_(&quot;$&quot;* &quot;-&quot;??_);_(@_)"/>
    <numFmt numFmtId="215" formatCode="_-* #,##0_-;\-* #,##0_-;_-* &quot;-&quot;??_-;_-@_-"/>
    <numFmt numFmtId="216" formatCode="0.00000000000_);[Red]\(0.00000000000\)"/>
    <numFmt numFmtId="217" formatCode="0%_);\(0%\)"/>
    <numFmt numFmtId="218" formatCode="\ \ @"/>
    <numFmt numFmtId="219" formatCode="#,##0_);\(#,##0_)"/>
    <numFmt numFmtId="220" formatCode="0.0000000"/>
    <numFmt numFmtId="221" formatCode="\¥#,##0.00;[Red]\¥\-#,##0.00"/>
    <numFmt numFmtId="222" formatCode="0.000000"/>
    <numFmt numFmtId="223" formatCode="0.00000000"/>
    <numFmt numFmtId="22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26">
    <font>
      <sz val="12"/>
      <name val="宋体"/>
      <charset val="134"/>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0"/>
      <color indexed="10"/>
      <name val="宋体"/>
      <family val="3"/>
      <charset val="134"/>
    </font>
    <font>
      <sz val="12"/>
      <name val="Times New Roman"/>
      <family val="1"/>
    </font>
    <font>
      <sz val="10"/>
      <color indexed="12"/>
      <name val="宋体"/>
      <family val="3"/>
      <charset val="134"/>
    </font>
    <font>
      <b/>
      <sz val="10"/>
      <color indexed="8"/>
      <name val="宋体"/>
      <family val="3"/>
      <charset val="134"/>
    </font>
    <font>
      <i/>
      <sz val="10"/>
      <color indexed="12"/>
      <name val="宋体"/>
      <family val="3"/>
      <charset val="134"/>
    </font>
    <font>
      <sz val="18"/>
      <color indexed="48"/>
      <name val="魏碑"/>
      <family val="3"/>
      <charset val="134"/>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i/>
      <u/>
      <sz val="10"/>
      <color indexed="12"/>
      <name val="宋体"/>
      <family val="3"/>
      <charset val="134"/>
    </font>
    <font>
      <u/>
      <sz val="10"/>
      <name val="Arial Narrow"/>
      <family val="2"/>
    </font>
    <font>
      <sz val="10"/>
      <color indexed="12"/>
      <name val="Arial Narrow"/>
      <family val="2"/>
    </font>
    <font>
      <b/>
      <sz val="10"/>
      <color indexed="8"/>
      <name val="Arial Narrow"/>
      <family val="2"/>
    </font>
    <font>
      <sz val="10"/>
      <color indexed="8"/>
      <name val="Arial Narrow"/>
      <family val="2"/>
    </font>
    <font>
      <sz val="9"/>
      <name val="宋体"/>
      <family val="3"/>
      <charset val="134"/>
    </font>
    <font>
      <i/>
      <sz val="10"/>
      <color indexed="12"/>
      <name val="Arial Narrow"/>
      <family val="2"/>
    </font>
    <font>
      <sz val="12"/>
      <color rgb="FF0000FF"/>
      <name val="Arial Narrow"/>
      <family val="2"/>
    </font>
    <font>
      <b/>
      <sz val="10"/>
      <color indexed="12"/>
      <name val="Arial Narrow"/>
      <family val="2"/>
    </font>
    <font>
      <b/>
      <sz val="10"/>
      <name val="宋体"/>
      <family val="3"/>
      <charset val="134"/>
      <scheme val="major"/>
    </font>
    <font>
      <sz val="10"/>
      <name val="宋体"/>
      <family val="3"/>
      <charset val="134"/>
      <scheme val="major"/>
    </font>
    <font>
      <sz val="10.5"/>
      <name val="Arial Narrow"/>
      <family val="2"/>
    </font>
    <font>
      <b/>
      <sz val="14"/>
      <name val="Arial Narrow"/>
      <family val="2"/>
    </font>
    <font>
      <b/>
      <sz val="10"/>
      <name val="Times New Roman"/>
      <family val="1"/>
    </font>
    <font>
      <b/>
      <sz val="10"/>
      <name val="Arial"/>
      <family val="2"/>
    </font>
    <font>
      <sz val="10"/>
      <color theme="1"/>
      <name val="Arial"/>
      <family val="2"/>
    </font>
    <font>
      <sz val="10"/>
      <color theme="1"/>
      <name val="宋体"/>
      <family val="3"/>
      <charset val="134"/>
    </font>
    <font>
      <sz val="9"/>
      <name val="宋体"/>
      <family val="2"/>
      <charset val="134"/>
      <scheme val="minor"/>
    </font>
    <font>
      <b/>
      <sz val="10"/>
      <color theme="1"/>
      <name val="宋体"/>
      <family val="3"/>
      <charset val="134"/>
    </font>
    <font>
      <sz val="10"/>
      <name val="Arial"/>
      <family val="2"/>
      <charset val="134"/>
    </font>
    <font>
      <sz val="10"/>
      <color indexed="8"/>
      <name val="Arial"/>
      <family val="2"/>
      <charset val="134"/>
    </font>
    <font>
      <sz val="11"/>
      <color indexed="8"/>
      <name val="Calibri"/>
      <family val="2"/>
    </font>
    <font>
      <sz val="11"/>
      <color indexed="9"/>
      <name val="Calibri"/>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charset val="134"/>
    </font>
    <font>
      <b/>
      <sz val="8"/>
      <name val="Arial"/>
      <family val="2"/>
      <charset val="134"/>
    </font>
    <font>
      <sz val="10"/>
      <color indexed="8"/>
      <name val="Arial"/>
      <family val="2"/>
    </font>
    <font>
      <sz val="9"/>
      <name val="Times New Roman"/>
      <family val="1"/>
      <charset val="134"/>
    </font>
    <font>
      <sz val="8"/>
      <name val="Arial"/>
      <family val="2"/>
      <charset val="134"/>
    </font>
    <font>
      <i/>
      <sz val="11"/>
      <color indexed="23"/>
      <name val="Calibri"/>
      <family val="2"/>
    </font>
    <font>
      <sz val="11"/>
      <color indexed="17"/>
      <name val="Calibri"/>
      <family val="2"/>
    </font>
    <font>
      <b/>
      <sz val="12"/>
      <name val="Helv"/>
      <family val="2"/>
    </font>
    <font>
      <b/>
      <sz val="12"/>
      <name val="Arial"/>
      <family val="2"/>
      <charset val="134"/>
    </font>
    <font>
      <b/>
      <sz val="10"/>
      <name val="Arial"/>
      <family val="2"/>
      <charset val="134"/>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name val="Helv"/>
      <family val="2"/>
    </font>
    <font>
      <sz val="11"/>
      <color indexed="60"/>
      <name val="Calibri"/>
      <family val="2"/>
    </font>
    <font>
      <sz val="7"/>
      <name val="Small Fonts"/>
      <family val="2"/>
      <charset val="134"/>
    </font>
    <font>
      <sz val="10"/>
      <name val="MS Sans Serif"/>
      <family val="2"/>
      <charset val="134"/>
    </font>
    <font>
      <sz val="10"/>
      <color indexed="8"/>
      <name val="MS Sans Serif"/>
      <family val="2"/>
      <charset val="134"/>
    </font>
    <font>
      <b/>
      <sz val="11"/>
      <color indexed="63"/>
      <name val="Calibri"/>
      <family val="2"/>
    </font>
    <font>
      <sz val="8"/>
      <color indexed="16"/>
      <name val="Century Schoolbook"/>
      <family val="1"/>
      <charset val="134"/>
    </font>
    <font>
      <b/>
      <i/>
      <sz val="10"/>
      <name val="Times New Roman"/>
      <family val="1"/>
      <charset val="134"/>
    </font>
    <font>
      <b/>
      <sz val="12"/>
      <name val="MS Sans Serif"/>
      <family val="2"/>
      <charset val="134"/>
    </font>
    <font>
      <sz val="12"/>
      <name val="MS Sans Serif"/>
      <family val="2"/>
      <charset val="134"/>
    </font>
    <font>
      <b/>
      <sz val="10"/>
      <color indexed="10"/>
      <name val="Arial"/>
      <family val="2"/>
      <charset val="134"/>
    </font>
    <font>
      <b/>
      <sz val="9"/>
      <name val="Times New Roman"/>
      <family val="1"/>
      <charset val="134"/>
    </font>
    <font>
      <b/>
      <sz val="11"/>
      <color indexed="8"/>
      <name val="Calibri"/>
      <family val="2"/>
    </font>
    <font>
      <sz val="11"/>
      <color indexed="10"/>
      <name val="Calibri"/>
      <family val="2"/>
    </font>
    <font>
      <sz val="8"/>
      <name val="Century Schoolbook"/>
      <family val="1"/>
      <charset val="134"/>
    </font>
    <font>
      <sz val="12"/>
      <color indexed="20"/>
      <name val="宋体"/>
      <family val="3"/>
      <charset val="134"/>
    </font>
    <font>
      <sz val="11"/>
      <color theme="1"/>
      <name val="宋体"/>
      <family val="3"/>
      <charset val="134"/>
      <scheme val="minor"/>
    </font>
    <font>
      <sz val="12"/>
      <color indexed="8"/>
      <name val="宋体"/>
      <family val="3"/>
      <charset val="134"/>
    </font>
    <font>
      <sz val="11"/>
      <color indexed="8"/>
      <name val="宋体"/>
      <family val="3"/>
      <charset val="134"/>
    </font>
    <font>
      <sz val="11"/>
      <color theme="1"/>
      <name val="宋体"/>
      <family val="2"/>
      <charset val="134"/>
      <scheme val="minor"/>
    </font>
    <font>
      <sz val="10"/>
      <color indexed="8"/>
      <name val="Tahoma"/>
      <family val="2"/>
      <charset val="134"/>
    </font>
    <font>
      <u/>
      <sz val="10"/>
      <color indexed="12"/>
      <name val="宋体"/>
      <family val="3"/>
      <charset val="134"/>
    </font>
    <font>
      <b/>
      <sz val="10"/>
      <name val="MS Sans Serif"/>
      <family val="2"/>
      <charset val="134"/>
    </font>
    <font>
      <sz val="10"/>
      <color indexed="17"/>
      <name val="Times New Roman"/>
      <family val="1"/>
    </font>
    <font>
      <sz val="10"/>
      <name val="Times New Roman"/>
      <family val="1"/>
      <charset val="134"/>
    </font>
    <font>
      <sz val="11"/>
      <name val="蹈框"/>
      <charset val="134"/>
    </font>
    <font>
      <sz val="12"/>
      <name val="바탕체"/>
      <family val="3"/>
      <charset val="134"/>
    </font>
    <font>
      <sz val="10"/>
      <color rgb="FFFF0000"/>
      <name val="宋体"/>
      <family val="3"/>
      <charset val="134"/>
    </font>
    <font>
      <b/>
      <sz val="10"/>
      <color rgb="FFE92841"/>
      <name val="Arial Narrow"/>
      <family val="2"/>
    </font>
    <font>
      <sz val="12"/>
      <color indexed="12"/>
      <name val="仿宋_GB2312"/>
      <family val="3"/>
      <charset val="134"/>
    </font>
    <font>
      <sz val="10"/>
      <color rgb="FF0000FF"/>
      <name val="宋体"/>
      <family val="3"/>
      <charset val="134"/>
    </font>
    <font>
      <sz val="12"/>
      <name val="微软雅黑"/>
      <family val="3"/>
      <charset val="134"/>
    </font>
    <font>
      <b/>
      <sz val="10"/>
      <color indexed="8"/>
      <name val="宋体"/>
      <family val="3"/>
      <charset val="134"/>
      <scheme val="minor"/>
    </font>
    <font>
      <sz val="10"/>
      <name val="宋体"/>
      <family val="3"/>
      <charset val="134"/>
      <scheme val="minor"/>
    </font>
    <font>
      <b/>
      <sz val="10"/>
      <name val="宋体"/>
      <family val="3"/>
      <charset val="134"/>
      <scheme val="minor"/>
    </font>
    <font>
      <b/>
      <sz val="12"/>
      <name val="宋体"/>
      <family val="3"/>
      <charset val="134"/>
      <scheme val="minor"/>
    </font>
    <font>
      <b/>
      <sz val="10"/>
      <color rgb="FF000000"/>
      <name val="宋体"/>
      <family val="3"/>
      <charset val="134"/>
      <scheme val="minor"/>
    </font>
    <font>
      <sz val="10"/>
      <color rgb="FF000000"/>
      <name val="宋体"/>
      <family val="3"/>
      <charset val="134"/>
      <scheme val="minor"/>
    </font>
    <font>
      <sz val="10"/>
      <color rgb="FF0000FF"/>
      <name val="宋体"/>
      <family val="3"/>
      <charset val="134"/>
      <scheme val="minor"/>
    </font>
    <font>
      <b/>
      <sz val="10"/>
      <color rgb="FF0000FF"/>
      <name val="宋体"/>
      <family val="3"/>
      <charset val="134"/>
      <scheme val="minor"/>
    </font>
    <font>
      <sz val="10"/>
      <color rgb="FFFF0000"/>
      <name val="宋体"/>
      <family val="3"/>
      <charset val="134"/>
      <scheme val="minor"/>
    </font>
    <font>
      <u/>
      <sz val="10"/>
      <color indexed="12"/>
      <name val="Arial Narrow"/>
      <family val="2"/>
    </font>
    <font>
      <sz val="10"/>
      <color theme="1"/>
      <name val="Arial Narrow"/>
      <family val="2"/>
    </font>
    <font>
      <b/>
      <sz val="10"/>
      <color rgb="FFFF0000"/>
      <name val="宋体"/>
      <family val="3"/>
      <charset val="134"/>
    </font>
    <font>
      <b/>
      <sz val="10"/>
      <color rgb="FFFF0000"/>
      <name val="Arial Narrow"/>
      <family val="2"/>
    </font>
    <font>
      <sz val="9"/>
      <color rgb="FF0000FF"/>
      <name val="Arial Narrow"/>
      <family val="2"/>
    </font>
    <font>
      <sz val="9"/>
      <color rgb="FF0000FF"/>
      <name val="宋体"/>
      <family val="3"/>
      <charset val="134"/>
    </font>
    <font>
      <b/>
      <sz val="14"/>
      <name val="宋体"/>
      <family val="3"/>
      <charset val="134"/>
    </font>
    <font>
      <b/>
      <sz val="14"/>
      <name val="Arial"/>
      <family val="2"/>
    </font>
    <font>
      <b/>
      <sz val="14"/>
      <name val="宋体"/>
      <family val="3"/>
      <charset val="134"/>
      <scheme val="minor"/>
    </font>
    <font>
      <sz val="10"/>
      <color indexed="8"/>
      <name val="宋体"/>
      <family val="3"/>
      <charset val="134"/>
      <scheme val="minor"/>
    </font>
    <font>
      <sz val="10"/>
      <color rgb="FFFF0000"/>
      <name val="Arial Narrow"/>
      <family val="2"/>
    </font>
    <font>
      <b/>
      <sz val="10"/>
      <color indexed="12"/>
      <name val="宋体"/>
      <family val="3"/>
      <charset val="134"/>
      <scheme val="minor"/>
    </font>
    <font>
      <b/>
      <sz val="9"/>
      <color indexed="81"/>
      <name val="宋体"/>
      <family val="3"/>
      <charset val="134"/>
    </font>
    <font>
      <sz val="9"/>
      <color indexed="81"/>
      <name val="宋体"/>
      <family val="3"/>
      <charset val="134"/>
    </font>
  </fonts>
  <fills count="3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9"/>
        <bgColor indexed="64"/>
      </patternFill>
    </fill>
    <fill>
      <patternFill patternType="solid">
        <fgColor indexed="15"/>
        <bgColor indexed="64"/>
      </patternFill>
    </fill>
    <fill>
      <patternFill patternType="solid">
        <fgColor theme="7"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E4DFEC"/>
        <bgColor indexed="64"/>
      </patternFill>
    </fill>
    <fill>
      <patternFill patternType="solid">
        <fgColor theme="0" tint="-0.14999847407452621"/>
        <bgColor indexed="64"/>
      </patternFill>
    </fill>
    <fill>
      <patternFill patternType="solid">
        <fgColor theme="7" tint="0.79998168889431442"/>
        <bgColor rgb="FFB7DEE8"/>
      </patternFill>
    </fill>
  </fills>
  <borders count="4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auto="1"/>
      </left>
      <right style="hair">
        <color auto="1"/>
      </right>
      <top style="hair">
        <color auto="1"/>
      </top>
      <bottom style="hair">
        <color auto="1"/>
      </bottom>
      <diagonal/>
    </border>
    <border>
      <left style="hair">
        <color indexed="8"/>
      </left>
      <right style="hair">
        <color indexed="8"/>
      </right>
      <top style="hair">
        <color indexed="8"/>
      </top>
      <bottom style="hair">
        <color indexed="8"/>
      </bottom>
      <diagonal/>
    </border>
    <border>
      <left style="hair">
        <color auto="1"/>
      </left>
      <right style="hair">
        <color auto="1"/>
      </right>
      <top style="hair">
        <color auto="1"/>
      </top>
      <bottom style="hair">
        <color auto="1"/>
      </bottom>
      <diagonal/>
    </border>
    <border>
      <left style="hair">
        <color indexed="8"/>
      </left>
      <right style="hair">
        <color indexed="8"/>
      </right>
      <top style="hair">
        <color indexed="8"/>
      </top>
      <bottom style="hair">
        <color indexed="8"/>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auto="1"/>
      </left>
      <right/>
      <top style="hair">
        <color auto="1"/>
      </top>
      <bottom style="hair">
        <color indexed="8"/>
      </bottom>
      <diagonal/>
    </border>
    <border>
      <left/>
      <right/>
      <top style="hair">
        <color auto="1"/>
      </top>
      <bottom style="hair">
        <color indexed="8"/>
      </bottom>
      <diagonal/>
    </border>
    <border>
      <left/>
      <right style="hair">
        <color indexed="8"/>
      </right>
      <top style="hair">
        <color auto="1"/>
      </top>
      <bottom style="hair">
        <color indexed="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right/>
      <top style="medium">
        <color auto="1"/>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s>
  <cellStyleXfs count="307">
    <xf numFmtId="0" fontId="0" fillId="0" borderId="0">
      <protection locked="0"/>
    </xf>
    <xf numFmtId="49" fontId="15" fillId="0" borderId="0" applyProtection="0">
      <alignment horizontal="left"/>
    </xf>
    <xf numFmtId="188" fontId="15" fillId="0" borderId="0" applyFill="0" applyBorder="0" applyProtection="0">
      <alignment horizontal="right"/>
    </xf>
    <xf numFmtId="185" fontId="15" fillId="0" borderId="0" applyFill="0" applyBorder="0" applyProtection="0">
      <alignment horizontal="right"/>
    </xf>
    <xf numFmtId="187" fontId="23" fillId="0" borderId="0" applyFill="0" applyBorder="0" applyProtection="0">
      <alignment horizontal="center"/>
    </xf>
    <xf numFmtId="186" fontId="23" fillId="0" borderId="0" applyFill="0" applyBorder="0" applyProtection="0">
      <alignment horizontal="center"/>
    </xf>
    <xf numFmtId="189" fontId="24" fillId="0" borderId="0" applyFill="0" applyBorder="0" applyProtection="0">
      <alignment horizontal="right"/>
    </xf>
    <xf numFmtId="190" fontId="15" fillId="0" borderId="0" applyFill="0" applyBorder="0" applyProtection="0">
      <alignment horizontal="right"/>
    </xf>
    <xf numFmtId="191" fontId="15" fillId="0" borderId="0" applyFill="0" applyBorder="0" applyProtection="0">
      <alignment horizontal="right"/>
    </xf>
    <xf numFmtId="194" fontId="15" fillId="0" borderId="0" applyFill="0" applyBorder="0" applyProtection="0">
      <alignment horizontal="right"/>
    </xf>
    <xf numFmtId="193" fontId="15" fillId="0" borderId="0" applyFill="0" applyBorder="0" applyProtection="0">
      <alignment horizontal="right"/>
    </xf>
    <xf numFmtId="3" fontId="2" fillId="0" borderId="0"/>
    <xf numFmtId="178" fontId="3" fillId="0" borderId="1" applyAlignment="0" applyProtection="0"/>
    <xf numFmtId="41" fontId="4" fillId="0" borderId="0" applyFont="0" applyFill="0" applyBorder="0" applyAlignment="0" applyProtection="0"/>
    <xf numFmtId="43" fontId="4" fillId="0" borderId="0" applyFont="0" applyFill="0" applyBorder="0" applyAlignment="0" applyProtection="0"/>
    <xf numFmtId="192" fontId="15" fillId="0" borderId="0" applyFont="0" applyFill="0" applyBorder="0" applyAlignment="0" applyProtection="0"/>
    <xf numFmtId="0" fontId="5" fillId="0" borderId="0" applyNumberFormat="0" applyFill="0" applyBorder="0" applyAlignment="0" applyProtection="0">
      <alignment vertical="top"/>
      <protection locked="0"/>
    </xf>
    <xf numFmtId="38" fontId="6" fillId="2" borderId="0" applyNumberFormat="0" applyBorder="0" applyAlignment="0" applyProtection="0"/>
    <xf numFmtId="0" fontId="7" fillId="0" borderId="0" applyNumberFormat="0" applyFill="0" applyBorder="0" applyAlignment="0" applyProtection="0">
      <alignment vertical="top"/>
      <protection locked="0"/>
    </xf>
    <xf numFmtId="10" fontId="6" fillId="3" borderId="2" applyNumberFormat="0" applyBorder="0" applyAlignment="0" applyProtection="0"/>
    <xf numFmtId="182" fontId="8" fillId="0" borderId="0" applyFont="0" applyFill="0" applyBorder="0" applyAlignment="0" applyProtection="0"/>
    <xf numFmtId="183" fontId="8" fillId="0" borderId="0" applyFont="0" applyFill="0" applyBorder="0" applyAlignment="0" applyProtection="0"/>
    <xf numFmtId="0" fontId="9" fillId="0" borderId="0"/>
    <xf numFmtId="181" fontId="8" fillId="0" borderId="0"/>
    <xf numFmtId="10" fontId="4" fillId="0" borderId="0" applyFont="0" applyFill="0" applyBorder="0" applyAlignment="0" applyProtection="0"/>
    <xf numFmtId="3" fontId="10" fillId="0" borderId="0"/>
    <xf numFmtId="9" fontId="8" fillId="0" borderId="0" applyFont="0" applyFill="0" applyBorder="0" applyAlignment="0" applyProtection="0"/>
    <xf numFmtId="0" fontId="8" fillId="0" borderId="0">
      <alignment vertical="center"/>
    </xf>
    <xf numFmtId="0" fontId="18" fillId="0" borderId="0"/>
    <xf numFmtId="0" fontId="15" fillId="0" borderId="0">
      <protection locked="0"/>
    </xf>
    <xf numFmtId="0" fontId="8" fillId="0" borderId="0"/>
    <xf numFmtId="0" fontId="8" fillId="0" borderId="0" applyFill="0" applyBorder="0"/>
    <xf numFmtId="0" fontId="11" fillId="0" borderId="0" applyNumberFormat="0" applyFill="0" applyBorder="0" applyAlignment="0" applyProtection="0">
      <alignment vertical="top"/>
      <protection locked="0"/>
    </xf>
    <xf numFmtId="43" fontId="8" fillId="0" borderId="0" applyFont="0" applyFill="0" applyBorder="0" applyAlignment="0" applyProtection="0"/>
    <xf numFmtId="0" fontId="8" fillId="0" borderId="0"/>
    <xf numFmtId="0" fontId="8" fillId="0" borderId="0">
      <alignment vertical="center"/>
    </xf>
    <xf numFmtId="43" fontId="8" fillId="0" borderId="0" applyFont="0" applyFill="0" applyBorder="0" applyAlignment="0" applyProtection="0"/>
    <xf numFmtId="0" fontId="8" fillId="0" borderId="0">
      <protection locked="0"/>
    </xf>
    <xf numFmtId="192" fontId="8" fillId="0" borderId="0">
      <alignment vertical="center"/>
    </xf>
    <xf numFmtId="192" fontId="8" fillId="0" borderId="0">
      <alignment vertical="center"/>
      <protection locked="0"/>
    </xf>
    <xf numFmtId="192" fontId="8" fillId="0" borderId="0">
      <alignment vertical="center"/>
    </xf>
    <xf numFmtId="0" fontId="4" fillId="0" borderId="0"/>
    <xf numFmtId="192" fontId="48" fillId="0" borderId="0">
      <alignment vertical="center"/>
    </xf>
    <xf numFmtId="192" fontId="48" fillId="0" borderId="0">
      <alignment vertical="center"/>
    </xf>
    <xf numFmtId="192" fontId="48" fillId="0" borderId="0">
      <alignment vertical="center"/>
    </xf>
    <xf numFmtId="192" fontId="48" fillId="0" borderId="0">
      <alignment vertical="center"/>
    </xf>
    <xf numFmtId="192" fontId="49" fillId="0" borderId="0">
      <alignment vertical="top"/>
      <protection locked="0"/>
    </xf>
    <xf numFmtId="192" fontId="49" fillId="0" borderId="0">
      <alignment vertical="top"/>
      <protection locked="0"/>
    </xf>
    <xf numFmtId="192" fontId="49" fillId="0" borderId="0">
      <alignment vertical="top"/>
      <protection locked="0"/>
    </xf>
    <xf numFmtId="192" fontId="49" fillId="0" borderId="0">
      <alignment vertical="top"/>
    </xf>
    <xf numFmtId="0" fontId="18" fillId="0" borderId="0"/>
    <xf numFmtId="192" fontId="49" fillId="0" borderId="0">
      <alignment vertical="top"/>
    </xf>
    <xf numFmtId="192" fontId="49" fillId="0" borderId="0">
      <alignment vertical="top"/>
      <protection locked="0"/>
    </xf>
    <xf numFmtId="192" fontId="49" fillId="0" borderId="0">
      <alignment vertical="top"/>
    </xf>
    <xf numFmtId="192" fontId="49" fillId="0" borderId="0">
      <alignment vertical="top"/>
    </xf>
    <xf numFmtId="192" fontId="49" fillId="0" borderId="0">
      <alignment vertical="top"/>
      <protection locked="0"/>
    </xf>
    <xf numFmtId="192" fontId="49" fillId="0" borderId="0">
      <alignment vertical="top"/>
      <protection locked="0"/>
    </xf>
    <xf numFmtId="192" fontId="49" fillId="0" borderId="0">
      <alignment vertical="top"/>
      <protection locked="0"/>
    </xf>
    <xf numFmtId="192" fontId="49" fillId="0" borderId="0">
      <alignment vertical="top"/>
    </xf>
    <xf numFmtId="192" fontId="49" fillId="0" borderId="0">
      <alignment vertical="top"/>
    </xf>
    <xf numFmtId="192" fontId="49" fillId="0" borderId="0">
      <alignment vertical="top"/>
      <protection locked="0"/>
    </xf>
    <xf numFmtId="192" fontId="49" fillId="0" borderId="0">
      <alignment vertical="top"/>
    </xf>
    <xf numFmtId="192" fontId="49" fillId="0" borderId="0">
      <alignment vertical="top"/>
    </xf>
    <xf numFmtId="192" fontId="49" fillId="0" borderId="0">
      <alignment vertical="top"/>
    </xf>
    <xf numFmtId="192" fontId="49" fillId="0" borderId="0">
      <alignment vertical="top"/>
      <protection locked="0"/>
    </xf>
    <xf numFmtId="192" fontId="49" fillId="0" borderId="0">
      <alignment vertical="top"/>
    </xf>
    <xf numFmtId="192" fontId="49" fillId="0" borderId="0">
      <alignment vertical="top"/>
      <protection locked="0"/>
    </xf>
    <xf numFmtId="192" fontId="49" fillId="0" borderId="0">
      <alignment vertical="top"/>
      <protection locked="0"/>
    </xf>
    <xf numFmtId="192" fontId="49" fillId="0" borderId="0">
      <alignment vertical="top"/>
      <protection locked="0"/>
    </xf>
    <xf numFmtId="192" fontId="49" fillId="0" borderId="0">
      <alignment vertical="top"/>
    </xf>
    <xf numFmtId="192" fontId="49" fillId="0" borderId="0">
      <alignment vertical="top"/>
    </xf>
    <xf numFmtId="192" fontId="49" fillId="0" borderId="0">
      <alignment vertical="top"/>
    </xf>
    <xf numFmtId="192" fontId="49" fillId="0" borderId="0">
      <alignment vertical="top"/>
    </xf>
    <xf numFmtId="192" fontId="49" fillId="0" borderId="0">
      <alignment vertical="top"/>
      <protection locked="0"/>
    </xf>
    <xf numFmtId="192" fontId="49" fillId="0" borderId="0">
      <alignment vertical="top"/>
      <protection locked="0"/>
    </xf>
    <xf numFmtId="192" fontId="49" fillId="0" borderId="0">
      <alignment vertical="top"/>
    </xf>
    <xf numFmtId="192" fontId="49" fillId="0" borderId="0">
      <alignment vertical="top"/>
      <protection locked="0"/>
    </xf>
    <xf numFmtId="196" fontId="8" fillId="0" borderId="0" applyFont="0" applyFill="0" applyBorder="0" applyAlignment="0" applyProtection="0">
      <alignment vertical="center"/>
    </xf>
    <xf numFmtId="197" fontId="8" fillId="0" borderId="0" applyFont="0" applyFill="0" applyBorder="0" applyAlignment="0" applyProtection="0">
      <alignment vertical="center"/>
    </xf>
    <xf numFmtId="10" fontId="8" fillId="0" borderId="0" applyFont="0" applyFill="0" applyBorder="0" applyAlignment="0" applyProtection="0">
      <alignment vertical="center"/>
    </xf>
    <xf numFmtId="192" fontId="50" fillId="8" borderId="0" applyNumberFormat="0" applyBorder="0" applyAlignment="0" applyProtection="0"/>
    <xf numFmtId="192" fontId="50" fillId="9" borderId="0" applyNumberFormat="0" applyBorder="0" applyAlignment="0" applyProtection="0"/>
    <xf numFmtId="192" fontId="50" fillId="10" borderId="0" applyNumberFormat="0" applyBorder="0" applyAlignment="0" applyProtection="0"/>
    <xf numFmtId="192" fontId="50" fillId="11" borderId="0" applyNumberFormat="0" applyBorder="0" applyAlignment="0" applyProtection="0"/>
    <xf numFmtId="192" fontId="50" fillId="12" borderId="0" applyNumberFormat="0" applyBorder="0" applyAlignment="0" applyProtection="0"/>
    <xf numFmtId="192" fontId="50" fillId="13" borderId="0" applyNumberFormat="0" applyBorder="0" applyAlignment="0" applyProtection="0"/>
    <xf numFmtId="192" fontId="50" fillId="14" borderId="0" applyNumberFormat="0" applyBorder="0" applyAlignment="0" applyProtection="0"/>
    <xf numFmtId="192" fontId="50" fillId="15" borderId="0" applyNumberFormat="0" applyBorder="0" applyAlignment="0" applyProtection="0"/>
    <xf numFmtId="192" fontId="50" fillId="16" borderId="0" applyNumberFormat="0" applyBorder="0" applyAlignment="0" applyProtection="0"/>
    <xf numFmtId="192" fontId="50" fillId="11" borderId="0" applyNumberFormat="0" applyBorder="0" applyAlignment="0" applyProtection="0"/>
    <xf numFmtId="192" fontId="50" fillId="14" borderId="0" applyNumberFormat="0" applyBorder="0" applyAlignment="0" applyProtection="0"/>
    <xf numFmtId="192" fontId="50" fillId="17" borderId="0" applyNumberFormat="0" applyBorder="0" applyAlignment="0" applyProtection="0"/>
    <xf numFmtId="192" fontId="51" fillId="18" borderId="0" applyNumberFormat="0" applyBorder="0" applyAlignment="0" applyProtection="0"/>
    <xf numFmtId="192" fontId="51" fillId="15" borderId="0" applyNumberFormat="0" applyBorder="0" applyAlignment="0" applyProtection="0"/>
    <xf numFmtId="192" fontId="51" fillId="16" borderId="0" applyNumberFormat="0" applyBorder="0" applyAlignment="0" applyProtection="0"/>
    <xf numFmtId="192" fontId="51" fillId="19" borderId="0" applyNumberFormat="0" applyBorder="0" applyAlignment="0" applyProtection="0"/>
    <xf numFmtId="192" fontId="51" fillId="20" borderId="0" applyNumberFormat="0" applyBorder="0" applyAlignment="0" applyProtection="0"/>
    <xf numFmtId="192" fontId="51" fillId="21" borderId="0" applyNumberFormat="0" applyBorder="0" applyAlignment="0" applyProtection="0"/>
    <xf numFmtId="192" fontId="51" fillId="22" borderId="0" applyNumberFormat="0" applyBorder="0" applyAlignment="0" applyProtection="0"/>
    <xf numFmtId="192" fontId="51" fillId="23" borderId="0" applyNumberFormat="0" applyBorder="0" applyAlignment="0" applyProtection="0"/>
    <xf numFmtId="192" fontId="51" fillId="24" borderId="0" applyNumberFormat="0" applyBorder="0" applyAlignment="0" applyProtection="0"/>
    <xf numFmtId="192" fontId="51" fillId="19" borderId="0" applyNumberFormat="0" applyBorder="0" applyAlignment="0" applyProtection="0"/>
    <xf numFmtId="192" fontId="51" fillId="20" borderId="0" applyNumberFormat="0" applyBorder="0" applyAlignment="0" applyProtection="0"/>
    <xf numFmtId="192" fontId="51" fillId="25" borderId="0" applyNumberFormat="0" applyBorder="0" applyAlignment="0" applyProtection="0"/>
    <xf numFmtId="192" fontId="52" fillId="9" borderId="0" applyNumberFormat="0" applyBorder="0" applyAlignment="0" applyProtection="0"/>
    <xf numFmtId="198" fontId="49" fillId="0" borderId="0" applyFill="0" applyBorder="0" applyAlignment="0">
      <alignment vertical="center"/>
    </xf>
    <xf numFmtId="199" fontId="4" fillId="0" borderId="0" applyFill="0" applyBorder="0" applyAlignment="0"/>
    <xf numFmtId="200" fontId="4" fillId="0" borderId="0" applyFill="0" applyBorder="0" applyAlignment="0"/>
    <xf numFmtId="201" fontId="4" fillId="0" borderId="0" applyFill="0" applyBorder="0" applyAlignment="0"/>
    <xf numFmtId="202" fontId="4" fillId="0" borderId="0" applyFill="0" applyBorder="0" applyAlignment="0"/>
    <xf numFmtId="203" fontId="4" fillId="0" borderId="0" applyFill="0" applyBorder="0" applyAlignment="0"/>
    <xf numFmtId="204" fontId="4" fillId="0" borderId="0" applyFill="0" applyBorder="0" applyAlignment="0"/>
    <xf numFmtId="199" fontId="4" fillId="0" borderId="0" applyFill="0" applyBorder="0" applyAlignment="0"/>
    <xf numFmtId="192" fontId="53" fillId="26" borderId="24" applyNumberFormat="0" applyAlignment="0" applyProtection="0"/>
    <xf numFmtId="0" fontId="54" fillId="0" borderId="0"/>
    <xf numFmtId="192" fontId="55" fillId="27" borderId="25" applyNumberFormat="0" applyAlignment="0" applyProtection="0"/>
    <xf numFmtId="192" fontId="56" fillId="0" borderId="26" applyNumberFormat="0" applyFill="0" applyProtection="0">
      <alignment horizontal="center" vertical="center"/>
    </xf>
    <xf numFmtId="192" fontId="57" fillId="0" borderId="27">
      <alignment horizontal="center" vertical="center"/>
    </xf>
    <xf numFmtId="205" fontId="48" fillId="0" borderId="0">
      <alignment vertical="center"/>
    </xf>
    <xf numFmtId="205" fontId="48" fillId="0" borderId="0">
      <alignment vertical="center"/>
    </xf>
    <xf numFmtId="205" fontId="48" fillId="0" borderId="0">
      <alignment vertical="center"/>
    </xf>
    <xf numFmtId="205" fontId="48" fillId="0" borderId="0">
      <alignment vertical="center"/>
    </xf>
    <xf numFmtId="205" fontId="48" fillId="0" borderId="0">
      <alignment vertical="center"/>
    </xf>
    <xf numFmtId="205" fontId="48" fillId="0" borderId="0">
      <alignment vertical="center"/>
    </xf>
    <xf numFmtId="205" fontId="48" fillId="0" borderId="0">
      <alignment vertical="center"/>
    </xf>
    <xf numFmtId="205" fontId="48" fillId="0" borderId="0">
      <alignment vertical="center"/>
    </xf>
    <xf numFmtId="38" fontId="8" fillId="0" borderId="0" applyFont="0" applyFill="0" applyBorder="0" applyAlignment="0" applyProtection="0">
      <alignment vertical="center"/>
    </xf>
    <xf numFmtId="203" fontId="4" fillId="0" borderId="0" applyFont="0" applyFill="0" applyBorder="0" applyAlignment="0" applyProtection="0"/>
    <xf numFmtId="43" fontId="8" fillId="0" borderId="0" applyFont="0" applyFill="0" applyBorder="0" applyAlignment="0" applyProtection="0"/>
    <xf numFmtId="206" fontId="15" fillId="0" borderId="0"/>
    <xf numFmtId="37" fontId="8" fillId="0" borderId="0" applyFont="0" applyFill="0" applyBorder="0" applyAlignment="0" applyProtection="0">
      <alignment vertical="center"/>
    </xf>
    <xf numFmtId="207" fontId="8" fillId="0" borderId="0" applyFont="0" applyFill="0" applyBorder="0" applyAlignment="0" applyProtection="0">
      <alignment vertical="center"/>
    </xf>
    <xf numFmtId="39" fontId="8" fillId="0" borderId="0" applyFont="0" applyFill="0" applyBorder="0" applyAlignment="0" applyProtection="0">
      <alignment vertical="center"/>
    </xf>
    <xf numFmtId="40" fontId="8" fillId="0" borderId="0" applyFont="0" applyFill="0" applyBorder="0" applyAlignment="0" applyProtection="0">
      <alignment vertical="center"/>
    </xf>
    <xf numFmtId="208" fontId="8" fillId="0" borderId="0" applyFont="0" applyFill="0" applyBorder="0" applyAlignment="0" applyProtection="0">
      <alignment vertical="center"/>
    </xf>
    <xf numFmtId="199" fontId="4" fillId="0" borderId="0" applyFont="0" applyFill="0" applyBorder="0" applyAlignment="0" applyProtection="0"/>
    <xf numFmtId="178" fontId="8" fillId="0" borderId="0" applyFont="0" applyFill="0" applyBorder="0" applyAlignment="0" applyProtection="0">
      <alignment vertical="center"/>
    </xf>
    <xf numFmtId="209" fontId="8" fillId="0" borderId="0" applyFont="0" applyFill="0" applyBorder="0" applyAlignment="0" applyProtection="0">
      <alignment vertical="center"/>
    </xf>
    <xf numFmtId="210" fontId="8" fillId="0" borderId="0" applyFont="0" applyFill="0" applyBorder="0" applyAlignment="0" applyProtection="0">
      <alignment vertical="center"/>
    </xf>
    <xf numFmtId="211" fontId="15" fillId="0" borderId="0"/>
    <xf numFmtId="14" fontId="58" fillId="0" borderId="0" applyFill="0" applyBorder="0" applyAlignment="0"/>
    <xf numFmtId="212" fontId="15" fillId="0" borderId="0"/>
    <xf numFmtId="203" fontId="4" fillId="0" borderId="0" applyFill="0" applyBorder="0" applyAlignment="0"/>
    <xf numFmtId="199" fontId="4" fillId="0" borderId="0" applyFill="0" applyBorder="0" applyAlignment="0"/>
    <xf numFmtId="203" fontId="4" fillId="0" borderId="0" applyFill="0" applyBorder="0" applyAlignment="0"/>
    <xf numFmtId="204" fontId="4" fillId="0" borderId="0" applyFill="0" applyBorder="0" applyAlignment="0"/>
    <xf numFmtId="199" fontId="4" fillId="0" borderId="0" applyFill="0" applyBorder="0" applyAlignment="0"/>
    <xf numFmtId="192" fontId="59" fillId="0" borderId="0">
      <alignment horizontal="left" vertical="center"/>
    </xf>
    <xf numFmtId="192" fontId="60" fillId="28" borderId="2">
      <alignment vertical="center"/>
    </xf>
    <xf numFmtId="192" fontId="61" fillId="0" borderId="0" applyNumberFormat="0" applyFill="0" applyBorder="0" applyAlignment="0" applyProtection="0"/>
    <xf numFmtId="192" fontId="62" fillId="10" borderId="0" applyNumberFormat="0" applyBorder="0" applyAlignment="0" applyProtection="0"/>
    <xf numFmtId="0" fontId="63" fillId="0" borderId="0">
      <alignment horizontal="left"/>
    </xf>
    <xf numFmtId="192" fontId="64" fillId="0" borderId="8" applyNumberFormat="0" applyAlignment="0" applyProtection="0">
      <alignment horizontal="left" vertical="center"/>
    </xf>
    <xf numFmtId="192" fontId="64" fillId="0" borderId="28">
      <alignment horizontal="left" vertical="center"/>
    </xf>
    <xf numFmtId="14" fontId="65" fillId="29" borderId="9">
      <alignment horizontal="center" vertical="center" wrapText="1"/>
    </xf>
    <xf numFmtId="192" fontId="66" fillId="0" borderId="29" applyNumberFormat="0" applyFill="0" applyAlignment="0" applyProtection="0"/>
    <xf numFmtId="192" fontId="67" fillId="0" borderId="30" applyNumberFormat="0" applyFill="0" applyAlignment="0" applyProtection="0"/>
    <xf numFmtId="192" fontId="68" fillId="0" borderId="31" applyNumberFormat="0" applyFill="0" applyAlignment="0" applyProtection="0"/>
    <xf numFmtId="192" fontId="68" fillId="0" borderId="0" applyNumberFormat="0" applyFill="0" applyBorder="0" applyAlignment="0" applyProtection="0"/>
    <xf numFmtId="192" fontId="69" fillId="13" borderId="24" applyNumberFormat="0" applyAlignment="0" applyProtection="0"/>
    <xf numFmtId="192" fontId="8" fillId="0" borderId="0" applyNumberFormat="0" applyFont="0" applyFill="0" applyBorder="0" applyProtection="0">
      <alignment horizontal="left" vertical="center"/>
    </xf>
    <xf numFmtId="203" fontId="4" fillId="0" borderId="0" applyFill="0" applyBorder="0" applyAlignment="0"/>
    <xf numFmtId="199" fontId="4" fillId="0" borderId="0" applyFill="0" applyBorder="0" applyAlignment="0"/>
    <xf numFmtId="203" fontId="4" fillId="0" borderId="0" applyFill="0" applyBorder="0" applyAlignment="0"/>
    <xf numFmtId="204" fontId="4" fillId="0" borderId="0" applyFill="0" applyBorder="0" applyAlignment="0"/>
    <xf numFmtId="199" fontId="4" fillId="0" borderId="0" applyFill="0" applyBorder="0" applyAlignment="0"/>
    <xf numFmtId="192" fontId="70" fillId="0" borderId="32" applyNumberFormat="0" applyFill="0" applyAlignment="0" applyProtection="0"/>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0" fontId="71" fillId="0" borderId="9"/>
    <xf numFmtId="213" fontId="8" fillId="0" borderId="0" applyFont="0" applyFill="0" applyBorder="0" applyAlignment="0" applyProtection="0">
      <alignment vertical="center"/>
    </xf>
    <xf numFmtId="214" fontId="8" fillId="0" borderId="0" applyFont="0" applyFill="0" applyBorder="0" applyAlignment="0" applyProtection="0">
      <alignment vertical="center"/>
    </xf>
    <xf numFmtId="215" fontId="8" fillId="0" borderId="0" applyFont="0" applyFill="0" applyBorder="0" applyAlignment="0" applyProtection="0">
      <alignment vertical="center"/>
    </xf>
    <xf numFmtId="216" fontId="8" fillId="0" borderId="0" applyFont="0" applyFill="0" applyBorder="0" applyAlignment="0" applyProtection="0">
      <alignment vertical="center"/>
    </xf>
    <xf numFmtId="192" fontId="72" fillId="30" borderId="0" applyNumberFormat="0" applyBorder="0" applyAlignment="0" applyProtection="0"/>
    <xf numFmtId="37" fontId="73" fillId="0" borderId="0">
      <alignment vertical="center"/>
    </xf>
    <xf numFmtId="0" fontId="4" fillId="0" borderId="0"/>
    <xf numFmtId="0" fontId="4" fillId="0" borderId="0"/>
    <xf numFmtId="0" fontId="8" fillId="0" borderId="0"/>
    <xf numFmtId="0" fontId="8" fillId="0" borderId="0">
      <alignment vertical="center"/>
    </xf>
    <xf numFmtId="192" fontId="74" fillId="0" borderId="0">
      <alignment vertical="center"/>
    </xf>
    <xf numFmtId="192" fontId="75" fillId="0" borderId="0">
      <alignment vertical="center"/>
    </xf>
    <xf numFmtId="192" fontId="4" fillId="31" borderId="33" applyNumberFormat="0" applyFont="0" applyAlignment="0" applyProtection="0"/>
    <xf numFmtId="192" fontId="76" fillId="26" borderId="34" applyNumberFormat="0" applyAlignment="0" applyProtection="0"/>
    <xf numFmtId="217" fontId="8" fillId="0" borderId="0" applyFont="0" applyFill="0" applyBorder="0" applyAlignment="0" applyProtection="0">
      <alignment vertical="center"/>
    </xf>
    <xf numFmtId="202" fontId="4" fillId="0" borderId="0" applyFont="0" applyFill="0" applyBorder="0" applyAlignment="0" applyProtection="0"/>
    <xf numFmtId="196" fontId="4" fillId="0" borderId="0" applyFont="0" applyFill="0" applyBorder="0" applyAlignment="0" applyProtection="0"/>
    <xf numFmtId="192" fontId="60" fillId="2" borderId="2">
      <alignment vertical="center"/>
    </xf>
    <xf numFmtId="203" fontId="4" fillId="0" borderId="0" applyFill="0" applyBorder="0" applyAlignment="0"/>
    <xf numFmtId="199" fontId="4" fillId="0" borderId="0" applyFill="0" applyBorder="0" applyAlignment="0"/>
    <xf numFmtId="203" fontId="4" fillId="0" borderId="0" applyFill="0" applyBorder="0" applyAlignment="0"/>
    <xf numFmtId="204" fontId="4" fillId="0" borderId="0" applyFill="0" applyBorder="0" applyAlignment="0"/>
    <xf numFmtId="199" fontId="4" fillId="0" borderId="0" applyFill="0" applyBorder="0" applyAlignment="0"/>
    <xf numFmtId="4" fontId="59" fillId="0" borderId="0">
      <alignment horizontal="right" vertical="center"/>
    </xf>
    <xf numFmtId="4" fontId="77" fillId="0" borderId="0">
      <alignment horizontal="right" vertical="center"/>
    </xf>
    <xf numFmtId="192" fontId="78" fillId="0" borderId="0">
      <alignment horizontal="left" vertical="center"/>
    </xf>
    <xf numFmtId="43" fontId="6" fillId="0" borderId="13"/>
    <xf numFmtId="192" fontId="79" fillId="0" borderId="2">
      <alignment horizontal="center" vertical="center"/>
    </xf>
    <xf numFmtId="192" fontId="79" fillId="0" borderId="0">
      <alignment horizontal="center" vertical="center"/>
    </xf>
    <xf numFmtId="192" fontId="80" fillId="32" borderId="0" applyNumberFormat="0" applyFill="0">
      <alignment horizontal="left" vertical="center"/>
    </xf>
    <xf numFmtId="0" fontId="71" fillId="0" borderId="0"/>
    <xf numFmtId="49" fontId="58" fillId="0" borderId="0" applyFill="0" applyBorder="0" applyAlignment="0"/>
    <xf numFmtId="218" fontId="58" fillId="0" borderId="0" applyFill="0" applyBorder="0" applyAlignment="0"/>
    <xf numFmtId="219" fontId="4" fillId="0" borderId="0" applyFill="0" applyBorder="0" applyAlignment="0"/>
    <xf numFmtId="192" fontId="81" fillId="0" borderId="0" applyFill="0" applyBorder="0" applyProtection="0">
      <alignment horizontal="left" vertical="top"/>
    </xf>
    <xf numFmtId="192" fontId="82" fillId="0" borderId="0">
      <alignment horizontal="center" vertical="center"/>
    </xf>
    <xf numFmtId="192" fontId="83" fillId="0" borderId="35" applyNumberFormat="0" applyFill="0" applyAlignment="0" applyProtection="0"/>
    <xf numFmtId="192" fontId="84" fillId="0" borderId="0" applyNumberFormat="0" applyFill="0" applyBorder="0" applyAlignment="0" applyProtection="0"/>
    <xf numFmtId="192" fontId="8" fillId="0" borderId="0" applyNumberFormat="0" applyFont="0" applyFill="0" applyBorder="0" applyProtection="0">
      <alignment horizontal="center" vertical="center" wrapText="1"/>
    </xf>
    <xf numFmtId="9" fontId="8" fillId="0" borderId="0" applyFont="0" applyFill="0" applyBorder="0" applyAlignment="0" applyProtection="0">
      <alignment vertical="center"/>
    </xf>
    <xf numFmtId="0" fontId="18" fillId="0" borderId="0"/>
    <xf numFmtId="0" fontId="4" fillId="0" borderId="0"/>
    <xf numFmtId="176" fontId="18" fillId="0" borderId="0" applyFont="0" applyFill="0" applyBorder="0" applyAlignment="0" applyProtection="0"/>
    <xf numFmtId="177" fontId="18"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xf numFmtId="4" fontId="85" fillId="0" borderId="0">
      <alignment horizontal="right" vertical="center"/>
    </xf>
    <xf numFmtId="0" fontId="86" fillId="9" borderId="0" applyNumberFormat="0" applyBorder="0" applyAlignment="0" applyProtection="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 fillId="0" borderId="0">
      <alignment vertical="center"/>
    </xf>
    <xf numFmtId="0" fontId="8" fillId="0" borderId="0">
      <alignment vertical="center"/>
    </xf>
    <xf numFmtId="0" fontId="8"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192" fontId="8" fillId="0" borderId="0">
      <alignment vertical="center"/>
      <protection locked="0"/>
    </xf>
    <xf numFmtId="0" fontId="87" fillId="0" borderId="0">
      <alignment vertical="center"/>
    </xf>
    <xf numFmtId="0" fontId="88" fillId="0" borderId="0" applyNumberFormat="0" applyBorder="0" applyAlignment="0">
      <alignment vertical="center"/>
      <protection locked="0"/>
    </xf>
    <xf numFmtId="192" fontId="8" fillId="0" borderId="0">
      <protection locked="0"/>
    </xf>
    <xf numFmtId="0" fontId="8" fillId="0" borderId="0">
      <protection locked="0"/>
    </xf>
    <xf numFmtId="0" fontId="8" fillId="0" borderId="0">
      <alignment vertical="center"/>
    </xf>
    <xf numFmtId="0" fontId="8" fillId="0" borderId="0">
      <alignment vertical="center"/>
    </xf>
    <xf numFmtId="0" fontId="8" fillId="0" borderId="0">
      <alignment vertical="center"/>
    </xf>
    <xf numFmtId="0" fontId="89" fillId="0" borderId="0" applyNumberFormat="0" applyBorder="0" applyProtection="0">
      <alignment vertical="center"/>
    </xf>
    <xf numFmtId="0" fontId="8" fillId="0" borderId="0">
      <protection locked="0"/>
    </xf>
    <xf numFmtId="0" fontId="8" fillId="0" borderId="0">
      <alignment vertical="center"/>
    </xf>
    <xf numFmtId="192" fontId="8" fillId="0" borderId="0">
      <alignment vertical="center"/>
      <protection locked="0"/>
    </xf>
    <xf numFmtId="0" fontId="4" fillId="0" borderId="0"/>
    <xf numFmtId="0" fontId="8" fillId="0" borderId="0">
      <alignment vertical="center"/>
    </xf>
    <xf numFmtId="192" fontId="90" fillId="0" borderId="0">
      <alignment vertical="center"/>
    </xf>
    <xf numFmtId="192" fontId="90" fillId="0" borderId="0">
      <alignment vertical="center"/>
    </xf>
    <xf numFmtId="0" fontId="8" fillId="0" borderId="0">
      <alignment vertical="center"/>
    </xf>
    <xf numFmtId="0" fontId="8" fillId="0" borderId="0">
      <alignment vertical="center"/>
    </xf>
    <xf numFmtId="192" fontId="91" fillId="0" borderId="0">
      <alignment vertical="center"/>
    </xf>
    <xf numFmtId="0" fontId="87" fillId="0" borderId="0">
      <alignment vertical="center"/>
    </xf>
    <xf numFmtId="0" fontId="87" fillId="0" borderId="0">
      <alignment vertical="center"/>
    </xf>
    <xf numFmtId="0" fontId="87" fillId="0" borderId="0">
      <alignment vertical="center"/>
    </xf>
    <xf numFmtId="0" fontId="8" fillId="0" borderId="0"/>
    <xf numFmtId="0" fontId="88" fillId="0" borderId="0" applyNumberFormat="0" applyBorder="0" applyAlignment="0" applyProtection="0">
      <alignment vertical="center"/>
    </xf>
    <xf numFmtId="0" fontId="87" fillId="0" borderId="0">
      <alignment vertical="center"/>
    </xf>
    <xf numFmtId="0" fontId="90"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192" fontId="92" fillId="0" borderId="0" applyNumberFormat="0" applyFill="0" applyBorder="0" applyAlignment="0" applyProtection="0">
      <alignment vertical="top"/>
      <protection locked="0"/>
    </xf>
    <xf numFmtId="192" fontId="11" fillId="0" borderId="0" applyNumberFormat="0" applyFill="0" applyBorder="0" applyAlignment="0" applyProtection="0">
      <alignment vertical="top"/>
      <protection locked="0"/>
    </xf>
    <xf numFmtId="192" fontId="11" fillId="0" borderId="0" applyNumberFormat="0" applyFill="0" applyBorder="0" applyAlignment="0" applyProtection="0">
      <alignment vertical="top"/>
      <protection locked="0"/>
    </xf>
    <xf numFmtId="192" fontId="93" fillId="0" borderId="0" applyNumberFormat="0" applyFill="0" applyBorder="0" applyAlignment="0" applyProtection="0">
      <alignment vertical="center"/>
    </xf>
    <xf numFmtId="0" fontId="94" fillId="10" borderId="0" applyNumberFormat="0" applyBorder="0" applyAlignment="0" applyProtection="0">
      <alignment vertical="center"/>
    </xf>
    <xf numFmtId="4" fontId="8" fillId="0" borderId="0" applyFont="0" applyFill="0" applyBorder="0" applyAlignment="0" applyProtection="0">
      <alignment vertical="center"/>
    </xf>
    <xf numFmtId="41" fontId="8" fillId="0" borderId="0" applyFont="0" applyFill="0" applyBorder="0" applyAlignment="0" applyProtection="0">
      <alignment vertical="center"/>
    </xf>
    <xf numFmtId="220" fontId="8" fillId="0" borderId="0" applyFont="0" applyFill="0" applyBorder="0" applyAlignment="0" applyProtection="0">
      <alignment vertical="center"/>
    </xf>
    <xf numFmtId="221" fontId="8" fillId="0" borderId="0" applyFont="0" applyFill="0" applyBorder="0" applyAlignment="0" applyProtection="0">
      <alignment vertical="center"/>
    </xf>
    <xf numFmtId="222" fontId="8" fillId="0" borderId="0" applyFont="0" applyFill="0" applyBorder="0" applyAlignment="0" applyProtection="0">
      <alignment vertical="center"/>
    </xf>
    <xf numFmtId="223" fontId="8" fillId="0" borderId="0" applyFont="0" applyFill="0" applyBorder="0" applyAlignment="0" applyProtection="0">
      <alignment vertical="center"/>
    </xf>
    <xf numFmtId="179" fontId="18" fillId="0" borderId="0" applyFont="0" applyFill="0" applyBorder="0" applyAlignment="0" applyProtection="0"/>
    <xf numFmtId="180" fontId="18" fillId="0" borderId="0" applyFont="0" applyFill="0" applyBorder="0" applyAlignment="0" applyProtection="0"/>
    <xf numFmtId="192" fontId="95" fillId="0" borderId="0">
      <alignment vertical="center"/>
    </xf>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41" fontId="18" fillId="0" borderId="0" applyFont="0" applyFill="0" applyBorder="0" applyAlignment="0" applyProtection="0"/>
    <xf numFmtId="43" fontId="18" fillId="0" borderId="0" applyFont="0" applyFill="0" applyBorder="0" applyAlignment="0" applyProtection="0"/>
    <xf numFmtId="43" fontId="8" fillId="0" borderId="0" applyFont="0" applyFill="0" applyBorder="0" applyAlignment="0" applyProtection="0"/>
    <xf numFmtId="192" fontId="96" fillId="0" borderId="0">
      <alignment vertical="center"/>
    </xf>
    <xf numFmtId="214" fontId="8" fillId="0" borderId="0" applyFont="0" applyFill="0" applyBorder="0" applyAlignment="0" applyProtection="0">
      <alignment vertical="center"/>
    </xf>
    <xf numFmtId="224" fontId="8" fillId="0" borderId="0" applyFont="0" applyFill="0" applyBorder="0" applyAlignment="0" applyProtection="0">
      <alignment vertical="center"/>
    </xf>
    <xf numFmtId="192" fontId="49" fillId="0" borderId="0">
      <alignment vertical="top"/>
    </xf>
    <xf numFmtId="38" fontId="8" fillId="0" borderId="0" applyFont="0" applyFill="0" applyBorder="0" applyAlignment="0" applyProtection="0">
      <alignment vertical="center"/>
    </xf>
    <xf numFmtId="40" fontId="8" fillId="0" borderId="0" applyFont="0" applyFill="0" applyBorder="0" applyAlignment="0" applyProtection="0">
      <alignment vertical="center"/>
    </xf>
    <xf numFmtId="192" fontId="8" fillId="0" borderId="0" applyFont="0" applyFill="0" applyBorder="0" applyAlignment="0" applyProtection="0">
      <alignment vertical="center"/>
    </xf>
    <xf numFmtId="192" fontId="8" fillId="0" borderId="0" applyFont="0" applyFill="0" applyBorder="0" applyAlignment="0" applyProtection="0">
      <alignment vertical="center"/>
    </xf>
    <xf numFmtId="192" fontId="97" fillId="0" borderId="0">
      <alignment vertical="center"/>
    </xf>
    <xf numFmtId="0" fontId="8" fillId="0" borderId="0">
      <protection locked="0"/>
    </xf>
    <xf numFmtId="9" fontId="8" fillId="0" borderId="0" applyFont="0" applyFill="0" applyBorder="0" applyAlignment="0" applyProtection="0"/>
    <xf numFmtId="192" fontId="8" fillId="0" borderId="0"/>
    <xf numFmtId="192" fontId="8" fillId="0" borderId="0">
      <protection locked="0"/>
    </xf>
    <xf numFmtId="192" fontId="8" fillId="0" borderId="0"/>
    <xf numFmtId="0" fontId="8" fillId="0" borderId="0">
      <protection locked="0"/>
    </xf>
    <xf numFmtId="43" fontId="8" fillId="0" borderId="0" applyFont="0" applyFill="0" applyBorder="0" applyAlignment="0" applyProtection="0">
      <alignment vertical="center"/>
    </xf>
    <xf numFmtId="192" fontId="1" fillId="0" borderId="0">
      <alignment vertical="center"/>
    </xf>
  </cellStyleXfs>
  <cellXfs count="346">
    <xf numFmtId="0" fontId="0" fillId="0" borderId="0" xfId="0">
      <protection locked="0"/>
    </xf>
    <xf numFmtId="43" fontId="26" fillId="0" borderId="0" xfId="31" applyNumberFormat="1" applyFont="1" applyBorder="1" applyAlignment="1">
      <alignment vertical="center"/>
    </xf>
    <xf numFmtId="43" fontId="28" fillId="0" borderId="0" xfId="31" applyNumberFormat="1" applyFont="1" applyBorder="1" applyAlignment="1">
      <alignment vertical="center"/>
    </xf>
    <xf numFmtId="43" fontId="28" fillId="0" borderId="0" xfId="31" applyNumberFormat="1" applyFont="1" applyBorder="1" applyAlignment="1">
      <alignment horizontal="left" vertical="center"/>
    </xf>
    <xf numFmtId="43" fontId="13" fillId="0" borderId="0" xfId="31" applyNumberFormat="1" applyFont="1" applyBorder="1" applyAlignment="1">
      <alignment horizontal="right" vertical="center"/>
    </xf>
    <xf numFmtId="49" fontId="28" fillId="0" borderId="0" xfId="31" applyNumberFormat="1" applyFont="1" applyBorder="1" applyAlignment="1">
      <alignment vertical="center"/>
    </xf>
    <xf numFmtId="43" fontId="25" fillId="0" borderId="0" xfId="31" applyNumberFormat="1" applyFont="1" applyBorder="1" applyAlignment="1">
      <alignment vertical="center"/>
    </xf>
    <xf numFmtId="0" fontId="28" fillId="0" borderId="0" xfId="28" applyFont="1" applyBorder="1" applyAlignment="1">
      <alignment vertical="center"/>
    </xf>
    <xf numFmtId="0" fontId="28" fillId="0" borderId="0" xfId="28" applyFont="1" applyBorder="1" applyAlignment="1">
      <alignment horizontal="left" vertical="center"/>
    </xf>
    <xf numFmtId="43" fontId="29" fillId="0" borderId="0" xfId="32" applyNumberFormat="1" applyFont="1" applyBorder="1" applyAlignment="1" applyProtection="1">
      <alignment horizontal="center" vertical="center"/>
    </xf>
    <xf numFmtId="43" fontId="31" fillId="0" borderId="0" xfId="31" applyNumberFormat="1" applyFont="1" applyBorder="1" applyAlignment="1">
      <alignment vertical="center"/>
    </xf>
    <xf numFmtId="0" fontId="27" fillId="0" borderId="0" xfId="27" applyFont="1" applyAlignment="1">
      <alignment vertical="center"/>
    </xf>
    <xf numFmtId="0" fontId="26" fillId="0" borderId="0" xfId="27" applyFont="1" applyAlignment="1">
      <alignment vertical="center"/>
    </xf>
    <xf numFmtId="0" fontId="28" fillId="0" borderId="0" xfId="0" applyFont="1" applyBorder="1" applyAlignment="1">
      <alignment vertical="center"/>
      <protection locked="0"/>
    </xf>
    <xf numFmtId="0" fontId="28" fillId="0" borderId="0" xfId="0" applyFont="1" applyAlignment="1">
      <alignment vertical="center"/>
      <protection locked="0"/>
    </xf>
    <xf numFmtId="0" fontId="28" fillId="0" borderId="0" xfId="0" applyFont="1">
      <protection locked="0"/>
    </xf>
    <xf numFmtId="0" fontId="25" fillId="0" borderId="0" xfId="0" applyFont="1">
      <protection locked="0"/>
    </xf>
    <xf numFmtId="0" fontId="26" fillId="0" borderId="0" xfId="0" applyFont="1">
      <protection locked="0"/>
    </xf>
    <xf numFmtId="43" fontId="33" fillId="5" borderId="3" xfId="33" applyFont="1" applyFill="1" applyBorder="1" applyAlignment="1">
      <alignment horizontal="right" vertical="center"/>
    </xf>
    <xf numFmtId="0" fontId="33" fillId="5" borderId="3" xfId="0" applyFont="1" applyFill="1" applyBorder="1" applyAlignment="1">
      <alignment vertical="center"/>
      <protection locked="0"/>
    </xf>
    <xf numFmtId="0" fontId="31" fillId="0" borderId="0" xfId="0" applyFont="1" applyAlignment="1">
      <alignment vertical="center"/>
      <protection locked="0"/>
    </xf>
    <xf numFmtId="0" fontId="31" fillId="0" borderId="0" xfId="0" applyFont="1">
      <protection locked="0"/>
    </xf>
    <xf numFmtId="0" fontId="28" fillId="0" borderId="5" xfId="0" applyFont="1" applyBorder="1" applyAlignment="1">
      <alignment vertical="center"/>
      <protection locked="0"/>
    </xf>
    <xf numFmtId="0" fontId="27" fillId="0" borderId="0" xfId="0" applyFont="1" applyAlignment="1">
      <alignment vertical="center"/>
      <protection locked="0"/>
    </xf>
    <xf numFmtId="0" fontId="28" fillId="0" borderId="0" xfId="0" applyFont="1" applyBorder="1" applyAlignment="1">
      <alignment horizontal="left" vertical="center"/>
      <protection locked="0"/>
    </xf>
    <xf numFmtId="0" fontId="25" fillId="0" borderId="0" xfId="30" applyFont="1" applyBorder="1" applyAlignment="1">
      <alignment horizontal="left" vertical="center"/>
    </xf>
    <xf numFmtId="0" fontId="28" fillId="0" borderId="0" xfId="30" applyFont="1" applyBorder="1" applyAlignment="1" applyProtection="1">
      <alignment vertical="center"/>
      <protection locked="0"/>
    </xf>
    <xf numFmtId="0" fontId="31" fillId="0" borderId="0" xfId="30" applyFont="1" applyBorder="1" applyAlignment="1" applyProtection="1">
      <alignment horizontal="center" vertical="center"/>
      <protection hidden="1"/>
    </xf>
    <xf numFmtId="0" fontId="28" fillId="0" borderId="0" xfId="30" applyFont="1" applyBorder="1" applyAlignment="1" applyProtection="1">
      <alignment horizontal="left" vertical="center"/>
      <protection hidden="1"/>
    </xf>
    <xf numFmtId="0" fontId="31" fillId="0" borderId="0" xfId="30" applyFont="1" applyBorder="1" applyAlignment="1" applyProtection="1">
      <alignment horizontal="left" vertical="center"/>
      <protection locked="0"/>
    </xf>
    <xf numFmtId="0" fontId="28" fillId="0" borderId="0" xfId="0" applyFont="1" applyBorder="1" applyAlignment="1">
      <alignment horizontal="center" vertical="center"/>
      <protection locked="0"/>
    </xf>
    <xf numFmtId="0" fontId="25" fillId="0" borderId="0" xfId="0" applyFont="1" applyBorder="1" applyAlignment="1">
      <alignment vertical="center"/>
      <protection locked="0"/>
    </xf>
    <xf numFmtId="0" fontId="25" fillId="0" borderId="0" xfId="0" applyFont="1" applyBorder="1" applyAlignment="1">
      <alignment horizontal="left" vertical="center"/>
      <protection locked="0"/>
    </xf>
    <xf numFmtId="0" fontId="28" fillId="0" borderId="0" xfId="0" applyFont="1" applyAlignment="1">
      <alignment horizontal="center" vertical="center"/>
      <protection locked="0"/>
    </xf>
    <xf numFmtId="0" fontId="28" fillId="0" borderId="0" xfId="0" applyFont="1" applyAlignment="1">
      <alignment horizontal="left" vertical="center"/>
      <protection locked="0"/>
    </xf>
    <xf numFmtId="0" fontId="26" fillId="0" borderId="0" xfId="0" applyFont="1" applyAlignment="1">
      <alignment vertical="center"/>
      <protection locked="0"/>
    </xf>
    <xf numFmtId="0" fontId="31" fillId="0" borderId="0" xfId="0" applyFont="1" applyAlignment="1">
      <protection locked="0"/>
    </xf>
    <xf numFmtId="0" fontId="31" fillId="0" borderId="0" xfId="0" applyFont="1" applyAlignment="1">
      <alignment horizontal="right"/>
      <protection locked="0"/>
    </xf>
    <xf numFmtId="0" fontId="15" fillId="0" borderId="0" xfId="29">
      <protection locked="0"/>
    </xf>
    <xf numFmtId="0" fontId="25" fillId="0" borderId="0" xfId="0" applyFont="1" applyAlignment="1">
      <alignment vertical="center"/>
      <protection locked="0"/>
    </xf>
    <xf numFmtId="0" fontId="32" fillId="0" borderId="0" xfId="0" applyFont="1" applyAlignment="1" applyProtection="1">
      <alignment vertical="center"/>
    </xf>
    <xf numFmtId="43" fontId="33" fillId="0" borderId="3" xfId="33" applyFont="1" applyFill="1" applyBorder="1" applyAlignment="1">
      <alignment horizontal="right" vertical="center"/>
    </xf>
    <xf numFmtId="0" fontId="32" fillId="0" borderId="3" xfId="0" applyFont="1" applyFill="1" applyBorder="1" applyAlignment="1">
      <alignment vertical="center"/>
      <protection locked="0"/>
    </xf>
    <xf numFmtId="0" fontId="25" fillId="0" borderId="3" xfId="0" applyFont="1" applyFill="1" applyBorder="1" applyAlignment="1">
      <alignment vertical="center"/>
      <protection locked="0"/>
    </xf>
    <xf numFmtId="14" fontId="28" fillId="0" borderId="3" xfId="35" applyNumberFormat="1" applyFont="1" applyFill="1" applyBorder="1" applyAlignment="1">
      <alignment horizontal="left" vertical="center" wrapText="1"/>
    </xf>
    <xf numFmtId="43" fontId="28" fillId="0" borderId="3" xfId="36" applyFont="1" applyFill="1" applyBorder="1" applyAlignment="1">
      <alignment vertical="center"/>
    </xf>
    <xf numFmtId="43" fontId="28" fillId="0" borderId="3" xfId="33" applyFont="1" applyFill="1" applyBorder="1" applyAlignment="1">
      <alignment vertical="center"/>
    </xf>
    <xf numFmtId="43" fontId="28" fillId="0" borderId="3" xfId="35" applyNumberFormat="1" applyFont="1" applyFill="1" applyBorder="1" applyAlignment="1">
      <alignment horizontal="center" vertical="center" wrapText="1"/>
    </xf>
    <xf numFmtId="0" fontId="25" fillId="7" borderId="3" xfId="35" applyFont="1" applyFill="1" applyBorder="1" applyAlignment="1">
      <alignment horizontal="center" vertical="center" wrapText="1"/>
    </xf>
    <xf numFmtId="0" fontId="28" fillId="0" borderId="0" xfId="0" applyFont="1" applyBorder="1" applyAlignment="1">
      <alignment horizontal="right" vertical="center"/>
      <protection locked="0"/>
    </xf>
    <xf numFmtId="184" fontId="25" fillId="7" borderId="3" xfId="0" applyNumberFormat="1" applyFont="1" applyFill="1" applyBorder="1" applyAlignment="1">
      <alignment horizontal="center" vertical="center" wrapText="1"/>
      <protection locked="0"/>
    </xf>
    <xf numFmtId="0" fontId="35" fillId="0" borderId="0" xfId="0" applyFont="1" applyBorder="1" applyAlignment="1">
      <alignment vertical="center"/>
      <protection locked="0"/>
    </xf>
    <xf numFmtId="0" fontId="25" fillId="0" borderId="5" xfId="0" applyFont="1" applyBorder="1" applyAlignment="1">
      <alignment vertical="center"/>
      <protection locked="0"/>
    </xf>
    <xf numFmtId="0" fontId="28" fillId="0" borderId="0" xfId="0" applyFont="1" applyBorder="1">
      <protection locked="0"/>
    </xf>
    <xf numFmtId="0" fontId="32" fillId="0" borderId="0" xfId="0" applyFont="1" applyBorder="1" applyAlignment="1" applyProtection="1">
      <alignment vertical="center"/>
    </xf>
    <xf numFmtId="0" fontId="37" fillId="0" borderId="0" xfId="0" applyFont="1" applyAlignment="1">
      <alignment horizontal="left"/>
      <protection locked="0"/>
    </xf>
    <xf numFmtId="43" fontId="26" fillId="0" borderId="0" xfId="0" applyNumberFormat="1" applyFont="1">
      <protection locked="0"/>
    </xf>
    <xf numFmtId="0" fontId="13" fillId="0" borderId="0" xfId="28" applyFont="1" applyBorder="1" applyAlignment="1">
      <alignment vertical="center"/>
    </xf>
    <xf numFmtId="0" fontId="13" fillId="0" borderId="0" xfId="28" applyFont="1" applyBorder="1" applyAlignment="1">
      <alignment horizontal="left" vertical="center"/>
    </xf>
    <xf numFmtId="0" fontId="16" fillId="0" borderId="0" xfId="28" applyFont="1" applyBorder="1" applyAlignment="1">
      <alignment vertical="center"/>
    </xf>
    <xf numFmtId="43" fontId="28" fillId="0" borderId="13" xfId="33" applyFont="1" applyBorder="1" applyAlignment="1">
      <alignment horizontal="centerContinuous" vertical="center" shrinkToFit="1"/>
    </xf>
    <xf numFmtId="43" fontId="28" fillId="0" borderId="13" xfId="33" applyFont="1" applyBorder="1" applyAlignment="1">
      <alignment horizontal="center" vertical="center"/>
    </xf>
    <xf numFmtId="0" fontId="26" fillId="0" borderId="0" xfId="0" applyFont="1" applyBorder="1">
      <protection locked="0"/>
    </xf>
    <xf numFmtId="0" fontId="38" fillId="0" borderId="0" xfId="29" applyFont="1">
      <protection locked="0"/>
    </xf>
    <xf numFmtId="0" fontId="39" fillId="0" borderId="0" xfId="29" applyFont="1">
      <protection locked="0"/>
    </xf>
    <xf numFmtId="0" fontId="39" fillId="0" borderId="13" xfId="0" applyFont="1" applyBorder="1" applyAlignment="1">
      <alignment horizontal="center" vertical="center"/>
      <protection locked="0"/>
    </xf>
    <xf numFmtId="0" fontId="39" fillId="0" borderId="13" xfId="0" applyFont="1" applyBorder="1" applyAlignment="1">
      <alignment horizontal="justify" vertical="center" wrapText="1"/>
      <protection locked="0"/>
    </xf>
    <xf numFmtId="0" fontId="39" fillId="0" borderId="13" xfId="0" applyFont="1" applyBorder="1" applyAlignment="1">
      <alignment horizontal="center" vertical="center" wrapText="1"/>
      <protection locked="0"/>
    </xf>
    <xf numFmtId="0" fontId="39" fillId="0" borderId="13" xfId="0" applyFont="1" applyBorder="1" applyAlignment="1">
      <alignment horizontal="justify" vertical="center"/>
      <protection locked="0"/>
    </xf>
    <xf numFmtId="0" fontId="39" fillId="6" borderId="13" xfId="0" applyFont="1" applyFill="1" applyBorder="1" applyAlignment="1">
      <alignment horizontal="justify" vertical="center" wrapText="1"/>
      <protection locked="0"/>
    </xf>
    <xf numFmtId="0" fontId="38" fillId="7" borderId="13" xfId="0" applyFont="1" applyFill="1" applyBorder="1" applyAlignment="1">
      <alignment horizontal="center" vertical="center"/>
      <protection locked="0"/>
    </xf>
    <xf numFmtId="0" fontId="26" fillId="0" borderId="0" xfId="0" applyFont="1" applyAlignment="1">
      <alignment horizontal="left" vertical="center"/>
      <protection locked="0"/>
    </xf>
    <xf numFmtId="0" fontId="36" fillId="0" borderId="0" xfId="0" applyFont="1" applyAlignment="1">
      <alignment horizontal="left" vertical="center"/>
      <protection locked="0"/>
    </xf>
    <xf numFmtId="0" fontId="28" fillId="4" borderId="0" xfId="0" applyFont="1" applyFill="1" applyBorder="1" applyAlignment="1">
      <alignment horizontal="justify" vertical="center" wrapText="1"/>
      <protection locked="0"/>
    </xf>
    <xf numFmtId="0" fontId="40" fillId="0" borderId="0" xfId="0" applyFont="1" applyBorder="1" applyAlignment="1">
      <alignment horizontal="justify" vertical="center" wrapText="1"/>
      <protection locked="0"/>
    </xf>
    <xf numFmtId="0" fontId="26" fillId="0" borderId="0" xfId="0" applyFont="1" applyAlignment="1">
      <alignment horizontal="center" vertical="center"/>
      <protection locked="0"/>
    </xf>
    <xf numFmtId="0" fontId="26" fillId="0" borderId="0" xfId="0" applyFont="1" applyBorder="1" applyAlignment="1">
      <alignment horizontal="center" vertical="center" wrapText="1"/>
      <protection locked="0"/>
    </xf>
    <xf numFmtId="0" fontId="26" fillId="0" borderId="0" xfId="0" applyFont="1" applyBorder="1" applyAlignment="1">
      <alignment vertical="center"/>
      <protection locked="0"/>
    </xf>
    <xf numFmtId="0" fontId="27" fillId="0" borderId="0" xfId="0" applyFont="1" applyAlignment="1">
      <alignment horizontal="justify" vertical="center"/>
      <protection locked="0"/>
    </xf>
    <xf numFmtId="0" fontId="25" fillId="7" borderId="4" xfId="35" applyFont="1" applyFill="1" applyBorder="1" applyAlignment="1">
      <alignment horizontal="center" vertical="center" wrapText="1"/>
    </xf>
    <xf numFmtId="14" fontId="28" fillId="0" borderId="4" xfId="36" applyNumberFormat="1" applyFont="1" applyFill="1" applyBorder="1" applyAlignment="1">
      <alignment vertical="center"/>
    </xf>
    <xf numFmtId="0" fontId="15" fillId="0" borderId="13" xfId="33" applyNumberFormat="1" applyFont="1" applyFill="1" applyBorder="1" applyAlignment="1">
      <alignment horizontal="left" vertical="center"/>
    </xf>
    <xf numFmtId="0" fontId="28" fillId="0" borderId="13" xfId="33" applyNumberFormat="1" applyFont="1" applyFill="1" applyBorder="1" applyAlignment="1">
      <alignment horizontal="left" vertical="center"/>
    </xf>
    <xf numFmtId="192" fontId="25" fillId="7" borderId="15" xfId="37" applyNumberFormat="1" applyFont="1" applyFill="1" applyBorder="1" applyAlignment="1" applyProtection="1">
      <alignment horizontal="center" vertical="center"/>
      <protection locked="0"/>
    </xf>
    <xf numFmtId="192" fontId="32" fillId="7" borderId="15" xfId="37" applyNumberFormat="1" applyFont="1" applyFill="1" applyBorder="1" applyAlignment="1" applyProtection="1">
      <alignment horizontal="center" vertical="center" wrapText="1"/>
      <protection locked="0"/>
    </xf>
    <xf numFmtId="184" fontId="28" fillId="0" borderId="15" xfId="0" applyNumberFormat="1" applyFont="1" applyFill="1" applyBorder="1" applyAlignment="1">
      <alignment horizontal="center" vertical="center" wrapText="1"/>
      <protection locked="0"/>
    </xf>
    <xf numFmtId="9" fontId="31" fillId="0" borderId="0" xfId="31" applyNumberFormat="1" applyFont="1" applyBorder="1" applyAlignment="1">
      <alignment vertical="center"/>
    </xf>
    <xf numFmtId="184" fontId="25" fillId="7" borderId="15" xfId="0" applyNumberFormat="1" applyFont="1" applyFill="1" applyBorder="1" applyAlignment="1">
      <alignment horizontal="center" vertical="center" wrapText="1"/>
      <protection locked="0"/>
    </xf>
    <xf numFmtId="192" fontId="4" fillId="0" borderId="0" xfId="38" applyFont="1" applyFill="1" applyAlignment="1">
      <alignment vertical="center"/>
    </xf>
    <xf numFmtId="49" fontId="43" fillId="0" borderId="0" xfId="38" applyNumberFormat="1" applyFont="1" applyFill="1" applyAlignment="1">
      <alignment horizontal="left" vertical="center"/>
    </xf>
    <xf numFmtId="192" fontId="13" fillId="0" borderId="13" xfId="39" applyFont="1" applyFill="1" applyBorder="1" applyAlignment="1">
      <alignment horizontal="left" vertical="center" wrapText="1"/>
      <protection locked="0"/>
    </xf>
    <xf numFmtId="192" fontId="44" fillId="0" borderId="13" xfId="39" applyFont="1" applyFill="1" applyBorder="1" applyAlignment="1" applyProtection="1">
      <alignment horizontal="center" vertical="center" wrapText="1"/>
    </xf>
    <xf numFmtId="192" fontId="43" fillId="0" borderId="0" xfId="38" applyFont="1" applyFill="1" applyAlignment="1">
      <alignment vertical="center"/>
    </xf>
    <xf numFmtId="192" fontId="4" fillId="0" borderId="0" xfId="39" applyFont="1" applyFill="1" applyAlignment="1">
      <alignment vertical="center"/>
      <protection locked="0"/>
    </xf>
    <xf numFmtId="192" fontId="43" fillId="0" borderId="0" xfId="39" applyFont="1" applyFill="1" applyAlignment="1">
      <alignment horizontal="justify" vertical="center"/>
      <protection locked="0"/>
    </xf>
    <xf numFmtId="192" fontId="4" fillId="0" borderId="0" xfId="40" applyFont="1" applyFill="1" applyAlignment="1">
      <alignment vertical="center"/>
    </xf>
    <xf numFmtId="43" fontId="29" fillId="0" borderId="0" xfId="33" applyFont="1" applyBorder="1" applyAlignment="1" applyProtection="1">
      <alignment horizontal="center" vertical="center"/>
    </xf>
    <xf numFmtId="192" fontId="20" fillId="7" borderId="36" xfId="233" applyFont="1" applyFill="1" applyBorder="1" applyAlignment="1" applyProtection="1">
      <alignment vertical="center"/>
    </xf>
    <xf numFmtId="192" fontId="16" fillId="7" borderId="36" xfId="248" applyFont="1" applyFill="1" applyBorder="1" applyAlignment="1" applyProtection="1">
      <alignment horizontal="center" vertical="center" wrapText="1"/>
      <protection locked="0"/>
    </xf>
    <xf numFmtId="192" fontId="99" fillId="7" borderId="36" xfId="248" applyFont="1" applyFill="1" applyBorder="1" applyAlignment="1" applyProtection="1">
      <alignment horizontal="center" vertical="center" wrapText="1"/>
      <protection locked="0"/>
    </xf>
    <xf numFmtId="0" fontId="25" fillId="0" borderId="0" xfId="28" applyFont="1" applyBorder="1" applyAlignment="1">
      <alignment vertical="center"/>
    </xf>
    <xf numFmtId="192" fontId="8" fillId="0" borderId="0" xfId="233" applyAlignment="1">
      <protection locked="0"/>
    </xf>
    <xf numFmtId="0" fontId="13" fillId="0" borderId="0" xfId="0" applyFont="1" applyBorder="1" applyAlignment="1">
      <alignment vertical="center"/>
      <protection locked="0"/>
    </xf>
    <xf numFmtId="0" fontId="13" fillId="0" borderId="0" xfId="0" applyFont="1" applyBorder="1" applyAlignment="1">
      <alignment horizontal="left" vertical="center"/>
      <protection locked="0"/>
    </xf>
    <xf numFmtId="0" fontId="13" fillId="0" borderId="0" xfId="0" applyFont="1" applyAlignment="1">
      <alignment vertical="center"/>
      <protection locked="0"/>
    </xf>
    <xf numFmtId="0" fontId="102" fillId="0" borderId="0" xfId="0" applyFont="1" applyAlignment="1">
      <alignment horizontal="center" vertical="center"/>
      <protection locked="0"/>
    </xf>
    <xf numFmtId="0" fontId="103" fillId="7" borderId="3" xfId="0" applyFont="1" applyFill="1" applyBorder="1" applyAlignment="1">
      <alignment horizontal="center" vertical="center" wrapText="1"/>
      <protection locked="0"/>
    </xf>
    <xf numFmtId="0" fontId="104" fillId="0" borderId="0" xfId="0" applyFont="1">
      <protection locked="0"/>
    </xf>
    <xf numFmtId="43" fontId="105" fillId="7" borderId="16" xfId="33" applyFont="1" applyFill="1" applyBorder="1" applyAlignment="1">
      <alignment horizontal="center" vertical="center" shrinkToFit="1"/>
    </xf>
    <xf numFmtId="0" fontId="104" fillId="0" borderId="0" xfId="0" applyFont="1" applyBorder="1" applyAlignment="1">
      <alignment horizontal="left" vertical="center"/>
      <protection locked="0"/>
    </xf>
    <xf numFmtId="0" fontId="104" fillId="0" borderId="0" xfId="0" applyFont="1" applyBorder="1" applyAlignment="1">
      <alignment vertical="center"/>
      <protection locked="0"/>
    </xf>
    <xf numFmtId="0" fontId="104" fillId="0" borderId="0" xfId="0" applyFont="1" applyAlignment="1">
      <alignment vertical="center"/>
      <protection locked="0"/>
    </xf>
    <xf numFmtId="0" fontId="104" fillId="0" borderId="0" xfId="0" applyFont="1" applyAlignment="1">
      <alignment horizontal="justify" vertical="center"/>
      <protection locked="0"/>
    </xf>
    <xf numFmtId="0" fontId="107" fillId="0" borderId="8" xfId="0" applyFont="1" applyBorder="1" applyAlignment="1">
      <alignment horizontal="justify" vertical="center" wrapText="1"/>
      <protection locked="0"/>
    </xf>
    <xf numFmtId="0" fontId="107" fillId="0" borderId="8" xfId="0" applyFont="1" applyBorder="1" applyAlignment="1">
      <alignment horizontal="right" vertical="center" wrapText="1"/>
      <protection locked="0"/>
    </xf>
    <xf numFmtId="0" fontId="108" fillId="0" borderId="0" xfId="0" applyFont="1" applyAlignment="1">
      <alignment horizontal="justify" vertical="center" wrapText="1"/>
      <protection locked="0"/>
    </xf>
    <xf numFmtId="43" fontId="108" fillId="0" borderId="0" xfId="0" applyNumberFormat="1" applyFont="1" applyAlignment="1">
      <alignment horizontal="right" vertical="center" wrapText="1"/>
      <protection locked="0"/>
    </xf>
    <xf numFmtId="0" fontId="108" fillId="0" borderId="0" xfId="0" applyFont="1" applyAlignment="1">
      <alignment horizontal="left" vertical="center" wrapText="1"/>
      <protection locked="0"/>
    </xf>
    <xf numFmtId="43" fontId="108" fillId="0" borderId="0" xfId="0" applyNumberFormat="1" applyFont="1" applyBorder="1" applyAlignment="1">
      <alignment horizontal="justify" vertical="center" wrapText="1"/>
      <protection locked="0"/>
    </xf>
    <xf numFmtId="0" fontId="104" fillId="0" borderId="0" xfId="0" applyFont="1" applyBorder="1" applyAlignment="1">
      <alignment horizontal="left" vertical="center" wrapText="1"/>
      <protection locked="0"/>
    </xf>
    <xf numFmtId="43" fontId="108" fillId="0" borderId="9" xfId="0" applyNumberFormat="1" applyFont="1" applyBorder="1" applyAlignment="1">
      <alignment horizontal="justify" vertical="center" wrapText="1"/>
      <protection locked="0"/>
    </xf>
    <xf numFmtId="0" fontId="105" fillId="0" borderId="9" xfId="0" applyFont="1" applyBorder="1" applyAlignment="1">
      <alignment horizontal="justify" vertical="center" wrapText="1"/>
      <protection locked="0"/>
    </xf>
    <xf numFmtId="0" fontId="105" fillId="0" borderId="8" xfId="0" applyFont="1" applyBorder="1" applyAlignment="1">
      <alignment horizontal="right" vertical="center" wrapText="1"/>
      <protection locked="0"/>
    </xf>
    <xf numFmtId="0" fontId="104" fillId="0" borderId="0" xfId="0" applyFont="1" applyAlignment="1" applyProtection="1">
      <alignment horizontal="left" vertical="center"/>
    </xf>
    <xf numFmtId="0" fontId="105" fillId="0" borderId="8" xfId="0" applyFont="1" applyBorder="1" applyAlignment="1">
      <alignment horizontal="center" vertical="center" wrapText="1"/>
      <protection locked="0"/>
    </xf>
    <xf numFmtId="43" fontId="104" fillId="0" borderId="0" xfId="0" applyNumberFormat="1" applyFont="1" applyAlignment="1">
      <alignment horizontal="justify" vertical="center" wrapText="1"/>
      <protection locked="0"/>
    </xf>
    <xf numFmtId="43" fontId="105" fillId="0" borderId="8" xfId="0" applyNumberFormat="1" applyFont="1" applyBorder="1" applyAlignment="1">
      <alignment horizontal="justify" vertical="center" wrapText="1"/>
      <protection locked="0"/>
    </xf>
    <xf numFmtId="43" fontId="109" fillId="0" borderId="0" xfId="0" applyNumberFormat="1" applyFont="1" applyAlignment="1" applyProtection="1">
      <alignment horizontal="left" vertical="center"/>
    </xf>
    <xf numFmtId="43" fontId="110" fillId="0" borderId="37" xfId="0" applyNumberFormat="1" applyFont="1" applyBorder="1" applyAlignment="1" applyProtection="1">
      <alignment horizontal="justify" vertical="center" wrapText="1"/>
    </xf>
    <xf numFmtId="43" fontId="110" fillId="0" borderId="37" xfId="0" applyNumberFormat="1" applyFont="1" applyBorder="1" applyAlignment="1" applyProtection="1">
      <alignment horizontal="right" vertical="center" wrapText="1"/>
    </xf>
    <xf numFmtId="43" fontId="109" fillId="0" borderId="37" xfId="0" applyNumberFormat="1" applyFont="1" applyBorder="1" applyAlignment="1" applyProtection="1">
      <alignment horizontal="right" vertical="center" wrapText="1"/>
    </xf>
    <xf numFmtId="43" fontId="111" fillId="0" borderId="37" xfId="0" applyNumberFormat="1" applyFont="1" applyBorder="1" applyAlignment="1" applyProtection="1">
      <alignment horizontal="right" vertical="center" wrapText="1"/>
    </xf>
    <xf numFmtId="43" fontId="109" fillId="0" borderId="0" xfId="0" applyNumberFormat="1" applyFont="1" applyAlignment="1" applyProtection="1">
      <alignment horizontal="right" vertical="center" wrapText="1"/>
    </xf>
    <xf numFmtId="43" fontId="111" fillId="0" borderId="0" xfId="0" applyNumberFormat="1" applyFont="1" applyAlignment="1" applyProtection="1">
      <alignment horizontal="right" vertical="center" wrapText="1"/>
    </xf>
    <xf numFmtId="43" fontId="109" fillId="0" borderId="9" xfId="0" applyNumberFormat="1" applyFont="1" applyBorder="1" applyAlignment="1" applyProtection="1">
      <alignment horizontal="right" vertical="center" wrapText="1"/>
    </xf>
    <xf numFmtId="43" fontId="110" fillId="0" borderId="9" xfId="0" applyNumberFormat="1" applyFont="1" applyBorder="1" applyAlignment="1" applyProtection="1">
      <alignment horizontal="left" vertical="center" wrapText="1"/>
    </xf>
    <xf numFmtId="43" fontId="110" fillId="0" borderId="9" xfId="0" applyNumberFormat="1" applyFont="1" applyBorder="1" applyAlignment="1" applyProtection="1">
      <alignment horizontal="right" vertical="center" wrapText="1"/>
    </xf>
    <xf numFmtId="0" fontId="104" fillId="0" borderId="0" xfId="0" applyFont="1" applyAlignment="1">
      <alignment horizontal="left" vertical="center"/>
      <protection locked="0"/>
    </xf>
    <xf numFmtId="0" fontId="106" fillId="0" borderId="0" xfId="0" applyFont="1" applyAlignment="1">
      <alignment vertical="center"/>
      <protection locked="0"/>
    </xf>
    <xf numFmtId="192" fontId="28" fillId="0" borderId="0" xfId="39" applyFont="1" applyFill="1" applyBorder="1" applyAlignment="1">
      <alignment vertical="center"/>
      <protection locked="0"/>
    </xf>
    <xf numFmtId="0" fontId="28" fillId="0" borderId="2" xfId="299" applyFont="1" applyBorder="1" applyAlignment="1">
      <alignment vertical="center"/>
      <protection locked="0"/>
    </xf>
    <xf numFmtId="43" fontId="28" fillId="33" borderId="13" xfId="33" applyFont="1" applyFill="1" applyBorder="1" applyAlignment="1">
      <alignment horizontal="center" vertical="center"/>
    </xf>
    <xf numFmtId="43" fontId="28" fillId="33" borderId="15" xfId="33" applyFont="1" applyFill="1" applyBorder="1" applyAlignment="1">
      <alignment horizontal="right" vertical="center" wrapText="1"/>
    </xf>
    <xf numFmtId="10" fontId="28" fillId="33" borderId="15" xfId="26" applyNumberFormat="1" applyFont="1" applyFill="1" applyBorder="1" applyAlignment="1">
      <alignment horizontal="right" vertical="center" wrapText="1"/>
    </xf>
    <xf numFmtId="0" fontId="28" fillId="0" borderId="0" xfId="31" applyNumberFormat="1" applyFont="1" applyBorder="1" applyAlignment="1">
      <alignment horizontal="left" vertical="center"/>
    </xf>
    <xf numFmtId="0" fontId="13" fillId="0" borderId="0" xfId="0" applyFont="1" applyBorder="1" applyAlignment="1">
      <alignment horizontal="right" vertical="center"/>
      <protection locked="0"/>
    </xf>
    <xf numFmtId="43" fontId="25" fillId="0" borderId="8" xfId="0" applyNumberFormat="1" applyFont="1" applyBorder="1" applyAlignment="1">
      <alignment horizontal="right" vertical="center" wrapText="1"/>
      <protection locked="0"/>
    </xf>
    <xf numFmtId="43" fontId="32" fillId="33" borderId="3" xfId="33" applyFont="1" applyFill="1" applyBorder="1" applyAlignment="1">
      <alignment horizontal="right" vertical="center"/>
    </xf>
    <xf numFmtId="43" fontId="33" fillId="33" borderId="3" xfId="33" applyFont="1" applyFill="1" applyBorder="1" applyAlignment="1">
      <alignment horizontal="right" vertical="center"/>
    </xf>
    <xf numFmtId="49" fontId="28" fillId="0" borderId="0" xfId="31" applyNumberFormat="1" applyFont="1" applyBorder="1" applyAlignment="1">
      <alignment horizontal="left" vertical="center"/>
    </xf>
    <xf numFmtId="43" fontId="28" fillId="33" borderId="3" xfId="36" applyFont="1" applyFill="1" applyBorder="1" applyAlignment="1">
      <alignment vertical="center"/>
    </xf>
    <xf numFmtId="14" fontId="28" fillId="33" borderId="3" xfId="33" applyNumberFormat="1" applyFont="1" applyFill="1" applyBorder="1" applyAlignment="1">
      <alignment horizontal="right" vertical="center" wrapText="1"/>
    </xf>
    <xf numFmtId="195" fontId="28" fillId="33" borderId="3" xfId="33" applyNumberFormat="1" applyFont="1" applyFill="1" applyBorder="1" applyAlignment="1">
      <alignment horizontal="right" vertical="center" wrapText="1"/>
    </xf>
    <xf numFmtId="0" fontId="112" fillId="0" borderId="2" xfId="32" applyFont="1" applyBorder="1" applyAlignment="1">
      <alignment vertical="center"/>
      <protection locked="0"/>
    </xf>
    <xf numFmtId="0" fontId="112" fillId="0" borderId="0" xfId="32" applyFont="1" applyBorder="1" applyAlignment="1">
      <alignment vertical="center"/>
      <protection locked="0"/>
    </xf>
    <xf numFmtId="43" fontId="28" fillId="0" borderId="0" xfId="31" applyNumberFormat="1" applyFont="1" applyBorder="1" applyAlignment="1">
      <alignment horizontal="right" vertical="center"/>
    </xf>
    <xf numFmtId="192" fontId="28" fillId="0" borderId="0" xfId="39" applyFont="1" applyFill="1" applyAlignment="1">
      <alignment vertical="center"/>
      <protection locked="0"/>
    </xf>
    <xf numFmtId="192" fontId="28" fillId="0" borderId="0" xfId="39" applyFont="1" applyFill="1" applyBorder="1" applyAlignment="1">
      <alignment horizontal="right" vertical="center"/>
      <protection locked="0"/>
    </xf>
    <xf numFmtId="192" fontId="28" fillId="0" borderId="0" xfId="39" applyFont="1" applyFill="1" applyBorder="1" applyAlignment="1">
      <alignment horizontal="left" vertical="center"/>
      <protection locked="0"/>
    </xf>
    <xf numFmtId="0" fontId="16" fillId="7" borderId="3" xfId="35" applyFont="1" applyFill="1" applyBorder="1" applyAlignment="1">
      <alignment horizontal="center" vertical="center" wrapText="1"/>
    </xf>
    <xf numFmtId="43" fontId="28" fillId="33" borderId="3" xfId="33" applyFont="1" applyFill="1" applyBorder="1" applyAlignment="1">
      <alignment horizontal="right" vertical="center" wrapText="1"/>
    </xf>
    <xf numFmtId="43" fontId="26" fillId="0" borderId="0" xfId="33" applyFont="1" applyProtection="1">
      <protection locked="0"/>
    </xf>
    <xf numFmtId="49" fontId="16" fillId="0" borderId="0" xfId="242" applyNumberFormat="1" applyFont="1" applyBorder="1" applyAlignment="1">
      <alignment horizontal="left" vertical="center"/>
      <protection locked="0"/>
    </xf>
    <xf numFmtId="0" fontId="25" fillId="0" borderId="0" xfId="237" applyFont="1" applyBorder="1" applyAlignment="1">
      <alignment horizontal="left" vertical="center"/>
      <protection locked="0"/>
    </xf>
    <xf numFmtId="0" fontId="25" fillId="0" borderId="0" xfId="237" applyFont="1" applyBorder="1" applyAlignment="1">
      <alignment horizontal="justify" vertical="center"/>
      <protection locked="0"/>
    </xf>
    <xf numFmtId="192" fontId="4" fillId="0" borderId="0" xfId="39" applyFont="1" applyFill="1" applyBorder="1" applyAlignment="1">
      <alignment vertical="center" wrapText="1"/>
      <protection locked="0"/>
    </xf>
    <xf numFmtId="0" fontId="16" fillId="7" borderId="36" xfId="259" applyFont="1" applyFill="1" applyBorder="1" applyAlignment="1" applyProtection="1">
      <alignment horizontal="center" vertical="center"/>
      <protection locked="0"/>
    </xf>
    <xf numFmtId="0" fontId="16" fillId="7" borderId="36" xfId="259" applyFont="1" applyFill="1" applyBorder="1" applyAlignment="1" applyProtection="1">
      <alignment horizontal="center" vertical="center" wrapText="1"/>
      <protection locked="0"/>
    </xf>
    <xf numFmtId="0" fontId="45" fillId="0" borderId="13" xfId="0" applyFont="1" applyFill="1" applyBorder="1" applyAlignment="1" applyProtection="1">
      <alignment vertical="center" wrapText="1"/>
    </xf>
    <xf numFmtId="192" fontId="4" fillId="0" borderId="36" xfId="39" applyFont="1" applyFill="1" applyBorder="1" applyAlignment="1">
      <alignment vertical="center" wrapText="1"/>
      <protection locked="0"/>
    </xf>
    <xf numFmtId="0" fontId="13" fillId="0" borderId="36" xfId="259" applyFont="1" applyFill="1" applyBorder="1" applyAlignment="1" applyProtection="1">
      <alignment horizontal="center" vertical="center"/>
      <protection locked="0"/>
    </xf>
    <xf numFmtId="0" fontId="13" fillId="0" borderId="36" xfId="242" applyFont="1" applyFill="1" applyBorder="1" applyAlignment="1">
      <alignment horizontal="left" vertical="center" wrapText="1"/>
      <protection locked="0"/>
    </xf>
    <xf numFmtId="0" fontId="13" fillId="0" borderId="40" xfId="242" applyFont="1" applyFill="1" applyBorder="1" applyAlignment="1">
      <alignment horizontal="center" vertical="center" wrapText="1" shrinkToFit="1"/>
      <protection locked="0"/>
    </xf>
    <xf numFmtId="0" fontId="113" fillId="0" borderId="36" xfId="259" applyFont="1" applyFill="1" applyBorder="1" applyAlignment="1">
      <alignment horizontal="center" vertical="center" wrapText="1"/>
    </xf>
    <xf numFmtId="0" fontId="45" fillId="0" borderId="36" xfId="259" applyFont="1" applyFill="1" applyBorder="1" applyAlignment="1">
      <alignment horizontal="center" vertical="center" wrapText="1"/>
    </xf>
    <xf numFmtId="0" fontId="16" fillId="0" borderId="36" xfId="259" applyFont="1" applyFill="1" applyBorder="1" applyAlignment="1" applyProtection="1">
      <alignment horizontal="center" vertical="center"/>
      <protection locked="0"/>
    </xf>
    <xf numFmtId="0" fontId="13" fillId="0" borderId="36" xfId="259" applyFont="1" applyFill="1" applyBorder="1" applyAlignment="1" applyProtection="1">
      <alignment horizontal="center" vertical="center" wrapText="1"/>
      <protection locked="0"/>
    </xf>
    <xf numFmtId="0" fontId="33" fillId="0" borderId="36" xfId="242" applyFont="1" applyBorder="1" applyAlignment="1" applyProtection="1">
      <alignment vertical="center"/>
    </xf>
    <xf numFmtId="0" fontId="47" fillId="0" borderId="36" xfId="259" applyFont="1" applyFill="1" applyBorder="1" applyAlignment="1">
      <alignment horizontal="center" vertical="center" wrapText="1"/>
    </xf>
    <xf numFmtId="192" fontId="28" fillId="0" borderId="13" xfId="39" applyFont="1" applyFill="1" applyBorder="1" applyAlignment="1">
      <alignment horizontal="center" vertical="center" wrapText="1"/>
      <protection locked="0"/>
    </xf>
    <xf numFmtId="192" fontId="28" fillId="0" borderId="36" xfId="39" applyFont="1" applyFill="1" applyBorder="1" applyAlignment="1">
      <alignment horizontal="center" vertical="center" wrapText="1"/>
      <protection locked="0"/>
    </xf>
    <xf numFmtId="192" fontId="28" fillId="0" borderId="36" xfId="302" applyFont="1" applyBorder="1" applyAlignment="1">
      <alignment horizontal="left" vertical="center" wrapText="1"/>
      <protection locked="0"/>
    </xf>
    <xf numFmtId="192" fontId="13" fillId="0" borderId="36" xfId="302" applyFont="1" applyBorder="1" applyAlignment="1">
      <alignment horizontal="center" vertical="center" wrapText="1"/>
      <protection locked="0"/>
    </xf>
    <xf numFmtId="0" fontId="28" fillId="0" borderId="41" xfId="237" applyFont="1" applyFill="1" applyBorder="1" applyAlignment="1">
      <alignment vertical="center" wrapText="1"/>
      <protection locked="0"/>
    </xf>
    <xf numFmtId="0" fontId="28" fillId="0" borderId="0" xfId="242" applyFont="1" applyFill="1" applyBorder="1" applyAlignment="1">
      <alignment vertical="center"/>
      <protection locked="0"/>
    </xf>
    <xf numFmtId="0" fontId="16" fillId="0" borderId="0" xfId="0" applyFont="1" applyBorder="1" applyAlignment="1">
      <alignment vertical="center"/>
      <protection locked="0"/>
    </xf>
    <xf numFmtId="192" fontId="28" fillId="0" borderId="0" xfId="303" applyFont="1" applyAlignment="1">
      <alignment horizontal="left" vertical="center"/>
    </xf>
    <xf numFmtId="192" fontId="16" fillId="0" borderId="0" xfId="303" applyFont="1" applyAlignment="1">
      <alignment horizontal="left" vertical="center" wrapText="1"/>
    </xf>
    <xf numFmtId="0" fontId="16" fillId="0" borderId="0" xfId="30" applyFont="1" applyBorder="1" applyAlignment="1">
      <alignment vertical="center"/>
    </xf>
    <xf numFmtId="192" fontId="13" fillId="0" borderId="36" xfId="302" applyFont="1" applyFill="1" applyBorder="1" applyAlignment="1">
      <alignment horizontal="left" vertical="center" wrapText="1"/>
      <protection locked="0"/>
    </xf>
    <xf numFmtId="0" fontId="104" fillId="0" borderId="0" xfId="0" applyFont="1" applyBorder="1" applyAlignment="1">
      <alignment horizontal="right" vertical="center"/>
      <protection locked="0"/>
    </xf>
    <xf numFmtId="184" fontId="28" fillId="0" borderId="3" xfId="0" applyNumberFormat="1" applyFont="1" applyFill="1" applyBorder="1" applyAlignment="1">
      <alignment horizontal="left" vertical="center" wrapText="1"/>
      <protection locked="0"/>
    </xf>
    <xf numFmtId="43" fontId="28" fillId="33" borderId="16" xfId="33" applyFont="1" applyFill="1" applyBorder="1" applyAlignment="1">
      <alignment vertical="center" shrinkToFit="1"/>
    </xf>
    <xf numFmtId="0" fontId="28" fillId="0" borderId="0" xfId="0" applyFont="1" applyAlignment="1">
      <alignment horizontal="right" vertical="center"/>
      <protection locked="0"/>
    </xf>
    <xf numFmtId="14" fontId="28" fillId="0" borderId="3" xfId="36" applyNumberFormat="1" applyFont="1" applyFill="1" applyBorder="1" applyAlignment="1">
      <alignment horizontal="center" vertical="center"/>
    </xf>
    <xf numFmtId="43" fontId="28" fillId="0" borderId="3" xfId="33" applyFont="1" applyFill="1" applyBorder="1" applyAlignment="1">
      <alignment horizontal="center" vertical="center"/>
    </xf>
    <xf numFmtId="192" fontId="33" fillId="0" borderId="36" xfId="233" applyFont="1" applyFill="1" applyBorder="1" applyAlignment="1" applyProtection="1">
      <alignment vertical="center"/>
    </xf>
    <xf numFmtId="43" fontId="33" fillId="0" borderId="36" xfId="33" applyFont="1" applyFill="1" applyBorder="1" applyAlignment="1" applyProtection="1">
      <alignment vertical="center"/>
    </xf>
    <xf numFmtId="192" fontId="33" fillId="0" borderId="36" xfId="233" applyFont="1" applyFill="1" applyBorder="1" applyAlignment="1" applyProtection="1">
      <alignment horizontal="center" vertical="center"/>
    </xf>
    <xf numFmtId="0" fontId="28" fillId="0" borderId="2" xfId="299" applyFont="1" applyBorder="1" applyAlignment="1">
      <alignment horizontal="center" vertical="center"/>
      <protection locked="0"/>
    </xf>
    <xf numFmtId="0" fontId="32" fillId="0" borderId="2" xfId="0" applyFont="1" applyBorder="1" applyAlignment="1" applyProtection="1">
      <alignment horizontal="center" vertical="center"/>
    </xf>
    <xf numFmtId="43" fontId="28" fillId="0" borderId="0" xfId="33" applyFont="1" applyBorder="1" applyAlignment="1" applyProtection="1">
      <alignment horizontal="left" vertical="center"/>
      <protection locked="0"/>
    </xf>
    <xf numFmtId="43" fontId="28" fillId="0" borderId="0" xfId="33" applyFont="1" applyBorder="1" applyAlignment="1" applyProtection="1">
      <alignment vertical="center"/>
      <protection locked="0"/>
    </xf>
    <xf numFmtId="0" fontId="116" fillId="34" borderId="0" xfId="259" applyFont="1" applyFill="1" applyAlignment="1" applyProtection="1">
      <alignment horizontal="left" vertical="top" wrapText="1"/>
      <protection locked="0"/>
    </xf>
    <xf numFmtId="0" fontId="116" fillId="34" borderId="0" xfId="259" applyFont="1" applyFill="1" applyAlignment="1" applyProtection="1">
      <alignment horizontal="left" vertical="center" wrapText="1"/>
      <protection locked="0"/>
    </xf>
    <xf numFmtId="0" fontId="121" fillId="0" borderId="0" xfId="0" applyFont="1" applyAlignment="1" applyProtection="1">
      <alignment vertical="center"/>
    </xf>
    <xf numFmtId="192" fontId="4" fillId="0" borderId="36" xfId="39" applyFont="1" applyFill="1" applyBorder="1" applyAlignment="1" applyProtection="1">
      <alignment horizontal="center" vertical="center" wrapText="1"/>
    </xf>
    <xf numFmtId="0" fontId="122" fillId="0" borderId="0" xfId="0" applyFont="1" applyFill="1" applyBorder="1" applyAlignment="1">
      <alignment vertical="center"/>
      <protection locked="0"/>
    </xf>
    <xf numFmtId="0" fontId="122" fillId="0" borderId="0" xfId="0" applyFont="1">
      <protection locked="0"/>
    </xf>
    <xf numFmtId="0" fontId="122" fillId="0" borderId="0" xfId="0" applyFont="1" applyBorder="1" applyAlignment="1">
      <alignment horizontal="left" vertical="center"/>
      <protection locked="0"/>
    </xf>
    <xf numFmtId="0" fontId="122" fillId="0" borderId="0" xfId="0" applyFont="1" applyBorder="1" applyAlignment="1">
      <alignment vertical="center"/>
      <protection locked="0"/>
    </xf>
    <xf numFmtId="0" fontId="115" fillId="0" borderId="0" xfId="0" applyFont="1" applyBorder="1" applyAlignment="1">
      <alignment vertical="center"/>
      <protection locked="0"/>
    </xf>
    <xf numFmtId="43" fontId="35" fillId="0" borderId="0" xfId="31" applyNumberFormat="1" applyFont="1" applyBorder="1" applyAlignment="1">
      <alignment vertical="center"/>
    </xf>
    <xf numFmtId="43" fontId="31" fillId="0" borderId="0" xfId="31" applyNumberFormat="1" applyFont="1" applyBorder="1" applyAlignment="1">
      <alignment horizontal="right" vertical="center"/>
    </xf>
    <xf numFmtId="43" fontId="123" fillId="0" borderId="0" xfId="31" applyNumberFormat="1" applyFont="1" applyBorder="1" applyAlignment="1">
      <alignment vertical="center"/>
    </xf>
    <xf numFmtId="192" fontId="28" fillId="0" borderId="36" xfId="302" applyFont="1" applyBorder="1" applyAlignment="1">
      <alignment vertical="center"/>
      <protection locked="0"/>
    </xf>
    <xf numFmtId="14" fontId="28" fillId="0" borderId="36" xfId="302" applyNumberFormat="1" applyFont="1" applyBorder="1" applyAlignment="1">
      <alignment horizontal="center" vertical="center"/>
      <protection locked="0"/>
    </xf>
    <xf numFmtId="49" fontId="28" fillId="0" borderId="36" xfId="302" applyNumberFormat="1" applyFont="1" applyBorder="1" applyAlignment="1">
      <alignment horizontal="center" vertical="center"/>
      <protection locked="0"/>
    </xf>
    <xf numFmtId="43" fontId="28" fillId="0" borderId="36" xfId="305" applyFont="1" applyBorder="1" applyAlignment="1" applyProtection="1">
      <alignment vertical="center"/>
      <protection locked="0"/>
    </xf>
    <xf numFmtId="49" fontId="28" fillId="0" borderId="36" xfId="302" applyNumberFormat="1" applyFont="1" applyBorder="1" applyAlignment="1">
      <alignment vertical="center"/>
      <protection locked="0"/>
    </xf>
    <xf numFmtId="192" fontId="13" fillId="7" borderId="36" xfId="302" applyFont="1" applyFill="1" applyBorder="1" applyAlignment="1">
      <alignment vertical="center"/>
      <protection locked="0"/>
    </xf>
    <xf numFmtId="43" fontId="25" fillId="7" borderId="36" xfId="305" applyFont="1" applyFill="1" applyBorder="1" applyAlignment="1" applyProtection="1">
      <alignment vertical="center"/>
      <protection locked="0"/>
    </xf>
    <xf numFmtId="192" fontId="16" fillId="7" borderId="36" xfId="302" applyFont="1" applyFill="1" applyBorder="1" applyAlignment="1">
      <alignment vertical="center"/>
      <protection locked="0"/>
    </xf>
    <xf numFmtId="0" fontId="122" fillId="0" borderId="0" xfId="0" applyFont="1" applyFill="1" applyBorder="1" applyAlignment="1">
      <alignment horizontal="left" vertical="center"/>
      <protection locked="0"/>
    </xf>
    <xf numFmtId="0" fontId="28" fillId="0" borderId="36" xfId="242" applyFont="1" applyFill="1" applyBorder="1" applyAlignment="1">
      <alignment horizontal="left" vertical="center" wrapText="1"/>
      <protection locked="0"/>
    </xf>
    <xf numFmtId="49" fontId="28" fillId="0" borderId="13" xfId="38" applyNumberFormat="1" applyFont="1" applyFill="1" applyBorder="1" applyAlignment="1">
      <alignment horizontal="center" vertical="center"/>
    </xf>
    <xf numFmtId="0" fontId="45" fillId="0" borderId="36" xfId="0" applyFont="1" applyFill="1" applyBorder="1" applyAlignment="1" applyProtection="1">
      <alignment vertical="center" wrapText="1"/>
    </xf>
    <xf numFmtId="192" fontId="13" fillId="0" borderId="36" xfId="302" applyFont="1" applyBorder="1" applyAlignment="1">
      <alignment horizontal="left" vertical="center" wrapText="1"/>
      <protection locked="0"/>
    </xf>
    <xf numFmtId="43" fontId="28" fillId="0" borderId="13" xfId="33" applyFont="1" applyFill="1" applyBorder="1" applyAlignment="1">
      <alignment horizontal="center" vertical="center"/>
    </xf>
    <xf numFmtId="0" fontId="33" fillId="5" borderId="3" xfId="0" applyFont="1" applyFill="1" applyBorder="1" applyAlignment="1">
      <alignment horizontal="center" vertical="center"/>
      <protection locked="0"/>
    </xf>
    <xf numFmtId="192" fontId="20" fillId="7" borderId="36" xfId="233" applyFont="1" applyFill="1" applyBorder="1" applyAlignment="1" applyProtection="1">
      <alignment vertical="center" wrapText="1"/>
    </xf>
    <xf numFmtId="14" fontId="25" fillId="7" borderId="13" xfId="35" applyNumberFormat="1" applyFont="1" applyFill="1" applyBorder="1" applyAlignment="1">
      <alignment horizontal="center" vertical="center" wrapText="1"/>
    </xf>
    <xf numFmtId="43" fontId="25" fillId="7" borderId="13" xfId="36" applyFont="1" applyFill="1" applyBorder="1" applyAlignment="1">
      <alignment vertical="center"/>
    </xf>
    <xf numFmtId="43" fontId="25" fillId="7" borderId="3" xfId="36" applyFont="1" applyFill="1" applyBorder="1" applyAlignment="1">
      <alignment vertical="center"/>
    </xf>
    <xf numFmtId="14" fontId="25" fillId="7" borderId="3" xfId="36" applyNumberFormat="1" applyFont="1" applyFill="1" applyBorder="1" applyAlignment="1">
      <alignment vertical="center"/>
    </xf>
    <xf numFmtId="0" fontId="25" fillId="7" borderId="3" xfId="36" applyNumberFormat="1" applyFont="1" applyFill="1" applyBorder="1" applyAlignment="1">
      <alignment vertical="center"/>
    </xf>
    <xf numFmtId="43" fontId="25" fillId="7" borderId="3" xfId="33" applyFont="1" applyFill="1" applyBorder="1" applyAlignment="1">
      <alignment vertical="center"/>
    </xf>
    <xf numFmtId="0" fontId="28" fillId="7" borderId="3" xfId="35" applyFont="1" applyFill="1" applyBorder="1" applyAlignment="1">
      <alignment horizontal="center" vertical="center" wrapText="1"/>
    </xf>
    <xf numFmtId="0" fontId="26" fillId="7" borderId="0" xfId="0" applyFont="1" applyFill="1" applyAlignment="1">
      <alignment vertical="center"/>
      <protection locked="0"/>
    </xf>
    <xf numFmtId="0" fontId="25" fillId="7" borderId="36" xfId="0" applyFont="1" applyFill="1" applyBorder="1" applyAlignment="1" applyProtection="1">
      <alignment horizontal="center" vertical="center"/>
      <protection locked="0"/>
    </xf>
    <xf numFmtId="192" fontId="13" fillId="0" borderId="36" xfId="302" applyFont="1" applyBorder="1" applyAlignment="1">
      <alignment vertical="center"/>
      <protection locked="0"/>
    </xf>
    <xf numFmtId="49" fontId="13" fillId="0" borderId="36" xfId="302" applyNumberFormat="1" applyFont="1" applyBorder="1" applyAlignment="1">
      <alignment horizontal="center" vertical="center"/>
      <protection locked="0"/>
    </xf>
    <xf numFmtId="0" fontId="28" fillId="0" borderId="36" xfId="0" applyFont="1" applyBorder="1" applyAlignment="1" applyProtection="1">
      <alignment horizontal="center" vertical="center"/>
      <protection locked="0"/>
    </xf>
    <xf numFmtId="0" fontId="28" fillId="0" borderId="36" xfId="305" applyNumberFormat="1" applyFont="1" applyBorder="1" applyAlignment="1" applyProtection="1">
      <alignment horizontal="center" vertical="center"/>
      <protection locked="0"/>
    </xf>
    <xf numFmtId="49" fontId="98" fillId="0" borderId="36" xfId="302" applyNumberFormat="1" applyFont="1" applyBorder="1" applyAlignment="1">
      <alignment horizontal="left" vertical="center"/>
      <protection locked="0"/>
    </xf>
    <xf numFmtId="0" fontId="92" fillId="0" borderId="2" xfId="32" applyFont="1" applyBorder="1" applyAlignment="1">
      <alignment vertical="center"/>
      <protection locked="0"/>
    </xf>
    <xf numFmtId="0" fontId="31" fillId="0" borderId="0" xfId="32" applyFont="1" applyBorder="1" applyAlignment="1">
      <alignment horizontal="left" vertical="center"/>
      <protection locked="0"/>
    </xf>
    <xf numFmtId="0" fontId="13" fillId="0" borderId="0" xfId="0" applyFont="1" applyAlignment="1">
      <alignment horizontal="right" vertical="center"/>
      <protection locked="0"/>
    </xf>
    <xf numFmtId="192" fontId="13" fillId="0" borderId="0" xfId="39" applyFont="1" applyFill="1" applyBorder="1" applyAlignment="1">
      <alignment vertical="center"/>
      <protection locked="0"/>
    </xf>
    <xf numFmtId="0" fontId="13" fillId="0" borderId="0" xfId="30" applyFont="1" applyBorder="1" applyAlignment="1">
      <alignment vertical="center"/>
    </xf>
    <xf numFmtId="192" fontId="122" fillId="0" borderId="36" xfId="39" applyFont="1" applyFill="1" applyBorder="1" applyAlignment="1">
      <alignment horizontal="center" vertical="center" wrapText="1"/>
      <protection locked="0"/>
    </xf>
    <xf numFmtId="0" fontId="13" fillId="4" borderId="0" xfId="0" applyFont="1" applyFill="1" applyBorder="1" applyAlignment="1">
      <alignment horizontal="justify" vertical="center" wrapText="1"/>
      <protection locked="0"/>
    </xf>
    <xf numFmtId="43" fontId="28" fillId="7" borderId="13" xfId="33" applyFont="1" applyFill="1" applyBorder="1" applyAlignment="1">
      <alignment horizontal="center" vertical="center"/>
    </xf>
    <xf numFmtId="192" fontId="16" fillId="7" borderId="36" xfId="301" applyFont="1" applyFill="1" applyBorder="1" applyAlignment="1" applyProtection="1">
      <alignment horizontal="left" vertical="center" wrapText="1"/>
      <protection locked="0"/>
    </xf>
    <xf numFmtId="0" fontId="26" fillId="7" borderId="0" xfId="0" applyFont="1" applyFill="1">
      <protection locked="0"/>
    </xf>
    <xf numFmtId="43" fontId="28" fillId="7" borderId="3" xfId="33" applyFont="1" applyFill="1" applyBorder="1" applyAlignment="1">
      <alignment vertical="center"/>
    </xf>
    <xf numFmtId="14" fontId="101" fillId="7" borderId="38" xfId="233" applyNumberFormat="1" applyFont="1" applyFill="1" applyBorder="1" applyAlignment="1">
      <alignment horizontal="left" vertical="center" wrapText="1"/>
      <protection locked="0"/>
    </xf>
    <xf numFmtId="0" fontId="28" fillId="7" borderId="0" xfId="0" applyFont="1" applyFill="1" applyAlignment="1">
      <alignment vertical="center"/>
      <protection locked="0"/>
    </xf>
    <xf numFmtId="0" fontId="16" fillId="7" borderId="36" xfId="304" applyFont="1" applyFill="1" applyBorder="1" applyAlignment="1">
      <alignment horizontal="center" vertical="center"/>
      <protection locked="0"/>
    </xf>
    <xf numFmtId="0" fontId="16" fillId="7" borderId="36" xfId="304" applyFont="1" applyFill="1" applyBorder="1" applyAlignment="1">
      <alignment horizontal="center" vertical="center" wrapText="1"/>
      <protection locked="0"/>
    </xf>
    <xf numFmtId="0" fontId="118" fillId="0" borderId="0" xfId="0" applyFont="1" applyAlignment="1">
      <alignment horizontal="center" vertical="center"/>
      <protection locked="0"/>
    </xf>
    <xf numFmtId="192" fontId="101" fillId="0" borderId="0" xfId="306" applyFont="1" applyFill="1" applyAlignment="1">
      <alignment horizontal="left" vertical="center"/>
    </xf>
    <xf numFmtId="0" fontId="25" fillId="0" borderId="0" xfId="304" applyFont="1" applyAlignment="1">
      <alignment vertical="center"/>
      <protection locked="0"/>
    </xf>
    <xf numFmtId="0" fontId="122" fillId="0" borderId="0" xfId="304" applyFont="1" applyAlignment="1">
      <alignment vertical="center"/>
      <protection locked="0"/>
    </xf>
    <xf numFmtId="0" fontId="13" fillId="0" borderId="0" xfId="0" applyFont="1" applyBorder="1" applyAlignment="1">
      <alignment horizontal="center" vertical="center"/>
      <protection locked="0"/>
    </xf>
    <xf numFmtId="43" fontId="28" fillId="0" borderId="0" xfId="305" applyFont="1" applyBorder="1" applyAlignment="1" applyProtection="1">
      <alignment horizontal="center" vertical="center"/>
      <protection locked="0"/>
    </xf>
    <xf numFmtId="10" fontId="28" fillId="0" borderId="0" xfId="216" applyNumberFormat="1" applyFont="1" applyBorder="1" applyAlignment="1" applyProtection="1">
      <alignment horizontal="center" vertical="center"/>
      <protection locked="0"/>
    </xf>
    <xf numFmtId="10" fontId="25" fillId="7" borderId="36" xfId="26" applyNumberFormat="1" applyFont="1" applyFill="1" applyBorder="1" applyAlignment="1" applyProtection="1">
      <alignment vertical="center"/>
      <protection locked="0"/>
    </xf>
    <xf numFmtId="0" fontId="27" fillId="0" borderId="0" xfId="0" applyFont="1" applyAlignment="1">
      <alignment horizontal="left" vertical="center" wrapText="1"/>
      <protection locked="0"/>
    </xf>
    <xf numFmtId="0" fontId="26" fillId="0" borderId="0" xfId="0" applyFont="1" applyAlignment="1">
      <alignment horizontal="left" vertical="center" wrapText="1"/>
      <protection locked="0"/>
    </xf>
    <xf numFmtId="0" fontId="28" fillId="0" borderId="36" xfId="242" applyFont="1" applyFill="1" applyBorder="1" applyAlignment="1">
      <alignment horizontal="left" vertical="center" wrapText="1"/>
      <protection locked="0"/>
    </xf>
    <xf numFmtId="0" fontId="25" fillId="7" borderId="36" xfId="242" applyFont="1" applyFill="1" applyBorder="1" applyAlignment="1">
      <alignment horizontal="center" vertical="center" wrapText="1"/>
      <protection locked="0"/>
    </xf>
    <xf numFmtId="0" fontId="13" fillId="0" borderId="36" xfId="242" applyFont="1" applyBorder="1" applyAlignment="1">
      <alignment horizontal="center" vertical="center" wrapText="1"/>
      <protection locked="0"/>
    </xf>
    <xf numFmtId="0" fontId="16" fillId="7" borderId="36" xfId="242" applyFont="1" applyFill="1" applyBorder="1" applyAlignment="1">
      <alignment horizontal="center" vertical="center" wrapText="1"/>
      <protection locked="0"/>
    </xf>
    <xf numFmtId="192" fontId="106" fillId="0" borderId="0" xfId="40" applyFont="1" applyFill="1" applyAlignment="1">
      <alignment horizontal="center" vertical="center"/>
    </xf>
    <xf numFmtId="192" fontId="118" fillId="0" borderId="0" xfId="40" applyFont="1" applyFill="1" applyAlignment="1">
      <alignment horizontal="center" vertical="center"/>
    </xf>
    <xf numFmtId="192" fontId="119" fillId="0" borderId="0" xfId="40" applyFont="1" applyFill="1" applyAlignment="1">
      <alignment horizontal="center" vertical="center"/>
    </xf>
    <xf numFmtId="192" fontId="28" fillId="0" borderId="0" xfId="39" applyFont="1" applyFill="1" applyBorder="1" applyAlignment="1">
      <alignment horizontal="left" vertical="center"/>
      <protection locked="0"/>
    </xf>
    <xf numFmtId="192" fontId="43" fillId="0" borderId="0" xfId="39" applyFont="1" applyFill="1" applyAlignment="1">
      <alignment horizontal="left" vertical="center"/>
      <protection locked="0"/>
    </xf>
    <xf numFmtId="0" fontId="16" fillId="7" borderId="36" xfId="259" applyFont="1" applyFill="1" applyBorder="1" applyAlignment="1" applyProtection="1">
      <alignment horizontal="center" vertical="center"/>
      <protection locked="0"/>
    </xf>
    <xf numFmtId="0" fontId="25" fillId="7" borderId="36" xfId="259" applyFont="1" applyFill="1" applyBorder="1" applyAlignment="1" applyProtection="1">
      <alignment horizontal="center" vertical="center"/>
      <protection locked="0"/>
    </xf>
    <xf numFmtId="49" fontId="16" fillId="7" borderId="39" xfId="237" applyNumberFormat="1" applyFont="1" applyFill="1" applyBorder="1" applyAlignment="1">
      <alignment horizontal="center" vertical="center"/>
      <protection locked="0"/>
    </xf>
    <xf numFmtId="49" fontId="16" fillId="7" borderId="11" xfId="237" applyNumberFormat="1" applyFont="1" applyFill="1" applyBorder="1" applyAlignment="1">
      <alignment horizontal="center" vertical="center"/>
      <protection locked="0"/>
    </xf>
    <xf numFmtId="0" fontId="16" fillId="7" borderId="36" xfId="259" applyFont="1" applyFill="1" applyBorder="1" applyAlignment="1" applyProtection="1">
      <alignment horizontal="center" vertical="center" wrapText="1"/>
      <protection locked="0"/>
    </xf>
    <xf numFmtId="0" fontId="16" fillId="7" borderId="39" xfId="237" applyFont="1" applyFill="1" applyBorder="1" applyAlignment="1">
      <alignment horizontal="center" vertical="center" wrapText="1"/>
      <protection locked="0"/>
    </xf>
    <xf numFmtId="0" fontId="16" fillId="7" borderId="11" xfId="237" applyFont="1" applyFill="1" applyBorder="1" applyAlignment="1">
      <alignment horizontal="center" vertical="center" wrapText="1"/>
      <protection locked="0"/>
    </xf>
    <xf numFmtId="0" fontId="42" fillId="0" borderId="39" xfId="33" applyNumberFormat="1" applyFont="1" applyFill="1" applyBorder="1" applyAlignment="1">
      <alignment horizontal="center" vertical="center"/>
    </xf>
    <xf numFmtId="10" fontId="30" fillId="0" borderId="0" xfId="26" applyNumberFormat="1" applyFont="1" applyBorder="1" applyAlignment="1">
      <alignment horizontal="left" vertical="center"/>
    </xf>
    <xf numFmtId="43" fontId="14" fillId="0" borderId="0" xfId="31" applyNumberFormat="1" applyFont="1" applyBorder="1" applyAlignment="1">
      <alignment horizontal="center" vertical="center"/>
    </xf>
    <xf numFmtId="43" fontId="27" fillId="0" borderId="0" xfId="31" applyNumberFormat="1" applyFont="1" applyBorder="1" applyAlignment="1">
      <alignment horizontal="center" vertical="center"/>
    </xf>
    <xf numFmtId="43" fontId="118" fillId="0" borderId="0" xfId="31" applyNumberFormat="1" applyFont="1" applyBorder="1" applyAlignment="1">
      <alignment horizontal="center" vertical="center"/>
    </xf>
    <xf numFmtId="43" fontId="41" fillId="0" borderId="0" xfId="31" applyNumberFormat="1" applyFont="1" applyBorder="1" applyAlignment="1">
      <alignment horizontal="center" vertical="center"/>
    </xf>
    <xf numFmtId="0" fontId="15" fillId="0" borderId="13" xfId="33" applyNumberFormat="1" applyFont="1" applyFill="1" applyBorder="1" applyAlignment="1">
      <alignment horizontal="left" vertical="center"/>
    </xf>
    <xf numFmtId="43" fontId="16" fillId="7" borderId="36" xfId="33" applyFont="1" applyFill="1" applyBorder="1" applyAlignment="1">
      <alignment horizontal="center" vertical="center"/>
    </xf>
    <xf numFmtId="43" fontId="105" fillId="7" borderId="14" xfId="33" applyFont="1" applyFill="1" applyBorder="1" applyAlignment="1">
      <alignment horizontal="center" vertical="center"/>
    </xf>
    <xf numFmtId="192" fontId="32" fillId="7" borderId="15" xfId="37" applyNumberFormat="1" applyFont="1" applyFill="1" applyBorder="1" applyAlignment="1" applyProtection="1">
      <alignment horizontal="center" vertical="center" wrapText="1"/>
      <protection locked="0"/>
    </xf>
    <xf numFmtId="0" fontId="25" fillId="7" borderId="15" xfId="37" applyFont="1" applyFill="1" applyBorder="1" applyAlignment="1" applyProtection="1">
      <alignment horizontal="center" vertical="center" wrapText="1"/>
      <protection locked="0"/>
    </xf>
    <xf numFmtId="43" fontId="16" fillId="7" borderId="17" xfId="33" applyFont="1" applyFill="1" applyBorder="1" applyAlignment="1">
      <alignment horizontal="center" vertical="center"/>
    </xf>
    <xf numFmtId="43" fontId="16" fillId="7" borderId="18" xfId="33" applyFont="1" applyFill="1" applyBorder="1" applyAlignment="1">
      <alignment horizontal="center" vertical="center"/>
    </xf>
    <xf numFmtId="43" fontId="16" fillId="7" borderId="19" xfId="33" applyFont="1" applyFill="1" applyBorder="1" applyAlignment="1">
      <alignment horizontal="center" vertical="center"/>
    </xf>
    <xf numFmtId="43" fontId="16" fillId="7" borderId="20" xfId="33" applyFont="1" applyFill="1" applyBorder="1" applyAlignment="1">
      <alignment horizontal="center" vertical="center"/>
    </xf>
    <xf numFmtId="43" fontId="105" fillId="7" borderId="21" xfId="33" applyFont="1" applyFill="1" applyBorder="1" applyAlignment="1">
      <alignment horizontal="center" vertical="center"/>
    </xf>
    <xf numFmtId="43" fontId="105" fillId="7" borderId="22" xfId="33" applyFont="1" applyFill="1" applyBorder="1" applyAlignment="1">
      <alignment horizontal="center" vertical="center"/>
    </xf>
    <xf numFmtId="43" fontId="105" fillId="7" borderId="23" xfId="33" applyFont="1" applyFill="1" applyBorder="1" applyAlignment="1">
      <alignment horizontal="center" vertical="center"/>
    </xf>
    <xf numFmtId="43" fontId="16" fillId="0" borderId="5" xfId="31" applyNumberFormat="1" applyFont="1" applyFill="1" applyBorder="1" applyAlignment="1">
      <alignment horizontal="left" vertical="center"/>
    </xf>
    <xf numFmtId="43" fontId="16" fillId="0" borderId="0" xfId="31" applyNumberFormat="1" applyFont="1" applyFill="1" applyBorder="1" applyAlignment="1">
      <alignment horizontal="left" vertical="center"/>
    </xf>
    <xf numFmtId="0" fontId="106" fillId="0" borderId="0" xfId="0" applyFont="1" applyAlignment="1">
      <alignment horizontal="center" vertical="center"/>
      <protection locked="0"/>
    </xf>
    <xf numFmtId="0" fontId="120" fillId="0" borderId="0" xfId="0" applyFont="1" applyAlignment="1">
      <alignment horizontal="center" vertical="center"/>
      <protection locked="0"/>
    </xf>
    <xf numFmtId="0" fontId="109" fillId="0" borderId="0" xfId="0" applyFont="1" applyAlignment="1" applyProtection="1">
      <alignment horizontal="left" vertical="center" wrapText="1"/>
    </xf>
    <xf numFmtId="0" fontId="20" fillId="7" borderId="10" xfId="0" applyFont="1" applyFill="1" applyBorder="1" applyAlignment="1">
      <alignment horizontal="center" vertical="center"/>
      <protection locked="0"/>
    </xf>
    <xf numFmtId="0" fontId="32" fillId="7" borderId="12" xfId="0" applyFont="1" applyFill="1" applyBorder="1" applyAlignment="1">
      <alignment horizontal="center" vertical="center"/>
      <protection locked="0"/>
    </xf>
    <xf numFmtId="0" fontId="32" fillId="7" borderId="11" xfId="0" applyFont="1" applyFill="1" applyBorder="1" applyAlignment="1">
      <alignment horizontal="center" vertical="center"/>
      <protection locked="0"/>
    </xf>
    <xf numFmtId="0" fontId="32" fillId="7" borderId="10" xfId="0" applyFont="1" applyFill="1" applyBorder="1" applyAlignment="1">
      <alignment horizontal="center" vertical="center"/>
      <protection locked="0"/>
    </xf>
    <xf numFmtId="0" fontId="25" fillId="7" borderId="3" xfId="0" applyFont="1" applyFill="1" applyBorder="1" applyAlignment="1">
      <alignment horizontal="center" vertical="center"/>
      <protection locked="0"/>
    </xf>
    <xf numFmtId="0" fontId="103" fillId="7" borderId="10" xfId="0" applyFont="1" applyFill="1" applyBorder="1" applyAlignment="1">
      <alignment horizontal="center" vertical="center"/>
      <protection locked="0"/>
    </xf>
    <xf numFmtId="0" fontId="103" fillId="7" borderId="11" xfId="0" applyFont="1" applyFill="1" applyBorder="1" applyAlignment="1">
      <alignment horizontal="center" vertical="center"/>
      <protection locked="0"/>
    </xf>
    <xf numFmtId="0" fontId="103" fillId="7" borderId="10" xfId="0" applyFont="1" applyFill="1" applyBorder="1" applyAlignment="1">
      <alignment horizontal="center" vertical="center" wrapText="1"/>
      <protection locked="0"/>
    </xf>
    <xf numFmtId="0" fontId="103" fillId="7" borderId="11" xfId="0" applyFont="1" applyFill="1" applyBorder="1" applyAlignment="1">
      <alignment horizontal="center" vertical="center" wrapText="1"/>
      <protection locked="0"/>
    </xf>
    <xf numFmtId="0" fontId="106" fillId="0" borderId="0" xfId="27" applyFont="1" applyAlignment="1">
      <alignment horizontal="center" vertical="center"/>
    </xf>
    <xf numFmtId="0" fontId="120" fillId="0" borderId="0" xfId="27" applyFont="1" applyAlignment="1">
      <alignment horizontal="center" vertical="center"/>
    </xf>
    <xf numFmtId="0" fontId="32" fillId="7" borderId="6" xfId="0" applyFont="1" applyFill="1" applyBorder="1" applyAlignment="1">
      <alignment horizontal="center" vertical="center" wrapText="1"/>
      <protection locked="0"/>
    </xf>
    <xf numFmtId="0" fontId="32" fillId="7" borderId="7" xfId="0" applyFont="1" applyFill="1" applyBorder="1" applyAlignment="1">
      <alignment horizontal="center" vertical="center" wrapText="1"/>
      <protection locked="0"/>
    </xf>
    <xf numFmtId="0" fontId="103" fillId="7" borderId="12" xfId="0" applyFont="1" applyFill="1" applyBorder="1" applyAlignment="1">
      <alignment horizontal="center" vertical="center"/>
      <protection locked="0"/>
    </xf>
    <xf numFmtId="0" fontId="103" fillId="7" borderId="6" xfId="0" applyFont="1" applyFill="1" applyBorder="1" applyAlignment="1">
      <alignment horizontal="center" vertical="center" wrapText="1"/>
      <protection locked="0"/>
    </xf>
    <xf numFmtId="0" fontId="103" fillId="7" borderId="7" xfId="0" applyFont="1" applyFill="1" applyBorder="1" applyAlignment="1">
      <alignment horizontal="center" vertical="center" wrapText="1"/>
      <protection locked="0"/>
    </xf>
    <xf numFmtId="0" fontId="32" fillId="7" borderId="10" xfId="0" applyFont="1" applyFill="1" applyBorder="1" applyAlignment="1">
      <alignment horizontal="center" vertical="center" wrapText="1"/>
      <protection locked="0"/>
    </xf>
    <xf numFmtId="0" fontId="32" fillId="7" borderId="12" xfId="0" applyFont="1" applyFill="1" applyBorder="1" applyAlignment="1">
      <alignment horizontal="center" vertical="center" wrapText="1"/>
      <protection locked="0"/>
    </xf>
    <xf numFmtId="0" fontId="32" fillId="7" borderId="11" xfId="0" applyFont="1" applyFill="1" applyBorder="1" applyAlignment="1">
      <alignment horizontal="center" vertical="center" wrapText="1"/>
      <protection locked="0"/>
    </xf>
    <xf numFmtId="43" fontId="106" fillId="0" borderId="0" xfId="31" applyNumberFormat="1" applyFont="1" applyBorder="1" applyAlignment="1">
      <alignment horizontal="center" vertical="center"/>
    </xf>
    <xf numFmtId="192" fontId="100" fillId="0" borderId="0" xfId="233" applyFont="1" applyFill="1" applyBorder="1" applyAlignment="1">
      <alignment horizontal="left" vertical="center" wrapText="1"/>
      <protection locked="0"/>
    </xf>
    <xf numFmtId="192" fontId="26" fillId="0" borderId="0" xfId="233" applyFont="1" applyFill="1" applyBorder="1" applyAlignment="1">
      <alignment horizontal="left" vertical="center" wrapText="1"/>
      <protection locked="0"/>
    </xf>
    <xf numFmtId="192" fontId="16" fillId="7" borderId="36" xfId="302" applyFont="1" applyFill="1" applyBorder="1" applyAlignment="1">
      <alignment horizontal="center" vertical="center"/>
      <protection locked="0"/>
    </xf>
    <xf numFmtId="0" fontId="120" fillId="0" borderId="0" xfId="0" applyFont="1" applyFill="1" applyBorder="1" applyAlignment="1">
      <alignment horizontal="center" vertical="center"/>
      <protection locked="0"/>
    </xf>
    <xf numFmtId="192" fontId="16" fillId="7" borderId="39" xfId="302" applyFont="1" applyFill="1" applyBorder="1" applyAlignment="1">
      <alignment horizontal="center" vertical="center"/>
      <protection locked="0"/>
    </xf>
    <xf numFmtId="192" fontId="16" fillId="7" borderId="11" xfId="302" applyFont="1" applyFill="1" applyBorder="1" applyAlignment="1">
      <alignment horizontal="center" vertical="center"/>
      <protection locked="0"/>
    </xf>
    <xf numFmtId="0" fontId="16" fillId="35" borderId="39" xfId="304" applyFont="1" applyFill="1" applyBorder="1" applyAlignment="1" applyProtection="1">
      <alignment horizontal="center" vertical="center" wrapText="1"/>
    </xf>
    <xf numFmtId="0" fontId="16" fillId="35" borderId="11" xfId="304" applyFont="1" applyFill="1" applyBorder="1" applyAlignment="1" applyProtection="1">
      <alignment horizontal="center" vertical="center" wrapText="1"/>
    </xf>
    <xf numFmtId="0" fontId="16" fillId="35" borderId="36" xfId="304" applyFont="1" applyFill="1" applyBorder="1" applyAlignment="1" applyProtection="1">
      <alignment horizontal="center" vertical="center" wrapText="1"/>
    </xf>
    <xf numFmtId="0" fontId="16" fillId="7" borderId="36" xfId="304" applyFont="1" applyFill="1" applyBorder="1" applyAlignment="1">
      <alignment horizontal="center" vertical="center"/>
      <protection locked="0"/>
    </xf>
    <xf numFmtId="192" fontId="16" fillId="7" borderId="36" xfId="233" applyFont="1" applyFill="1" applyBorder="1" applyAlignment="1">
      <alignment horizontal="center" vertical="center" wrapText="1"/>
      <protection locked="0"/>
    </xf>
    <xf numFmtId="192" fontId="25" fillId="7" borderId="36" xfId="233" applyFont="1" applyFill="1" applyBorder="1" applyAlignment="1">
      <alignment horizontal="center" vertical="center" wrapText="1"/>
      <protection locked="0"/>
    </xf>
    <xf numFmtId="0" fontId="25" fillId="7" borderId="40" xfId="0" applyFont="1" applyFill="1" applyBorder="1" applyAlignment="1" applyProtection="1">
      <alignment horizontal="center" vertical="center"/>
      <protection locked="0"/>
    </xf>
    <xf numFmtId="0" fontId="25" fillId="7" borderId="42" xfId="0" applyFont="1" applyFill="1" applyBorder="1" applyAlignment="1" applyProtection="1">
      <alignment horizontal="center" vertical="center"/>
      <protection locked="0"/>
    </xf>
    <xf numFmtId="192" fontId="16" fillId="7" borderId="36" xfId="233" applyFont="1" applyFill="1" applyBorder="1" applyAlignment="1">
      <alignment horizontal="center" vertical="center"/>
      <protection locked="0"/>
    </xf>
    <xf numFmtId="192" fontId="25" fillId="7" borderId="36" xfId="233" applyFont="1" applyFill="1" applyBorder="1" applyAlignment="1">
      <alignment horizontal="center" vertical="center"/>
      <protection locked="0"/>
    </xf>
    <xf numFmtId="0" fontId="39" fillId="0" borderId="13" xfId="0" applyFont="1" applyBorder="1" applyAlignment="1">
      <alignment horizontal="center" vertical="center" wrapText="1"/>
      <protection locked="0"/>
    </xf>
  </cellXfs>
  <cellStyles count="307">
    <cellStyle name="%" xfId="41"/>
    <cellStyle name="?" xfId="42"/>
    <cellStyle name="?餡_x000c_k" xfId="43"/>
    <cellStyle name="?餡_x000c_k?_x000d_^" xfId="44"/>
    <cellStyle name="?餡_x000c_k?_x000d_^黇_x0001_??_x0007__x0001__x0001_" xfId="45"/>
    <cellStyle name="@_text" xfId="1"/>
    <cellStyle name="_2005审计报表及附注-中国建材股份模板（房屋）" xfId="46"/>
    <cellStyle name="_2006年年报审计PBC表-XXX" xfId="47"/>
    <cellStyle name="_2006年年报审计填报资料" xfId="48"/>
    <cellStyle name="_Book1" xfId="49"/>
    <cellStyle name="_J1000-存货-ZHHG" xfId="50"/>
    <cellStyle name="_PBC审核提示" xfId="51"/>
    <cellStyle name="_宝丽华房地产20051231" xfId="52"/>
    <cellStyle name="_保证金-企业填写部分" xfId="53"/>
    <cellStyle name="_北新房屋2004年审-刘" xfId="54"/>
    <cellStyle name="_北新股份2005年审工作底稿" xfId="55"/>
    <cellStyle name="_北新建材关连交易基础表051230（10－12月版）更新稿" xfId="56"/>
    <cellStyle name="_北新建材-会计报表附注模版" xfId="57"/>
    <cellStyle name="_北新龙之星2004年审工作底稿" xfId="58"/>
    <cellStyle name="_北新物流2005底稿-刘" xfId="59"/>
    <cellStyle name="_北新置换memo" xfId="60"/>
    <cellStyle name="_存货结转测试" xfId="61"/>
    <cellStyle name="_存货数量与明细05.12" xfId="62"/>
    <cellStyle name="_动力厂2004年审工作底稿-刘" xfId="63"/>
    <cellStyle name="_分工" xfId="64"/>
    <cellStyle name="_工程施工项目现场审计提示" xfId="65"/>
    <cellStyle name="_关联交易" xfId="66"/>
    <cellStyle name="_关联交易、往来统计表" xfId="67"/>
    <cellStyle name="_建造合同-宜万指（正式版）" xfId="68"/>
    <cellStyle name="_科目核对表" xfId="69"/>
    <cellStyle name="_母PL" xfId="70"/>
    <cellStyle name="_人员分工备忘录" xfId="71"/>
    <cellStyle name="_审计所需资料清单－子公司" xfId="72"/>
    <cellStyle name="_一公司建造合同前5名" xfId="73"/>
    <cellStyle name="_一公司－刘丰收" xfId="74"/>
    <cellStyle name="_长期借款－江阴" xfId="75"/>
    <cellStyle name="_子公司审计提示模版-Liufs" xfId="76"/>
    <cellStyle name="{Comma [0]}" xfId="2"/>
    <cellStyle name="{Comma}" xfId="3"/>
    <cellStyle name="{Date}" xfId="4"/>
    <cellStyle name="{Month}" xfId="5"/>
    <cellStyle name="{Percent}" xfId="6"/>
    <cellStyle name="{Thousand [0]}" xfId="7"/>
    <cellStyle name="{Thousand}" xfId="8"/>
    <cellStyle name="{Z'0000(1 dec)}" xfId="9"/>
    <cellStyle name="{Z'0000(4 dec)}" xfId="10"/>
    <cellStyle name="0%" xfId="77"/>
    <cellStyle name="0.0%" xfId="78"/>
    <cellStyle name="0.00%" xfId="79"/>
    <cellStyle name="20% - Accent1" xfId="80"/>
    <cellStyle name="20% - Accent2" xfId="81"/>
    <cellStyle name="20% - Accent3" xfId="82"/>
    <cellStyle name="20% - Accent4" xfId="83"/>
    <cellStyle name="20% - Accent5" xfId="84"/>
    <cellStyle name="20% - Accent6" xfId="85"/>
    <cellStyle name="40% - Accent1" xfId="86"/>
    <cellStyle name="40% - Accent2" xfId="87"/>
    <cellStyle name="40% - Accent3" xfId="88"/>
    <cellStyle name="40% - Accent4" xfId="89"/>
    <cellStyle name="40% - Accent5" xfId="90"/>
    <cellStyle name="40% - Accent6" xfId="91"/>
    <cellStyle name="60% - Accent1" xfId="92"/>
    <cellStyle name="60% - Accent2" xfId="93"/>
    <cellStyle name="60% - Accent3" xfId="94"/>
    <cellStyle name="60% - Accent4" xfId="95"/>
    <cellStyle name="60% - Accent5" xfId="96"/>
    <cellStyle name="60% - Accent6" xfId="97"/>
    <cellStyle name="Accent1" xfId="98"/>
    <cellStyle name="Accent2" xfId="99"/>
    <cellStyle name="Accent3" xfId="100"/>
    <cellStyle name="Accent4" xfId="101"/>
    <cellStyle name="Accent5" xfId="102"/>
    <cellStyle name="Accent6" xfId="103"/>
    <cellStyle name="Bad" xfId="104"/>
    <cellStyle name="Black" xfId="11"/>
    <cellStyle name="Border" xfId="12"/>
    <cellStyle name="Calc Currency (0)" xfId="105"/>
    <cellStyle name="Calc Currency (2)" xfId="106"/>
    <cellStyle name="Calc Percent (0)" xfId="107"/>
    <cellStyle name="Calc Percent (1)" xfId="108"/>
    <cellStyle name="Calc Percent (2)" xfId="109"/>
    <cellStyle name="Calc Units (0)" xfId="110"/>
    <cellStyle name="Calc Units (1)" xfId="111"/>
    <cellStyle name="Calc Units (2)" xfId="112"/>
    <cellStyle name="Calculation" xfId="113"/>
    <cellStyle name="category" xfId="114"/>
    <cellStyle name="Check Cell" xfId="115"/>
    <cellStyle name="Col Heads" xfId="116"/>
    <cellStyle name="Column_Title" xfId="117"/>
    <cellStyle name="Comma  - Style1" xfId="118"/>
    <cellStyle name="Comma  - Style2" xfId="119"/>
    <cellStyle name="Comma  - Style3" xfId="120"/>
    <cellStyle name="Comma  - Style4" xfId="121"/>
    <cellStyle name="Comma  - Style5" xfId="122"/>
    <cellStyle name="Comma  - Style6" xfId="123"/>
    <cellStyle name="Comma  - Style7" xfId="124"/>
    <cellStyle name="Comma  - Style8" xfId="125"/>
    <cellStyle name="Comma [0]_ rislugp" xfId="126"/>
    <cellStyle name="Comma [00]" xfId="127"/>
    <cellStyle name="Comma 28" xfId="128"/>
    <cellStyle name="comma zerodec" xfId="129"/>
    <cellStyle name="Comma,0" xfId="130"/>
    <cellStyle name="Comma,1" xfId="131"/>
    <cellStyle name="Comma,2" xfId="132"/>
    <cellStyle name="Comma_ rislugp" xfId="133"/>
    <cellStyle name="Currency [0]_ rislugp" xfId="134"/>
    <cellStyle name="Currency [00]" xfId="135"/>
    <cellStyle name="Currency,0" xfId="136"/>
    <cellStyle name="Currency,2" xfId="137"/>
    <cellStyle name="Currency_ rislugp" xfId="138"/>
    <cellStyle name="Currency1" xfId="139"/>
    <cellStyle name="Date Short" xfId="140"/>
    <cellStyle name="Dezimal [0]_laroux" xfId="13"/>
    <cellStyle name="Dezimal_laroux" xfId="14"/>
    <cellStyle name="Dollar (zero dec)" xfId="141"/>
    <cellStyle name="Enter Currency (0)" xfId="142"/>
    <cellStyle name="Enter Currency (2)" xfId="143"/>
    <cellStyle name="Enter Units (0)" xfId="144"/>
    <cellStyle name="Enter Units (1)" xfId="145"/>
    <cellStyle name="Enter Units (2)" xfId="146"/>
    <cellStyle name="entry" xfId="147"/>
    <cellStyle name="entry box" xfId="148"/>
    <cellStyle name="Euro" xfId="15"/>
    <cellStyle name="Explanatory Text" xfId="149"/>
    <cellStyle name="Followed Hyperlink_AheadBehind.xls Chart 23" xfId="16"/>
    <cellStyle name="Good" xfId="150"/>
    <cellStyle name="Grey" xfId="17"/>
    <cellStyle name="HEADER" xfId="151"/>
    <cellStyle name="Header1" xfId="152"/>
    <cellStyle name="Header2" xfId="153"/>
    <cellStyle name="Heading" xfId="154"/>
    <cellStyle name="Heading 1" xfId="155"/>
    <cellStyle name="Heading 2" xfId="156"/>
    <cellStyle name="Heading 3" xfId="157"/>
    <cellStyle name="Heading 4" xfId="158"/>
    <cellStyle name="Hyperlink_AheadBehind.xls Chart 23" xfId="18"/>
    <cellStyle name="Input" xfId="159"/>
    <cellStyle name="Input [yellow]" xfId="19"/>
    <cellStyle name="left" xfId="160"/>
    <cellStyle name="Link Currency (0)" xfId="161"/>
    <cellStyle name="Link Currency (2)" xfId="162"/>
    <cellStyle name="Link Units (0)" xfId="163"/>
    <cellStyle name="Link Units (1)" xfId="164"/>
    <cellStyle name="Link Units (2)" xfId="165"/>
    <cellStyle name="Linked Cell" xfId="166"/>
    <cellStyle name="Millares [0]_laroux" xfId="167"/>
    <cellStyle name="Millares_laroux" xfId="168"/>
    <cellStyle name="Milliers [0]_laroux" xfId="20"/>
    <cellStyle name="Milliers_laroux" xfId="21"/>
    <cellStyle name="Model" xfId="169"/>
    <cellStyle name="Moneda [0]_laroux" xfId="170"/>
    <cellStyle name="Moneda_laroux" xfId="171"/>
    <cellStyle name="Mon閠aire [0]_laroux" xfId="172"/>
    <cellStyle name="Mon閠aire_laroux" xfId="173"/>
    <cellStyle name="Neutral" xfId="174"/>
    <cellStyle name="no dec" xfId="175"/>
    <cellStyle name="Non défini" xfId="22"/>
    <cellStyle name="Normal - Style1" xfId="23"/>
    <cellStyle name="Normal 2" xfId="176"/>
    <cellStyle name="Normal 2 2" xfId="177"/>
    <cellStyle name="Normal 21" xfId="178"/>
    <cellStyle name="Normal 3 2" xfId="179"/>
    <cellStyle name="Normal_ rislugp" xfId="180"/>
    <cellStyle name="Normalny_Arkusz1" xfId="181"/>
    <cellStyle name="Note" xfId="182"/>
    <cellStyle name="Output" xfId="183"/>
    <cellStyle name="Percent (0)" xfId="184"/>
    <cellStyle name="Percent [0]" xfId="185"/>
    <cellStyle name="Percent [00]" xfId="186"/>
    <cellStyle name="Percent [2]" xfId="24"/>
    <cellStyle name="Prefilled" xfId="187"/>
    <cellStyle name="PrePop Currency (0)" xfId="188"/>
    <cellStyle name="PrePop Currency (2)" xfId="189"/>
    <cellStyle name="PrePop Units (0)" xfId="190"/>
    <cellStyle name="PrePop Units (1)" xfId="191"/>
    <cellStyle name="PrePop Units (2)" xfId="192"/>
    <cellStyle name="price" xfId="193"/>
    <cellStyle name="Red" xfId="25"/>
    <cellStyle name="revised" xfId="194"/>
    <cellStyle name="section" xfId="195"/>
    <cellStyle name="SOR" xfId="196"/>
    <cellStyle name="style" xfId="197"/>
    <cellStyle name="style1" xfId="198"/>
    <cellStyle name="style2" xfId="199"/>
    <cellStyle name="subhead" xfId="200"/>
    <cellStyle name="Text Indent A" xfId="201"/>
    <cellStyle name="Text Indent B" xfId="202"/>
    <cellStyle name="Text Indent C" xfId="203"/>
    <cellStyle name="Tickmark" xfId="204"/>
    <cellStyle name="title" xfId="205"/>
    <cellStyle name="Total" xfId="206"/>
    <cellStyle name="Warning Text" xfId="207"/>
    <cellStyle name="wrap" xfId="208"/>
    <cellStyle name="パーセント_laroux" xfId="209"/>
    <cellStyle name="_PLDT" xfId="210"/>
    <cellStyle name="_Total (2)" xfId="211"/>
    <cellStyle name="だ[0]_PLDT" xfId="212"/>
    <cellStyle name="だ_PLDT" xfId="213"/>
    <cellStyle name="だ[0]_Total (2)" xfId="214"/>
    <cellStyle name="だ_Total (2)" xfId="215"/>
    <cellStyle name="百分比" xfId="26" builtinId="5"/>
    <cellStyle name="百分比 2" xfId="216"/>
    <cellStyle name="百分比 2 2" xfId="300"/>
    <cellStyle name="百分比 3" xfId="217"/>
    <cellStyle name="標準_１１月価格表" xfId="218"/>
    <cellStyle name="差_T1000-主营业务收入-LJCH" xfId="219"/>
    <cellStyle name="常规" xfId="0" builtinId="0"/>
    <cellStyle name="常规 10" xfId="220"/>
    <cellStyle name="常规 10 2" xfId="221"/>
    <cellStyle name="常规 10 3" xfId="222"/>
    <cellStyle name="常规 10 4" xfId="223"/>
    <cellStyle name="常规 11 2" xfId="224"/>
    <cellStyle name="常规 11 3" xfId="225"/>
    <cellStyle name="常规 11 4" xfId="226"/>
    <cellStyle name="常规 11 5" xfId="306"/>
    <cellStyle name="常规 12 2" xfId="227"/>
    <cellStyle name="常规 12 3" xfId="228"/>
    <cellStyle name="常规 12 4" xfId="229"/>
    <cellStyle name="常规 13 2" xfId="230"/>
    <cellStyle name="常规 13 3" xfId="231"/>
    <cellStyle name="常规 13 4" xfId="232"/>
    <cellStyle name="常规 2" xfId="39"/>
    <cellStyle name="常规 2 2" xfId="233"/>
    <cellStyle name="常规 2 2 2" xfId="234"/>
    <cellStyle name="常规 2 2 3" xfId="235"/>
    <cellStyle name="常规 2 2 4" xfId="304"/>
    <cellStyle name="常规 2 3" xfId="236"/>
    <cellStyle name="常规 2 3 2" xfId="237"/>
    <cellStyle name="常规 2 4" xfId="238"/>
    <cellStyle name="常规 2 5" xfId="239"/>
    <cellStyle name="常规 2 6" xfId="240"/>
    <cellStyle name="常规 2 7" xfId="241"/>
    <cellStyle name="常规 2 8" xfId="242"/>
    <cellStyle name="常规 2 8 2" xfId="302"/>
    <cellStyle name="常规 2_经销商信息-1-原始表" xfId="243"/>
    <cellStyle name="常规 3" xfId="244"/>
    <cellStyle name="常规 3 2" xfId="37"/>
    <cellStyle name="常规 3 3" xfId="245"/>
    <cellStyle name="常规 3 4" xfId="246"/>
    <cellStyle name="常规 4" xfId="247"/>
    <cellStyle name="常规 4 2" xfId="248"/>
    <cellStyle name="常规 4 2 2" xfId="301"/>
    <cellStyle name="常规 4 3" xfId="249"/>
    <cellStyle name="常规 4 4" xfId="250"/>
    <cellStyle name="常规 5" xfId="251"/>
    <cellStyle name="常规 5 2" xfId="252"/>
    <cellStyle name="常规 5 3" xfId="253"/>
    <cellStyle name="常规 5 4" xfId="254"/>
    <cellStyle name="常规 6" xfId="34"/>
    <cellStyle name="常规 6 2" xfId="255"/>
    <cellStyle name="常规 6 3" xfId="256"/>
    <cellStyle name="常规 6 4" xfId="257"/>
    <cellStyle name="常规 6 5" xfId="258"/>
    <cellStyle name="常规 7" xfId="259"/>
    <cellStyle name="常规 7 2" xfId="260"/>
    <cellStyle name="常规 7 3" xfId="261"/>
    <cellStyle name="常规 7 4" xfId="262"/>
    <cellStyle name="常规 8" xfId="263"/>
    <cellStyle name="常规 8 2" xfId="264"/>
    <cellStyle name="常规 8 3" xfId="265"/>
    <cellStyle name="常规 8 4" xfId="266"/>
    <cellStyle name="常规 9" xfId="267"/>
    <cellStyle name="常规 9 2" xfId="268"/>
    <cellStyle name="常规 9 3" xfId="269"/>
    <cellStyle name="常规 9 4" xfId="270"/>
    <cellStyle name="常规_2-1项目审定表－模板" xfId="35"/>
    <cellStyle name="常规_Book1" xfId="27"/>
    <cellStyle name="常规_Book1 2" xfId="40"/>
    <cellStyle name="常规_c-资产类" xfId="28"/>
    <cellStyle name="常规_sheet" xfId="29"/>
    <cellStyle name="常规_进一步审计程序--销售与收款循环" xfId="30"/>
    <cellStyle name="常规_进一步审计程序--销售与收款循环 2" xfId="303"/>
    <cellStyle name="常规_通用表" xfId="299"/>
    <cellStyle name="常规_新审定表" xfId="31"/>
    <cellStyle name="常规_制造费用" xfId="38"/>
    <cellStyle name="超级链接_B4-1审计项目工时预算与控制表(集团)" xfId="271"/>
    <cellStyle name="超链接" xfId="32" builtinId="8"/>
    <cellStyle name="超链接 2" xfId="272"/>
    <cellStyle name="超链接 2 2" xfId="273"/>
    <cellStyle name="分级显示行_1_4附件二凯旋评估表" xfId="274"/>
    <cellStyle name="好_T1000-主营业务收入" xfId="275"/>
    <cellStyle name="桁区切り [0.00]_１１月価格表" xfId="276"/>
    <cellStyle name="桁区切り_１１月価格表" xfId="277"/>
    <cellStyle name="霓付 [0]_97MBO" xfId="278"/>
    <cellStyle name="霓付_97MBO" xfId="279"/>
    <cellStyle name="烹拳 [0]_97MBO" xfId="280"/>
    <cellStyle name="烹拳_97MBO" xfId="281"/>
    <cellStyle name="砯刽 [0]_PLDT" xfId="282"/>
    <cellStyle name="砯刽_PLDT" xfId="283"/>
    <cellStyle name="普通_ 白土" xfId="284"/>
    <cellStyle name="千分位[0]_ 白土" xfId="285"/>
    <cellStyle name="千分位_ 白土" xfId="286"/>
    <cellStyle name="千位[0]_ 应交税金审定表" xfId="287"/>
    <cellStyle name="千位_ 应交税金审定表" xfId="288"/>
    <cellStyle name="千位分隔" xfId="33" builtinId="3"/>
    <cellStyle name="千位分隔 2" xfId="36"/>
    <cellStyle name="千位分隔 3" xfId="289"/>
    <cellStyle name="千位分隔 6" xfId="305"/>
    <cellStyle name="钎霖_laroux" xfId="290"/>
    <cellStyle name="通貨 [0.00]_１１月価格表" xfId="291"/>
    <cellStyle name="通貨_１１月価格表" xfId="292"/>
    <cellStyle name="样式 1" xfId="293"/>
    <cellStyle name="콤마 [0]_BOILER-CO1" xfId="294"/>
    <cellStyle name="콤마_BOILER-CO1" xfId="295"/>
    <cellStyle name="통화 [0]_BOILER-CO1" xfId="296"/>
    <cellStyle name="통화_BOILER-CO1" xfId="297"/>
    <cellStyle name="표준_0N-HANDLING " xfId="298"/>
  </cellStyles>
  <dxfs count="0"/>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21"/>
  <sheetViews>
    <sheetView tabSelected="1" zoomScaleSheetLayoutView="90" workbookViewId="0"/>
  </sheetViews>
  <sheetFormatPr defaultColWidth="9" defaultRowHeight="20.100000000000001" customHeight="1"/>
  <cols>
    <col min="1" max="1" width="77.59765625" style="35" customWidth="1"/>
    <col min="2" max="2" width="2" style="35" customWidth="1"/>
    <col min="3" max="3" width="2.09765625" style="35" customWidth="1"/>
    <col min="4" max="4" width="6.09765625" style="35" customWidth="1"/>
    <col min="5" max="5" width="22.3984375" style="35" customWidth="1"/>
    <col min="6" max="7" width="9.3984375" style="35" customWidth="1"/>
    <col min="8" max="16384" width="9" style="35"/>
  </cols>
  <sheetData>
    <row r="1" spans="1:9" ht="20.100000000000001" customHeight="1">
      <c r="A1" s="23" t="s">
        <v>95</v>
      </c>
    </row>
    <row r="2" spans="1:9" ht="20.100000000000001" customHeight="1">
      <c r="A2" s="73" t="s">
        <v>370</v>
      </c>
      <c r="B2" s="74"/>
      <c r="C2" s="74"/>
      <c r="D2" s="75"/>
      <c r="E2" s="75"/>
      <c r="F2" s="105"/>
      <c r="G2" s="105"/>
      <c r="H2" s="74"/>
      <c r="I2" s="74"/>
    </row>
    <row r="3" spans="1:9" ht="20.100000000000001" customHeight="1">
      <c r="A3" s="73" t="s">
        <v>378</v>
      </c>
      <c r="B3" s="74"/>
      <c r="C3" s="74"/>
      <c r="D3" s="200" t="s">
        <v>265</v>
      </c>
      <c r="E3" s="200" t="s">
        <v>266</v>
      </c>
      <c r="F3" s="200" t="s">
        <v>267</v>
      </c>
      <c r="G3" s="200" t="s">
        <v>268</v>
      </c>
      <c r="H3" s="74"/>
      <c r="I3" s="74"/>
    </row>
    <row r="4" spans="1:9" ht="20.100000000000001" customHeight="1">
      <c r="A4" s="251" t="s">
        <v>371</v>
      </c>
      <c r="B4" s="77"/>
      <c r="C4" s="77"/>
      <c r="D4" s="199">
        <v>1</v>
      </c>
      <c r="E4" s="153" t="s">
        <v>262</v>
      </c>
      <c r="F4" s="199" t="s">
        <v>208</v>
      </c>
      <c r="G4" s="140"/>
      <c r="H4" s="74"/>
      <c r="I4" s="74"/>
    </row>
    <row r="5" spans="1:9" ht="20.100000000000001" customHeight="1">
      <c r="A5" s="251" t="s">
        <v>372</v>
      </c>
      <c r="D5" s="199">
        <v>2</v>
      </c>
      <c r="E5" s="153" t="s">
        <v>270</v>
      </c>
      <c r="F5" s="199" t="s">
        <v>209</v>
      </c>
      <c r="G5" s="140"/>
      <c r="H5" s="77"/>
      <c r="I5" s="77"/>
    </row>
    <row r="6" spans="1:9" ht="20.100000000000001" customHeight="1">
      <c r="A6" s="251" t="s">
        <v>373</v>
      </c>
      <c r="D6" s="199">
        <v>3</v>
      </c>
      <c r="E6" s="153" t="s">
        <v>263</v>
      </c>
      <c r="F6" s="199"/>
      <c r="G6" s="140"/>
      <c r="H6" s="104" t="s">
        <v>260</v>
      </c>
    </row>
    <row r="7" spans="1:9" ht="20.100000000000001" customHeight="1">
      <c r="A7" s="251" t="s">
        <v>374</v>
      </c>
      <c r="D7" s="199">
        <v>4</v>
      </c>
      <c r="E7" s="153" t="s">
        <v>212</v>
      </c>
      <c r="F7" s="199"/>
      <c r="G7" s="140"/>
      <c r="H7" s="104" t="s">
        <v>260</v>
      </c>
    </row>
    <row r="8" spans="1:9" ht="20.100000000000001" customHeight="1">
      <c r="A8" s="78"/>
      <c r="D8" s="199">
        <v>5</v>
      </c>
      <c r="E8" s="153" t="s">
        <v>264</v>
      </c>
      <c r="F8" s="199" t="s">
        <v>210</v>
      </c>
      <c r="G8" s="140"/>
    </row>
    <row r="9" spans="1:9" ht="20.100000000000001" customHeight="1">
      <c r="A9" s="260" t="s">
        <v>379</v>
      </c>
      <c r="D9" s="199">
        <v>6</v>
      </c>
      <c r="E9" s="153" t="s">
        <v>271</v>
      </c>
      <c r="F9" s="199" t="s">
        <v>261</v>
      </c>
      <c r="G9" s="140"/>
    </row>
    <row r="10" spans="1:9" ht="20.100000000000001" customHeight="1">
      <c r="A10" s="268" t="s">
        <v>380</v>
      </c>
      <c r="D10" s="199">
        <v>7</v>
      </c>
      <c r="E10" s="153" t="s">
        <v>269</v>
      </c>
      <c r="F10" s="199" t="s">
        <v>275</v>
      </c>
      <c r="G10" s="140"/>
    </row>
    <row r="11" spans="1:9" ht="20.100000000000001" customHeight="1">
      <c r="A11" s="268"/>
      <c r="D11" s="199">
        <v>8</v>
      </c>
      <c r="E11" s="245" t="s">
        <v>355</v>
      </c>
      <c r="F11" s="199" t="s">
        <v>211</v>
      </c>
      <c r="G11" s="140"/>
    </row>
    <row r="12" spans="1:9" ht="20.100000000000001" customHeight="1">
      <c r="A12" s="268"/>
    </row>
    <row r="13" spans="1:9" ht="20.100000000000001" customHeight="1">
      <c r="A13" s="268"/>
      <c r="D13" s="76"/>
      <c r="E13" s="154"/>
    </row>
    <row r="14" spans="1:9" ht="20.100000000000001" customHeight="1">
      <c r="A14" s="268" t="s">
        <v>381</v>
      </c>
      <c r="E14" s="14"/>
    </row>
    <row r="15" spans="1:9" ht="20.100000000000001" customHeight="1">
      <c r="A15" s="268"/>
      <c r="E15" s="14"/>
    </row>
    <row r="16" spans="1:9" ht="20.100000000000001" customHeight="1">
      <c r="A16" s="268"/>
      <c r="E16" s="14"/>
    </row>
    <row r="17" spans="1:1" ht="20.100000000000001" customHeight="1">
      <c r="A17" s="269" t="s">
        <v>382</v>
      </c>
    </row>
    <row r="18" spans="1:1" ht="15.75" customHeight="1">
      <c r="A18" s="269"/>
    </row>
    <row r="19" spans="1:1" ht="15.6">
      <c r="A19" s="269"/>
    </row>
    <row r="20" spans="1:1" ht="15.6"/>
    <row r="21" spans="1:1" ht="20.100000000000001" customHeight="1">
      <c r="A21" s="71"/>
    </row>
  </sheetData>
  <mergeCells count="3">
    <mergeCell ref="A10:A13"/>
    <mergeCell ref="A14:A16"/>
    <mergeCell ref="A17:A19"/>
  </mergeCells>
  <phoneticPr fontId="12" type="noConversion"/>
  <hyperlinks>
    <hyperlink ref="E5" location="'审定表K7-1'!Print_Area" display="审定表"/>
    <hyperlink ref="E6" location="'附注披露信息（上市公司）'!Print_Area" display="附注披露信息（上市公司）"/>
    <hyperlink ref="E8" location="'明细表K7-2'!Print_Area" display="明细表"/>
    <hyperlink ref="E11" location="'递延收益检查表K7-5'!A1" display="递延收益检查表"/>
    <hyperlink ref="E4" location="实质性程序表K7A!Print_Area" display="实质性程序表"/>
    <hyperlink ref="E7" location="'附注披露信息（国有企业）'!A1" display="附注披露信息（国有企业）"/>
    <hyperlink ref="E9" location="'调整分录汇总K7-3'!Print_Area" display="调整分录汇总"/>
    <hyperlink ref="E10" location="'测算表K7-4'!Print_Area" display="测算表"/>
  </hyperlinks>
  <pageMargins left="0.74803149606299213" right="0.74803149606299213" top="0.98425196850393704" bottom="0.98425196850393704" header="0.51181102362204722" footer="0.51181102362204722"/>
  <pageSetup paperSize="9" orientation="portrait" blackAndWhite="1"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J26"/>
  <sheetViews>
    <sheetView view="pageBreakPreview" zoomScaleSheetLayoutView="100" workbookViewId="0">
      <selection sqref="A1:I1"/>
    </sheetView>
  </sheetViews>
  <sheetFormatPr defaultColWidth="9" defaultRowHeight="30.75" customHeight="1"/>
  <cols>
    <col min="1" max="1" width="4.69921875" style="89" customWidth="1"/>
    <col min="2" max="2" width="64" style="88" customWidth="1"/>
    <col min="3" max="3" width="9.8984375" style="88" customWidth="1"/>
    <col min="4" max="4" width="5.59765625" style="88" customWidth="1"/>
    <col min="5" max="5" width="6.3984375" style="88" customWidth="1"/>
    <col min="6" max="6" width="6.19921875" style="88" customWidth="1"/>
    <col min="7" max="7" width="7.5" style="88" customWidth="1"/>
    <col min="8" max="8" width="5.59765625" style="88" customWidth="1"/>
    <col min="9" max="9" width="6.8984375" style="88" customWidth="1"/>
    <col min="10" max="10" width="67" style="88" customWidth="1"/>
    <col min="11" max="16384" width="9" style="88"/>
  </cols>
  <sheetData>
    <row r="1" spans="1:10" s="95" customFormat="1" ht="19.95" customHeight="1">
      <c r="A1" s="274" t="s">
        <v>279</v>
      </c>
      <c r="B1" s="274"/>
      <c r="C1" s="274"/>
      <c r="D1" s="274"/>
      <c r="E1" s="274"/>
      <c r="F1" s="274"/>
      <c r="G1" s="274"/>
      <c r="H1" s="274"/>
      <c r="I1" s="274"/>
    </row>
    <row r="2" spans="1:10" s="95" customFormat="1" ht="19.95" customHeight="1">
      <c r="A2" s="275" t="s">
        <v>156</v>
      </c>
      <c r="B2" s="276"/>
      <c r="C2" s="276"/>
      <c r="D2" s="276"/>
      <c r="E2" s="276"/>
      <c r="F2" s="276"/>
      <c r="G2" s="276"/>
      <c r="H2" s="276"/>
      <c r="I2" s="276"/>
    </row>
    <row r="3" spans="1:10" s="93" customFormat="1" ht="19.95" customHeight="1">
      <c r="A3" s="277" t="str">
        <f>底稿目录!A2</f>
        <v>被审计单位：</v>
      </c>
      <c r="B3" s="277"/>
      <c r="C3" s="139" t="str">
        <f>底稿目录!A4</f>
        <v>编制人：</v>
      </c>
      <c r="D3" s="156"/>
      <c r="E3" s="156" t="str">
        <f>底稿目录!A5</f>
        <v>编制日期：</v>
      </c>
      <c r="G3" s="156"/>
      <c r="H3" s="157" t="s">
        <v>214</v>
      </c>
      <c r="I3" s="246" t="str">
        <f>底稿目录!F4</f>
        <v>K7A</v>
      </c>
    </row>
    <row r="4" spans="1:10" s="93" customFormat="1" ht="19.95" customHeight="1">
      <c r="A4" s="277" t="str">
        <f>底稿目录!A3</f>
        <v>截止日：202X年12月31日</v>
      </c>
      <c r="B4" s="277"/>
      <c r="C4" s="139" t="str">
        <f>底稿目录!A6</f>
        <v>复核人：</v>
      </c>
      <c r="D4" s="156"/>
      <c r="E4" s="156" t="str">
        <f>底稿目录!A7</f>
        <v>复核日期：</v>
      </c>
      <c r="G4" s="156"/>
      <c r="H4" s="157" t="s">
        <v>213</v>
      </c>
      <c r="I4" s="158"/>
    </row>
    <row r="5" spans="1:10" ht="19.95" customHeight="1">
      <c r="A5" s="278" t="s">
        <v>155</v>
      </c>
      <c r="B5" s="278"/>
    </row>
    <row r="6" spans="1:10" ht="19.95" customHeight="1">
      <c r="A6" s="248" t="s">
        <v>160</v>
      </c>
      <c r="B6" s="165"/>
      <c r="C6" s="165"/>
      <c r="D6" s="165"/>
      <c r="E6" s="165"/>
      <c r="F6" s="165"/>
      <c r="G6" s="165"/>
      <c r="H6" s="165"/>
      <c r="I6" s="165"/>
    </row>
    <row r="7" spans="1:10" s="93" customFormat="1" ht="19.95" customHeight="1">
      <c r="A7" s="162" t="s">
        <v>222</v>
      </c>
      <c r="B7" s="163"/>
      <c r="C7" s="164"/>
    </row>
    <row r="8" spans="1:10" s="93" customFormat="1" ht="19.95" customHeight="1">
      <c r="A8" s="273" t="s">
        <v>223</v>
      </c>
      <c r="B8" s="273"/>
      <c r="C8" s="273"/>
      <c r="D8" s="273"/>
      <c r="E8" s="273"/>
      <c r="F8" s="273"/>
      <c r="G8" s="271" t="s">
        <v>154</v>
      </c>
      <c r="H8" s="271"/>
      <c r="I8" s="271"/>
    </row>
    <row r="9" spans="1:10" s="93" customFormat="1" ht="19.95" customHeight="1">
      <c r="A9" s="270" t="s">
        <v>362</v>
      </c>
      <c r="B9" s="270"/>
      <c r="C9" s="270"/>
      <c r="D9" s="270"/>
      <c r="E9" s="270"/>
      <c r="F9" s="270"/>
      <c r="G9" s="272" t="s">
        <v>157</v>
      </c>
      <c r="H9" s="272"/>
      <c r="I9" s="272"/>
    </row>
    <row r="10" spans="1:10" s="93" customFormat="1" ht="19.95" customHeight="1">
      <c r="A10" s="270" t="s">
        <v>326</v>
      </c>
      <c r="B10" s="270"/>
      <c r="C10" s="270"/>
      <c r="D10" s="270"/>
      <c r="E10" s="270"/>
      <c r="F10" s="270"/>
      <c r="G10" s="272" t="s">
        <v>158</v>
      </c>
      <c r="H10" s="272"/>
      <c r="I10" s="272"/>
    </row>
    <row r="11" spans="1:10" s="93" customFormat="1" ht="19.95" customHeight="1">
      <c r="A11" s="270" t="s">
        <v>375</v>
      </c>
      <c r="B11" s="270"/>
      <c r="C11" s="270"/>
      <c r="D11" s="270"/>
      <c r="E11" s="270"/>
      <c r="F11" s="270"/>
      <c r="G11" s="272" t="s">
        <v>159</v>
      </c>
      <c r="H11" s="272"/>
      <c r="I11" s="272"/>
    </row>
    <row r="12" spans="1:10" s="93" customFormat="1" ht="19.95" customHeight="1">
      <c r="A12" s="270" t="s">
        <v>376</v>
      </c>
      <c r="B12" s="270"/>
      <c r="C12" s="270"/>
      <c r="D12" s="270"/>
      <c r="E12" s="270"/>
      <c r="F12" s="270"/>
      <c r="G12" s="272" t="s">
        <v>234</v>
      </c>
      <c r="H12" s="272"/>
      <c r="I12" s="272"/>
    </row>
    <row r="13" spans="1:10" s="93" customFormat="1" ht="19.95" customHeight="1">
      <c r="A13" s="270" t="s">
        <v>377</v>
      </c>
      <c r="B13" s="270"/>
      <c r="C13" s="270"/>
      <c r="D13" s="270"/>
      <c r="E13" s="270"/>
      <c r="F13" s="270"/>
      <c r="G13" s="272" t="s">
        <v>241</v>
      </c>
      <c r="H13" s="272"/>
      <c r="I13" s="272"/>
    </row>
    <row r="14" spans="1:10" s="93" customFormat="1" ht="19.95" customHeight="1">
      <c r="A14" s="278" t="s">
        <v>153</v>
      </c>
      <c r="B14" s="278"/>
      <c r="C14" s="94"/>
    </row>
    <row r="15" spans="1:10" s="93" customFormat="1" ht="25.8" customHeight="1">
      <c r="A15" s="281" t="s">
        <v>224</v>
      </c>
      <c r="B15" s="283" t="s">
        <v>384</v>
      </c>
      <c r="C15" s="284" t="s">
        <v>225</v>
      </c>
      <c r="D15" s="279" t="s">
        <v>226</v>
      </c>
      <c r="E15" s="280"/>
      <c r="F15" s="280"/>
      <c r="G15" s="280"/>
      <c r="H15" s="280"/>
      <c r="I15" s="273" t="s">
        <v>272</v>
      </c>
    </row>
    <row r="16" spans="1:10" s="93" customFormat="1" ht="36" customHeight="1">
      <c r="A16" s="282"/>
      <c r="B16" s="283"/>
      <c r="C16" s="285"/>
      <c r="D16" s="166" t="s">
        <v>227</v>
      </c>
      <c r="E16" s="166" t="s">
        <v>228</v>
      </c>
      <c r="F16" s="167" t="s">
        <v>229</v>
      </c>
      <c r="G16" s="167" t="s">
        <v>234</v>
      </c>
      <c r="H16" s="167" t="s">
        <v>242</v>
      </c>
      <c r="I16" s="273"/>
      <c r="J16" s="261" t="s">
        <v>383</v>
      </c>
    </row>
    <row r="17" spans="1:10" ht="41.4" customHeight="1">
      <c r="A17" s="225" t="s">
        <v>151</v>
      </c>
      <c r="B17" s="90" t="s">
        <v>363</v>
      </c>
      <c r="C17" s="91" t="s">
        <v>230</v>
      </c>
      <c r="D17" s="170" t="s">
        <v>254</v>
      </c>
      <c r="E17" s="170" t="s">
        <v>255</v>
      </c>
      <c r="F17" s="170"/>
      <c r="G17" s="175" t="s">
        <v>238</v>
      </c>
      <c r="H17" s="170"/>
      <c r="I17" s="179" t="s">
        <v>356</v>
      </c>
    </row>
    <row r="18" spans="1:10" s="92" customFormat="1" ht="52.2" customHeight="1">
      <c r="A18" s="225" t="s">
        <v>150</v>
      </c>
      <c r="B18" s="189" t="s">
        <v>235</v>
      </c>
      <c r="C18" s="91" t="s">
        <v>231</v>
      </c>
      <c r="D18" s="170"/>
      <c r="E18" s="175" t="s">
        <v>238</v>
      </c>
      <c r="F18" s="170"/>
      <c r="G18" s="174" t="s">
        <v>244</v>
      </c>
      <c r="H18" s="176"/>
      <c r="I18" s="250" t="s">
        <v>152</v>
      </c>
      <c r="J18" s="203" t="s">
        <v>273</v>
      </c>
    </row>
    <row r="19" spans="1:10" s="92" customFormat="1" ht="43.2" customHeight="1">
      <c r="A19" s="225" t="s">
        <v>149</v>
      </c>
      <c r="B19" s="171" t="s">
        <v>327</v>
      </c>
      <c r="C19" s="172" t="s">
        <v>240</v>
      </c>
      <c r="D19" s="174" t="s">
        <v>257</v>
      </c>
      <c r="E19" s="178" t="s">
        <v>258</v>
      </c>
      <c r="F19" s="174" t="s">
        <v>257</v>
      </c>
      <c r="G19" s="174" t="s">
        <v>257</v>
      </c>
      <c r="H19" s="176"/>
      <c r="I19" s="180"/>
      <c r="J19" s="204" t="s">
        <v>274</v>
      </c>
    </row>
    <row r="20" spans="1:10" ht="30" customHeight="1">
      <c r="A20" s="225" t="s">
        <v>161</v>
      </c>
      <c r="B20" s="171" t="s">
        <v>236</v>
      </c>
      <c r="C20" s="172" t="s">
        <v>237</v>
      </c>
      <c r="D20" s="174" t="s">
        <v>256</v>
      </c>
      <c r="E20" s="174" t="s">
        <v>256</v>
      </c>
      <c r="F20" s="173"/>
      <c r="G20" s="174" t="s">
        <v>256</v>
      </c>
      <c r="H20" s="173"/>
      <c r="I20" s="179" t="s">
        <v>357</v>
      </c>
    </row>
    <row r="21" spans="1:10" ht="21.6" customHeight="1">
      <c r="A21" s="225" t="s">
        <v>162</v>
      </c>
      <c r="B21" s="171" t="s">
        <v>277</v>
      </c>
      <c r="C21" s="172" t="s">
        <v>237</v>
      </c>
      <c r="D21" s="174"/>
      <c r="E21" s="174"/>
      <c r="F21" s="173"/>
      <c r="G21" s="174" t="s">
        <v>254</v>
      </c>
      <c r="H21" s="173"/>
      <c r="I21" s="179" t="s">
        <v>278</v>
      </c>
    </row>
    <row r="22" spans="1:10" ht="104.4" customHeight="1">
      <c r="A22" s="225" t="s">
        <v>163</v>
      </c>
      <c r="B22" s="224" t="s">
        <v>369</v>
      </c>
      <c r="C22" s="206" t="s">
        <v>284</v>
      </c>
      <c r="D22" s="178" t="s">
        <v>329</v>
      </c>
      <c r="E22" s="173"/>
      <c r="F22" s="174" t="s">
        <v>329</v>
      </c>
      <c r="G22" s="174" t="s">
        <v>329</v>
      </c>
      <c r="H22" s="173"/>
      <c r="I22" s="179" t="s">
        <v>358</v>
      </c>
    </row>
    <row r="23" spans="1:10" ht="114.6" customHeight="1">
      <c r="A23" s="225" t="s">
        <v>239</v>
      </c>
      <c r="B23" s="168" t="s">
        <v>330</v>
      </c>
      <c r="C23" s="174" t="s">
        <v>328</v>
      </c>
      <c r="D23" s="178" t="s">
        <v>329</v>
      </c>
      <c r="E23" s="173"/>
      <c r="F23" s="174" t="s">
        <v>329</v>
      </c>
      <c r="G23" s="174" t="s">
        <v>329</v>
      </c>
      <c r="H23" s="173"/>
      <c r="I23" s="179"/>
    </row>
    <row r="24" spans="1:10" ht="127.8" customHeight="1">
      <c r="A24" s="225" t="s">
        <v>276</v>
      </c>
      <c r="B24" s="226" t="s">
        <v>331</v>
      </c>
      <c r="C24" s="174" t="s">
        <v>328</v>
      </c>
      <c r="D24" s="178" t="s">
        <v>329</v>
      </c>
      <c r="E24" s="173"/>
      <c r="F24" s="174" t="s">
        <v>329</v>
      </c>
      <c r="G24" s="174" t="s">
        <v>329</v>
      </c>
      <c r="H24" s="173"/>
      <c r="I24" s="180" t="s">
        <v>364</v>
      </c>
    </row>
    <row r="25" spans="1:10" ht="48" customHeight="1">
      <c r="A25" s="225" t="s">
        <v>283</v>
      </c>
      <c r="B25" s="181" t="s">
        <v>246</v>
      </c>
      <c r="C25" s="174" t="s">
        <v>354</v>
      </c>
      <c r="D25" s="182"/>
      <c r="E25" s="182"/>
      <c r="F25" s="182"/>
      <c r="G25" s="182"/>
      <c r="H25" s="183"/>
      <c r="I25" s="180" t="s">
        <v>253</v>
      </c>
    </row>
    <row r="26" spans="1:10" ht="26.4" customHeight="1">
      <c r="A26" s="225" t="s">
        <v>333</v>
      </c>
      <c r="B26" s="227" t="s">
        <v>332</v>
      </c>
      <c r="C26" s="91" t="s">
        <v>232</v>
      </c>
      <c r="D26" s="169"/>
      <c r="E26" s="169"/>
      <c r="F26" s="169"/>
      <c r="G26" s="169"/>
      <c r="H26" s="170" t="s">
        <v>233</v>
      </c>
      <c r="I26" s="179" t="s">
        <v>245</v>
      </c>
    </row>
  </sheetData>
  <mergeCells count="23">
    <mergeCell ref="I15:I16"/>
    <mergeCell ref="A14:B14"/>
    <mergeCell ref="D15:H15"/>
    <mergeCell ref="A15:A16"/>
    <mergeCell ref="B15:B16"/>
    <mergeCell ref="C15:C16"/>
    <mergeCell ref="A1:I1"/>
    <mergeCell ref="A2:I2"/>
    <mergeCell ref="A3:B3"/>
    <mergeCell ref="A4:B4"/>
    <mergeCell ref="A5:B5"/>
    <mergeCell ref="A10:F10"/>
    <mergeCell ref="A11:F11"/>
    <mergeCell ref="A12:F12"/>
    <mergeCell ref="A13:F13"/>
    <mergeCell ref="G8:I8"/>
    <mergeCell ref="G9:I9"/>
    <mergeCell ref="G10:I10"/>
    <mergeCell ref="G11:I11"/>
    <mergeCell ref="G12:I12"/>
    <mergeCell ref="G13:I13"/>
    <mergeCell ref="A8:F8"/>
    <mergeCell ref="A9:F9"/>
  </mergeCells>
  <phoneticPr fontId="12" type="noConversion"/>
  <hyperlinks>
    <hyperlink ref="I3" location="底稿目录!A1" display="底稿目录!A1"/>
  </hyperlinks>
  <printOptions horizontalCentered="1"/>
  <pageMargins left="0.7" right="0.7" top="0.75" bottom="0.75" header="0.3" footer="0.3"/>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4"/>
  <sheetViews>
    <sheetView view="pageBreakPreview" zoomScaleNormal="130" zoomScaleSheetLayoutView="100" workbookViewId="0">
      <selection sqref="A1:M1"/>
    </sheetView>
  </sheetViews>
  <sheetFormatPr defaultColWidth="9" defaultRowHeight="23.25" customHeight="1"/>
  <cols>
    <col min="1" max="1" width="8.796875" style="2" customWidth="1"/>
    <col min="2" max="2" width="18.09765625" style="2" customWidth="1"/>
    <col min="3" max="3" width="12.19921875" style="2" customWidth="1"/>
    <col min="4" max="5" width="10.59765625" style="2" customWidth="1"/>
    <col min="6" max="6" width="11.5" style="2" customWidth="1"/>
    <col min="7" max="7" width="11.796875" style="2" customWidth="1"/>
    <col min="8" max="8" width="9" style="2" customWidth="1"/>
    <col min="9" max="9" width="11.09765625" style="2" bestFit="1" customWidth="1"/>
    <col min="10" max="10" width="12.796875" style="2" customWidth="1"/>
    <col min="11" max="12" width="10" style="2" customWidth="1"/>
    <col min="13" max="13" width="8.09765625" style="2" customWidth="1"/>
    <col min="14" max="16384" width="9" style="2"/>
  </cols>
  <sheetData>
    <row r="1" spans="1:13" s="1" customFormat="1" ht="19.95" customHeight="1">
      <c r="A1" s="288" t="s">
        <v>58</v>
      </c>
      <c r="B1" s="289"/>
      <c r="C1" s="289"/>
      <c r="D1" s="289"/>
      <c r="E1" s="289"/>
      <c r="F1" s="289"/>
      <c r="G1" s="289"/>
      <c r="H1" s="289"/>
      <c r="I1" s="289"/>
      <c r="J1" s="289"/>
      <c r="K1" s="289"/>
      <c r="L1" s="289"/>
      <c r="M1" s="289"/>
    </row>
    <row r="2" spans="1:13" s="1" customFormat="1" ht="19.95" customHeight="1">
      <c r="A2" s="290" t="s">
        <v>5</v>
      </c>
      <c r="B2" s="291"/>
      <c r="C2" s="291"/>
      <c r="D2" s="291"/>
      <c r="E2" s="291"/>
      <c r="F2" s="291"/>
      <c r="G2" s="291"/>
      <c r="H2" s="291"/>
      <c r="I2" s="291"/>
      <c r="J2" s="291"/>
      <c r="K2" s="291"/>
      <c r="L2" s="291"/>
      <c r="M2" s="291"/>
    </row>
    <row r="3" spans="1:13" ht="19.95" customHeight="1">
      <c r="A3" s="2" t="str">
        <f>底稿目录!A2</f>
        <v>被审计单位：</v>
      </c>
      <c r="E3" s="3" t="str">
        <f>底稿目录!A4</f>
        <v>编制人：</v>
      </c>
      <c r="I3" s="2" t="str">
        <f>底稿目录!A5</f>
        <v>编制日期：</v>
      </c>
      <c r="L3" s="4" t="s">
        <v>0</v>
      </c>
      <c r="M3" s="246" t="str">
        <f>底稿目录!F5</f>
        <v>K7-1</v>
      </c>
    </row>
    <row r="4" spans="1:13" ht="19.95" customHeight="1">
      <c r="A4" s="2" t="str">
        <f>底稿目录!A3</f>
        <v>截止日：202X年12月31日</v>
      </c>
      <c r="B4" s="5"/>
      <c r="E4" s="3" t="str">
        <f>底稿目录!A6</f>
        <v>复核人：</v>
      </c>
      <c r="I4" s="2" t="str">
        <f>底稿目录!A7</f>
        <v>复核日期：</v>
      </c>
      <c r="L4" s="4" t="s">
        <v>1</v>
      </c>
      <c r="M4" s="144"/>
    </row>
    <row r="5" spans="1:13" ht="31.8" customHeight="1">
      <c r="A5" s="297" t="s">
        <v>119</v>
      </c>
      <c r="B5" s="298"/>
      <c r="C5" s="301" t="s">
        <v>144</v>
      </c>
      <c r="D5" s="302"/>
      <c r="E5" s="302"/>
      <c r="F5" s="303"/>
      <c r="G5" s="294" t="s">
        <v>179</v>
      </c>
      <c r="H5" s="294"/>
      <c r="I5" s="294"/>
      <c r="J5" s="294"/>
      <c r="K5" s="295" t="s">
        <v>141</v>
      </c>
      <c r="L5" s="296"/>
      <c r="M5" s="293" t="s">
        <v>145</v>
      </c>
    </row>
    <row r="6" spans="1:13" ht="19.95" customHeight="1">
      <c r="A6" s="299"/>
      <c r="B6" s="300"/>
      <c r="C6" s="108" t="s">
        <v>180</v>
      </c>
      <c r="D6" s="108" t="s">
        <v>111</v>
      </c>
      <c r="E6" s="108" t="s">
        <v>112</v>
      </c>
      <c r="F6" s="108" t="s">
        <v>181</v>
      </c>
      <c r="G6" s="108" t="s">
        <v>180</v>
      </c>
      <c r="H6" s="108" t="s">
        <v>111</v>
      </c>
      <c r="I6" s="108" t="s">
        <v>112</v>
      </c>
      <c r="J6" s="108" t="s">
        <v>181</v>
      </c>
      <c r="K6" s="83" t="s">
        <v>142</v>
      </c>
      <c r="L6" s="84" t="s">
        <v>143</v>
      </c>
      <c r="M6" s="293"/>
    </row>
    <row r="7" spans="1:13" ht="19.95" customHeight="1">
      <c r="A7" s="81" t="s">
        <v>8</v>
      </c>
      <c r="B7" s="82"/>
      <c r="C7" s="141">
        <f>SUMIF('明细表K7-2'!$B$11:$B$21,$A7,'明细表K7-2'!$C$11:$C$21)</f>
        <v>0</v>
      </c>
      <c r="D7" s="141">
        <f>SUMIF('明细表K7-2'!$B$11:$B$21,$A7,'明细表K7-2'!$G$11:$G$21)</f>
        <v>0</v>
      </c>
      <c r="E7" s="252">
        <f>SUMIF('明细表K7-2'!$B$11:$B$21,$A7,'明细表K7-2'!$H$11:$H$21)</f>
        <v>0</v>
      </c>
      <c r="F7" s="141">
        <f>C7+D7+E7</f>
        <v>0</v>
      </c>
      <c r="G7" s="141">
        <f>SUMIF('明细表K7-2'!$B$11:$B$21,$A7,'明细表K7-2'!$F$11:$F$21)</f>
        <v>0</v>
      </c>
      <c r="H7" s="141">
        <f>SUMIF('明细表K7-2'!$B$11:$B$21,$A7,'明细表K7-2'!$G$11:$G$21)+SUMIF('明细表K7-2'!$B$11:$B$21,$A7,'明细表K7-2'!$I$11:$I$21)-SUMIF('明细表K7-2'!$B$11:$B$21,$A7,'明细表K7-2'!$J$11:$J$21)</f>
        <v>0</v>
      </c>
      <c r="I7" s="141">
        <f>SUMIF('明细表K7-2'!$B$11:$B$21,$A7,'明细表K7-2'!$H$11:$H$21)+SUMIF('明细表K7-2'!$B$11:$B$21,$A7,'明细表K7-2'!$K$11:$K$21)-SUMIF('明细表K7-2'!$B$11:$B$21,$A7,'明细表K7-2'!$L$11:$L$21)</f>
        <v>0</v>
      </c>
      <c r="J7" s="192">
        <f t="shared" ref="J7:J9" si="0">G7+H7+I7</f>
        <v>0</v>
      </c>
      <c r="K7" s="142">
        <f>J7-F7</f>
        <v>0</v>
      </c>
      <c r="L7" s="143">
        <f>IF(AND(F7=0,J7=0),0,IF(AND(F7=0,J7&gt;0),1,K7/F7))</f>
        <v>0</v>
      </c>
      <c r="M7" s="60"/>
    </row>
    <row r="8" spans="1:13" ht="19.95" customHeight="1">
      <c r="A8" s="81" t="s">
        <v>9</v>
      </c>
      <c r="B8" s="82"/>
      <c r="C8" s="141">
        <f>SUMIF('明细表K7-2'!$B$11:$B$21,$A8,'明细表K7-2'!$C$11:$C$21)</f>
        <v>0</v>
      </c>
      <c r="D8" s="141">
        <f>SUMIF('明细表K7-2'!$B$11:$B$21,$A8,'明细表K7-2'!$G$11:$G$21)</f>
        <v>0</v>
      </c>
      <c r="E8" s="252">
        <f>SUMIF('明细表K7-2'!$B$11:$B$21,$A8,'明细表K7-2'!$H$11:$H$21)</f>
        <v>0</v>
      </c>
      <c r="F8" s="141">
        <f t="shared" ref="F8:F10" si="1">C8+D8+E8</f>
        <v>0</v>
      </c>
      <c r="G8" s="141">
        <f>SUMIF('明细表K7-2'!$B$11:$B$21,$A8,'明细表K7-2'!$F$11:$F$21)</f>
        <v>0</v>
      </c>
      <c r="H8" s="141">
        <f>SUMIF('明细表K7-2'!$B$11:$B$21,$A8,'明细表K7-2'!$G$11:$G$21)+SUMIF('明细表K7-2'!$B$11:$B$21,$A8,'明细表K7-2'!$I$11:$I$21)-SUMIF('明细表K7-2'!$B$11:$B$21,$A8,'明细表K7-2'!$J$11:$J$21)</f>
        <v>0</v>
      </c>
      <c r="I8" s="141">
        <f>SUMIF('明细表K7-2'!$B$11:$B$21,$A8,'明细表K7-2'!$H$11:$H$21)+SUMIF('明细表K7-2'!$B$11:$B$21,$A8,'明细表K7-2'!$K$11:$K$21)-SUMIF('明细表K7-2'!$B$11:$B$21,$A8,'明细表K7-2'!$L$11:$L$21)</f>
        <v>0</v>
      </c>
      <c r="J8" s="192">
        <f t="shared" si="0"/>
        <v>0</v>
      </c>
      <c r="K8" s="142">
        <f>J8-F8</f>
        <v>0</v>
      </c>
      <c r="L8" s="143">
        <f>IF(AND(F8=0,J8=0),0,IF(AND(F8=0,J8&gt;0),1,K8/F8))</f>
        <v>0</v>
      </c>
      <c r="M8" s="60"/>
    </row>
    <row r="9" spans="1:13" ht="19.95" customHeight="1">
      <c r="A9" s="292" t="s">
        <v>148</v>
      </c>
      <c r="B9" s="292"/>
      <c r="C9" s="141">
        <f>SUMIF('明细表K7-2'!$B$11:$B$21,$A9,'明细表K7-2'!$C$11:$C$21)</f>
        <v>0</v>
      </c>
      <c r="D9" s="141">
        <f>SUMIF('明细表K7-2'!$B$11:$B$21,$A9,'明细表K7-2'!$G$11:$G$21)</f>
        <v>0</v>
      </c>
      <c r="E9" s="252">
        <f>SUMIF('明细表K7-2'!$B$11:$B$21,$A9,'明细表K7-2'!$H$11:$H$21)</f>
        <v>0</v>
      </c>
      <c r="F9" s="141">
        <f t="shared" si="1"/>
        <v>0</v>
      </c>
      <c r="G9" s="141">
        <f>SUMIF('明细表K7-2'!$B$11:$B$21,$A9,'明细表K7-2'!$F$11:$F$21)</f>
        <v>0</v>
      </c>
      <c r="H9" s="141">
        <f>SUMIF('明细表K7-2'!$B$11:$B$21,$A9,'明细表K7-2'!$G$11:$G$21)+SUMIF('明细表K7-2'!$B$11:$B$21,$A9,'明细表K7-2'!$I$11:$I$21)-SUMIF('明细表K7-2'!$B$11:$B$21,$A9,'明细表K7-2'!$J$11:$J$21)</f>
        <v>0</v>
      </c>
      <c r="I9" s="141">
        <f>SUMIF('明细表K7-2'!$B$11:$B$21,$A9,'明细表K7-2'!$H$11:$H$21)+SUMIF('明细表K7-2'!$B$11:$B$21,$A9,'明细表K7-2'!$K$11:$K$21)-SUMIF('明细表K7-2'!$B$11:$B$21,$A9,'明细表K7-2'!$L$11:$L$21)</f>
        <v>0</v>
      </c>
      <c r="J9" s="192">
        <f t="shared" si="0"/>
        <v>0</v>
      </c>
      <c r="K9" s="142">
        <f>J9-F9</f>
        <v>0</v>
      </c>
      <c r="L9" s="143">
        <f>IF(AND(F9=0,J9=0),0,IF(AND(F9=0,J9&gt;0),1,K9/F9))</f>
        <v>0</v>
      </c>
      <c r="M9" s="61"/>
    </row>
    <row r="10" spans="1:13" s="6" customFormat="1" ht="19.95" customHeight="1">
      <c r="A10" s="286" t="s">
        <v>146</v>
      </c>
      <c r="B10" s="286"/>
      <c r="C10" s="141">
        <f>SUM(C7:C9)</f>
        <v>0</v>
      </c>
      <c r="D10" s="141">
        <f t="shared" ref="D10:J10" si="2">SUM(D7:D9)</f>
        <v>0</v>
      </c>
      <c r="E10" s="141">
        <f>SUM(E7:E9)</f>
        <v>0</v>
      </c>
      <c r="F10" s="141">
        <f t="shared" si="1"/>
        <v>0</v>
      </c>
      <c r="G10" s="141">
        <f t="shared" si="2"/>
        <v>0</v>
      </c>
      <c r="H10" s="141">
        <f t="shared" si="2"/>
        <v>0</v>
      </c>
      <c r="I10" s="141">
        <f t="shared" si="2"/>
        <v>0</v>
      </c>
      <c r="J10" s="141">
        <f t="shared" si="2"/>
        <v>0</v>
      </c>
      <c r="K10" s="142">
        <f>J10-F10</f>
        <v>0</v>
      </c>
      <c r="L10" s="143">
        <f>IF(AND(F10=0,J10=0),0,IF(AND(F10=0,J10&gt;0),1,K10/F10))</f>
        <v>0</v>
      </c>
      <c r="M10" s="61"/>
    </row>
    <row r="11" spans="1:13" ht="19.95" customHeight="1">
      <c r="A11" s="304" t="s">
        <v>164</v>
      </c>
      <c r="B11" s="304"/>
      <c r="C11" s="3"/>
      <c r="D11" s="3"/>
      <c r="E11" s="3"/>
      <c r="F11" s="228"/>
      <c r="G11" s="10"/>
      <c r="H11" s="10"/>
      <c r="I11" s="10"/>
      <c r="J11" s="228"/>
      <c r="K11" s="10"/>
      <c r="L11" s="10"/>
      <c r="M11" s="7"/>
    </row>
    <row r="12" spans="1:13" ht="19.95" customHeight="1">
      <c r="A12" s="305" t="s">
        <v>165</v>
      </c>
      <c r="B12" s="305"/>
      <c r="C12" s="3"/>
      <c r="D12" s="3"/>
      <c r="E12" s="3"/>
      <c r="F12" s="141">
        <f>F11-F10</f>
        <v>0</v>
      </c>
      <c r="G12" s="96"/>
      <c r="H12" s="96"/>
      <c r="I12" s="96"/>
      <c r="J12" s="141">
        <f t="shared" ref="J12" si="3">J11-J10</f>
        <v>0</v>
      </c>
      <c r="K12" s="10"/>
      <c r="L12" s="10"/>
      <c r="M12" s="7"/>
    </row>
    <row r="13" spans="1:13" ht="19.95" customHeight="1">
      <c r="A13" s="100" t="s">
        <v>285</v>
      </c>
      <c r="B13" s="3"/>
      <c r="C13" s="3"/>
      <c r="D13" s="3"/>
      <c r="E13" s="3"/>
      <c r="F13" s="9"/>
      <c r="G13" s="10"/>
      <c r="H13" s="10"/>
      <c r="I13" s="10"/>
      <c r="J13" s="10"/>
      <c r="K13" s="10"/>
      <c r="L13" s="10"/>
      <c r="M13" s="7"/>
    </row>
    <row r="14" spans="1:13" ht="19.95" customHeight="1">
      <c r="A14" s="57" t="s">
        <v>7</v>
      </c>
      <c r="B14" s="7"/>
      <c r="C14" s="7"/>
      <c r="D14" s="287">
        <f>L10</f>
        <v>0</v>
      </c>
      <c r="E14" s="287"/>
      <c r="F14" s="7"/>
      <c r="G14" s="10"/>
      <c r="H14" s="10"/>
      <c r="I14" s="10"/>
      <c r="J14" s="10"/>
      <c r="K14" s="10"/>
      <c r="L14" s="10"/>
      <c r="M14" s="7"/>
    </row>
    <row r="15" spans="1:13" ht="19.95" customHeight="1">
      <c r="A15" s="57" t="s">
        <v>4</v>
      </c>
      <c r="B15" s="7"/>
      <c r="C15" s="7"/>
      <c r="D15" s="7"/>
      <c r="E15" s="7"/>
      <c r="F15" s="7"/>
      <c r="G15" s="10"/>
      <c r="H15" s="10"/>
      <c r="I15" s="10"/>
      <c r="J15" s="10"/>
      <c r="K15" s="10"/>
      <c r="L15" s="10"/>
      <c r="M15" s="7"/>
    </row>
    <row r="16" spans="1:13" ht="19.95" customHeight="1">
      <c r="A16" s="57"/>
      <c r="B16" s="7"/>
      <c r="C16" s="7"/>
      <c r="D16" s="7"/>
      <c r="E16" s="7"/>
      <c r="F16" s="7"/>
      <c r="G16" s="10"/>
      <c r="H16" s="10"/>
      <c r="I16" s="86"/>
      <c r="J16" s="10"/>
      <c r="K16" s="10"/>
      <c r="L16" s="10"/>
      <c r="M16" s="7"/>
    </row>
    <row r="17" spans="1:13" ht="19.95" customHeight="1">
      <c r="A17" s="58" t="s">
        <v>6</v>
      </c>
      <c r="B17" s="8"/>
      <c r="C17" s="8"/>
      <c r="D17" s="8"/>
      <c r="E17" s="8"/>
      <c r="F17" s="8"/>
      <c r="G17" s="10"/>
      <c r="H17" s="10"/>
      <c r="I17" s="10"/>
      <c r="J17" s="10"/>
      <c r="K17" s="10"/>
      <c r="L17" s="10"/>
      <c r="M17" s="8"/>
    </row>
    <row r="18" spans="1:13" ht="19.95" customHeight="1">
      <c r="A18" s="58"/>
      <c r="B18" s="8"/>
      <c r="C18" s="8"/>
      <c r="D18" s="8"/>
      <c r="E18" s="8"/>
      <c r="F18" s="8"/>
      <c r="G18" s="10"/>
      <c r="H18" s="10"/>
      <c r="I18" s="10"/>
      <c r="J18" s="10"/>
      <c r="K18" s="10"/>
      <c r="L18" s="10"/>
      <c r="M18" s="7"/>
    </row>
    <row r="19" spans="1:13" ht="19.95" customHeight="1">
      <c r="A19" s="100" t="s">
        <v>259</v>
      </c>
      <c r="B19" s="7"/>
      <c r="C19" s="7"/>
      <c r="D19" s="7"/>
      <c r="E19" s="7"/>
      <c r="F19" s="9"/>
      <c r="G19" s="10"/>
      <c r="H19" s="10"/>
      <c r="I19" s="10"/>
      <c r="J19" s="10"/>
      <c r="K19" s="10"/>
      <c r="L19" s="10"/>
      <c r="M19" s="7"/>
    </row>
    <row r="20" spans="1:13" ht="19.95" customHeight="1">
      <c r="A20" s="59"/>
      <c r="B20" s="7"/>
      <c r="C20" s="7"/>
      <c r="D20" s="7"/>
      <c r="E20" s="7"/>
      <c r="F20" s="7"/>
      <c r="M20" s="7"/>
    </row>
    <row r="21" spans="1:13" ht="23.25" customHeight="1">
      <c r="A21" s="59"/>
      <c r="B21" s="7"/>
      <c r="C21" s="7"/>
      <c r="D21" s="7"/>
      <c r="E21" s="7"/>
      <c r="F21" s="7"/>
    </row>
    <row r="22" spans="1:13" s="10" customFormat="1" ht="18" customHeight="1">
      <c r="A22" s="2"/>
      <c r="B22" s="2"/>
      <c r="C22" s="2"/>
      <c r="D22" s="2"/>
      <c r="E22" s="2"/>
      <c r="F22" s="2"/>
      <c r="G22" s="2"/>
      <c r="H22" s="2"/>
      <c r="I22" s="2"/>
      <c r="J22" s="2"/>
      <c r="K22" s="2"/>
      <c r="L22" s="2"/>
    </row>
    <row r="23" spans="1:13" s="10" customFormat="1" ht="18" customHeight="1">
      <c r="A23" s="212" t="s">
        <v>307</v>
      </c>
      <c r="G23" s="2"/>
      <c r="H23" s="2"/>
      <c r="I23" s="2"/>
      <c r="J23" s="2"/>
      <c r="K23" s="2"/>
      <c r="L23" s="2"/>
    </row>
    <row r="24" spans="1:13" s="10" customFormat="1" ht="18" customHeight="1">
      <c r="A24" s="10" t="s">
        <v>308</v>
      </c>
      <c r="G24" s="2"/>
      <c r="H24" s="2"/>
      <c r="I24" s="2"/>
      <c r="J24" s="2"/>
      <c r="K24" s="2"/>
      <c r="L24" s="2"/>
    </row>
    <row r="25" spans="1:13" s="10" customFormat="1" ht="18" customHeight="1">
      <c r="A25" s="10" t="s">
        <v>309</v>
      </c>
      <c r="G25" s="2"/>
      <c r="H25" s="2"/>
      <c r="I25" s="2"/>
      <c r="J25" s="2"/>
      <c r="K25" s="2"/>
      <c r="L25" s="2"/>
    </row>
    <row r="26" spans="1:13" s="10" customFormat="1" ht="18" customHeight="1">
      <c r="A26" s="10" t="s">
        <v>301</v>
      </c>
      <c r="G26" s="2"/>
      <c r="H26" s="2"/>
      <c r="I26" s="2"/>
      <c r="J26" s="2"/>
      <c r="K26" s="2"/>
      <c r="L26" s="2"/>
    </row>
    <row r="27" spans="1:13" s="10" customFormat="1" ht="18" customHeight="1">
      <c r="A27" s="10" t="s">
        <v>310</v>
      </c>
      <c r="G27" s="2"/>
      <c r="H27" s="2"/>
      <c r="I27" s="2"/>
      <c r="J27" s="2"/>
      <c r="K27" s="2"/>
      <c r="L27" s="2"/>
    </row>
    <row r="28" spans="1:13" s="10" customFormat="1" ht="18" customHeight="1">
      <c r="A28" s="10" t="s">
        <v>302</v>
      </c>
      <c r="G28" s="2"/>
      <c r="H28" s="2"/>
      <c r="I28" s="2"/>
      <c r="J28" s="2"/>
      <c r="K28" s="2"/>
      <c r="L28" s="2"/>
    </row>
    <row r="29" spans="1:13" s="10" customFormat="1" ht="18" customHeight="1">
      <c r="A29" s="10" t="s">
        <v>311</v>
      </c>
      <c r="G29" s="2"/>
      <c r="H29" s="2"/>
      <c r="I29" s="2"/>
      <c r="J29" s="2"/>
      <c r="K29" s="2"/>
      <c r="L29" s="2"/>
    </row>
    <row r="30" spans="1:13" s="10" customFormat="1" ht="18" customHeight="1">
      <c r="A30" s="10" t="s">
        <v>312</v>
      </c>
      <c r="G30" s="2"/>
      <c r="H30" s="2"/>
      <c r="I30" s="2"/>
      <c r="J30" s="2"/>
      <c r="K30" s="2"/>
      <c r="L30" s="2"/>
    </row>
    <row r="31" spans="1:13" s="10" customFormat="1" ht="18" customHeight="1">
      <c r="A31" s="10" t="s">
        <v>297</v>
      </c>
      <c r="G31" s="2"/>
      <c r="H31" s="2"/>
      <c r="I31" s="2"/>
      <c r="J31" s="2"/>
      <c r="K31" s="2"/>
      <c r="L31" s="2"/>
    </row>
    <row r="32" spans="1:13" s="10" customFormat="1" ht="18" customHeight="1">
      <c r="G32" s="2"/>
      <c r="H32" s="2"/>
      <c r="I32" s="2"/>
      <c r="J32" s="2"/>
      <c r="K32" s="2"/>
      <c r="L32" s="2"/>
    </row>
    <row r="33" spans="1:12" s="10" customFormat="1" ht="18" customHeight="1">
      <c r="A33" s="10" t="s">
        <v>295</v>
      </c>
      <c r="G33" s="2"/>
      <c r="H33" s="2"/>
      <c r="I33" s="2"/>
      <c r="J33" s="2"/>
      <c r="K33" s="2"/>
      <c r="L33" s="2"/>
    </row>
    <row r="34" spans="1:12" s="10" customFormat="1" ht="18" customHeight="1">
      <c r="A34" s="10" t="s">
        <v>298</v>
      </c>
      <c r="G34" s="2"/>
      <c r="H34" s="2"/>
      <c r="I34" s="2"/>
      <c r="J34" s="2"/>
      <c r="K34" s="2"/>
      <c r="L34" s="2"/>
    </row>
    <row r="35" spans="1:12" s="10" customFormat="1" ht="18" customHeight="1">
      <c r="A35" s="10" t="s">
        <v>286</v>
      </c>
      <c r="G35" s="2"/>
      <c r="H35" s="2"/>
      <c r="I35" s="2"/>
      <c r="J35" s="2"/>
      <c r="K35" s="2"/>
      <c r="L35" s="2"/>
    </row>
    <row r="36" spans="1:12" s="10" customFormat="1" ht="18" customHeight="1">
      <c r="A36" s="10" t="s">
        <v>299</v>
      </c>
      <c r="G36" s="2"/>
      <c r="H36" s="2"/>
      <c r="I36" s="2"/>
      <c r="J36" s="2"/>
      <c r="K36" s="2"/>
      <c r="L36" s="2"/>
    </row>
    <row r="37" spans="1:12" s="10" customFormat="1" ht="18" customHeight="1">
      <c r="A37" s="10" t="s">
        <v>287</v>
      </c>
      <c r="G37" s="2"/>
      <c r="H37" s="2"/>
      <c r="I37" s="2"/>
      <c r="J37" s="2"/>
      <c r="K37" s="2"/>
      <c r="L37" s="2"/>
    </row>
    <row r="38" spans="1:12" s="10" customFormat="1" ht="18" customHeight="1">
      <c r="A38" s="10" t="s">
        <v>288</v>
      </c>
      <c r="G38" s="2"/>
      <c r="H38" s="2"/>
      <c r="I38" s="2"/>
      <c r="J38" s="2"/>
      <c r="K38" s="2"/>
      <c r="L38" s="2"/>
    </row>
    <row r="39" spans="1:12" s="10" customFormat="1" ht="18" customHeight="1">
      <c r="A39" s="214" t="s">
        <v>317</v>
      </c>
      <c r="G39" s="2"/>
      <c r="H39" s="2"/>
      <c r="I39" s="2"/>
      <c r="J39" s="2"/>
      <c r="K39" s="2"/>
      <c r="L39" s="2"/>
    </row>
    <row r="40" spans="1:12" s="10" customFormat="1" ht="18" customHeight="1">
      <c r="A40" s="10" t="s">
        <v>289</v>
      </c>
      <c r="G40" s="2"/>
      <c r="H40" s="2"/>
      <c r="I40" s="2"/>
      <c r="J40" s="2"/>
      <c r="K40" s="2"/>
      <c r="L40" s="2"/>
    </row>
    <row r="41" spans="1:12" ht="18" customHeight="1">
      <c r="A41" s="10" t="s">
        <v>290</v>
      </c>
      <c r="B41" s="10"/>
      <c r="C41" s="10"/>
      <c r="D41" s="10"/>
      <c r="E41" s="10"/>
      <c r="F41" s="10"/>
    </row>
    <row r="42" spans="1:12" ht="18" customHeight="1">
      <c r="A42" s="10" t="s">
        <v>291</v>
      </c>
    </row>
    <row r="43" spans="1:12" ht="18" customHeight="1">
      <c r="A43" s="10" t="s">
        <v>292</v>
      </c>
    </row>
    <row r="44" spans="1:12" ht="18" customHeight="1">
      <c r="A44" s="10" t="s">
        <v>293</v>
      </c>
    </row>
    <row r="45" spans="1:12" ht="18" customHeight="1">
      <c r="A45" s="10" t="s">
        <v>294</v>
      </c>
    </row>
    <row r="46" spans="1:12" ht="18" customHeight="1">
      <c r="A46" s="10" t="s">
        <v>296</v>
      </c>
    </row>
    <row r="47" spans="1:12" ht="18" customHeight="1"/>
    <row r="48" spans="1:12" ht="13.8">
      <c r="A48" s="10" t="s">
        <v>313</v>
      </c>
    </row>
    <row r="49" spans="1:2" ht="13.8">
      <c r="A49" s="214" t="s">
        <v>318</v>
      </c>
    </row>
    <row r="50" spans="1:2" ht="13.8">
      <c r="A50" s="213" t="s">
        <v>303</v>
      </c>
      <c r="B50" s="10" t="s">
        <v>314</v>
      </c>
    </row>
    <row r="51" spans="1:2" ht="13.8">
      <c r="A51" s="213" t="s">
        <v>304</v>
      </c>
      <c r="B51" s="10" t="s">
        <v>315</v>
      </c>
    </row>
    <row r="52" spans="1:2" ht="13.8">
      <c r="A52" s="213" t="s">
        <v>305</v>
      </c>
      <c r="B52" s="10" t="s">
        <v>316</v>
      </c>
    </row>
    <row r="53" spans="1:2" ht="13.8"/>
    <row r="54" spans="1:2" ht="13.8">
      <c r="A54" s="10" t="s">
        <v>306</v>
      </c>
    </row>
  </sheetData>
  <mergeCells count="12">
    <mergeCell ref="A10:B10"/>
    <mergeCell ref="D14:E14"/>
    <mergeCell ref="A1:M1"/>
    <mergeCell ref="A2:M2"/>
    <mergeCell ref="A9:B9"/>
    <mergeCell ref="M5:M6"/>
    <mergeCell ref="G5:J5"/>
    <mergeCell ref="K5:L5"/>
    <mergeCell ref="A5:B6"/>
    <mergeCell ref="C5:F5"/>
    <mergeCell ref="A11:B11"/>
    <mergeCell ref="A12:B12"/>
  </mergeCells>
  <phoneticPr fontId="12" type="noConversion"/>
  <hyperlinks>
    <hyperlink ref="M3" location="底稿目录!A1" display="底稿目录!A1"/>
  </hyperlinks>
  <pageMargins left="0.94488188976377963" right="0.27559055118110237" top="0.62992125984251968" bottom="0.51181102362204722" header="0.51181102362204722" footer="0.35433070866141736"/>
  <pageSetup paperSize="9" scale="85" fitToHeight="100" orientation="landscape" blackAndWhite="1" cellComments="atEnd"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K22"/>
  <sheetViews>
    <sheetView view="pageBreakPreview" zoomScaleSheetLayoutView="100" workbookViewId="0">
      <selection activeCell="I14" sqref="I14"/>
    </sheetView>
  </sheetViews>
  <sheetFormatPr defaultColWidth="9" defaultRowHeight="15.6"/>
  <cols>
    <col min="1" max="1" width="24.5" style="35" customWidth="1"/>
    <col min="2" max="2" width="13" style="35" customWidth="1"/>
    <col min="3" max="4" width="13.69921875" style="35" customWidth="1"/>
    <col min="5" max="5" width="13.296875" style="35" customWidth="1"/>
    <col min="6" max="6" width="13" style="35" customWidth="1"/>
    <col min="7" max="7" width="5.8984375" style="35" customWidth="1"/>
    <col min="8" max="16384" width="9" style="35"/>
  </cols>
  <sheetData>
    <row r="1" spans="1:11" s="23" customFormat="1" ht="19.95" customHeight="1">
      <c r="A1" s="306" t="s">
        <v>58</v>
      </c>
      <c r="B1" s="306"/>
      <c r="C1" s="306"/>
      <c r="D1" s="306"/>
      <c r="E1" s="306"/>
      <c r="F1" s="306"/>
      <c r="G1" s="306"/>
      <c r="H1" s="39"/>
      <c r="I1" s="39"/>
      <c r="J1" s="39"/>
      <c r="K1" s="39"/>
    </row>
    <row r="2" spans="1:11" s="23" customFormat="1" ht="19.95" customHeight="1">
      <c r="A2" s="307" t="s">
        <v>280</v>
      </c>
      <c r="B2" s="307"/>
      <c r="C2" s="307"/>
      <c r="D2" s="307"/>
      <c r="E2" s="307"/>
      <c r="F2" s="307"/>
      <c r="G2" s="307"/>
    </row>
    <row r="3" spans="1:11" s="14" customFormat="1" ht="19.95" customHeight="1">
      <c r="A3" s="14" t="str">
        <f>底稿目录!A2</f>
        <v>被审计单位：</v>
      </c>
      <c r="B3" s="24" t="str">
        <f>底稿目录!A4</f>
        <v>编制人：</v>
      </c>
      <c r="D3" s="24" t="str">
        <f>底稿目录!A5</f>
        <v>编制日期：</v>
      </c>
      <c r="F3" s="145" t="s">
        <v>201</v>
      </c>
      <c r="G3" s="201">
        <f>底稿目录!F6</f>
        <v>0</v>
      </c>
    </row>
    <row r="4" spans="1:11" s="14" customFormat="1" ht="19.95" customHeight="1">
      <c r="A4" s="14" t="str">
        <f>底稿目录!A3</f>
        <v>截止日：202X年12月31日</v>
      </c>
      <c r="B4" s="24" t="str">
        <f>底稿目录!A6</f>
        <v>复核人：</v>
      </c>
      <c r="D4" s="24" t="str">
        <f>底稿目录!A7</f>
        <v>复核日期：</v>
      </c>
      <c r="F4" s="49" t="s">
        <v>63</v>
      </c>
      <c r="G4" s="24"/>
    </row>
    <row r="5" spans="1:11" ht="19.95" customHeight="1">
      <c r="A5" s="23" t="s">
        <v>132</v>
      </c>
    </row>
    <row r="6" spans="1:11" s="111" customFormat="1" ht="19.95" customHeight="1" thickBot="1">
      <c r="A6" s="112" t="s">
        <v>133</v>
      </c>
    </row>
    <row r="7" spans="1:11" s="111" customFormat="1" ht="19.95" customHeight="1" thickBot="1">
      <c r="A7" s="113" t="s">
        <v>195</v>
      </c>
      <c r="B7" s="114" t="s">
        <v>198</v>
      </c>
      <c r="C7" s="114" t="s">
        <v>2</v>
      </c>
      <c r="D7" s="114" t="s">
        <v>3</v>
      </c>
      <c r="E7" s="114" t="s">
        <v>199</v>
      </c>
      <c r="F7" s="114" t="s">
        <v>196</v>
      </c>
    </row>
    <row r="8" spans="1:11" s="111" customFormat="1" ht="19.95" customHeight="1">
      <c r="A8" s="115" t="s">
        <v>182</v>
      </c>
      <c r="B8" s="116"/>
      <c r="C8" s="116"/>
      <c r="D8" s="116"/>
      <c r="E8" s="116"/>
      <c r="F8" s="117"/>
    </row>
    <row r="9" spans="1:11" s="111" customFormat="1" ht="19.95" customHeight="1">
      <c r="A9" s="118"/>
      <c r="B9" s="116"/>
      <c r="C9" s="116"/>
      <c r="D9" s="116"/>
      <c r="E9" s="116"/>
      <c r="F9" s="119"/>
    </row>
    <row r="10" spans="1:11" s="111" customFormat="1" ht="19.95" customHeight="1" thickBot="1">
      <c r="A10" s="120"/>
      <c r="B10" s="116"/>
      <c r="C10" s="116"/>
      <c r="D10" s="116"/>
      <c r="E10" s="116"/>
      <c r="F10" s="119"/>
    </row>
    <row r="11" spans="1:11" s="111" customFormat="1" ht="19.95" customHeight="1" thickBot="1">
      <c r="A11" s="121" t="s">
        <v>194</v>
      </c>
      <c r="B11" s="146">
        <f>SUM(B8:B10)</f>
        <v>0</v>
      </c>
      <c r="C11" s="146">
        <f t="shared" ref="C11:E11" si="0">SUM(C8:C10)</f>
        <v>0</v>
      </c>
      <c r="D11" s="146">
        <f t="shared" si="0"/>
        <v>0</v>
      </c>
      <c r="E11" s="146">
        <f t="shared" si="0"/>
        <v>0</v>
      </c>
      <c r="F11" s="122"/>
    </row>
    <row r="12" spans="1:11" s="111" customFormat="1" ht="19.95" customHeight="1">
      <c r="A12" s="123" t="s">
        <v>200</v>
      </c>
    </row>
    <row r="13" spans="1:11" s="111" customFormat="1" ht="62.55" customHeight="1">
      <c r="A13" s="308" t="s">
        <v>183</v>
      </c>
      <c r="B13" s="308"/>
      <c r="C13" s="308"/>
      <c r="D13" s="308"/>
      <c r="E13" s="308"/>
      <c r="F13" s="308"/>
      <c r="G13" s="308"/>
    </row>
    <row r="14" spans="1:11" ht="20.100000000000001" customHeight="1">
      <c r="A14" s="72"/>
      <c r="B14" s="72"/>
      <c r="C14" s="72"/>
      <c r="D14" s="72"/>
      <c r="E14" s="72"/>
      <c r="F14" s="72"/>
    </row>
    <row r="15" spans="1:11" ht="20.100000000000001" customHeight="1">
      <c r="A15" s="72"/>
      <c r="B15" s="72"/>
      <c r="C15" s="72"/>
      <c r="D15" s="72"/>
      <c r="E15" s="72"/>
      <c r="F15" s="72"/>
    </row>
    <row r="16" spans="1:11" ht="20.100000000000001" customHeight="1">
      <c r="A16" s="72"/>
      <c r="B16" s="72"/>
      <c r="C16" s="72"/>
      <c r="D16" s="72"/>
      <c r="E16" s="72"/>
      <c r="F16" s="72"/>
    </row>
    <row r="17" spans="1:6" ht="20.100000000000001" customHeight="1">
      <c r="A17" s="72"/>
      <c r="B17" s="72"/>
      <c r="C17" s="72"/>
      <c r="D17" s="72"/>
      <c r="E17" s="72"/>
      <c r="F17" s="72"/>
    </row>
    <row r="18" spans="1:6" ht="20.100000000000001" customHeight="1">
      <c r="A18" s="71"/>
    </row>
    <row r="22" spans="1:6" s="75" customFormat="1"/>
  </sheetData>
  <mergeCells count="3">
    <mergeCell ref="A1:G1"/>
    <mergeCell ref="A2:G2"/>
    <mergeCell ref="A13:G13"/>
  </mergeCells>
  <phoneticPr fontId="34" type="noConversion"/>
  <pageMargins left="0.94488188976377963" right="0.27559055118110237" top="0.62992125984251968" bottom="0.51181102362204722" header="0.51181102362204722" footer="0.35433070866141736"/>
  <pageSetup paperSize="9" scale="86" fitToHeight="10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18"/>
  <sheetViews>
    <sheetView view="pageBreakPreview" zoomScaleSheetLayoutView="100" workbookViewId="0">
      <selection activeCell="I16" sqref="I16"/>
    </sheetView>
  </sheetViews>
  <sheetFormatPr defaultColWidth="9" defaultRowHeight="15.6"/>
  <cols>
    <col min="1" max="2" width="14.5" style="17" customWidth="1"/>
    <col min="3" max="3" width="10.59765625" style="17" customWidth="1"/>
    <col min="4" max="4" width="13" style="17" customWidth="1"/>
    <col min="5" max="5" width="11.19921875" style="17" customWidth="1"/>
    <col min="6" max="6" width="11.09765625" style="17" customWidth="1"/>
    <col min="7" max="7" width="12.5" style="17" customWidth="1"/>
    <col min="8" max="16384" width="9" style="17"/>
  </cols>
  <sheetData>
    <row r="1" spans="1:10" ht="19.95" customHeight="1">
      <c r="A1" s="306" t="s">
        <v>58</v>
      </c>
      <c r="B1" s="306"/>
      <c r="C1" s="306"/>
      <c r="D1" s="306"/>
      <c r="E1" s="306"/>
      <c r="F1" s="306"/>
      <c r="G1" s="306"/>
      <c r="H1" s="306"/>
      <c r="I1" s="306"/>
      <c r="J1" s="306"/>
    </row>
    <row r="2" spans="1:10" ht="19.95" customHeight="1">
      <c r="A2" s="307" t="s">
        <v>281</v>
      </c>
      <c r="B2" s="307"/>
      <c r="C2" s="307"/>
      <c r="D2" s="307"/>
      <c r="E2" s="307"/>
      <c r="F2" s="307"/>
      <c r="G2" s="307"/>
      <c r="H2" s="307"/>
      <c r="I2" s="307"/>
      <c r="J2" s="307"/>
    </row>
    <row r="3" spans="1:10" ht="19.95" customHeight="1">
      <c r="A3" s="14" t="str">
        <f>底稿目录!A2</f>
        <v>被审计单位：</v>
      </c>
      <c r="B3" s="24"/>
      <c r="C3" s="24" t="str">
        <f>底稿目录!A4</f>
        <v>编制人：</v>
      </c>
      <c r="D3" s="14"/>
      <c r="E3" s="24" t="str">
        <f>底稿目录!A5</f>
        <v>编制日期：</v>
      </c>
      <c r="F3" s="13"/>
      <c r="I3" s="102" t="s">
        <v>202</v>
      </c>
      <c r="J3" s="202">
        <f>底稿目录!F7</f>
        <v>0</v>
      </c>
    </row>
    <row r="4" spans="1:10" ht="19.95" customHeight="1">
      <c r="A4" s="14" t="str">
        <f>底稿目录!A3</f>
        <v>截止日：202X年12月31日</v>
      </c>
      <c r="B4" s="24"/>
      <c r="C4" s="24" t="str">
        <f>底稿目录!A6</f>
        <v>复核人：</v>
      </c>
      <c r="D4" s="14"/>
      <c r="E4" s="24" t="str">
        <f>底稿目录!A7</f>
        <v>复核日期：</v>
      </c>
      <c r="F4" s="13"/>
      <c r="I4" s="13" t="s">
        <v>60</v>
      </c>
      <c r="J4" s="13"/>
    </row>
    <row r="5" spans="1:10" s="107" customFormat="1" ht="19.95" customHeight="1">
      <c r="A5" s="138" t="s">
        <v>197</v>
      </c>
      <c r="B5" s="111"/>
      <c r="C5" s="111"/>
      <c r="D5" s="111"/>
      <c r="E5" s="111"/>
      <c r="F5" s="111"/>
      <c r="G5" s="111"/>
    </row>
    <row r="6" spans="1:10" s="107" customFormat="1" ht="19.95" customHeight="1" thickBot="1">
      <c r="A6" s="137" t="s">
        <v>133</v>
      </c>
      <c r="B6" s="111"/>
      <c r="C6" s="111"/>
      <c r="D6" s="111"/>
      <c r="E6" s="111"/>
      <c r="F6" s="111"/>
      <c r="G6" s="111"/>
    </row>
    <row r="7" spans="1:10" s="107" customFormat="1" ht="19.95" customHeight="1" thickBot="1">
      <c r="A7" s="124" t="s">
        <v>134</v>
      </c>
      <c r="B7" s="124" t="s">
        <v>184</v>
      </c>
      <c r="C7" s="124" t="s">
        <v>2</v>
      </c>
      <c r="D7" s="124" t="s">
        <v>3</v>
      </c>
      <c r="E7" s="124" t="s">
        <v>135</v>
      </c>
      <c r="G7" s="111"/>
    </row>
    <row r="8" spans="1:10" s="107" customFormat="1" ht="19.95" customHeight="1">
      <c r="A8" s="115"/>
      <c r="B8" s="116"/>
      <c r="C8" s="116"/>
      <c r="D8" s="116"/>
      <c r="E8" s="125"/>
      <c r="G8" s="111"/>
    </row>
    <row r="9" spans="1:10" s="107" customFormat="1" ht="19.95" customHeight="1">
      <c r="A9" s="118"/>
      <c r="B9" s="116"/>
      <c r="C9" s="116"/>
      <c r="D9" s="116"/>
      <c r="E9" s="125"/>
      <c r="G9" s="111"/>
    </row>
    <row r="10" spans="1:10" s="107" customFormat="1" ht="19.95" customHeight="1" thickBot="1">
      <c r="A10" s="120"/>
      <c r="B10" s="116"/>
      <c r="C10" s="116"/>
      <c r="D10" s="116"/>
      <c r="E10" s="125"/>
      <c r="G10" s="111"/>
    </row>
    <row r="11" spans="1:10" s="107" customFormat="1" ht="19.95" customHeight="1" thickBot="1">
      <c r="A11" s="124" t="s">
        <v>136</v>
      </c>
      <c r="B11" s="126">
        <f>SUM(B8:B10)</f>
        <v>0</v>
      </c>
      <c r="C11" s="126">
        <f>SUM(C8:C10)</f>
        <v>0</v>
      </c>
      <c r="D11" s="126">
        <f>SUM(D8:D10)</f>
        <v>0</v>
      </c>
      <c r="E11" s="126">
        <f>SUM(E8:E10)</f>
        <v>0</v>
      </c>
      <c r="G11" s="111"/>
    </row>
    <row r="12" spans="1:10" s="107" customFormat="1" ht="19.95" customHeight="1">
      <c r="A12" s="127" t="s">
        <v>137</v>
      </c>
      <c r="B12" s="111"/>
      <c r="C12" s="111"/>
      <c r="D12" s="111"/>
      <c r="E12" s="111"/>
      <c r="F12" s="111"/>
      <c r="G12" s="111"/>
    </row>
    <row r="13" spans="1:10" s="107" customFormat="1" ht="19.95" customHeight="1" thickBot="1">
      <c r="A13" s="127" t="s">
        <v>185</v>
      </c>
      <c r="B13" s="111"/>
      <c r="C13" s="111"/>
      <c r="D13" s="111"/>
      <c r="E13" s="111"/>
      <c r="F13" s="111"/>
      <c r="G13" s="111"/>
    </row>
    <row r="14" spans="1:10" s="107" customFormat="1" ht="42" customHeight="1" thickBot="1">
      <c r="A14" s="128" t="s">
        <v>138</v>
      </c>
      <c r="B14" s="129" t="s">
        <v>139</v>
      </c>
      <c r="C14" s="129" t="s">
        <v>140</v>
      </c>
      <c r="D14" s="129" t="s">
        <v>186</v>
      </c>
      <c r="E14" s="129" t="s">
        <v>187</v>
      </c>
      <c r="F14" s="129" t="s">
        <v>188</v>
      </c>
      <c r="G14" s="129" t="s">
        <v>189</v>
      </c>
      <c r="H14" s="129" t="s">
        <v>135</v>
      </c>
      <c r="I14" s="129" t="s">
        <v>190</v>
      </c>
      <c r="J14" s="129" t="s">
        <v>191</v>
      </c>
    </row>
    <row r="15" spans="1:10" s="107" customFormat="1" ht="19.95" customHeight="1">
      <c r="A15" s="130"/>
      <c r="B15" s="130"/>
      <c r="C15" s="130"/>
      <c r="D15" s="130"/>
      <c r="E15" s="131" t="s">
        <v>192</v>
      </c>
      <c r="F15" s="130"/>
      <c r="G15" s="130"/>
      <c r="H15" s="130">
        <f>B15+C15-D15-F15-G15</f>
        <v>0</v>
      </c>
      <c r="I15" s="130"/>
      <c r="J15" s="130"/>
    </row>
    <row r="16" spans="1:10" s="107" customFormat="1" ht="19.95" customHeight="1">
      <c r="A16" s="132"/>
      <c r="B16" s="132"/>
      <c r="C16" s="132"/>
      <c r="D16" s="132"/>
      <c r="E16" s="133" t="s">
        <v>193</v>
      </c>
      <c r="F16" s="132"/>
      <c r="G16" s="132"/>
      <c r="H16" s="132">
        <f>B16+C16-D16-F16-G16</f>
        <v>0</v>
      </c>
      <c r="I16" s="132"/>
      <c r="J16" s="132"/>
    </row>
    <row r="17" spans="1:10" s="107" customFormat="1" ht="19.95" customHeight="1" thickBot="1">
      <c r="A17" s="134"/>
      <c r="B17" s="134"/>
      <c r="C17" s="134"/>
      <c r="D17" s="134"/>
      <c r="E17" s="134"/>
      <c r="F17" s="134"/>
      <c r="G17" s="134"/>
      <c r="H17" s="134">
        <f>B17+C17-D17-F17-G17</f>
        <v>0</v>
      </c>
      <c r="I17" s="134"/>
      <c r="J17" s="134"/>
    </row>
    <row r="18" spans="1:10" s="107" customFormat="1" ht="19.95" customHeight="1" thickBot="1">
      <c r="A18" s="135" t="s">
        <v>194</v>
      </c>
      <c r="B18" s="136">
        <f t="shared" ref="B18:H18" si="0">SUM(B15:B17)</f>
        <v>0</v>
      </c>
      <c r="C18" s="136">
        <f t="shared" si="0"/>
        <v>0</v>
      </c>
      <c r="D18" s="136">
        <f t="shared" si="0"/>
        <v>0</v>
      </c>
      <c r="E18" s="136">
        <f t="shared" si="0"/>
        <v>0</v>
      </c>
      <c r="F18" s="136">
        <f t="shared" si="0"/>
        <v>0</v>
      </c>
      <c r="G18" s="136">
        <f t="shared" si="0"/>
        <v>0</v>
      </c>
      <c r="H18" s="136">
        <f t="shared" si="0"/>
        <v>0</v>
      </c>
      <c r="I18" s="136"/>
      <c r="J18" s="136"/>
    </row>
  </sheetData>
  <mergeCells count="2">
    <mergeCell ref="A1:J1"/>
    <mergeCell ref="A2:J2"/>
  </mergeCells>
  <phoneticPr fontId="12" type="noConversion"/>
  <printOptions horizontalCentered="1"/>
  <pageMargins left="0.70866141732283472" right="0.70866141732283472" top="0.74803149606299213" bottom="0.74803149606299213" header="0.31496062992125984" footer="0.31496062992125984"/>
  <pageSetup paperSize="9" scale="71"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F41"/>
  <sheetViews>
    <sheetView view="pageBreakPreview" zoomScaleNormal="115" zoomScaleSheetLayoutView="100" workbookViewId="0">
      <selection sqref="A1:W1"/>
    </sheetView>
  </sheetViews>
  <sheetFormatPr defaultColWidth="9" defaultRowHeight="15.6"/>
  <cols>
    <col min="1" max="1" width="15.796875" style="17" customWidth="1"/>
    <col min="2" max="2" width="10.3984375" style="17" customWidth="1"/>
    <col min="3" max="3" width="9.69921875" style="17" customWidth="1"/>
    <col min="4" max="4" width="8.796875" style="17" customWidth="1"/>
    <col min="5" max="5" width="9.5" style="17" customWidth="1"/>
    <col min="6" max="6" width="10.3984375" style="17" customWidth="1"/>
    <col min="7" max="12" width="8.8984375" style="17" customWidth="1"/>
    <col min="13" max="13" width="9.19921875" style="17" customWidth="1"/>
    <col min="14" max="14" width="8.796875" style="17" customWidth="1"/>
    <col min="15" max="15" width="8.296875" style="17" customWidth="1"/>
    <col min="16" max="16" width="8.5" style="17" customWidth="1"/>
    <col min="17" max="17" width="8.796875" style="17" customWidth="1"/>
    <col min="18" max="18" width="8.69921875" style="17" customWidth="1"/>
    <col min="19" max="19" width="8.5" style="17" customWidth="1"/>
    <col min="20" max="20" width="9.296875" style="17" customWidth="1"/>
    <col min="21" max="21" width="14.8984375" style="17" customWidth="1"/>
    <col min="22" max="22" width="7.19921875" style="17" customWidth="1"/>
    <col min="23" max="23" width="9.3984375" style="17" customWidth="1"/>
    <col min="24" max="24" width="9.09765625" style="17" customWidth="1"/>
    <col min="25" max="25" width="9.5" style="17" customWidth="1"/>
    <col min="26" max="26" width="11" style="17" customWidth="1"/>
    <col min="27" max="27" width="10.59765625" style="17" customWidth="1"/>
    <col min="28" max="16384" width="9" style="17"/>
  </cols>
  <sheetData>
    <row r="1" spans="1:32" s="12" customFormat="1" ht="19.95" customHeight="1">
      <c r="A1" s="318" t="s">
        <v>58</v>
      </c>
      <c r="B1" s="318"/>
      <c r="C1" s="318"/>
      <c r="D1" s="318"/>
      <c r="E1" s="318"/>
      <c r="F1" s="318"/>
      <c r="G1" s="318"/>
      <c r="H1" s="318"/>
      <c r="I1" s="318"/>
      <c r="J1" s="318"/>
      <c r="K1" s="318"/>
      <c r="L1" s="318"/>
      <c r="M1" s="318"/>
      <c r="N1" s="318"/>
      <c r="O1" s="318"/>
      <c r="P1" s="318"/>
      <c r="Q1" s="318"/>
      <c r="R1" s="318"/>
      <c r="S1" s="318"/>
      <c r="T1" s="318"/>
      <c r="U1" s="318"/>
      <c r="V1" s="318"/>
      <c r="W1" s="318"/>
      <c r="X1" s="11"/>
      <c r="Y1" s="11"/>
      <c r="Z1" s="11"/>
      <c r="AA1" s="11"/>
      <c r="AB1" s="11"/>
      <c r="AC1" s="11"/>
      <c r="AD1" s="11"/>
      <c r="AE1" s="11"/>
      <c r="AF1" s="11"/>
    </row>
    <row r="2" spans="1:32" s="12" customFormat="1" ht="19.95" customHeight="1">
      <c r="A2" s="319" t="s">
        <v>96</v>
      </c>
      <c r="B2" s="319"/>
      <c r="C2" s="319"/>
      <c r="D2" s="319"/>
      <c r="E2" s="319"/>
      <c r="F2" s="319"/>
      <c r="G2" s="319"/>
      <c r="H2" s="319"/>
      <c r="I2" s="319"/>
      <c r="J2" s="319"/>
      <c r="K2" s="319"/>
      <c r="L2" s="319"/>
      <c r="M2" s="319"/>
      <c r="N2" s="319"/>
      <c r="O2" s="319"/>
      <c r="P2" s="319"/>
      <c r="Q2" s="319"/>
      <c r="R2" s="319"/>
      <c r="S2" s="319"/>
      <c r="T2" s="319"/>
      <c r="U2" s="319"/>
      <c r="V2" s="319"/>
      <c r="W2" s="319"/>
      <c r="X2" s="11"/>
      <c r="Y2" s="11"/>
      <c r="Z2" s="11"/>
      <c r="AA2" s="11"/>
      <c r="AB2" s="11"/>
      <c r="AC2" s="11"/>
      <c r="AD2" s="11"/>
      <c r="AE2" s="11"/>
      <c r="AF2" s="11"/>
    </row>
    <row r="3" spans="1:32" s="14" customFormat="1" ht="19.95" customHeight="1">
      <c r="A3" s="13" t="str">
        <f>底稿目录!A2</f>
        <v>被审计单位：</v>
      </c>
      <c r="B3" s="13"/>
      <c r="C3" s="13"/>
      <c r="H3" s="13" t="str">
        <f>底稿目录!A4</f>
        <v>编制人：</v>
      </c>
      <c r="N3" s="13"/>
      <c r="O3" s="13" t="str">
        <f>底稿目录!A5</f>
        <v>编制日期：</v>
      </c>
      <c r="P3" s="13"/>
      <c r="Q3" s="13"/>
      <c r="R3" s="13"/>
      <c r="S3" s="13"/>
      <c r="V3" s="49" t="s">
        <v>203</v>
      </c>
      <c r="W3" s="246" t="str">
        <f>底稿目录!F8</f>
        <v>K7-2</v>
      </c>
    </row>
    <row r="4" spans="1:32" s="14" customFormat="1" ht="19.95" customHeight="1">
      <c r="A4" s="13" t="str">
        <f>底稿目录!A3</f>
        <v>截止日：202X年12月31日</v>
      </c>
      <c r="B4" s="13"/>
      <c r="C4" s="13"/>
      <c r="H4" s="13" t="str">
        <f>底稿目录!A6</f>
        <v>复核人：</v>
      </c>
      <c r="N4" s="13"/>
      <c r="O4" s="13" t="str">
        <f>底稿目录!A7</f>
        <v>复核日期：</v>
      </c>
      <c r="P4" s="13"/>
      <c r="Q4" s="13"/>
      <c r="R4" s="13"/>
      <c r="S4" s="13"/>
      <c r="V4" s="49" t="s">
        <v>361</v>
      </c>
      <c r="W4" s="13"/>
    </row>
    <row r="5" spans="1:32" s="14" customFormat="1" ht="19.95" customHeight="1">
      <c r="A5" s="54" t="s">
        <v>251</v>
      </c>
      <c r="B5" s="54"/>
      <c r="C5" s="13"/>
      <c r="D5" s="13"/>
      <c r="E5" s="13"/>
      <c r="F5" s="13"/>
      <c r="G5" s="13"/>
      <c r="H5" s="13"/>
      <c r="I5" s="13"/>
      <c r="J5" s="13"/>
      <c r="K5" s="13"/>
      <c r="L5" s="13"/>
      <c r="M5" s="13"/>
      <c r="N5" s="13"/>
      <c r="O5" s="13"/>
      <c r="P5" s="13"/>
      <c r="Q5" s="13"/>
      <c r="R5" s="13"/>
      <c r="S5" s="13"/>
      <c r="U5" s="13"/>
      <c r="V5" s="49"/>
      <c r="W5" s="13"/>
    </row>
    <row r="6" spans="1:32" s="14" customFormat="1" ht="19.95" customHeight="1">
      <c r="A6" s="184" t="s">
        <v>248</v>
      </c>
      <c r="B6" s="184"/>
      <c r="C6" s="13"/>
      <c r="D6" s="184" t="s">
        <v>249</v>
      </c>
      <c r="E6" s="184"/>
      <c r="F6" s="13"/>
      <c r="G6" s="13"/>
      <c r="H6" s="13"/>
      <c r="I6" s="13"/>
      <c r="J6" s="13"/>
      <c r="K6" s="184" t="s">
        <v>247</v>
      </c>
      <c r="M6" s="184"/>
      <c r="N6" s="13"/>
      <c r="O6" s="13"/>
      <c r="P6" s="13"/>
      <c r="Q6" s="13"/>
      <c r="R6" s="13"/>
      <c r="S6" s="13"/>
      <c r="U6" s="13"/>
      <c r="V6" s="49"/>
      <c r="W6" s="13"/>
    </row>
    <row r="7" spans="1:32" s="14" customFormat="1" ht="19.95" customHeight="1">
      <c r="A7" s="40" t="s">
        <v>97</v>
      </c>
      <c r="B7" s="40"/>
      <c r="C7" s="13"/>
      <c r="D7" s="13"/>
      <c r="G7" s="13"/>
      <c r="H7" s="13"/>
      <c r="M7" s="13"/>
      <c r="N7" s="13"/>
      <c r="O7" s="13"/>
      <c r="P7" s="13"/>
      <c r="Q7" s="13"/>
      <c r="R7" s="13"/>
      <c r="S7" s="13"/>
      <c r="U7" s="13"/>
      <c r="V7" s="49"/>
      <c r="W7" s="13"/>
    </row>
    <row r="8" spans="1:32" s="14" customFormat="1" ht="19.95" customHeight="1">
      <c r="A8" s="314" t="s">
        <v>98</v>
      </c>
      <c r="B8" s="309" t="s">
        <v>147</v>
      </c>
      <c r="C8" s="313" t="s">
        <v>99</v>
      </c>
      <c r="D8" s="313"/>
      <c r="E8" s="313"/>
      <c r="F8" s="313"/>
      <c r="G8" s="313" t="s">
        <v>100</v>
      </c>
      <c r="H8" s="313"/>
      <c r="I8" s="313" t="s">
        <v>101</v>
      </c>
      <c r="J8" s="313"/>
      <c r="K8" s="313" t="s">
        <v>102</v>
      </c>
      <c r="L8" s="313"/>
      <c r="M8" s="313" t="s">
        <v>103</v>
      </c>
      <c r="N8" s="313"/>
      <c r="O8" s="313"/>
      <c r="P8" s="313"/>
      <c r="Q8" s="313"/>
      <c r="R8" s="313"/>
      <c r="S8" s="313"/>
      <c r="T8" s="313"/>
      <c r="U8" s="312" t="s">
        <v>104</v>
      </c>
      <c r="V8" s="325" t="s">
        <v>105</v>
      </c>
      <c r="W8" s="314" t="s">
        <v>106</v>
      </c>
    </row>
    <row r="9" spans="1:32" s="15" customFormat="1" ht="19.95" customHeight="1">
      <c r="A9" s="322"/>
      <c r="B9" s="310"/>
      <c r="C9" s="312" t="s">
        <v>107</v>
      </c>
      <c r="D9" s="312" t="s">
        <v>108</v>
      </c>
      <c r="E9" s="314" t="s">
        <v>109</v>
      </c>
      <c r="F9" s="312" t="s">
        <v>110</v>
      </c>
      <c r="G9" s="314" t="s">
        <v>111</v>
      </c>
      <c r="H9" s="316" t="s">
        <v>112</v>
      </c>
      <c r="I9" s="314" t="s">
        <v>113</v>
      </c>
      <c r="J9" s="314" t="s">
        <v>109</v>
      </c>
      <c r="K9" s="314" t="s">
        <v>113</v>
      </c>
      <c r="L9" s="314" t="s">
        <v>109</v>
      </c>
      <c r="M9" s="314" t="s">
        <v>144</v>
      </c>
      <c r="N9" s="314" t="s">
        <v>113</v>
      </c>
      <c r="O9" s="323" t="s">
        <v>178</v>
      </c>
      <c r="P9" s="324"/>
      <c r="Q9" s="314" t="s">
        <v>109</v>
      </c>
      <c r="R9" s="320" t="s">
        <v>114</v>
      </c>
      <c r="S9" s="321"/>
      <c r="T9" s="312" t="s">
        <v>110</v>
      </c>
      <c r="U9" s="310"/>
      <c r="V9" s="326"/>
      <c r="W9" s="322"/>
    </row>
    <row r="10" spans="1:32" s="107" customFormat="1" ht="33" customHeight="1">
      <c r="A10" s="315"/>
      <c r="B10" s="311"/>
      <c r="C10" s="311"/>
      <c r="D10" s="311"/>
      <c r="E10" s="315"/>
      <c r="F10" s="311"/>
      <c r="G10" s="315"/>
      <c r="H10" s="317"/>
      <c r="I10" s="315"/>
      <c r="J10" s="315"/>
      <c r="K10" s="315"/>
      <c r="L10" s="315"/>
      <c r="M10" s="315"/>
      <c r="N10" s="315"/>
      <c r="O10" s="106" t="s">
        <v>175</v>
      </c>
      <c r="P10" s="106" t="s">
        <v>176</v>
      </c>
      <c r="Q10" s="315"/>
      <c r="R10" s="106" t="s">
        <v>385</v>
      </c>
      <c r="S10" s="106" t="s">
        <v>177</v>
      </c>
      <c r="T10" s="311"/>
      <c r="U10" s="311"/>
      <c r="V10" s="327"/>
      <c r="W10" s="315"/>
    </row>
    <row r="11" spans="1:32" s="15" customFormat="1" ht="19.95" customHeight="1">
      <c r="A11" s="191"/>
      <c r="B11" s="85"/>
      <c r="C11" s="18"/>
      <c r="D11" s="18"/>
      <c r="E11" s="18"/>
      <c r="F11" s="148">
        <f>C11+D11-E11</f>
        <v>0</v>
      </c>
      <c r="G11" s="18"/>
      <c r="H11" s="18"/>
      <c r="I11" s="18"/>
      <c r="J11" s="18"/>
      <c r="K11" s="18"/>
      <c r="L11" s="18"/>
      <c r="M11" s="148">
        <f>C11+G11+H11</f>
        <v>0</v>
      </c>
      <c r="N11" s="148">
        <f>D11+I11+K11</f>
        <v>0</v>
      </c>
      <c r="O11" s="41"/>
      <c r="P11" s="148">
        <f>N11-O11</f>
        <v>0</v>
      </c>
      <c r="Q11" s="148">
        <f>E11+J11+L11</f>
        <v>0</v>
      </c>
      <c r="R11" s="41"/>
      <c r="S11" s="148">
        <f>Q11-R11</f>
        <v>0</v>
      </c>
      <c r="T11" s="148">
        <f>M11+N11-Q11</f>
        <v>0</v>
      </c>
      <c r="U11" s="19"/>
      <c r="V11" s="229"/>
      <c r="W11" s="19"/>
    </row>
    <row r="12" spans="1:32" s="15" customFormat="1" ht="19.95" customHeight="1">
      <c r="A12" s="191"/>
      <c r="B12" s="85"/>
      <c r="C12" s="18"/>
      <c r="D12" s="18"/>
      <c r="E12" s="18"/>
      <c r="F12" s="148">
        <f t="shared" ref="F12:F21" si="0">C12+D12-E12</f>
        <v>0</v>
      </c>
      <c r="G12" s="18"/>
      <c r="H12" s="18"/>
      <c r="I12" s="18"/>
      <c r="J12" s="18"/>
      <c r="K12" s="18"/>
      <c r="L12" s="18"/>
      <c r="M12" s="148">
        <f t="shared" ref="M12:M14" si="1">C12+G12+H12</f>
        <v>0</v>
      </c>
      <c r="N12" s="148">
        <f t="shared" ref="N12:N14" si="2">D12+I12+K12</f>
        <v>0</v>
      </c>
      <c r="O12" s="41"/>
      <c r="P12" s="148">
        <f t="shared" ref="P12:P13" si="3">N12-O12</f>
        <v>0</v>
      </c>
      <c r="Q12" s="148">
        <f t="shared" ref="Q12:Q13" si="4">E12+J12+L12</f>
        <v>0</v>
      </c>
      <c r="R12" s="41"/>
      <c r="S12" s="148">
        <f t="shared" ref="S12:S13" si="5">Q12-R12</f>
        <v>0</v>
      </c>
      <c r="T12" s="148">
        <f t="shared" ref="T12:T13" si="6">M12+N12-Q12</f>
        <v>0</v>
      </c>
      <c r="U12" s="19"/>
      <c r="V12" s="19"/>
      <c r="W12" s="19"/>
    </row>
    <row r="13" spans="1:32" s="15" customFormat="1" ht="19.95" customHeight="1">
      <c r="A13" s="191"/>
      <c r="B13" s="85"/>
      <c r="C13" s="18"/>
      <c r="D13" s="18"/>
      <c r="E13" s="18"/>
      <c r="F13" s="148">
        <f t="shared" si="0"/>
        <v>0</v>
      </c>
      <c r="G13" s="18"/>
      <c r="H13" s="18"/>
      <c r="I13" s="18"/>
      <c r="J13" s="18"/>
      <c r="K13" s="18"/>
      <c r="L13" s="18"/>
      <c r="M13" s="148">
        <f t="shared" si="1"/>
        <v>0</v>
      </c>
      <c r="N13" s="148">
        <f t="shared" si="2"/>
        <v>0</v>
      </c>
      <c r="O13" s="41"/>
      <c r="P13" s="148">
        <f t="shared" si="3"/>
        <v>0</v>
      </c>
      <c r="Q13" s="148">
        <f t="shared" si="4"/>
        <v>0</v>
      </c>
      <c r="R13" s="41"/>
      <c r="S13" s="148">
        <f t="shared" si="5"/>
        <v>0</v>
      </c>
      <c r="T13" s="148">
        <f t="shared" si="6"/>
        <v>0</v>
      </c>
      <c r="U13" s="19"/>
      <c r="V13" s="19"/>
      <c r="W13" s="19"/>
    </row>
    <row r="14" spans="1:32" s="15" customFormat="1" ht="19.95" customHeight="1">
      <c r="A14" s="191"/>
      <c r="B14" s="85"/>
      <c r="C14" s="18"/>
      <c r="D14" s="18"/>
      <c r="E14" s="18"/>
      <c r="F14" s="148">
        <f t="shared" si="0"/>
        <v>0</v>
      </c>
      <c r="G14" s="18"/>
      <c r="H14" s="18"/>
      <c r="I14" s="18"/>
      <c r="J14" s="18"/>
      <c r="K14" s="18"/>
      <c r="L14" s="18"/>
      <c r="M14" s="148">
        <f t="shared" si="1"/>
        <v>0</v>
      </c>
      <c r="N14" s="148">
        <f t="shared" si="2"/>
        <v>0</v>
      </c>
      <c r="O14" s="41"/>
      <c r="P14" s="148">
        <f t="shared" ref="P14:P21" si="7">N14-O14</f>
        <v>0</v>
      </c>
      <c r="Q14" s="148">
        <f t="shared" ref="Q14:Q21" si="8">E14+J14+L14</f>
        <v>0</v>
      </c>
      <c r="R14" s="41"/>
      <c r="S14" s="148">
        <f t="shared" ref="S14:S21" si="9">Q14-R14</f>
        <v>0</v>
      </c>
      <c r="T14" s="148">
        <f t="shared" ref="T14:T21" si="10">M14+N14-Q14</f>
        <v>0</v>
      </c>
      <c r="U14" s="19"/>
      <c r="V14" s="19"/>
      <c r="W14" s="19"/>
    </row>
    <row r="15" spans="1:32" s="15" customFormat="1" ht="19.95" customHeight="1">
      <c r="A15" s="191"/>
      <c r="B15" s="85"/>
      <c r="C15" s="18"/>
      <c r="D15" s="18"/>
      <c r="E15" s="18"/>
      <c r="F15" s="148">
        <f t="shared" si="0"/>
        <v>0</v>
      </c>
      <c r="G15" s="18"/>
      <c r="H15" s="18"/>
      <c r="I15" s="18"/>
      <c r="J15" s="18"/>
      <c r="K15" s="18"/>
      <c r="L15" s="18"/>
      <c r="M15" s="148">
        <f t="shared" ref="M15:M21" si="11">C15+G15+H15</f>
        <v>0</v>
      </c>
      <c r="N15" s="148">
        <f t="shared" ref="N15:N21" si="12">D15+I15+K15</f>
        <v>0</v>
      </c>
      <c r="O15" s="41"/>
      <c r="P15" s="148">
        <f t="shared" si="7"/>
        <v>0</v>
      </c>
      <c r="Q15" s="148">
        <f t="shared" si="8"/>
        <v>0</v>
      </c>
      <c r="R15" s="41"/>
      <c r="S15" s="148">
        <f t="shared" si="9"/>
        <v>0</v>
      </c>
      <c r="T15" s="148">
        <f t="shared" si="10"/>
        <v>0</v>
      </c>
      <c r="U15" s="19"/>
      <c r="V15" s="19"/>
      <c r="W15" s="19"/>
    </row>
    <row r="16" spans="1:32" s="15" customFormat="1" ht="19.95" customHeight="1">
      <c r="A16" s="191"/>
      <c r="B16" s="85"/>
      <c r="C16" s="18"/>
      <c r="D16" s="18"/>
      <c r="E16" s="18"/>
      <c r="F16" s="148">
        <f t="shared" si="0"/>
        <v>0</v>
      </c>
      <c r="G16" s="18"/>
      <c r="H16" s="18"/>
      <c r="I16" s="18"/>
      <c r="J16" s="18"/>
      <c r="K16" s="18"/>
      <c r="L16" s="18"/>
      <c r="M16" s="148">
        <f t="shared" si="11"/>
        <v>0</v>
      </c>
      <c r="N16" s="148">
        <f t="shared" si="12"/>
        <v>0</v>
      </c>
      <c r="O16" s="41"/>
      <c r="P16" s="148">
        <f t="shared" si="7"/>
        <v>0</v>
      </c>
      <c r="Q16" s="148">
        <f t="shared" si="8"/>
        <v>0</v>
      </c>
      <c r="R16" s="41"/>
      <c r="S16" s="148">
        <f t="shared" si="9"/>
        <v>0</v>
      </c>
      <c r="T16" s="148">
        <f t="shared" si="10"/>
        <v>0</v>
      </c>
      <c r="U16" s="19"/>
      <c r="V16" s="19"/>
      <c r="W16" s="19"/>
    </row>
    <row r="17" spans="1:23" s="15" customFormat="1" ht="19.95" customHeight="1">
      <c r="A17" s="191"/>
      <c r="B17" s="85"/>
      <c r="C17" s="18"/>
      <c r="D17" s="18"/>
      <c r="E17" s="18"/>
      <c r="F17" s="148">
        <f t="shared" si="0"/>
        <v>0</v>
      </c>
      <c r="G17" s="18"/>
      <c r="H17" s="18"/>
      <c r="I17" s="18"/>
      <c r="J17" s="18"/>
      <c r="K17" s="18"/>
      <c r="L17" s="18"/>
      <c r="M17" s="148">
        <f t="shared" si="11"/>
        <v>0</v>
      </c>
      <c r="N17" s="148">
        <f t="shared" si="12"/>
        <v>0</v>
      </c>
      <c r="O17" s="41"/>
      <c r="P17" s="148">
        <f t="shared" si="7"/>
        <v>0</v>
      </c>
      <c r="Q17" s="148">
        <f t="shared" si="8"/>
        <v>0</v>
      </c>
      <c r="R17" s="41"/>
      <c r="S17" s="148">
        <f t="shared" si="9"/>
        <v>0</v>
      </c>
      <c r="T17" s="148">
        <f t="shared" si="10"/>
        <v>0</v>
      </c>
      <c r="U17" s="19"/>
      <c r="V17" s="19"/>
      <c r="W17" s="19"/>
    </row>
    <row r="18" spans="1:23" s="15" customFormat="1" ht="19.95" customHeight="1">
      <c r="A18" s="191"/>
      <c r="B18" s="85"/>
      <c r="C18" s="18"/>
      <c r="D18" s="18"/>
      <c r="E18" s="18"/>
      <c r="F18" s="148">
        <f t="shared" si="0"/>
        <v>0</v>
      </c>
      <c r="G18" s="18"/>
      <c r="H18" s="18"/>
      <c r="I18" s="18"/>
      <c r="J18" s="18"/>
      <c r="K18" s="18"/>
      <c r="L18" s="18"/>
      <c r="M18" s="148">
        <f t="shared" si="11"/>
        <v>0</v>
      </c>
      <c r="N18" s="148">
        <f t="shared" si="12"/>
        <v>0</v>
      </c>
      <c r="O18" s="41"/>
      <c r="P18" s="148">
        <f t="shared" si="7"/>
        <v>0</v>
      </c>
      <c r="Q18" s="148">
        <f t="shared" si="8"/>
        <v>0</v>
      </c>
      <c r="R18" s="41"/>
      <c r="S18" s="148">
        <f t="shared" si="9"/>
        <v>0</v>
      </c>
      <c r="T18" s="148">
        <f t="shared" si="10"/>
        <v>0</v>
      </c>
      <c r="U18" s="19"/>
      <c r="V18" s="19"/>
      <c r="W18" s="19"/>
    </row>
    <row r="19" spans="1:23" s="15" customFormat="1" ht="19.95" customHeight="1">
      <c r="A19" s="191"/>
      <c r="B19" s="85"/>
      <c r="C19" s="18"/>
      <c r="D19" s="18"/>
      <c r="E19" s="18"/>
      <c r="F19" s="148">
        <f t="shared" si="0"/>
        <v>0</v>
      </c>
      <c r="G19" s="18"/>
      <c r="H19" s="18"/>
      <c r="I19" s="18"/>
      <c r="J19" s="18"/>
      <c r="K19" s="18"/>
      <c r="L19" s="18"/>
      <c r="M19" s="148">
        <f t="shared" si="11"/>
        <v>0</v>
      </c>
      <c r="N19" s="148">
        <f t="shared" si="12"/>
        <v>0</v>
      </c>
      <c r="O19" s="41"/>
      <c r="P19" s="148">
        <f t="shared" si="7"/>
        <v>0</v>
      </c>
      <c r="Q19" s="148">
        <f t="shared" si="8"/>
        <v>0</v>
      </c>
      <c r="R19" s="41"/>
      <c r="S19" s="148">
        <f t="shared" si="9"/>
        <v>0</v>
      </c>
      <c r="T19" s="148">
        <f t="shared" si="10"/>
        <v>0</v>
      </c>
      <c r="U19" s="19"/>
      <c r="V19" s="19"/>
      <c r="W19" s="19"/>
    </row>
    <row r="20" spans="1:23" s="15" customFormat="1" ht="19.95" customHeight="1">
      <c r="A20" s="191"/>
      <c r="B20" s="85"/>
      <c r="C20" s="18"/>
      <c r="D20" s="18"/>
      <c r="E20" s="18"/>
      <c r="F20" s="148">
        <f t="shared" si="0"/>
        <v>0</v>
      </c>
      <c r="G20" s="18"/>
      <c r="H20" s="18"/>
      <c r="I20" s="18"/>
      <c r="J20" s="18"/>
      <c r="K20" s="18"/>
      <c r="L20" s="18"/>
      <c r="M20" s="148">
        <f t="shared" si="11"/>
        <v>0</v>
      </c>
      <c r="N20" s="148">
        <f t="shared" si="12"/>
        <v>0</v>
      </c>
      <c r="O20" s="41"/>
      <c r="P20" s="148">
        <f t="shared" si="7"/>
        <v>0</v>
      </c>
      <c r="Q20" s="148">
        <f t="shared" si="8"/>
        <v>0</v>
      </c>
      <c r="R20" s="41"/>
      <c r="S20" s="148">
        <f t="shared" si="9"/>
        <v>0</v>
      </c>
      <c r="T20" s="148">
        <f t="shared" si="10"/>
        <v>0</v>
      </c>
      <c r="U20" s="19"/>
      <c r="V20" s="19"/>
      <c r="W20" s="19"/>
    </row>
    <row r="21" spans="1:23" s="15" customFormat="1" ht="19.95" customHeight="1">
      <c r="A21" s="191"/>
      <c r="B21" s="85"/>
      <c r="C21" s="18"/>
      <c r="D21" s="18"/>
      <c r="E21" s="18"/>
      <c r="F21" s="148">
        <f t="shared" si="0"/>
        <v>0</v>
      </c>
      <c r="G21" s="18"/>
      <c r="H21" s="18"/>
      <c r="I21" s="18"/>
      <c r="J21" s="18"/>
      <c r="K21" s="18"/>
      <c r="L21" s="18"/>
      <c r="M21" s="148">
        <f t="shared" si="11"/>
        <v>0</v>
      </c>
      <c r="N21" s="148">
        <f t="shared" si="12"/>
        <v>0</v>
      </c>
      <c r="O21" s="41"/>
      <c r="P21" s="148">
        <f t="shared" si="7"/>
        <v>0</v>
      </c>
      <c r="Q21" s="148">
        <f t="shared" si="8"/>
        <v>0</v>
      </c>
      <c r="R21" s="41"/>
      <c r="S21" s="148">
        <f t="shared" si="9"/>
        <v>0</v>
      </c>
      <c r="T21" s="148">
        <f t="shared" si="10"/>
        <v>0</v>
      </c>
      <c r="U21" s="19"/>
      <c r="V21" s="19"/>
      <c r="W21" s="19"/>
    </row>
    <row r="22" spans="1:23" s="16" customFormat="1" ht="19.95" customHeight="1">
      <c r="A22" s="50" t="s">
        <v>115</v>
      </c>
      <c r="B22" s="87"/>
      <c r="C22" s="147">
        <f>SUM(C11:C21)</f>
        <v>0</v>
      </c>
      <c r="D22" s="147">
        <f t="shared" ref="D22:T22" si="13">SUM(D11:D21)</f>
        <v>0</v>
      </c>
      <c r="E22" s="147">
        <f t="shared" si="13"/>
        <v>0</v>
      </c>
      <c r="F22" s="147">
        <f>SUM(F11:F21)</f>
        <v>0</v>
      </c>
      <c r="G22" s="147">
        <f t="shared" si="13"/>
        <v>0</v>
      </c>
      <c r="H22" s="147">
        <f t="shared" si="13"/>
        <v>0</v>
      </c>
      <c r="I22" s="147">
        <f t="shared" si="13"/>
        <v>0</v>
      </c>
      <c r="J22" s="147">
        <f t="shared" si="13"/>
        <v>0</v>
      </c>
      <c r="K22" s="147">
        <f t="shared" si="13"/>
        <v>0</v>
      </c>
      <c r="L22" s="147">
        <f t="shared" si="13"/>
        <v>0</v>
      </c>
      <c r="M22" s="147">
        <f t="shared" si="13"/>
        <v>0</v>
      </c>
      <c r="N22" s="147">
        <f t="shared" si="13"/>
        <v>0</v>
      </c>
      <c r="O22" s="147">
        <f t="shared" si="13"/>
        <v>0</v>
      </c>
      <c r="P22" s="147">
        <f t="shared" si="13"/>
        <v>0</v>
      </c>
      <c r="Q22" s="147">
        <f t="shared" si="13"/>
        <v>0</v>
      </c>
      <c r="R22" s="147">
        <f t="shared" si="13"/>
        <v>0</v>
      </c>
      <c r="S22" s="147">
        <f t="shared" si="13"/>
        <v>0</v>
      </c>
      <c r="T22" s="147">
        <f t="shared" si="13"/>
        <v>0</v>
      </c>
      <c r="U22" s="42"/>
      <c r="V22" s="42"/>
      <c r="W22" s="43"/>
    </row>
    <row r="23" spans="1:23" s="15" customFormat="1" ht="19.95" customHeight="1">
      <c r="A23" s="52" t="s">
        <v>250</v>
      </c>
      <c r="B23" s="52"/>
      <c r="C23" s="22"/>
      <c r="D23" s="22"/>
      <c r="E23" s="22"/>
      <c r="F23" s="22"/>
      <c r="G23" s="22"/>
      <c r="H23" s="22"/>
      <c r="I23" s="22"/>
      <c r="J23" s="22"/>
      <c r="K23" s="22"/>
      <c r="L23" s="22"/>
      <c r="M23" s="22"/>
      <c r="N23" s="22"/>
      <c r="O23" s="22"/>
      <c r="P23" s="22"/>
      <c r="Q23" s="22"/>
      <c r="R23" s="22"/>
      <c r="S23" s="22"/>
      <c r="T23" s="22"/>
      <c r="U23" s="22"/>
      <c r="V23" s="22"/>
      <c r="W23" s="22"/>
    </row>
    <row r="24" spans="1:23" s="15" customFormat="1" ht="19.95" customHeight="1">
      <c r="A24" s="207" t="s">
        <v>334</v>
      </c>
      <c r="B24" s="208"/>
      <c r="C24" s="13"/>
      <c r="D24" s="13"/>
      <c r="E24" s="13"/>
      <c r="F24" s="13"/>
      <c r="G24" s="13"/>
      <c r="H24" s="13"/>
      <c r="I24" s="13"/>
      <c r="J24" s="13"/>
      <c r="K24" s="13"/>
      <c r="L24" s="13"/>
      <c r="M24" s="13"/>
      <c r="N24" s="13"/>
      <c r="O24" s="13"/>
      <c r="P24" s="13"/>
      <c r="Q24" s="13"/>
      <c r="R24" s="13"/>
      <c r="S24" s="13"/>
      <c r="T24" s="13"/>
      <c r="U24" s="13"/>
      <c r="V24" s="13"/>
      <c r="W24" s="13"/>
    </row>
    <row r="25" spans="1:23" s="15" customFormat="1" ht="19.95" customHeight="1">
      <c r="A25" s="13"/>
      <c r="B25" s="13"/>
      <c r="C25" s="13"/>
      <c r="D25" s="13"/>
      <c r="E25" s="13"/>
      <c r="F25" s="13"/>
      <c r="G25" s="13"/>
      <c r="H25" s="13"/>
      <c r="I25" s="13"/>
      <c r="J25" s="13"/>
      <c r="K25" s="13"/>
      <c r="L25" s="13"/>
      <c r="M25" s="13"/>
      <c r="N25" s="13"/>
      <c r="O25" s="13"/>
      <c r="P25" s="13"/>
      <c r="Q25" s="13"/>
      <c r="R25" s="13"/>
      <c r="S25" s="13"/>
      <c r="T25" s="13"/>
      <c r="U25" s="13"/>
      <c r="V25" s="13"/>
      <c r="W25" s="13"/>
    </row>
    <row r="26" spans="1:23" s="15" customFormat="1" ht="19.95" customHeight="1">
      <c r="A26" s="31" t="s">
        <v>62</v>
      </c>
      <c r="B26" s="31"/>
      <c r="C26" s="13"/>
      <c r="D26" s="13"/>
      <c r="E26" s="13"/>
      <c r="F26" s="13"/>
      <c r="G26" s="13"/>
      <c r="H26" s="13"/>
      <c r="I26" s="13"/>
      <c r="J26" s="13"/>
      <c r="K26" s="13"/>
      <c r="L26" s="13"/>
      <c r="M26" s="13"/>
      <c r="N26" s="13"/>
      <c r="O26" s="13"/>
      <c r="P26" s="13"/>
      <c r="Q26" s="13"/>
      <c r="R26" s="13"/>
      <c r="S26" s="13"/>
      <c r="T26" s="13"/>
      <c r="U26" s="13"/>
      <c r="V26" s="13"/>
      <c r="W26" s="13"/>
    </row>
    <row r="27" spans="1:23" s="15" customFormat="1" ht="19.95" customHeight="1">
      <c r="A27" s="53"/>
      <c r="B27" s="53"/>
      <c r="C27" s="53"/>
      <c r="D27" s="53"/>
      <c r="E27" s="53"/>
      <c r="F27" s="53"/>
      <c r="G27" s="53"/>
      <c r="H27" s="53"/>
      <c r="I27" s="53"/>
      <c r="J27" s="53"/>
      <c r="K27" s="53"/>
      <c r="L27" s="53"/>
      <c r="M27" s="53"/>
      <c r="N27" s="53"/>
      <c r="O27" s="53"/>
      <c r="P27" s="53"/>
      <c r="Q27" s="53"/>
      <c r="R27" s="53"/>
      <c r="S27" s="53"/>
      <c r="T27" s="53"/>
      <c r="U27" s="53"/>
      <c r="V27" s="53"/>
      <c r="W27" s="53"/>
    </row>
    <row r="28" spans="1:23" ht="19.95" customHeight="1">
      <c r="A28" s="53"/>
      <c r="B28" s="53"/>
      <c r="C28" s="53"/>
      <c r="D28" s="53"/>
      <c r="E28" s="53"/>
      <c r="F28" s="53"/>
      <c r="G28" s="53"/>
      <c r="H28" s="53"/>
      <c r="I28" s="53"/>
      <c r="J28" s="53"/>
      <c r="K28" s="53"/>
      <c r="L28" s="53"/>
      <c r="M28" s="53"/>
      <c r="N28" s="53"/>
      <c r="O28" s="53"/>
      <c r="P28" s="53"/>
      <c r="Q28" s="53"/>
      <c r="R28" s="53"/>
      <c r="S28" s="53"/>
      <c r="T28" s="53"/>
      <c r="U28" s="53"/>
      <c r="V28" s="53"/>
      <c r="W28" s="53"/>
    </row>
    <row r="29" spans="1:23" ht="18" customHeight="1">
      <c r="A29" s="51" t="s">
        <v>300</v>
      </c>
      <c r="B29" s="51"/>
      <c r="D29" s="15"/>
      <c r="E29" s="15"/>
      <c r="F29" s="15"/>
      <c r="I29" s="15"/>
      <c r="J29" s="15"/>
      <c r="K29" s="15"/>
      <c r="L29" s="15"/>
      <c r="T29" s="15"/>
      <c r="U29" s="15"/>
      <c r="V29" s="15"/>
      <c r="W29" s="15"/>
    </row>
    <row r="30" spans="1:23" ht="18" customHeight="1">
      <c r="A30" s="20" t="s">
        <v>320</v>
      </c>
      <c r="B30" s="20"/>
      <c r="D30" s="15"/>
      <c r="E30" s="15"/>
      <c r="F30" s="15"/>
      <c r="I30" s="15"/>
      <c r="J30" s="15"/>
      <c r="K30" s="15"/>
      <c r="L30" s="15"/>
      <c r="T30" s="15"/>
      <c r="U30" s="15"/>
      <c r="V30" s="15"/>
      <c r="W30" s="15"/>
    </row>
    <row r="31" spans="1:23" ht="18" customHeight="1">
      <c r="A31" s="20" t="s">
        <v>319</v>
      </c>
      <c r="B31" s="20"/>
      <c r="C31" s="15"/>
      <c r="D31" s="15"/>
      <c r="E31" s="15"/>
      <c r="F31" s="15"/>
      <c r="G31" s="15"/>
      <c r="H31" s="15"/>
      <c r="I31" s="15"/>
      <c r="J31" s="15"/>
      <c r="K31" s="15"/>
      <c r="L31" s="15"/>
      <c r="M31" s="15"/>
      <c r="N31" s="15"/>
      <c r="O31" s="15"/>
      <c r="P31" s="15"/>
      <c r="Q31" s="15"/>
      <c r="R31" s="15"/>
      <c r="S31" s="15"/>
      <c r="T31" s="15"/>
      <c r="U31" s="15"/>
      <c r="V31" s="15"/>
      <c r="W31" s="15"/>
    </row>
    <row r="32" spans="1:23" ht="15" customHeight="1">
      <c r="A32" s="20" t="s">
        <v>365</v>
      </c>
      <c r="B32" s="21"/>
      <c r="C32" s="15"/>
      <c r="D32" s="15"/>
      <c r="E32" s="15"/>
      <c r="F32" s="15"/>
      <c r="G32" s="15"/>
      <c r="H32" s="15"/>
      <c r="I32" s="15"/>
      <c r="J32" s="15"/>
      <c r="K32" s="15"/>
      <c r="L32" s="15"/>
      <c r="M32" s="15"/>
      <c r="N32" s="15"/>
      <c r="O32" s="15"/>
      <c r="P32" s="15"/>
      <c r="Q32" s="15"/>
      <c r="R32" s="15"/>
      <c r="S32" s="15"/>
      <c r="T32" s="15"/>
      <c r="U32" s="15"/>
      <c r="V32" s="15"/>
      <c r="W32" s="15"/>
    </row>
    <row r="33" spans="1:8">
      <c r="A33" s="20" t="s">
        <v>366</v>
      </c>
      <c r="B33" s="14"/>
      <c r="C33" s="14"/>
      <c r="D33" s="14"/>
      <c r="E33" s="14"/>
      <c r="F33" s="14"/>
      <c r="G33" s="14"/>
      <c r="H33" s="14"/>
    </row>
    <row r="34" spans="1:8">
      <c r="A34" s="20"/>
      <c r="B34" s="20"/>
      <c r="C34" s="14"/>
      <c r="D34" s="14"/>
      <c r="E34" s="14"/>
      <c r="F34" s="14"/>
      <c r="G34" s="14"/>
      <c r="H34" s="14"/>
    </row>
    <row r="35" spans="1:8">
      <c r="A35" s="36"/>
      <c r="B35" s="36"/>
      <c r="C35" s="14"/>
      <c r="D35" s="14"/>
      <c r="E35" s="14"/>
      <c r="F35" s="14"/>
      <c r="G35" s="14"/>
      <c r="H35" s="14"/>
    </row>
    <row r="36" spans="1:8">
      <c r="A36" s="55"/>
      <c r="B36" s="36"/>
      <c r="C36" s="14"/>
      <c r="D36" s="14"/>
      <c r="E36" s="14"/>
      <c r="F36" s="14"/>
      <c r="G36" s="14"/>
      <c r="H36" s="14"/>
    </row>
    <row r="37" spans="1:8">
      <c r="A37" s="37"/>
      <c r="B37" s="36"/>
      <c r="C37" s="14"/>
      <c r="D37" s="14"/>
      <c r="E37" s="14"/>
      <c r="F37" s="14"/>
      <c r="G37" s="14"/>
      <c r="H37" s="14"/>
    </row>
    <row r="38" spans="1:8">
      <c r="A38" s="37"/>
      <c r="B38" s="36"/>
      <c r="C38" s="14"/>
      <c r="D38" s="14"/>
      <c r="E38" s="14"/>
      <c r="F38" s="14"/>
      <c r="G38" s="14"/>
      <c r="H38" s="14"/>
    </row>
    <row r="39" spans="1:8">
      <c r="A39" s="37"/>
      <c r="B39" s="36"/>
      <c r="C39" s="14"/>
      <c r="D39" s="14"/>
      <c r="E39" s="14"/>
      <c r="F39" s="14"/>
      <c r="G39" s="14"/>
      <c r="H39" s="14"/>
    </row>
    <row r="40" spans="1:8">
      <c r="A40" s="14"/>
      <c r="B40" s="14"/>
      <c r="C40" s="14"/>
      <c r="D40" s="14"/>
      <c r="E40" s="14"/>
      <c r="F40" s="14"/>
      <c r="G40" s="14"/>
      <c r="H40" s="14"/>
    </row>
    <row r="41" spans="1:8">
      <c r="A41" s="14"/>
      <c r="B41" s="14"/>
      <c r="C41" s="14"/>
      <c r="D41" s="14"/>
      <c r="E41" s="14"/>
      <c r="F41" s="14"/>
      <c r="G41" s="14"/>
      <c r="H41" s="14"/>
    </row>
  </sheetData>
  <mergeCells count="28">
    <mergeCell ref="A1:W1"/>
    <mergeCell ref="A2:W2"/>
    <mergeCell ref="R9:S9"/>
    <mergeCell ref="C9:C10"/>
    <mergeCell ref="D9:D10"/>
    <mergeCell ref="I9:I10"/>
    <mergeCell ref="C8:F8"/>
    <mergeCell ref="G8:H8"/>
    <mergeCell ref="I8:J8"/>
    <mergeCell ref="K8:L8"/>
    <mergeCell ref="W8:W10"/>
    <mergeCell ref="O9:P9"/>
    <mergeCell ref="Q9:Q10"/>
    <mergeCell ref="A8:A10"/>
    <mergeCell ref="T9:T10"/>
    <mergeCell ref="V8:V10"/>
    <mergeCell ref="B8:B10"/>
    <mergeCell ref="U8:U10"/>
    <mergeCell ref="M8:T8"/>
    <mergeCell ref="E9:E10"/>
    <mergeCell ref="F9:F10"/>
    <mergeCell ref="G9:G10"/>
    <mergeCell ref="H9:H10"/>
    <mergeCell ref="J9:J10"/>
    <mergeCell ref="K9:K10"/>
    <mergeCell ref="L9:L10"/>
    <mergeCell ref="M9:M10"/>
    <mergeCell ref="N9:N10"/>
  </mergeCells>
  <phoneticPr fontId="12" type="noConversion"/>
  <dataValidations count="1">
    <dataValidation type="list" allowBlank="1" showInputMessage="1" showErrorMessage="1" sqref="B11:B21">
      <formula1>"与资产相关的政府补助,与收益相关的政府补助,其他"</formula1>
    </dataValidation>
  </dataValidations>
  <hyperlinks>
    <hyperlink ref="W3" location="底稿目录!A1" display="底稿目录!A1"/>
  </hyperlinks>
  <printOptions horizontalCentered="1"/>
  <pageMargins left="0.70866141732283472" right="0.70866141732283472" top="0.74803149606299213" bottom="0.74803149606299213" header="0.31496062992125984" footer="0.31496062992125984"/>
  <pageSetup paperSize="9" scale="55" fitToHeight="0" orientation="landscape" blackAndWhite="1" cellComments="asDisplayed"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5"/>
  <sheetViews>
    <sheetView view="pageBreakPreview" zoomScaleNormal="100" zoomScaleSheetLayoutView="100" workbookViewId="0">
      <selection sqref="A1:J1"/>
    </sheetView>
  </sheetViews>
  <sheetFormatPr defaultRowHeight="15.6"/>
  <cols>
    <col min="1" max="1" width="21.796875" customWidth="1"/>
    <col min="2" max="2" width="17.09765625" customWidth="1"/>
    <col min="3" max="3" width="11.8984375" customWidth="1"/>
    <col min="4" max="4" width="12.296875" customWidth="1"/>
    <col min="5" max="5" width="15.296875" customWidth="1"/>
    <col min="6" max="6" width="9.59765625" customWidth="1"/>
    <col min="7" max="7" width="10.59765625" customWidth="1"/>
    <col min="8" max="8" width="10.796875" customWidth="1"/>
    <col min="9" max="9" width="7.296875" customWidth="1"/>
    <col min="10" max="10" width="7.796875" customWidth="1"/>
  </cols>
  <sheetData>
    <row r="1" spans="1:10" ht="19.95" customHeight="1">
      <c r="A1" s="328" t="s">
        <v>58</v>
      </c>
      <c r="B1" s="328"/>
      <c r="C1" s="328"/>
      <c r="D1" s="328"/>
      <c r="E1" s="328"/>
      <c r="F1" s="328"/>
      <c r="G1" s="328"/>
      <c r="H1" s="328"/>
      <c r="I1" s="328"/>
      <c r="J1" s="328"/>
    </row>
    <row r="2" spans="1:10" ht="19.95" customHeight="1">
      <c r="A2" s="290" t="s">
        <v>174</v>
      </c>
      <c r="B2" s="290"/>
      <c r="C2" s="290"/>
      <c r="D2" s="291"/>
      <c r="E2" s="291"/>
      <c r="F2" s="291"/>
      <c r="G2" s="291"/>
      <c r="H2" s="291"/>
      <c r="I2" s="291"/>
      <c r="J2" s="291"/>
    </row>
    <row r="3" spans="1:10" ht="19.95" customHeight="1">
      <c r="A3" s="2" t="str">
        <f>底稿目录!A2</f>
        <v>被审计单位：</v>
      </c>
      <c r="B3" s="2"/>
      <c r="C3" s="2" t="str">
        <f>底稿目录!A4</f>
        <v>编制人：</v>
      </c>
      <c r="E3" s="2" t="str">
        <f>底稿目录!A5</f>
        <v>编制日期：</v>
      </c>
      <c r="H3" s="2"/>
      <c r="I3" s="155" t="s">
        <v>204</v>
      </c>
      <c r="J3" s="246" t="str">
        <f>底稿目录!F9</f>
        <v>K7-3</v>
      </c>
    </row>
    <row r="4" spans="1:10" ht="19.95" customHeight="1">
      <c r="A4" s="2" t="str">
        <f>底稿目录!A3</f>
        <v>截止日：202X年12月31日</v>
      </c>
      <c r="B4" s="2"/>
      <c r="C4" s="2" t="str">
        <f>底稿目录!A6</f>
        <v>复核人：</v>
      </c>
      <c r="E4" s="2" t="str">
        <f>底稿目录!A7</f>
        <v>复核日期：</v>
      </c>
      <c r="H4" s="2"/>
      <c r="I4" s="155" t="s">
        <v>205</v>
      </c>
      <c r="J4" s="149"/>
    </row>
    <row r="5" spans="1:10" ht="37.200000000000003" customHeight="1">
      <c r="A5" s="97" t="s">
        <v>166</v>
      </c>
      <c r="B5" s="230" t="s">
        <v>167</v>
      </c>
      <c r="C5" s="253" t="s">
        <v>243</v>
      </c>
      <c r="D5" s="98" t="s">
        <v>168</v>
      </c>
      <c r="E5" s="98" t="s">
        <v>169</v>
      </c>
      <c r="F5" s="99" t="s">
        <v>170</v>
      </c>
      <c r="G5" s="98" t="s">
        <v>171</v>
      </c>
      <c r="H5" s="98" t="s">
        <v>172</v>
      </c>
      <c r="I5" s="98" t="s">
        <v>173</v>
      </c>
      <c r="J5" s="98" t="s">
        <v>106</v>
      </c>
    </row>
    <row r="6" spans="1:10" ht="19.95" customHeight="1">
      <c r="A6" s="196"/>
      <c r="B6" s="196"/>
      <c r="C6" s="177"/>
      <c r="D6" s="196"/>
      <c r="E6" s="196"/>
      <c r="F6" s="196"/>
      <c r="G6" s="197"/>
      <c r="H6" s="197"/>
      <c r="I6" s="198"/>
      <c r="J6" s="196"/>
    </row>
    <row r="7" spans="1:10" ht="19.95" customHeight="1">
      <c r="A7" s="196"/>
      <c r="B7" s="196"/>
      <c r="C7" s="177"/>
      <c r="D7" s="196"/>
      <c r="E7" s="196"/>
      <c r="F7" s="196"/>
      <c r="G7" s="197"/>
      <c r="H7" s="197"/>
      <c r="I7" s="198"/>
      <c r="J7" s="196"/>
    </row>
    <row r="8" spans="1:10" ht="19.95" customHeight="1">
      <c r="A8" s="196"/>
      <c r="B8" s="196"/>
      <c r="C8" s="177"/>
      <c r="D8" s="196"/>
      <c r="E8" s="196"/>
      <c r="F8" s="196"/>
      <c r="G8" s="197"/>
      <c r="H8" s="197"/>
      <c r="I8" s="198"/>
      <c r="J8" s="196"/>
    </row>
    <row r="9" spans="1:10" ht="19.95" customHeight="1">
      <c r="A9" s="196"/>
      <c r="B9" s="196"/>
      <c r="C9" s="177"/>
      <c r="D9" s="196"/>
      <c r="E9" s="196"/>
      <c r="F9" s="196"/>
      <c r="G9" s="197"/>
      <c r="H9" s="197"/>
      <c r="I9" s="198"/>
      <c r="J9" s="196"/>
    </row>
    <row r="10" spans="1:10" ht="19.95" customHeight="1">
      <c r="A10" s="196"/>
      <c r="B10" s="196"/>
      <c r="C10" s="177"/>
      <c r="D10" s="196"/>
      <c r="E10" s="196"/>
      <c r="F10" s="196"/>
      <c r="G10" s="197"/>
      <c r="H10" s="197"/>
      <c r="I10" s="198"/>
      <c r="J10" s="196"/>
    </row>
    <row r="11" spans="1:10" ht="19.95" customHeight="1">
      <c r="A11" s="196"/>
      <c r="B11" s="196"/>
      <c r="C11" s="177"/>
      <c r="D11" s="196"/>
      <c r="E11" s="196"/>
      <c r="F11" s="196"/>
      <c r="G11" s="197"/>
      <c r="H11" s="197"/>
      <c r="I11" s="198"/>
      <c r="J11" s="196"/>
    </row>
    <row r="12" spans="1:10" ht="19.95" customHeight="1">
      <c r="A12" s="196"/>
      <c r="B12" s="196"/>
      <c r="C12" s="177"/>
      <c r="D12" s="196"/>
      <c r="E12" s="196"/>
      <c r="F12" s="196"/>
      <c r="G12" s="197"/>
      <c r="H12" s="197"/>
      <c r="I12" s="198"/>
      <c r="J12" s="196"/>
    </row>
    <row r="13" spans="1:10" ht="19.95" customHeight="1">
      <c r="A13" s="196"/>
      <c r="B13" s="196"/>
      <c r="C13" s="177"/>
      <c r="D13" s="196"/>
      <c r="E13" s="196"/>
      <c r="F13" s="196"/>
      <c r="G13" s="197"/>
      <c r="H13" s="197"/>
      <c r="I13" s="198"/>
      <c r="J13" s="196"/>
    </row>
    <row r="14" spans="1:10" ht="19.95" customHeight="1">
      <c r="A14" s="196"/>
      <c r="B14" s="196"/>
      <c r="C14" s="177"/>
      <c r="D14" s="196"/>
      <c r="E14" s="196"/>
      <c r="F14" s="196"/>
      <c r="G14" s="197"/>
      <c r="H14" s="197"/>
      <c r="I14" s="198"/>
      <c r="J14" s="196"/>
    </row>
    <row r="15" spans="1:10" ht="19.95" customHeight="1">
      <c r="A15" s="196"/>
      <c r="B15" s="196"/>
      <c r="C15" s="177"/>
      <c r="D15" s="196"/>
      <c r="E15" s="196"/>
      <c r="F15" s="196"/>
      <c r="G15" s="197"/>
      <c r="H15" s="197"/>
      <c r="I15" s="198"/>
      <c r="J15" s="196"/>
    </row>
    <row r="16" spans="1:10" ht="19.95" customHeight="1">
      <c r="A16" s="196"/>
      <c r="B16" s="196"/>
      <c r="C16" s="177"/>
      <c r="D16" s="196"/>
      <c r="E16" s="196"/>
      <c r="F16" s="196"/>
      <c r="G16" s="197"/>
      <c r="H16" s="197"/>
      <c r="I16" s="198"/>
      <c r="J16" s="196"/>
    </row>
    <row r="17" spans="1:10" ht="19.95" customHeight="1">
      <c r="A17" s="196"/>
      <c r="B17" s="196"/>
      <c r="C17" s="177"/>
      <c r="D17" s="196"/>
      <c r="E17" s="196"/>
      <c r="F17" s="196"/>
      <c r="G17" s="197"/>
      <c r="H17" s="197"/>
      <c r="I17" s="198"/>
      <c r="J17" s="196"/>
    </row>
    <row r="18" spans="1:10" ht="19.95" customHeight="1">
      <c r="A18" s="196"/>
      <c r="B18" s="196"/>
      <c r="C18" s="177"/>
      <c r="D18" s="196"/>
      <c r="E18" s="196"/>
      <c r="F18" s="196"/>
      <c r="G18" s="197"/>
      <c r="H18" s="197"/>
      <c r="I18" s="198"/>
      <c r="J18" s="196"/>
    </row>
    <row r="19" spans="1:10" ht="19.95" customHeight="1">
      <c r="A19" s="196"/>
      <c r="B19" s="196"/>
      <c r="C19" s="177"/>
      <c r="D19" s="196"/>
      <c r="E19" s="196"/>
      <c r="F19" s="196"/>
      <c r="G19" s="197"/>
      <c r="H19" s="197"/>
      <c r="I19" s="198"/>
      <c r="J19" s="196"/>
    </row>
    <row r="20" spans="1:10" ht="19.95" customHeight="1">
      <c r="A20" s="196"/>
      <c r="B20" s="196"/>
      <c r="C20" s="177"/>
      <c r="D20" s="196"/>
      <c r="E20" s="196"/>
      <c r="F20" s="196"/>
      <c r="G20" s="197"/>
      <c r="H20" s="197"/>
      <c r="I20" s="198"/>
      <c r="J20" s="196"/>
    </row>
    <row r="21" spans="1:10">
      <c r="A21" s="101"/>
      <c r="B21" s="101"/>
      <c r="C21" s="101"/>
      <c r="D21" s="101"/>
      <c r="E21" s="101"/>
      <c r="F21" s="101"/>
      <c r="G21" s="101"/>
      <c r="H21" s="101"/>
      <c r="I21" s="101"/>
      <c r="J21" s="101"/>
    </row>
    <row r="22" spans="1:10">
      <c r="A22" s="101"/>
      <c r="B22" s="101"/>
      <c r="C22" s="101"/>
      <c r="D22" s="101"/>
      <c r="E22" s="101"/>
      <c r="F22" s="101"/>
      <c r="G22" s="101"/>
      <c r="H22" s="101"/>
      <c r="I22" s="101"/>
      <c r="J22" s="101"/>
    </row>
    <row r="23" spans="1:10">
      <c r="A23" s="329" t="s">
        <v>321</v>
      </c>
      <c r="B23" s="330"/>
      <c r="C23" s="330"/>
      <c r="D23" s="330"/>
      <c r="E23" s="330"/>
      <c r="F23" s="330"/>
      <c r="G23" s="330"/>
      <c r="H23" s="330"/>
      <c r="I23" s="330"/>
      <c r="J23" s="330"/>
    </row>
    <row r="24" spans="1:10">
      <c r="A24" s="101"/>
      <c r="B24" s="101"/>
      <c r="C24" s="101"/>
      <c r="D24" s="101"/>
      <c r="E24" s="101"/>
      <c r="F24" s="101"/>
      <c r="G24" s="101"/>
      <c r="H24" s="101"/>
      <c r="I24" s="101"/>
      <c r="J24" s="101"/>
    </row>
    <row r="25" spans="1:10">
      <c r="A25" s="101"/>
      <c r="B25" s="101"/>
      <c r="C25" s="101"/>
      <c r="D25" s="101"/>
      <c r="E25" s="101"/>
      <c r="F25" s="101"/>
      <c r="G25" s="101"/>
      <c r="H25" s="101"/>
      <c r="I25" s="101"/>
      <c r="J25" s="101"/>
    </row>
  </sheetData>
  <mergeCells count="3">
    <mergeCell ref="A1:J1"/>
    <mergeCell ref="A2:J2"/>
    <mergeCell ref="A23:J23"/>
  </mergeCells>
  <phoneticPr fontId="12"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AA26"/>
  <sheetViews>
    <sheetView view="pageBreakPreview" zoomScaleSheetLayoutView="100" workbookViewId="0">
      <selection sqref="A1:R1"/>
    </sheetView>
  </sheetViews>
  <sheetFormatPr defaultColWidth="9" defaultRowHeight="15.6"/>
  <cols>
    <col min="1" max="1" width="19.8984375" style="17" customWidth="1"/>
    <col min="2" max="2" width="10.5" style="17" bestFit="1" customWidth="1"/>
    <col min="3" max="3" width="11.09765625" style="17" customWidth="1"/>
    <col min="4" max="4" width="10.8984375" style="17" customWidth="1"/>
    <col min="5" max="5" width="9.19921875" style="17" bestFit="1" customWidth="1"/>
    <col min="6" max="6" width="10.3984375" style="17" customWidth="1"/>
    <col min="7" max="7" width="13.19921875" style="17" customWidth="1"/>
    <col min="8" max="8" width="13.69921875" style="17" customWidth="1"/>
    <col min="9" max="9" width="8.09765625" style="17" customWidth="1"/>
    <col min="10" max="10" width="9.69921875" style="17" customWidth="1"/>
    <col min="11" max="11" width="9.5" style="17" customWidth="1"/>
    <col min="12" max="13" width="10.5" style="17" customWidth="1"/>
    <col min="14" max="14" width="10.69921875" style="17" customWidth="1"/>
    <col min="15" max="15" width="11.796875" style="17" customWidth="1"/>
    <col min="16" max="16" width="12.19921875" style="17" bestFit="1" customWidth="1"/>
    <col min="17" max="17" width="12.296875" style="17" customWidth="1"/>
    <col min="18" max="18" width="9" style="17" customWidth="1"/>
    <col min="19" max="16384" width="9" style="17"/>
  </cols>
  <sheetData>
    <row r="1" spans="1:27" s="12" customFormat="1" ht="19.95" customHeight="1">
      <c r="A1" s="318" t="s">
        <v>58</v>
      </c>
      <c r="B1" s="318"/>
      <c r="C1" s="318"/>
      <c r="D1" s="318"/>
      <c r="E1" s="318"/>
      <c r="F1" s="318"/>
      <c r="G1" s="318"/>
      <c r="H1" s="318"/>
      <c r="I1" s="318"/>
      <c r="J1" s="318"/>
      <c r="K1" s="318"/>
      <c r="L1" s="318"/>
      <c r="M1" s="318"/>
      <c r="N1" s="318"/>
      <c r="O1" s="318"/>
      <c r="P1" s="318"/>
      <c r="Q1" s="318"/>
      <c r="R1" s="318"/>
      <c r="S1" s="11"/>
      <c r="T1" s="11"/>
      <c r="U1" s="11"/>
      <c r="V1" s="11"/>
      <c r="W1" s="11"/>
      <c r="X1" s="11"/>
      <c r="Y1" s="11"/>
      <c r="Z1" s="11"/>
      <c r="AA1" s="11"/>
    </row>
    <row r="2" spans="1:27" s="12" customFormat="1" ht="19.95" customHeight="1">
      <c r="A2" s="319" t="s">
        <v>116</v>
      </c>
      <c r="B2" s="319"/>
      <c r="C2" s="319"/>
      <c r="D2" s="319"/>
      <c r="E2" s="319"/>
      <c r="F2" s="319"/>
      <c r="G2" s="319"/>
      <c r="H2" s="319"/>
      <c r="I2" s="319"/>
      <c r="J2" s="319"/>
      <c r="K2" s="319"/>
      <c r="L2" s="319"/>
      <c r="M2" s="319"/>
      <c r="N2" s="319"/>
      <c r="O2" s="319"/>
      <c r="P2" s="319"/>
      <c r="Q2" s="319"/>
      <c r="R2" s="319"/>
      <c r="S2" s="11"/>
      <c r="T2" s="11"/>
      <c r="U2" s="11"/>
      <c r="V2" s="11"/>
      <c r="W2" s="11"/>
      <c r="X2" s="11"/>
      <c r="Y2" s="11"/>
      <c r="Z2" s="11"/>
      <c r="AA2" s="11"/>
    </row>
    <row r="3" spans="1:27" s="111" customFormat="1" ht="19.95" customHeight="1">
      <c r="A3" s="13" t="str">
        <f>底稿目录!A2</f>
        <v>被审计单位：</v>
      </c>
      <c r="B3" s="110"/>
      <c r="C3" s="110"/>
      <c r="D3" s="110"/>
      <c r="E3" s="110"/>
      <c r="F3" s="110"/>
      <c r="G3" s="13" t="str">
        <f>底稿目录!A4</f>
        <v>编制人：</v>
      </c>
      <c r="N3" s="13" t="str">
        <f>底稿目录!A5</f>
        <v>编制日期：</v>
      </c>
      <c r="Q3" s="193" t="s">
        <v>207</v>
      </c>
      <c r="R3" s="246" t="str">
        <f>底稿目录!F10</f>
        <v>K7-4</v>
      </c>
    </row>
    <row r="4" spans="1:27" s="111" customFormat="1" ht="19.95" customHeight="1">
      <c r="A4" s="13" t="str">
        <f>底稿目录!A3</f>
        <v>截止日：202X年12月31日</v>
      </c>
      <c r="B4" s="110"/>
      <c r="C4" s="110"/>
      <c r="D4" s="110"/>
      <c r="E4" s="110"/>
      <c r="F4" s="110"/>
      <c r="G4" s="13" t="str">
        <f>底稿目录!A6</f>
        <v>复核人：</v>
      </c>
      <c r="N4" s="14" t="str">
        <f>底稿目录!A7</f>
        <v>复核日期：</v>
      </c>
      <c r="Q4" s="247" t="s">
        <v>360</v>
      </c>
    </row>
    <row r="5" spans="1:27" s="14" customFormat="1" ht="19.95" customHeight="1">
      <c r="A5" s="40" t="s">
        <v>219</v>
      </c>
      <c r="B5" s="13"/>
      <c r="C5" s="13"/>
      <c r="D5" s="13"/>
      <c r="E5" s="13"/>
      <c r="F5" s="13"/>
      <c r="G5" s="13"/>
      <c r="Q5" s="49"/>
      <c r="R5" s="13"/>
    </row>
    <row r="6" spans="1:27" s="14" customFormat="1" ht="19.95" customHeight="1">
      <c r="A6" s="205" t="s">
        <v>282</v>
      </c>
      <c r="B6" s="13"/>
      <c r="C6" s="13"/>
      <c r="D6" s="13"/>
      <c r="E6" s="13"/>
      <c r="F6" s="13"/>
      <c r="G6" s="13"/>
      <c r="Q6" s="49"/>
      <c r="R6" s="13"/>
    </row>
    <row r="7" spans="1:27" s="14" customFormat="1" ht="19.95" customHeight="1">
      <c r="A7" s="40" t="s">
        <v>97</v>
      </c>
      <c r="B7" s="13"/>
      <c r="C7" s="13"/>
      <c r="D7" s="13"/>
      <c r="E7" s="13"/>
      <c r="F7" s="13"/>
      <c r="G7" s="13"/>
      <c r="Q7" s="49"/>
      <c r="R7" s="13"/>
    </row>
    <row r="8" spans="1:27" ht="19.95" customHeight="1">
      <c r="A8" s="40" t="s">
        <v>252</v>
      </c>
      <c r="M8" s="161"/>
      <c r="O8" s="56"/>
      <c r="P8" s="56"/>
    </row>
    <row r="9" spans="1:27" ht="19.95" customHeight="1">
      <c r="A9" s="79" t="s">
        <v>117</v>
      </c>
      <c r="B9" s="80">
        <v>45292</v>
      </c>
      <c r="C9" s="79" t="s">
        <v>118</v>
      </c>
      <c r="D9" s="80">
        <v>45657</v>
      </c>
      <c r="M9" s="56"/>
      <c r="N9" s="56"/>
    </row>
    <row r="10" spans="1:27" s="254" customFormat="1" ht="35.4" customHeight="1">
      <c r="A10" s="159" t="s">
        <v>119</v>
      </c>
      <c r="B10" s="159" t="s">
        <v>120</v>
      </c>
      <c r="C10" s="159" t="s">
        <v>121</v>
      </c>
      <c r="D10" s="159" t="s">
        <v>218</v>
      </c>
      <c r="E10" s="159" t="s">
        <v>2</v>
      </c>
      <c r="F10" s="159" t="s">
        <v>122</v>
      </c>
      <c r="G10" s="159" t="s">
        <v>123</v>
      </c>
      <c r="H10" s="48" t="s">
        <v>216</v>
      </c>
      <c r="I10" s="159" t="s">
        <v>215</v>
      </c>
      <c r="J10" s="48" t="s">
        <v>124</v>
      </c>
      <c r="K10" s="48" t="s">
        <v>125</v>
      </c>
      <c r="L10" s="48" t="s">
        <v>126</v>
      </c>
      <c r="M10" s="48" t="s">
        <v>127</v>
      </c>
      <c r="N10" s="48" t="s">
        <v>128</v>
      </c>
      <c r="O10" s="159" t="s">
        <v>217</v>
      </c>
      <c r="P10" s="159" t="s">
        <v>129</v>
      </c>
      <c r="Q10" s="159" t="s">
        <v>130</v>
      </c>
      <c r="R10" s="159" t="s">
        <v>106</v>
      </c>
    </row>
    <row r="11" spans="1:27" s="35" customFormat="1" ht="19.95" customHeight="1">
      <c r="A11" s="44"/>
      <c r="B11" s="45"/>
      <c r="C11" s="45"/>
      <c r="D11" s="194"/>
      <c r="E11" s="45"/>
      <c r="F11" s="194"/>
      <c r="G11" s="150">
        <f>B11+E11</f>
        <v>0</v>
      </c>
      <c r="H11" s="45"/>
      <c r="I11" s="195"/>
      <c r="J11" s="151">
        <f>DATE((YEAR(D11)+I11),MONTH(D11),DAY(D11))</f>
        <v>0</v>
      </c>
      <c r="K11" s="152">
        <f>IF(C11=0,0,IF(J11&gt;$D$9,12,IF(YEAR($D$9)&lt;&gt;YEAR(J11),0,MONTH(J11))))</f>
        <v>0</v>
      </c>
      <c r="L11" s="152">
        <f>IF(C11=0,MONTH($D$9)-MONTH(F11),IF(J11&gt;$D$9,MONTH($D$9)-MONTH(F11)+1,MONTH(J11)-MONTH(F11)+1))</f>
        <v>11</v>
      </c>
      <c r="M11" s="160">
        <f>IF(C11=0,0,C11/(I11*12-DATEDIF(D11,$B$9,"M"))*K11)</f>
        <v>0</v>
      </c>
      <c r="N11" s="255">
        <f>IF(L11=0,0,E11/L11*L11)</f>
        <v>0</v>
      </c>
      <c r="O11" s="46"/>
      <c r="P11" s="255">
        <f>M11+N11-O11</f>
        <v>0</v>
      </c>
      <c r="Q11" s="255">
        <f>C11+E11-M11-N11</f>
        <v>0</v>
      </c>
      <c r="R11" s="47"/>
    </row>
    <row r="12" spans="1:27" s="35" customFormat="1" ht="19.95" customHeight="1">
      <c r="A12" s="44"/>
      <c r="B12" s="45"/>
      <c r="C12" s="45"/>
      <c r="D12" s="194"/>
      <c r="E12" s="45"/>
      <c r="F12" s="194"/>
      <c r="G12" s="150">
        <f t="shared" ref="G12:G19" si="0">B12+E12</f>
        <v>0</v>
      </c>
      <c r="H12" s="45"/>
      <c r="I12" s="195"/>
      <c r="J12" s="151">
        <f t="shared" ref="J12:J19" si="1">DATE((YEAR(D12)+I12),MONTH(D12),DAY(D12))</f>
        <v>0</v>
      </c>
      <c r="K12" s="152">
        <f t="shared" ref="K12:K19" si="2">IF(C12=0,0,IF(J12&gt;$D$9,12,IF(YEAR($D$9)&lt;&gt;YEAR(J12),0,MONTH(J12))))</f>
        <v>0</v>
      </c>
      <c r="L12" s="152">
        <f t="shared" ref="L12:L19" si="3">IF(C12=0,MONTH($D$9)-MONTH(F12),IF(J12&gt;$D$9,MONTH($D$9)-MONTH(F12)+1,MONTH(J12)-MONTH(F12)+1))</f>
        <v>11</v>
      </c>
      <c r="M12" s="160">
        <f t="shared" ref="M12:M19" si="4">IF(C12=0,0,C12/(I12*12-DATEDIF(D12,$B$9,"M"))*K12)</f>
        <v>0</v>
      </c>
      <c r="N12" s="255">
        <f t="shared" ref="N12:N19" si="5">IF(L12=0,0,E12/L12*L12)</f>
        <v>0</v>
      </c>
      <c r="O12" s="46"/>
      <c r="P12" s="255">
        <f t="shared" ref="P12:P19" si="6">M12+N12-O12</f>
        <v>0</v>
      </c>
      <c r="Q12" s="255">
        <f t="shared" ref="Q12:Q19" si="7">C12+E12-M12-N12</f>
        <v>0</v>
      </c>
      <c r="R12" s="47"/>
    </row>
    <row r="13" spans="1:27" s="35" customFormat="1" ht="19.95" customHeight="1">
      <c r="A13" s="44"/>
      <c r="B13" s="45"/>
      <c r="C13" s="45"/>
      <c r="D13" s="194"/>
      <c r="E13" s="45"/>
      <c r="F13" s="194"/>
      <c r="G13" s="150">
        <f t="shared" si="0"/>
        <v>0</v>
      </c>
      <c r="H13" s="45"/>
      <c r="I13" s="195"/>
      <c r="J13" s="151">
        <f t="shared" si="1"/>
        <v>0</v>
      </c>
      <c r="K13" s="152">
        <f t="shared" si="2"/>
        <v>0</v>
      </c>
      <c r="L13" s="152">
        <f t="shared" si="3"/>
        <v>11</v>
      </c>
      <c r="M13" s="160">
        <f t="shared" si="4"/>
        <v>0</v>
      </c>
      <c r="N13" s="255">
        <f t="shared" si="5"/>
        <v>0</v>
      </c>
      <c r="O13" s="46"/>
      <c r="P13" s="255">
        <f t="shared" si="6"/>
        <v>0</v>
      </c>
      <c r="Q13" s="255">
        <f t="shared" si="7"/>
        <v>0</v>
      </c>
      <c r="R13" s="47"/>
    </row>
    <row r="14" spans="1:27" s="35" customFormat="1" ht="19.95" customHeight="1">
      <c r="A14" s="44"/>
      <c r="B14" s="45"/>
      <c r="C14" s="45"/>
      <c r="D14" s="194"/>
      <c r="E14" s="45"/>
      <c r="F14" s="194"/>
      <c r="G14" s="150">
        <f t="shared" si="0"/>
        <v>0</v>
      </c>
      <c r="H14" s="45"/>
      <c r="I14" s="195"/>
      <c r="J14" s="151">
        <f t="shared" si="1"/>
        <v>0</v>
      </c>
      <c r="K14" s="152">
        <f t="shared" si="2"/>
        <v>0</v>
      </c>
      <c r="L14" s="152">
        <f t="shared" si="3"/>
        <v>11</v>
      </c>
      <c r="M14" s="160">
        <f t="shared" si="4"/>
        <v>0</v>
      </c>
      <c r="N14" s="255">
        <f t="shared" si="5"/>
        <v>0</v>
      </c>
      <c r="O14" s="46"/>
      <c r="P14" s="255">
        <f t="shared" si="6"/>
        <v>0</v>
      </c>
      <c r="Q14" s="255">
        <f t="shared" si="7"/>
        <v>0</v>
      </c>
      <c r="R14" s="47"/>
    </row>
    <row r="15" spans="1:27" s="35" customFormat="1" ht="19.95" customHeight="1">
      <c r="A15" s="44"/>
      <c r="B15" s="45"/>
      <c r="C15" s="45"/>
      <c r="D15" s="194"/>
      <c r="E15" s="45"/>
      <c r="F15" s="194"/>
      <c r="G15" s="150">
        <f t="shared" si="0"/>
        <v>0</v>
      </c>
      <c r="H15" s="45"/>
      <c r="I15" s="195"/>
      <c r="J15" s="151">
        <f t="shared" si="1"/>
        <v>0</v>
      </c>
      <c r="K15" s="152">
        <f t="shared" si="2"/>
        <v>0</v>
      </c>
      <c r="L15" s="152">
        <f t="shared" si="3"/>
        <v>11</v>
      </c>
      <c r="M15" s="160">
        <f t="shared" si="4"/>
        <v>0</v>
      </c>
      <c r="N15" s="255">
        <f t="shared" si="5"/>
        <v>0</v>
      </c>
      <c r="O15" s="46"/>
      <c r="P15" s="255">
        <f t="shared" si="6"/>
        <v>0</v>
      </c>
      <c r="Q15" s="255">
        <f t="shared" si="7"/>
        <v>0</v>
      </c>
      <c r="R15" s="47"/>
    </row>
    <row r="16" spans="1:27" s="35" customFormat="1" ht="19.95" customHeight="1">
      <c r="A16" s="44"/>
      <c r="B16" s="45"/>
      <c r="C16" s="45"/>
      <c r="D16" s="194"/>
      <c r="E16" s="45"/>
      <c r="F16" s="194"/>
      <c r="G16" s="150">
        <f t="shared" si="0"/>
        <v>0</v>
      </c>
      <c r="H16" s="45"/>
      <c r="I16" s="195"/>
      <c r="J16" s="151">
        <f t="shared" si="1"/>
        <v>0</v>
      </c>
      <c r="K16" s="152">
        <f t="shared" si="2"/>
        <v>0</v>
      </c>
      <c r="L16" s="152">
        <f t="shared" si="3"/>
        <v>11</v>
      </c>
      <c r="M16" s="160">
        <f t="shared" si="4"/>
        <v>0</v>
      </c>
      <c r="N16" s="255">
        <f t="shared" si="5"/>
        <v>0</v>
      </c>
      <c r="O16" s="46"/>
      <c r="P16" s="255">
        <f t="shared" si="6"/>
        <v>0</v>
      </c>
      <c r="Q16" s="255">
        <f t="shared" si="7"/>
        <v>0</v>
      </c>
      <c r="R16" s="47"/>
    </row>
    <row r="17" spans="1:18" s="35" customFormat="1" ht="19.95" customHeight="1">
      <c r="A17" s="44"/>
      <c r="B17" s="45"/>
      <c r="C17" s="45"/>
      <c r="D17" s="194"/>
      <c r="E17" s="45"/>
      <c r="F17" s="194"/>
      <c r="G17" s="150">
        <f t="shared" si="0"/>
        <v>0</v>
      </c>
      <c r="H17" s="45"/>
      <c r="I17" s="195"/>
      <c r="J17" s="151">
        <f t="shared" si="1"/>
        <v>0</v>
      </c>
      <c r="K17" s="152">
        <f t="shared" si="2"/>
        <v>0</v>
      </c>
      <c r="L17" s="152">
        <f t="shared" si="3"/>
        <v>11</v>
      </c>
      <c r="M17" s="160">
        <f t="shared" si="4"/>
        <v>0</v>
      </c>
      <c r="N17" s="255">
        <f t="shared" si="5"/>
        <v>0</v>
      </c>
      <c r="O17" s="46"/>
      <c r="P17" s="255">
        <f t="shared" si="6"/>
        <v>0</v>
      </c>
      <c r="Q17" s="255">
        <f t="shared" si="7"/>
        <v>0</v>
      </c>
      <c r="R17" s="47"/>
    </row>
    <row r="18" spans="1:18" s="35" customFormat="1" ht="19.95" customHeight="1">
      <c r="A18" s="44"/>
      <c r="B18" s="45"/>
      <c r="C18" s="45"/>
      <c r="D18" s="194"/>
      <c r="E18" s="45"/>
      <c r="F18" s="194"/>
      <c r="G18" s="150">
        <f t="shared" si="0"/>
        <v>0</v>
      </c>
      <c r="H18" s="45"/>
      <c r="I18" s="195"/>
      <c r="J18" s="151">
        <f t="shared" si="1"/>
        <v>0</v>
      </c>
      <c r="K18" s="152">
        <f t="shared" si="2"/>
        <v>0</v>
      </c>
      <c r="L18" s="152">
        <f t="shared" si="3"/>
        <v>11</v>
      </c>
      <c r="M18" s="160">
        <f t="shared" si="4"/>
        <v>0</v>
      </c>
      <c r="N18" s="255">
        <f t="shared" si="5"/>
        <v>0</v>
      </c>
      <c r="O18" s="46"/>
      <c r="P18" s="255">
        <f t="shared" si="6"/>
        <v>0</v>
      </c>
      <c r="Q18" s="255">
        <f t="shared" si="7"/>
        <v>0</v>
      </c>
      <c r="R18" s="47"/>
    </row>
    <row r="19" spans="1:18" s="35" customFormat="1" ht="19.95" customHeight="1">
      <c r="A19" s="44"/>
      <c r="B19" s="45"/>
      <c r="C19" s="45"/>
      <c r="D19" s="194"/>
      <c r="E19" s="45"/>
      <c r="F19" s="194"/>
      <c r="G19" s="150">
        <f t="shared" si="0"/>
        <v>0</v>
      </c>
      <c r="H19" s="45"/>
      <c r="I19" s="195"/>
      <c r="J19" s="151">
        <f t="shared" si="1"/>
        <v>0</v>
      </c>
      <c r="K19" s="152">
        <f t="shared" si="2"/>
        <v>0</v>
      </c>
      <c r="L19" s="152">
        <f t="shared" si="3"/>
        <v>11</v>
      </c>
      <c r="M19" s="160">
        <f t="shared" si="4"/>
        <v>0</v>
      </c>
      <c r="N19" s="255">
        <f t="shared" si="5"/>
        <v>0</v>
      </c>
      <c r="O19" s="46"/>
      <c r="P19" s="255">
        <f t="shared" si="6"/>
        <v>0</v>
      </c>
      <c r="Q19" s="255">
        <f t="shared" si="7"/>
        <v>0</v>
      </c>
      <c r="R19" s="47"/>
    </row>
    <row r="20" spans="1:18" s="238" customFormat="1" ht="19.95" customHeight="1">
      <c r="A20" s="231" t="s">
        <v>131</v>
      </c>
      <c r="B20" s="232">
        <f>SUM(B11:B19)</f>
        <v>0</v>
      </c>
      <c r="C20" s="233">
        <f t="shared" ref="C20:E20" si="8">SUM(C11:C19)</f>
        <v>0</v>
      </c>
      <c r="D20" s="234"/>
      <c r="E20" s="233">
        <f t="shared" si="8"/>
        <v>0</v>
      </c>
      <c r="F20" s="233"/>
      <c r="G20" s="233">
        <f>SUM(G11:G19)</f>
        <v>0</v>
      </c>
      <c r="H20" s="233"/>
      <c r="I20" s="233"/>
      <c r="J20" s="235"/>
      <c r="K20" s="233"/>
      <c r="L20" s="233"/>
      <c r="M20" s="233"/>
      <c r="N20" s="236">
        <f>SUM(N11:N19)</f>
        <v>0</v>
      </c>
      <c r="O20" s="236">
        <f>SUM(O11:O19)</f>
        <v>0</v>
      </c>
      <c r="P20" s="236">
        <f>SUM(P11:P19)</f>
        <v>0</v>
      </c>
      <c r="Q20" s="236">
        <f>SUM(Q11:Q19)</f>
        <v>0</v>
      </c>
      <c r="R20" s="237"/>
    </row>
    <row r="21" spans="1:18" ht="19.95" customHeight="1">
      <c r="A21" s="31" t="s">
        <v>220</v>
      </c>
      <c r="E21" s="56"/>
    </row>
    <row r="22" spans="1:18" ht="19.95" customHeight="1">
      <c r="A22" s="13"/>
    </row>
    <row r="23" spans="1:18" ht="19.95" customHeight="1">
      <c r="A23" s="13"/>
    </row>
    <row r="24" spans="1:18" ht="19.95" customHeight="1">
      <c r="A24" s="31" t="s">
        <v>221</v>
      </c>
    </row>
    <row r="25" spans="1:18" ht="19.95" customHeight="1">
      <c r="A25" s="62"/>
    </row>
    <row r="26" spans="1:18" ht="19.95" customHeight="1">
      <c r="A26" s="62"/>
    </row>
  </sheetData>
  <mergeCells count="2">
    <mergeCell ref="A1:R1"/>
    <mergeCell ref="A2:R2"/>
  </mergeCells>
  <phoneticPr fontId="12" type="noConversion"/>
  <hyperlinks>
    <hyperlink ref="R3" location="底稿目录!A1" display="底稿目录!A1"/>
  </hyperlinks>
  <pageMargins left="0.70866141732283472" right="0.70866141732283472" top="0.74803149606299213" bottom="0.74803149606299213" header="0.31496062992125984" footer="0.31496062992125984"/>
  <pageSetup paperSize="9" scale="60"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R37"/>
  <sheetViews>
    <sheetView view="pageBreakPreview" zoomScaleSheetLayoutView="100" workbookViewId="0">
      <selection sqref="A1:Q1"/>
    </sheetView>
  </sheetViews>
  <sheetFormatPr defaultColWidth="9" defaultRowHeight="15.6"/>
  <cols>
    <col min="1" max="1" width="11.8984375" style="35" customWidth="1"/>
    <col min="2" max="2" width="9" style="35"/>
    <col min="3" max="3" width="10.3984375" style="35" customWidth="1"/>
    <col min="4" max="4" width="23.19921875" style="35" customWidth="1"/>
    <col min="5" max="5" width="9.796875" style="35" customWidth="1"/>
    <col min="6" max="6" width="12" style="35" customWidth="1"/>
    <col min="7" max="7" width="11.796875" style="35" customWidth="1"/>
    <col min="8" max="8" width="12.09765625" style="35" customWidth="1"/>
    <col min="9" max="9" width="22.19921875" style="35" customWidth="1"/>
    <col min="10" max="14" width="3.8984375" style="35" customWidth="1"/>
    <col min="15" max="15" width="12.59765625" style="35" customWidth="1"/>
    <col min="16" max="16" width="7.3984375" style="35" customWidth="1"/>
    <col min="17" max="17" width="7.796875" style="35" customWidth="1"/>
    <col min="18" max="18" width="41.8984375" style="35" customWidth="1"/>
    <col min="19" max="16384" width="9" style="35"/>
  </cols>
  <sheetData>
    <row r="1" spans="1:18" s="23" customFormat="1" ht="19.95" customHeight="1">
      <c r="A1" s="306" t="s">
        <v>58</v>
      </c>
      <c r="B1" s="306"/>
      <c r="C1" s="306"/>
      <c r="D1" s="306"/>
      <c r="E1" s="306"/>
      <c r="F1" s="306"/>
      <c r="G1" s="306"/>
      <c r="H1" s="306"/>
      <c r="I1" s="306"/>
      <c r="J1" s="306"/>
      <c r="K1" s="306"/>
      <c r="L1" s="306"/>
      <c r="M1" s="306"/>
      <c r="N1" s="306"/>
      <c r="O1" s="306"/>
      <c r="P1" s="306"/>
      <c r="Q1" s="306"/>
    </row>
    <row r="2" spans="1:18" s="23" customFormat="1" ht="19.95" customHeight="1">
      <c r="A2" s="332" t="s">
        <v>350</v>
      </c>
      <c r="B2" s="332"/>
      <c r="C2" s="332"/>
      <c r="D2" s="332"/>
      <c r="E2" s="332"/>
      <c r="F2" s="332"/>
      <c r="G2" s="332"/>
      <c r="H2" s="332"/>
      <c r="I2" s="332"/>
      <c r="J2" s="332"/>
      <c r="K2" s="332"/>
      <c r="L2" s="332"/>
      <c r="M2" s="332"/>
      <c r="N2" s="332"/>
      <c r="O2" s="332"/>
      <c r="P2" s="332"/>
      <c r="Q2" s="332"/>
    </row>
    <row r="3" spans="1:18" s="104" customFormat="1" ht="19.95" customHeight="1">
      <c r="A3" s="13" t="str">
        <f>底稿目录!A2</f>
        <v>被审计单位：</v>
      </c>
      <c r="B3" s="103"/>
      <c r="C3" s="103"/>
      <c r="E3" s="24" t="str">
        <f>底稿目录!A4</f>
        <v>编制人：</v>
      </c>
      <c r="F3" s="102"/>
      <c r="I3" s="24" t="str">
        <f>底稿目录!A5</f>
        <v>编制日期：</v>
      </c>
      <c r="J3" s="24"/>
      <c r="K3" s="24"/>
      <c r="L3" s="24"/>
      <c r="M3" s="102"/>
      <c r="P3" s="145" t="s">
        <v>206</v>
      </c>
      <c r="Q3" s="246" t="str">
        <f>底稿目录!F11</f>
        <v>K7-5</v>
      </c>
    </row>
    <row r="4" spans="1:18" s="111" customFormat="1" ht="19.95" customHeight="1">
      <c r="A4" s="13" t="str">
        <f>底稿目录!A3</f>
        <v>截止日：202X年12月31日</v>
      </c>
      <c r="B4" s="109"/>
      <c r="C4" s="109"/>
      <c r="E4" s="24" t="str">
        <f>底稿目录!A6</f>
        <v>复核人：</v>
      </c>
      <c r="F4" s="110"/>
      <c r="I4" s="24" t="str">
        <f>底稿目录!A7</f>
        <v>复核日期：</v>
      </c>
      <c r="J4" s="24"/>
      <c r="K4" s="24"/>
      <c r="L4" s="24"/>
      <c r="M4" s="110"/>
      <c r="P4" s="190" t="s">
        <v>359</v>
      </c>
      <c r="Q4" s="109"/>
    </row>
    <row r="5" spans="1:18" s="26" customFormat="1" ht="19.95" customHeight="1">
      <c r="A5" s="54" t="s">
        <v>61</v>
      </c>
      <c r="B5" s="25"/>
      <c r="C5" s="25"/>
      <c r="D5" s="25"/>
      <c r="E5" s="25"/>
      <c r="F5" s="25"/>
      <c r="G5" s="25"/>
      <c r="H5" s="25"/>
      <c r="I5" s="25"/>
      <c r="J5" s="25"/>
      <c r="K5" s="25"/>
      <c r="L5" s="25"/>
      <c r="M5" s="25"/>
      <c r="N5" s="25"/>
    </row>
    <row r="6" spans="1:18" s="26" customFormat="1" ht="19.95" customHeight="1">
      <c r="A6" s="186" t="s">
        <v>347</v>
      </c>
      <c r="B6" s="187"/>
      <c r="C6" s="187"/>
      <c r="D6" s="187"/>
      <c r="E6" s="187"/>
      <c r="F6" s="186" t="s">
        <v>348</v>
      </c>
      <c r="J6" s="186"/>
      <c r="K6" s="186"/>
      <c r="M6" s="187"/>
      <c r="N6" s="25"/>
    </row>
    <row r="7" spans="1:18" s="26" customFormat="1" ht="19.95" customHeight="1">
      <c r="A7" s="186" t="s">
        <v>349</v>
      </c>
      <c r="B7" s="187"/>
      <c r="C7" s="187"/>
      <c r="D7" s="187"/>
      <c r="E7" s="187"/>
      <c r="F7" s="186"/>
      <c r="J7" s="186"/>
      <c r="K7" s="186"/>
      <c r="M7" s="187"/>
      <c r="N7" s="25"/>
    </row>
    <row r="8" spans="1:18" s="26" customFormat="1" ht="19.95" customHeight="1">
      <c r="A8" s="188" t="s">
        <v>335</v>
      </c>
      <c r="B8" s="27"/>
      <c r="C8" s="249" t="s">
        <v>367</v>
      </c>
      <c r="D8" s="28"/>
      <c r="E8" s="29"/>
    </row>
    <row r="9" spans="1:18" s="26" customFormat="1" ht="19.95" customHeight="1">
      <c r="A9" s="223" t="s">
        <v>325</v>
      </c>
      <c r="B9" s="27"/>
      <c r="C9" s="27"/>
      <c r="D9" s="28"/>
      <c r="E9" s="29"/>
    </row>
    <row r="10" spans="1:18" s="257" customFormat="1" ht="19.95" customHeight="1">
      <c r="A10" s="333" t="s">
        <v>368</v>
      </c>
      <c r="B10" s="338" t="s">
        <v>336</v>
      </c>
      <c r="C10" s="338"/>
      <c r="D10" s="338"/>
      <c r="E10" s="338"/>
      <c r="F10" s="338"/>
      <c r="G10" s="338"/>
      <c r="H10" s="338"/>
      <c r="I10" s="339" t="s">
        <v>337</v>
      </c>
      <c r="J10" s="341" t="s">
        <v>338</v>
      </c>
      <c r="K10" s="342"/>
      <c r="L10" s="342"/>
      <c r="M10" s="342"/>
      <c r="N10" s="342"/>
      <c r="O10" s="337" t="s">
        <v>339</v>
      </c>
      <c r="P10" s="335" t="s">
        <v>340</v>
      </c>
      <c r="Q10" s="343" t="s">
        <v>341</v>
      </c>
      <c r="R10" s="256"/>
    </row>
    <row r="11" spans="1:18" s="257" customFormat="1" ht="19.95" customHeight="1">
      <c r="A11" s="334"/>
      <c r="B11" s="258" t="s">
        <v>322</v>
      </c>
      <c r="C11" s="258" t="s">
        <v>323</v>
      </c>
      <c r="D11" s="258" t="s">
        <v>342</v>
      </c>
      <c r="E11" s="258" t="s">
        <v>343</v>
      </c>
      <c r="F11" s="258" t="s">
        <v>344</v>
      </c>
      <c r="G11" s="259" t="s">
        <v>345</v>
      </c>
      <c r="H11" s="259" t="s">
        <v>346</v>
      </c>
      <c r="I11" s="340"/>
      <c r="J11" s="239">
        <v>1</v>
      </c>
      <c r="K11" s="239">
        <v>2</v>
      </c>
      <c r="L11" s="239">
        <v>3</v>
      </c>
      <c r="M11" s="239">
        <v>4</v>
      </c>
      <c r="N11" s="239">
        <v>5</v>
      </c>
      <c r="O11" s="337"/>
      <c r="P11" s="336"/>
      <c r="Q11" s="344"/>
    </row>
    <row r="12" spans="1:18" s="14" customFormat="1" ht="19.95" customHeight="1">
      <c r="A12" s="215"/>
      <c r="B12" s="216"/>
      <c r="C12" s="217"/>
      <c r="D12" s="240"/>
      <c r="E12" s="240"/>
      <c r="F12" s="240"/>
      <c r="G12" s="218"/>
      <c r="H12" s="218"/>
      <c r="I12" s="244" t="s">
        <v>351</v>
      </c>
      <c r="J12" s="242"/>
      <c r="K12" s="242"/>
      <c r="L12" s="242"/>
      <c r="M12" s="242"/>
      <c r="N12" s="242"/>
      <c r="O12" s="243"/>
      <c r="P12" s="219"/>
      <c r="Q12" s="219"/>
    </row>
    <row r="13" spans="1:18" s="14" customFormat="1" ht="19.95" customHeight="1">
      <c r="A13" s="215"/>
      <c r="B13" s="216"/>
      <c r="C13" s="217"/>
      <c r="D13" s="240"/>
      <c r="E13" s="240"/>
      <c r="F13" s="240"/>
      <c r="G13" s="218"/>
      <c r="H13" s="218"/>
      <c r="I13" s="244"/>
      <c r="J13" s="242"/>
      <c r="K13" s="242"/>
      <c r="L13" s="242"/>
      <c r="M13" s="242"/>
      <c r="N13" s="242"/>
      <c r="O13" s="243"/>
      <c r="P13" s="219"/>
      <c r="Q13" s="219"/>
    </row>
    <row r="14" spans="1:18" s="14" customFormat="1" ht="19.95" customHeight="1">
      <c r="A14" s="215"/>
      <c r="B14" s="216"/>
      <c r="C14" s="217"/>
      <c r="D14" s="240"/>
      <c r="E14" s="240"/>
      <c r="F14" s="240"/>
      <c r="G14" s="218"/>
      <c r="H14" s="218"/>
      <c r="I14" s="244"/>
      <c r="J14" s="242"/>
      <c r="K14" s="242"/>
      <c r="L14" s="242"/>
      <c r="M14" s="242"/>
      <c r="N14" s="242"/>
      <c r="O14" s="243"/>
      <c r="P14" s="219"/>
      <c r="Q14" s="219"/>
    </row>
    <row r="15" spans="1:18" s="14" customFormat="1" ht="19.95" customHeight="1">
      <c r="A15" s="215"/>
      <c r="B15" s="216"/>
      <c r="C15" s="217"/>
      <c r="D15" s="240"/>
      <c r="E15" s="240"/>
      <c r="F15" s="240"/>
      <c r="G15" s="218"/>
      <c r="H15" s="218"/>
      <c r="I15" s="244"/>
      <c r="J15" s="242"/>
      <c r="K15" s="242"/>
      <c r="L15" s="242"/>
      <c r="M15" s="242"/>
      <c r="N15" s="242"/>
      <c r="O15" s="243"/>
      <c r="P15" s="219"/>
      <c r="Q15" s="219"/>
    </row>
    <row r="16" spans="1:18" s="14" customFormat="1" ht="19.95" customHeight="1">
      <c r="A16" s="215"/>
      <c r="B16" s="216"/>
      <c r="C16" s="217"/>
      <c r="D16" s="240"/>
      <c r="E16" s="240"/>
      <c r="F16" s="240"/>
      <c r="G16" s="218"/>
      <c r="H16" s="218"/>
      <c r="I16" s="241"/>
      <c r="J16" s="242"/>
      <c r="K16" s="242"/>
      <c r="L16" s="242"/>
      <c r="M16" s="242"/>
      <c r="N16" s="242"/>
      <c r="O16" s="243"/>
      <c r="P16" s="219"/>
      <c r="Q16" s="219"/>
    </row>
    <row r="17" spans="1:17" s="14" customFormat="1" ht="19.95" customHeight="1">
      <c r="A17" s="215"/>
      <c r="B17" s="216"/>
      <c r="C17" s="217"/>
      <c r="D17" s="240"/>
      <c r="E17" s="240"/>
      <c r="F17" s="240"/>
      <c r="G17" s="218"/>
      <c r="H17" s="218"/>
      <c r="I17" s="241"/>
      <c r="J17" s="242"/>
      <c r="K17" s="242"/>
      <c r="L17" s="242"/>
      <c r="M17" s="242"/>
      <c r="N17" s="242"/>
      <c r="O17" s="243"/>
      <c r="P17" s="219"/>
      <c r="Q17" s="219"/>
    </row>
    <row r="18" spans="1:17" s="14" customFormat="1" ht="19.95" customHeight="1">
      <c r="A18" s="215"/>
      <c r="B18" s="216"/>
      <c r="C18" s="217"/>
      <c r="D18" s="240"/>
      <c r="E18" s="240"/>
      <c r="F18" s="240"/>
      <c r="G18" s="218"/>
      <c r="H18" s="218"/>
      <c r="I18" s="241"/>
      <c r="J18" s="242"/>
      <c r="K18" s="242"/>
      <c r="L18" s="242"/>
      <c r="M18" s="242"/>
      <c r="N18" s="242"/>
      <c r="O18" s="243"/>
      <c r="P18" s="219"/>
      <c r="Q18" s="219"/>
    </row>
    <row r="19" spans="1:17" s="14" customFormat="1" ht="19.95" customHeight="1">
      <c r="A19" s="215"/>
      <c r="B19" s="216"/>
      <c r="C19" s="217"/>
      <c r="D19" s="240"/>
      <c r="E19" s="240"/>
      <c r="F19" s="240"/>
      <c r="G19" s="218"/>
      <c r="H19" s="218"/>
      <c r="I19" s="241"/>
      <c r="J19" s="242"/>
      <c r="K19" s="242"/>
      <c r="L19" s="242"/>
      <c r="M19" s="242"/>
      <c r="N19" s="242"/>
      <c r="O19" s="243"/>
      <c r="P19" s="219"/>
      <c r="Q19" s="219"/>
    </row>
    <row r="20" spans="1:17" s="14" customFormat="1" ht="19.95" customHeight="1">
      <c r="A20" s="331" t="s">
        <v>324</v>
      </c>
      <c r="B20" s="331"/>
      <c r="C20" s="331"/>
      <c r="D20" s="331"/>
      <c r="E20" s="220"/>
      <c r="F20" s="220"/>
      <c r="G20" s="221"/>
      <c r="H20" s="221">
        <f>SUM(H12:H19)</f>
        <v>0</v>
      </c>
      <c r="I20" s="222"/>
      <c r="J20" s="222"/>
      <c r="K20" s="222"/>
      <c r="L20" s="221"/>
      <c r="M20" s="222"/>
      <c r="N20" s="222"/>
      <c r="O20" s="221"/>
      <c r="P20" s="222"/>
      <c r="Q20" s="222"/>
    </row>
    <row r="21" spans="1:17" s="14" customFormat="1" ht="19.95" customHeight="1">
      <c r="A21" s="331" t="s">
        <v>386</v>
      </c>
      <c r="B21" s="331"/>
      <c r="C21" s="331"/>
      <c r="D21" s="331"/>
      <c r="E21" s="220"/>
      <c r="F21" s="220"/>
      <c r="G21" s="221"/>
      <c r="H21" s="221">
        <f>'明细表K7-2'!N22</f>
        <v>0</v>
      </c>
      <c r="I21" s="222"/>
      <c r="J21" s="222"/>
      <c r="K21" s="222"/>
      <c r="L21" s="221"/>
      <c r="M21" s="222"/>
      <c r="N21" s="222"/>
      <c r="O21" s="221"/>
      <c r="P21" s="222"/>
      <c r="Q21" s="222"/>
    </row>
    <row r="22" spans="1:17" s="14" customFormat="1" ht="19.95" customHeight="1">
      <c r="A22" s="331" t="s">
        <v>387</v>
      </c>
      <c r="B22" s="331"/>
      <c r="C22" s="331"/>
      <c r="D22" s="331"/>
      <c r="E22" s="220"/>
      <c r="F22" s="220"/>
      <c r="G22" s="221"/>
      <c r="H22" s="267" t="e">
        <f>H20/H21</f>
        <v>#DIV/0!</v>
      </c>
      <c r="I22" s="222"/>
      <c r="J22" s="222"/>
      <c r="K22" s="222"/>
      <c r="L22" s="221"/>
      <c r="M22" s="222"/>
      <c r="N22" s="222"/>
      <c r="O22" s="221"/>
      <c r="P22" s="222"/>
      <c r="Q22" s="222"/>
    </row>
    <row r="23" spans="1:17" s="13" customFormat="1" ht="19.95" customHeight="1">
      <c r="A23" s="188" t="s">
        <v>352</v>
      </c>
      <c r="G23" s="31"/>
      <c r="H23" s="209"/>
      <c r="I23" s="209"/>
      <c r="K23" s="30"/>
      <c r="L23" s="30"/>
      <c r="M23" s="30"/>
      <c r="N23" s="30"/>
      <c r="O23" s="24"/>
    </row>
    <row r="24" spans="1:17" s="13" customFormat="1" ht="19.95" customHeight="1">
      <c r="A24" s="263"/>
      <c r="B24" s="262"/>
      <c r="C24"/>
      <c r="D24" s="264"/>
      <c r="E24" s="265"/>
      <c r="F24" s="265"/>
      <c r="G24" s="266"/>
      <c r="H24" s="104"/>
      <c r="I24" s="209"/>
      <c r="J24" s="30"/>
      <c r="K24" s="30"/>
      <c r="L24" s="30"/>
      <c r="M24" s="30"/>
      <c r="N24" s="30"/>
      <c r="O24" s="24"/>
    </row>
    <row r="25" spans="1:17" s="13" customFormat="1" ht="19.95" customHeight="1">
      <c r="A25" s="263"/>
      <c r="B25" s="262"/>
      <c r="C25"/>
      <c r="D25" s="264"/>
      <c r="E25" s="265"/>
      <c r="F25" s="265"/>
      <c r="G25" s="266"/>
      <c r="H25" s="104"/>
      <c r="I25" s="209"/>
      <c r="J25" s="30"/>
      <c r="K25" s="30"/>
      <c r="L25" s="30"/>
      <c r="M25" s="30"/>
      <c r="N25" s="30"/>
      <c r="O25" s="24"/>
    </row>
    <row r="26" spans="1:17" s="31" customFormat="1" ht="19.95" customHeight="1">
      <c r="H26" s="210"/>
      <c r="I26" s="211"/>
      <c r="M26" s="32"/>
      <c r="N26" s="32"/>
      <c r="O26" s="32"/>
    </row>
    <row r="27" spans="1:17" s="14" customFormat="1" ht="19.95" customHeight="1">
      <c r="A27" s="185" t="s">
        <v>353</v>
      </c>
      <c r="B27" s="13"/>
      <c r="C27" s="13"/>
      <c r="D27" s="13"/>
      <c r="E27" s="13"/>
      <c r="F27" s="13"/>
      <c r="G27" s="13"/>
      <c r="H27" s="24"/>
      <c r="I27" s="24"/>
      <c r="J27" s="24"/>
      <c r="K27" s="24"/>
      <c r="L27" s="24"/>
      <c r="M27" s="24"/>
      <c r="N27" s="24"/>
      <c r="O27" s="24"/>
    </row>
    <row r="28" spans="1:17" s="14" customFormat="1" ht="19.95" customHeight="1">
      <c r="A28" s="13"/>
      <c r="B28" s="13"/>
      <c r="C28" s="13"/>
      <c r="D28" s="13"/>
      <c r="E28" s="13"/>
      <c r="F28" s="13"/>
      <c r="G28" s="13"/>
      <c r="H28" s="24"/>
      <c r="I28" s="24"/>
      <c r="J28" s="24"/>
      <c r="K28" s="24"/>
      <c r="L28" s="24"/>
      <c r="M28" s="24"/>
      <c r="N28" s="24"/>
      <c r="O28" s="24"/>
    </row>
    <row r="29" spans="1:17" s="14" customFormat="1" ht="18" customHeight="1">
      <c r="A29" s="33"/>
      <c r="C29" s="34"/>
      <c r="D29" s="34"/>
      <c r="E29" s="34"/>
      <c r="F29" s="34"/>
      <c r="G29" s="34"/>
      <c r="H29" s="34"/>
      <c r="I29" s="34"/>
      <c r="J29" s="34"/>
      <c r="K29" s="34"/>
      <c r="L29" s="34"/>
      <c r="M29" s="34"/>
      <c r="N29" s="34"/>
      <c r="O29" s="34"/>
    </row>
    <row r="30" spans="1:17" s="14" customFormat="1" ht="18" customHeight="1">
      <c r="A30" s="33"/>
      <c r="C30" s="34"/>
      <c r="D30" s="34"/>
      <c r="E30" s="34"/>
      <c r="F30" s="34"/>
      <c r="G30" s="34"/>
      <c r="H30" s="34"/>
      <c r="I30" s="34"/>
      <c r="J30" s="34"/>
      <c r="K30" s="34"/>
      <c r="L30" s="34"/>
      <c r="M30" s="34"/>
      <c r="N30" s="34"/>
      <c r="O30" s="34"/>
    </row>
    <row r="31" spans="1:17" s="14" customFormat="1" ht="18" customHeight="1"/>
    <row r="32" spans="1:17" ht="18" customHeight="1"/>
    <row r="33" ht="18" customHeight="1"/>
    <row r="34" ht="18" customHeight="1"/>
    <row r="35" ht="18" customHeight="1"/>
    <row r="36" ht="18" customHeight="1"/>
    <row r="37" ht="18" customHeight="1"/>
  </sheetData>
  <mergeCells count="12">
    <mergeCell ref="A20:D20"/>
    <mergeCell ref="A21:D21"/>
    <mergeCell ref="A22:D22"/>
    <mergeCell ref="A1:Q1"/>
    <mergeCell ref="A2:Q2"/>
    <mergeCell ref="A10:A11"/>
    <mergeCell ref="P10:P11"/>
    <mergeCell ref="O10:O11"/>
    <mergeCell ref="B10:H10"/>
    <mergeCell ref="I10:I11"/>
    <mergeCell ref="J10:N10"/>
    <mergeCell ref="Q10:Q11"/>
  </mergeCells>
  <phoneticPr fontId="12" type="noConversion"/>
  <dataValidations count="1">
    <dataValidation type="list" allowBlank="1" showInputMessage="1" showErrorMessage="1" sqref="J12:N19">
      <formula1>"√,X"</formula1>
    </dataValidation>
  </dataValidations>
  <hyperlinks>
    <hyperlink ref="Q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100" orientation="landscape" blackAndWhite="1" cellComments="atEnd"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92D050"/>
    <pageSetUpPr fitToPage="1"/>
  </sheetPr>
  <dimension ref="A1:H43"/>
  <sheetViews>
    <sheetView view="pageBreakPreview" zoomScaleNormal="130" zoomScaleSheetLayoutView="100" workbookViewId="0">
      <selection activeCell="B1" sqref="B1"/>
    </sheetView>
  </sheetViews>
  <sheetFormatPr defaultColWidth="7" defaultRowHeight="13.2"/>
  <cols>
    <col min="1" max="1" width="7" style="38" customWidth="1"/>
    <col min="2" max="2" width="23.796875" style="38" customWidth="1"/>
    <col min="3" max="3" width="11.59765625" style="38" customWidth="1"/>
    <col min="4" max="4" width="12.59765625" style="38" customWidth="1"/>
    <col min="5" max="5" width="10.5" style="38" customWidth="1"/>
    <col min="6" max="6" width="18.09765625" style="38" customWidth="1"/>
    <col min="7" max="16384" width="7" style="38"/>
  </cols>
  <sheetData>
    <row r="1" spans="1:8">
      <c r="A1" s="63" t="s">
        <v>10</v>
      </c>
      <c r="B1" s="64"/>
      <c r="C1" s="64"/>
      <c r="D1" s="64"/>
      <c r="E1" s="64"/>
      <c r="F1" s="64"/>
      <c r="G1" s="64"/>
      <c r="H1" s="64"/>
    </row>
    <row r="2" spans="1:8">
      <c r="A2" s="64" t="s">
        <v>11</v>
      </c>
      <c r="B2" s="64"/>
      <c r="C2" s="64"/>
      <c r="D2" s="64"/>
      <c r="E2" s="64"/>
      <c r="F2" s="64"/>
      <c r="G2" s="64"/>
      <c r="H2" s="64"/>
    </row>
    <row r="3" spans="1:8">
      <c r="A3" s="64" t="s">
        <v>64</v>
      </c>
      <c r="B3" s="64"/>
      <c r="C3" s="64"/>
      <c r="D3" s="64"/>
      <c r="E3" s="64"/>
      <c r="F3" s="64"/>
      <c r="G3" s="64"/>
      <c r="H3" s="64"/>
    </row>
    <row r="4" spans="1:8">
      <c r="A4" s="64" t="s">
        <v>65</v>
      </c>
      <c r="B4" s="64"/>
      <c r="C4" s="64"/>
      <c r="D4" s="64"/>
      <c r="E4" s="64"/>
      <c r="F4" s="64"/>
      <c r="G4" s="64"/>
      <c r="H4" s="64"/>
    </row>
    <row r="5" spans="1:8">
      <c r="A5" s="64" t="s">
        <v>66</v>
      </c>
      <c r="B5" s="64"/>
      <c r="C5" s="64"/>
      <c r="D5" s="64"/>
      <c r="E5" s="64"/>
      <c r="F5" s="64"/>
      <c r="G5" s="64"/>
      <c r="H5" s="64"/>
    </row>
    <row r="6" spans="1:8">
      <c r="A6" s="64"/>
      <c r="B6" s="64"/>
      <c r="C6" s="64"/>
      <c r="D6" s="64"/>
      <c r="E6" s="64"/>
      <c r="F6" s="64"/>
      <c r="G6" s="64"/>
      <c r="H6" s="64"/>
    </row>
    <row r="7" spans="1:8">
      <c r="A7" s="64" t="s">
        <v>12</v>
      </c>
      <c r="B7" s="64"/>
      <c r="C7" s="64"/>
      <c r="D7" s="64"/>
      <c r="E7" s="64"/>
      <c r="F7" s="64"/>
      <c r="G7" s="64"/>
      <c r="H7" s="64"/>
    </row>
    <row r="8" spans="1:8">
      <c r="A8" s="64" t="s">
        <v>67</v>
      </c>
      <c r="B8" s="64"/>
      <c r="C8" s="64"/>
      <c r="D8" s="64"/>
      <c r="E8" s="64"/>
      <c r="F8" s="64"/>
      <c r="G8" s="64"/>
      <c r="H8" s="64"/>
    </row>
    <row r="9" spans="1:8">
      <c r="A9" s="64" t="s">
        <v>68</v>
      </c>
      <c r="B9" s="64"/>
      <c r="C9" s="64"/>
      <c r="D9" s="64"/>
      <c r="E9" s="64"/>
      <c r="F9" s="64"/>
      <c r="G9" s="64"/>
      <c r="H9" s="64"/>
    </row>
    <row r="10" spans="1:8" ht="20.100000000000001" customHeight="1">
      <c r="A10" s="64" t="s">
        <v>69</v>
      </c>
      <c r="B10" s="64"/>
      <c r="C10" s="64"/>
      <c r="D10" s="64"/>
      <c r="E10" s="64"/>
      <c r="F10" s="64"/>
      <c r="G10" s="64"/>
      <c r="H10" s="64"/>
    </row>
    <row r="11" spans="1:8" ht="20.100000000000001" customHeight="1">
      <c r="A11" s="64" t="s">
        <v>70</v>
      </c>
      <c r="B11" s="64"/>
      <c r="C11" s="64"/>
      <c r="D11" s="64"/>
      <c r="E11" s="64"/>
      <c r="F11" s="64"/>
      <c r="G11" s="64"/>
      <c r="H11" s="64"/>
    </row>
    <row r="12" spans="1:8" ht="20.100000000000001" customHeight="1">
      <c r="A12" s="64" t="s">
        <v>71</v>
      </c>
      <c r="B12" s="64"/>
      <c r="C12" s="64"/>
      <c r="D12" s="64"/>
      <c r="E12" s="64"/>
      <c r="F12" s="64"/>
      <c r="G12" s="64"/>
      <c r="H12" s="64"/>
    </row>
    <row r="13" spans="1:8" ht="20.100000000000001" customHeight="1">
      <c r="A13" s="64" t="s">
        <v>72</v>
      </c>
      <c r="B13" s="64"/>
      <c r="C13" s="64"/>
      <c r="D13" s="64"/>
      <c r="E13" s="64"/>
      <c r="F13" s="64"/>
      <c r="G13" s="64"/>
      <c r="H13" s="64"/>
    </row>
    <row r="14" spans="1:8" ht="20.100000000000001" customHeight="1">
      <c r="A14" s="63" t="s">
        <v>73</v>
      </c>
      <c r="B14" s="64"/>
      <c r="C14" s="64"/>
      <c r="D14" s="64"/>
      <c r="E14" s="64"/>
      <c r="F14" s="64"/>
      <c r="G14" s="64"/>
      <c r="H14" s="64"/>
    </row>
    <row r="15" spans="1:8" ht="20.100000000000001" customHeight="1">
      <c r="A15" s="63" t="s">
        <v>74</v>
      </c>
      <c r="B15" s="64"/>
      <c r="C15" s="64"/>
      <c r="D15" s="64"/>
      <c r="E15" s="64"/>
      <c r="F15" s="64"/>
      <c r="G15" s="64"/>
      <c r="H15" s="64"/>
    </row>
    <row r="16" spans="1:8" ht="20.100000000000001" customHeight="1">
      <c r="A16" s="64" t="s">
        <v>75</v>
      </c>
      <c r="B16" s="64"/>
      <c r="C16" s="64"/>
      <c r="D16" s="64"/>
      <c r="E16" s="64"/>
      <c r="F16" s="64"/>
      <c r="G16" s="64"/>
      <c r="H16" s="64"/>
    </row>
    <row r="17" spans="1:8" ht="20.100000000000001" customHeight="1">
      <c r="A17" s="64" t="s">
        <v>76</v>
      </c>
      <c r="B17" s="64"/>
      <c r="C17" s="64"/>
      <c r="D17" s="64"/>
      <c r="E17" s="64"/>
      <c r="F17" s="64"/>
      <c r="G17" s="64"/>
      <c r="H17" s="64"/>
    </row>
    <row r="18" spans="1:8" ht="20.100000000000001" customHeight="1">
      <c r="A18" s="64" t="s">
        <v>77</v>
      </c>
      <c r="B18" s="64"/>
      <c r="C18" s="64"/>
      <c r="D18" s="64"/>
      <c r="E18" s="64"/>
      <c r="F18" s="64"/>
      <c r="G18" s="64"/>
      <c r="H18" s="64"/>
    </row>
    <row r="19" spans="1:8" ht="20.100000000000001" customHeight="1">
      <c r="A19" s="64" t="s">
        <v>78</v>
      </c>
      <c r="B19" s="64"/>
      <c r="C19" s="64"/>
      <c r="D19" s="64"/>
      <c r="E19" s="64"/>
      <c r="F19" s="64"/>
      <c r="G19" s="64"/>
      <c r="H19" s="64"/>
    </row>
    <row r="20" spans="1:8" ht="20.100000000000001" customHeight="1">
      <c r="A20" s="64" t="s">
        <v>13</v>
      </c>
      <c r="B20" s="64"/>
      <c r="C20" s="64"/>
      <c r="D20" s="64"/>
      <c r="E20" s="64"/>
      <c r="F20" s="64"/>
      <c r="G20" s="64"/>
      <c r="H20" s="64"/>
    </row>
    <row r="21" spans="1:8" ht="20.100000000000001" customHeight="1">
      <c r="A21" s="70" t="s">
        <v>14</v>
      </c>
      <c r="B21" s="70" t="s">
        <v>15</v>
      </c>
      <c r="C21" s="70" t="s">
        <v>16</v>
      </c>
      <c r="D21" s="70" t="s">
        <v>17</v>
      </c>
      <c r="E21" s="70" t="s">
        <v>18</v>
      </c>
      <c r="F21" s="70" t="s">
        <v>19</v>
      </c>
      <c r="G21" s="64"/>
      <c r="H21" s="64"/>
    </row>
    <row r="22" spans="1:8" ht="36">
      <c r="A22" s="65">
        <v>1</v>
      </c>
      <c r="B22" s="66" t="s">
        <v>20</v>
      </c>
      <c r="C22" s="67" t="s">
        <v>21</v>
      </c>
      <c r="D22" s="66" t="s">
        <v>22</v>
      </c>
      <c r="E22" s="66" t="s">
        <v>23</v>
      </c>
      <c r="F22" s="68" t="s">
        <v>24</v>
      </c>
      <c r="G22" s="64"/>
      <c r="H22" s="64"/>
    </row>
    <row r="23" spans="1:8" ht="72">
      <c r="A23" s="65">
        <v>2</v>
      </c>
      <c r="B23" s="66" t="s">
        <v>25</v>
      </c>
      <c r="C23" s="67" t="s">
        <v>26</v>
      </c>
      <c r="D23" s="66" t="s">
        <v>27</v>
      </c>
      <c r="E23" s="66" t="s">
        <v>28</v>
      </c>
      <c r="F23" s="68" t="s">
        <v>24</v>
      </c>
      <c r="G23" s="64"/>
      <c r="H23" s="64"/>
    </row>
    <row r="24" spans="1:8" ht="36">
      <c r="A24" s="65">
        <v>3</v>
      </c>
      <c r="B24" s="66" t="s">
        <v>29</v>
      </c>
      <c r="C24" s="67" t="s">
        <v>30</v>
      </c>
      <c r="D24" s="66" t="s">
        <v>31</v>
      </c>
      <c r="E24" s="66" t="s">
        <v>32</v>
      </c>
      <c r="F24" s="68" t="s">
        <v>24</v>
      </c>
      <c r="G24" s="64"/>
      <c r="H24" s="64"/>
    </row>
    <row r="25" spans="1:8" ht="84">
      <c r="A25" s="65">
        <v>4</v>
      </c>
      <c r="B25" s="66" t="s">
        <v>33</v>
      </c>
      <c r="C25" s="345" t="s">
        <v>34</v>
      </c>
      <c r="D25" s="66" t="s">
        <v>35</v>
      </c>
      <c r="E25" s="66" t="s">
        <v>36</v>
      </c>
      <c r="F25" s="69" t="s">
        <v>37</v>
      </c>
      <c r="G25" s="64"/>
      <c r="H25" s="64"/>
    </row>
    <row r="26" spans="1:8" ht="72">
      <c r="A26" s="65">
        <v>5</v>
      </c>
      <c r="B26" s="66" t="s">
        <v>39</v>
      </c>
      <c r="C26" s="345"/>
      <c r="D26" s="66" t="s">
        <v>40</v>
      </c>
      <c r="E26" s="66" t="s">
        <v>41</v>
      </c>
      <c r="F26" s="69" t="s">
        <v>38</v>
      </c>
      <c r="G26" s="64"/>
      <c r="H26" s="64"/>
    </row>
    <row r="27" spans="1:8" ht="20.100000000000001" customHeight="1">
      <c r="A27" s="64" t="s">
        <v>79</v>
      </c>
      <c r="B27" s="64"/>
      <c r="C27" s="64"/>
      <c r="D27" s="64"/>
      <c r="E27" s="64"/>
      <c r="F27" s="64"/>
      <c r="G27" s="64"/>
      <c r="H27" s="64"/>
    </row>
    <row r="28" spans="1:8" ht="20.100000000000001" customHeight="1">
      <c r="A28" s="64" t="s">
        <v>80</v>
      </c>
      <c r="B28" s="64"/>
      <c r="C28" s="64"/>
      <c r="D28" s="64"/>
      <c r="E28" s="64"/>
      <c r="F28" s="64"/>
      <c r="G28" s="64"/>
      <c r="H28" s="64"/>
    </row>
    <row r="29" spans="1:8" ht="20.100000000000001" customHeight="1">
      <c r="A29" s="64" t="s">
        <v>81</v>
      </c>
      <c r="B29" s="64"/>
      <c r="C29" s="64"/>
      <c r="D29" s="64"/>
      <c r="E29" s="64"/>
      <c r="F29" s="64"/>
      <c r="G29" s="64"/>
      <c r="H29" s="64"/>
    </row>
    <row r="30" spans="1:8" ht="20.100000000000001" customHeight="1">
      <c r="A30" s="64" t="s">
        <v>82</v>
      </c>
      <c r="B30" s="64"/>
      <c r="C30" s="64"/>
      <c r="D30" s="64"/>
      <c r="E30" s="64"/>
      <c r="F30" s="64"/>
      <c r="G30" s="64"/>
      <c r="H30" s="64"/>
    </row>
    <row r="31" spans="1:8" ht="20.100000000000001" customHeight="1">
      <c r="A31" s="64" t="s">
        <v>83</v>
      </c>
      <c r="B31" s="64"/>
      <c r="C31" s="64"/>
      <c r="D31" s="64"/>
      <c r="E31" s="64"/>
      <c r="F31" s="64"/>
      <c r="G31" s="64"/>
      <c r="H31" s="64"/>
    </row>
    <row r="32" spans="1:8" ht="20.100000000000001" customHeight="1">
      <c r="A32" s="64" t="s">
        <v>84</v>
      </c>
      <c r="B32" s="64"/>
      <c r="C32" s="64"/>
      <c r="D32" s="64"/>
      <c r="E32" s="64"/>
      <c r="F32" s="64"/>
      <c r="G32" s="64"/>
      <c r="H32" s="64"/>
    </row>
    <row r="33" spans="1:8" ht="20.100000000000001" customHeight="1">
      <c r="A33" s="64" t="s">
        <v>85</v>
      </c>
      <c r="B33" s="64"/>
      <c r="C33" s="64"/>
      <c r="D33" s="64"/>
      <c r="E33" s="64"/>
      <c r="F33" s="64"/>
      <c r="G33" s="64"/>
      <c r="H33" s="64"/>
    </row>
    <row r="34" spans="1:8" ht="20.100000000000001" customHeight="1">
      <c r="A34" s="64" t="s">
        <v>86</v>
      </c>
      <c r="B34" s="64"/>
      <c r="C34" s="64"/>
      <c r="D34" s="64"/>
      <c r="E34" s="64"/>
      <c r="F34" s="64"/>
      <c r="G34" s="64"/>
      <c r="H34" s="64"/>
    </row>
    <row r="35" spans="1:8" ht="20.100000000000001" customHeight="1">
      <c r="A35" s="64" t="s">
        <v>87</v>
      </c>
      <c r="B35" s="64"/>
      <c r="C35" s="64"/>
      <c r="D35" s="64"/>
      <c r="E35" s="64"/>
      <c r="F35" s="64"/>
      <c r="G35" s="64"/>
      <c r="H35" s="64"/>
    </row>
    <row r="36" spans="1:8" ht="20.100000000000001" customHeight="1">
      <c r="A36" s="64" t="s">
        <v>88</v>
      </c>
      <c r="B36" s="64"/>
      <c r="C36" s="64"/>
      <c r="D36" s="64"/>
      <c r="E36" s="64"/>
      <c r="F36" s="64"/>
      <c r="G36" s="64"/>
      <c r="H36" s="64"/>
    </row>
    <row r="37" spans="1:8" ht="20.100000000000001" customHeight="1">
      <c r="A37" s="64" t="s">
        <v>89</v>
      </c>
      <c r="B37" s="64"/>
      <c r="C37" s="64"/>
      <c r="D37" s="64"/>
      <c r="E37" s="64"/>
      <c r="F37" s="64"/>
      <c r="G37" s="64"/>
      <c r="H37" s="64"/>
    </row>
    <row r="38" spans="1:8" ht="20.100000000000001" customHeight="1">
      <c r="A38" s="64" t="s">
        <v>90</v>
      </c>
      <c r="B38" s="64"/>
      <c r="C38" s="64"/>
      <c r="D38" s="64"/>
      <c r="E38" s="64"/>
      <c r="F38" s="64"/>
      <c r="G38" s="64"/>
      <c r="H38" s="64"/>
    </row>
    <row r="39" spans="1:8" ht="20.100000000000001" customHeight="1">
      <c r="A39" s="64" t="s">
        <v>91</v>
      </c>
      <c r="B39" s="64"/>
      <c r="C39" s="64"/>
      <c r="D39" s="64"/>
      <c r="E39" s="64"/>
      <c r="F39" s="64"/>
      <c r="G39" s="64"/>
      <c r="H39" s="64"/>
    </row>
    <row r="40" spans="1:8" ht="20.100000000000001" customHeight="1">
      <c r="A40" s="64" t="s">
        <v>92</v>
      </c>
      <c r="B40" s="64"/>
      <c r="C40" s="64"/>
      <c r="D40" s="64"/>
      <c r="E40" s="64"/>
      <c r="F40" s="64"/>
      <c r="G40" s="64"/>
      <c r="H40" s="64"/>
    </row>
    <row r="41" spans="1:8" ht="20.100000000000001" customHeight="1">
      <c r="A41" s="64" t="s">
        <v>59</v>
      </c>
      <c r="B41" s="64"/>
      <c r="C41" s="64"/>
      <c r="D41" s="64"/>
      <c r="E41" s="64"/>
      <c r="F41" s="64"/>
      <c r="G41" s="64"/>
      <c r="H41" s="64"/>
    </row>
    <row r="42" spans="1:8" ht="20.100000000000001" customHeight="1">
      <c r="A42" s="64" t="s">
        <v>93</v>
      </c>
      <c r="B42" s="64"/>
      <c r="C42" s="64"/>
      <c r="D42" s="64"/>
      <c r="E42" s="64"/>
      <c r="F42" s="64"/>
      <c r="G42" s="64"/>
      <c r="H42" s="64"/>
    </row>
    <row r="43" spans="1:8" ht="20.100000000000001" customHeight="1">
      <c r="A43" s="64" t="s">
        <v>94</v>
      </c>
      <c r="B43" s="64"/>
      <c r="C43" s="64"/>
      <c r="D43" s="64"/>
      <c r="E43" s="64"/>
      <c r="F43" s="64"/>
      <c r="G43" s="64"/>
      <c r="H43" s="64"/>
    </row>
  </sheetData>
  <mergeCells count="1">
    <mergeCell ref="C25:C26"/>
  </mergeCells>
  <phoneticPr fontId="15" type="noConversion"/>
  <printOptions horizontalCentered="1"/>
  <pageMargins left="0.74803149606299213" right="0.74803149606299213" top="0.98425196850393704" bottom="0.98425196850393704" header="0.51181102362204722" footer="0.51181102362204722"/>
  <pageSetup paperSize="9" scale="74" orientation="portrait" blackAndWhite="1" cellComments="asDisplayed"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8"/>
  <sheetViews>
    <sheetView workbookViewId="0"/>
  </sheetViews>
  <sheetFormatPr defaultRowHeight="15.6"/>
  <sheetData>
    <row r="1" spans="1:2">
      <c r="A1" t="s">
        <v>42</v>
      </c>
      <c r="B1" t="s">
        <v>43</v>
      </c>
    </row>
    <row r="2" spans="1:2">
      <c r="A2" t="s">
        <v>44</v>
      </c>
      <c r="B2" t="s">
        <v>45</v>
      </c>
    </row>
    <row r="3" spans="1:2">
      <c r="A3" t="s">
        <v>46</v>
      </c>
      <c r="B3" t="s">
        <v>47</v>
      </c>
    </row>
    <row r="4" spans="1:2">
      <c r="A4" t="s">
        <v>48</v>
      </c>
      <c r="B4" t="s">
        <v>49</v>
      </c>
    </row>
    <row r="5" spans="1:2">
      <c r="A5" t="s">
        <v>50</v>
      </c>
      <c r="B5" t="s">
        <v>51</v>
      </c>
    </row>
    <row r="6" spans="1:2">
      <c r="A6" t="s">
        <v>52</v>
      </c>
      <c r="B6" t="s">
        <v>53</v>
      </c>
    </row>
    <row r="7" spans="1:2">
      <c r="A7" t="s">
        <v>54</v>
      </c>
      <c r="B7" t="s">
        <v>55</v>
      </c>
    </row>
    <row r="8" spans="1:2">
      <c r="A8" t="s">
        <v>56</v>
      </c>
      <c r="B8" t="s">
        <v>57</v>
      </c>
    </row>
  </sheetData>
  <phoneticPr fontId="1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9</vt:i4>
      </vt:variant>
    </vt:vector>
  </HeadingPairs>
  <TitlesOfParts>
    <vt:vector size="20" baseType="lpstr">
      <vt:lpstr>底稿目录</vt:lpstr>
      <vt:lpstr>实质性程序表K7A</vt:lpstr>
      <vt:lpstr>审定表K7-1</vt:lpstr>
      <vt:lpstr>附注披露信息（上市公司）</vt:lpstr>
      <vt:lpstr>附注披露信息（国有企业）</vt:lpstr>
      <vt:lpstr>明细表K7-2</vt:lpstr>
      <vt:lpstr>调整分录汇总K7-3</vt:lpstr>
      <vt:lpstr>测算表K7-4</vt:lpstr>
      <vt:lpstr>递延收益检查表K7-5</vt:lpstr>
      <vt:lpstr>会计提示</vt:lpstr>
      <vt:lpstr>GT_Custom</vt:lpstr>
      <vt:lpstr>实质性程序表K7A!_FilterDatabase</vt:lpstr>
      <vt:lpstr>'测算表K7-4'!Print_Area</vt:lpstr>
      <vt:lpstr>'递延收益检查表K7-5'!Print_Area</vt:lpstr>
      <vt:lpstr>'调整分录汇总K7-3'!Print_Area</vt:lpstr>
      <vt:lpstr>'附注披露信息（上市公司）'!Print_Area</vt:lpstr>
      <vt:lpstr>'明细表K7-2'!Print_Area</vt:lpstr>
      <vt:lpstr>'审定表K7-1'!Print_Area</vt:lpstr>
      <vt:lpstr>实质性程序表K7A!Print_Area</vt:lpstr>
      <vt:lpstr>实质性程序表K7A!Print_Titles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2025-10-22T02:55:12Z</cp:lastPrinted>
  <dcterms:created xsi:type="dcterms:W3CDTF">2007-05-20T08:51:05Z</dcterms:created>
  <dcterms:modified xsi:type="dcterms:W3CDTF">2025-11-05T07:23:28Z</dcterms:modified>
</cp:coreProperties>
</file>