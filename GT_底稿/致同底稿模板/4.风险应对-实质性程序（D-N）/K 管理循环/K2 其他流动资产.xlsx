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0" yWindow="0" windowWidth="20400" windowHeight="7860" tabRatio="820"/>
  </bookViews>
  <sheets>
    <sheet name="底稿目录" sheetId="1" r:id="rId1"/>
    <sheet name="实质性程序表 K2A" sheetId="27" r:id="rId2"/>
    <sheet name="审定表K2-1" sheetId="22" r:id="rId3"/>
    <sheet name="附注披露信息（上市公司）" sheetId="25" r:id="rId4"/>
    <sheet name="附注披露信息（国企）" sheetId="24" r:id="rId5"/>
    <sheet name="明细表K2-2" sheetId="17" r:id="rId6"/>
    <sheet name="调整分录汇总K2-3" sheetId="30" r:id="rId7"/>
    <sheet name="合同取得成本明细表K2-4" sheetId="31" r:id="rId8"/>
    <sheet name="摊销测算表K2-5" sheetId="29" r:id="rId9"/>
    <sheet name="其他流动资产检查表表K2-6" sheetId="32" r:id="rId10"/>
    <sheet name="GT_Custom" sheetId="26" state="hidden" r:id="rId11"/>
  </sheets>
  <externalReferences>
    <externalReference r:id="rId12"/>
    <externalReference r:id="rId13"/>
    <externalReference r:id="rId14"/>
  </externalReferences>
  <definedNames>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6">'调整分录汇总K2-3'!$A$1:$J$20</definedName>
    <definedName name="_xlnm.Print_Area" localSheetId="3">'附注披露信息（上市公司）'!$A$1:$E$13</definedName>
    <definedName name="_xlnm.Print_Area" localSheetId="7">'合同取得成本明细表K2-4'!$A$1:$W$25</definedName>
    <definedName name="_xlnm.Print_Area" localSheetId="5">'明细表K2-2'!$A$1:$P$27</definedName>
    <definedName name="_xlnm.Print_Area" localSheetId="9">'其他流动资产检查表表K2-6'!$A$1:$Q$32</definedName>
    <definedName name="_xlnm.Print_Area" localSheetId="2">'审定表K2-1'!$A$1:$N$22</definedName>
    <definedName name="_xlnm.Print_Area" localSheetId="1">'实质性程序表 K2A'!$A$1:$I$26</definedName>
    <definedName name="_xlnm.Print_Area" localSheetId="8">'摊销测算表K2-5'!$A$1:$Q$31</definedName>
    <definedName name="_xlnm.Print_Titles" localSheetId="1">'实质性程序表 K2A'!$15:$15</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新目录" hidden="1">#REF!</definedName>
  </definedNames>
  <calcPr calcId="162913"/>
</workbook>
</file>

<file path=xl/calcChain.xml><?xml version="1.0" encoding="utf-8"?>
<calcChain xmlns="http://schemas.openxmlformats.org/spreadsheetml/2006/main">
  <c r="F29" i="32" l="1"/>
  <c r="F28" i="32"/>
  <c r="E29" i="32"/>
  <c r="E28" i="32"/>
  <c r="N24" i="29"/>
  <c r="M24" i="29"/>
  <c r="G28" i="32" l="1"/>
  <c r="G29" i="32"/>
  <c r="I4" i="32"/>
  <c r="I3" i="32"/>
  <c r="F4" i="32"/>
  <c r="F3" i="32"/>
  <c r="A4" i="32"/>
  <c r="A3" i="32"/>
  <c r="Q3" i="32"/>
  <c r="H25" i="32"/>
  <c r="G25" i="32"/>
  <c r="L10" i="29" l="1"/>
  <c r="J10" i="29"/>
  <c r="H10" i="29"/>
  <c r="C24" i="29" l="1"/>
  <c r="Q3" i="29" l="1"/>
  <c r="W3" i="31"/>
  <c r="B17" i="31" l="1"/>
  <c r="B18" i="31"/>
  <c r="B16" i="31"/>
  <c r="B13" i="31"/>
  <c r="B14" i="31"/>
  <c r="B12" i="31"/>
  <c r="A17" i="31"/>
  <c r="A18" i="31"/>
  <c r="A16" i="31"/>
  <c r="A13" i="31"/>
  <c r="A14" i="31"/>
  <c r="A12" i="31"/>
  <c r="T8" i="31"/>
  <c r="S8" i="31"/>
  <c r="R8" i="31"/>
  <c r="U8" i="31" s="1"/>
  <c r="N11" i="17" l="1"/>
  <c r="M11" i="17"/>
  <c r="L11" i="17"/>
  <c r="O11" i="17" l="1"/>
  <c r="C20" i="17"/>
  <c r="D20" i="17"/>
  <c r="F20" i="17"/>
  <c r="G20" i="17"/>
  <c r="H20" i="17"/>
  <c r="I20" i="17"/>
  <c r="J20" i="17"/>
  <c r="K20" i="17"/>
  <c r="L18" i="17"/>
  <c r="M18" i="17"/>
  <c r="N18" i="17"/>
  <c r="L19" i="17"/>
  <c r="M19" i="17"/>
  <c r="N19" i="17"/>
  <c r="E12" i="17"/>
  <c r="F8" i="22" s="1"/>
  <c r="E13" i="17"/>
  <c r="F9" i="22" s="1"/>
  <c r="E14" i="17"/>
  <c r="E15" i="17"/>
  <c r="F11" i="22" s="1"/>
  <c r="E16" i="17"/>
  <c r="E17" i="17"/>
  <c r="F13" i="22" s="1"/>
  <c r="E18" i="17"/>
  <c r="E19" i="17"/>
  <c r="E11" i="17"/>
  <c r="B20" i="17"/>
  <c r="A8" i="22"/>
  <c r="B8" i="22"/>
  <c r="C8" i="22"/>
  <c r="D8" i="22"/>
  <c r="G8" i="22"/>
  <c r="H8" i="22"/>
  <c r="A9" i="22"/>
  <c r="B9" i="22"/>
  <c r="C9" i="22"/>
  <c r="D9" i="22"/>
  <c r="G9" i="22"/>
  <c r="H9" i="22"/>
  <c r="A10" i="22"/>
  <c r="B10" i="22"/>
  <c r="C10" i="22"/>
  <c r="D10" i="22"/>
  <c r="F10" i="22"/>
  <c r="G10" i="22"/>
  <c r="H10" i="22"/>
  <c r="A11" i="22"/>
  <c r="B11" i="22"/>
  <c r="C11" i="22"/>
  <c r="D11" i="22"/>
  <c r="G11" i="22"/>
  <c r="H11" i="22"/>
  <c r="A12" i="22"/>
  <c r="B12" i="22"/>
  <c r="C12" i="22"/>
  <c r="D12" i="22"/>
  <c r="F12" i="22"/>
  <c r="G12" i="22"/>
  <c r="H12" i="22"/>
  <c r="A13" i="22"/>
  <c r="B13" i="22"/>
  <c r="C13" i="22"/>
  <c r="D13" i="22"/>
  <c r="G13" i="22"/>
  <c r="H13" i="22"/>
  <c r="I11" i="22" l="1"/>
  <c r="E9" i="22"/>
  <c r="I13" i="22"/>
  <c r="I9" i="22"/>
  <c r="L9" i="22" s="1"/>
  <c r="M9" i="22" s="1"/>
  <c r="E20" i="17"/>
  <c r="O19" i="17"/>
  <c r="E12" i="22"/>
  <c r="O18" i="17"/>
  <c r="J8" i="22"/>
  <c r="K8" i="22" s="1"/>
  <c r="J11" i="22"/>
  <c r="K11" i="22" s="1"/>
  <c r="J9" i="22"/>
  <c r="K9" i="22" s="1"/>
  <c r="I8" i="22"/>
  <c r="I12" i="22"/>
  <c r="I10" i="22"/>
  <c r="J13" i="22"/>
  <c r="K13" i="22" s="1"/>
  <c r="E10" i="22"/>
  <c r="E11" i="22"/>
  <c r="L11" i="22" s="1"/>
  <c r="M11" i="22" s="1"/>
  <c r="E13" i="22"/>
  <c r="J12" i="22"/>
  <c r="K12" i="22" s="1"/>
  <c r="E8" i="22"/>
  <c r="J10" i="22"/>
  <c r="K10" i="22" s="1"/>
  <c r="O4" i="31"/>
  <c r="O3" i="31"/>
  <c r="I4" i="31"/>
  <c r="I3" i="31"/>
  <c r="A4" i="31"/>
  <c r="A3" i="31"/>
  <c r="L13" i="22" l="1"/>
  <c r="M13" i="22" s="1"/>
  <c r="L12" i="22"/>
  <c r="M12" i="22" s="1"/>
  <c r="L10" i="22"/>
  <c r="M10" i="22" s="1"/>
  <c r="L8" i="22"/>
  <c r="M8" i="22" s="1"/>
  <c r="Q18" i="31" l="1"/>
  <c r="P18" i="31"/>
  <c r="O18" i="31"/>
  <c r="N18" i="31"/>
  <c r="M18" i="31"/>
  <c r="L18" i="31"/>
  <c r="J18" i="31"/>
  <c r="I18" i="31"/>
  <c r="H18" i="31"/>
  <c r="Q17" i="31"/>
  <c r="P17" i="31"/>
  <c r="O17" i="31"/>
  <c r="N17" i="31"/>
  <c r="M17" i="31"/>
  <c r="L17" i="31"/>
  <c r="J17" i="31"/>
  <c r="I17" i="31"/>
  <c r="H17" i="31"/>
  <c r="Q16" i="31"/>
  <c r="P16" i="31"/>
  <c r="O16" i="31"/>
  <c r="N16" i="31"/>
  <c r="M16" i="31"/>
  <c r="L16" i="31"/>
  <c r="J16" i="31"/>
  <c r="I16" i="31"/>
  <c r="H16" i="31"/>
  <c r="T14" i="31"/>
  <c r="S14" i="31"/>
  <c r="R14" i="31"/>
  <c r="K14" i="31"/>
  <c r="T13" i="31"/>
  <c r="S13" i="31"/>
  <c r="R13" i="31"/>
  <c r="K13" i="31"/>
  <c r="T12" i="31"/>
  <c r="S12" i="31"/>
  <c r="R12" i="31"/>
  <c r="U12" i="31" s="1"/>
  <c r="K12" i="31"/>
  <c r="Q11" i="31"/>
  <c r="P11" i="31"/>
  <c r="O11" i="31"/>
  <c r="N11" i="31"/>
  <c r="M11" i="31"/>
  <c r="L11" i="31"/>
  <c r="J11" i="31"/>
  <c r="I11" i="31"/>
  <c r="H11" i="31"/>
  <c r="T10" i="31"/>
  <c r="S10" i="31"/>
  <c r="R10" i="31"/>
  <c r="K10" i="31"/>
  <c r="T9" i="31"/>
  <c r="T7" i="31" s="1"/>
  <c r="S9" i="31"/>
  <c r="R9" i="31"/>
  <c r="K9" i="31"/>
  <c r="K8" i="31"/>
  <c r="Q7" i="31"/>
  <c r="P7" i="31"/>
  <c r="O7" i="31"/>
  <c r="N7" i="31"/>
  <c r="M7" i="31"/>
  <c r="L7" i="31"/>
  <c r="J7" i="31"/>
  <c r="I7" i="31"/>
  <c r="H7" i="31"/>
  <c r="N15" i="31" l="1"/>
  <c r="P15" i="31"/>
  <c r="U14" i="31"/>
  <c r="T17" i="31"/>
  <c r="R16" i="31"/>
  <c r="I15" i="31"/>
  <c r="U10" i="31"/>
  <c r="K7" i="31"/>
  <c r="S11" i="31"/>
  <c r="O15" i="31"/>
  <c r="T11" i="31"/>
  <c r="S7" i="31"/>
  <c r="U13" i="31"/>
  <c r="U11" i="31" s="1"/>
  <c r="R17" i="31"/>
  <c r="Q15" i="31"/>
  <c r="T16" i="31"/>
  <c r="R18" i="31"/>
  <c r="L15" i="31"/>
  <c r="M15" i="31"/>
  <c r="K18" i="31"/>
  <c r="S17" i="31"/>
  <c r="S18" i="31"/>
  <c r="K17" i="31"/>
  <c r="J15" i="31"/>
  <c r="T18" i="31"/>
  <c r="U9" i="31"/>
  <c r="K11" i="31"/>
  <c r="S16" i="31"/>
  <c r="K16" i="31"/>
  <c r="R11" i="31"/>
  <c r="R7" i="31"/>
  <c r="H15" i="31"/>
  <c r="U17" i="31" l="1"/>
  <c r="K15" i="31"/>
  <c r="R15" i="31"/>
  <c r="U7" i="31"/>
  <c r="U16" i="31"/>
  <c r="U18" i="31"/>
  <c r="T15" i="31"/>
  <c r="S15" i="31"/>
  <c r="U15" i="31" l="1"/>
  <c r="J3" i="30"/>
  <c r="F4" i="30"/>
  <c r="F3" i="30"/>
  <c r="C4" i="30"/>
  <c r="C3" i="30"/>
  <c r="A4" i="30"/>
  <c r="A3" i="30"/>
  <c r="L4" i="29" l="1"/>
  <c r="L3" i="29"/>
  <c r="E4" i="29"/>
  <c r="E3" i="29"/>
  <c r="A4" i="29"/>
  <c r="A3" i="29"/>
  <c r="D26" i="29" a="1"/>
  <c r="D26" i="29" s="1"/>
  <c r="D25" i="29" a="1"/>
  <c r="D25" i="29" s="1"/>
  <c r="D24" i="29" a="1"/>
  <c r="D24" i="29" s="1"/>
  <c r="G22" i="29"/>
  <c r="D22" i="29"/>
  <c r="C22" i="29"/>
  <c r="L21" i="29"/>
  <c r="J21" i="29"/>
  <c r="I21" i="29"/>
  <c r="H21" i="29"/>
  <c r="M21" i="29" s="1"/>
  <c r="O21" i="29" s="1"/>
  <c r="L20" i="29"/>
  <c r="J20" i="29"/>
  <c r="I20" i="29"/>
  <c r="H20" i="29"/>
  <c r="M20" i="29" s="1"/>
  <c r="L19" i="29"/>
  <c r="J19" i="29"/>
  <c r="I19" i="29"/>
  <c r="H19" i="29"/>
  <c r="M19" i="29" s="1"/>
  <c r="L18" i="29"/>
  <c r="J18" i="29"/>
  <c r="I18" i="29"/>
  <c r="H18" i="29"/>
  <c r="L17" i="29"/>
  <c r="J17" i="29"/>
  <c r="I17" i="29"/>
  <c r="H17" i="29"/>
  <c r="M17" i="29" s="1"/>
  <c r="L16" i="29"/>
  <c r="J16" i="29"/>
  <c r="I16" i="29"/>
  <c r="H16" i="29"/>
  <c r="M16" i="29" s="1"/>
  <c r="L15" i="29"/>
  <c r="J15" i="29"/>
  <c r="I15" i="29"/>
  <c r="H15" i="29"/>
  <c r="L14" i="29"/>
  <c r="J14" i="29"/>
  <c r="I14" i="29"/>
  <c r="H14" i="29"/>
  <c r="M14" i="29" s="1"/>
  <c r="L13" i="29"/>
  <c r="J13" i="29"/>
  <c r="I13" i="29"/>
  <c r="H13" i="29"/>
  <c r="M13" i="29" s="1"/>
  <c r="L12" i="29"/>
  <c r="J12" i="29"/>
  <c r="I12" i="29"/>
  <c r="H12" i="29"/>
  <c r="M12" i="29" s="1"/>
  <c r="L11" i="29"/>
  <c r="J11" i="29"/>
  <c r="I11" i="29"/>
  <c r="H11" i="29"/>
  <c r="M11" i="29" s="1"/>
  <c r="I10" i="29"/>
  <c r="K13" i="29" l="1"/>
  <c r="K21" i="29"/>
  <c r="K18" i="29"/>
  <c r="K15" i="29"/>
  <c r="P19" i="29"/>
  <c r="Q19" i="29" s="1"/>
  <c r="P13" i="29"/>
  <c r="Q13" i="29" s="1"/>
  <c r="M10" i="29"/>
  <c r="P16" i="29"/>
  <c r="Q16" i="29" s="1"/>
  <c r="P11" i="29"/>
  <c r="Q11" i="29" s="1"/>
  <c r="K19" i="29"/>
  <c r="M15" i="29"/>
  <c r="P15" i="29" s="1"/>
  <c r="Q15" i="29" s="1"/>
  <c r="K11" i="29"/>
  <c r="M18" i="29"/>
  <c r="P18" i="29" s="1"/>
  <c r="Q18" i="29" s="1"/>
  <c r="K16" i="29"/>
  <c r="P14" i="29"/>
  <c r="Q14" i="29" s="1"/>
  <c r="O14" i="29"/>
  <c r="N14" i="29"/>
  <c r="O17" i="29"/>
  <c r="N17" i="29"/>
  <c r="P17" i="29"/>
  <c r="Q17" i="29" s="1"/>
  <c r="N20" i="29"/>
  <c r="P20" i="29"/>
  <c r="Q20" i="29" s="1"/>
  <c r="O20" i="29"/>
  <c r="N12" i="29"/>
  <c r="P12" i="29"/>
  <c r="Q12" i="29" s="1"/>
  <c r="O12" i="29"/>
  <c r="M26" i="29" a="1"/>
  <c r="O18" i="29"/>
  <c r="N21" i="29"/>
  <c r="M25" i="29" a="1"/>
  <c r="O16" i="29"/>
  <c r="N19" i="29"/>
  <c r="K20" i="29"/>
  <c r="P21" i="29"/>
  <c r="Q21" i="29" s="1"/>
  <c r="C27" i="29" a="1"/>
  <c r="C27" i="29" s="1"/>
  <c r="O19" i="29"/>
  <c r="C26" i="29" a="1"/>
  <c r="C26" i="29" s="1"/>
  <c r="N18" i="29"/>
  <c r="N13" i="29"/>
  <c r="K14" i="29"/>
  <c r="O13" i="29"/>
  <c r="N16" i="29"/>
  <c r="K17" i="29"/>
  <c r="N11" i="29"/>
  <c r="K12" i="29"/>
  <c r="O11" i="29"/>
  <c r="C25" i="29" a="1"/>
  <c r="C25" i="29" s="1"/>
  <c r="D27" i="29" a="1"/>
  <c r="D27" i="29" s="1"/>
  <c r="M27" i="29" a="1"/>
  <c r="N10" i="29" l="1"/>
  <c r="O10" i="29"/>
  <c r="O22" i="29" s="1"/>
  <c r="P10" i="29"/>
  <c r="Q10" i="29" s="1"/>
  <c r="M22" i="29"/>
  <c r="O15" i="29"/>
  <c r="N15" i="29"/>
  <c r="M26" i="29"/>
  <c r="M27" i="29"/>
  <c r="M25" i="29"/>
  <c r="K10" i="29"/>
  <c r="O26" i="29" a="1"/>
  <c r="O27" i="29" a="1"/>
  <c r="Q27" i="29" a="1"/>
  <c r="P24" i="29" a="1"/>
  <c r="P24" i="29" s="1"/>
  <c r="Q26" i="29" a="1"/>
  <c r="Q26" i="29" s="1"/>
  <c r="Q24" i="29" a="1"/>
  <c r="Q24" i="29" s="1"/>
  <c r="Q22" i="29"/>
  <c r="Q25" i="29" a="1"/>
  <c r="Q25" i="29" s="1"/>
  <c r="N26" i="29" a="1"/>
  <c r="N25" i="29" a="1"/>
  <c r="P26" i="29" a="1"/>
  <c r="P26" i="29" s="1"/>
  <c r="O24" i="29" a="1"/>
  <c r="P27" i="29" a="1"/>
  <c r="P27" i="29" s="1"/>
  <c r="P25" i="29" a="1"/>
  <c r="P25" i="29" s="1"/>
  <c r="N27" i="29" a="1"/>
  <c r="O25" i="29" a="1"/>
  <c r="N22" i="29" l="1"/>
  <c r="Q27" i="29"/>
  <c r="P22" i="29"/>
  <c r="O25" i="29"/>
  <c r="O27" i="29"/>
  <c r="N26" i="29"/>
  <c r="N27" i="29"/>
  <c r="N25" i="29"/>
  <c r="O26" i="29"/>
  <c r="O24" i="29"/>
  <c r="E3" i="24" l="1"/>
  <c r="P3" i="17"/>
  <c r="J4" i="17"/>
  <c r="J3" i="17"/>
  <c r="D4" i="17"/>
  <c r="D3" i="17"/>
  <c r="A4" i="17"/>
  <c r="A3" i="17"/>
  <c r="C4" i="24"/>
  <c r="C3" i="24"/>
  <c r="B4" i="24"/>
  <c r="B3" i="24"/>
  <c r="A4" i="24"/>
  <c r="A3" i="24"/>
  <c r="E3" i="25"/>
  <c r="C4" i="25"/>
  <c r="C3" i="25"/>
  <c r="B4" i="25"/>
  <c r="B3" i="25"/>
  <c r="A4" i="25"/>
  <c r="A3" i="25"/>
  <c r="N3" i="22"/>
  <c r="I3" i="27"/>
  <c r="I4" i="22"/>
  <c r="I3" i="22"/>
  <c r="D4" i="22"/>
  <c r="D3" i="22"/>
  <c r="A4" i="22"/>
  <c r="A3" i="22"/>
  <c r="E4" i="27"/>
  <c r="E3" i="27"/>
  <c r="C4" i="27"/>
  <c r="C3" i="27"/>
  <c r="A4" i="27"/>
  <c r="A3" i="27"/>
  <c r="N17" i="17" l="1"/>
  <c r="M17" i="17"/>
  <c r="L17" i="17"/>
  <c r="C11" i="25" s="1"/>
  <c r="M16" i="17"/>
  <c r="L16" i="17"/>
  <c r="N16" i="17"/>
  <c r="N15" i="17"/>
  <c r="M15" i="17"/>
  <c r="L15" i="17"/>
  <c r="N14" i="17"/>
  <c r="M14" i="17"/>
  <c r="L14" i="17"/>
  <c r="C11" i="24" s="1"/>
  <c r="M13" i="17"/>
  <c r="L13" i="17"/>
  <c r="C10" i="24" s="1"/>
  <c r="M12" i="17"/>
  <c r="L12" i="17"/>
  <c r="C9" i="24" s="1"/>
  <c r="N12" i="17"/>
  <c r="F7" i="22"/>
  <c r="F15" i="22" s="1"/>
  <c r="A12" i="24"/>
  <c r="A11" i="24"/>
  <c r="A10" i="24"/>
  <c r="A9" i="24"/>
  <c r="A8" i="24"/>
  <c r="A11" i="25"/>
  <c r="A10" i="25"/>
  <c r="A9" i="25"/>
  <c r="A8" i="25"/>
  <c r="A7" i="25"/>
  <c r="H7" i="22"/>
  <c r="H15" i="22" s="1"/>
  <c r="G7" i="22"/>
  <c r="G15" i="22" s="1"/>
  <c r="D7" i="22"/>
  <c r="D15" i="22" s="1"/>
  <c r="C7" i="22"/>
  <c r="C15" i="22" s="1"/>
  <c r="B7" i="22"/>
  <c r="B15" i="22" s="1"/>
  <c r="A7" i="22"/>
  <c r="C8" i="25" l="1"/>
  <c r="L20" i="17"/>
  <c r="M20" i="17"/>
  <c r="C10" i="25"/>
  <c r="J7" i="22"/>
  <c r="K7" i="22" s="1"/>
  <c r="C9" i="25"/>
  <c r="O17" i="17"/>
  <c r="B11" i="25" s="1"/>
  <c r="O16" i="17"/>
  <c r="E7" i="22"/>
  <c r="E15" i="22" s="1"/>
  <c r="O15" i="17"/>
  <c r="N13" i="17"/>
  <c r="O13" i="17" s="1"/>
  <c r="C12" i="24"/>
  <c r="I7" i="22"/>
  <c r="I15" i="22" s="1"/>
  <c r="O12" i="17"/>
  <c r="O14" i="17"/>
  <c r="C8" i="24"/>
  <c r="C7" i="25"/>
  <c r="O20" i="17" l="1"/>
  <c r="B12" i="24"/>
  <c r="N20" i="17"/>
  <c r="C12" i="25"/>
  <c r="C13" i="24"/>
  <c r="B8" i="25"/>
  <c r="B9" i="24"/>
  <c r="L7" i="22"/>
  <c r="M7" i="22" s="1"/>
  <c r="B10" i="25"/>
  <c r="B11" i="24"/>
  <c r="B8" i="24"/>
  <c r="B7" i="25"/>
  <c r="B10" i="24"/>
  <c r="B9" i="25"/>
  <c r="J15" i="22"/>
  <c r="K15" i="22" s="1"/>
  <c r="L15" i="22" l="1"/>
  <c r="M15" i="22" s="1"/>
  <c r="B13" i="24"/>
  <c r="B12" i="25"/>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<sst xmlns="http://schemas.openxmlformats.org/spreadsheetml/2006/main" count="373" uniqueCount="311">
  <si>
    <t>底稿开列时，可先在以下单元格填写有关内容，以便其他底稿引用有关数据：</t>
  </si>
  <si>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</si>
  <si>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</si>
  <si>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</si>
  <si>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</si>
  <si>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附注披露信息（国企）</t>
  </si>
  <si>
    <t>其他流动资产</t>
  </si>
  <si>
    <t>待抵扣进项税</t>
  </si>
  <si>
    <t>房租物业费</t>
  </si>
  <si>
    <t>预缴企业所得税</t>
  </si>
  <si>
    <t>委托贷款</t>
  </si>
  <si>
    <t>预缴其他税费</t>
  </si>
  <si>
    <t>应收退货成本</t>
  </si>
  <si>
    <t>致同会计师事务所</t>
  </si>
  <si>
    <t>其他流动资产实质性程序</t>
  </si>
  <si>
    <r>
      <rPr>
        <b/>
        <sz val="10"/>
        <rFont val="宋体"/>
        <family val="3"/>
        <charset val="134"/>
      </rPr>
      <t>财务报表的认定　</t>
    </r>
  </si>
  <si>
    <t>存在</t>
  </si>
  <si>
    <t>权利和义务</t>
  </si>
  <si>
    <t>√</t>
  </si>
  <si>
    <t>三、计划实施的实质性程序</t>
  </si>
  <si>
    <t>2</t>
  </si>
  <si>
    <r>
      <rPr>
        <sz val="10"/>
        <rFont val="宋体"/>
        <family val="3"/>
        <charset val="134"/>
      </rPr>
      <t>备选</t>
    </r>
  </si>
  <si>
    <t>3</t>
  </si>
  <si>
    <t>4</t>
  </si>
  <si>
    <t>5</t>
  </si>
  <si>
    <t>其他流动资产审定表</t>
  </si>
  <si>
    <r>
      <rPr>
        <b/>
        <sz val="10"/>
        <color indexed="8"/>
        <rFont val="宋体"/>
        <family val="3"/>
        <charset val="134"/>
      </rPr>
      <t>项目</t>
    </r>
  </si>
  <si>
    <t>期初数</t>
  </si>
  <si>
    <t>期末数</t>
  </si>
  <si>
    <t>本期未审数与上期
未审数的比较</t>
  </si>
  <si>
    <t>本期审定数与上期
审定数的比较</t>
  </si>
  <si>
    <t>原因分析</t>
  </si>
  <si>
    <t>未审数</t>
  </si>
  <si>
    <t>账项调整</t>
  </si>
  <si>
    <t>重分类调整</t>
  </si>
  <si>
    <t>审定数</t>
  </si>
  <si>
    <t>变动额</t>
  </si>
  <si>
    <t>变动率</t>
  </si>
  <si>
    <r>
      <rPr>
        <b/>
        <sz val="10"/>
        <color indexed="8"/>
        <rFont val="宋体"/>
        <family val="3"/>
        <charset val="134"/>
      </rPr>
      <t>合计</t>
    </r>
  </si>
  <si>
    <r>
      <rPr>
        <sz val="10"/>
        <rFont val="宋体"/>
        <family val="3"/>
        <charset val="134"/>
      </rPr>
      <t>（</t>
    </r>
    <r>
      <rPr>
        <sz val="10"/>
        <rFont val="Arial Narrow"/>
        <family val="2"/>
      </rPr>
      <t>1</t>
    </r>
    <r>
      <rPr>
        <sz val="10"/>
        <rFont val="宋体"/>
        <family val="3"/>
        <charset val="134"/>
      </rPr>
      <t>）其他流动资产本期较上期增加（负数为减少）：</t>
    </r>
  </si>
  <si>
    <r>
      <rPr>
        <sz val="10"/>
        <rFont val="宋体"/>
        <family val="3"/>
        <charset val="134"/>
      </rPr>
      <t>（</t>
    </r>
    <r>
      <rPr>
        <sz val="10"/>
        <rFont val="Arial Narrow"/>
        <family val="2"/>
      </rPr>
      <t>2</t>
    </r>
    <r>
      <rPr>
        <sz val="10"/>
        <rFont val="宋体"/>
        <family val="3"/>
        <charset val="134"/>
      </rPr>
      <t>）情况说明。</t>
    </r>
  </si>
  <si>
    <t>附注披露信息(上市公司)</t>
  </si>
  <si>
    <t>页次：</t>
  </si>
  <si>
    <r>
      <rPr>
        <sz val="12"/>
        <rFont val="仿宋_GB2312"/>
        <family val="3"/>
        <charset val="134"/>
      </rPr>
      <t>其他流动资产</t>
    </r>
    <r>
      <rPr>
        <sz val="12"/>
        <color indexed="12"/>
        <rFont val="仿宋_GB2312"/>
        <family val="3"/>
        <charset val="134"/>
      </rPr>
      <t>（注：根据实际情况列示；不存在的项目请删除）</t>
    </r>
  </si>
  <si>
    <r>
      <rPr>
        <b/>
        <sz val="12"/>
        <color rgb="FF000000"/>
        <rFont val="仿宋_GB2312"/>
        <family val="3"/>
        <charset val="134"/>
      </rPr>
      <t>项</t>
    </r>
    <r>
      <rPr>
        <b/>
        <sz val="12"/>
        <color indexed="8"/>
        <rFont val="Arial Narrow"/>
        <family val="2"/>
      </rPr>
      <t xml:space="preserve">  </t>
    </r>
    <r>
      <rPr>
        <b/>
        <sz val="12"/>
        <color indexed="8"/>
        <rFont val="仿宋_GB2312"/>
        <family val="3"/>
        <charset val="134"/>
      </rPr>
      <t>目</t>
    </r>
  </si>
  <si>
    <r>
      <rPr>
        <b/>
        <sz val="12"/>
        <color rgb="FF000000"/>
        <rFont val="仿宋_GB2312"/>
        <family val="3"/>
        <charset val="134"/>
      </rPr>
      <t>合</t>
    </r>
    <r>
      <rPr>
        <b/>
        <sz val="12"/>
        <color indexed="8"/>
        <rFont val="Arial Narrow"/>
        <family val="2"/>
      </rPr>
      <t xml:space="preserve">  </t>
    </r>
    <r>
      <rPr>
        <b/>
        <sz val="12"/>
        <color indexed="8"/>
        <rFont val="仿宋_GB2312"/>
        <family val="3"/>
        <charset val="134"/>
      </rPr>
      <t>计</t>
    </r>
  </si>
  <si>
    <t>（金额较大的其他流动资产，应说明其内容、性质）</t>
  </si>
  <si>
    <t>（根据性质选择披露方式）</t>
  </si>
  <si>
    <r>
      <rPr>
        <b/>
        <sz val="12"/>
        <color rgb="FF000000"/>
        <rFont val="仿宋_GB2312"/>
        <family val="3"/>
        <charset val="134"/>
      </rPr>
      <t>项</t>
    </r>
    <r>
      <rPr>
        <b/>
        <sz val="12"/>
        <color indexed="8"/>
        <rFont val="Arial Narrow"/>
        <family val="2"/>
      </rPr>
      <t xml:space="preserve"> </t>
    </r>
    <r>
      <rPr>
        <b/>
        <sz val="12"/>
        <color indexed="8"/>
        <rFont val="仿宋_GB2312"/>
        <family val="3"/>
        <charset val="134"/>
      </rPr>
      <t>目</t>
    </r>
  </si>
  <si>
    <t>期末账面价值</t>
  </si>
  <si>
    <t>年初账面价值</t>
  </si>
  <si>
    <r>
      <rPr>
        <b/>
        <sz val="12"/>
        <rFont val="仿宋_GB2312"/>
        <family val="3"/>
        <charset val="134"/>
      </rPr>
      <t>合</t>
    </r>
    <r>
      <rPr>
        <b/>
        <sz val="12"/>
        <rFont val="Arial Narrow"/>
        <family val="2"/>
      </rPr>
      <t xml:space="preserve">  </t>
    </r>
    <r>
      <rPr>
        <b/>
        <sz val="12"/>
        <rFont val="仿宋_GB2312"/>
        <family val="3"/>
        <charset val="134"/>
      </rPr>
      <t>计</t>
    </r>
  </si>
  <si>
    <t>其他流动资产明细表</t>
  </si>
  <si>
    <r>
      <rPr>
        <b/>
        <sz val="10"/>
        <color indexed="8"/>
        <rFont val="宋体"/>
        <family val="3"/>
        <charset val="134"/>
      </rPr>
      <t>一、审计目标</t>
    </r>
    <r>
      <rPr>
        <b/>
        <sz val="10"/>
        <color indexed="8"/>
        <rFont val="Arial Narrow"/>
        <family val="2"/>
      </rPr>
      <t>:</t>
    </r>
  </si>
  <si>
    <r>
      <rPr>
        <b/>
        <sz val="10"/>
        <rFont val="宋体"/>
        <family val="3"/>
        <charset val="134"/>
      </rPr>
      <t>二、审计过程：</t>
    </r>
  </si>
  <si>
    <r>
      <rPr>
        <b/>
        <sz val="10"/>
        <color theme="1"/>
        <rFont val="宋体"/>
        <family val="3"/>
        <charset val="134"/>
      </rPr>
      <t>项目</t>
    </r>
  </si>
  <si>
    <t>期初调整</t>
  </si>
  <si>
    <r>
      <rPr>
        <b/>
        <sz val="10"/>
        <color indexed="8"/>
        <rFont val="宋体"/>
        <family val="3"/>
        <charset val="134"/>
      </rPr>
      <t>本期增加</t>
    </r>
  </si>
  <si>
    <r>
      <rPr>
        <b/>
        <sz val="10"/>
        <color indexed="8"/>
        <rFont val="宋体"/>
        <family val="3"/>
        <charset val="134"/>
      </rPr>
      <t>本期减少</t>
    </r>
  </si>
  <si>
    <t>待摊费用</t>
  </si>
  <si>
    <t>合计</t>
  </si>
  <si>
    <t>三、审计说明：</t>
  </si>
  <si>
    <t>四、审计结论：</t>
  </si>
  <si>
    <t>编制说明：</t>
  </si>
  <si>
    <r>
      <rPr>
        <sz val="10"/>
        <color theme="3" tint="-0.499984740745262"/>
        <rFont val="宋体"/>
        <family val="3"/>
        <charset val="134"/>
      </rPr>
      <t>财会〔</t>
    </r>
    <r>
      <rPr>
        <sz val="10"/>
        <color theme="3" tint="-0.499984740745262"/>
        <rFont val="Arial Narrow"/>
        <family val="2"/>
      </rPr>
      <t>2018</t>
    </r>
    <r>
      <rPr>
        <sz val="10"/>
        <color theme="3" tint="-0.499984740745262"/>
        <rFont val="宋体"/>
        <family val="3"/>
        <charset val="134"/>
      </rPr>
      <t>〕</t>
    </r>
    <r>
      <rPr>
        <sz val="10"/>
        <color theme="3" tint="-0.499984740745262"/>
        <rFont val="Arial Narrow"/>
        <family val="2"/>
      </rPr>
      <t>15</t>
    </r>
    <r>
      <rPr>
        <sz val="10"/>
        <color theme="3" tint="-0.499984740745262"/>
        <rFont val="宋体"/>
        <family val="3"/>
        <charset val="134"/>
      </rPr>
      <t>号指出：下列情况在其他流动资产列示：企业购入的一年内到期的债权投资（包括以摊余成本计量及以公允价值计量且其变动计入其他综合收益的债权投资）；合同取得成本，初始确认时摊销期限不超过一年或一个正常营业周期的项目；附有销售退回条款的销售，确认为资产的应收退货成本，在一年或一个正常营业周期内出售的项目；</t>
    </r>
  </si>
  <si>
    <t>日期</t>
  </si>
  <si>
    <t>凭证编号</t>
  </si>
  <si>
    <t>C1</t>
  </si>
  <si>
    <t>Custom 1</t>
  </si>
  <si>
    <t>C2</t>
  </si>
  <si>
    <t>Custom 2</t>
  </si>
  <si>
    <t>C3</t>
  </si>
  <si>
    <t>Custom 3</t>
  </si>
  <si>
    <t>C4</t>
  </si>
  <si>
    <t>Custom 4</t>
  </si>
  <si>
    <t>C5</t>
  </si>
  <si>
    <t>Custom 5</t>
  </si>
  <si>
    <t>C6</t>
  </si>
  <si>
    <t>Custom 6</t>
  </si>
  <si>
    <t>C7</t>
  </si>
  <si>
    <t>Custom 7</t>
  </si>
  <si>
    <t>C8</t>
  </si>
  <si>
    <t>Custom 8</t>
  </si>
  <si>
    <t>索引号：</t>
    <phoneticPr fontId="62" type="noConversion"/>
  </si>
  <si>
    <t>K2A</t>
  </si>
  <si>
    <t>K2-2</t>
  </si>
  <si>
    <r>
      <rPr>
        <u/>
        <sz val="10"/>
        <color indexed="12"/>
        <rFont val="宋体"/>
        <family val="3"/>
        <charset val="134"/>
      </rPr>
      <t>审定表</t>
    </r>
  </si>
  <si>
    <r>
      <rPr>
        <u/>
        <sz val="10"/>
        <color indexed="12"/>
        <rFont val="宋体"/>
        <family val="3"/>
        <charset val="134"/>
      </rPr>
      <t>附注披露信息（国企）</t>
    </r>
  </si>
  <si>
    <r>
      <rPr>
        <u/>
        <sz val="10"/>
        <color indexed="12"/>
        <rFont val="宋体"/>
        <family val="3"/>
        <charset val="134"/>
      </rPr>
      <t>附注披露信息（上市公司）</t>
    </r>
  </si>
  <si>
    <r>
      <rPr>
        <u/>
        <sz val="10"/>
        <color indexed="12"/>
        <rFont val="宋体"/>
        <family val="3"/>
        <charset val="134"/>
      </rPr>
      <t>明细表</t>
    </r>
  </si>
  <si>
    <t>页次：</t>
    <phoneticPr fontId="62" type="noConversion"/>
  </si>
  <si>
    <t>索引：</t>
    <phoneticPr fontId="62" type="noConversion"/>
  </si>
  <si>
    <t>索引号：</t>
    <phoneticPr fontId="62" type="noConversion"/>
  </si>
  <si>
    <t>索引号：</t>
    <phoneticPr fontId="62" type="noConversion"/>
  </si>
  <si>
    <t>索引号：</t>
    <phoneticPr fontId="62" type="noConversion"/>
  </si>
  <si>
    <t>二、审计目标与认定的对应关系</t>
  </si>
  <si>
    <t>完整性</t>
  </si>
  <si>
    <t>审计目标</t>
    <phoneticPr fontId="62" type="noConversion"/>
  </si>
  <si>
    <t>序号</t>
    <phoneticPr fontId="62" type="noConversion"/>
  </si>
  <si>
    <r>
      <rPr>
        <b/>
        <sz val="10"/>
        <rFont val="宋体"/>
        <family val="3"/>
        <charset val="134"/>
      </rPr>
      <t>程序分类</t>
    </r>
    <phoneticPr fontId="62" type="noConversion"/>
  </si>
  <si>
    <t>财务报表的认定</t>
    <phoneticPr fontId="62" type="noConversion"/>
  </si>
  <si>
    <t>底稿索引号</t>
    <phoneticPr fontId="62" type="noConversion"/>
  </si>
  <si>
    <t>存在</t>
    <phoneticPr fontId="62" type="noConversion"/>
  </si>
  <si>
    <t>完整性</t>
    <phoneticPr fontId="62" type="noConversion"/>
  </si>
  <si>
    <t>权利和
义务</t>
    <phoneticPr fontId="62" type="noConversion"/>
  </si>
  <si>
    <t>1</t>
    <phoneticPr fontId="62" type="noConversion"/>
  </si>
  <si>
    <r>
      <rPr>
        <sz val="10"/>
        <color theme="1"/>
        <rFont val="宋体"/>
        <family val="3"/>
        <charset val="134"/>
      </rPr>
      <t>常规★</t>
    </r>
  </si>
  <si>
    <t>√</t>
    <phoneticPr fontId="62" type="noConversion"/>
  </si>
  <si>
    <t>一、本账户涉及的科目</t>
  </si>
  <si>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</si>
  <si>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</si>
  <si>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列报</t>
    <phoneticPr fontId="62" type="noConversion"/>
  </si>
  <si>
    <t>列报</t>
    <phoneticPr fontId="62" type="noConversion"/>
  </si>
  <si>
    <r>
      <t>2.</t>
    </r>
    <r>
      <rPr>
        <sz val="10"/>
        <color indexed="8"/>
        <rFont val="宋体"/>
        <family val="3"/>
        <charset val="134"/>
      </rPr>
      <t>所有应记录的其他流动资产均已记录，所有应当包括在财务报表中的相关披露均已包括；</t>
    </r>
    <phoneticPr fontId="62" type="noConversion"/>
  </si>
  <si>
    <r>
      <rPr>
        <sz val="10"/>
        <color indexed="8"/>
        <rFont val="宋体"/>
        <family val="3"/>
        <charset val="134"/>
      </rPr>
      <t>索引号：</t>
    </r>
  </si>
  <si>
    <r>
      <rPr>
        <b/>
        <sz val="10"/>
        <color indexed="8"/>
        <rFont val="宋体"/>
        <family val="3"/>
        <charset val="134"/>
      </rPr>
      <t>一、审计目标</t>
    </r>
    <r>
      <rPr>
        <b/>
        <sz val="10"/>
        <color indexed="8"/>
        <rFont val="Arial Narrow"/>
        <family val="2"/>
      </rPr>
      <t>:</t>
    </r>
    <phoneticPr fontId="42" type="noConversion"/>
  </si>
  <si>
    <r>
      <rPr>
        <b/>
        <sz val="10"/>
        <rFont val="宋体"/>
        <family val="3"/>
        <charset val="134"/>
      </rPr>
      <t>二、审计过程：</t>
    </r>
    <phoneticPr fontId="62" type="noConversion"/>
  </si>
  <si>
    <r>
      <rPr>
        <b/>
        <sz val="10"/>
        <color indexed="8"/>
        <rFont val="宋体"/>
        <family val="3"/>
        <charset val="134"/>
      </rPr>
      <t>类别名称</t>
    </r>
  </si>
  <si>
    <r>
      <rPr>
        <b/>
        <sz val="10"/>
        <color indexed="8"/>
        <rFont val="宋体"/>
        <family val="3"/>
        <charset val="134"/>
      </rPr>
      <t>明细项目</t>
    </r>
  </si>
  <si>
    <r>
      <rPr>
        <b/>
        <sz val="10"/>
        <color indexed="8"/>
        <rFont val="宋体"/>
        <family val="3"/>
        <charset val="134"/>
      </rPr>
      <t>原值</t>
    </r>
  </si>
  <si>
    <r>
      <rPr>
        <b/>
        <sz val="10"/>
        <color indexed="8"/>
        <rFont val="宋体"/>
        <family val="3"/>
        <charset val="134"/>
      </rPr>
      <t>累计摊销</t>
    </r>
  </si>
  <si>
    <r>
      <rPr>
        <b/>
        <sz val="10"/>
        <color indexed="8"/>
        <rFont val="宋体"/>
        <family val="3"/>
        <charset val="134"/>
      </rPr>
      <t>开始使用日期</t>
    </r>
  </si>
  <si>
    <r>
      <rPr>
        <b/>
        <sz val="10"/>
        <color indexed="8"/>
        <rFont val="宋体"/>
        <family val="3"/>
        <charset val="134"/>
      </rPr>
      <t>使用年限</t>
    </r>
  </si>
  <si>
    <r>
      <rPr>
        <b/>
        <sz val="10"/>
        <color indexed="8"/>
        <rFont val="宋体"/>
        <family val="3"/>
        <charset val="134"/>
      </rPr>
      <t>账面月摊销额</t>
    </r>
  </si>
  <si>
    <r>
      <rPr>
        <b/>
        <sz val="10"/>
        <color indexed="8"/>
        <rFont val="宋体"/>
        <family val="3"/>
        <charset val="134"/>
      </rPr>
      <t>使用月限</t>
    </r>
  </si>
  <si>
    <r>
      <rPr>
        <b/>
        <sz val="10"/>
        <color indexed="8"/>
        <rFont val="宋体"/>
        <family val="3"/>
        <charset val="134"/>
      </rPr>
      <t>测算到期日</t>
    </r>
  </si>
  <si>
    <r>
      <rPr>
        <b/>
        <sz val="10"/>
        <color indexed="8"/>
        <rFont val="宋体"/>
        <family val="3"/>
        <charset val="134"/>
      </rPr>
      <t>已摊销月份</t>
    </r>
  </si>
  <si>
    <r>
      <rPr>
        <b/>
        <sz val="10"/>
        <color indexed="8"/>
        <rFont val="宋体"/>
        <family val="3"/>
        <charset val="134"/>
      </rPr>
      <t>剩余摊销月份</t>
    </r>
  </si>
  <si>
    <r>
      <rPr>
        <b/>
        <sz val="10"/>
        <color indexed="8"/>
        <rFont val="宋体"/>
        <family val="3"/>
        <charset val="134"/>
      </rPr>
      <t>本期摊销月份</t>
    </r>
  </si>
  <si>
    <r>
      <rPr>
        <b/>
        <sz val="10"/>
        <color indexed="8"/>
        <rFont val="宋体"/>
        <family val="3"/>
        <charset val="134"/>
      </rPr>
      <t>测算月摊销额</t>
    </r>
  </si>
  <si>
    <r>
      <rPr>
        <b/>
        <sz val="10"/>
        <color indexed="8"/>
        <rFont val="宋体"/>
        <family val="3"/>
        <charset val="134"/>
      </rPr>
      <t>当期摊销</t>
    </r>
  </si>
  <si>
    <r>
      <rPr>
        <b/>
        <sz val="10"/>
        <color indexed="8"/>
        <rFont val="宋体"/>
        <family val="3"/>
        <charset val="134"/>
      </rPr>
      <t>月摊销额差异</t>
    </r>
  </si>
  <si>
    <r>
      <rPr>
        <b/>
        <sz val="10"/>
        <color indexed="8"/>
        <rFont val="宋体"/>
        <family val="3"/>
        <charset val="134"/>
      </rPr>
      <t>累计摊销费用</t>
    </r>
  </si>
  <si>
    <r>
      <rPr>
        <b/>
        <sz val="10"/>
        <color indexed="8"/>
        <rFont val="宋体"/>
        <family val="3"/>
        <charset val="134"/>
      </rPr>
      <t>累计摊销额差异</t>
    </r>
  </si>
  <si>
    <t>其中：</t>
    <phoneticPr fontId="62" type="noConversion"/>
  </si>
  <si>
    <t>三、审计说明：</t>
    <phoneticPr fontId="62" type="noConversion"/>
  </si>
  <si>
    <t>四、审计结论</t>
    <phoneticPr fontId="62" type="noConversion"/>
  </si>
  <si>
    <r>
      <rPr>
        <sz val="10"/>
        <color indexed="8"/>
        <rFont val="宋体"/>
        <family val="3"/>
        <charset val="134"/>
      </rPr>
      <t>《企业所得税法实施条例》</t>
    </r>
  </si>
  <si>
    <r>
      <rPr>
        <sz val="10"/>
        <color indexed="8"/>
        <rFont val="宋体"/>
        <family val="3"/>
        <charset val="134"/>
      </rPr>
      <t>第六十七条　无形资产按照直线法计算的摊销费用，准予扣除。</t>
    </r>
  </si>
  <si>
    <r>
      <rPr>
        <sz val="10"/>
        <color indexed="8"/>
        <rFont val="宋体"/>
        <family val="3"/>
        <charset val="134"/>
      </rPr>
      <t>无形资产的摊销年限不得低于</t>
    </r>
    <r>
      <rPr>
        <sz val="10"/>
        <color indexed="8"/>
        <rFont val="Arial Narrow"/>
        <family val="2"/>
      </rPr>
      <t>10</t>
    </r>
    <r>
      <rPr>
        <sz val="10"/>
        <color indexed="8"/>
        <rFont val="宋体"/>
        <family val="3"/>
        <charset val="134"/>
      </rPr>
      <t>年。</t>
    </r>
  </si>
  <si>
    <r>
      <rPr>
        <sz val="10"/>
        <color indexed="8"/>
        <rFont val="宋体"/>
        <family val="3"/>
        <charset val="134"/>
      </rPr>
      <t>作为投资或者受让的无形资产，有关法律规定或者合同约定了使用年限的，可以按照规定或者约定的使用年限分期摊销。</t>
    </r>
  </si>
  <si>
    <t>K2-4</t>
  </si>
  <si>
    <r>
      <rPr>
        <u/>
        <sz val="10"/>
        <color indexed="12"/>
        <rFont val="宋体"/>
        <family val="3"/>
        <charset val="134"/>
      </rPr>
      <t>摊销测算表</t>
    </r>
  </si>
  <si>
    <r>
      <rPr>
        <b/>
        <sz val="10"/>
        <color indexed="8"/>
        <rFont val="宋体"/>
        <family val="3"/>
        <charset val="134"/>
      </rPr>
      <t>摊销期初：</t>
    </r>
  </si>
  <si>
    <r>
      <rPr>
        <b/>
        <sz val="10"/>
        <color indexed="8"/>
        <rFont val="宋体"/>
        <family val="3"/>
        <charset val="134"/>
      </rPr>
      <t>摊销期末：</t>
    </r>
  </si>
  <si>
    <t>√</t>
    <phoneticPr fontId="62" type="noConversion"/>
  </si>
  <si>
    <t>检查与其他流动资产有关的的记账凭证和相应的支持性证据以确定交易的真实性，是否按规定进行相应的会计处理和披露。</t>
    <phoneticPr fontId="62" type="noConversion"/>
  </si>
  <si>
    <t>√</t>
    <phoneticPr fontId="62" type="noConversion"/>
  </si>
  <si>
    <t>9</t>
  </si>
  <si>
    <r>
      <rPr>
        <sz val="10"/>
        <rFont val="宋体"/>
        <family val="3"/>
        <charset val="134"/>
      </rPr>
      <t>其他流动资产以恰当的金额包括在财务报表中，与之相关的计价或分摊调整已恰当记录，相关披露已得到恰当计量和描述</t>
    </r>
    <r>
      <rPr>
        <b/>
        <sz val="10"/>
        <rFont val="宋体"/>
        <family val="3"/>
        <charset val="134"/>
      </rPr>
      <t>。</t>
    </r>
    <phoneticPr fontId="62" type="noConversion"/>
  </si>
  <si>
    <t>其他应收款调整分录汇总表</t>
    <phoneticPr fontId="62" type="noConversion"/>
  </si>
  <si>
    <r>
      <rPr>
        <sz val="10"/>
        <color indexed="8"/>
        <rFont val="宋体"/>
        <family val="3"/>
        <charset val="134"/>
      </rPr>
      <t>索引号：</t>
    </r>
    <phoneticPr fontId="62" type="noConversion"/>
  </si>
  <si>
    <t>调整事项说明</t>
    <phoneticPr fontId="62" type="noConversion"/>
  </si>
  <si>
    <t>类别（报表调整/账项调整/其他）</t>
    <phoneticPr fontId="62" type="noConversion"/>
  </si>
  <si>
    <t>报表项目</t>
    <phoneticPr fontId="62" type="noConversion"/>
  </si>
  <si>
    <t>科目名称</t>
    <phoneticPr fontId="62" type="noConversion"/>
  </si>
  <si>
    <t>附注项目</t>
    <phoneticPr fontId="62" type="noConversion"/>
  </si>
  <si>
    <t>……</t>
    <phoneticPr fontId="62" type="noConversion"/>
  </si>
  <si>
    <t>借方调整金额</t>
    <phoneticPr fontId="62" type="noConversion"/>
  </si>
  <si>
    <t>贷方调整金额</t>
    <phoneticPr fontId="62" type="noConversion"/>
  </si>
  <si>
    <t>索引</t>
    <phoneticPr fontId="62" type="noConversion"/>
  </si>
  <si>
    <t>备注</t>
    <phoneticPr fontId="62" type="noConversion"/>
  </si>
  <si>
    <t>【注：本底稿适用于调整分录较多、较复杂的项目，且仅列示与本报表项目相关的审计调整。项目组可根据项目实际情况选择是否使用该底稿。】</t>
    <phoneticPr fontId="62" type="noConversion"/>
  </si>
  <si>
    <r>
      <rPr>
        <u/>
        <sz val="10"/>
        <color indexed="12"/>
        <rFont val="宋体"/>
        <family val="3"/>
        <charset val="134"/>
      </rPr>
      <t>调整分录汇总</t>
    </r>
  </si>
  <si>
    <t>类别A</t>
  </si>
  <si>
    <t>类别B</t>
  </si>
  <si>
    <t>类别C</t>
  </si>
  <si>
    <t>……</t>
  </si>
  <si>
    <t>摊销测算表</t>
    <phoneticPr fontId="62" type="noConversion"/>
  </si>
  <si>
    <r>
      <t>1.</t>
    </r>
    <r>
      <rPr>
        <sz val="10"/>
        <color indexed="8"/>
        <rFont val="宋体"/>
        <family val="3"/>
        <charset val="134"/>
      </rPr>
      <t>资产负债表中记录的其他流动资产是存在的，且已记录于恰当的账户；</t>
    </r>
    <r>
      <rPr>
        <sz val="10"/>
        <color indexed="8"/>
        <rFont val="Arial Narrow"/>
        <family val="2"/>
      </rPr>
      <t/>
    </r>
    <phoneticPr fontId="42" type="noConversion"/>
  </si>
  <si>
    <r>
      <t>2.</t>
    </r>
    <r>
      <rPr>
        <b/>
        <sz val="10"/>
        <rFont val="宋体"/>
        <family val="3"/>
        <charset val="134"/>
      </rPr>
      <t>审计结论</t>
    </r>
    <phoneticPr fontId="62" type="noConversion"/>
  </si>
  <si>
    <t>10</t>
  </si>
  <si>
    <t>合同取得成本明细表</t>
    <phoneticPr fontId="62" type="noConversion"/>
  </si>
  <si>
    <t>初始确认金额</t>
    <phoneticPr fontId="62" type="noConversion"/>
  </si>
  <si>
    <t>初始摊销期限</t>
    <phoneticPr fontId="62" type="noConversion"/>
  </si>
  <si>
    <t>未审数</t>
    <phoneticPr fontId="62" type="noConversion"/>
  </si>
  <si>
    <t>期初调整</t>
    <phoneticPr fontId="77" type="noConversion"/>
  </si>
  <si>
    <t>账项调整</t>
    <phoneticPr fontId="77" type="noConversion"/>
  </si>
  <si>
    <t>重分类调整</t>
    <phoneticPr fontId="77" type="noConversion"/>
  </si>
  <si>
    <t>审定数</t>
    <phoneticPr fontId="62" type="noConversion"/>
  </si>
  <si>
    <t>截至期末履约义务的履约进度</t>
    <phoneticPr fontId="62" type="noConversion"/>
  </si>
  <si>
    <t>未超过一年或一个正常营业周期</t>
    <phoneticPr fontId="62" type="noConversion"/>
  </si>
  <si>
    <t>超过一年或一个正常营业周期</t>
    <phoneticPr fontId="62" type="noConversion"/>
  </si>
  <si>
    <t>期初数</t>
    <phoneticPr fontId="62" type="noConversion"/>
  </si>
  <si>
    <t>本期增加</t>
    <phoneticPr fontId="62" type="noConversion"/>
  </si>
  <si>
    <t>本期减少</t>
    <phoneticPr fontId="62" type="noConversion"/>
  </si>
  <si>
    <t>期末数</t>
    <phoneticPr fontId="62" type="noConversion"/>
  </si>
  <si>
    <t>账项调整</t>
    <phoneticPr fontId="62" type="noConversion"/>
  </si>
  <si>
    <t>本期减少</t>
    <phoneticPr fontId="62" type="noConversion"/>
  </si>
  <si>
    <t>期初数</t>
    <phoneticPr fontId="62" type="noConversion"/>
  </si>
  <si>
    <t>账面原值合计</t>
    <phoneticPr fontId="62" type="noConversion"/>
  </si>
  <si>
    <t>减值准备合计</t>
    <phoneticPr fontId="62" type="noConversion"/>
  </si>
  <si>
    <t>账面价值合计</t>
    <phoneticPr fontId="62" type="noConversion"/>
  </si>
  <si>
    <t>三、审计说明：</t>
    <phoneticPr fontId="62" type="noConversion"/>
  </si>
  <si>
    <t>四、审计结论：</t>
    <phoneticPr fontId="62" type="noConversion"/>
  </si>
  <si>
    <t>本科目初始确认时摊销期限不超过一年或一个正常营业周期的，在资产负债表中计入“其他流动资产项目”；初始确认摊销期限在一年或一个正常营业周期以上的，在资产负债表中既然“其他非流动资产”</t>
    <phoneticPr fontId="62" type="noConversion"/>
  </si>
  <si>
    <r>
      <rPr>
        <sz val="10"/>
        <color indexed="8"/>
        <rFont val="宋体"/>
        <family val="3"/>
        <charset val="134"/>
      </rPr>
      <t>页次：</t>
    </r>
  </si>
  <si>
    <r>
      <rPr>
        <sz val="10"/>
        <color rgb="FFFF0000"/>
        <rFont val="宋体"/>
        <family val="3"/>
        <charset val="134"/>
      </rPr>
      <t>合同</t>
    </r>
    <r>
      <rPr>
        <sz val="10"/>
        <color rgb="FFFF0000"/>
        <rFont val="Arial Narrow"/>
        <family val="2"/>
      </rPr>
      <t>3</t>
    </r>
    <r>
      <rPr>
        <sz val="10"/>
        <color theme="1"/>
        <rFont val="宋体"/>
        <family val="2"/>
        <charset val="134"/>
        <scheme val="minor"/>
      </rPr>
      <t/>
    </r>
    <phoneticPr fontId="62" type="noConversion"/>
  </si>
  <si>
    <r>
      <rPr>
        <sz val="10"/>
        <color rgb="FFFF0000"/>
        <rFont val="宋体"/>
        <family val="3"/>
        <charset val="134"/>
      </rPr>
      <t>合同</t>
    </r>
    <r>
      <rPr>
        <sz val="10"/>
        <color rgb="FFFF0000"/>
        <rFont val="Arial Narrow"/>
        <family val="2"/>
      </rPr>
      <t>1</t>
    </r>
    <phoneticPr fontId="62" type="noConversion"/>
  </si>
  <si>
    <r>
      <rPr>
        <sz val="10"/>
        <color rgb="FFFF0000"/>
        <rFont val="宋体"/>
        <family val="3"/>
        <charset val="134"/>
      </rPr>
      <t>合同</t>
    </r>
    <r>
      <rPr>
        <sz val="10"/>
        <color rgb="FFFF0000"/>
        <rFont val="Arial Narrow"/>
        <family val="2"/>
      </rPr>
      <t>2</t>
    </r>
    <phoneticPr fontId="62" type="noConversion"/>
  </si>
  <si>
    <t>合同取得成本</t>
    <phoneticPr fontId="62" type="noConversion"/>
  </si>
  <si>
    <r>
      <rPr>
        <b/>
        <sz val="10"/>
        <rFont val="宋体"/>
        <family val="3"/>
        <charset val="134"/>
      </rPr>
      <t>期初数</t>
    </r>
  </si>
  <si>
    <r>
      <rPr>
        <b/>
        <sz val="10"/>
        <rFont val="宋体"/>
        <family val="3"/>
        <charset val="134"/>
      </rPr>
      <t>本期增加</t>
    </r>
  </si>
  <si>
    <r>
      <rPr>
        <b/>
        <sz val="10"/>
        <rFont val="宋体"/>
        <family val="3"/>
        <charset val="134"/>
      </rPr>
      <t>本期减少</t>
    </r>
  </si>
  <si>
    <r>
      <rPr>
        <b/>
        <sz val="10"/>
        <rFont val="宋体"/>
        <family val="3"/>
        <charset val="134"/>
      </rPr>
      <t>期末数</t>
    </r>
  </si>
  <si>
    <r>
      <rPr>
        <b/>
        <sz val="10"/>
        <color indexed="8"/>
        <rFont val="宋体"/>
        <family val="3"/>
        <charset val="134"/>
      </rPr>
      <t>账项调整</t>
    </r>
  </si>
  <si>
    <r>
      <rPr>
        <b/>
        <sz val="10"/>
        <color indexed="8"/>
        <rFont val="宋体"/>
        <family val="3"/>
        <charset val="134"/>
      </rPr>
      <t>重分类调整</t>
    </r>
  </si>
  <si>
    <r>
      <rPr>
        <b/>
        <sz val="10"/>
        <rFont val="宋体"/>
        <family val="3"/>
        <charset val="134"/>
      </rPr>
      <t>备注</t>
    </r>
  </si>
  <si>
    <t>收入合同名称</t>
    <phoneticPr fontId="62" type="noConversion"/>
  </si>
  <si>
    <t>类别</t>
    <phoneticPr fontId="62" type="noConversion"/>
  </si>
  <si>
    <t>是否为取得合同发生的增量成本</t>
    <phoneticPr fontId="62" type="noConversion"/>
  </si>
  <si>
    <t>是否预期能够收回</t>
    <phoneticPr fontId="62" type="noConversion"/>
  </si>
  <si>
    <r>
      <rPr>
        <sz val="10"/>
        <color rgb="FFFF0000"/>
        <rFont val="宋体"/>
        <family val="3"/>
        <charset val="134"/>
        <scheme val="minor"/>
      </rPr>
      <t>取暖费</t>
    </r>
    <phoneticPr fontId="62" type="noConversion"/>
  </si>
  <si>
    <r>
      <rPr>
        <sz val="10"/>
        <color rgb="FFFF0000"/>
        <rFont val="宋体"/>
        <family val="3"/>
        <charset val="134"/>
      </rPr>
      <t>佣金</t>
    </r>
    <r>
      <rPr>
        <sz val="10"/>
        <color rgb="FFFF0000"/>
        <rFont val="Arial Narrow"/>
        <family val="2"/>
      </rPr>
      <t>-</t>
    </r>
    <r>
      <rPr>
        <sz val="10"/>
        <color rgb="FFFF0000"/>
        <rFont val="宋体"/>
        <family val="3"/>
        <charset val="134"/>
      </rPr>
      <t>合同</t>
    </r>
    <r>
      <rPr>
        <sz val="10"/>
        <color rgb="FFFF0000"/>
        <rFont val="Arial Narrow"/>
        <family val="2"/>
      </rPr>
      <t>1</t>
    </r>
    <phoneticPr fontId="62" type="noConversion"/>
  </si>
  <si>
    <t>K2-1</t>
    <phoneticPr fontId="62" type="noConversion"/>
  </si>
  <si>
    <t>8</t>
    <phoneticPr fontId="62" type="noConversion"/>
  </si>
  <si>
    <t>K2-3</t>
  </si>
  <si>
    <t>K2-5</t>
  </si>
  <si>
    <t>K2-6</t>
  </si>
  <si>
    <r>
      <rPr>
        <u/>
        <sz val="10"/>
        <color indexed="12"/>
        <rFont val="宋体"/>
        <family val="3"/>
        <charset val="134"/>
      </rPr>
      <t>实质性程序表</t>
    </r>
  </si>
  <si>
    <t>无需打印</t>
    <phoneticPr fontId="62" type="noConversion"/>
  </si>
  <si>
    <r>
      <rPr>
        <sz val="10"/>
        <rFont val="宋体"/>
        <family val="3"/>
        <charset val="134"/>
      </rPr>
      <t>备选</t>
    </r>
    <phoneticPr fontId="62" type="noConversion"/>
  </si>
  <si>
    <r>
      <rPr>
        <sz val="10"/>
        <color theme="1"/>
        <rFont val="宋体"/>
        <family val="3"/>
        <charset val="134"/>
      </rPr>
      <t>常规★</t>
    </r>
    <phoneticPr fontId="72" type="noConversion"/>
  </si>
  <si>
    <r>
      <rPr>
        <sz val="10"/>
        <rFont val="宋体"/>
        <family val="3"/>
        <charset val="134"/>
      </rPr>
      <t>常规★</t>
    </r>
  </si>
  <si>
    <r>
      <rPr>
        <sz val="10"/>
        <rFont val="宋体"/>
        <family val="3"/>
        <charset val="134"/>
      </rPr>
      <t>常规★</t>
    </r>
    <phoneticPr fontId="62" type="noConversion"/>
  </si>
  <si>
    <r>
      <rPr>
        <sz val="10"/>
        <color theme="1"/>
        <rFont val="宋体"/>
        <family val="3"/>
        <charset val="134"/>
      </rPr>
      <t>常规★</t>
    </r>
    <phoneticPr fontId="72" type="noConversion"/>
  </si>
  <si>
    <r>
      <t>A1-1/</t>
    </r>
    <r>
      <rPr>
        <sz val="10"/>
        <color rgb="FFFF0000"/>
        <rFont val="Arial Narrow"/>
        <family val="2"/>
      </rPr>
      <t>A1-15 /A1-16</t>
    </r>
    <phoneticPr fontId="7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</si>
  <si>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72" type="noConversion"/>
  </si>
  <si>
    <t>K2-4</t>
    <phoneticPr fontId="62" type="noConversion"/>
  </si>
  <si>
    <t>K2-5</t>
    <phoneticPr fontId="62" type="noConversion"/>
  </si>
  <si>
    <t>K2-6</t>
    <phoneticPr fontId="62"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</si>
  <si>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72" type="noConversion"/>
  </si>
  <si>
    <r>
      <t>1.</t>
    </r>
    <r>
      <rPr>
        <b/>
        <sz val="10"/>
        <rFont val="宋体"/>
        <family val="3"/>
        <charset val="134"/>
      </rPr>
      <t>审计说明</t>
    </r>
    <phoneticPr fontId="62"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</si>
  <si>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</si>
  <si>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color rgb="FF0000FF"/>
        <rFont val="宋体"/>
        <family val="3"/>
        <charset val="134"/>
      </rPr>
      <t>提示：关注合同取得成本是否存在减值迹象，并结合存货跌价测试底稿或合同履约成本底稿进行减值测试。</t>
    </r>
    <phoneticPr fontId="62" type="noConversion"/>
  </si>
  <si>
    <r>
      <rPr>
        <sz val="10"/>
        <color rgb="FF0000FF"/>
        <rFont val="宋体"/>
        <family val="3"/>
        <charset val="134"/>
      </rPr>
      <t>编制说明：</t>
    </r>
  </si>
  <si>
    <r>
      <t>1</t>
    </r>
    <r>
      <rPr>
        <sz val="10"/>
        <color rgb="FF0000FF"/>
        <rFont val="宋体"/>
        <family val="3"/>
        <charset val="134"/>
      </rPr>
      <t>、本科目核算企业预期能够收回的为取得合同发生的增量成本。增量成本是指企业不取的合同就不会发生的成本，如销售佣金。在实物操作中该资产摊销期限不超过</t>
    </r>
    <r>
      <rPr>
        <sz val="10"/>
        <color rgb="FF0000FF"/>
        <rFont val="Arial Narrow"/>
        <family val="2"/>
      </rPr>
      <t>1</t>
    </r>
    <r>
      <rPr>
        <sz val="10"/>
        <color rgb="FF0000FF"/>
        <rFont val="宋体"/>
        <family val="3"/>
        <charset val="134"/>
      </rPr>
      <t>年的，可在发生时计入当期损益。</t>
    </r>
    <phoneticPr fontId="62" type="noConversion"/>
  </si>
  <si>
    <r>
      <t>2</t>
    </r>
    <r>
      <rPr>
        <sz val="10"/>
        <color rgb="FF0000FF"/>
        <rFont val="宋体"/>
        <family val="3"/>
        <charset val="134"/>
      </rPr>
      <t>、备注栏可填写项目内容及异常情况说明。</t>
    </r>
    <phoneticPr fontId="62" type="noConversion"/>
  </si>
  <si>
    <r>
      <t>3</t>
    </r>
    <r>
      <rPr>
        <sz val="10"/>
        <color rgb="FF0000FF"/>
        <rFont val="宋体"/>
        <family val="3"/>
        <charset val="134"/>
      </rPr>
      <t>、按照《企业会计准则第</t>
    </r>
    <r>
      <rPr>
        <sz val="10"/>
        <color rgb="FF0000FF"/>
        <rFont val="Arial Narrow"/>
        <family val="2"/>
      </rPr>
      <t xml:space="preserve"> 14 </t>
    </r>
    <r>
      <rPr>
        <sz val="10"/>
        <color rgb="FF0000FF"/>
        <rFont val="宋体"/>
        <family val="3"/>
        <charset val="134"/>
      </rPr>
      <t>号——收入》（</t>
    </r>
    <r>
      <rPr>
        <sz val="10"/>
        <color rgb="FF0000FF"/>
        <rFont val="Arial Narrow"/>
        <family val="2"/>
      </rPr>
      <t xml:space="preserve">2017 </t>
    </r>
    <r>
      <rPr>
        <sz val="10"/>
        <color rgb="FF0000FF"/>
        <rFont val="宋体"/>
        <family val="3"/>
        <charset val="134"/>
      </rPr>
      <t>年修订）的相关规定确认为资产的合同取得成本，应当根据“合同取得成本”科目的明细科目初始确认时摊销期限是否超过一年或一个正常营业周期，在“其他流动资产”或“其他非流动资产”项目中填列，已计提减值准备的，还应减去“合同取得成本减值准备”科目中相关的期末余额后的金额填列。</t>
    </r>
    <phoneticPr fontId="62" type="noConversion"/>
  </si>
  <si>
    <r>
      <rPr>
        <sz val="10"/>
        <color rgb="FFFF0000"/>
        <rFont val="宋体"/>
        <family val="3"/>
        <charset val="134"/>
      </rPr>
      <t>类别</t>
    </r>
    <r>
      <rPr>
        <sz val="10"/>
        <color rgb="FFFF0000"/>
        <rFont val="Arial Narrow"/>
        <family val="2"/>
      </rPr>
      <t>A</t>
    </r>
    <phoneticPr fontId="62" type="noConversion"/>
  </si>
  <si>
    <r>
      <t>1.</t>
    </r>
    <r>
      <rPr>
        <sz val="10"/>
        <rFont val="宋体"/>
        <family val="3"/>
        <charset val="134"/>
      </rPr>
      <t>资产负债表中记录的其他流动资产是存在的，且已经记录在恰当的账户中；</t>
    </r>
    <r>
      <rPr>
        <sz val="10"/>
        <rFont val="Arial Narrow"/>
        <family val="2"/>
      </rPr>
      <t/>
    </r>
    <phoneticPr fontId="62" type="noConversion"/>
  </si>
  <si>
    <r>
      <t>3.</t>
    </r>
    <r>
      <rPr>
        <sz val="10"/>
        <rFont val="宋体"/>
        <family val="3"/>
        <charset val="134"/>
      </rPr>
      <t>其他流动资产以恰当的金额包括在财务报表中，与之相关的计价或分摊调整已恰当记录，相关披露已得到恰当计量和描述。</t>
    </r>
    <phoneticPr fontId="62" type="noConversion"/>
  </si>
  <si>
    <r>
      <t xml:space="preserve">B. </t>
    </r>
    <r>
      <rPr>
        <sz val="10"/>
        <rFont val="宋体"/>
        <family val="3"/>
        <charset val="134"/>
      </rPr>
      <t>所有应记录的其他流动资产均已记录，所有应当包括在财务报表中的相关披露均已包括</t>
    </r>
    <phoneticPr fontId="62" type="noConversion"/>
  </si>
  <si>
    <r>
      <t xml:space="preserve">E. </t>
    </r>
    <r>
      <rPr>
        <sz val="10"/>
        <rFont val="宋体"/>
        <family val="3"/>
        <charset val="134"/>
      </rPr>
      <t>其他流动资产已被恰当地汇总或分解且表述清楚，相关披露在按照企业会计准则的编制基础下是相关的、可理解的</t>
    </r>
    <phoneticPr fontId="62" type="noConversion"/>
  </si>
  <si>
    <t>页  次：</t>
    <phoneticPr fontId="62" type="noConversion"/>
  </si>
  <si>
    <t>√</t>
    <phoneticPr fontId="62" type="noConversion"/>
  </si>
  <si>
    <t>√</t>
    <phoneticPr fontId="62" type="noConversion"/>
  </si>
  <si>
    <t>关注会计政策、会计估计合理性、一贯性；关注其是否利用会计政策和会计估计及其变更操纵利润。</t>
    <phoneticPr fontId="62" type="noConversion"/>
  </si>
  <si>
    <t>检查需摊销的其他流动资产摊销方法是否一致、确定摊销期限是否适当；重新测算摊销金额是否正确。</t>
    <phoneticPr fontId="62" type="noConversion"/>
  </si>
  <si>
    <t>考虑是否存在超出被审计单位正常经营活动的重大、异常交易等，根据评估的舞弊风险等因素增加的审计程序。</t>
    <phoneticPr fontId="62" type="noConversion"/>
  </si>
  <si>
    <t>合同取得成本：
结合相关销售合同检查取得合同成本是否是增量成本，会计处理是否正确；检查确定的分摊原则是否合理，是否与履约进度相匹配，测算分摊金额是否正确；考虑合同取得成本是否存在减值。</t>
    <phoneticPr fontId="62" type="noConversion"/>
  </si>
  <si>
    <t>IPO/上市/新三板/重组/舞弊应对</t>
    <phoneticPr fontId="72" type="noConversion"/>
  </si>
  <si>
    <t>检查其他流动资产是否已按企业会计准则或其他适用的规定在财务报表中做出恰当列报和披露。</t>
    <phoneticPr fontId="62" type="noConversion"/>
  </si>
  <si>
    <r>
      <t>3.</t>
    </r>
    <r>
      <rPr>
        <sz val="10"/>
        <color indexed="8"/>
        <rFont val="宋体"/>
        <family val="3"/>
        <charset val="134"/>
      </rPr>
      <t>其他流动资产以恰当的金额包括在财务报表中，与之相关的计价或分摊调整已恰当记录，相关披露已得到恰当计量和描述。</t>
    </r>
    <phoneticPr fontId="42" type="noConversion"/>
  </si>
  <si>
    <t>合同取得成本</t>
    <phoneticPr fontId="62" type="noConversion"/>
  </si>
  <si>
    <r>
      <rPr>
        <sz val="10"/>
        <rFont val="宋体"/>
        <family val="3"/>
        <charset val="134"/>
      </rPr>
      <t>索引号：</t>
    </r>
  </si>
  <si>
    <t>页  次：</t>
    <phoneticPr fontId="62" type="noConversion"/>
  </si>
  <si>
    <r>
      <rPr>
        <b/>
        <sz val="10"/>
        <rFont val="宋体"/>
        <family val="3"/>
        <charset val="134"/>
      </rPr>
      <t>一、测试目标：</t>
    </r>
    <phoneticPr fontId="73" type="noConversion"/>
  </si>
  <si>
    <t>二、测试：</t>
    <phoneticPr fontId="73"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</si>
  <si>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62" type="noConversion"/>
  </si>
  <si>
    <t>记账凭证</t>
    <phoneticPr fontId="62" type="noConversion"/>
  </si>
  <si>
    <t>支持性文件</t>
    <phoneticPr fontId="62" type="noConversion"/>
  </si>
  <si>
    <r>
      <rPr>
        <b/>
        <sz val="10"/>
        <rFont val="宋体"/>
        <family val="3"/>
        <charset val="134"/>
      </rPr>
      <t>核对内容</t>
    </r>
  </si>
  <si>
    <t>索引号</t>
  </si>
  <si>
    <t>是否异常</t>
    <phoneticPr fontId="62" type="noConversion"/>
  </si>
  <si>
    <t>备注说明</t>
    <phoneticPr fontId="62" type="noConversion"/>
  </si>
  <si>
    <t>业务内容</t>
    <phoneticPr fontId="62" type="noConversion"/>
  </si>
  <si>
    <t>对方科目</t>
    <phoneticPr fontId="62" type="noConversion"/>
  </si>
  <si>
    <t>对方明细科目</t>
    <phoneticPr fontId="62" type="noConversion"/>
  </si>
  <si>
    <t>借方金额</t>
    <phoneticPr fontId="62" type="noConversion"/>
  </si>
  <si>
    <t>贷方金额</t>
    <phoneticPr fontId="62" type="noConversion"/>
  </si>
  <si>
    <t>合计</t>
    <phoneticPr fontId="62" type="noConversion"/>
  </si>
  <si>
    <t>三、审计说明：</t>
    <phoneticPr fontId="73" type="noConversion"/>
  </si>
  <si>
    <t>四、审计结论：</t>
    <phoneticPr fontId="62" type="noConversion"/>
  </si>
  <si>
    <t>其他流动资产检查表检查表</t>
    <phoneticPr fontId="62" type="noConversion"/>
  </si>
  <si>
    <r>
      <t xml:space="preserve">2. </t>
    </r>
    <r>
      <rPr>
        <sz val="10"/>
        <rFont val="宋体"/>
        <family val="3"/>
        <charset val="134"/>
      </rPr>
      <t>记录的其他流动资产由被审计单位拥有或控制</t>
    </r>
    <phoneticPr fontId="90" type="noConversion"/>
  </si>
  <si>
    <t>K2-1
/K2-2</t>
    <phoneticPr fontId="62" type="noConversion"/>
  </si>
  <si>
    <t>T1
/</t>
    <phoneticPr fontId="62" type="noConversion"/>
  </si>
  <si>
    <t>6</t>
    <phoneticPr fontId="62" type="noConversion"/>
  </si>
  <si>
    <t>7</t>
    <phoneticPr fontId="62" type="noConversion"/>
  </si>
  <si>
    <t>合同取得成本明细表</t>
    <phoneticPr fontId="62" type="noConversion"/>
  </si>
  <si>
    <t>其他流动资产检查表</t>
    <phoneticPr fontId="62" type="noConversion"/>
  </si>
  <si>
    <t>页  次：</t>
    <phoneticPr fontId="62" type="noConversion"/>
  </si>
  <si>
    <r>
      <t>获取上期期末的其他流动资产明细，复核加计正确，总账与明细账核对一致；识别重大的明细项目、查找异常项目并了解该明细项目的核算目的和用途；检查上期其他流动资产在本期摊销、使用或支付情况。</t>
    </r>
    <r>
      <rPr>
        <sz val="10"/>
        <color rgb="FFFF0000"/>
        <rFont val="宋体"/>
        <family val="3"/>
        <charset val="134"/>
      </rPr>
      <t>（适用于首次承接）</t>
    </r>
    <phoneticPr fontId="62" type="noConversion"/>
  </si>
  <si>
    <r>
      <rPr>
        <sz val="10"/>
        <rFont val="宋体"/>
        <family val="3"/>
        <charset val="134"/>
      </rPr>
      <t>检查关联交易：
（</t>
    </r>
    <r>
      <rPr>
        <sz val="10"/>
        <rFont val="Arial Narrow"/>
        <family val="2"/>
      </rPr>
      <t>1</t>
    </r>
    <r>
      <rPr>
        <sz val="10"/>
        <rFont val="宋体"/>
        <family val="3"/>
        <charset val="134"/>
      </rPr>
      <t>）了解关联交易的商业理由、交易事项的目的、价格和条件，考虑对关联交易形成的其他流动资产的合理性、合法性；
（</t>
    </r>
    <r>
      <rPr>
        <sz val="10"/>
        <rFont val="Arial Narrow"/>
        <family val="2"/>
      </rPr>
      <t>2</t>
    </r>
    <r>
      <rPr>
        <sz val="10"/>
        <rFont val="宋体"/>
        <family val="3"/>
        <charset val="134"/>
      </rPr>
      <t>）检查对关联交易形成的其他流动资产的真实性相关的支持性文件、检查会计处理是否正确；
（</t>
    </r>
    <r>
      <rPr>
        <sz val="10"/>
        <rFont val="Arial Narrow"/>
        <family val="2"/>
      </rPr>
      <t>3</t>
    </r>
    <r>
      <rPr>
        <sz val="10"/>
        <rFont val="宋体"/>
        <family val="3"/>
        <charset val="134"/>
      </rPr>
      <t>）考虑向关联方或其他注册会计师函证重大的关联交易和余额（包括担保和其他重要信息）；
（</t>
    </r>
    <r>
      <rPr>
        <sz val="10"/>
        <rFont val="Arial Narrow"/>
        <family val="2"/>
      </rPr>
      <t>4</t>
    </r>
    <r>
      <rPr>
        <sz val="10"/>
        <rFont val="宋体"/>
        <family val="3"/>
        <charset val="134"/>
      </rPr>
      <t>）必要时，向与交易相关的人员和机构（如银行、律师）函证或与其讨论有关信息；
（</t>
    </r>
    <r>
      <rPr>
        <sz val="10"/>
        <rFont val="Arial Narrow"/>
        <family val="2"/>
      </rPr>
      <t>5</t>
    </r>
    <r>
      <rPr>
        <sz val="10"/>
        <rFont val="宋体"/>
        <family val="3"/>
        <charset val="134"/>
      </rPr>
      <t>）考虑是否存在未识别的关联方，关联交易和余额披露是否正确。</t>
    </r>
    <phoneticPr fontId="62" type="noConversion"/>
  </si>
  <si>
    <t>明细项目</t>
    <phoneticPr fontId="62" type="noConversion"/>
  </si>
  <si>
    <r>
      <t xml:space="preserve">A. </t>
    </r>
    <r>
      <rPr>
        <sz val="10"/>
        <rFont val="宋体"/>
        <family val="3"/>
        <charset val="134"/>
      </rPr>
      <t>资产负债表中记录的其他流动资产是存在的，且已记录于恰当的账户</t>
    </r>
    <phoneticPr fontId="62"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</si>
  <si>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）识别重大的账户、识别账户中单项重大的明细项目；
（</t>
    </r>
    <r>
      <rPr>
        <sz val="10"/>
        <rFont val="Arial Narrow"/>
        <family val="2"/>
      </rPr>
      <t>3</t>
    </r>
    <r>
      <rPr>
        <sz val="10"/>
        <rFont val="宋体"/>
        <family val="3"/>
        <charset val="134"/>
      </rPr>
      <t>）了解明细项目的核算目的和用途；
（</t>
    </r>
    <r>
      <rPr>
        <sz val="10"/>
        <rFont val="Arial Narrow"/>
        <family val="2"/>
      </rPr>
      <t>4</t>
    </r>
    <r>
      <rPr>
        <sz val="10"/>
        <rFont val="宋体"/>
        <family val="3"/>
        <charset val="134"/>
      </rPr>
      <t>）检查其他流动资产减值准备计提（如需要）是否充分，会计处理是否正确。</t>
    </r>
    <phoneticPr fontId="62" type="noConversion"/>
  </si>
  <si>
    <r>
      <rPr>
        <sz val="10"/>
        <rFont val="宋体"/>
        <family val="3"/>
        <charset val="134"/>
      </rPr>
      <t>被审计单位：</t>
    </r>
    <r>
      <rPr>
        <sz val="10"/>
        <rFont val="Arial Narrow"/>
        <family val="2"/>
      </rPr>
      <t/>
    </r>
    <phoneticPr fontId="62" type="noConversion"/>
  </si>
  <si>
    <t>编制人：</t>
    <phoneticPr fontId="62" type="noConversion"/>
  </si>
  <si>
    <t>编制日期：</t>
    <phoneticPr fontId="62" type="noConversion"/>
  </si>
  <si>
    <t>复核人：</t>
    <phoneticPr fontId="62" type="noConversion"/>
  </si>
  <si>
    <t>复核日期：</t>
    <phoneticPr fontId="62" type="noConversion"/>
  </si>
  <si>
    <r>
      <t xml:space="preserve">C. </t>
    </r>
    <r>
      <rPr>
        <sz val="10"/>
        <rFont val="宋体"/>
        <family val="3"/>
        <charset val="134"/>
      </rPr>
      <t>记录的其他流动资产由被审计单位拥有或控制</t>
    </r>
    <phoneticPr fontId="62" type="noConversion"/>
  </si>
  <si>
    <r>
      <t xml:space="preserve">D. </t>
    </r>
    <r>
      <rPr>
        <sz val="10"/>
        <rFont val="宋体"/>
        <family val="3"/>
        <charset val="134"/>
      </rPr>
      <t>其他流动资产以恰当的金额包括在财务报表中，与之相关的计价或分摊调整已恰当记录，相关披露已得到恰当计量和描述</t>
    </r>
    <phoneticPr fontId="62" type="noConversion"/>
  </si>
  <si>
    <t>关于工作底稿与审计程序索引号对应的说明</t>
    <phoneticPr fontId="62"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</si>
  <si>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2"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</si>
  <si>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62"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</si>
  <si>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62"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</si>
  <si>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62" type="noConversion"/>
  </si>
  <si>
    <t>根据被审计单位实际情况和风险评估情况裁剪、修改或增加审计程序</t>
    <phoneticPr fontId="62" type="noConversion"/>
  </si>
  <si>
    <t>审计程序</t>
    <phoneticPr fontId="72" type="noConversion"/>
  </si>
  <si>
    <r>
      <t>1.</t>
    </r>
    <r>
      <rPr>
        <sz val="10"/>
        <rFont val="宋体"/>
        <family val="3"/>
        <charset val="134"/>
      </rPr>
      <t>本期发生额、期末余额检查比例：</t>
    </r>
    <phoneticPr fontId="62" type="noConversion"/>
  </si>
  <si>
    <t>方向</t>
    <phoneticPr fontId="62" type="noConversion"/>
  </si>
  <si>
    <t>账面金额</t>
    <phoneticPr fontId="62" type="noConversion"/>
  </si>
  <si>
    <t>检查金额</t>
    <phoneticPr fontId="62" type="noConversion"/>
  </si>
  <si>
    <t>检查比例</t>
    <phoneticPr fontId="62" type="noConversion"/>
  </si>
  <si>
    <t>如果检查比例较低应扩大检查样本量或说明原因</t>
    <phoneticPr fontId="62" type="noConversion"/>
  </si>
  <si>
    <t>本期借方</t>
    <phoneticPr fontId="62" type="noConversion"/>
  </si>
  <si>
    <t>本期贷方</t>
    <phoneticPr fontId="62" type="noConversion"/>
  </si>
  <si>
    <t>2.……</t>
    <phoneticPr fontId="6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</si>
</sst>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 #,##0.00_ ;_ * \-#,##0.00_ ;_ * &quot;-&quot;??_ ;_ @_ "/>
    <numFmt numFmtId="176" formatCode="_-&quot;$&quot;* #,##0_-;\-&quot;$&quot;* #,##0_-;_-&quot;$&quot;* &quot;-&quot;_-;_-@_-"/>
    <numFmt numFmtId="177" formatCode="_(* #,##0.00_);_(* \(#,##0.00\);_(* &quot;-&quot;??_);_(@_)"/>
    <numFmt numFmtId="178" formatCode="_-* #,##0.00_-;\-* #,##0.00_-;_-* &quot;-&quot;??_-;_-@_-"/>
    <numFmt numFmtId="179" formatCode="_([$€-2]* #,##0.00_);_([$€-2]* \(#,##0.00\);_([$€-2]* &quot;-&quot;??_)"/>
    <numFmt numFmtId="180" formatCode="_-#0&quot;.&quot;0,_-;\(#0&quot;.&quot;0,\);_-\ \ &quot;-&quot;_-;_-@_-"/>
    <numFmt numFmtId="181" formatCode="_(* #,##0_);_(* \(#,##0\);_(* &quot;-&quot;_);_(@_)"/>
    <numFmt numFmtId="182" formatCode="&quot;\&quot;#,##0;[Red]&quot;\&quot;&quot;\&quot;\-#,##0"/>
    <numFmt numFmtId="183" formatCode="&quot;$&quot;#,##0_);\(&quot;$&quot;#,##0\)"/>
    <numFmt numFmtId="184" formatCode="_-#,###.00,_-;\(#,###.00,\);_-\ \ &quot;-&quot;_-;_-@_-"/>
    <numFmt numFmtId="185" formatCode="&quot;\&quot;#,##0;&quot;\&quot;&quot;\&quot;\-#,##0"/>
    <numFmt numFmtId="186" formatCode="&quot;\&quot;#,##0.00;[Red]&quot;\&quot;&quot;\&quot;\-#,##0.00"/>
    <numFmt numFmtId="187" formatCode="_-* #,##0_-;\-* #,##0_-;_-* &quot;-&quot;_-;_-@_-"/>
    <numFmt numFmtId="188" formatCode="_-#,##0_-;\(#,##0\);_-\ \ &quot;-&quot;_-;_-@_-"/>
    <numFmt numFmtId="189" formatCode="mmm/yyyy;_-\ &quot;N/A&quot;_-;_-\ &quot;-&quot;_-"/>
    <numFmt numFmtId="190" formatCode="mmm/dd/yyyy;_-\ &quot;N/A&quot;_-;_-\ &quot;-&quot;_-"/>
    <numFmt numFmtId="191" formatCode="_-#,##0.00_-;\(#,##0.00\);_-\ \ &quot;-&quot;_-;_-@_-"/>
    <numFmt numFmtId="192" formatCode="_-#0&quot;.&quot;0000_-;\(#0&quot;.&quot;0000\);_-\ \ &quot;-&quot;_-;_-@_-"/>
    <numFmt numFmtId="193" formatCode="_-#,###,_-;\(#,###,\);_-\ \ &quot;-&quot;_-;_-@_-"/>
    <numFmt numFmtId="194" formatCode="_-#,##0%_-;\(#,##0%\);_-\ &quot;-&quot;_-"/>
    <numFmt numFmtId="195" formatCode="_-&quot;$&quot;* #,##0.00_-;\-&quot;$&quot;* #,##0.00_-;_-&quot;$&quot;* &quot;-&quot;??_-;_-@_-"/>
  </numFmts>
  <fonts count="95">
    <font>
      <sz val="12"/>
      <name val="宋体"/>
      <charset val="134"/>
    </font>
    <font>
      <sz val="11"/>
      <color theme="1"/>
      <name val="宋体"/>
      <family val="2"/>
      <charset val="134"/>
      <scheme val="minor"/>
    </font>
    <font>
      <sz val="11"/>
      <color theme="1"/>
      <name val="宋体"/>
      <family val="2"/>
      <charset val="134"/>
      <scheme val="minor"/>
    </font>
    <font>
      <b/>
      <sz val="12"/>
      <name val="Arial Narrow"/>
      <family val="2"/>
    </font>
    <font>
      <sz val="10"/>
      <name val="Arial Narrow"/>
      <family val="2"/>
    </font>
    <font>
      <sz val="10"/>
      <color indexed="8"/>
      <name val="Arial Narrow"/>
      <family val="2"/>
    </font>
    <font>
      <b/>
      <sz val="10"/>
      <name val="Arial Narrow"/>
      <family val="2"/>
    </font>
    <font>
      <sz val="12"/>
      <name val="Arial Narrow"/>
      <family val="2"/>
    </font>
    <font>
      <b/>
      <sz val="10"/>
      <name val="宋体"/>
      <family val="3"/>
      <charset val="134"/>
    </font>
    <font>
      <b/>
      <sz val="12"/>
      <name val="宋体"/>
      <family val="3"/>
      <charset val="134"/>
    </font>
    <font>
      <sz val="10"/>
      <name val="宋体"/>
      <family val="3"/>
      <charset val="134"/>
    </font>
    <font>
      <sz val="10"/>
      <color indexed="12"/>
      <name val="Arial Narrow"/>
      <family val="2"/>
    </font>
    <font>
      <b/>
      <sz val="10"/>
      <color indexed="8"/>
      <name val="Arial Narrow"/>
      <family val="2"/>
    </font>
    <font>
      <b/>
      <u/>
      <sz val="10"/>
      <color indexed="10"/>
      <name val="Arial Narrow"/>
      <family val="2"/>
    </font>
    <font>
      <b/>
      <sz val="10"/>
      <color theme="1"/>
      <name val="Arial Narrow"/>
      <family val="2"/>
    </font>
    <font>
      <b/>
      <sz val="10"/>
      <color theme="1"/>
      <name val="宋体"/>
      <family val="3"/>
      <charset val="134"/>
    </font>
    <font>
      <b/>
      <sz val="10"/>
      <color indexed="8"/>
      <name val="宋体"/>
      <family val="3"/>
      <charset val="134"/>
    </font>
    <font>
      <sz val="9"/>
      <name val="Arial Narrow"/>
      <family val="2"/>
    </font>
    <font>
      <sz val="10"/>
      <color theme="3" tint="-0.499984740745262"/>
      <name val="宋体"/>
      <family val="3"/>
      <charset val="134"/>
    </font>
    <font>
      <sz val="12"/>
      <name val="仿宋_GB2312"/>
      <family val="3"/>
      <charset val="134"/>
    </font>
    <font>
      <sz val="12"/>
      <name val="宋体"/>
      <family val="3"/>
      <charset val="134"/>
    </font>
    <font>
      <sz val="12"/>
      <color rgb="FF0000FF"/>
      <name val="仿宋_GB2312"/>
      <family val="3"/>
      <charset val="134"/>
    </font>
    <font>
      <b/>
      <sz val="12"/>
      <color rgb="FF000000"/>
      <name val="仿宋_GB2312"/>
      <family val="3"/>
      <charset val="134"/>
    </font>
    <font>
      <b/>
      <sz val="12"/>
      <name val="仿宋_GB2312"/>
      <family val="3"/>
      <charset val="134"/>
    </font>
    <font>
      <sz val="12"/>
      <color rgb="FFFF0000"/>
      <name val="仿宋_GB2312"/>
      <family val="3"/>
      <charset val="134"/>
    </font>
    <font>
      <sz val="12"/>
      <color rgb="FF000000"/>
      <name val="Arial Narrow"/>
      <family val="2"/>
    </font>
    <font>
      <sz val="10"/>
      <color indexed="8"/>
      <name val="宋体"/>
      <family val="3"/>
      <charset val="134"/>
      <scheme val="minor"/>
    </font>
    <font>
      <b/>
      <i/>
      <u/>
      <sz val="10"/>
      <color indexed="12"/>
      <name val="宋体"/>
      <family val="3"/>
      <charset val="134"/>
    </font>
    <font>
      <u/>
      <sz val="10"/>
      <name val="Arial Narrow"/>
      <family val="2"/>
    </font>
    <font>
      <i/>
      <u/>
      <sz val="10"/>
      <color indexed="12"/>
      <name val="宋体"/>
      <family val="3"/>
      <charset val="134"/>
    </font>
    <font>
      <b/>
      <sz val="10"/>
      <name val="Arial"/>
      <family val="2"/>
    </font>
    <font>
      <sz val="10"/>
      <name val="Arial"/>
      <family val="2"/>
    </font>
    <font>
      <b/>
      <sz val="14"/>
      <name val="宋体"/>
      <family val="3"/>
      <charset val="134"/>
    </font>
    <font>
      <sz val="10"/>
      <color indexed="8"/>
      <name val="宋体"/>
      <family val="3"/>
      <charset val="134"/>
    </font>
    <font>
      <sz val="10"/>
      <color theme="1"/>
      <name val="宋体"/>
      <family val="3"/>
      <charset val="134"/>
    </font>
    <font>
      <sz val="10"/>
      <color indexed="10"/>
      <name val="Arial Narrow"/>
      <family val="2"/>
    </font>
    <font>
      <sz val="12"/>
      <name val="Arial"/>
      <family val="2"/>
    </font>
    <font>
      <sz val="10.5"/>
      <name val="Arial"/>
      <family val="2"/>
    </font>
    <font>
      <sz val="10.5"/>
      <name val="宋体"/>
      <family val="3"/>
      <charset val="134"/>
    </font>
    <font>
      <u/>
      <sz val="10"/>
      <color indexed="12"/>
      <name val="宋体"/>
      <family val="3"/>
      <charset val="134"/>
    </font>
    <font>
      <sz val="10.5"/>
      <name val="Times New Roman"/>
      <family val="1"/>
    </font>
    <font>
      <u/>
      <sz val="12"/>
      <color indexed="12"/>
      <name val="宋体"/>
      <family val="3"/>
      <charset val="134"/>
    </font>
    <font>
      <sz val="10"/>
      <name val="Times New Roman"/>
      <family val="1"/>
    </font>
    <font>
      <u val="singleAccounting"/>
      <vertAlign val="subscript"/>
      <sz val="10"/>
      <name val="Times New Roman"/>
      <family val="1"/>
    </font>
    <font>
      <sz val="7"/>
      <name val="Helv"/>
      <family val="2"/>
    </font>
    <font>
      <sz val="12"/>
      <name val="楷体_GB2312"/>
      <charset val="134"/>
    </font>
    <font>
      <u/>
      <sz val="7.5"/>
      <color indexed="12"/>
      <name val="Arial"/>
      <family val="2"/>
    </font>
    <font>
      <i/>
      <sz val="9"/>
      <name val="Times New Roman"/>
      <family val="1"/>
    </font>
    <font>
      <b/>
      <sz val="10"/>
      <name val="MS Sans Serif"/>
      <family val="1"/>
    </font>
    <font>
      <u/>
      <sz val="7.5"/>
      <color indexed="36"/>
      <name val="Arial"/>
      <family val="2"/>
    </font>
    <font>
      <sz val="8"/>
      <name val="Arial"/>
      <family val="2"/>
    </font>
    <font>
      <sz val="10"/>
      <name val="Courier"/>
      <family val="3"/>
    </font>
    <font>
      <sz val="12"/>
      <name val="Garamond"/>
      <family val="1"/>
    </font>
    <font>
      <sz val="7"/>
      <color indexed="10"/>
      <name val="Helv"/>
      <family val="2"/>
    </font>
    <font>
      <sz val="11"/>
      <color theme="1"/>
      <name val="宋体"/>
      <family val="3"/>
      <charset val="134"/>
      <scheme val="minor"/>
    </font>
    <font>
      <sz val="12"/>
      <name val="Times New Roman"/>
      <family val="1"/>
    </font>
    <font>
      <sz val="12"/>
      <name val="楷体"/>
      <family val="3"/>
      <charset val="134"/>
    </font>
    <font>
      <sz val="10"/>
      <color theme="3" tint="-0.499984740745262"/>
      <name val="Arial Narrow"/>
      <family val="2"/>
    </font>
    <font>
      <b/>
      <sz val="12"/>
      <color indexed="8"/>
      <name val="Arial Narrow"/>
      <family val="2"/>
    </font>
    <font>
      <b/>
      <sz val="12"/>
      <color indexed="8"/>
      <name val="仿宋_GB2312"/>
      <family val="3"/>
      <charset val="134"/>
    </font>
    <font>
      <sz val="12"/>
      <color indexed="12"/>
      <name val="仿宋_GB2312"/>
      <family val="3"/>
      <charset val="134"/>
    </font>
    <font>
      <sz val="10"/>
      <color indexed="10"/>
      <name val="宋体"/>
      <family val="3"/>
      <charset val="134"/>
    </font>
    <font>
      <sz val="9"/>
      <name val="宋体"/>
      <family val="3"/>
      <charset val="134"/>
    </font>
    <font>
      <sz val="10"/>
      <color rgb="FFFF0000"/>
      <name val="Arial Narrow"/>
      <family val="2"/>
    </font>
    <font>
      <u/>
      <sz val="10"/>
      <color indexed="12"/>
      <name val="Arial Narrow"/>
      <family val="2"/>
    </font>
    <font>
      <sz val="10"/>
      <color theme="1"/>
      <name val="Arial Narrow"/>
      <family val="2"/>
    </font>
    <font>
      <sz val="10"/>
      <color rgb="FFFF0000"/>
      <name val="宋体"/>
      <family val="3"/>
      <charset val="134"/>
    </font>
    <font>
      <sz val="9"/>
      <color indexed="8"/>
      <name val="宋体"/>
      <family val="3"/>
      <charset val="134"/>
    </font>
    <font>
      <b/>
      <sz val="10"/>
      <color rgb="FFFF0000"/>
      <name val="宋体"/>
      <family val="3"/>
      <charset val="134"/>
    </font>
    <font>
      <b/>
      <sz val="10"/>
      <color indexed="10"/>
      <name val="Arial Narrow"/>
      <family val="2"/>
    </font>
    <font>
      <sz val="11"/>
      <color indexed="8"/>
      <name val="宋体"/>
      <family val="3"/>
      <charset val="134"/>
    </font>
    <font>
      <b/>
      <sz val="10"/>
      <color rgb="FF000000"/>
      <name val="宋体"/>
      <family val="2"/>
      <charset val="134"/>
    </font>
    <font>
      <sz val="9"/>
      <name val="宋体"/>
      <family val="2"/>
      <charset val="134"/>
      <scheme val="minor"/>
    </font>
    <font>
      <sz val="18"/>
      <color indexed="48"/>
      <name val="魏碑"/>
      <family val="3"/>
      <charset val="134"/>
    </font>
    <font>
      <sz val="10"/>
      <color rgb="FF0000FF"/>
      <name val="Arial Narrow"/>
      <family val="2"/>
    </font>
    <font>
      <sz val="10"/>
      <color rgb="FF0000FF"/>
      <name val="宋体"/>
      <family val="3"/>
      <charset val="134"/>
    </font>
    <font>
      <b/>
      <sz val="10"/>
      <color rgb="FFE92841"/>
      <name val="Arial Narrow"/>
      <family val="2"/>
    </font>
    <font>
      <sz val="9"/>
      <name val="宋体"/>
      <family val="3"/>
      <charset val="134"/>
      <scheme val="minor"/>
    </font>
    <font>
      <sz val="10"/>
      <color theme="1"/>
      <name val="宋体"/>
      <family val="2"/>
      <charset val="134"/>
      <scheme val="minor"/>
    </font>
    <font>
      <sz val="10"/>
      <name val="宋体"/>
      <family val="3"/>
      <charset val="134"/>
      <scheme val="minor"/>
    </font>
    <font>
      <b/>
      <sz val="9"/>
      <name val="Arial Narrow"/>
      <family val="2"/>
    </font>
    <font>
      <sz val="10"/>
      <color rgb="FFFF0000"/>
      <name val="宋体"/>
      <family val="3"/>
      <charset val="134"/>
      <scheme val="minor"/>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b/>
      <sz val="12"/>
      <color indexed="8"/>
      <name val="宋体"/>
      <family val="3"/>
      <charset val="134"/>
      <scheme val="minor"/>
    </font>
    <font>
      <b/>
      <sz val="14"/>
      <color indexed="8"/>
      <name val="宋体"/>
      <family val="3"/>
      <charset val="134"/>
    </font>
    <font>
      <b/>
      <sz val="14"/>
      <color indexed="8"/>
      <name val="Arial Narrow"/>
      <family val="2"/>
    </font>
    <font>
      <sz val="12"/>
      <color rgb="FF0000FF"/>
      <name val="宋体"/>
      <family val="3"/>
      <charset val="134"/>
    </font>
    <font>
      <sz val="9"/>
      <name val="宋体"/>
      <family val="3"/>
      <charset val="134"/>
    </font>
    <font>
      <b/>
      <sz val="10"/>
      <color rgb="FF0000FF"/>
      <name val="宋体"/>
      <family val="3"/>
      <charset val="134"/>
    </font>
    <font>
      <sz val="10"/>
      <color indexed="12"/>
      <name val="宋体"/>
      <family val="3"/>
      <charset val="134"/>
    </font>
    <font>
      <b/>
      <sz val="9"/>
      <color indexed="81"/>
      <name val="宋体"/>
      <family val="3"/>
      <charset val="134"/>
    </font>
    <font>
      <sz val="9"/>
      <color indexed="81"/>
      <name val="宋体"/>
      <family val="3"/>
      <charset val="134"/>
    </font>
  </fonts>
  <fills count="13">
    <fill>
      <patternFill patternType="none"/>
    </fill>
    <fill>
      <patternFill patternType="gray125"/>
    </fill>
    <fill>
      <patternFill patternType="solid">
        <fgColor theme="7" tint="0.79992065187536243"/>
        <bgColor indexed="64"/>
      </patternFill>
    </fill>
    <fill>
      <patternFill patternType="solid">
        <fgColor indexed="9"/>
        <bgColor indexed="64"/>
      </patternFill>
    </fill>
    <fill>
      <patternFill patternType="solid">
        <fgColor theme="0" tint="-0.14993743705557422"/>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rgb="FFE4DFEC"/>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tint="-0.14999847407452621"/>
        <bgColor indexed="64"/>
      </patternFill>
    </fill>
    <fill>
      <patternFill patternType="solid">
        <fgColor rgb="FFE4DFEC"/>
        <bgColor rgb="FFB7DEE8"/>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style="thin">
        <color indexed="55"/>
      </left>
      <right style="thin">
        <color indexed="55"/>
      </right>
      <top style="thin">
        <color indexed="55"/>
      </top>
      <bottom style="thin">
        <color indexed="55"/>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hair">
        <color auto="1"/>
      </left>
      <right style="hair">
        <color auto="1"/>
      </right>
      <top/>
      <bottom/>
      <diagonal/>
    </border>
    <border>
      <left style="hair">
        <color indexed="64"/>
      </left>
      <right/>
      <top/>
      <bottom/>
      <diagonal/>
    </border>
    <border>
      <left/>
      <right style="hair">
        <color indexed="64"/>
      </right>
      <top/>
      <bottom/>
      <diagonal/>
    </border>
  </borders>
  <cellStyleXfs count="64">
    <xf numFmtId="0" fontId="0" fillId="0" borderId="0">
      <protection locked="0"/>
    </xf>
    <xf numFmtId="181" fontId="20" fillId="0" borderId="0" applyFont="0" applyFill="0" applyBorder="0" applyAlignment="0" applyProtection="0"/>
    <xf numFmtId="177" fontId="20" fillId="0" borderId="0" applyFont="0" applyFill="0" applyBorder="0" applyAlignment="0" applyProtection="0"/>
    <xf numFmtId="0" fontId="41" fillId="0" borderId="0" applyNumberFormat="0" applyFill="0" applyBorder="0" applyAlignment="0" applyProtection="0">
      <alignment vertical="top"/>
      <protection locked="0"/>
    </xf>
    <xf numFmtId="9" fontId="20" fillId="0" borderId="0" applyFont="0" applyFill="0" applyBorder="0" applyAlignment="0" applyProtection="0">
      <alignment vertical="center"/>
    </xf>
    <xf numFmtId="180" fontId="42" fillId="0" borderId="0" applyFill="0" applyBorder="0" applyProtection="0">
      <alignment horizontal="right"/>
    </xf>
    <xf numFmtId="49" fontId="42" fillId="0" borderId="0" applyProtection="0">
      <alignment horizontal="left"/>
    </xf>
    <xf numFmtId="190" fontId="43" fillId="0" borderId="0" applyFill="0" applyBorder="0" applyProtection="0">
      <alignment horizontal="center"/>
    </xf>
    <xf numFmtId="178" fontId="31" fillId="0" borderId="0" applyFont="0" applyFill="0" applyBorder="0" applyAlignment="0" applyProtection="0"/>
    <xf numFmtId="187" fontId="31" fillId="0" borderId="0" applyFont="0" applyFill="0" applyBorder="0" applyAlignment="0" applyProtection="0"/>
    <xf numFmtId="188" fontId="42" fillId="0" borderId="0" applyFill="0" applyBorder="0" applyProtection="0">
      <alignment horizontal="right"/>
    </xf>
    <xf numFmtId="3" fontId="44" fillId="0" borderId="0"/>
    <xf numFmtId="191" fontId="42" fillId="0" borderId="0" applyFill="0" applyBorder="0" applyProtection="0">
      <alignment horizontal="right"/>
    </xf>
    <xf numFmtId="181" fontId="45" fillId="0" borderId="0" applyFont="0" applyFill="0" applyBorder="0" applyAlignment="0" applyProtection="0"/>
    <xf numFmtId="176" fontId="31" fillId="0" borderId="0" applyFont="0" applyFill="0" applyBorder="0" applyAlignment="0" applyProtection="0"/>
    <xf numFmtId="192" fontId="42" fillId="0" borderId="0" applyFill="0" applyBorder="0" applyProtection="0">
      <alignment horizontal="right"/>
    </xf>
    <xf numFmtId="184" fontId="42" fillId="0" borderId="0" applyFill="0" applyBorder="0" applyProtection="0">
      <alignment horizontal="right"/>
    </xf>
    <xf numFmtId="0" fontId="46" fillId="0" borderId="0" applyNumberFormat="0" applyFill="0" applyBorder="0" applyAlignment="0" applyProtection="0">
      <alignment vertical="top"/>
      <protection locked="0"/>
    </xf>
    <xf numFmtId="189" fontId="43" fillId="0" borderId="0" applyFill="0" applyBorder="0" applyProtection="0">
      <alignment horizontal="center"/>
    </xf>
    <xf numFmtId="193" fontId="42" fillId="0" borderId="0" applyFill="0" applyBorder="0" applyProtection="0">
      <alignment horizontal="right"/>
    </xf>
    <xf numFmtId="194" fontId="47" fillId="0" borderId="0" applyFill="0" applyBorder="0" applyProtection="0">
      <alignment horizontal="right"/>
    </xf>
    <xf numFmtId="183" fontId="48" fillId="0" borderId="12" applyAlignment="0" applyProtection="0"/>
    <xf numFmtId="195" fontId="31" fillId="0" borderId="0" applyFont="0" applyFill="0" applyBorder="0" applyAlignment="0" applyProtection="0"/>
    <xf numFmtId="181" fontId="31" fillId="0" borderId="0" applyFont="0" applyFill="0" applyBorder="0" applyAlignment="0" applyProtection="0"/>
    <xf numFmtId="177" fontId="31" fillId="0" borderId="0" applyFont="0" applyFill="0" applyBorder="0" applyAlignment="0" applyProtection="0"/>
    <xf numFmtId="179" fontId="42" fillId="0" borderId="0" applyFont="0" applyFill="0" applyBorder="0" applyAlignment="0" applyProtection="0"/>
    <xf numFmtId="0" fontId="49" fillId="0" borderId="0" applyNumberFormat="0" applyFill="0" applyBorder="0" applyAlignment="0" applyProtection="0">
      <alignment vertical="top"/>
      <protection locked="0"/>
    </xf>
    <xf numFmtId="38" fontId="50" fillId="6" borderId="0" applyNumberFormat="0" applyBorder="0" applyAlignment="0" applyProtection="0"/>
    <xf numFmtId="10" fontId="50" fillId="7" borderId="11" applyNumberFormat="0" applyBorder="0" applyAlignment="0" applyProtection="0"/>
    <xf numFmtId="182" fontId="20" fillId="0" borderId="0" applyFont="0" applyFill="0" applyBorder="0" applyAlignment="0" applyProtection="0"/>
    <xf numFmtId="186" fontId="20" fillId="0" borderId="0" applyFont="0" applyFill="0" applyBorder="0" applyAlignment="0" applyProtection="0"/>
    <xf numFmtId="0" fontId="51" fillId="0" borderId="0"/>
    <xf numFmtId="185" fontId="20" fillId="0" borderId="0"/>
    <xf numFmtId="0" fontId="52" fillId="0" borderId="0"/>
    <xf numFmtId="10" fontId="31" fillId="0" borderId="0" applyFont="0" applyFill="0" applyBorder="0" applyAlignment="0" applyProtection="0"/>
    <xf numFmtId="3" fontId="53" fillId="0" borderId="0"/>
    <xf numFmtId="0" fontId="20" fillId="0" borderId="0">
      <protection locked="0"/>
    </xf>
    <xf numFmtId="0" fontId="54" fillId="0" borderId="0"/>
    <xf numFmtId="0" fontId="20" fillId="0" borderId="0">
      <protection locked="0"/>
    </xf>
    <xf numFmtId="179" fontId="20" fillId="0" borderId="0">
      <protection locked="0"/>
    </xf>
    <xf numFmtId="0" fontId="10" fillId="0" borderId="0"/>
    <xf numFmtId="179" fontId="20" fillId="0" borderId="0"/>
    <xf numFmtId="0" fontId="20" fillId="0" borderId="0">
      <alignment vertical="center"/>
    </xf>
    <xf numFmtId="0" fontId="55" fillId="0" borderId="0"/>
    <xf numFmtId="0" fontId="20" fillId="0" borderId="0"/>
    <xf numFmtId="0" fontId="20" fillId="0" borderId="0" applyFill="0" applyBorder="0"/>
    <xf numFmtId="0" fontId="20" fillId="0" borderId="0">
      <alignment vertical="center"/>
    </xf>
    <xf numFmtId="0" fontId="56" fillId="0" borderId="0"/>
    <xf numFmtId="177" fontId="20" fillId="0" borderId="0" applyFont="0" applyFill="0" applyBorder="0" applyAlignment="0" applyProtection="0"/>
    <xf numFmtId="177" fontId="45" fillId="0" borderId="0" applyFont="0" applyFill="0" applyBorder="0" applyAlignment="0" applyProtection="0"/>
    <xf numFmtId="0" fontId="2" fillId="0" borderId="0">
      <alignment vertical="center"/>
    </xf>
    <xf numFmtId="179" fontId="54" fillId="0" borderId="0">
      <alignment vertical="center"/>
    </xf>
    <xf numFmtId="0" fontId="54" fillId="0" borderId="0">
      <alignment vertical="center"/>
    </xf>
    <xf numFmtId="179" fontId="20" fillId="0" borderId="0">
      <protection locked="0"/>
    </xf>
    <xf numFmtId="179" fontId="20" fillId="0" borderId="0">
      <alignment vertical="center"/>
    </xf>
    <xf numFmtId="43" fontId="70" fillId="0" borderId="0" applyFont="0" applyFill="0" applyBorder="0" applyAlignment="0" applyProtection="0">
      <alignment vertical="center"/>
    </xf>
    <xf numFmtId="179" fontId="20" fillId="0" borderId="0" applyFill="0" applyBorder="0"/>
    <xf numFmtId="179" fontId="20" fillId="0" borderId="0">
      <protection locked="0"/>
    </xf>
    <xf numFmtId="179" fontId="54" fillId="0" borderId="0">
      <alignment vertical="center"/>
    </xf>
    <xf numFmtId="179" fontId="20" fillId="0" borderId="0"/>
    <xf numFmtId="0" fontId="20" fillId="0" borderId="0">
      <protection locked="0"/>
    </xf>
    <xf numFmtId="43" fontId="20" fillId="0" borderId="0" applyFont="0" applyFill="0" applyBorder="0" applyAlignment="0" applyProtection="0">
      <alignment vertical="center"/>
    </xf>
    <xf numFmtId="43" fontId="20" fillId="0" borderId="0" applyFont="0" applyFill="0" applyBorder="0" applyAlignment="0" applyProtection="0"/>
    <xf numFmtId="179" fontId="1" fillId="0" borderId="0">
      <alignment vertical="center"/>
    </xf>
  </cellStyleXfs>
  <cellXfs count="366">
    <xf numFmtId="0" fontId="0" fillId="0" borderId="0" xfId="0">
      <protection locked="0"/>
    </xf>
    <xf numFmtId="0" fontId="3" fillId="0" borderId="0" xfId="0" applyFont="1" applyAlignment="1">
      <alignment vertical="center"/>
      <protection locked="0"/>
    </xf>
    <xf numFmtId="0" fontId="4" fillId="0" borderId="0" xfId="0" applyFont="1" applyAlignment="1">
      <alignment vertical="center"/>
      <protection locked="0"/>
    </xf>
    <xf numFmtId="0" fontId="7" fillId="0" borderId="0" xfId="0" applyFont="1" applyAlignment="1">
      <alignment vertical="center"/>
      <protection locked="0"/>
    </xf>
    <xf numFmtId="177" fontId="4" fillId="0" borderId="0" xfId="45" applyNumberFormat="1" applyFont="1" applyBorder="1" applyAlignment="1">
      <alignment vertical="center"/>
    </xf>
    <xf numFmtId="0" fontId="4" fillId="0" borderId="0" xfId="0" applyFont="1" applyAlignment="1">
      <alignment vertical="center" wrapText="1"/>
      <protection locked="0"/>
    </xf>
    <xf numFmtId="177" fontId="4" fillId="0" borderId="0" xfId="45" applyNumberFormat="1" applyFont="1" applyBorder="1" applyAlignment="1">
      <alignment horizontal="left" vertical="center"/>
    </xf>
    <xf numFmtId="14" fontId="4" fillId="0" borderId="0" xfId="0" applyNumberFormat="1" applyFont="1" applyAlignment="1">
      <alignment vertical="center"/>
      <protection locked="0"/>
    </xf>
    <xf numFmtId="0" fontId="8" fillId="0" borderId="0" xfId="44" applyFont="1" applyBorder="1" applyAlignment="1">
      <alignment vertical="center"/>
    </xf>
    <xf numFmtId="0" fontId="4" fillId="0" borderId="0" xfId="36" applyFont="1" applyBorder="1" applyAlignment="1">
      <alignment vertical="center"/>
      <protection locked="0"/>
    </xf>
    <xf numFmtId="0" fontId="4" fillId="0" borderId="0" xfId="0" applyFont="1" applyAlignment="1">
      <alignment horizontal="center" vertical="center"/>
      <protection locked="0"/>
    </xf>
    <xf numFmtId="0" fontId="4" fillId="0" borderId="0" xfId="0" applyFont="1" applyAlignment="1">
      <alignment horizontal="left" vertical="center"/>
      <protection locked="0"/>
    </xf>
    <xf numFmtId="0" fontId="4" fillId="0" borderId="0" xfId="42" applyFont="1" applyAlignment="1">
      <alignment vertical="center"/>
    </xf>
    <xf numFmtId="0" fontId="7" fillId="0" borderId="0" xfId="42" applyFont="1" applyAlignment="1">
      <alignment vertical="center"/>
    </xf>
    <xf numFmtId="0" fontId="4" fillId="0" borderId="0" xfId="36" applyFont="1" applyAlignment="1">
      <alignment vertical="center"/>
      <protection locked="0"/>
    </xf>
    <xf numFmtId="0" fontId="4" fillId="0" borderId="0" xfId="36" applyFont="1">
      <protection locked="0"/>
    </xf>
    <xf numFmtId="0" fontId="6" fillId="0" borderId="0" xfId="36" applyFont="1">
      <protection locked="0"/>
    </xf>
    <xf numFmtId="0" fontId="7" fillId="0" borderId="0" xfId="0" applyFont="1" applyAlignment="1">
      <alignment vertical="center" wrapText="1"/>
      <protection locked="0"/>
    </xf>
    <xf numFmtId="49" fontId="4" fillId="0" borderId="0" xfId="45" applyNumberFormat="1" applyFont="1" applyBorder="1" applyAlignment="1">
      <alignment vertical="center"/>
    </xf>
    <xf numFmtId="0" fontId="12" fillId="0" borderId="0" xfId="36" applyFont="1" applyFill="1" applyAlignment="1" applyProtection="1">
      <alignment vertical="center"/>
    </xf>
    <xf numFmtId="0" fontId="13" fillId="0" borderId="0" xfId="36" applyFont="1" applyFill="1" applyAlignment="1" applyProtection="1">
      <alignment horizontal="center"/>
    </xf>
    <xf numFmtId="0" fontId="4" fillId="0" borderId="0" xfId="36" applyFont="1" applyAlignment="1">
      <alignment vertical="center" wrapText="1"/>
      <protection locked="0"/>
    </xf>
    <xf numFmtId="0" fontId="6" fillId="0" borderId="0" xfId="36" applyFont="1" applyFill="1" applyAlignment="1" applyProtection="1">
      <alignment horizontal="left" vertical="center"/>
    </xf>
    <xf numFmtId="0" fontId="4" fillId="0" borderId="0" xfId="46" applyFont="1" applyAlignment="1">
      <alignment vertical="center"/>
    </xf>
    <xf numFmtId="179" fontId="6" fillId="2" borderId="1" xfId="41" applyFont="1" applyFill="1" applyBorder="1" applyAlignment="1" applyProtection="1">
      <alignment horizontal="center" vertical="center"/>
      <protection locked="0"/>
    </xf>
    <xf numFmtId="177" fontId="5" fillId="3" borderId="1" xfId="2" applyFont="1" applyFill="1" applyBorder="1" applyAlignment="1">
      <alignment vertical="center"/>
    </xf>
    <xf numFmtId="0" fontId="12" fillId="0" borderId="1" xfId="0" applyFont="1" applyFill="1" applyBorder="1" applyAlignment="1" applyProtection="1">
      <alignment horizontal="center" vertical="center"/>
    </xf>
    <xf numFmtId="0" fontId="16" fillId="0" borderId="0" xfId="0" applyFont="1" applyAlignment="1" applyProtection="1">
      <alignment vertical="center"/>
    </xf>
    <xf numFmtId="0" fontId="4" fillId="0" borderId="4" xfId="36" applyFont="1" applyBorder="1" applyAlignment="1">
      <alignment vertical="center"/>
      <protection locked="0"/>
    </xf>
    <xf numFmtId="0" fontId="10" fillId="0" borderId="0" xfId="0" applyFont="1" applyAlignment="1">
      <alignment vertical="center" wrapText="1"/>
      <protection locked="0"/>
    </xf>
    <xf numFmtId="14" fontId="4" fillId="0" borderId="0" xfId="45" applyNumberFormat="1" applyFont="1" applyBorder="1" applyAlignment="1">
      <alignment vertical="center"/>
    </xf>
    <xf numFmtId="14" fontId="4" fillId="0" borderId="0" xfId="36" applyNumberFormat="1" applyFont="1" applyAlignment="1">
      <alignment vertical="center"/>
      <protection locked="0"/>
    </xf>
    <xf numFmtId="0" fontId="4" fillId="0" borderId="0" xfId="36" applyFont="1" applyBorder="1" applyAlignment="1">
      <alignment horizontal="right" vertical="center"/>
      <protection locked="0"/>
    </xf>
    <xf numFmtId="0" fontId="4" fillId="0" borderId="0" xfId="36" applyFont="1" applyBorder="1" applyAlignment="1">
      <alignment horizontal="justify" vertical="center" wrapText="1"/>
      <protection locked="0"/>
    </xf>
    <xf numFmtId="179" fontId="12" fillId="2" borderId="2" xfId="41" applyFont="1" applyFill="1" applyBorder="1" applyAlignment="1" applyProtection="1">
      <alignment horizontal="center" vertical="center"/>
      <protection locked="0"/>
    </xf>
    <xf numFmtId="0" fontId="4" fillId="0" borderId="4" xfId="36" applyFont="1" applyBorder="1">
      <protection locked="0"/>
    </xf>
    <xf numFmtId="0" fontId="4" fillId="0" borderId="0" xfId="36" applyFont="1" applyBorder="1">
      <protection locked="0"/>
    </xf>
    <xf numFmtId="0" fontId="6" fillId="0" borderId="0" xfId="42" applyFont="1" applyAlignment="1">
      <alignment vertical="center"/>
    </xf>
    <xf numFmtId="0" fontId="3" fillId="0" borderId="0" xfId="42" applyFont="1" applyAlignment="1">
      <alignment vertical="center"/>
    </xf>
    <xf numFmtId="177" fontId="10" fillId="0" borderId="0" xfId="45" applyNumberFormat="1" applyFont="1" applyFill="1" applyBorder="1" applyAlignment="1">
      <alignment vertical="center"/>
    </xf>
    <xf numFmtId="0" fontId="0" fillId="0" borderId="0" xfId="0" applyFill="1" applyAlignment="1">
      <alignment vertical="center"/>
      <protection locked="0"/>
    </xf>
    <xf numFmtId="0" fontId="8" fillId="0" borderId="0" xfId="43" applyFont="1" applyFill="1" applyAlignment="1">
      <alignment vertical="center"/>
    </xf>
    <xf numFmtId="177" fontId="9" fillId="0" borderId="0" xfId="45" applyNumberFormat="1" applyFont="1" applyFill="1" applyBorder="1" applyAlignment="1">
      <alignment vertical="center"/>
    </xf>
    <xf numFmtId="177" fontId="4" fillId="0" borderId="0" xfId="45" applyNumberFormat="1" applyFont="1" applyFill="1" applyBorder="1" applyAlignment="1">
      <alignment vertical="center"/>
    </xf>
    <xf numFmtId="177" fontId="4" fillId="0" borderId="0" xfId="45" applyNumberFormat="1" applyFont="1" applyFill="1" applyBorder="1" applyAlignment="1">
      <alignment horizontal="left" vertical="center"/>
    </xf>
    <xf numFmtId="0" fontId="19" fillId="0" borderId="0" xfId="0" applyFont="1" applyFill="1" applyAlignment="1">
      <alignment horizontal="left" vertical="center"/>
      <protection locked="0"/>
    </xf>
    <xf numFmtId="0" fontId="20" fillId="0" borderId="0" xfId="0" applyFont="1" applyFill="1" applyAlignment="1">
      <alignment vertical="center"/>
      <protection locked="0"/>
    </xf>
    <xf numFmtId="0" fontId="21" fillId="0" borderId="0" xfId="0" applyFont="1" applyFill="1" applyAlignment="1">
      <alignment horizontal="left" vertical="center"/>
      <protection locked="0"/>
    </xf>
    <xf numFmtId="0" fontId="22" fillId="0" borderId="8" xfId="0" applyFont="1" applyFill="1" applyBorder="1" applyAlignment="1">
      <alignment horizontal="justify" vertical="center" wrapText="1"/>
      <protection locked="0"/>
    </xf>
    <xf numFmtId="0" fontId="22" fillId="0" borderId="8" xfId="0" applyFont="1" applyFill="1" applyBorder="1" applyAlignment="1">
      <alignment horizontal="right" vertical="center" wrapText="1"/>
      <protection locked="0"/>
    </xf>
    <xf numFmtId="0" fontId="19" fillId="0" borderId="0" xfId="0" applyFont="1" applyFill="1" applyAlignment="1">
      <alignment horizontal="justify" vertical="center" wrapText="1"/>
      <protection locked="0"/>
    </xf>
    <xf numFmtId="177" fontId="7" fillId="0" borderId="0" xfId="0" applyNumberFormat="1" applyFont="1" applyFill="1" applyAlignment="1">
      <alignment horizontal="right" vertical="center" wrapText="1"/>
      <protection locked="0"/>
    </xf>
    <xf numFmtId="0" fontId="23" fillId="0" borderId="8" xfId="0" applyFont="1" applyFill="1" applyBorder="1" applyAlignment="1">
      <alignment horizontal="justify" vertical="center" wrapText="1"/>
      <protection locked="0"/>
    </xf>
    <xf numFmtId="177" fontId="3" fillId="0" borderId="8" xfId="2" applyFont="1" applyFill="1" applyBorder="1" applyAlignment="1" applyProtection="1">
      <alignment horizontal="right" vertical="center" wrapText="1" shrinkToFit="1"/>
      <protection locked="0"/>
    </xf>
    <xf numFmtId="49" fontId="4" fillId="0" borderId="0" xfId="45" applyNumberFormat="1" applyFont="1" applyFill="1" applyBorder="1" applyAlignment="1">
      <alignment vertical="center"/>
    </xf>
    <xf numFmtId="0" fontId="24" fillId="0" borderId="0" xfId="0" applyFont="1" applyFill="1" applyAlignment="1">
      <alignment horizontal="justify" vertical="center" wrapText="1"/>
      <protection locked="0"/>
    </xf>
    <xf numFmtId="177" fontId="25" fillId="0" borderId="0" xfId="0" applyNumberFormat="1" applyFont="1" applyFill="1" applyAlignment="1">
      <alignment vertical="center" wrapText="1"/>
      <protection locked="0"/>
    </xf>
    <xf numFmtId="177" fontId="7" fillId="0" borderId="0" xfId="45" applyNumberFormat="1" applyFont="1" applyBorder="1" applyAlignment="1">
      <alignment vertical="center"/>
    </xf>
    <xf numFmtId="177" fontId="6" fillId="0" borderId="0" xfId="45" applyNumberFormat="1" applyFont="1" applyBorder="1" applyAlignment="1">
      <alignment vertical="center"/>
    </xf>
    <xf numFmtId="177" fontId="6" fillId="0" borderId="0" xfId="45" applyNumberFormat="1" applyFont="1" applyFill="1" applyBorder="1" applyAlignment="1">
      <alignment vertical="center"/>
    </xf>
    <xf numFmtId="179" fontId="8" fillId="2" borderId="1" xfId="41" applyFont="1" applyFill="1" applyBorder="1" applyAlignment="1" applyProtection="1">
      <alignment horizontal="center" vertical="center" wrapText="1"/>
      <protection locked="0"/>
    </xf>
    <xf numFmtId="0" fontId="26" fillId="0" borderId="1" xfId="0" applyFont="1" applyFill="1" applyBorder="1" applyAlignment="1" applyProtection="1">
      <alignment horizontal="left" vertical="center"/>
    </xf>
    <xf numFmtId="177" fontId="6" fillId="0" borderId="4" xfId="45" applyNumberFormat="1" applyFont="1" applyBorder="1" applyAlignment="1">
      <alignment horizontal="center" vertical="center"/>
    </xf>
    <xf numFmtId="177" fontId="27" fillId="0" borderId="4" xfId="3" applyNumberFormat="1" applyFont="1" applyBorder="1" applyAlignment="1" applyProtection="1">
      <alignment horizontal="center" vertical="center"/>
    </xf>
    <xf numFmtId="0" fontId="4" fillId="0" borderId="0" xfId="43" applyFont="1" applyBorder="1" applyAlignment="1">
      <alignment vertical="center"/>
    </xf>
    <xf numFmtId="9" fontId="28" fillId="0" borderId="0" xfId="4" applyFont="1" applyBorder="1" applyAlignment="1">
      <alignment horizontal="left" vertical="center"/>
    </xf>
    <xf numFmtId="0" fontId="10" fillId="0" borderId="0" xfId="43" applyFont="1" applyBorder="1" applyAlignment="1">
      <alignment horizontal="left" vertical="center"/>
    </xf>
    <xf numFmtId="0" fontId="4" fillId="0" borderId="0" xfId="43" applyFont="1" applyBorder="1" applyAlignment="1">
      <alignment horizontal="left" vertical="center"/>
    </xf>
    <xf numFmtId="0" fontId="6" fillId="0" borderId="0" xfId="43" applyFont="1" applyBorder="1" applyAlignment="1">
      <alignment vertical="center"/>
    </xf>
    <xf numFmtId="177" fontId="29" fillId="0" borderId="0" xfId="3" applyNumberFormat="1" applyFont="1" applyBorder="1" applyAlignment="1" applyProtection="1">
      <alignment horizontal="center" vertical="center"/>
    </xf>
    <xf numFmtId="0" fontId="8" fillId="0" borderId="0" xfId="43" applyFont="1" applyBorder="1" applyAlignment="1">
      <alignment vertical="center"/>
    </xf>
    <xf numFmtId="14" fontId="4" fillId="0" borderId="0" xfId="45" applyNumberFormat="1" applyFont="1" applyBorder="1" applyAlignment="1">
      <alignment horizontal="left" vertical="center"/>
    </xf>
    <xf numFmtId="179" fontId="16" fillId="2" borderId="1" xfId="39" applyNumberFormat="1" applyFont="1" applyFill="1" applyBorder="1" applyAlignment="1" applyProtection="1">
      <alignment horizontal="center" vertical="center" wrapText="1"/>
      <protection locked="0"/>
    </xf>
    <xf numFmtId="179" fontId="8" fillId="2" borderId="1" xfId="39" applyNumberFormat="1" applyFont="1" applyFill="1" applyBorder="1" applyAlignment="1" applyProtection="1">
      <alignment horizontal="center" vertical="center"/>
      <protection locked="0"/>
    </xf>
    <xf numFmtId="179" fontId="8" fillId="2" borderId="1" xfId="39" applyFont="1" applyFill="1" applyBorder="1" applyAlignment="1" applyProtection="1">
      <alignment horizontal="center" vertical="center"/>
      <protection locked="0"/>
    </xf>
    <xf numFmtId="177" fontId="4" fillId="0" borderId="1" xfId="2" applyFont="1" applyFill="1" applyBorder="1" applyAlignment="1">
      <alignment horizontal="right" vertical="center" wrapText="1"/>
    </xf>
    <xf numFmtId="177" fontId="4" fillId="0" borderId="4" xfId="45" applyNumberFormat="1" applyFont="1" applyBorder="1" applyAlignment="1">
      <alignment vertical="center"/>
    </xf>
    <xf numFmtId="0" fontId="7" fillId="0" borderId="0" xfId="42" applyFont="1">
      <alignment vertical="center"/>
    </xf>
    <xf numFmtId="0" fontId="4" fillId="0" borderId="0" xfId="36" applyFont="1" applyAlignment="1">
      <alignment horizontal="center" vertical="center"/>
      <protection locked="0"/>
    </xf>
    <xf numFmtId="0" fontId="6" fillId="4" borderId="0" xfId="36" applyFont="1" applyFill="1" applyAlignment="1">
      <alignment vertical="center"/>
      <protection locked="0"/>
    </xf>
    <xf numFmtId="0" fontId="30" fillId="0" borderId="0" xfId="46" applyFont="1">
      <alignment vertical="center"/>
    </xf>
    <xf numFmtId="0" fontId="4" fillId="4" borderId="0" xfId="36" applyFont="1" applyFill="1" applyAlignment="1">
      <alignment vertical="center"/>
      <protection locked="0"/>
    </xf>
    <xf numFmtId="0" fontId="6" fillId="0" borderId="0" xfId="36" applyFont="1" applyAlignment="1">
      <alignment vertical="center"/>
      <protection locked="0"/>
    </xf>
    <xf numFmtId="49" fontId="4" fillId="0" borderId="0" xfId="46" applyNumberFormat="1" applyFont="1" applyAlignment="1">
      <alignment horizontal="left" vertical="center"/>
    </xf>
    <xf numFmtId="0" fontId="4" fillId="0" borderId="9" xfId="46" applyFont="1" applyBorder="1">
      <alignment vertical="center"/>
    </xf>
    <xf numFmtId="0" fontId="4" fillId="0" borderId="0" xfId="46" applyFont="1">
      <alignment vertical="center"/>
    </xf>
    <xf numFmtId="0" fontId="8" fillId="4" borderId="0" xfId="36" applyFont="1" applyFill="1" applyAlignment="1">
      <alignment vertical="center"/>
      <protection locked="0"/>
    </xf>
    <xf numFmtId="0" fontId="0" fillId="0" borderId="0" xfId="0" applyAlignment="1">
      <alignment vertical="center"/>
      <protection locked="0"/>
    </xf>
    <xf numFmtId="0" fontId="36" fillId="0" borderId="0" xfId="0" applyFont="1">
      <protection locked="0"/>
    </xf>
    <xf numFmtId="0" fontId="9" fillId="0" borderId="0" xfId="0" applyFont="1" applyAlignment="1">
      <alignment vertical="center"/>
      <protection locked="0"/>
    </xf>
    <xf numFmtId="0" fontId="36" fillId="0" borderId="0" xfId="0" applyFont="1" applyAlignment="1">
      <alignment vertical="center"/>
      <protection locked="0"/>
    </xf>
    <xf numFmtId="0" fontId="20" fillId="0" borderId="0" xfId="0" applyFont="1" applyAlignment="1">
      <alignment vertical="center"/>
      <protection locked="0"/>
    </xf>
    <xf numFmtId="0" fontId="37" fillId="0" borderId="0" xfId="0" applyFont="1" applyBorder="1" applyAlignment="1">
      <alignment horizontal="justify" wrapText="1"/>
      <protection locked="0"/>
    </xf>
    <xf numFmtId="0" fontId="20" fillId="0" borderId="0" xfId="0" applyFont="1" applyAlignment="1">
      <alignment horizontal="center" vertical="center"/>
      <protection locked="0"/>
    </xf>
    <xf numFmtId="0" fontId="20" fillId="0" borderId="10" xfId="0" applyFont="1" applyBorder="1" applyAlignment="1">
      <alignment horizontal="center" vertical="center"/>
      <protection locked="0"/>
    </xf>
    <xf numFmtId="0" fontId="38" fillId="0" borderId="0" xfId="0" applyFont="1" applyBorder="1" applyAlignment="1">
      <alignment horizontal="justify" wrapText="1"/>
      <protection locked="0"/>
    </xf>
    <xf numFmtId="0" fontId="12" fillId="0" borderId="11" xfId="0" applyFont="1" applyBorder="1" applyAlignment="1" applyProtection="1">
      <alignment horizontal="center" vertical="center"/>
    </xf>
    <xf numFmtId="0" fontId="38" fillId="0" borderId="0" xfId="0" applyFont="1" applyBorder="1" applyAlignment="1">
      <alignment horizontal="justify" vertical="top" wrapText="1"/>
      <protection locked="0"/>
    </xf>
    <xf numFmtId="0" fontId="36" fillId="0" borderId="0" xfId="0" applyFont="1" applyBorder="1">
      <protection locked="0"/>
    </xf>
    <xf numFmtId="0" fontId="5" fillId="0" borderId="11" xfId="0" applyFont="1" applyBorder="1" applyAlignment="1" applyProtection="1">
      <alignment vertical="center"/>
    </xf>
    <xf numFmtId="0" fontId="0" fillId="0" borderId="11" xfId="0" applyBorder="1">
      <protection locked="0"/>
    </xf>
    <xf numFmtId="0" fontId="40" fillId="0" borderId="0" xfId="0" applyFont="1" applyBorder="1" applyAlignment="1">
      <alignment horizontal="justify" wrapText="1"/>
      <protection locked="0"/>
    </xf>
    <xf numFmtId="0" fontId="5" fillId="0" borderId="11" xfId="0" applyFont="1" applyBorder="1" applyAlignment="1" applyProtection="1">
      <alignment horizontal="center" vertical="center"/>
    </xf>
    <xf numFmtId="0" fontId="12" fillId="0" borderId="11" xfId="0" applyFont="1" applyBorder="1" applyAlignment="1" applyProtection="1">
      <alignment vertical="center"/>
    </xf>
    <xf numFmtId="0" fontId="0" fillId="0" borderId="0" xfId="0" applyBorder="1">
      <protection locked="0"/>
    </xf>
    <xf numFmtId="0" fontId="63" fillId="0" borderId="0" xfId="0" applyFont="1" applyAlignment="1" applyProtection="1">
      <alignment horizontal="right" vertical="center"/>
    </xf>
    <xf numFmtId="0" fontId="10" fillId="0" borderId="0" xfId="36" applyFont="1" applyAlignment="1">
      <alignment horizontal="right" vertical="center"/>
      <protection locked="0"/>
    </xf>
    <xf numFmtId="0" fontId="64" fillId="0" borderId="11" xfId="3" applyFont="1" applyBorder="1" applyAlignment="1" applyProtection="1">
      <alignment vertical="center"/>
    </xf>
    <xf numFmtId="0" fontId="64" fillId="0" borderId="11" xfId="3" quotePrefix="1" applyFont="1" applyBorder="1" applyAlignment="1" applyProtection="1">
      <alignment vertical="center"/>
    </xf>
    <xf numFmtId="177" fontId="4" fillId="0" borderId="0" xfId="45" applyNumberFormat="1" applyFont="1" applyBorder="1" applyAlignment="1">
      <alignment horizontal="right" vertical="center"/>
    </xf>
    <xf numFmtId="49" fontId="4" fillId="0" borderId="0" xfId="45" applyNumberFormat="1" applyFont="1" applyBorder="1" applyAlignment="1">
      <alignment horizontal="left" vertical="center"/>
    </xf>
    <xf numFmtId="0" fontId="22" fillId="0" borderId="0" xfId="0" applyFont="1" applyFill="1" applyBorder="1" applyAlignment="1">
      <alignment horizontal="right" vertical="center" wrapText="1"/>
      <protection locked="0"/>
    </xf>
    <xf numFmtId="177" fontId="3" fillId="0" borderId="0" xfId="2" applyFont="1" applyFill="1" applyBorder="1" applyAlignment="1" applyProtection="1">
      <alignment horizontal="right" vertical="center" wrapText="1" shrinkToFit="1"/>
      <protection locked="0"/>
    </xf>
    <xf numFmtId="177" fontId="5" fillId="8" borderId="1" xfId="2" applyFont="1" applyFill="1" applyBorder="1" applyAlignment="1">
      <alignment horizontal="right" vertical="center"/>
    </xf>
    <xf numFmtId="177" fontId="4" fillId="8" borderId="1" xfId="2" applyFont="1" applyFill="1" applyBorder="1" applyAlignment="1">
      <alignment horizontal="right" vertical="center" wrapText="1"/>
    </xf>
    <xf numFmtId="10" fontId="4" fillId="8" borderId="1" xfId="4" applyNumberFormat="1" applyFont="1" applyFill="1" applyBorder="1" applyAlignment="1">
      <alignment horizontal="right" vertical="center" wrapText="1"/>
    </xf>
    <xf numFmtId="177" fontId="17" fillId="8" borderId="1" xfId="41" applyNumberFormat="1" applyFont="1" applyFill="1" applyBorder="1" applyAlignment="1" applyProtection="1">
      <alignment horizontal="right" vertical="center" shrinkToFit="1"/>
    </xf>
    <xf numFmtId="0" fontId="4" fillId="0" borderId="0" xfId="36" applyFont="1" applyBorder="1" applyAlignment="1">
      <alignment horizontal="center" vertical="center" wrapText="1"/>
      <protection locked="0"/>
    </xf>
    <xf numFmtId="0" fontId="6" fillId="0" borderId="0" xfId="36" applyFont="1" applyBorder="1" applyAlignment="1">
      <alignment horizontal="justify" vertical="center"/>
      <protection locked="0"/>
    </xf>
    <xf numFmtId="0" fontId="4" fillId="0" borderId="1" xfId="36" applyFont="1" applyFill="1" applyBorder="1" applyAlignment="1">
      <alignment vertical="center" wrapText="1"/>
      <protection locked="0"/>
    </xf>
    <xf numFmtId="49" fontId="4" fillId="0" borderId="1" xfId="46" applyNumberFormat="1" applyFont="1" applyFill="1" applyBorder="1" applyAlignment="1">
      <alignment horizontal="center" vertical="center"/>
    </xf>
    <xf numFmtId="0" fontId="10" fillId="0" borderId="1" xfId="50" applyFont="1" applyFill="1" applyBorder="1" applyAlignment="1" applyProtection="1">
      <alignment horizontal="center" vertical="center"/>
      <protection locked="0"/>
    </xf>
    <xf numFmtId="0" fontId="4" fillId="0" borderId="2" xfId="36" applyFont="1" applyFill="1" applyBorder="1" applyAlignment="1">
      <alignment horizontal="center" vertical="center" wrapText="1" shrinkToFit="1"/>
      <protection locked="0"/>
    </xf>
    <xf numFmtId="0" fontId="10" fillId="0" borderId="1" xfId="38" applyFont="1" applyFill="1" applyBorder="1" applyAlignment="1">
      <alignment horizontal="left" vertical="center" wrapText="1"/>
      <protection locked="0"/>
    </xf>
    <xf numFmtId="0" fontId="8" fillId="9" borderId="6" xfId="50" applyFont="1" applyFill="1" applyBorder="1" applyAlignment="1" applyProtection="1">
      <alignment horizontal="center" vertical="center"/>
      <protection locked="0"/>
    </xf>
    <xf numFmtId="0" fontId="8" fillId="9" borderId="6" xfId="50" applyFont="1" applyFill="1" applyBorder="1" applyAlignment="1" applyProtection="1">
      <alignment horizontal="center" vertical="center" wrapText="1"/>
      <protection locked="0"/>
    </xf>
    <xf numFmtId="0" fontId="65" fillId="0" borderId="1" xfId="50" applyFont="1" applyFill="1" applyBorder="1" applyAlignment="1">
      <alignment horizontal="center" vertical="center" wrapText="1"/>
    </xf>
    <xf numFmtId="0" fontId="34" fillId="0" borderId="1" xfId="50" applyFont="1" applyFill="1" applyBorder="1" applyAlignment="1">
      <alignment horizontal="center" vertical="center" wrapText="1"/>
    </xf>
    <xf numFmtId="0" fontId="5" fillId="0" borderId="0" xfId="38" applyFont="1" applyAlignment="1" applyProtection="1">
      <alignment horizontal="left" vertical="center"/>
    </xf>
    <xf numFmtId="0" fontId="67" fillId="0" borderId="0" xfId="38" applyFont="1" applyAlignment="1" applyProtection="1">
      <alignment horizontal="left" vertical="center"/>
    </xf>
    <xf numFmtId="0" fontId="4" fillId="0" borderId="0" xfId="36" applyFont="1" applyAlignment="1" applyProtection="1">
      <alignment vertical="center"/>
      <protection locked="0"/>
    </xf>
    <xf numFmtId="0" fontId="12" fillId="0" borderId="0" xfId="52" applyFont="1">
      <alignment vertical="center"/>
    </xf>
    <xf numFmtId="0" fontId="5" fillId="0" borderId="0" xfId="52" applyFont="1">
      <alignment vertical="center"/>
    </xf>
    <xf numFmtId="14" fontId="5" fillId="0" borderId="0" xfId="52" applyNumberFormat="1" applyFont="1">
      <alignment vertical="center"/>
    </xf>
    <xf numFmtId="0" fontId="69" fillId="0" borderId="0" xfId="52" applyFont="1">
      <alignment vertical="center"/>
    </xf>
    <xf numFmtId="179" fontId="12" fillId="0" borderId="0" xfId="53" applyFont="1" applyAlignment="1" applyProtection="1">
      <alignment vertical="center"/>
    </xf>
    <xf numFmtId="179" fontId="13" fillId="0" borderId="0" xfId="53" applyFont="1" applyAlignment="1" applyProtection="1">
      <alignment horizontal="center"/>
    </xf>
    <xf numFmtId="0" fontId="4" fillId="0" borderId="0" xfId="52" applyFont="1" applyProtection="1">
      <alignment vertical="center"/>
      <protection locked="0"/>
    </xf>
    <xf numFmtId="179" fontId="4" fillId="0" borderId="0" xfId="54" applyFont="1">
      <alignment vertical="center"/>
    </xf>
    <xf numFmtId="0" fontId="10" fillId="0" borderId="0" xfId="52" applyFont="1" applyProtection="1">
      <alignment vertical="center"/>
      <protection locked="0"/>
    </xf>
    <xf numFmtId="179" fontId="20" fillId="0" borderId="0" xfId="39">
      <protection locked="0"/>
    </xf>
    <xf numFmtId="0" fontId="10" fillId="0" borderId="0" xfId="52" applyFont="1" applyAlignment="1" applyProtection="1">
      <alignment horizontal="right" vertical="center"/>
      <protection locked="0"/>
    </xf>
    <xf numFmtId="179" fontId="10" fillId="0" borderId="0" xfId="53" applyFont="1" applyAlignment="1" applyProtection="1">
      <alignment vertical="center"/>
    </xf>
    <xf numFmtId="179" fontId="6" fillId="0" borderId="0" xfId="53" applyFont="1" applyAlignment="1" applyProtection="1">
      <alignment horizontal="left" vertical="center"/>
    </xf>
    <xf numFmtId="179" fontId="4" fillId="0" borderId="0" xfId="53" applyFont="1" applyAlignment="1">
      <alignment vertical="center"/>
      <protection locked="0"/>
    </xf>
    <xf numFmtId="14" fontId="5" fillId="10" borderId="1" xfId="55" applyNumberFormat="1" applyFont="1" applyFill="1" applyBorder="1" applyAlignment="1">
      <alignment horizontal="right" vertical="center"/>
    </xf>
    <xf numFmtId="0" fontId="12" fillId="9" borderId="1" xfId="52" applyFont="1" applyFill="1" applyBorder="1" applyAlignment="1">
      <alignment horizontal="center" vertical="center" wrapText="1"/>
    </xf>
    <xf numFmtId="0" fontId="12" fillId="0" borderId="0" xfId="52" applyFont="1" applyAlignment="1">
      <alignment horizontal="center" vertical="center" wrapText="1"/>
    </xf>
    <xf numFmtId="0" fontId="5" fillId="0" borderId="1" xfId="52" applyFont="1" applyBorder="1">
      <alignment vertical="center"/>
    </xf>
    <xf numFmtId="43" fontId="5" fillId="0" borderId="1" xfId="55" applyFont="1" applyBorder="1">
      <alignment vertical="center"/>
    </xf>
    <xf numFmtId="14" fontId="5" fillId="0" borderId="1" xfId="52" applyNumberFormat="1" applyFont="1" applyBorder="1">
      <alignment vertical="center"/>
    </xf>
    <xf numFmtId="43" fontId="5" fillId="0" borderId="1" xfId="55" applyFont="1" applyFill="1" applyBorder="1" applyAlignment="1">
      <alignment horizontal="right" vertical="center" shrinkToFit="1"/>
    </xf>
    <xf numFmtId="43" fontId="5" fillId="0" borderId="0" xfId="55" applyFont="1" applyFill="1" applyBorder="1" applyAlignment="1">
      <alignment horizontal="right" vertical="center" shrinkToFit="1"/>
    </xf>
    <xf numFmtId="43" fontId="5" fillId="0" borderId="14" xfId="55" applyFont="1" applyFill="1" applyBorder="1" applyAlignment="1">
      <alignment horizontal="right" vertical="center" shrinkToFit="1"/>
    </xf>
    <xf numFmtId="43" fontId="5" fillId="0" borderId="15" xfId="55" applyFont="1" applyFill="1" applyBorder="1" applyAlignment="1">
      <alignment horizontal="right" vertical="center" shrinkToFit="1"/>
    </xf>
    <xf numFmtId="0" fontId="8" fillId="0" borderId="4" xfId="52" applyFont="1" applyBorder="1" applyProtection="1">
      <alignment vertical="center"/>
      <protection locked="0"/>
    </xf>
    <xf numFmtId="0" fontId="8" fillId="0" borderId="0" xfId="52" applyFont="1" applyProtection="1">
      <alignment vertical="center"/>
      <protection locked="0"/>
    </xf>
    <xf numFmtId="43" fontId="5" fillId="8" borderId="1" xfId="55" applyFont="1" applyFill="1" applyBorder="1" applyAlignment="1">
      <alignment horizontal="right" vertical="center" shrinkToFit="1"/>
    </xf>
    <xf numFmtId="14" fontId="5" fillId="8" borderId="1" xfId="55" applyNumberFormat="1" applyFont="1" applyFill="1" applyBorder="1" applyAlignment="1">
      <alignment horizontal="right" vertical="center" shrinkToFit="1"/>
    </xf>
    <xf numFmtId="0" fontId="15" fillId="0" borderId="1" xfId="50" applyFont="1" applyFill="1" applyBorder="1" applyAlignment="1">
      <alignment horizontal="center" vertical="center" wrapText="1"/>
    </xf>
    <xf numFmtId="0" fontId="8" fillId="0" borderId="1" xfId="50" applyFont="1" applyFill="1" applyBorder="1" applyAlignment="1" applyProtection="1">
      <alignment horizontal="center" vertical="center"/>
      <protection locked="0"/>
    </xf>
    <xf numFmtId="0" fontId="10" fillId="0" borderId="1" xfId="50" applyFont="1" applyFill="1" applyBorder="1" applyAlignment="1" applyProtection="1">
      <alignment horizontal="center" vertical="center" wrapText="1"/>
      <protection locked="0"/>
    </xf>
    <xf numFmtId="0" fontId="8" fillId="0" borderId="0" xfId="44" applyFont="1" applyAlignment="1">
      <alignment vertical="center"/>
    </xf>
    <xf numFmtId="0" fontId="4" fillId="0" borderId="0" xfId="44" applyFont="1" applyAlignment="1">
      <alignment horizontal="left" vertical="center"/>
    </xf>
    <xf numFmtId="179" fontId="20" fillId="0" borderId="0" xfId="57">
      <protection locked="0"/>
    </xf>
    <xf numFmtId="179" fontId="5" fillId="0" borderId="0" xfId="51" applyFont="1">
      <alignment vertical="center"/>
    </xf>
    <xf numFmtId="179" fontId="69" fillId="0" borderId="0" xfId="58" applyFont="1">
      <alignment vertical="center"/>
    </xf>
    <xf numFmtId="179" fontId="16" fillId="9" borderId="1" xfId="57" applyFont="1" applyFill="1" applyBorder="1" applyAlignment="1" applyProtection="1">
      <alignment vertical="center"/>
    </xf>
    <xf numFmtId="179" fontId="16" fillId="9" borderId="1" xfId="57" applyFont="1" applyFill="1" applyBorder="1" applyAlignment="1" applyProtection="1">
      <alignment vertical="center" wrapText="1"/>
    </xf>
    <xf numFmtId="179" fontId="8" fillId="9" borderId="1" xfId="59" applyFont="1" applyFill="1" applyBorder="1" applyAlignment="1" applyProtection="1">
      <alignment horizontal="center" vertical="center" wrapText="1"/>
      <protection locked="0"/>
    </xf>
    <xf numFmtId="179" fontId="76" fillId="9" borderId="1" xfId="59" applyFont="1" applyFill="1" applyBorder="1" applyAlignment="1" applyProtection="1">
      <alignment horizontal="center" vertical="center" wrapText="1"/>
      <protection locked="0"/>
    </xf>
    <xf numFmtId="0" fontId="4" fillId="0" borderId="1" xfId="38" applyFont="1" applyFill="1" applyBorder="1" applyAlignment="1">
      <alignment horizontal="left" vertical="center" wrapText="1"/>
      <protection locked="0"/>
    </xf>
    <xf numFmtId="0" fontId="4" fillId="0" borderId="1" xfId="38" applyFont="1" applyFill="1" applyBorder="1" applyAlignment="1">
      <alignment horizontal="left" vertical="center" wrapText="1"/>
      <protection locked="0"/>
    </xf>
    <xf numFmtId="179" fontId="12" fillId="2" borderId="1" xfId="41" applyFont="1" applyFill="1" applyBorder="1" applyAlignment="1" applyProtection="1">
      <alignment horizontal="center" vertical="center"/>
      <protection locked="0"/>
    </xf>
    <xf numFmtId="0" fontId="12" fillId="0" borderId="0" xfId="52" applyFont="1" applyAlignment="1">
      <alignment horizontal="center" vertical="center"/>
    </xf>
    <xf numFmtId="0" fontId="58" fillId="0" borderId="0" xfId="52" applyFont="1">
      <alignment vertical="center"/>
    </xf>
    <xf numFmtId="0" fontId="16" fillId="9" borderId="1" xfId="52" applyFont="1" applyFill="1" applyBorder="1" applyAlignment="1">
      <alignment horizontal="center" vertical="center"/>
    </xf>
    <xf numFmtId="179" fontId="16" fillId="9" borderId="1" xfId="58" applyFont="1" applyFill="1" applyBorder="1" applyAlignment="1" applyProtection="1">
      <alignment horizontal="center" vertical="center"/>
      <protection locked="0"/>
    </xf>
    <xf numFmtId="0" fontId="16" fillId="0" borderId="1" xfId="52" applyFont="1" applyBorder="1" applyAlignment="1">
      <alignment horizontal="center" vertical="center"/>
    </xf>
    <xf numFmtId="0" fontId="12" fillId="0" borderId="1" xfId="52" applyFont="1" applyBorder="1" applyAlignment="1">
      <alignment horizontal="center" vertical="center"/>
    </xf>
    <xf numFmtId="0" fontId="63" fillId="0" borderId="1" xfId="52" applyFont="1" applyBorder="1">
      <alignment vertical="center"/>
    </xf>
    <xf numFmtId="177" fontId="12" fillId="8" borderId="1" xfId="2" applyFont="1" applyFill="1" applyBorder="1" applyAlignment="1">
      <alignment horizontal="center" vertical="center"/>
    </xf>
    <xf numFmtId="177" fontId="5" fillId="0" borderId="1" xfId="2" applyFont="1" applyBorder="1" applyAlignment="1">
      <alignment vertical="center"/>
    </xf>
    <xf numFmtId="177" fontId="5" fillId="0" borderId="1" xfId="2" applyFont="1" applyFill="1" applyBorder="1" applyAlignment="1">
      <alignment vertical="center"/>
    </xf>
    <xf numFmtId="177" fontId="5" fillId="8" borderId="1" xfId="2" applyFont="1" applyFill="1" applyBorder="1" applyAlignment="1">
      <alignment vertical="center"/>
    </xf>
    <xf numFmtId="0" fontId="63" fillId="0" borderId="0" xfId="52" applyFont="1" applyProtection="1">
      <alignment vertical="center"/>
      <protection locked="0"/>
    </xf>
    <xf numFmtId="0" fontId="16" fillId="9" borderId="1" xfId="52" applyFont="1" applyFill="1" applyBorder="1" applyAlignment="1">
      <alignment horizontal="center" vertical="center" wrapText="1"/>
    </xf>
    <xf numFmtId="0" fontId="16" fillId="8" borderId="1" xfId="52" applyFont="1" applyFill="1" applyBorder="1" applyAlignment="1">
      <alignment horizontal="center" vertical="center"/>
    </xf>
    <xf numFmtId="177" fontId="12" fillId="8" borderId="1" xfId="2" applyFont="1" applyFill="1" applyBorder="1" applyAlignment="1">
      <alignment horizontal="right" vertical="center"/>
    </xf>
    <xf numFmtId="177" fontId="6" fillId="8" borderId="1" xfId="2" applyFont="1" applyFill="1" applyBorder="1" applyAlignment="1">
      <alignment horizontal="right" vertical="center" wrapText="1"/>
    </xf>
    <xf numFmtId="10" fontId="6" fillId="8" borderId="1" xfId="4" applyNumberFormat="1" applyFont="1" applyFill="1" applyBorder="1" applyAlignment="1">
      <alignment horizontal="right" vertical="center" wrapText="1"/>
    </xf>
    <xf numFmtId="0" fontId="79" fillId="0" borderId="1" xfId="0" applyFont="1" applyFill="1" applyBorder="1" applyAlignment="1" applyProtection="1">
      <alignment vertical="center"/>
    </xf>
    <xf numFmtId="177" fontId="80" fillId="8" borderId="1" xfId="41" applyNumberFormat="1" applyFont="1" applyFill="1" applyBorder="1" applyAlignment="1" applyProtection="1">
      <alignment horizontal="right" vertical="center" shrinkToFit="1"/>
    </xf>
    <xf numFmtId="177" fontId="4" fillId="0" borderId="1" xfId="2" applyFont="1" applyBorder="1" applyAlignment="1">
      <alignment vertical="center"/>
    </xf>
    <xf numFmtId="0" fontId="4" fillId="0" borderId="1" xfId="52" applyFont="1" applyBorder="1" applyAlignment="1">
      <alignment horizontal="center" vertical="center"/>
    </xf>
    <xf numFmtId="177" fontId="4" fillId="0" borderId="1" xfId="2" applyFont="1" applyBorder="1" applyAlignment="1">
      <alignment horizontal="center" vertical="center"/>
    </xf>
    <xf numFmtId="9" fontId="5" fillId="0" borderId="1" xfId="4" applyFont="1" applyBorder="1">
      <alignment vertical="center"/>
    </xf>
    <xf numFmtId="0" fontId="4" fillId="5" borderId="0" xfId="0" applyFont="1" applyFill="1" applyBorder="1" applyAlignment="1">
      <alignment horizontal="justify" vertical="center" wrapText="1"/>
      <protection locked="0"/>
    </xf>
    <xf numFmtId="43" fontId="63" fillId="0" borderId="1" xfId="55" applyFont="1" applyBorder="1">
      <alignment vertical="center"/>
    </xf>
    <xf numFmtId="179" fontId="5" fillId="0" borderId="1" xfId="53" applyFont="1" applyFill="1" applyBorder="1" applyAlignment="1" applyProtection="1">
      <alignment vertical="center"/>
    </xf>
    <xf numFmtId="0" fontId="5" fillId="0" borderId="1" xfId="38" applyFont="1" applyBorder="1" applyAlignment="1" applyProtection="1">
      <alignment vertical="center"/>
    </xf>
    <xf numFmtId="177" fontId="5" fillId="0" borderId="1" xfId="2" applyFont="1" applyFill="1" applyBorder="1" applyAlignment="1" applyProtection="1">
      <alignment vertical="center"/>
    </xf>
    <xf numFmtId="179" fontId="5" fillId="0" borderId="1" xfId="53" applyFont="1" applyFill="1" applyBorder="1" applyAlignment="1" applyProtection="1">
      <alignment horizontal="center" vertical="center"/>
    </xf>
    <xf numFmtId="0" fontId="4" fillId="0" borderId="0" xfId="0" applyFont="1">
      <protection locked="0"/>
    </xf>
    <xf numFmtId="14" fontId="5" fillId="0" borderId="0" xfId="52" applyNumberFormat="1" applyFont="1" applyAlignment="1">
      <alignment horizontal="right" vertical="center"/>
    </xf>
    <xf numFmtId="0" fontId="10" fillId="0" borderId="0" xfId="0" applyFont="1" applyAlignment="1">
      <alignment vertical="center"/>
      <protection locked="0"/>
    </xf>
    <xf numFmtId="0" fontId="65" fillId="0" borderId="2" xfId="37" applyFont="1" applyFill="1" applyBorder="1" applyAlignment="1">
      <alignment horizontal="center" vertical="center" wrapText="1"/>
    </xf>
    <xf numFmtId="0" fontId="4" fillId="0" borderId="2" xfId="38" applyFont="1" applyFill="1" applyBorder="1" applyAlignment="1">
      <alignment horizontal="center" vertical="center" wrapText="1" shrinkToFit="1"/>
      <protection locked="0"/>
    </xf>
    <xf numFmtId="0" fontId="82" fillId="11" borderId="0" xfId="50" applyFont="1" applyFill="1" applyAlignment="1" applyProtection="1">
      <alignment horizontal="left" vertical="center" wrapText="1"/>
      <protection locked="0"/>
    </xf>
    <xf numFmtId="0" fontId="63" fillId="0" borderId="0" xfId="0" applyFont="1" applyAlignment="1" applyProtection="1">
      <alignment horizontal="left" vertical="center"/>
    </xf>
    <xf numFmtId="0" fontId="63" fillId="0" borderId="0" xfId="36" applyFont="1" applyBorder="1" applyAlignment="1">
      <alignment vertical="center"/>
      <protection locked="0"/>
    </xf>
    <xf numFmtId="0" fontId="74" fillId="0" borderId="0" xfId="52" applyFont="1" applyProtection="1">
      <alignment vertical="center"/>
      <protection locked="0"/>
    </xf>
    <xf numFmtId="0" fontId="74" fillId="0" borderId="0" xfId="52" applyFont="1">
      <alignment vertical="center"/>
    </xf>
    <xf numFmtId="0" fontId="75" fillId="0" borderId="0" xfId="52" applyFont="1">
      <alignment vertical="center"/>
    </xf>
    <xf numFmtId="0" fontId="4" fillId="0" borderId="0" xfId="36" applyFont="1" applyBorder="1" applyAlignment="1">
      <alignment horizontal="center" vertical="center"/>
      <protection locked="0"/>
    </xf>
    <xf numFmtId="0" fontId="4" fillId="0" borderId="0" xfId="36" applyFont="1" applyBorder="1" applyAlignment="1">
      <alignment vertical="center" wrapText="1"/>
      <protection locked="0"/>
    </xf>
    <xf numFmtId="0" fontId="10" fillId="0" borderId="0" xfId="36" applyFont="1" applyBorder="1" applyAlignment="1">
      <alignment vertical="center"/>
      <protection locked="0"/>
    </xf>
    <xf numFmtId="0" fontId="4" fillId="0" borderId="0" xfId="46" applyFont="1" applyAlignment="1">
      <alignment horizontal="center" vertical="center"/>
    </xf>
    <xf numFmtId="0" fontId="4" fillId="0" borderId="1" xfId="36" applyFont="1" applyFill="1" applyBorder="1" applyAlignment="1">
      <alignment horizontal="center" vertical="center" wrapText="1"/>
      <protection locked="0"/>
    </xf>
    <xf numFmtId="0" fontId="4" fillId="0" borderId="1" xfId="50" applyFont="1" applyFill="1" applyBorder="1" applyAlignment="1">
      <alignment horizontal="center" vertical="center" wrapText="1"/>
    </xf>
    <xf numFmtId="179" fontId="10" fillId="0" borderId="1" xfId="57" applyFont="1" applyBorder="1" applyAlignment="1">
      <alignment horizontal="left" vertical="center" wrapText="1"/>
      <protection locked="0"/>
    </xf>
    <xf numFmtId="0" fontId="66" fillId="0" borderId="1" xfId="52" applyFont="1" applyBorder="1">
      <alignment vertical="center"/>
    </xf>
    <xf numFmtId="43" fontId="4" fillId="0" borderId="0" xfId="45" applyNumberFormat="1" applyFont="1" applyBorder="1" applyAlignment="1">
      <alignment vertical="center"/>
    </xf>
    <xf numFmtId="43" fontId="4" fillId="0" borderId="0" xfId="45" applyNumberFormat="1" applyFont="1" applyBorder="1" applyAlignment="1">
      <alignment horizontal="left" vertical="center"/>
    </xf>
    <xf numFmtId="0" fontId="4" fillId="0" borderId="0" xfId="0" applyFont="1" applyAlignment="1">
      <alignment horizontal="right" vertical="center"/>
      <protection locked="0"/>
    </xf>
    <xf numFmtId="0" fontId="11" fillId="0" borderId="0" xfId="3" applyFont="1" applyAlignment="1">
      <alignment vertical="center"/>
      <protection locked="0"/>
    </xf>
    <xf numFmtId="0" fontId="10" fillId="0" borderId="0" xfId="0" applyFont="1" applyAlignment="1">
      <alignment horizontal="right" vertical="center"/>
      <protection locked="0"/>
    </xf>
    <xf numFmtId="0" fontId="4" fillId="0" borderId="0" xfId="0" applyFont="1" applyAlignment="1">
      <alignment horizontal="left" vertical="center" indent="2"/>
      <protection locked="0"/>
    </xf>
    <xf numFmtId="0" fontId="6" fillId="0" borderId="0" xfId="44" applyFont="1" applyAlignment="1">
      <alignment horizontal="left" vertical="center"/>
    </xf>
    <xf numFmtId="0" fontId="4" fillId="0" borderId="0" xfId="44" applyFont="1" applyAlignment="1" applyProtection="1">
      <alignment vertical="center"/>
      <protection locked="0"/>
    </xf>
    <xf numFmtId="0" fontId="10" fillId="0" borderId="0" xfId="36" applyFont="1" applyAlignment="1" applyProtection="1">
      <alignment vertical="center"/>
    </xf>
    <xf numFmtId="0" fontId="4" fillId="0" borderId="0" xfId="44" applyFont="1" applyAlignment="1">
      <alignment vertical="center"/>
    </xf>
    <xf numFmtId="0" fontId="11" fillId="0" borderId="0" xfId="44" applyFont="1" applyAlignment="1" applyProtection="1">
      <alignment horizontal="center" vertical="center"/>
      <protection hidden="1"/>
    </xf>
    <xf numFmtId="0" fontId="4" fillId="0" borderId="0" xfId="44" applyFont="1" applyAlignment="1" applyProtection="1">
      <alignment horizontal="left" vertical="center"/>
      <protection hidden="1"/>
    </xf>
    <xf numFmtId="0" fontId="11" fillId="0" borderId="0" xfId="44" applyFont="1" applyAlignment="1" applyProtection="1">
      <alignment horizontal="left" vertical="center"/>
      <protection locked="0"/>
    </xf>
    <xf numFmtId="0" fontId="63" fillId="0" borderId="0" xfId="0" applyFont="1" applyAlignment="1">
      <alignment horizontal="left" vertical="center"/>
      <protection locked="0"/>
    </xf>
    <xf numFmtId="0" fontId="10" fillId="0" borderId="0" xfId="0" applyFont="1">
      <protection locked="0"/>
    </xf>
    <xf numFmtId="0" fontId="89" fillId="0" borderId="0" xfId="0" applyFont="1" applyAlignment="1">
      <alignment horizontal="left"/>
      <protection locked="0"/>
    </xf>
    <xf numFmtId="0" fontId="10" fillId="0" borderId="0" xfId="0" applyFont="1" applyAlignment="1">
      <alignment horizontal="center"/>
      <protection locked="0"/>
    </xf>
    <xf numFmtId="0" fontId="10" fillId="0" borderId="1" xfId="0" applyFont="1" applyBorder="1">
      <protection locked="0"/>
    </xf>
    <xf numFmtId="43" fontId="4" fillId="0" borderId="1" xfId="62" applyFont="1" applyBorder="1" applyAlignment="1" applyProtection="1">
      <protection locked="0"/>
    </xf>
    <xf numFmtId="0" fontId="4" fillId="0" borderId="1" xfId="0" applyFont="1" applyBorder="1" applyAlignment="1">
      <alignment horizontal="center" vertical="center"/>
      <protection locked="0"/>
    </xf>
    <xf numFmtId="0" fontId="10" fillId="9" borderId="1" xfId="0" applyFont="1" applyFill="1" applyBorder="1">
      <protection locked="0"/>
    </xf>
    <xf numFmtId="43" fontId="4" fillId="9" borderId="1" xfId="62" applyFont="1" applyFill="1" applyBorder="1" applyAlignment="1" applyProtection="1">
      <protection locked="0"/>
    </xf>
    <xf numFmtId="0" fontId="6" fillId="0" borderId="0" xfId="0" applyFont="1" applyAlignment="1">
      <alignment vertical="center"/>
      <protection locked="0"/>
    </xf>
    <xf numFmtId="0" fontId="79" fillId="0" borderId="0" xfId="0" applyFont="1">
      <protection locked="0"/>
    </xf>
    <xf numFmtId="0" fontId="6" fillId="0" borderId="0" xfId="0" applyFont="1" applyAlignment="1">
      <alignment horizontal="left" vertical="center"/>
      <protection locked="0"/>
    </xf>
    <xf numFmtId="0" fontId="79" fillId="0" borderId="0" xfId="0" applyFont="1" applyAlignment="1">
      <alignment horizontal="left" vertical="center"/>
      <protection locked="0"/>
    </xf>
    <xf numFmtId="0" fontId="8" fillId="0" borderId="0" xfId="0" applyFont="1" applyAlignment="1">
      <alignment vertical="center"/>
      <protection locked="0"/>
    </xf>
    <xf numFmtId="0" fontId="91" fillId="0" borderId="0" xfId="0" applyFont="1" applyAlignment="1">
      <alignment vertical="center"/>
      <protection locked="0"/>
    </xf>
    <xf numFmtId="179" fontId="4" fillId="0" borderId="1" xfId="57" applyFont="1" applyBorder="1" applyAlignment="1">
      <alignment horizontal="center" vertical="center" wrapText="1"/>
      <protection locked="0"/>
    </xf>
    <xf numFmtId="0" fontId="20" fillId="0" borderId="0" xfId="0" applyFont="1" applyAlignment="1">
      <alignment horizontal="center"/>
      <protection locked="0"/>
    </xf>
    <xf numFmtId="0" fontId="0" fillId="0" borderId="0" xfId="0" applyAlignment="1">
      <alignment horizontal="center"/>
      <protection locked="0"/>
    </xf>
    <xf numFmtId="0" fontId="36" fillId="0" borderId="0" xfId="0" applyFont="1" applyAlignment="1">
      <alignment horizontal="center"/>
      <protection locked="0"/>
    </xf>
    <xf numFmtId="0" fontId="39" fillId="0" borderId="11" xfId="3" quotePrefix="1" applyFont="1" applyBorder="1" applyAlignment="1" applyProtection="1">
      <alignment vertical="center"/>
    </xf>
    <xf numFmtId="14" fontId="33" fillId="0" borderId="0" xfId="52" applyNumberFormat="1" applyFont="1" applyAlignment="1">
      <alignment horizontal="right" vertical="center"/>
    </xf>
    <xf numFmtId="179" fontId="63" fillId="0" borderId="1" xfId="57" applyFont="1" applyFill="1" applyBorder="1" applyAlignment="1">
      <alignment horizontal="center" vertical="center" wrapText="1"/>
      <protection locked="0"/>
    </xf>
    <xf numFmtId="0" fontId="12" fillId="8" borderId="1" xfId="0" applyFont="1" applyFill="1" applyBorder="1" applyAlignment="1" applyProtection="1">
      <alignment horizontal="center" vertical="center"/>
    </xf>
    <xf numFmtId="179" fontId="8" fillId="8" borderId="1" xfId="59" applyFont="1" applyFill="1" applyBorder="1" applyAlignment="1" applyProtection="1">
      <alignment horizontal="center" vertical="center" wrapText="1"/>
      <protection locked="0"/>
    </xf>
    <xf numFmtId="0" fontId="8" fillId="8" borderId="1" xfId="36" applyFont="1" applyFill="1" applyBorder="1" applyAlignment="1">
      <alignment horizontal="center" vertical="center"/>
      <protection locked="0"/>
    </xf>
    <xf numFmtId="0" fontId="8" fillId="8" borderId="1" xfId="36" applyFont="1" applyFill="1" applyBorder="1" applyAlignment="1">
      <alignment horizontal="center" vertical="center" wrapText="1"/>
      <protection locked="0"/>
    </xf>
    <xf numFmtId="0" fontId="6" fillId="8" borderId="1" xfId="0" applyFont="1" applyFill="1" applyBorder="1" applyAlignment="1">
      <alignment horizontal="center" vertical="center"/>
      <protection locked="0"/>
    </xf>
    <xf numFmtId="0" fontId="6" fillId="0" borderId="0" xfId="36" applyFont="1" applyBorder="1" applyAlignment="1">
      <alignment horizontal="left" vertical="center"/>
      <protection locked="0"/>
    </xf>
    <xf numFmtId="0" fontId="10" fillId="5" borderId="0" xfId="0" applyFont="1" applyFill="1" applyBorder="1" applyAlignment="1">
      <alignment horizontal="justify" vertical="center" wrapText="1"/>
      <protection locked="0"/>
    </xf>
    <xf numFmtId="0" fontId="32" fillId="0" borderId="0" xfId="0" applyFont="1" applyAlignment="1">
      <alignment horizontal="center" vertical="center"/>
      <protection locked="0"/>
    </xf>
    <xf numFmtId="49" fontId="8" fillId="0" borderId="0" xfId="38" applyNumberFormat="1" applyFont="1" applyBorder="1" applyAlignment="1">
      <alignment horizontal="left" vertical="center"/>
      <protection locked="0"/>
    </xf>
    <xf numFmtId="179" fontId="75" fillId="0" borderId="0" xfId="63" applyFont="1" applyFill="1" applyAlignment="1">
      <alignment horizontal="left" vertical="center"/>
    </xf>
    <xf numFmtId="0" fontId="71" fillId="9" borderId="0" xfId="52" applyFont="1" applyFill="1">
      <alignment vertical="center"/>
    </xf>
    <xf numFmtId="0" fontId="10" fillId="0" borderId="1" xfId="0" applyFont="1" applyBorder="1" applyAlignment="1">
      <alignment horizontal="center" vertical="center"/>
      <protection locked="0"/>
    </xf>
    <xf numFmtId="0" fontId="66" fillId="0" borderId="0" xfId="36" applyFont="1" applyAlignment="1">
      <alignment vertical="center"/>
      <protection locked="0"/>
    </xf>
    <xf numFmtId="43" fontId="4" fillId="0" borderId="1" xfId="61" applyFont="1" applyBorder="1" applyAlignment="1" applyProtection="1">
      <alignment horizontal="center" vertical="center"/>
      <protection locked="0"/>
    </xf>
    <xf numFmtId="10" fontId="4" fillId="0" borderId="1" xfId="4" applyNumberFormat="1" applyFont="1" applyBorder="1" applyAlignment="1" applyProtection="1">
      <alignment horizontal="center" vertical="center"/>
      <protection locked="0"/>
    </xf>
    <xf numFmtId="0" fontId="63" fillId="0" borderId="0" xfId="36" applyFont="1" applyAlignment="1">
      <alignment vertical="center"/>
      <protection locked="0"/>
    </xf>
    <xf numFmtId="0" fontId="10" fillId="0" borderId="0" xfId="0" applyFont="1" applyBorder="1" applyAlignment="1">
      <alignment horizontal="center" vertical="center"/>
      <protection locked="0"/>
    </xf>
    <xf numFmtId="43" fontId="4" fillId="0" borderId="0" xfId="61" applyFont="1" applyBorder="1" applyAlignment="1" applyProtection="1">
      <alignment horizontal="center" vertical="center"/>
      <protection locked="0"/>
    </xf>
    <xf numFmtId="10" fontId="4" fillId="0" borderId="0" xfId="4" applyNumberFormat="1" applyFont="1" applyBorder="1" applyAlignment="1" applyProtection="1">
      <alignment horizontal="center" vertical="center"/>
      <protection locked="0"/>
    </xf>
    <xf numFmtId="0" fontId="3" fillId="0" borderId="0" xfId="0" applyFont="1" applyAlignment="1">
      <alignment horizontal="left" vertical="center" wrapText="1"/>
      <protection locked="0"/>
    </xf>
    <xf numFmtId="0" fontId="7" fillId="0" borderId="0" xfId="0" applyFont="1" applyAlignment="1">
      <alignment horizontal="left" vertical="center" wrapText="1"/>
      <protection locked="0"/>
    </xf>
    <xf numFmtId="0" fontId="9" fillId="0" borderId="0" xfId="42" applyFont="1" applyAlignment="1">
      <alignment horizontal="center" vertical="center"/>
    </xf>
    <xf numFmtId="0" fontId="32" fillId="0" borderId="0" xfId="42" applyFont="1" applyAlignment="1">
      <alignment horizontal="center" vertical="center"/>
    </xf>
    <xf numFmtId="0" fontId="8" fillId="0" borderId="0" xfId="36" applyFont="1" applyAlignment="1">
      <alignment horizontal="left" vertical="center"/>
      <protection locked="0"/>
    </xf>
    <xf numFmtId="0" fontId="8" fillId="9" borderId="1" xfId="38" applyFont="1" applyFill="1" applyBorder="1" applyAlignment="1">
      <alignment horizontal="center" vertical="center" wrapText="1"/>
      <protection locked="0"/>
    </xf>
    <xf numFmtId="0" fontId="4" fillId="0" borderId="1" xfId="38" applyFont="1" applyFill="1" applyBorder="1" applyAlignment="1">
      <alignment horizontal="left" vertical="center" wrapText="1"/>
      <protection locked="0"/>
    </xf>
    <xf numFmtId="0" fontId="8" fillId="9" borderId="6" xfId="38" applyFont="1" applyFill="1" applyBorder="1" applyAlignment="1">
      <alignment horizontal="center" vertical="center" wrapText="1"/>
      <protection locked="0"/>
    </xf>
    <xf numFmtId="0" fontId="8" fillId="9" borderId="13" xfId="38" applyFont="1" applyFill="1" applyBorder="1" applyAlignment="1">
      <alignment horizontal="center" vertical="center" wrapText="1"/>
      <protection locked="0"/>
    </xf>
    <xf numFmtId="0" fontId="4" fillId="0" borderId="0" xfId="36" applyFont="1" applyBorder="1" applyAlignment="1">
      <alignment horizontal="center" vertical="center"/>
      <protection locked="0"/>
    </xf>
    <xf numFmtId="0" fontId="8" fillId="9" borderId="1" xfId="50" applyFont="1" applyFill="1" applyBorder="1" applyAlignment="1" applyProtection="1">
      <alignment horizontal="center" vertical="center"/>
      <protection locked="0"/>
    </xf>
    <xf numFmtId="0" fontId="6" fillId="9" borderId="1" xfId="50" applyFont="1" applyFill="1" applyBorder="1" applyAlignment="1" applyProtection="1">
      <alignment horizontal="center" vertical="center"/>
      <protection locked="0"/>
    </xf>
    <xf numFmtId="49" fontId="8" fillId="9" borderId="6" xfId="38" applyNumberFormat="1" applyFont="1" applyFill="1" applyBorder="1" applyAlignment="1">
      <alignment horizontal="center" vertical="center"/>
      <protection locked="0"/>
    </xf>
    <xf numFmtId="49" fontId="8" fillId="9" borderId="7" xfId="38" applyNumberFormat="1" applyFont="1" applyFill="1" applyBorder="1" applyAlignment="1">
      <alignment horizontal="center" vertical="center"/>
      <protection locked="0"/>
    </xf>
    <xf numFmtId="0" fontId="8" fillId="9" borderId="1" xfId="50" applyFont="1" applyFill="1" applyBorder="1" applyAlignment="1" applyProtection="1">
      <alignment horizontal="center" vertical="center" wrapText="1"/>
      <protection locked="0"/>
    </xf>
    <xf numFmtId="0" fontId="6" fillId="9" borderId="6" xfId="38" applyFont="1" applyFill="1" applyBorder="1" applyAlignment="1">
      <alignment horizontal="center" vertical="center" wrapText="1"/>
      <protection locked="0"/>
    </xf>
    <xf numFmtId="0" fontId="6" fillId="9" borderId="7" xfId="38" applyFont="1" applyFill="1" applyBorder="1" applyAlignment="1">
      <alignment horizontal="center" vertical="center" wrapText="1"/>
      <protection locked="0"/>
    </xf>
    <xf numFmtId="0" fontId="8" fillId="0" borderId="0" xfId="36" applyFont="1" applyBorder="1" applyAlignment="1">
      <alignment horizontal="left" vertical="center"/>
      <protection locked="0"/>
    </xf>
    <xf numFmtId="0" fontId="6" fillId="0" borderId="0" xfId="36" applyFont="1" applyBorder="1" applyAlignment="1">
      <alignment horizontal="left" vertical="center"/>
      <protection locked="0"/>
    </xf>
    <xf numFmtId="0" fontId="6" fillId="9" borderId="1" xfId="38" applyFont="1" applyFill="1" applyBorder="1" applyAlignment="1">
      <alignment horizontal="center" vertical="center" wrapText="1"/>
      <protection locked="0"/>
    </xf>
    <xf numFmtId="0" fontId="10" fillId="0" borderId="1" xfId="38" applyFont="1" applyBorder="1" applyAlignment="1">
      <alignment horizontal="center" vertical="center" wrapText="1"/>
      <protection locked="0"/>
    </xf>
    <xf numFmtId="10" fontId="28" fillId="0" borderId="0" xfId="4" applyNumberFormat="1" applyFont="1" applyBorder="1" applyAlignment="1">
      <alignment horizontal="left" vertical="center"/>
    </xf>
    <xf numFmtId="0" fontId="12" fillId="2" borderId="1" xfId="0" applyFont="1" applyFill="1" applyBorder="1" applyAlignment="1" applyProtection="1">
      <alignment horizontal="center" vertical="center"/>
    </xf>
    <xf numFmtId="0" fontId="12" fillId="2" borderId="1" xfId="0" applyFont="1" applyFill="1" applyBorder="1" applyAlignment="1" applyProtection="1">
      <alignment vertical="center"/>
    </xf>
    <xf numFmtId="0" fontId="16" fillId="2" borderId="1" xfId="0" applyFont="1" applyFill="1" applyBorder="1" applyAlignment="1" applyProtection="1">
      <alignment horizontal="center" vertical="center" wrapText="1"/>
    </xf>
    <xf numFmtId="0" fontId="5" fillId="2" borderId="1" xfId="0" applyFont="1" applyFill="1" applyBorder="1" applyAlignment="1" applyProtection="1">
      <alignment vertical="center" wrapText="1"/>
    </xf>
    <xf numFmtId="177" fontId="9" fillId="0" borderId="0" xfId="45" applyNumberFormat="1" applyFont="1" applyBorder="1" applyAlignment="1">
      <alignment horizontal="center" vertical="center"/>
    </xf>
    <xf numFmtId="177" fontId="32" fillId="0" borderId="0" xfId="45" applyNumberFormat="1" applyFont="1" applyBorder="1" applyAlignment="1">
      <alignment horizontal="center" vertical="center"/>
    </xf>
    <xf numFmtId="179" fontId="8" fillId="8" borderId="2" xfId="41" applyFont="1" applyFill="1" applyBorder="1" applyAlignment="1" applyProtection="1">
      <alignment horizontal="center" vertical="center" wrapText="1"/>
      <protection locked="0"/>
    </xf>
    <xf numFmtId="179" fontId="6" fillId="8" borderId="3" xfId="41" applyFont="1" applyFill="1" applyBorder="1" applyAlignment="1" applyProtection="1">
      <alignment horizontal="center" vertical="center" wrapText="1"/>
      <protection locked="0"/>
    </xf>
    <xf numFmtId="179" fontId="6" fillId="8" borderId="5" xfId="41" applyFont="1" applyFill="1" applyBorder="1" applyAlignment="1" applyProtection="1">
      <alignment horizontal="center" vertical="center" wrapText="1"/>
      <protection locked="0"/>
    </xf>
    <xf numFmtId="179" fontId="8" fillId="2" borderId="2" xfId="41" applyFont="1" applyFill="1" applyBorder="1" applyAlignment="1" applyProtection="1">
      <alignment horizontal="center" vertical="center" wrapText="1"/>
      <protection locked="0"/>
    </xf>
    <xf numFmtId="179" fontId="6" fillId="2" borderId="3" xfId="41" applyFont="1" applyFill="1" applyBorder="1" applyAlignment="1" applyProtection="1">
      <alignment horizontal="center" vertical="center" wrapText="1"/>
      <protection locked="0"/>
    </xf>
    <xf numFmtId="179" fontId="6" fillId="2" borderId="5" xfId="41" applyFont="1" applyFill="1" applyBorder="1" applyAlignment="1" applyProtection="1">
      <alignment horizontal="center" vertical="center" wrapText="1"/>
      <protection locked="0"/>
    </xf>
    <xf numFmtId="179" fontId="16" fillId="2" borderId="2" xfId="39" applyNumberFormat="1" applyFont="1" applyFill="1" applyBorder="1" applyAlignment="1" applyProtection="1">
      <alignment horizontal="center" vertical="center" wrapText="1"/>
      <protection locked="0"/>
    </xf>
    <xf numFmtId="179" fontId="16" fillId="2" borderId="5" xfId="39" applyNumberFormat="1" applyFont="1" applyFill="1" applyBorder="1" applyAlignment="1" applyProtection="1">
      <alignment horizontal="center" vertical="center" wrapText="1"/>
      <protection locked="0"/>
    </xf>
    <xf numFmtId="179" fontId="16" fillId="2" borderId="1" xfId="39" applyNumberFormat="1" applyFont="1" applyFill="1" applyBorder="1" applyAlignment="1" applyProtection="1">
      <alignment horizontal="center" vertical="center" wrapText="1"/>
      <protection locked="0"/>
    </xf>
    <xf numFmtId="179" fontId="8" fillId="2" borderId="1" xfId="39" applyFont="1" applyFill="1" applyBorder="1" applyAlignment="1" applyProtection="1">
      <alignment horizontal="center" vertical="center" wrapText="1"/>
      <protection locked="0"/>
    </xf>
    <xf numFmtId="0" fontId="9" fillId="0" borderId="0" xfId="43" applyFont="1" applyFill="1" applyAlignment="1">
      <alignment horizontal="center" vertical="center"/>
    </xf>
    <xf numFmtId="177" fontId="32" fillId="0" borderId="0" xfId="45" applyNumberFormat="1" applyFont="1" applyFill="1" applyBorder="1" applyAlignment="1">
      <alignment horizontal="center" vertical="center"/>
    </xf>
    <xf numFmtId="0" fontId="18" fillId="0" borderId="0" xfId="0" applyFont="1" applyAlignment="1">
      <alignment horizontal="left" vertical="center" wrapText="1"/>
      <protection locked="0"/>
    </xf>
    <xf numFmtId="0" fontId="14" fillId="2" borderId="6" xfId="0" applyFont="1" applyFill="1" applyBorder="1" applyAlignment="1" applyProtection="1">
      <alignment horizontal="center" vertical="center" wrapText="1"/>
    </xf>
    <xf numFmtId="0" fontId="14" fillId="2" borderId="7" xfId="0" applyFont="1" applyFill="1" applyBorder="1" applyAlignment="1" applyProtection="1">
      <alignment horizontal="center" vertical="center" wrapText="1"/>
    </xf>
    <xf numFmtId="179" fontId="6" fillId="2" borderId="6" xfId="41" applyFont="1" applyFill="1" applyBorder="1" applyAlignment="1" applyProtection="1">
      <alignment horizontal="center" vertical="center"/>
      <protection locked="0"/>
    </xf>
    <xf numFmtId="179" fontId="6" fillId="2" borderId="7" xfId="41" applyFont="1" applyFill="1" applyBorder="1" applyAlignment="1" applyProtection="1">
      <alignment horizontal="center" vertical="center"/>
      <protection locked="0"/>
    </xf>
    <xf numFmtId="0" fontId="15" fillId="2" borderId="2" xfId="0" applyFont="1" applyFill="1" applyBorder="1" applyAlignment="1" applyProtection="1">
      <alignment horizontal="center" vertical="center"/>
    </xf>
    <xf numFmtId="0" fontId="14" fillId="2" borderId="3" xfId="0" applyFont="1" applyFill="1" applyBorder="1" applyAlignment="1" applyProtection="1">
      <alignment horizontal="center" vertical="center"/>
    </xf>
    <xf numFmtId="0" fontId="14" fillId="2" borderId="5" xfId="0" applyFont="1" applyFill="1" applyBorder="1" applyAlignment="1" applyProtection="1">
      <alignment horizontal="center" vertical="center"/>
    </xf>
    <xf numFmtId="179" fontId="16" fillId="2" borderId="1" xfId="41" applyFont="1" applyFill="1" applyBorder="1" applyAlignment="1" applyProtection="1">
      <alignment horizontal="center" vertical="center"/>
      <protection locked="0"/>
    </xf>
    <xf numFmtId="179" fontId="12" fillId="2" borderId="1" xfId="41" applyFont="1" applyFill="1" applyBorder="1" applyAlignment="1" applyProtection="1">
      <alignment horizontal="center" vertical="center"/>
      <protection locked="0"/>
    </xf>
    <xf numFmtId="179" fontId="16" fillId="2" borderId="2" xfId="41" applyFont="1" applyFill="1" applyBorder="1" applyAlignment="1" applyProtection="1">
      <alignment horizontal="center" vertical="center"/>
      <protection locked="0"/>
    </xf>
    <xf numFmtId="179" fontId="16" fillId="2" borderId="3" xfId="41" applyFont="1" applyFill="1" applyBorder="1" applyAlignment="1" applyProtection="1">
      <alignment horizontal="center" vertical="center"/>
      <protection locked="0"/>
    </xf>
    <xf numFmtId="179" fontId="8" fillId="2" borderId="2" xfId="41" applyFont="1" applyFill="1" applyBorder="1" applyAlignment="1" applyProtection="1">
      <alignment horizontal="center" vertical="center"/>
      <protection locked="0"/>
    </xf>
    <xf numFmtId="179" fontId="6" fillId="2" borderId="3" xfId="41" applyFont="1" applyFill="1" applyBorder="1" applyAlignment="1" applyProtection="1">
      <alignment horizontal="center" vertical="center"/>
      <protection locked="0"/>
    </xf>
    <xf numFmtId="179" fontId="6" fillId="2" borderId="5" xfId="41" applyFont="1" applyFill="1" applyBorder="1" applyAlignment="1" applyProtection="1">
      <alignment horizontal="center" vertical="center"/>
      <protection locked="0"/>
    </xf>
    <xf numFmtId="177" fontId="84" fillId="0" borderId="0" xfId="56" applyNumberFormat="1" applyFont="1" applyBorder="1" applyAlignment="1">
      <alignment horizontal="center" vertical="center"/>
    </xf>
    <xf numFmtId="177" fontId="85" fillId="0" borderId="0" xfId="56" applyNumberFormat="1" applyFont="1" applyBorder="1" applyAlignment="1">
      <alignment horizontal="center" vertical="center"/>
    </xf>
    <xf numFmtId="179" fontId="60" fillId="0" borderId="0" xfId="57" applyFont="1" applyAlignment="1">
      <alignment horizontal="left" vertical="center" wrapText="1"/>
      <protection locked="0"/>
    </xf>
    <xf numFmtId="179" fontId="7" fillId="0" borderId="0" xfId="57" applyFont="1" applyAlignment="1">
      <alignment horizontal="left" vertical="center" wrapText="1"/>
      <protection locked="0"/>
    </xf>
    <xf numFmtId="0" fontId="86" fillId="0" borderId="0" xfId="52" applyFont="1" applyAlignment="1">
      <alignment horizontal="center" vertical="center"/>
    </xf>
    <xf numFmtId="0" fontId="87" fillId="0" borderId="0" xfId="52" applyFont="1" applyAlignment="1">
      <alignment horizontal="center" vertical="center"/>
    </xf>
    <xf numFmtId="0" fontId="16" fillId="9" borderId="1" xfId="52" applyFont="1" applyFill="1" applyBorder="1" applyAlignment="1">
      <alignment horizontal="center" vertical="center" wrapText="1"/>
    </xf>
    <xf numFmtId="0" fontId="12" fillId="9" borderId="1" xfId="52" applyFont="1" applyFill="1" applyBorder="1" applyAlignment="1">
      <alignment horizontal="center" vertical="center"/>
    </xf>
    <xf numFmtId="0" fontId="16" fillId="9" borderId="1" xfId="52" applyFont="1" applyFill="1" applyBorder="1" applyAlignment="1">
      <alignment horizontal="center" vertical="center"/>
    </xf>
    <xf numFmtId="179" fontId="16" fillId="9" borderId="1" xfId="58" applyFont="1" applyFill="1" applyBorder="1" applyAlignment="1" applyProtection="1">
      <alignment horizontal="center" vertical="center"/>
      <protection locked="0"/>
    </xf>
    <xf numFmtId="0" fontId="74" fillId="0" borderId="0" xfId="52" applyFont="1" applyAlignment="1">
      <alignment horizontal="left" vertical="center" wrapText="1"/>
    </xf>
    <xf numFmtId="0" fontId="16" fillId="9" borderId="2" xfId="52" applyFont="1" applyFill="1" applyBorder="1" applyAlignment="1">
      <alignment horizontal="center" vertical="center"/>
    </xf>
    <xf numFmtId="0" fontId="16" fillId="9" borderId="3" xfId="52" applyFont="1" applyFill="1" applyBorder="1" applyAlignment="1">
      <alignment horizontal="center" vertical="center"/>
    </xf>
    <xf numFmtId="0" fontId="16" fillId="9" borderId="5" xfId="52" applyFont="1" applyFill="1" applyBorder="1" applyAlignment="1">
      <alignment horizontal="center" vertical="center"/>
    </xf>
    <xf numFmtId="0" fontId="5" fillId="0" borderId="2" xfId="52" applyFont="1" applyFill="1" applyBorder="1" applyAlignment="1">
      <alignment horizontal="left" vertical="center"/>
    </xf>
    <xf numFmtId="0" fontId="5" fillId="0" borderId="5" xfId="52" applyFont="1" applyFill="1" applyBorder="1" applyAlignment="1">
      <alignment horizontal="left" vertical="center"/>
    </xf>
    <xf numFmtId="0" fontId="88" fillId="0" borderId="0" xfId="52" applyFont="1" applyAlignment="1">
      <alignment horizontal="center" vertical="center"/>
    </xf>
    <xf numFmtId="0" fontId="9" fillId="0" borderId="0" xfId="0" applyFont="1" applyAlignment="1">
      <alignment horizontal="center" vertical="center"/>
      <protection locked="0"/>
    </xf>
    <xf numFmtId="0" fontId="32" fillId="0" borderId="0" xfId="0" applyFont="1" applyAlignment="1">
      <alignment horizontal="center" vertical="center"/>
      <protection locked="0"/>
    </xf>
    <xf numFmtId="179" fontId="8" fillId="8" borderId="6" xfId="57" applyFont="1" applyFill="1" applyBorder="1" applyAlignment="1">
      <alignment horizontal="center" vertical="center"/>
      <protection locked="0"/>
    </xf>
    <xf numFmtId="179" fontId="8" fillId="8" borderId="7" xfId="57" applyFont="1" applyFill="1" applyBorder="1" applyAlignment="1">
      <alignment horizontal="center" vertical="center"/>
      <protection locked="0"/>
    </xf>
    <xf numFmtId="0" fontId="8" fillId="9" borderId="2" xfId="0" applyFont="1" applyFill="1" applyBorder="1" applyAlignment="1">
      <alignment horizontal="center" vertical="center"/>
      <protection locked="0"/>
    </xf>
    <xf numFmtId="0" fontId="8" fillId="9" borderId="3" xfId="0" applyFont="1" applyFill="1" applyBorder="1" applyAlignment="1">
      <alignment horizontal="center" vertical="center"/>
      <protection locked="0"/>
    </xf>
    <xf numFmtId="0" fontId="8" fillId="9" borderId="5" xfId="0" applyFont="1" applyFill="1" applyBorder="1" applyAlignment="1">
      <alignment horizontal="center" vertical="center"/>
      <protection locked="0"/>
    </xf>
    <xf numFmtId="0" fontId="92" fillId="0" borderId="0" xfId="0" applyFont="1" applyAlignment="1">
      <alignment horizontal="left" vertical="center" wrapText="1"/>
      <protection locked="0"/>
    </xf>
    <xf numFmtId="0" fontId="8" fillId="8" borderId="1" xfId="36" applyFont="1" applyFill="1" applyBorder="1" applyAlignment="1">
      <alignment horizontal="center" vertical="center"/>
      <protection locked="0"/>
    </xf>
    <xf numFmtId="0" fontId="8" fillId="8" borderId="1" xfId="60" applyFont="1" applyFill="1" applyBorder="1" applyAlignment="1">
      <alignment horizontal="center" vertical="center" wrapText="1"/>
      <protection locked="0"/>
    </xf>
    <xf numFmtId="0" fontId="6" fillId="8" borderId="1" xfId="60" applyFont="1" applyFill="1" applyBorder="1" applyAlignment="1">
      <alignment horizontal="center" vertical="center" wrapText="1"/>
      <protection locked="0"/>
    </xf>
    <xf numFmtId="0" fontId="6" fillId="8" borderId="2" xfId="0" applyFont="1" applyFill="1" applyBorder="1" applyAlignment="1">
      <alignment horizontal="center" vertical="center"/>
      <protection locked="0"/>
    </xf>
    <xf numFmtId="0" fontId="6" fillId="8" borderId="3" xfId="0" applyFont="1" applyFill="1" applyBorder="1" applyAlignment="1">
      <alignment horizontal="center" vertical="center"/>
      <protection locked="0"/>
    </xf>
    <xf numFmtId="0" fontId="8" fillId="12" borderId="1" xfId="36" applyFont="1" applyFill="1" applyBorder="1" applyAlignment="1" applyProtection="1">
      <alignment horizontal="center" vertical="center" wrapText="1"/>
    </xf>
    <xf numFmtId="0" fontId="8" fillId="12" borderId="6" xfId="36" applyFont="1" applyFill="1" applyBorder="1" applyAlignment="1" applyProtection="1">
      <alignment horizontal="center" vertical="center" wrapText="1"/>
    </xf>
    <xf numFmtId="0" fontId="8" fillId="12" borderId="7" xfId="36" applyFont="1" applyFill="1" applyBorder="1" applyAlignment="1" applyProtection="1">
      <alignment horizontal="center" vertical="center" wrapText="1"/>
    </xf>
    <xf numFmtId="0" fontId="8" fillId="8" borderId="1" xfId="60" applyFont="1" applyFill="1" applyBorder="1" applyAlignment="1">
      <alignment horizontal="center" vertical="center"/>
      <protection locked="0"/>
    </xf>
    <xf numFmtId="0" fontId="6" fillId="8" borderId="1" xfId="60" applyFont="1" applyFill="1" applyBorder="1" applyAlignment="1">
      <alignment horizontal="center" vertical="center"/>
      <protection locked="0"/>
    </xf>
  </cellXfs>
  <cellStyles count="64">
    <cellStyle name="@_text" xfId="6"/>
    <cellStyle name="{Comma [0]}" xfId="10"/>
    <cellStyle name="{Comma}" xfId="12"/>
    <cellStyle name="{Date}" xfId="7"/>
    <cellStyle name="{Month}" xfId="18"/>
    <cellStyle name="{Percent}" xfId="20"/>
    <cellStyle name="{Thousand [0]}" xfId="19"/>
    <cellStyle name="{Thousand}" xfId="16"/>
    <cellStyle name="{Z'0000(1 dec)}" xfId="5"/>
    <cellStyle name="{Z'0000(4 dec)}" xfId="15"/>
    <cellStyle name="Black" xfId="11"/>
    <cellStyle name="Border" xfId="21"/>
    <cellStyle name="Comma [0]_1995" xfId="9"/>
    <cellStyle name="Comma_1995" xfId="8"/>
    <cellStyle name="Currency [0]_1995" xfId="14"/>
    <cellStyle name="Currency_1995" xfId="22"/>
    <cellStyle name="Dezimal [0]_laroux" xfId="23"/>
    <cellStyle name="Dezimal_laroux" xfId="24"/>
    <cellStyle name="Euro" xfId="25"/>
    <cellStyle name="Followed Hyperlink_AheadBehind.xls Chart 23" xfId="26"/>
    <cellStyle name="Grey" xfId="27"/>
    <cellStyle name="Hyperlink_AheadBehind.xls Chart 23" xfId="17"/>
    <cellStyle name="Input [yellow]" xfId="28"/>
    <cellStyle name="Milliers [0]_laroux" xfId="29"/>
    <cellStyle name="Milliers_laroux" xfId="30"/>
    <cellStyle name="Non défini" xfId="31"/>
    <cellStyle name="Normal - Style1" xfId="32"/>
    <cellStyle name="Normal_22-Jun EUS Forecasts" xfId="33"/>
    <cellStyle name="Percent [2]" xfId="34"/>
    <cellStyle name="Red" xfId="35"/>
    <cellStyle name="百分比" xfId="4" builtinId="5"/>
    <cellStyle name="常规" xfId="0" builtinId="0"/>
    <cellStyle name="常规 11 5" xfId="63"/>
    <cellStyle name="常规 2" xfId="36"/>
    <cellStyle name="常规 2 2" xfId="53"/>
    <cellStyle name="常规 2 2 2" xfId="60"/>
    <cellStyle name="常规 2 3" xfId="37"/>
    <cellStyle name="常规 2 8" xfId="38"/>
    <cellStyle name="常规 2 8 2" xfId="57"/>
    <cellStyle name="常规 3" xfId="39"/>
    <cellStyle name="常规 3 2" xfId="40"/>
    <cellStyle name="常规 4" xfId="41"/>
    <cellStyle name="常规 4 2" xfId="59"/>
    <cellStyle name="常规 4 3" xfId="58"/>
    <cellStyle name="常规 5" xfId="52"/>
    <cellStyle name="常规 7" xfId="50"/>
    <cellStyle name="常规 7 2" xfId="51"/>
    <cellStyle name="常规_Book1" xfId="42"/>
    <cellStyle name="常规_c-资产类" xfId="43"/>
    <cellStyle name="常规_进一步审计程序--销售与收款循环" xfId="44"/>
    <cellStyle name="常规_新审定表" xfId="45"/>
    <cellStyle name="常规_新审定表 2" xfId="56"/>
    <cellStyle name="常规_制造费用" xfId="46"/>
    <cellStyle name="常规_制造费用 2" xfId="54"/>
    <cellStyle name="超链接" xfId="3" builtinId="8"/>
    <cellStyle name="普通_ 外G9(3)" xfId="47"/>
    <cellStyle name="千分位[0]_宁波" xfId="1"/>
    <cellStyle name="千分位_宁波" xfId="48"/>
    <cellStyle name="千位[0]_laroux" xfId="13"/>
    <cellStyle name="千位_laroux" xfId="49"/>
    <cellStyle name="千位分隔" xfId="2" builtinId="3"/>
    <cellStyle name="千位分隔 2" xfId="55"/>
    <cellStyle name="千位分隔 3" xfId="62"/>
    <cellStyle name="千位分隔 6" xfId="61"/>
  </cellStyles>
  <dxfs count="0"/>
  <tableStyles count="0" defaultTableStyle="TableStyleMedium9" defaultPivotStyle="PivotStyleLight16"/>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0</xdr:col>
          <xdr:colOff>914400</xdr:colOff>
          <xdr:row>33</xdr:row>
          <xdr:rowOff>160020</xdr:rowOff>
        </xdr:to>
        <xdr:sp macro="" textlink="">
          <xdr:nvSpPr>
            <xdr:cNvPr id="5122" name="Object 2" hidden="1">
              <a:extLst>
                <a:ext uri="{63B3BB69-23CF-44E3-9099-C40C66FF867C}">
                  <a14:compatExt spid="_x0000_s5122"/>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Microsoft_Word_97_-_2003___.doc"/></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88" customWidth="1"/>
    <col min="2" max="2" width="2" style="88" customWidth="1"/>
    <col min="3" max="3" width="2.09765625" style="88" customWidth="1"/>
    <col min="4" max="4" width="6.09765625" style="88" customWidth="1"/>
    <col min="5" max="5" width="25.59765625" style="88" customWidth="1"/>
    <col min="6" max="6" width="8" style="253" customWidth="1"/>
  </cols>
  <sheetData>
    <row r="1" spans="1:8" s="87" customFormat="1" ht="20.100000000000001" customHeight="1">
      <c r="A1" s="89" t="s">
        <v>0</v>
      </c>
      <c r="B1" s="90"/>
      <c r="C1" s="90"/>
      <c r="D1" s="91"/>
      <c r="E1" s="91"/>
      <c r="F1" s="93"/>
    </row>
    <row r="2" spans="1:8" ht="20.100000000000001" customHeight="1">
      <c r="A2" s="197" t="s">
        <v>288</v>
      </c>
      <c r="B2" s="92"/>
      <c r="C2" s="92"/>
      <c r="D2" s="93"/>
      <c r="E2" s="94"/>
      <c r="F2" s="93"/>
      <c r="G2" s="95"/>
      <c r="H2" s="95"/>
    </row>
    <row r="3" spans="1:8" ht="20.100000000000001" customHeight="1">
      <c r="A3" s="197" t="s">
        <v>299</v>
      </c>
      <c r="B3" s="92"/>
      <c r="C3" s="92"/>
      <c r="D3" s="96" t="s">
        <v>1</v>
      </c>
      <c r="E3" s="96" t="s">
        <v>2</v>
      </c>
      <c r="F3" s="96" t="s">
        <v>3</v>
      </c>
      <c r="G3" s="96" t="s">
        <v>4</v>
      </c>
      <c r="H3" s="97"/>
    </row>
    <row r="4" spans="1:8" ht="20.100000000000001" customHeight="1">
      <c r="A4" s="263" t="s">
        <v>289</v>
      </c>
      <c r="B4" s="98"/>
      <c r="C4" s="98"/>
      <c r="D4" s="102">
        <v>1</v>
      </c>
      <c r="E4" s="107" t="s">
        <v>219</v>
      </c>
      <c r="F4" s="102" t="s">
        <v>84</v>
      </c>
      <c r="G4" s="100"/>
      <c r="H4" s="101"/>
    </row>
    <row r="5" spans="1:8" ht="20.100000000000001" customHeight="1">
      <c r="A5" s="263" t="s">
        <v>290</v>
      </c>
      <c r="D5" s="102">
        <v>2</v>
      </c>
      <c r="E5" s="107" t="s">
        <v>86</v>
      </c>
      <c r="F5" s="102" t="s">
        <v>214</v>
      </c>
      <c r="G5" s="103"/>
      <c r="H5" s="104"/>
    </row>
    <row r="6" spans="1:8" ht="20.100000000000001" customHeight="1">
      <c r="A6" s="263" t="s">
        <v>291</v>
      </c>
      <c r="D6" s="102">
        <v>3</v>
      </c>
      <c r="E6" s="108" t="s">
        <v>87</v>
      </c>
      <c r="F6" s="102"/>
      <c r="G6" s="99"/>
      <c r="H6" s="205" t="s">
        <v>220</v>
      </c>
    </row>
    <row r="7" spans="1:8" ht="20.100000000000001" customHeight="1">
      <c r="A7" s="263" t="s">
        <v>292</v>
      </c>
      <c r="D7" s="102">
        <v>4</v>
      </c>
      <c r="E7" s="108" t="s">
        <v>88</v>
      </c>
      <c r="F7" s="102"/>
      <c r="G7" s="99"/>
      <c r="H7" s="205" t="s">
        <v>220</v>
      </c>
    </row>
    <row r="8" spans="1:8" ht="20.100000000000001" customHeight="1">
      <c r="D8" s="102">
        <v>5</v>
      </c>
      <c r="E8" s="108" t="s">
        <v>89</v>
      </c>
      <c r="F8" s="102" t="s">
        <v>85</v>
      </c>
      <c r="G8" s="99"/>
    </row>
    <row r="9" spans="1:8" ht="20.100000000000001" customHeight="1">
      <c r="A9" s="264" t="s">
        <v>295</v>
      </c>
      <c r="D9" s="102">
        <v>6</v>
      </c>
      <c r="E9" s="108" t="s">
        <v>163</v>
      </c>
      <c r="F9" s="102" t="s">
        <v>216</v>
      </c>
      <c r="G9" s="99"/>
    </row>
    <row r="10" spans="1:8" ht="20.100000000000001" customHeight="1">
      <c r="A10" s="276" t="s">
        <v>296</v>
      </c>
      <c r="D10" s="102">
        <v>7</v>
      </c>
      <c r="E10" s="254" t="s">
        <v>280</v>
      </c>
      <c r="F10" s="102" t="s">
        <v>141</v>
      </c>
      <c r="G10" s="99"/>
    </row>
    <row r="11" spans="1:8" ht="20.100000000000001" customHeight="1">
      <c r="A11" s="276"/>
      <c r="D11" s="102">
        <v>8</v>
      </c>
      <c r="E11" s="108" t="s">
        <v>142</v>
      </c>
      <c r="F11" s="102" t="s">
        <v>217</v>
      </c>
      <c r="G11" s="99"/>
    </row>
    <row r="12" spans="1:8" ht="20.100000000000001" customHeight="1">
      <c r="A12" s="276"/>
      <c r="D12" s="102">
        <v>9</v>
      </c>
      <c r="E12" s="254" t="s">
        <v>281</v>
      </c>
      <c r="F12" s="102" t="s">
        <v>218</v>
      </c>
      <c r="G12" s="99"/>
    </row>
    <row r="13" spans="1:8" ht="20.100000000000001" customHeight="1">
      <c r="A13" s="276"/>
      <c r="E13" s="203"/>
      <c r="F13" s="251"/>
    </row>
    <row r="14" spans="1:8" ht="20.100000000000001" customHeight="1">
      <c r="A14" s="276" t="s">
        <v>297</v>
      </c>
      <c r="E14" s="203"/>
      <c r="F14" s="251"/>
    </row>
    <row r="15" spans="1:8" ht="20.100000000000001" customHeight="1">
      <c r="A15" s="276"/>
      <c r="E15" s="203"/>
      <c r="F15" s="251"/>
    </row>
    <row r="16" spans="1:8" ht="20.100000000000001" customHeight="1">
      <c r="A16" s="276"/>
      <c r="E16" s="203"/>
      <c r="F16" s="251"/>
    </row>
    <row r="17" spans="1:6" ht="20.25" customHeight="1">
      <c r="A17" s="277" t="s">
        <v>298</v>
      </c>
      <c r="E17" s="203"/>
      <c r="F17" s="251"/>
    </row>
    <row r="18" spans="1:6" ht="15.6">
      <c r="A18" s="277"/>
      <c r="F18" s="252"/>
    </row>
    <row r="19" spans="1:6" ht="20.100000000000001" customHeight="1">
      <c r="A19" s="277"/>
    </row>
  </sheetData>
  <mergeCells count="3">
    <mergeCell ref="A10:A13"/>
    <mergeCell ref="A14:A16"/>
    <mergeCell ref="A17:A19"/>
  </mergeCells>
  <phoneticPr fontId="62" type="noConversion"/>
  <hyperlinks>
    <hyperlink ref="E5" location="'审定表K2-1'!Print_Area" display="审定表"/>
    <hyperlink ref="E6" location="'附注披露信息（国企）'!A1" display="附注披露信息（国企）"/>
    <hyperlink ref="E7" location="'附注披露信息（上市公司）'!Print_Area" display="附注披露信息（上市公司）"/>
    <hyperlink ref="E8" location="'明细表K2-2'!Print_Area" display="明细表"/>
    <hyperlink ref="E11" location="'摊销测算表K2-5'!A1" display="摊销测算表"/>
    <hyperlink ref="E4" location="'实质性程序表 K2A'!Print_Area" display="实质性程序表"/>
    <hyperlink ref="E12" location="'其他流动资产检查表表K2-6'!A1" display="其他流动资产检查表"/>
    <hyperlink ref="E9" location="'调整分录汇总K2-3'!Print_Area" display="调整分录汇总"/>
    <hyperlink ref="E10" location="'合同取得成本明细表K2-4'!A1" display="合同取得成本明细表"/>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WVF205"/>
  <sheetViews>
    <sheetView view="pageBreakPreview" zoomScaleNormal="115" zoomScaleSheetLayoutView="100" workbookViewId="0">
      <selection sqref="A1:I1"/>
    </sheetView>
  </sheetViews>
  <sheetFormatPr defaultColWidth="9" defaultRowHeight="13.8"/>
  <cols>
    <col min="1" max="1" width="4.59765625" style="83" customWidth="1"/>
    <col min="2" max="2" width="62.5" style="84" customWidth="1"/>
    <col min="3" max="3" width="9.59765625" style="85" customWidth="1"/>
    <col min="4" max="4" width="5.296875" style="85" customWidth="1"/>
    <col min="5" max="5" width="5.796875" style="85" customWidth="1"/>
    <col min="6" max="6" width="6.69921875" style="85" customWidth="1"/>
    <col min="7" max="7" width="7.69921875" style="85" customWidth="1"/>
    <col min="8" max="8" width="5.296875" style="85" customWidth="1"/>
    <col min="9" max="9" width="7.296875" style="217" customWidth="1"/>
    <col min="10" max="10" width="67.796875" style="85" customWidth="1"/>
    <col min="11" max="251" width="9" style="85"/>
    <col min="252" max="252" width="8.5" style="85" customWidth="1"/>
    <col min="253" max="253" width="93.69921875" style="85" customWidth="1"/>
    <col min="254" max="254" width="9" style="85" hidden="1" customWidth="1"/>
    <col min="255" max="255" width="11.69921875" style="85" customWidth="1"/>
    <col min="256" max="256" width="13.5" style="85" customWidth="1"/>
    <col min="257" max="257" width="6" style="85" customWidth="1"/>
    <col min="258" max="258" width="5.59765625" style="85" customWidth="1"/>
    <col min="259" max="259" width="4.59765625" style="85" customWidth="1"/>
    <col min="260" max="260" width="5.5" style="85" customWidth="1"/>
    <col min="261" max="261" width="14" style="85" customWidth="1"/>
    <col min="262" max="262" width="10.59765625" style="85" customWidth="1"/>
    <col min="263" max="263" width="31.59765625" style="85" customWidth="1"/>
    <col min="264" max="507" width="9" style="85"/>
    <col min="508" max="508" width="8.5" style="85" customWidth="1"/>
    <col min="509" max="509" width="93.69921875" style="85" customWidth="1"/>
    <col min="510" max="510" width="9" style="85" hidden="1" customWidth="1"/>
    <col min="511" max="511" width="11.69921875" style="85" customWidth="1"/>
    <col min="512" max="512" width="13.5" style="85" customWidth="1"/>
    <col min="513" max="513" width="6" style="85" customWidth="1"/>
    <col min="514" max="514" width="5.59765625" style="85" customWidth="1"/>
    <col min="515" max="515" width="4.59765625" style="85" customWidth="1"/>
    <col min="516" max="516" width="5.5" style="85" customWidth="1"/>
    <col min="517" max="517" width="14" style="85" customWidth="1"/>
    <col min="518" max="518" width="10.59765625" style="85" customWidth="1"/>
    <col min="519" max="519" width="31.59765625" style="85" customWidth="1"/>
    <col min="520" max="763" width="9" style="85"/>
    <col min="764" max="764" width="8.5" style="85" customWidth="1"/>
    <col min="765" max="765" width="93.69921875" style="85" customWidth="1"/>
    <col min="766" max="766" width="9" style="85" hidden="1" customWidth="1"/>
    <col min="767" max="767" width="11.69921875" style="85" customWidth="1"/>
    <col min="768" max="768" width="13.5" style="85" customWidth="1"/>
    <col min="769" max="769" width="6" style="85" customWidth="1"/>
    <col min="770" max="770" width="5.59765625" style="85" customWidth="1"/>
    <col min="771" max="771" width="4.59765625" style="85" customWidth="1"/>
    <col min="772" max="772" width="5.5" style="85" customWidth="1"/>
    <col min="773" max="773" width="14" style="85" customWidth="1"/>
    <col min="774" max="774" width="10.59765625" style="85" customWidth="1"/>
    <col min="775" max="775" width="31.59765625" style="85" customWidth="1"/>
    <col min="776" max="1019" width="9" style="85"/>
    <col min="1020" max="1020" width="8.5" style="85" customWidth="1"/>
    <col min="1021" max="1021" width="93.69921875" style="85" customWidth="1"/>
    <col min="1022" max="1022" width="9" style="85" hidden="1" customWidth="1"/>
    <col min="1023" max="1023" width="11.69921875" style="85" customWidth="1"/>
    <col min="1024" max="1024" width="13.5" style="85" customWidth="1"/>
    <col min="1025" max="1025" width="6" style="85" customWidth="1"/>
    <col min="1026" max="1026" width="5.59765625" style="85" customWidth="1"/>
    <col min="1027" max="1027" width="4.59765625" style="85" customWidth="1"/>
    <col min="1028" max="1028" width="5.5" style="85" customWidth="1"/>
    <col min="1029" max="1029" width="14" style="85" customWidth="1"/>
    <col min="1030" max="1030" width="10.59765625" style="85" customWidth="1"/>
    <col min="1031" max="1031" width="31.59765625" style="85" customWidth="1"/>
    <col min="1032" max="1275" width="9" style="85"/>
    <col min="1276" max="1276" width="8.5" style="85" customWidth="1"/>
    <col min="1277" max="1277" width="93.69921875" style="85" customWidth="1"/>
    <col min="1278" max="1278" width="9" style="85" hidden="1" customWidth="1"/>
    <col min="1279" max="1279" width="11.69921875" style="85" customWidth="1"/>
    <col min="1280" max="1280" width="13.5" style="85" customWidth="1"/>
    <col min="1281" max="1281" width="6" style="85" customWidth="1"/>
    <col min="1282" max="1282" width="5.59765625" style="85" customWidth="1"/>
    <col min="1283" max="1283" width="4.59765625" style="85" customWidth="1"/>
    <col min="1284" max="1284" width="5.5" style="85" customWidth="1"/>
    <col min="1285" max="1285" width="14" style="85" customWidth="1"/>
    <col min="1286" max="1286" width="10.59765625" style="85" customWidth="1"/>
    <col min="1287" max="1287" width="31.59765625" style="85" customWidth="1"/>
    <col min="1288" max="1531" width="9" style="85"/>
    <col min="1532" max="1532" width="8.5" style="85" customWidth="1"/>
    <col min="1533" max="1533" width="93.69921875" style="85" customWidth="1"/>
    <col min="1534" max="1534" width="9" style="85" hidden="1" customWidth="1"/>
    <col min="1535" max="1535" width="11.69921875" style="85" customWidth="1"/>
    <col min="1536" max="1536" width="13.5" style="85" customWidth="1"/>
    <col min="1537" max="1537" width="6" style="85" customWidth="1"/>
    <col min="1538" max="1538" width="5.59765625" style="85" customWidth="1"/>
    <col min="1539" max="1539" width="4.59765625" style="85" customWidth="1"/>
    <col min="1540" max="1540" width="5.5" style="85" customWidth="1"/>
    <col min="1541" max="1541" width="14" style="85" customWidth="1"/>
    <col min="1542" max="1542" width="10.59765625" style="85" customWidth="1"/>
    <col min="1543" max="1543" width="31.59765625" style="85" customWidth="1"/>
    <col min="1544" max="1787" width="9" style="85"/>
    <col min="1788" max="1788" width="8.5" style="85" customWidth="1"/>
    <col min="1789" max="1789" width="93.69921875" style="85" customWidth="1"/>
    <col min="1790" max="1790" width="9" style="85" hidden="1" customWidth="1"/>
    <col min="1791" max="1791" width="11.69921875" style="85" customWidth="1"/>
    <col min="1792" max="1792" width="13.5" style="85" customWidth="1"/>
    <col min="1793" max="1793" width="6" style="85" customWidth="1"/>
    <col min="1794" max="1794" width="5.59765625" style="85" customWidth="1"/>
    <col min="1795" max="1795" width="4.59765625" style="85" customWidth="1"/>
    <col min="1796" max="1796" width="5.5" style="85" customWidth="1"/>
    <col min="1797" max="1797" width="14" style="85" customWidth="1"/>
    <col min="1798" max="1798" width="10.59765625" style="85" customWidth="1"/>
    <col min="1799" max="1799" width="31.59765625" style="85" customWidth="1"/>
    <col min="1800" max="2043" width="9" style="85"/>
    <col min="2044" max="2044" width="8.5" style="85" customWidth="1"/>
    <col min="2045" max="2045" width="93.69921875" style="85" customWidth="1"/>
    <col min="2046" max="2046" width="9" style="85" hidden="1" customWidth="1"/>
    <col min="2047" max="2047" width="11.69921875" style="85" customWidth="1"/>
    <col min="2048" max="2048" width="13.5" style="85" customWidth="1"/>
    <col min="2049" max="2049" width="6" style="85" customWidth="1"/>
    <col min="2050" max="2050" width="5.59765625" style="85" customWidth="1"/>
    <col min="2051" max="2051" width="4.59765625" style="85" customWidth="1"/>
    <col min="2052" max="2052" width="5.5" style="85" customWidth="1"/>
    <col min="2053" max="2053" width="14" style="85" customWidth="1"/>
    <col min="2054" max="2054" width="10.59765625" style="85" customWidth="1"/>
    <col min="2055" max="2055" width="31.59765625" style="85" customWidth="1"/>
    <col min="2056" max="2299" width="9" style="85"/>
    <col min="2300" max="2300" width="8.5" style="85" customWidth="1"/>
    <col min="2301" max="2301" width="93.69921875" style="85" customWidth="1"/>
    <col min="2302" max="2302" width="9" style="85" hidden="1" customWidth="1"/>
    <col min="2303" max="2303" width="11.69921875" style="85" customWidth="1"/>
    <col min="2304" max="2304" width="13.5" style="85" customWidth="1"/>
    <col min="2305" max="2305" width="6" style="85" customWidth="1"/>
    <col min="2306" max="2306" width="5.59765625" style="85" customWidth="1"/>
    <col min="2307" max="2307" width="4.59765625" style="85" customWidth="1"/>
    <col min="2308" max="2308" width="5.5" style="85" customWidth="1"/>
    <col min="2309" max="2309" width="14" style="85" customWidth="1"/>
    <col min="2310" max="2310" width="10.59765625" style="85" customWidth="1"/>
    <col min="2311" max="2311" width="31.59765625" style="85" customWidth="1"/>
    <col min="2312" max="2555" width="9" style="85"/>
    <col min="2556" max="2556" width="8.5" style="85" customWidth="1"/>
    <col min="2557" max="2557" width="93.69921875" style="85" customWidth="1"/>
    <col min="2558" max="2558" width="9" style="85" hidden="1" customWidth="1"/>
    <col min="2559" max="2559" width="11.69921875" style="85" customWidth="1"/>
    <col min="2560" max="2560" width="13.5" style="85" customWidth="1"/>
    <col min="2561" max="2561" width="6" style="85" customWidth="1"/>
    <col min="2562" max="2562" width="5.59765625" style="85" customWidth="1"/>
    <col min="2563" max="2563" width="4.59765625" style="85" customWidth="1"/>
    <col min="2564" max="2564" width="5.5" style="85" customWidth="1"/>
    <col min="2565" max="2565" width="14" style="85" customWidth="1"/>
    <col min="2566" max="2566" width="10.59765625" style="85" customWidth="1"/>
    <col min="2567" max="2567" width="31.59765625" style="85" customWidth="1"/>
    <col min="2568" max="2811" width="9" style="85"/>
    <col min="2812" max="2812" width="8.5" style="85" customWidth="1"/>
    <col min="2813" max="2813" width="93.69921875" style="85" customWidth="1"/>
    <col min="2814" max="2814" width="9" style="85" hidden="1" customWidth="1"/>
    <col min="2815" max="2815" width="11.69921875" style="85" customWidth="1"/>
    <col min="2816" max="2816" width="13.5" style="85" customWidth="1"/>
    <col min="2817" max="2817" width="6" style="85" customWidth="1"/>
    <col min="2818" max="2818" width="5.59765625" style="85" customWidth="1"/>
    <col min="2819" max="2819" width="4.59765625" style="85" customWidth="1"/>
    <col min="2820" max="2820" width="5.5" style="85" customWidth="1"/>
    <col min="2821" max="2821" width="14" style="85" customWidth="1"/>
    <col min="2822" max="2822" width="10.59765625" style="85" customWidth="1"/>
    <col min="2823" max="2823" width="31.59765625" style="85" customWidth="1"/>
    <col min="2824" max="3067" width="9" style="85"/>
    <col min="3068" max="3068" width="8.5" style="85" customWidth="1"/>
    <col min="3069" max="3069" width="93.69921875" style="85" customWidth="1"/>
    <col min="3070" max="3070" width="9" style="85" hidden="1" customWidth="1"/>
    <col min="3071" max="3071" width="11.69921875" style="85" customWidth="1"/>
    <col min="3072" max="3072" width="13.5" style="85" customWidth="1"/>
    <col min="3073" max="3073" width="6" style="85" customWidth="1"/>
    <col min="3074" max="3074" width="5.59765625" style="85" customWidth="1"/>
    <col min="3075" max="3075" width="4.59765625" style="85" customWidth="1"/>
    <col min="3076" max="3076" width="5.5" style="85" customWidth="1"/>
    <col min="3077" max="3077" width="14" style="85" customWidth="1"/>
    <col min="3078" max="3078" width="10.59765625" style="85" customWidth="1"/>
    <col min="3079" max="3079" width="31.59765625" style="85" customWidth="1"/>
    <col min="3080" max="3323" width="9" style="85"/>
    <col min="3324" max="3324" width="8.5" style="85" customWidth="1"/>
    <col min="3325" max="3325" width="93.69921875" style="85" customWidth="1"/>
    <col min="3326" max="3326" width="9" style="85" hidden="1" customWidth="1"/>
    <col min="3327" max="3327" width="11.69921875" style="85" customWidth="1"/>
    <col min="3328" max="3328" width="13.5" style="85" customWidth="1"/>
    <col min="3329" max="3329" width="6" style="85" customWidth="1"/>
    <col min="3330" max="3330" width="5.59765625" style="85" customWidth="1"/>
    <col min="3331" max="3331" width="4.59765625" style="85" customWidth="1"/>
    <col min="3332" max="3332" width="5.5" style="85" customWidth="1"/>
    <col min="3333" max="3333" width="14" style="85" customWidth="1"/>
    <col min="3334" max="3334" width="10.59765625" style="85" customWidth="1"/>
    <col min="3335" max="3335" width="31.59765625" style="85" customWidth="1"/>
    <col min="3336" max="3579" width="9" style="85"/>
    <col min="3580" max="3580" width="8.5" style="85" customWidth="1"/>
    <col min="3581" max="3581" width="93.69921875" style="85" customWidth="1"/>
    <col min="3582" max="3582" width="9" style="85" hidden="1" customWidth="1"/>
    <col min="3583" max="3583" width="11.69921875" style="85" customWidth="1"/>
    <col min="3584" max="3584" width="13.5" style="85" customWidth="1"/>
    <col min="3585" max="3585" width="6" style="85" customWidth="1"/>
    <col min="3586" max="3586" width="5.59765625" style="85" customWidth="1"/>
    <col min="3587" max="3587" width="4.59765625" style="85" customWidth="1"/>
    <col min="3588" max="3588" width="5.5" style="85" customWidth="1"/>
    <col min="3589" max="3589" width="14" style="85" customWidth="1"/>
    <col min="3590" max="3590" width="10.59765625" style="85" customWidth="1"/>
    <col min="3591" max="3591" width="31.59765625" style="85" customWidth="1"/>
    <col min="3592" max="3835" width="9" style="85"/>
    <col min="3836" max="3836" width="8.5" style="85" customWidth="1"/>
    <col min="3837" max="3837" width="93.69921875" style="85" customWidth="1"/>
    <col min="3838" max="3838" width="9" style="85" hidden="1" customWidth="1"/>
    <col min="3839" max="3839" width="11.69921875" style="85" customWidth="1"/>
    <col min="3840" max="3840" width="13.5" style="85" customWidth="1"/>
    <col min="3841" max="3841" width="6" style="85" customWidth="1"/>
    <col min="3842" max="3842" width="5.59765625" style="85" customWidth="1"/>
    <col min="3843" max="3843" width="4.59765625" style="85" customWidth="1"/>
    <col min="3844" max="3844" width="5.5" style="85" customWidth="1"/>
    <col min="3845" max="3845" width="14" style="85" customWidth="1"/>
    <col min="3846" max="3846" width="10.59765625" style="85" customWidth="1"/>
    <col min="3847" max="3847" width="31.59765625" style="85" customWidth="1"/>
    <col min="3848" max="4091" width="9" style="85"/>
    <col min="4092" max="4092" width="8.5" style="85" customWidth="1"/>
    <col min="4093" max="4093" width="93.69921875" style="85" customWidth="1"/>
    <col min="4094" max="4094" width="9" style="85" hidden="1" customWidth="1"/>
    <col min="4095" max="4095" width="11.69921875" style="85" customWidth="1"/>
    <col min="4096" max="4096" width="13.5" style="85" customWidth="1"/>
    <col min="4097" max="4097" width="6" style="85" customWidth="1"/>
    <col min="4098" max="4098" width="5.59765625" style="85" customWidth="1"/>
    <col min="4099" max="4099" width="4.59765625" style="85" customWidth="1"/>
    <col min="4100" max="4100" width="5.5" style="85" customWidth="1"/>
    <col min="4101" max="4101" width="14" style="85" customWidth="1"/>
    <col min="4102" max="4102" width="10.59765625" style="85" customWidth="1"/>
    <col min="4103" max="4103" width="31.59765625" style="85" customWidth="1"/>
    <col min="4104" max="4347" width="9" style="85"/>
    <col min="4348" max="4348" width="8.5" style="85" customWidth="1"/>
    <col min="4349" max="4349" width="93.69921875" style="85" customWidth="1"/>
    <col min="4350" max="4350" width="9" style="85" hidden="1" customWidth="1"/>
    <col min="4351" max="4351" width="11.69921875" style="85" customWidth="1"/>
    <col min="4352" max="4352" width="13.5" style="85" customWidth="1"/>
    <col min="4353" max="4353" width="6" style="85" customWidth="1"/>
    <col min="4354" max="4354" width="5.59765625" style="85" customWidth="1"/>
    <col min="4355" max="4355" width="4.59765625" style="85" customWidth="1"/>
    <col min="4356" max="4356" width="5.5" style="85" customWidth="1"/>
    <col min="4357" max="4357" width="14" style="85" customWidth="1"/>
    <col min="4358" max="4358" width="10.59765625" style="85" customWidth="1"/>
    <col min="4359" max="4359" width="31.59765625" style="85" customWidth="1"/>
    <col min="4360" max="4603" width="9" style="85"/>
    <col min="4604" max="4604" width="8.5" style="85" customWidth="1"/>
    <col min="4605" max="4605" width="93.69921875" style="85" customWidth="1"/>
    <col min="4606" max="4606" width="9" style="85" hidden="1" customWidth="1"/>
    <col min="4607" max="4607" width="11.69921875" style="85" customWidth="1"/>
    <col min="4608" max="4608" width="13.5" style="85" customWidth="1"/>
    <col min="4609" max="4609" width="6" style="85" customWidth="1"/>
    <col min="4610" max="4610" width="5.59765625" style="85" customWidth="1"/>
    <col min="4611" max="4611" width="4.59765625" style="85" customWidth="1"/>
    <col min="4612" max="4612" width="5.5" style="85" customWidth="1"/>
    <col min="4613" max="4613" width="14" style="85" customWidth="1"/>
    <col min="4614" max="4614" width="10.59765625" style="85" customWidth="1"/>
    <col min="4615" max="4615" width="31.59765625" style="85" customWidth="1"/>
    <col min="4616" max="4859" width="9" style="85"/>
    <col min="4860" max="4860" width="8.5" style="85" customWidth="1"/>
    <col min="4861" max="4861" width="93.69921875" style="85" customWidth="1"/>
    <col min="4862" max="4862" width="9" style="85" hidden="1" customWidth="1"/>
    <col min="4863" max="4863" width="11.69921875" style="85" customWidth="1"/>
    <col min="4864" max="4864" width="13.5" style="85" customWidth="1"/>
    <col min="4865" max="4865" width="6" style="85" customWidth="1"/>
    <col min="4866" max="4866" width="5.59765625" style="85" customWidth="1"/>
    <col min="4867" max="4867" width="4.59765625" style="85" customWidth="1"/>
    <col min="4868" max="4868" width="5.5" style="85" customWidth="1"/>
    <col min="4869" max="4869" width="14" style="85" customWidth="1"/>
    <col min="4870" max="4870" width="10.59765625" style="85" customWidth="1"/>
    <col min="4871" max="4871" width="31.59765625" style="85" customWidth="1"/>
    <col min="4872" max="5115" width="9" style="85"/>
    <col min="5116" max="5116" width="8.5" style="85" customWidth="1"/>
    <col min="5117" max="5117" width="93.69921875" style="85" customWidth="1"/>
    <col min="5118" max="5118" width="9" style="85" hidden="1" customWidth="1"/>
    <col min="5119" max="5119" width="11.69921875" style="85" customWidth="1"/>
    <col min="5120" max="5120" width="13.5" style="85" customWidth="1"/>
    <col min="5121" max="5121" width="6" style="85" customWidth="1"/>
    <col min="5122" max="5122" width="5.59765625" style="85" customWidth="1"/>
    <col min="5123" max="5123" width="4.59765625" style="85" customWidth="1"/>
    <col min="5124" max="5124" width="5.5" style="85" customWidth="1"/>
    <col min="5125" max="5125" width="14" style="85" customWidth="1"/>
    <col min="5126" max="5126" width="10.59765625" style="85" customWidth="1"/>
    <col min="5127" max="5127" width="31.59765625" style="85" customWidth="1"/>
    <col min="5128" max="5371" width="9" style="85"/>
    <col min="5372" max="5372" width="8.5" style="85" customWidth="1"/>
    <col min="5373" max="5373" width="93.69921875" style="85" customWidth="1"/>
    <col min="5374" max="5374" width="9" style="85" hidden="1" customWidth="1"/>
    <col min="5375" max="5375" width="11.69921875" style="85" customWidth="1"/>
    <col min="5376" max="5376" width="13.5" style="85" customWidth="1"/>
    <col min="5377" max="5377" width="6" style="85" customWidth="1"/>
    <col min="5378" max="5378" width="5.59765625" style="85" customWidth="1"/>
    <col min="5379" max="5379" width="4.59765625" style="85" customWidth="1"/>
    <col min="5380" max="5380" width="5.5" style="85" customWidth="1"/>
    <col min="5381" max="5381" width="14" style="85" customWidth="1"/>
    <col min="5382" max="5382" width="10.59765625" style="85" customWidth="1"/>
    <col min="5383" max="5383" width="31.59765625" style="85" customWidth="1"/>
    <col min="5384" max="5627" width="9" style="85"/>
    <col min="5628" max="5628" width="8.5" style="85" customWidth="1"/>
    <col min="5629" max="5629" width="93.69921875" style="85" customWidth="1"/>
    <col min="5630" max="5630" width="9" style="85" hidden="1" customWidth="1"/>
    <col min="5631" max="5631" width="11.69921875" style="85" customWidth="1"/>
    <col min="5632" max="5632" width="13.5" style="85" customWidth="1"/>
    <col min="5633" max="5633" width="6" style="85" customWidth="1"/>
    <col min="5634" max="5634" width="5.59765625" style="85" customWidth="1"/>
    <col min="5635" max="5635" width="4.59765625" style="85" customWidth="1"/>
    <col min="5636" max="5636" width="5.5" style="85" customWidth="1"/>
    <col min="5637" max="5637" width="14" style="85" customWidth="1"/>
    <col min="5638" max="5638" width="10.59765625" style="85" customWidth="1"/>
    <col min="5639" max="5639" width="31.59765625" style="85" customWidth="1"/>
    <col min="5640" max="5883" width="9" style="85"/>
    <col min="5884" max="5884" width="8.5" style="85" customWidth="1"/>
    <col min="5885" max="5885" width="93.69921875" style="85" customWidth="1"/>
    <col min="5886" max="5886" width="9" style="85" hidden="1" customWidth="1"/>
    <col min="5887" max="5887" width="11.69921875" style="85" customWidth="1"/>
    <col min="5888" max="5888" width="13.5" style="85" customWidth="1"/>
    <col min="5889" max="5889" width="6" style="85" customWidth="1"/>
    <col min="5890" max="5890" width="5.59765625" style="85" customWidth="1"/>
    <col min="5891" max="5891" width="4.59765625" style="85" customWidth="1"/>
    <col min="5892" max="5892" width="5.5" style="85" customWidth="1"/>
    <col min="5893" max="5893" width="14" style="85" customWidth="1"/>
    <col min="5894" max="5894" width="10.59765625" style="85" customWidth="1"/>
    <col min="5895" max="5895" width="31.59765625" style="85" customWidth="1"/>
    <col min="5896" max="6139" width="9" style="85"/>
    <col min="6140" max="6140" width="8.5" style="85" customWidth="1"/>
    <col min="6141" max="6141" width="93.69921875" style="85" customWidth="1"/>
    <col min="6142" max="6142" width="9" style="85" hidden="1" customWidth="1"/>
    <col min="6143" max="6143" width="11.69921875" style="85" customWidth="1"/>
    <col min="6144" max="6144" width="13.5" style="85" customWidth="1"/>
    <col min="6145" max="6145" width="6" style="85" customWidth="1"/>
    <col min="6146" max="6146" width="5.59765625" style="85" customWidth="1"/>
    <col min="6147" max="6147" width="4.59765625" style="85" customWidth="1"/>
    <col min="6148" max="6148" width="5.5" style="85" customWidth="1"/>
    <col min="6149" max="6149" width="14" style="85" customWidth="1"/>
    <col min="6150" max="6150" width="10.59765625" style="85" customWidth="1"/>
    <col min="6151" max="6151" width="31.59765625" style="85" customWidth="1"/>
    <col min="6152" max="6395" width="9" style="85"/>
    <col min="6396" max="6396" width="8.5" style="85" customWidth="1"/>
    <col min="6397" max="6397" width="93.69921875" style="85" customWidth="1"/>
    <col min="6398" max="6398" width="9" style="85" hidden="1" customWidth="1"/>
    <col min="6399" max="6399" width="11.69921875" style="85" customWidth="1"/>
    <col min="6400" max="6400" width="13.5" style="85" customWidth="1"/>
    <col min="6401" max="6401" width="6" style="85" customWidth="1"/>
    <col min="6402" max="6402" width="5.59765625" style="85" customWidth="1"/>
    <col min="6403" max="6403" width="4.59765625" style="85" customWidth="1"/>
    <col min="6404" max="6404" width="5.5" style="85" customWidth="1"/>
    <col min="6405" max="6405" width="14" style="85" customWidth="1"/>
    <col min="6406" max="6406" width="10.59765625" style="85" customWidth="1"/>
    <col min="6407" max="6407" width="31.59765625" style="85" customWidth="1"/>
    <col min="6408" max="6651" width="9" style="85"/>
    <col min="6652" max="6652" width="8.5" style="85" customWidth="1"/>
    <col min="6653" max="6653" width="93.69921875" style="85" customWidth="1"/>
    <col min="6654" max="6654" width="9" style="85" hidden="1" customWidth="1"/>
    <col min="6655" max="6655" width="11.69921875" style="85" customWidth="1"/>
    <col min="6656" max="6656" width="13.5" style="85" customWidth="1"/>
    <col min="6657" max="6657" width="6" style="85" customWidth="1"/>
    <col min="6658" max="6658" width="5.59765625" style="85" customWidth="1"/>
    <col min="6659" max="6659" width="4.59765625" style="85" customWidth="1"/>
    <col min="6660" max="6660" width="5.5" style="85" customWidth="1"/>
    <col min="6661" max="6661" width="14" style="85" customWidth="1"/>
    <col min="6662" max="6662" width="10.59765625" style="85" customWidth="1"/>
    <col min="6663" max="6663" width="31.59765625" style="85" customWidth="1"/>
    <col min="6664" max="6907" width="9" style="85"/>
    <col min="6908" max="6908" width="8.5" style="85" customWidth="1"/>
    <col min="6909" max="6909" width="93.69921875" style="85" customWidth="1"/>
    <col min="6910" max="6910" width="9" style="85" hidden="1" customWidth="1"/>
    <col min="6911" max="6911" width="11.69921875" style="85" customWidth="1"/>
    <col min="6912" max="6912" width="13.5" style="85" customWidth="1"/>
    <col min="6913" max="6913" width="6" style="85" customWidth="1"/>
    <col min="6914" max="6914" width="5.59765625" style="85" customWidth="1"/>
    <col min="6915" max="6915" width="4.59765625" style="85" customWidth="1"/>
    <col min="6916" max="6916" width="5.5" style="85" customWidth="1"/>
    <col min="6917" max="6917" width="14" style="85" customWidth="1"/>
    <col min="6918" max="6918" width="10.59765625" style="85" customWidth="1"/>
    <col min="6919" max="6919" width="31.59765625" style="85" customWidth="1"/>
    <col min="6920" max="7163" width="9" style="85"/>
    <col min="7164" max="7164" width="8.5" style="85" customWidth="1"/>
    <col min="7165" max="7165" width="93.69921875" style="85" customWidth="1"/>
    <col min="7166" max="7166" width="9" style="85" hidden="1" customWidth="1"/>
    <col min="7167" max="7167" width="11.69921875" style="85" customWidth="1"/>
    <col min="7168" max="7168" width="13.5" style="85" customWidth="1"/>
    <col min="7169" max="7169" width="6" style="85" customWidth="1"/>
    <col min="7170" max="7170" width="5.59765625" style="85" customWidth="1"/>
    <col min="7171" max="7171" width="4.59765625" style="85" customWidth="1"/>
    <col min="7172" max="7172" width="5.5" style="85" customWidth="1"/>
    <col min="7173" max="7173" width="14" style="85" customWidth="1"/>
    <col min="7174" max="7174" width="10.59765625" style="85" customWidth="1"/>
    <col min="7175" max="7175" width="31.59765625" style="85" customWidth="1"/>
    <col min="7176" max="7419" width="9" style="85"/>
    <col min="7420" max="7420" width="8.5" style="85" customWidth="1"/>
    <col min="7421" max="7421" width="93.69921875" style="85" customWidth="1"/>
    <col min="7422" max="7422" width="9" style="85" hidden="1" customWidth="1"/>
    <col min="7423" max="7423" width="11.69921875" style="85" customWidth="1"/>
    <col min="7424" max="7424" width="13.5" style="85" customWidth="1"/>
    <col min="7425" max="7425" width="6" style="85" customWidth="1"/>
    <col min="7426" max="7426" width="5.59765625" style="85" customWidth="1"/>
    <col min="7427" max="7427" width="4.59765625" style="85" customWidth="1"/>
    <col min="7428" max="7428" width="5.5" style="85" customWidth="1"/>
    <col min="7429" max="7429" width="14" style="85" customWidth="1"/>
    <col min="7430" max="7430" width="10.59765625" style="85" customWidth="1"/>
    <col min="7431" max="7431" width="31.59765625" style="85" customWidth="1"/>
    <col min="7432" max="7675" width="9" style="85"/>
    <col min="7676" max="7676" width="8.5" style="85" customWidth="1"/>
    <col min="7677" max="7677" width="93.69921875" style="85" customWidth="1"/>
    <col min="7678" max="7678" width="9" style="85" hidden="1" customWidth="1"/>
    <col min="7679" max="7679" width="11.69921875" style="85" customWidth="1"/>
    <col min="7680" max="7680" width="13.5" style="85" customWidth="1"/>
    <col min="7681" max="7681" width="6" style="85" customWidth="1"/>
    <col min="7682" max="7682" width="5.59765625" style="85" customWidth="1"/>
    <col min="7683" max="7683" width="4.59765625" style="85" customWidth="1"/>
    <col min="7684" max="7684" width="5.5" style="85" customWidth="1"/>
    <col min="7685" max="7685" width="14" style="85" customWidth="1"/>
    <col min="7686" max="7686" width="10.59765625" style="85" customWidth="1"/>
    <col min="7687" max="7687" width="31.59765625" style="85" customWidth="1"/>
    <col min="7688" max="7931" width="9" style="85"/>
    <col min="7932" max="7932" width="8.5" style="85" customWidth="1"/>
    <col min="7933" max="7933" width="93.69921875" style="85" customWidth="1"/>
    <col min="7934" max="7934" width="9" style="85" hidden="1" customWidth="1"/>
    <col min="7935" max="7935" width="11.69921875" style="85" customWidth="1"/>
    <col min="7936" max="7936" width="13.5" style="85" customWidth="1"/>
    <col min="7937" max="7937" width="6" style="85" customWidth="1"/>
    <col min="7938" max="7938" width="5.59765625" style="85" customWidth="1"/>
    <col min="7939" max="7939" width="4.59765625" style="85" customWidth="1"/>
    <col min="7940" max="7940" width="5.5" style="85" customWidth="1"/>
    <col min="7941" max="7941" width="14" style="85" customWidth="1"/>
    <col min="7942" max="7942" width="10.59765625" style="85" customWidth="1"/>
    <col min="7943" max="7943" width="31.59765625" style="85" customWidth="1"/>
    <col min="7944" max="8187" width="9" style="85"/>
    <col min="8188" max="8188" width="8.5" style="85" customWidth="1"/>
    <col min="8189" max="8189" width="93.69921875" style="85" customWidth="1"/>
    <col min="8190" max="8190" width="9" style="85" hidden="1" customWidth="1"/>
    <col min="8191" max="8191" width="11.69921875" style="85" customWidth="1"/>
    <col min="8192" max="8192" width="13.5" style="85" customWidth="1"/>
    <col min="8193" max="8193" width="6" style="85" customWidth="1"/>
    <col min="8194" max="8194" width="5.59765625" style="85" customWidth="1"/>
    <col min="8195" max="8195" width="4.59765625" style="85" customWidth="1"/>
    <col min="8196" max="8196" width="5.5" style="85" customWidth="1"/>
    <col min="8197" max="8197" width="14" style="85" customWidth="1"/>
    <col min="8198" max="8198" width="10.59765625" style="85" customWidth="1"/>
    <col min="8199" max="8199" width="31.59765625" style="85" customWidth="1"/>
    <col min="8200" max="8443" width="9" style="85"/>
    <col min="8444" max="8444" width="8.5" style="85" customWidth="1"/>
    <col min="8445" max="8445" width="93.69921875" style="85" customWidth="1"/>
    <col min="8446" max="8446" width="9" style="85" hidden="1" customWidth="1"/>
    <col min="8447" max="8447" width="11.69921875" style="85" customWidth="1"/>
    <col min="8448" max="8448" width="13.5" style="85" customWidth="1"/>
    <col min="8449" max="8449" width="6" style="85" customWidth="1"/>
    <col min="8450" max="8450" width="5.59765625" style="85" customWidth="1"/>
    <col min="8451" max="8451" width="4.59765625" style="85" customWidth="1"/>
    <col min="8452" max="8452" width="5.5" style="85" customWidth="1"/>
    <col min="8453" max="8453" width="14" style="85" customWidth="1"/>
    <col min="8454" max="8454" width="10.59765625" style="85" customWidth="1"/>
    <col min="8455" max="8455" width="31.59765625" style="85" customWidth="1"/>
    <col min="8456" max="8699" width="9" style="85"/>
    <col min="8700" max="8700" width="8.5" style="85" customWidth="1"/>
    <col min="8701" max="8701" width="93.69921875" style="85" customWidth="1"/>
    <col min="8702" max="8702" width="9" style="85" hidden="1" customWidth="1"/>
    <col min="8703" max="8703" width="11.69921875" style="85" customWidth="1"/>
    <col min="8704" max="8704" width="13.5" style="85" customWidth="1"/>
    <col min="8705" max="8705" width="6" style="85" customWidth="1"/>
    <col min="8706" max="8706" width="5.59765625" style="85" customWidth="1"/>
    <col min="8707" max="8707" width="4.59765625" style="85" customWidth="1"/>
    <col min="8708" max="8708" width="5.5" style="85" customWidth="1"/>
    <col min="8709" max="8709" width="14" style="85" customWidth="1"/>
    <col min="8710" max="8710" width="10.59765625" style="85" customWidth="1"/>
    <col min="8711" max="8711" width="31.59765625" style="85" customWidth="1"/>
    <col min="8712" max="8955" width="9" style="85"/>
    <col min="8956" max="8956" width="8.5" style="85" customWidth="1"/>
    <col min="8957" max="8957" width="93.69921875" style="85" customWidth="1"/>
    <col min="8958" max="8958" width="9" style="85" hidden="1" customWidth="1"/>
    <col min="8959" max="8959" width="11.69921875" style="85" customWidth="1"/>
    <col min="8960" max="8960" width="13.5" style="85" customWidth="1"/>
    <col min="8961" max="8961" width="6" style="85" customWidth="1"/>
    <col min="8962" max="8962" width="5.59765625" style="85" customWidth="1"/>
    <col min="8963" max="8963" width="4.59765625" style="85" customWidth="1"/>
    <col min="8964" max="8964" width="5.5" style="85" customWidth="1"/>
    <col min="8965" max="8965" width="14" style="85" customWidth="1"/>
    <col min="8966" max="8966" width="10.59765625" style="85" customWidth="1"/>
    <col min="8967" max="8967" width="31.59765625" style="85" customWidth="1"/>
    <col min="8968" max="9211" width="9" style="85"/>
    <col min="9212" max="9212" width="8.5" style="85" customWidth="1"/>
    <col min="9213" max="9213" width="93.69921875" style="85" customWidth="1"/>
    <col min="9214" max="9214" width="9" style="85" hidden="1" customWidth="1"/>
    <col min="9215" max="9215" width="11.69921875" style="85" customWidth="1"/>
    <col min="9216" max="9216" width="13.5" style="85" customWidth="1"/>
    <col min="9217" max="9217" width="6" style="85" customWidth="1"/>
    <col min="9218" max="9218" width="5.59765625" style="85" customWidth="1"/>
    <col min="9219" max="9219" width="4.59765625" style="85" customWidth="1"/>
    <col min="9220" max="9220" width="5.5" style="85" customWidth="1"/>
    <col min="9221" max="9221" width="14" style="85" customWidth="1"/>
    <col min="9222" max="9222" width="10.59765625" style="85" customWidth="1"/>
    <col min="9223" max="9223" width="31.59765625" style="85" customWidth="1"/>
    <col min="9224" max="9467" width="9" style="85"/>
    <col min="9468" max="9468" width="8.5" style="85" customWidth="1"/>
    <col min="9469" max="9469" width="93.69921875" style="85" customWidth="1"/>
    <col min="9470" max="9470" width="9" style="85" hidden="1" customWidth="1"/>
    <col min="9471" max="9471" width="11.69921875" style="85" customWidth="1"/>
    <col min="9472" max="9472" width="13.5" style="85" customWidth="1"/>
    <col min="9473" max="9473" width="6" style="85" customWidth="1"/>
    <col min="9474" max="9474" width="5.59765625" style="85" customWidth="1"/>
    <col min="9475" max="9475" width="4.59765625" style="85" customWidth="1"/>
    <col min="9476" max="9476" width="5.5" style="85" customWidth="1"/>
    <col min="9477" max="9477" width="14" style="85" customWidth="1"/>
    <col min="9478" max="9478" width="10.59765625" style="85" customWidth="1"/>
    <col min="9479" max="9479" width="31.59765625" style="85" customWidth="1"/>
    <col min="9480" max="9723" width="9" style="85"/>
    <col min="9724" max="9724" width="8.5" style="85" customWidth="1"/>
    <col min="9725" max="9725" width="93.69921875" style="85" customWidth="1"/>
    <col min="9726" max="9726" width="9" style="85" hidden="1" customWidth="1"/>
    <col min="9727" max="9727" width="11.69921875" style="85" customWidth="1"/>
    <col min="9728" max="9728" width="13.5" style="85" customWidth="1"/>
    <col min="9729" max="9729" width="6" style="85" customWidth="1"/>
    <col min="9730" max="9730" width="5.59765625" style="85" customWidth="1"/>
    <col min="9731" max="9731" width="4.59765625" style="85" customWidth="1"/>
    <col min="9732" max="9732" width="5.5" style="85" customWidth="1"/>
    <col min="9733" max="9733" width="14" style="85" customWidth="1"/>
    <col min="9734" max="9734" width="10.59765625" style="85" customWidth="1"/>
    <col min="9735" max="9735" width="31.59765625" style="85" customWidth="1"/>
    <col min="9736" max="9979" width="9" style="85"/>
    <col min="9980" max="9980" width="8.5" style="85" customWidth="1"/>
    <col min="9981" max="9981" width="93.69921875" style="85" customWidth="1"/>
    <col min="9982" max="9982" width="9" style="85" hidden="1" customWidth="1"/>
    <col min="9983" max="9983" width="11.69921875" style="85" customWidth="1"/>
    <col min="9984" max="9984" width="13.5" style="85" customWidth="1"/>
    <col min="9985" max="9985" width="6" style="85" customWidth="1"/>
    <col min="9986" max="9986" width="5.59765625" style="85" customWidth="1"/>
    <col min="9987" max="9987" width="4.59765625" style="85" customWidth="1"/>
    <col min="9988" max="9988" width="5.5" style="85" customWidth="1"/>
    <col min="9989" max="9989" width="14" style="85" customWidth="1"/>
    <col min="9990" max="9990" width="10.59765625" style="85" customWidth="1"/>
    <col min="9991" max="9991" width="31.59765625" style="85" customWidth="1"/>
    <col min="9992" max="10235" width="9" style="85"/>
    <col min="10236" max="10236" width="8.5" style="85" customWidth="1"/>
    <col min="10237" max="10237" width="93.69921875" style="85" customWidth="1"/>
    <col min="10238" max="10238" width="9" style="85" hidden="1" customWidth="1"/>
    <col min="10239" max="10239" width="11.69921875" style="85" customWidth="1"/>
    <col min="10240" max="10240" width="13.5" style="85" customWidth="1"/>
    <col min="10241" max="10241" width="6" style="85" customWidth="1"/>
    <col min="10242" max="10242" width="5.59765625" style="85" customWidth="1"/>
    <col min="10243" max="10243" width="4.59765625" style="85" customWidth="1"/>
    <col min="10244" max="10244" width="5.5" style="85" customWidth="1"/>
    <col min="10245" max="10245" width="14" style="85" customWidth="1"/>
    <col min="10246" max="10246" width="10.59765625" style="85" customWidth="1"/>
    <col min="10247" max="10247" width="31.59765625" style="85" customWidth="1"/>
    <col min="10248" max="10491" width="9" style="85"/>
    <col min="10492" max="10492" width="8.5" style="85" customWidth="1"/>
    <col min="10493" max="10493" width="93.69921875" style="85" customWidth="1"/>
    <col min="10494" max="10494" width="9" style="85" hidden="1" customWidth="1"/>
    <col min="10495" max="10495" width="11.69921875" style="85" customWidth="1"/>
    <col min="10496" max="10496" width="13.5" style="85" customWidth="1"/>
    <col min="10497" max="10497" width="6" style="85" customWidth="1"/>
    <col min="10498" max="10498" width="5.59765625" style="85" customWidth="1"/>
    <col min="10499" max="10499" width="4.59765625" style="85" customWidth="1"/>
    <col min="10500" max="10500" width="5.5" style="85" customWidth="1"/>
    <col min="10501" max="10501" width="14" style="85" customWidth="1"/>
    <col min="10502" max="10502" width="10.59765625" style="85" customWidth="1"/>
    <col min="10503" max="10503" width="31.59765625" style="85" customWidth="1"/>
    <col min="10504" max="10747" width="9" style="85"/>
    <col min="10748" max="10748" width="8.5" style="85" customWidth="1"/>
    <col min="10749" max="10749" width="93.69921875" style="85" customWidth="1"/>
    <col min="10750" max="10750" width="9" style="85" hidden="1" customWidth="1"/>
    <col min="10751" max="10751" width="11.69921875" style="85" customWidth="1"/>
    <col min="10752" max="10752" width="13.5" style="85" customWidth="1"/>
    <col min="10753" max="10753" width="6" style="85" customWidth="1"/>
    <col min="10754" max="10754" width="5.59765625" style="85" customWidth="1"/>
    <col min="10755" max="10755" width="4.59765625" style="85" customWidth="1"/>
    <col min="10756" max="10756" width="5.5" style="85" customWidth="1"/>
    <col min="10757" max="10757" width="14" style="85" customWidth="1"/>
    <col min="10758" max="10758" width="10.59765625" style="85" customWidth="1"/>
    <col min="10759" max="10759" width="31.59765625" style="85" customWidth="1"/>
    <col min="10760" max="11003" width="9" style="85"/>
    <col min="11004" max="11004" width="8.5" style="85" customWidth="1"/>
    <col min="11005" max="11005" width="93.69921875" style="85" customWidth="1"/>
    <col min="11006" max="11006" width="9" style="85" hidden="1" customWidth="1"/>
    <col min="11007" max="11007" width="11.69921875" style="85" customWidth="1"/>
    <col min="11008" max="11008" width="13.5" style="85" customWidth="1"/>
    <col min="11009" max="11009" width="6" style="85" customWidth="1"/>
    <col min="11010" max="11010" width="5.59765625" style="85" customWidth="1"/>
    <col min="11011" max="11011" width="4.59765625" style="85" customWidth="1"/>
    <col min="11012" max="11012" width="5.5" style="85" customWidth="1"/>
    <col min="11013" max="11013" width="14" style="85" customWidth="1"/>
    <col min="11014" max="11014" width="10.59765625" style="85" customWidth="1"/>
    <col min="11015" max="11015" width="31.59765625" style="85" customWidth="1"/>
    <col min="11016" max="11259" width="9" style="85"/>
    <col min="11260" max="11260" width="8.5" style="85" customWidth="1"/>
    <col min="11261" max="11261" width="93.69921875" style="85" customWidth="1"/>
    <col min="11262" max="11262" width="9" style="85" hidden="1" customWidth="1"/>
    <col min="11263" max="11263" width="11.69921875" style="85" customWidth="1"/>
    <col min="11264" max="11264" width="13.5" style="85" customWidth="1"/>
    <col min="11265" max="11265" width="6" style="85" customWidth="1"/>
    <col min="11266" max="11266" width="5.59765625" style="85" customWidth="1"/>
    <col min="11267" max="11267" width="4.59765625" style="85" customWidth="1"/>
    <col min="11268" max="11268" width="5.5" style="85" customWidth="1"/>
    <col min="11269" max="11269" width="14" style="85" customWidth="1"/>
    <col min="11270" max="11270" width="10.59765625" style="85" customWidth="1"/>
    <col min="11271" max="11271" width="31.59765625" style="85" customWidth="1"/>
    <col min="11272" max="11515" width="9" style="85"/>
    <col min="11516" max="11516" width="8.5" style="85" customWidth="1"/>
    <col min="11517" max="11517" width="93.69921875" style="85" customWidth="1"/>
    <col min="11518" max="11518" width="9" style="85" hidden="1" customWidth="1"/>
    <col min="11519" max="11519" width="11.69921875" style="85" customWidth="1"/>
    <col min="11520" max="11520" width="13.5" style="85" customWidth="1"/>
    <col min="11521" max="11521" width="6" style="85" customWidth="1"/>
    <col min="11522" max="11522" width="5.59765625" style="85" customWidth="1"/>
    <col min="11523" max="11523" width="4.59765625" style="85" customWidth="1"/>
    <col min="11524" max="11524" width="5.5" style="85" customWidth="1"/>
    <col min="11525" max="11525" width="14" style="85" customWidth="1"/>
    <col min="11526" max="11526" width="10.59765625" style="85" customWidth="1"/>
    <col min="11527" max="11527" width="31.59765625" style="85" customWidth="1"/>
    <col min="11528" max="11771" width="9" style="85"/>
    <col min="11772" max="11772" width="8.5" style="85" customWidth="1"/>
    <col min="11773" max="11773" width="93.69921875" style="85" customWidth="1"/>
    <col min="11774" max="11774" width="9" style="85" hidden="1" customWidth="1"/>
    <col min="11775" max="11775" width="11.69921875" style="85" customWidth="1"/>
    <col min="11776" max="11776" width="13.5" style="85" customWidth="1"/>
    <col min="11777" max="11777" width="6" style="85" customWidth="1"/>
    <col min="11778" max="11778" width="5.59765625" style="85" customWidth="1"/>
    <col min="11779" max="11779" width="4.59765625" style="85" customWidth="1"/>
    <col min="11780" max="11780" width="5.5" style="85" customWidth="1"/>
    <col min="11781" max="11781" width="14" style="85" customWidth="1"/>
    <col min="11782" max="11782" width="10.59765625" style="85" customWidth="1"/>
    <col min="11783" max="11783" width="31.59765625" style="85" customWidth="1"/>
    <col min="11784" max="12027" width="9" style="85"/>
    <col min="12028" max="12028" width="8.5" style="85" customWidth="1"/>
    <col min="12029" max="12029" width="93.69921875" style="85" customWidth="1"/>
    <col min="12030" max="12030" width="9" style="85" hidden="1" customWidth="1"/>
    <col min="12031" max="12031" width="11.69921875" style="85" customWidth="1"/>
    <col min="12032" max="12032" width="13.5" style="85" customWidth="1"/>
    <col min="12033" max="12033" width="6" style="85" customWidth="1"/>
    <col min="12034" max="12034" width="5.59765625" style="85" customWidth="1"/>
    <col min="12035" max="12035" width="4.59765625" style="85" customWidth="1"/>
    <col min="12036" max="12036" width="5.5" style="85" customWidth="1"/>
    <col min="12037" max="12037" width="14" style="85" customWidth="1"/>
    <col min="12038" max="12038" width="10.59765625" style="85" customWidth="1"/>
    <col min="12039" max="12039" width="31.59765625" style="85" customWidth="1"/>
    <col min="12040" max="12283" width="9" style="85"/>
    <col min="12284" max="12284" width="8.5" style="85" customWidth="1"/>
    <col min="12285" max="12285" width="93.69921875" style="85" customWidth="1"/>
    <col min="12286" max="12286" width="9" style="85" hidden="1" customWidth="1"/>
    <col min="12287" max="12287" width="11.69921875" style="85" customWidth="1"/>
    <col min="12288" max="12288" width="13.5" style="85" customWidth="1"/>
    <col min="12289" max="12289" width="6" style="85" customWidth="1"/>
    <col min="12290" max="12290" width="5.59765625" style="85" customWidth="1"/>
    <col min="12291" max="12291" width="4.59765625" style="85" customWidth="1"/>
    <col min="12292" max="12292" width="5.5" style="85" customWidth="1"/>
    <col min="12293" max="12293" width="14" style="85" customWidth="1"/>
    <col min="12294" max="12294" width="10.59765625" style="85" customWidth="1"/>
    <col min="12295" max="12295" width="31.59765625" style="85" customWidth="1"/>
    <col min="12296" max="12539" width="9" style="85"/>
    <col min="12540" max="12540" width="8.5" style="85" customWidth="1"/>
    <col min="12541" max="12541" width="93.69921875" style="85" customWidth="1"/>
    <col min="12542" max="12542" width="9" style="85" hidden="1" customWidth="1"/>
    <col min="12543" max="12543" width="11.69921875" style="85" customWidth="1"/>
    <col min="12544" max="12544" width="13.5" style="85" customWidth="1"/>
    <col min="12545" max="12545" width="6" style="85" customWidth="1"/>
    <col min="12546" max="12546" width="5.59765625" style="85" customWidth="1"/>
    <col min="12547" max="12547" width="4.59765625" style="85" customWidth="1"/>
    <col min="12548" max="12548" width="5.5" style="85" customWidth="1"/>
    <col min="12549" max="12549" width="14" style="85" customWidth="1"/>
    <col min="12550" max="12550" width="10.59765625" style="85" customWidth="1"/>
    <col min="12551" max="12551" width="31.59765625" style="85" customWidth="1"/>
    <col min="12552" max="12795" width="9" style="85"/>
    <col min="12796" max="12796" width="8.5" style="85" customWidth="1"/>
    <col min="12797" max="12797" width="93.69921875" style="85" customWidth="1"/>
    <col min="12798" max="12798" width="9" style="85" hidden="1" customWidth="1"/>
    <col min="12799" max="12799" width="11.69921875" style="85" customWidth="1"/>
    <col min="12800" max="12800" width="13.5" style="85" customWidth="1"/>
    <col min="12801" max="12801" width="6" style="85" customWidth="1"/>
    <col min="12802" max="12802" width="5.59765625" style="85" customWidth="1"/>
    <col min="12803" max="12803" width="4.59765625" style="85" customWidth="1"/>
    <col min="12804" max="12804" width="5.5" style="85" customWidth="1"/>
    <col min="12805" max="12805" width="14" style="85" customWidth="1"/>
    <col min="12806" max="12806" width="10.59765625" style="85" customWidth="1"/>
    <col min="12807" max="12807" width="31.59765625" style="85" customWidth="1"/>
    <col min="12808" max="13051" width="9" style="85"/>
    <col min="13052" max="13052" width="8.5" style="85" customWidth="1"/>
    <col min="13053" max="13053" width="93.69921875" style="85" customWidth="1"/>
    <col min="13054" max="13054" width="9" style="85" hidden="1" customWidth="1"/>
    <col min="13055" max="13055" width="11.69921875" style="85" customWidth="1"/>
    <col min="13056" max="13056" width="13.5" style="85" customWidth="1"/>
    <col min="13057" max="13057" width="6" style="85" customWidth="1"/>
    <col min="13058" max="13058" width="5.59765625" style="85" customWidth="1"/>
    <col min="13059" max="13059" width="4.59765625" style="85" customWidth="1"/>
    <col min="13060" max="13060" width="5.5" style="85" customWidth="1"/>
    <col min="13061" max="13061" width="14" style="85" customWidth="1"/>
    <col min="13062" max="13062" width="10.59765625" style="85" customWidth="1"/>
    <col min="13063" max="13063" width="31.59765625" style="85" customWidth="1"/>
    <col min="13064" max="13307" width="9" style="85"/>
    <col min="13308" max="13308" width="8.5" style="85" customWidth="1"/>
    <col min="13309" max="13309" width="93.69921875" style="85" customWidth="1"/>
    <col min="13310" max="13310" width="9" style="85" hidden="1" customWidth="1"/>
    <col min="13311" max="13311" width="11.69921875" style="85" customWidth="1"/>
    <col min="13312" max="13312" width="13.5" style="85" customWidth="1"/>
    <col min="13313" max="13313" width="6" style="85" customWidth="1"/>
    <col min="13314" max="13314" width="5.59765625" style="85" customWidth="1"/>
    <col min="13315" max="13315" width="4.59765625" style="85" customWidth="1"/>
    <col min="13316" max="13316" width="5.5" style="85" customWidth="1"/>
    <col min="13317" max="13317" width="14" style="85" customWidth="1"/>
    <col min="13318" max="13318" width="10.59765625" style="85" customWidth="1"/>
    <col min="13319" max="13319" width="31.59765625" style="85" customWidth="1"/>
    <col min="13320" max="13563" width="9" style="85"/>
    <col min="13564" max="13564" width="8.5" style="85" customWidth="1"/>
    <col min="13565" max="13565" width="93.69921875" style="85" customWidth="1"/>
    <col min="13566" max="13566" width="9" style="85" hidden="1" customWidth="1"/>
    <col min="13567" max="13567" width="11.69921875" style="85" customWidth="1"/>
    <col min="13568" max="13568" width="13.5" style="85" customWidth="1"/>
    <col min="13569" max="13569" width="6" style="85" customWidth="1"/>
    <col min="13570" max="13570" width="5.59765625" style="85" customWidth="1"/>
    <col min="13571" max="13571" width="4.59765625" style="85" customWidth="1"/>
    <col min="13572" max="13572" width="5.5" style="85" customWidth="1"/>
    <col min="13573" max="13573" width="14" style="85" customWidth="1"/>
    <col min="13574" max="13574" width="10.59765625" style="85" customWidth="1"/>
    <col min="13575" max="13575" width="31.59765625" style="85" customWidth="1"/>
    <col min="13576" max="13819" width="9" style="85"/>
    <col min="13820" max="13820" width="8.5" style="85" customWidth="1"/>
    <col min="13821" max="13821" width="93.69921875" style="85" customWidth="1"/>
    <col min="13822" max="13822" width="9" style="85" hidden="1" customWidth="1"/>
    <col min="13823" max="13823" width="11.69921875" style="85" customWidth="1"/>
    <col min="13824" max="13824" width="13.5" style="85" customWidth="1"/>
    <col min="13825" max="13825" width="6" style="85" customWidth="1"/>
    <col min="13826" max="13826" width="5.59765625" style="85" customWidth="1"/>
    <col min="13827" max="13827" width="4.59765625" style="85" customWidth="1"/>
    <col min="13828" max="13828" width="5.5" style="85" customWidth="1"/>
    <col min="13829" max="13829" width="14" style="85" customWidth="1"/>
    <col min="13830" max="13830" width="10.59765625" style="85" customWidth="1"/>
    <col min="13831" max="13831" width="31.59765625" style="85" customWidth="1"/>
    <col min="13832" max="14075" width="9" style="85"/>
    <col min="14076" max="14076" width="8.5" style="85" customWidth="1"/>
    <col min="14077" max="14077" width="93.69921875" style="85" customWidth="1"/>
    <col min="14078" max="14078" width="9" style="85" hidden="1" customWidth="1"/>
    <col min="14079" max="14079" width="11.69921875" style="85" customWidth="1"/>
    <col min="14080" max="14080" width="13.5" style="85" customWidth="1"/>
    <col min="14081" max="14081" width="6" style="85" customWidth="1"/>
    <col min="14082" max="14082" width="5.59765625" style="85" customWidth="1"/>
    <col min="14083" max="14083" width="4.59765625" style="85" customWidth="1"/>
    <col min="14084" max="14084" width="5.5" style="85" customWidth="1"/>
    <col min="14085" max="14085" width="14" style="85" customWidth="1"/>
    <col min="14086" max="14086" width="10.59765625" style="85" customWidth="1"/>
    <col min="14087" max="14087" width="31.59765625" style="85" customWidth="1"/>
    <col min="14088" max="14331" width="9" style="85"/>
    <col min="14332" max="14332" width="8.5" style="85" customWidth="1"/>
    <col min="14333" max="14333" width="93.69921875" style="85" customWidth="1"/>
    <col min="14334" max="14334" width="9" style="85" hidden="1" customWidth="1"/>
    <col min="14335" max="14335" width="11.69921875" style="85" customWidth="1"/>
    <col min="14336" max="14336" width="13.5" style="85" customWidth="1"/>
    <col min="14337" max="14337" width="6" style="85" customWidth="1"/>
    <col min="14338" max="14338" width="5.59765625" style="85" customWidth="1"/>
    <col min="14339" max="14339" width="4.59765625" style="85" customWidth="1"/>
    <col min="14340" max="14340" width="5.5" style="85" customWidth="1"/>
    <col min="14341" max="14341" width="14" style="85" customWidth="1"/>
    <col min="14342" max="14342" width="10.59765625" style="85" customWidth="1"/>
    <col min="14343" max="14343" width="31.59765625" style="85" customWidth="1"/>
    <col min="14344" max="14587" width="9" style="85"/>
    <col min="14588" max="14588" width="8.5" style="85" customWidth="1"/>
    <col min="14589" max="14589" width="93.69921875" style="85" customWidth="1"/>
    <col min="14590" max="14590" width="9" style="85" hidden="1" customWidth="1"/>
    <col min="14591" max="14591" width="11.69921875" style="85" customWidth="1"/>
    <col min="14592" max="14592" width="13.5" style="85" customWidth="1"/>
    <col min="14593" max="14593" width="6" style="85" customWidth="1"/>
    <col min="14594" max="14594" width="5.59765625" style="85" customWidth="1"/>
    <col min="14595" max="14595" width="4.59765625" style="85" customWidth="1"/>
    <col min="14596" max="14596" width="5.5" style="85" customWidth="1"/>
    <col min="14597" max="14597" width="14" style="85" customWidth="1"/>
    <col min="14598" max="14598" width="10.59765625" style="85" customWidth="1"/>
    <col min="14599" max="14599" width="31.59765625" style="85" customWidth="1"/>
    <col min="14600" max="14843" width="9" style="85"/>
    <col min="14844" max="14844" width="8.5" style="85" customWidth="1"/>
    <col min="14845" max="14845" width="93.69921875" style="85" customWidth="1"/>
    <col min="14846" max="14846" width="9" style="85" hidden="1" customWidth="1"/>
    <col min="14847" max="14847" width="11.69921875" style="85" customWidth="1"/>
    <col min="14848" max="14848" width="13.5" style="85" customWidth="1"/>
    <col min="14849" max="14849" width="6" style="85" customWidth="1"/>
    <col min="14850" max="14850" width="5.59765625" style="85" customWidth="1"/>
    <col min="14851" max="14851" width="4.59765625" style="85" customWidth="1"/>
    <col min="14852" max="14852" width="5.5" style="85" customWidth="1"/>
    <col min="14853" max="14853" width="14" style="85" customWidth="1"/>
    <col min="14854" max="14854" width="10.59765625" style="85" customWidth="1"/>
    <col min="14855" max="14855" width="31.59765625" style="85" customWidth="1"/>
    <col min="14856" max="15099" width="9" style="85"/>
    <col min="15100" max="15100" width="8.5" style="85" customWidth="1"/>
    <col min="15101" max="15101" width="93.69921875" style="85" customWidth="1"/>
    <col min="15102" max="15102" width="9" style="85" hidden="1" customWidth="1"/>
    <col min="15103" max="15103" width="11.69921875" style="85" customWidth="1"/>
    <col min="15104" max="15104" width="13.5" style="85" customWidth="1"/>
    <col min="15105" max="15105" width="6" style="85" customWidth="1"/>
    <col min="15106" max="15106" width="5.59765625" style="85" customWidth="1"/>
    <col min="15107" max="15107" width="4.59765625" style="85" customWidth="1"/>
    <col min="15108" max="15108" width="5.5" style="85" customWidth="1"/>
    <col min="15109" max="15109" width="14" style="85" customWidth="1"/>
    <col min="15110" max="15110" width="10.59765625" style="85" customWidth="1"/>
    <col min="15111" max="15111" width="31.59765625" style="85" customWidth="1"/>
    <col min="15112" max="15355" width="9" style="85"/>
    <col min="15356" max="15356" width="8.5" style="85" customWidth="1"/>
    <col min="15357" max="15357" width="93.69921875" style="85" customWidth="1"/>
    <col min="15358" max="15358" width="9" style="85" hidden="1" customWidth="1"/>
    <col min="15359" max="15359" width="11.69921875" style="85" customWidth="1"/>
    <col min="15360" max="15360" width="13.5" style="85" customWidth="1"/>
    <col min="15361" max="15361" width="6" style="85" customWidth="1"/>
    <col min="15362" max="15362" width="5.59765625" style="85" customWidth="1"/>
    <col min="15363" max="15363" width="4.59765625" style="85" customWidth="1"/>
    <col min="15364" max="15364" width="5.5" style="85" customWidth="1"/>
    <col min="15365" max="15365" width="14" style="85" customWidth="1"/>
    <col min="15366" max="15366" width="10.59765625" style="85" customWidth="1"/>
    <col min="15367" max="15367" width="31.59765625" style="85" customWidth="1"/>
    <col min="15368" max="15611" width="9" style="85"/>
    <col min="15612" max="15612" width="8.5" style="85" customWidth="1"/>
    <col min="15613" max="15613" width="93.69921875" style="85" customWidth="1"/>
    <col min="15614" max="15614" width="9" style="85" hidden="1" customWidth="1"/>
    <col min="15615" max="15615" width="11.69921875" style="85" customWidth="1"/>
    <col min="15616" max="15616" width="13.5" style="85" customWidth="1"/>
    <col min="15617" max="15617" width="6" style="85" customWidth="1"/>
    <col min="15618" max="15618" width="5.59765625" style="85" customWidth="1"/>
    <col min="15619" max="15619" width="4.59765625" style="85" customWidth="1"/>
    <col min="15620" max="15620" width="5.5" style="85" customWidth="1"/>
    <col min="15621" max="15621" width="14" style="85" customWidth="1"/>
    <col min="15622" max="15622" width="10.59765625" style="85" customWidth="1"/>
    <col min="15623" max="15623" width="31.59765625" style="85" customWidth="1"/>
    <col min="15624" max="15867" width="9" style="85"/>
    <col min="15868" max="15868" width="8.5" style="85" customWidth="1"/>
    <col min="15869" max="15869" width="93.69921875" style="85" customWidth="1"/>
    <col min="15870" max="15870" width="9" style="85" hidden="1" customWidth="1"/>
    <col min="15871" max="15871" width="11.69921875" style="85" customWidth="1"/>
    <col min="15872" max="15872" width="13.5" style="85" customWidth="1"/>
    <col min="15873" max="15873" width="6" style="85" customWidth="1"/>
    <col min="15874" max="15874" width="5.59765625" style="85" customWidth="1"/>
    <col min="15875" max="15875" width="4.59765625" style="85" customWidth="1"/>
    <col min="15876" max="15876" width="5.5" style="85" customWidth="1"/>
    <col min="15877" max="15877" width="14" style="85" customWidth="1"/>
    <col min="15878" max="15878" width="10.59765625" style="85" customWidth="1"/>
    <col min="15879" max="15879" width="31.59765625" style="85" customWidth="1"/>
    <col min="15880" max="16123" width="9" style="85"/>
    <col min="16124" max="16124" width="8.5" style="85" customWidth="1"/>
    <col min="16125" max="16125" width="93.69921875" style="85" customWidth="1"/>
    <col min="16126" max="16126" width="9" style="85" hidden="1" customWidth="1"/>
    <col min="16127" max="16127" width="11.69921875" style="85" customWidth="1"/>
    <col min="16128" max="16128" width="13.5" style="85" customWidth="1"/>
    <col min="16129" max="16129" width="6" style="85" customWidth="1"/>
    <col min="16130" max="16130" width="5.59765625" style="85" customWidth="1"/>
    <col min="16131" max="16131" width="4.59765625" style="85" customWidth="1"/>
    <col min="16132" max="16132" width="5.5" style="85" customWidth="1"/>
    <col min="16133" max="16133" width="14" style="85" customWidth="1"/>
    <col min="16134" max="16134" width="10.59765625" style="85" customWidth="1"/>
    <col min="16135" max="16135" width="31.59765625" style="85" customWidth="1"/>
    <col min="16136" max="16384" width="9" style="85"/>
  </cols>
  <sheetData>
    <row r="1" spans="1:10" s="77" customFormat="1" ht="19.95" customHeight="1">
      <c r="A1" s="278" t="s">
        <v>13</v>
      </c>
      <c r="B1" s="278"/>
      <c r="C1" s="278"/>
      <c r="D1" s="278"/>
      <c r="E1" s="278"/>
      <c r="F1" s="278"/>
      <c r="G1" s="278"/>
      <c r="H1" s="278"/>
      <c r="I1" s="278"/>
    </row>
    <row r="2" spans="1:10" s="77" customFormat="1" ht="19.95" customHeight="1">
      <c r="A2" s="279" t="s">
        <v>14</v>
      </c>
      <c r="B2" s="279"/>
      <c r="C2" s="279"/>
      <c r="D2" s="279"/>
      <c r="E2" s="279"/>
      <c r="F2" s="279"/>
      <c r="G2" s="279"/>
      <c r="H2" s="279"/>
      <c r="I2" s="279"/>
    </row>
    <row r="3" spans="1:10" s="14" customFormat="1" ht="19.95" customHeight="1">
      <c r="A3" s="14" t="str">
        <f>底稿目录!A2</f>
        <v>被审计单位：</v>
      </c>
      <c r="C3" s="14" t="str">
        <f>底稿目录!A4</f>
        <v>编制人：</v>
      </c>
      <c r="E3" s="14" t="str">
        <f>底稿目录!A5</f>
        <v>编制日期：</v>
      </c>
      <c r="H3" s="106" t="s">
        <v>83</v>
      </c>
      <c r="I3" s="225" t="str">
        <f>底稿目录!F4</f>
        <v>K2A</v>
      </c>
    </row>
    <row r="4" spans="1:10" s="14" customFormat="1" ht="19.95" customHeight="1">
      <c r="A4" s="14" t="str">
        <f>底稿目录!A3</f>
        <v>截止日：202X年12月31日</v>
      </c>
      <c r="C4" s="14" t="str">
        <f>底稿目录!A6</f>
        <v>复核人：</v>
      </c>
      <c r="E4" s="14" t="str">
        <f>底稿目录!A7</f>
        <v>复核日期：</v>
      </c>
      <c r="H4" s="106" t="s">
        <v>244</v>
      </c>
      <c r="I4" s="78"/>
    </row>
    <row r="5" spans="1:10" ht="19.95" customHeight="1">
      <c r="A5" s="280" t="s">
        <v>108</v>
      </c>
      <c r="B5" s="280"/>
    </row>
    <row r="6" spans="1:10" ht="19.95" customHeight="1">
      <c r="A6" s="216" t="s">
        <v>6</v>
      </c>
      <c r="B6" s="215"/>
      <c r="C6" s="215"/>
      <c r="D6" s="215"/>
      <c r="E6" s="215"/>
      <c r="F6" s="215"/>
      <c r="G6" s="215"/>
      <c r="H6" s="215"/>
      <c r="I6" s="117"/>
    </row>
    <row r="7" spans="1:10" s="14" customFormat="1" ht="19.95" customHeight="1">
      <c r="A7" s="265" t="s">
        <v>95</v>
      </c>
      <c r="B7" s="262"/>
      <c r="C7" s="118"/>
      <c r="D7" s="9"/>
      <c r="E7" s="9"/>
      <c r="F7" s="9"/>
      <c r="G7" s="9"/>
      <c r="H7" s="9"/>
      <c r="I7" s="214"/>
    </row>
    <row r="8" spans="1:10" s="14" customFormat="1" ht="19.95" customHeight="1">
      <c r="A8" s="281" t="s">
        <v>97</v>
      </c>
      <c r="B8" s="281"/>
      <c r="C8" s="281"/>
      <c r="D8" s="281"/>
      <c r="E8" s="281"/>
      <c r="F8" s="281"/>
      <c r="G8" s="295" t="s">
        <v>15</v>
      </c>
      <c r="H8" s="295"/>
      <c r="I8" s="295"/>
    </row>
    <row r="9" spans="1:10" s="14" customFormat="1" ht="19.95" customHeight="1">
      <c r="A9" s="282" t="s">
        <v>286</v>
      </c>
      <c r="B9" s="282"/>
      <c r="C9" s="282"/>
      <c r="D9" s="282"/>
      <c r="E9" s="282"/>
      <c r="F9" s="282"/>
      <c r="G9" s="296" t="s">
        <v>16</v>
      </c>
      <c r="H9" s="296"/>
      <c r="I9" s="296"/>
    </row>
    <row r="10" spans="1:10" s="14" customFormat="1" ht="19.95" customHeight="1">
      <c r="A10" s="282" t="s">
        <v>242</v>
      </c>
      <c r="B10" s="282"/>
      <c r="C10" s="282"/>
      <c r="D10" s="282"/>
      <c r="E10" s="282"/>
      <c r="F10" s="282"/>
      <c r="G10" s="296" t="s">
        <v>96</v>
      </c>
      <c r="H10" s="296"/>
      <c r="I10" s="296"/>
    </row>
    <row r="11" spans="1:10" s="14" customFormat="1" ht="19.95" customHeight="1">
      <c r="A11" s="282" t="s">
        <v>293</v>
      </c>
      <c r="B11" s="282"/>
      <c r="C11" s="282"/>
      <c r="D11" s="282"/>
      <c r="E11" s="282"/>
      <c r="F11" s="282"/>
      <c r="G11" s="296" t="s">
        <v>17</v>
      </c>
      <c r="H11" s="296"/>
      <c r="I11" s="296"/>
    </row>
    <row r="12" spans="1:10" s="14" customFormat="1" ht="19.95" customHeight="1">
      <c r="A12" s="282" t="s">
        <v>294</v>
      </c>
      <c r="B12" s="282"/>
      <c r="C12" s="282"/>
      <c r="D12" s="282"/>
      <c r="E12" s="282"/>
      <c r="F12" s="282"/>
      <c r="G12" s="296" t="s">
        <v>109</v>
      </c>
      <c r="H12" s="296"/>
      <c r="I12" s="296"/>
    </row>
    <row r="13" spans="1:10" s="14" customFormat="1" ht="19.95" customHeight="1">
      <c r="A13" s="282" t="s">
        <v>243</v>
      </c>
      <c r="B13" s="282"/>
      <c r="C13" s="282"/>
      <c r="D13" s="282"/>
      <c r="E13" s="282"/>
      <c r="F13" s="282"/>
      <c r="G13" s="296" t="s">
        <v>111</v>
      </c>
      <c r="H13" s="296"/>
      <c r="I13" s="296"/>
    </row>
    <row r="14" spans="1:10" s="14" customFormat="1" ht="19.95" customHeight="1">
      <c r="A14" s="293" t="s">
        <v>19</v>
      </c>
      <c r="B14" s="294"/>
      <c r="C14" s="118"/>
      <c r="D14" s="9"/>
      <c r="E14" s="285"/>
      <c r="F14" s="285"/>
      <c r="G14" s="285"/>
      <c r="H14" s="9"/>
      <c r="I14" s="214"/>
    </row>
    <row r="15" spans="1:10" s="78" customFormat="1" ht="21" customHeight="1">
      <c r="A15" s="288" t="s">
        <v>98</v>
      </c>
      <c r="B15" s="290" t="s">
        <v>301</v>
      </c>
      <c r="C15" s="291" t="s">
        <v>99</v>
      </c>
      <c r="D15" s="286" t="s">
        <v>100</v>
      </c>
      <c r="E15" s="287"/>
      <c r="F15" s="287"/>
      <c r="G15" s="287"/>
      <c r="H15" s="287"/>
      <c r="I15" s="283" t="s">
        <v>101</v>
      </c>
    </row>
    <row r="16" spans="1:10" s="78" customFormat="1" ht="37.200000000000003" customHeight="1">
      <c r="A16" s="289"/>
      <c r="B16" s="290"/>
      <c r="C16" s="292"/>
      <c r="D16" s="124" t="s">
        <v>102</v>
      </c>
      <c r="E16" s="124" t="s">
        <v>103</v>
      </c>
      <c r="F16" s="125" t="s">
        <v>104</v>
      </c>
      <c r="G16" s="125" t="s">
        <v>109</v>
      </c>
      <c r="H16" s="125" t="s">
        <v>112</v>
      </c>
      <c r="I16" s="284"/>
      <c r="J16" s="266" t="s">
        <v>300</v>
      </c>
    </row>
    <row r="17" spans="1:10" s="79" customFormat="1" ht="88.8" customHeight="1">
      <c r="A17" s="120" t="s">
        <v>105</v>
      </c>
      <c r="B17" s="172" t="s">
        <v>287</v>
      </c>
      <c r="C17" s="122" t="s">
        <v>223</v>
      </c>
      <c r="D17" s="127" t="s">
        <v>107</v>
      </c>
      <c r="E17" s="127" t="s">
        <v>107</v>
      </c>
      <c r="F17" s="126"/>
      <c r="G17" s="159" t="s">
        <v>107</v>
      </c>
      <c r="H17" s="126"/>
      <c r="I17" s="218" t="s">
        <v>276</v>
      </c>
      <c r="J17" s="86"/>
    </row>
    <row r="18" spans="1:10" s="80" customFormat="1" ht="48.6" customHeight="1">
      <c r="A18" s="120" t="s">
        <v>20</v>
      </c>
      <c r="B18" s="123" t="s">
        <v>110</v>
      </c>
      <c r="C18" s="206" t="s">
        <v>106</v>
      </c>
      <c r="D18" s="121"/>
      <c r="E18" s="160" t="s">
        <v>107</v>
      </c>
      <c r="F18" s="121"/>
      <c r="G18" s="127" t="s">
        <v>107</v>
      </c>
      <c r="H18" s="161"/>
      <c r="I18" s="256" t="s">
        <v>277</v>
      </c>
      <c r="J18" s="208" t="s">
        <v>227</v>
      </c>
    </row>
    <row r="19" spans="1:10" s="81" customFormat="1" ht="49.8" customHeight="1">
      <c r="A19" s="120" t="s">
        <v>22</v>
      </c>
      <c r="B19" s="123" t="s">
        <v>283</v>
      </c>
      <c r="C19" s="122" t="s">
        <v>21</v>
      </c>
      <c r="D19" s="159" t="s">
        <v>245</v>
      </c>
      <c r="E19" s="127" t="s">
        <v>245</v>
      </c>
      <c r="F19" s="127"/>
      <c r="G19" s="127" t="s">
        <v>246</v>
      </c>
      <c r="H19" s="161"/>
      <c r="I19" s="218"/>
      <c r="J19" s="208" t="s">
        <v>231</v>
      </c>
    </row>
    <row r="20" spans="1:10" s="79" customFormat="1" ht="33.6" customHeight="1">
      <c r="A20" s="120" t="s">
        <v>23</v>
      </c>
      <c r="B20" s="123" t="s">
        <v>247</v>
      </c>
      <c r="C20" s="207" t="s">
        <v>224</v>
      </c>
      <c r="D20" s="127" t="s">
        <v>147</v>
      </c>
      <c r="E20" s="127" t="s">
        <v>147</v>
      </c>
      <c r="F20" s="126"/>
      <c r="G20" s="127" t="s">
        <v>147</v>
      </c>
      <c r="H20" s="126"/>
      <c r="I20" s="218" t="s">
        <v>276</v>
      </c>
      <c r="J20" s="86"/>
    </row>
    <row r="21" spans="1:10" s="79" customFormat="1" ht="134.4" customHeight="1">
      <c r="A21" s="120" t="s">
        <v>24</v>
      </c>
      <c r="B21" s="171" t="s">
        <v>284</v>
      </c>
      <c r="C21" s="122" t="s">
        <v>223</v>
      </c>
      <c r="D21" s="159" t="s">
        <v>18</v>
      </c>
      <c r="E21" s="127" t="s">
        <v>18</v>
      </c>
      <c r="F21" s="127" t="s">
        <v>18</v>
      </c>
      <c r="G21" s="159" t="s">
        <v>18</v>
      </c>
      <c r="H21" s="127" t="s">
        <v>18</v>
      </c>
      <c r="I21" s="250"/>
      <c r="J21" s="86"/>
    </row>
    <row r="22" spans="1:10" s="79" customFormat="1" ht="53.4" customHeight="1">
      <c r="A22" s="120" t="s">
        <v>278</v>
      </c>
      <c r="B22" s="123" t="s">
        <v>250</v>
      </c>
      <c r="C22" s="122" t="s">
        <v>221</v>
      </c>
      <c r="D22" s="160" t="s">
        <v>107</v>
      </c>
      <c r="E22" s="119"/>
      <c r="F22" s="127"/>
      <c r="G22" s="127" t="s">
        <v>18</v>
      </c>
      <c r="H22" s="119"/>
      <c r="I22" s="218" t="s">
        <v>228</v>
      </c>
      <c r="J22" s="86"/>
    </row>
    <row r="23" spans="1:10" s="79" customFormat="1" ht="39.6" customHeight="1">
      <c r="A23" s="120" t="s">
        <v>279</v>
      </c>
      <c r="B23" s="123" t="s">
        <v>248</v>
      </c>
      <c r="C23" s="126" t="s">
        <v>222</v>
      </c>
      <c r="D23" s="159"/>
      <c r="E23" s="126"/>
      <c r="F23" s="127"/>
      <c r="G23" s="159" t="s">
        <v>107</v>
      </c>
      <c r="H23" s="126"/>
      <c r="I23" s="218" t="s">
        <v>229</v>
      </c>
      <c r="J23" s="86"/>
    </row>
    <row r="24" spans="1:10" s="79" customFormat="1" ht="33.6" customHeight="1">
      <c r="A24" s="120" t="s">
        <v>215</v>
      </c>
      <c r="B24" s="123" t="s">
        <v>146</v>
      </c>
      <c r="C24" s="126" t="s">
        <v>225</v>
      </c>
      <c r="D24" s="159" t="s">
        <v>145</v>
      </c>
      <c r="E24" s="126"/>
      <c r="F24" s="127" t="s">
        <v>107</v>
      </c>
      <c r="G24" s="127" t="s">
        <v>107</v>
      </c>
      <c r="H24" s="126"/>
      <c r="I24" s="218" t="s">
        <v>230</v>
      </c>
      <c r="J24" s="86"/>
    </row>
    <row r="25" spans="1:10" s="81" customFormat="1" ht="48" customHeight="1">
      <c r="A25" s="120" t="s">
        <v>148</v>
      </c>
      <c r="B25" s="220" t="s">
        <v>249</v>
      </c>
      <c r="C25" s="127" t="s">
        <v>251</v>
      </c>
      <c r="D25" s="121"/>
      <c r="E25" s="121"/>
      <c r="F25" s="121"/>
      <c r="G25" s="121"/>
      <c r="H25" s="119"/>
      <c r="I25" s="218"/>
      <c r="J25" s="86"/>
    </row>
    <row r="26" spans="1:10" s="81" customFormat="1" ht="33.6" customHeight="1">
      <c r="A26" s="120" t="s">
        <v>171</v>
      </c>
      <c r="B26" s="220" t="s">
        <v>252</v>
      </c>
      <c r="C26" s="122" t="s">
        <v>223</v>
      </c>
      <c r="D26" s="119"/>
      <c r="E26" s="119"/>
      <c r="F26" s="119"/>
      <c r="G26" s="119"/>
      <c r="H26" s="121" t="s">
        <v>107</v>
      </c>
      <c r="I26" s="219" t="s">
        <v>226</v>
      </c>
      <c r="J26" s="86"/>
    </row>
    <row r="27" spans="1:10">
      <c r="B27" s="85"/>
    </row>
    <row r="28" spans="1:10">
      <c r="B28" s="85"/>
    </row>
    <row r="29" spans="1:10">
      <c r="B29" s="85"/>
    </row>
    <row r="30" spans="1:10">
      <c r="B30" s="85"/>
    </row>
    <row r="31" spans="1:10">
      <c r="B31" s="85"/>
    </row>
    <row r="32" spans="1:10">
      <c r="B32" s="85"/>
    </row>
    <row r="33" spans="2:2">
      <c r="B33" s="85"/>
    </row>
    <row r="34" spans="2:2">
      <c r="B34" s="85"/>
    </row>
    <row r="35" spans="2:2">
      <c r="B35" s="85"/>
    </row>
    <row r="36" spans="2:2">
      <c r="B36" s="85"/>
    </row>
    <row r="37" spans="2:2">
      <c r="B37" s="85"/>
    </row>
    <row r="38" spans="2:2">
      <c r="B38" s="85"/>
    </row>
    <row r="39" spans="2:2">
      <c r="B39" s="85"/>
    </row>
    <row r="40" spans="2:2">
      <c r="B40" s="85"/>
    </row>
    <row r="41" spans="2:2">
      <c r="B41" s="85"/>
    </row>
    <row r="42" spans="2:2">
      <c r="B42" s="85"/>
    </row>
    <row r="43" spans="2:2">
      <c r="B43" s="85"/>
    </row>
    <row r="44" spans="2:2">
      <c r="B44" s="85"/>
    </row>
    <row r="45" spans="2:2">
      <c r="B45" s="85"/>
    </row>
    <row r="46" spans="2:2">
      <c r="B46" s="85"/>
    </row>
    <row r="47" spans="2:2">
      <c r="B47" s="85"/>
    </row>
    <row r="48" spans="2:2">
      <c r="B48" s="85"/>
    </row>
    <row r="49" spans="2:2">
      <c r="B49" s="85"/>
    </row>
    <row r="50" spans="2:2">
      <c r="B50" s="85"/>
    </row>
    <row r="51" spans="2:2">
      <c r="B51" s="85"/>
    </row>
    <row r="52" spans="2:2">
      <c r="B52" s="85"/>
    </row>
    <row r="53" spans="2:2">
      <c r="B53" s="85"/>
    </row>
    <row r="54" spans="2:2">
      <c r="B54" s="85"/>
    </row>
    <row r="55" spans="2:2">
      <c r="B55" s="85"/>
    </row>
    <row r="56" spans="2:2">
      <c r="B56" s="85"/>
    </row>
    <row r="57" spans="2:2">
      <c r="B57" s="85"/>
    </row>
    <row r="58" spans="2:2">
      <c r="B58" s="85"/>
    </row>
    <row r="59" spans="2:2">
      <c r="B59" s="85"/>
    </row>
    <row r="60" spans="2:2">
      <c r="B60" s="85"/>
    </row>
    <row r="61" spans="2:2">
      <c r="B61" s="85"/>
    </row>
    <row r="62" spans="2:2">
      <c r="B62" s="85"/>
    </row>
    <row r="63" spans="2:2">
      <c r="B63" s="85"/>
    </row>
    <row r="64" spans="2:2">
      <c r="B64" s="85"/>
    </row>
    <row r="65" spans="2:2">
      <c r="B65" s="85"/>
    </row>
    <row r="66" spans="2:2">
      <c r="B66" s="85"/>
    </row>
    <row r="67" spans="2:2">
      <c r="B67" s="85"/>
    </row>
    <row r="68" spans="2:2">
      <c r="B68" s="85"/>
    </row>
    <row r="69" spans="2:2">
      <c r="B69" s="85"/>
    </row>
    <row r="70" spans="2:2">
      <c r="B70" s="85"/>
    </row>
    <row r="71" spans="2:2">
      <c r="B71" s="85"/>
    </row>
    <row r="72" spans="2:2">
      <c r="B72" s="85"/>
    </row>
    <row r="73" spans="2:2">
      <c r="B73" s="85"/>
    </row>
    <row r="74" spans="2:2">
      <c r="B74" s="85"/>
    </row>
    <row r="75" spans="2:2">
      <c r="B75" s="85"/>
    </row>
    <row r="76" spans="2:2">
      <c r="B76" s="85"/>
    </row>
    <row r="77" spans="2:2">
      <c r="B77" s="85"/>
    </row>
    <row r="78" spans="2:2">
      <c r="B78" s="85"/>
    </row>
    <row r="79" spans="2:2">
      <c r="B79" s="85"/>
    </row>
    <row r="80" spans="2:2">
      <c r="B80" s="85"/>
    </row>
    <row r="81" spans="2:2">
      <c r="B81" s="85"/>
    </row>
    <row r="82" spans="2:2">
      <c r="B82" s="85"/>
    </row>
    <row r="83" spans="2:2">
      <c r="B83" s="85"/>
    </row>
    <row r="84" spans="2:2">
      <c r="B84" s="85"/>
    </row>
    <row r="85" spans="2:2">
      <c r="B85" s="85"/>
    </row>
    <row r="86" spans="2:2">
      <c r="B86" s="85"/>
    </row>
    <row r="87" spans="2:2">
      <c r="B87" s="85"/>
    </row>
    <row r="88" spans="2:2">
      <c r="B88" s="85"/>
    </row>
    <row r="89" spans="2:2">
      <c r="B89" s="85"/>
    </row>
    <row r="90" spans="2:2">
      <c r="B90" s="85"/>
    </row>
    <row r="91" spans="2:2">
      <c r="B91" s="85"/>
    </row>
    <row r="92" spans="2:2">
      <c r="B92" s="85"/>
    </row>
    <row r="93" spans="2:2">
      <c r="B93" s="85"/>
    </row>
    <row r="94" spans="2:2">
      <c r="B94" s="85"/>
    </row>
    <row r="95" spans="2:2">
      <c r="B95" s="85"/>
    </row>
    <row r="96" spans="2:2">
      <c r="B96" s="85"/>
    </row>
    <row r="97" spans="2:2">
      <c r="B97" s="85"/>
    </row>
    <row r="98" spans="2:2">
      <c r="B98" s="85"/>
    </row>
    <row r="99" spans="2:2">
      <c r="B99" s="85"/>
    </row>
    <row r="100" spans="2:2">
      <c r="B100" s="85"/>
    </row>
    <row r="101" spans="2:2">
      <c r="B101" s="85"/>
    </row>
    <row r="102" spans="2:2">
      <c r="B102" s="85"/>
    </row>
    <row r="103" spans="2:2">
      <c r="B103" s="85"/>
    </row>
    <row r="104" spans="2:2">
      <c r="B104" s="85"/>
    </row>
    <row r="105" spans="2:2">
      <c r="B105" s="85"/>
    </row>
    <row r="106" spans="2:2">
      <c r="B106" s="85"/>
    </row>
    <row r="107" spans="2:2">
      <c r="B107" s="85"/>
    </row>
    <row r="108" spans="2:2">
      <c r="B108" s="85"/>
    </row>
    <row r="109" spans="2:2">
      <c r="B109" s="85"/>
    </row>
    <row r="110" spans="2:2">
      <c r="B110" s="85"/>
    </row>
    <row r="111" spans="2:2">
      <c r="B111" s="85"/>
    </row>
    <row r="112" spans="2:2">
      <c r="B112" s="85"/>
    </row>
    <row r="113" spans="2:2">
      <c r="B113" s="85"/>
    </row>
    <row r="114" spans="2:2">
      <c r="B114" s="85"/>
    </row>
    <row r="115" spans="2:2">
      <c r="B115" s="85"/>
    </row>
    <row r="116" spans="2:2">
      <c r="B116" s="85"/>
    </row>
    <row r="117" spans="2:2">
      <c r="B117" s="85"/>
    </row>
    <row r="118" spans="2:2">
      <c r="B118" s="85"/>
    </row>
    <row r="119" spans="2:2">
      <c r="B119" s="85"/>
    </row>
    <row r="120" spans="2:2">
      <c r="B120" s="85"/>
    </row>
    <row r="121" spans="2:2">
      <c r="B121" s="85"/>
    </row>
    <row r="122" spans="2:2">
      <c r="B122" s="85"/>
    </row>
    <row r="123" spans="2:2">
      <c r="B123" s="85"/>
    </row>
    <row r="124" spans="2:2">
      <c r="B124" s="85"/>
    </row>
    <row r="125" spans="2:2">
      <c r="B125" s="85"/>
    </row>
    <row r="126" spans="2:2">
      <c r="B126" s="85"/>
    </row>
    <row r="127" spans="2:2">
      <c r="B127" s="85"/>
    </row>
    <row r="128" spans="2:2">
      <c r="B128" s="85"/>
    </row>
    <row r="129" spans="2:2">
      <c r="B129" s="85"/>
    </row>
    <row r="130" spans="2:2">
      <c r="B130" s="85"/>
    </row>
    <row r="131" spans="2:2">
      <c r="B131" s="85"/>
    </row>
    <row r="132" spans="2:2">
      <c r="B132" s="85"/>
    </row>
    <row r="133" spans="2:2">
      <c r="B133" s="85"/>
    </row>
    <row r="134" spans="2:2">
      <c r="B134" s="85"/>
    </row>
    <row r="135" spans="2:2">
      <c r="B135" s="85"/>
    </row>
    <row r="136" spans="2:2">
      <c r="B136" s="85"/>
    </row>
    <row r="137" spans="2:2">
      <c r="B137" s="85"/>
    </row>
    <row r="138" spans="2:2">
      <c r="B138" s="85"/>
    </row>
    <row r="139" spans="2:2">
      <c r="B139" s="85"/>
    </row>
    <row r="140" spans="2:2">
      <c r="B140" s="85"/>
    </row>
    <row r="141" spans="2:2">
      <c r="B141" s="85"/>
    </row>
    <row r="142" spans="2:2">
      <c r="B142" s="85"/>
    </row>
    <row r="143" spans="2:2">
      <c r="B143" s="85"/>
    </row>
    <row r="144" spans="2:2">
      <c r="B144" s="85"/>
    </row>
    <row r="145" spans="2:2">
      <c r="B145" s="85"/>
    </row>
    <row r="146" spans="2:2">
      <c r="B146" s="85"/>
    </row>
    <row r="147" spans="2:2">
      <c r="B147" s="85"/>
    </row>
    <row r="148" spans="2:2">
      <c r="B148" s="85"/>
    </row>
    <row r="149" spans="2:2">
      <c r="B149" s="85"/>
    </row>
    <row r="150" spans="2:2">
      <c r="B150" s="85"/>
    </row>
    <row r="151" spans="2:2">
      <c r="B151" s="85"/>
    </row>
    <row r="152" spans="2:2">
      <c r="B152" s="85"/>
    </row>
    <row r="153" spans="2:2">
      <c r="B153" s="85"/>
    </row>
    <row r="154" spans="2:2">
      <c r="B154" s="85"/>
    </row>
    <row r="155" spans="2:2">
      <c r="B155" s="85"/>
    </row>
    <row r="156" spans="2:2">
      <c r="B156" s="85"/>
    </row>
    <row r="157" spans="2:2">
      <c r="B157" s="85"/>
    </row>
    <row r="158" spans="2:2">
      <c r="B158" s="85"/>
    </row>
    <row r="159" spans="2:2">
      <c r="B159" s="85"/>
    </row>
    <row r="160" spans="2:2">
      <c r="B160" s="85"/>
    </row>
    <row r="161" spans="2:2">
      <c r="B161" s="85"/>
    </row>
    <row r="162" spans="2:2">
      <c r="B162" s="85"/>
    </row>
    <row r="163" spans="2:2">
      <c r="B163" s="85"/>
    </row>
    <row r="164" spans="2:2">
      <c r="B164" s="85"/>
    </row>
    <row r="165" spans="2:2">
      <c r="B165" s="85"/>
    </row>
    <row r="166" spans="2:2">
      <c r="B166" s="85"/>
    </row>
    <row r="167" spans="2:2">
      <c r="B167" s="85"/>
    </row>
    <row r="168" spans="2:2">
      <c r="B168" s="85"/>
    </row>
    <row r="169" spans="2:2">
      <c r="B169" s="85"/>
    </row>
    <row r="170" spans="2:2">
      <c r="B170" s="85"/>
    </row>
    <row r="171" spans="2:2">
      <c r="B171" s="85"/>
    </row>
    <row r="172" spans="2:2">
      <c r="B172" s="85"/>
    </row>
    <row r="173" spans="2:2">
      <c r="B173" s="85"/>
    </row>
    <row r="174" spans="2:2">
      <c r="B174" s="85"/>
    </row>
    <row r="175" spans="2:2">
      <c r="B175" s="85"/>
    </row>
    <row r="176" spans="2:2">
      <c r="B176" s="85"/>
    </row>
    <row r="177" spans="2:2">
      <c r="B177" s="85"/>
    </row>
    <row r="178" spans="2:2">
      <c r="B178" s="85"/>
    </row>
    <row r="179" spans="2:2">
      <c r="B179" s="85"/>
    </row>
    <row r="180" spans="2:2">
      <c r="B180" s="85"/>
    </row>
    <row r="181" spans="2:2">
      <c r="B181" s="85"/>
    </row>
    <row r="182" spans="2:2">
      <c r="B182" s="85"/>
    </row>
    <row r="183" spans="2:2">
      <c r="B183" s="85"/>
    </row>
    <row r="184" spans="2:2">
      <c r="B184" s="85"/>
    </row>
    <row r="185" spans="2:2">
      <c r="B185" s="85"/>
    </row>
    <row r="186" spans="2:2">
      <c r="B186" s="85"/>
    </row>
    <row r="187" spans="2:2">
      <c r="B187" s="85"/>
    </row>
    <row r="188" spans="2:2">
      <c r="B188" s="85"/>
    </row>
    <row r="189" spans="2:2">
      <c r="B189" s="85"/>
    </row>
    <row r="190" spans="2:2">
      <c r="B190" s="85"/>
    </row>
    <row r="191" spans="2:2">
      <c r="B191" s="85"/>
    </row>
    <row r="192" spans="2:2">
      <c r="B192" s="85"/>
    </row>
    <row r="193" spans="2:2">
      <c r="B193" s="85"/>
    </row>
    <row r="194" spans="2:2">
      <c r="B194" s="85"/>
    </row>
    <row r="195" spans="2:2">
      <c r="B195" s="85"/>
    </row>
    <row r="196" spans="2:2">
      <c r="B196" s="85"/>
    </row>
    <row r="197" spans="2:2">
      <c r="B197" s="85"/>
    </row>
    <row r="198" spans="2:2">
      <c r="B198" s="85"/>
    </row>
    <row r="199" spans="2:2">
      <c r="B199" s="85"/>
    </row>
    <row r="200" spans="2:2">
      <c r="B200" s="85"/>
    </row>
    <row r="201" spans="2:2">
      <c r="B201" s="85"/>
    </row>
    <row r="202" spans="2:2">
      <c r="B202" s="85"/>
    </row>
    <row r="203" spans="2:2">
      <c r="B203" s="85"/>
    </row>
    <row r="204" spans="2:2">
      <c r="B204" s="85"/>
    </row>
    <row r="205" spans="2:2">
      <c r="B205" s="85"/>
    </row>
  </sheetData>
  <mergeCells count="22">
    <mergeCell ref="A12:F12"/>
    <mergeCell ref="A13:F13"/>
    <mergeCell ref="G8:I8"/>
    <mergeCell ref="G9:I9"/>
    <mergeCell ref="G10:I10"/>
    <mergeCell ref="G11:I11"/>
    <mergeCell ref="G12:I12"/>
    <mergeCell ref="G13:I13"/>
    <mergeCell ref="A10:F10"/>
    <mergeCell ref="A11:F11"/>
    <mergeCell ref="I15:I16"/>
    <mergeCell ref="E14:G14"/>
    <mergeCell ref="D15:H15"/>
    <mergeCell ref="A15:A16"/>
    <mergeCell ref="B15:B16"/>
    <mergeCell ref="C15:C16"/>
    <mergeCell ref="A14:B14"/>
    <mergeCell ref="A1:I1"/>
    <mergeCell ref="A2:I2"/>
    <mergeCell ref="A5:B5"/>
    <mergeCell ref="A8:F8"/>
    <mergeCell ref="A9:F9"/>
  </mergeCells>
  <phoneticPr fontId="62" type="noConversion"/>
  <hyperlinks>
    <hyperlink ref="I3" location="底稿目录!A1" display="底稿目录!A1"/>
  </hyperlinks>
  <printOptions horizontalCentered="1"/>
  <pageMargins left="0.59055118110236227" right="0.39370078740157483" top="0.55118110236220474" bottom="0.35433070866141736" header="0.51181102362204722" footer="0.19685039370078741"/>
  <pageSetup paperSize="9" scale="70" fitToHeight="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P23"/>
  <sheetViews>
    <sheetView view="pageBreakPreview" zoomScaleNormal="100" workbookViewId="0">
      <selection sqref="A1:N1"/>
    </sheetView>
  </sheetViews>
  <sheetFormatPr defaultColWidth="9" defaultRowHeight="23.25" customHeight="1"/>
  <cols>
    <col min="1" max="1" width="13.796875" style="4" customWidth="1"/>
    <col min="2" max="2" width="10.09765625" style="4" customWidth="1"/>
    <col min="3" max="3" width="12.19921875" style="4" customWidth="1"/>
    <col min="4" max="4" width="13.59765625" style="4" customWidth="1"/>
    <col min="5" max="5" width="13.296875" style="4" customWidth="1"/>
    <col min="6" max="7" width="10.09765625" style="4" customWidth="1"/>
    <col min="8" max="9" width="12.09765625" style="4" customWidth="1"/>
    <col min="10" max="11" width="9" style="4"/>
    <col min="12" max="13" width="10.09765625" style="4" customWidth="1"/>
    <col min="14" max="14" width="9.19921875" style="4" customWidth="1"/>
    <col min="15" max="15" width="12" style="4" customWidth="1"/>
    <col min="16" max="16" width="9" style="4"/>
    <col min="17" max="17" width="5.5" style="4" customWidth="1"/>
    <col min="18" max="19" width="9" style="4"/>
    <col min="20" max="20" width="5.19921875" style="4" customWidth="1"/>
    <col min="21" max="16384" width="9" style="4"/>
  </cols>
  <sheetData>
    <row r="1" spans="1:16" s="57" customFormat="1" ht="19.95" customHeight="1">
      <c r="A1" s="302" t="s">
        <v>13</v>
      </c>
      <c r="B1" s="302"/>
      <c r="C1" s="302"/>
      <c r="D1" s="302"/>
      <c r="E1" s="302"/>
      <c r="F1" s="302"/>
      <c r="G1" s="302"/>
      <c r="H1" s="302"/>
      <c r="I1" s="302"/>
      <c r="J1" s="302"/>
      <c r="K1" s="302"/>
      <c r="L1" s="302"/>
      <c r="M1" s="302"/>
      <c r="N1" s="302"/>
    </row>
    <row r="2" spans="1:16" s="57" customFormat="1" ht="19.95" customHeight="1">
      <c r="A2" s="303" t="s">
        <v>25</v>
      </c>
      <c r="B2" s="303"/>
      <c r="C2" s="303"/>
      <c r="D2" s="303"/>
      <c r="E2" s="303"/>
      <c r="F2" s="303"/>
      <c r="G2" s="303"/>
      <c r="H2" s="303"/>
      <c r="I2" s="303"/>
      <c r="J2" s="303"/>
      <c r="K2" s="303"/>
      <c r="L2" s="303"/>
      <c r="M2" s="303"/>
      <c r="N2" s="303"/>
    </row>
    <row r="3" spans="1:16" ht="19.95" customHeight="1">
      <c r="A3" s="4" t="str">
        <f>底稿目录!A2</f>
        <v>被审计单位：</v>
      </c>
      <c r="D3" s="6" t="str">
        <f>底稿目录!A4</f>
        <v>编制人：</v>
      </c>
      <c r="I3" s="71" t="str">
        <f>底稿目录!A5</f>
        <v>编制日期：</v>
      </c>
      <c r="J3" s="30"/>
      <c r="M3" s="109" t="s">
        <v>91</v>
      </c>
      <c r="N3" s="225" t="str">
        <f>底稿目录!F5</f>
        <v>K2-1</v>
      </c>
    </row>
    <row r="4" spans="1:16" ht="19.95" customHeight="1">
      <c r="A4" s="4" t="str">
        <f>底稿目录!A3</f>
        <v>截止日：202X年12月31日</v>
      </c>
      <c r="B4" s="18"/>
      <c r="D4" s="6" t="str">
        <f>底稿目录!A6</f>
        <v>复核人：</v>
      </c>
      <c r="I4" s="71" t="str">
        <f>底稿目录!A7</f>
        <v>复核日期：</v>
      </c>
      <c r="J4" s="30"/>
      <c r="M4" s="109" t="s">
        <v>90</v>
      </c>
      <c r="N4" s="110"/>
    </row>
    <row r="5" spans="1:16" ht="36" customHeight="1">
      <c r="A5" s="298" t="s">
        <v>26</v>
      </c>
      <c r="B5" s="304" t="s">
        <v>27</v>
      </c>
      <c r="C5" s="305"/>
      <c r="D5" s="305"/>
      <c r="E5" s="306"/>
      <c r="F5" s="307" t="s">
        <v>28</v>
      </c>
      <c r="G5" s="308"/>
      <c r="H5" s="308"/>
      <c r="I5" s="309"/>
      <c r="J5" s="310" t="s">
        <v>29</v>
      </c>
      <c r="K5" s="311"/>
      <c r="L5" s="312" t="s">
        <v>30</v>
      </c>
      <c r="M5" s="313"/>
      <c r="N5" s="300" t="s">
        <v>31</v>
      </c>
    </row>
    <row r="6" spans="1:16" ht="19.95" customHeight="1">
      <c r="A6" s="299"/>
      <c r="B6" s="60" t="s">
        <v>32</v>
      </c>
      <c r="C6" s="60" t="s">
        <v>33</v>
      </c>
      <c r="D6" s="60" t="s">
        <v>34</v>
      </c>
      <c r="E6" s="60" t="s">
        <v>35</v>
      </c>
      <c r="F6" s="60" t="s">
        <v>32</v>
      </c>
      <c r="G6" s="60" t="s">
        <v>33</v>
      </c>
      <c r="H6" s="60" t="s">
        <v>34</v>
      </c>
      <c r="I6" s="60" t="s">
        <v>35</v>
      </c>
      <c r="J6" s="73" t="s">
        <v>36</v>
      </c>
      <c r="K6" s="74" t="s">
        <v>37</v>
      </c>
      <c r="L6" s="73" t="s">
        <v>36</v>
      </c>
      <c r="M6" s="72" t="s">
        <v>37</v>
      </c>
      <c r="N6" s="301"/>
    </row>
    <row r="7" spans="1:16" s="58" customFormat="1" ht="19.95" customHeight="1">
      <c r="A7" s="61" t="str">
        <f>'明细表K2-2'!A11</f>
        <v>待摊费用</v>
      </c>
      <c r="B7" s="113">
        <f>'明细表K2-2'!B11</f>
        <v>0</v>
      </c>
      <c r="C7" s="113">
        <f>'明细表K2-2'!F11</f>
        <v>0</v>
      </c>
      <c r="D7" s="113">
        <f>'明细表K2-2'!G11</f>
        <v>0</v>
      </c>
      <c r="E7" s="113">
        <f>B7+C7+D7</f>
        <v>0</v>
      </c>
      <c r="F7" s="113">
        <f>'明细表K2-2'!E11</f>
        <v>0</v>
      </c>
      <c r="G7" s="113">
        <f>'明细表K2-2'!F11+'明细表K2-2'!H11-'明细表K2-2'!I11</f>
        <v>0</v>
      </c>
      <c r="H7" s="113">
        <f>'明细表K2-2'!G11+'明细表K2-2'!J11-'明细表K2-2'!K11</f>
        <v>0</v>
      </c>
      <c r="I7" s="113">
        <f>F7+G7+H7</f>
        <v>0</v>
      </c>
      <c r="J7" s="114">
        <f>F7-B7</f>
        <v>0</v>
      </c>
      <c r="K7" s="115">
        <f>IF(AND(B7=0,J7=0),0,IF(AND(B7=0,J7&gt;0),1,J7/B7))</f>
        <v>0</v>
      </c>
      <c r="L7" s="114">
        <f>I7-E7</f>
        <v>0</v>
      </c>
      <c r="M7" s="115">
        <f>IF(AND(E7=0,L7=0),0,IF(AND(E7=0,L7&gt;0),1,L7/E7))</f>
        <v>0</v>
      </c>
      <c r="N7" s="75"/>
    </row>
    <row r="8" spans="1:16" s="58" customFormat="1" ht="19.95" customHeight="1">
      <c r="A8" s="61" t="str">
        <f>'明细表K2-2'!A12</f>
        <v>待抵扣进项税</v>
      </c>
      <c r="B8" s="113">
        <f>'明细表K2-2'!B12</f>
        <v>0</v>
      </c>
      <c r="C8" s="113">
        <f>'明细表K2-2'!F12</f>
        <v>0</v>
      </c>
      <c r="D8" s="113">
        <f>'明细表K2-2'!G12</f>
        <v>0</v>
      </c>
      <c r="E8" s="113">
        <f t="shared" ref="E8:E13" si="0">B8+C8+D8</f>
        <v>0</v>
      </c>
      <c r="F8" s="113">
        <f>'明细表K2-2'!E12</f>
        <v>0</v>
      </c>
      <c r="G8" s="113">
        <f>'明细表K2-2'!F12+'明细表K2-2'!H12-'明细表K2-2'!I12</f>
        <v>0</v>
      </c>
      <c r="H8" s="113">
        <f>'明细表K2-2'!G12+'明细表K2-2'!J12-'明细表K2-2'!K12</f>
        <v>0</v>
      </c>
      <c r="I8" s="113">
        <f t="shared" ref="I8:I13" si="1">F8+G8+H8</f>
        <v>0</v>
      </c>
      <c r="J8" s="114">
        <f t="shared" ref="J8:J13" si="2">F8-B8</f>
        <v>0</v>
      </c>
      <c r="K8" s="115">
        <f t="shared" ref="K8:K13" si="3">IF(AND(B8=0,J8=0),0,IF(AND(B8=0,J8&gt;0),1,J8/B8))</f>
        <v>0</v>
      </c>
      <c r="L8" s="114">
        <f t="shared" ref="L8:L13" si="4">I8-E8</f>
        <v>0</v>
      </c>
      <c r="M8" s="115">
        <f t="shared" ref="M8:M13" si="5">IF(AND(E8=0,L8=0),0,IF(AND(E8=0,L8&gt;0),1,L8/E8))</f>
        <v>0</v>
      </c>
      <c r="N8" s="75"/>
    </row>
    <row r="9" spans="1:16" s="58" customFormat="1" ht="19.95" customHeight="1">
      <c r="A9" s="61" t="str">
        <f>'明细表K2-2'!A13</f>
        <v>房租物业费</v>
      </c>
      <c r="B9" s="113">
        <f>'明细表K2-2'!B13</f>
        <v>0</v>
      </c>
      <c r="C9" s="113">
        <f>'明细表K2-2'!F13</f>
        <v>0</v>
      </c>
      <c r="D9" s="113">
        <f>'明细表K2-2'!G13</f>
        <v>0</v>
      </c>
      <c r="E9" s="113">
        <f t="shared" si="0"/>
        <v>0</v>
      </c>
      <c r="F9" s="113">
        <f>'明细表K2-2'!E13</f>
        <v>0</v>
      </c>
      <c r="G9" s="113">
        <f>'明细表K2-2'!F13+'明细表K2-2'!H13-'明细表K2-2'!I13</f>
        <v>0</v>
      </c>
      <c r="H9" s="113">
        <f>'明细表K2-2'!G13+'明细表K2-2'!J13-'明细表K2-2'!K13</f>
        <v>0</v>
      </c>
      <c r="I9" s="113">
        <f t="shared" si="1"/>
        <v>0</v>
      </c>
      <c r="J9" s="114">
        <f t="shared" si="2"/>
        <v>0</v>
      </c>
      <c r="K9" s="115">
        <f t="shared" si="3"/>
        <v>0</v>
      </c>
      <c r="L9" s="114">
        <f t="shared" si="4"/>
        <v>0</v>
      </c>
      <c r="M9" s="115">
        <f t="shared" si="5"/>
        <v>0</v>
      </c>
      <c r="N9" s="75"/>
    </row>
    <row r="10" spans="1:16" s="58" customFormat="1" ht="19.95" customHeight="1">
      <c r="A10" s="61" t="str">
        <f>'明细表K2-2'!A14</f>
        <v>预缴企业所得税</v>
      </c>
      <c r="B10" s="113">
        <f>'明细表K2-2'!B14</f>
        <v>0</v>
      </c>
      <c r="C10" s="113">
        <f>'明细表K2-2'!F14</f>
        <v>0</v>
      </c>
      <c r="D10" s="113">
        <f>'明细表K2-2'!G14</f>
        <v>0</v>
      </c>
      <c r="E10" s="113">
        <f t="shared" si="0"/>
        <v>0</v>
      </c>
      <c r="F10" s="113">
        <f>'明细表K2-2'!E14</f>
        <v>0</v>
      </c>
      <c r="G10" s="113">
        <f>'明细表K2-2'!F14+'明细表K2-2'!H14-'明细表K2-2'!I14</f>
        <v>0</v>
      </c>
      <c r="H10" s="113">
        <f>'明细表K2-2'!G14+'明细表K2-2'!J14-'明细表K2-2'!K14</f>
        <v>0</v>
      </c>
      <c r="I10" s="113">
        <f t="shared" si="1"/>
        <v>0</v>
      </c>
      <c r="J10" s="114">
        <f t="shared" si="2"/>
        <v>0</v>
      </c>
      <c r="K10" s="115">
        <f t="shared" si="3"/>
        <v>0</v>
      </c>
      <c r="L10" s="114">
        <f t="shared" si="4"/>
        <v>0</v>
      </c>
      <c r="M10" s="115">
        <f t="shared" si="5"/>
        <v>0</v>
      </c>
      <c r="N10" s="75"/>
    </row>
    <row r="11" spans="1:16" s="58" customFormat="1" ht="19.95" customHeight="1">
      <c r="A11" s="61" t="str">
        <f>'明细表K2-2'!A15</f>
        <v>委托贷款</v>
      </c>
      <c r="B11" s="113">
        <f>'明细表K2-2'!B15</f>
        <v>0</v>
      </c>
      <c r="C11" s="113">
        <f>'明细表K2-2'!F15</f>
        <v>0</v>
      </c>
      <c r="D11" s="113">
        <f>'明细表K2-2'!G15</f>
        <v>0</v>
      </c>
      <c r="E11" s="113">
        <f t="shared" si="0"/>
        <v>0</v>
      </c>
      <c r="F11" s="113">
        <f>'明细表K2-2'!E15</f>
        <v>0</v>
      </c>
      <c r="G11" s="113">
        <f>'明细表K2-2'!F15+'明细表K2-2'!H15-'明细表K2-2'!I15</f>
        <v>0</v>
      </c>
      <c r="H11" s="113">
        <f>'明细表K2-2'!G15+'明细表K2-2'!J15-'明细表K2-2'!K15</f>
        <v>0</v>
      </c>
      <c r="I11" s="113">
        <f t="shared" si="1"/>
        <v>0</v>
      </c>
      <c r="J11" s="114">
        <f t="shared" si="2"/>
        <v>0</v>
      </c>
      <c r="K11" s="115">
        <f t="shared" si="3"/>
        <v>0</v>
      </c>
      <c r="L11" s="114">
        <f t="shared" si="4"/>
        <v>0</v>
      </c>
      <c r="M11" s="115">
        <f t="shared" si="5"/>
        <v>0</v>
      </c>
      <c r="N11" s="75"/>
    </row>
    <row r="12" spans="1:16" s="58" customFormat="1" ht="19.95" customHeight="1">
      <c r="A12" s="61" t="str">
        <f>'明细表K2-2'!A16</f>
        <v>预缴其他税费</v>
      </c>
      <c r="B12" s="113">
        <f>'明细表K2-2'!B16</f>
        <v>0</v>
      </c>
      <c r="C12" s="113">
        <f>'明细表K2-2'!F16</f>
        <v>0</v>
      </c>
      <c r="D12" s="113">
        <f>'明细表K2-2'!G16</f>
        <v>0</v>
      </c>
      <c r="E12" s="113">
        <f t="shared" si="0"/>
        <v>0</v>
      </c>
      <c r="F12" s="113">
        <f>'明细表K2-2'!E16</f>
        <v>0</v>
      </c>
      <c r="G12" s="113">
        <f>'明细表K2-2'!F16+'明细表K2-2'!H16-'明细表K2-2'!I16</f>
        <v>0</v>
      </c>
      <c r="H12" s="113">
        <f>'明细表K2-2'!G16+'明细表K2-2'!J16-'明细表K2-2'!K16</f>
        <v>0</v>
      </c>
      <c r="I12" s="113">
        <f t="shared" si="1"/>
        <v>0</v>
      </c>
      <c r="J12" s="114">
        <f t="shared" si="2"/>
        <v>0</v>
      </c>
      <c r="K12" s="115">
        <f t="shared" si="3"/>
        <v>0</v>
      </c>
      <c r="L12" s="114">
        <f t="shared" si="4"/>
        <v>0</v>
      </c>
      <c r="M12" s="115">
        <f t="shared" si="5"/>
        <v>0</v>
      </c>
      <c r="N12" s="75"/>
    </row>
    <row r="13" spans="1:16" s="58" customFormat="1" ht="19.95" customHeight="1">
      <c r="A13" s="61" t="str">
        <f>'明细表K2-2'!A17</f>
        <v>应收退货成本</v>
      </c>
      <c r="B13" s="113">
        <f>'明细表K2-2'!B17</f>
        <v>0</v>
      </c>
      <c r="C13" s="113">
        <f>'明细表K2-2'!F17</f>
        <v>0</v>
      </c>
      <c r="D13" s="113">
        <f>'明细表K2-2'!G17</f>
        <v>0</v>
      </c>
      <c r="E13" s="113">
        <f t="shared" si="0"/>
        <v>0</v>
      </c>
      <c r="F13" s="113">
        <f>'明细表K2-2'!E17</f>
        <v>0</v>
      </c>
      <c r="G13" s="113">
        <f>'明细表K2-2'!F17+'明细表K2-2'!H17-'明细表K2-2'!I17</f>
        <v>0</v>
      </c>
      <c r="H13" s="113">
        <f>'明细表K2-2'!G17+'明细表K2-2'!J17-'明细表K2-2'!K17</f>
        <v>0</v>
      </c>
      <c r="I13" s="113">
        <f t="shared" si="1"/>
        <v>0</v>
      </c>
      <c r="J13" s="114">
        <f t="shared" si="2"/>
        <v>0</v>
      </c>
      <c r="K13" s="115">
        <f t="shared" si="3"/>
        <v>0</v>
      </c>
      <c r="L13" s="114">
        <f t="shared" si="4"/>
        <v>0</v>
      </c>
      <c r="M13" s="115">
        <f t="shared" si="5"/>
        <v>0</v>
      </c>
      <c r="N13" s="75"/>
    </row>
    <row r="14" spans="1:16" s="58" customFormat="1" ht="19.95" customHeight="1">
      <c r="A14" s="61"/>
      <c r="B14" s="113"/>
      <c r="C14" s="113"/>
      <c r="D14" s="113"/>
      <c r="E14" s="113"/>
      <c r="F14" s="113"/>
      <c r="G14" s="113"/>
      <c r="H14" s="113"/>
      <c r="I14" s="113"/>
      <c r="J14" s="114"/>
      <c r="K14" s="115"/>
      <c r="L14" s="114"/>
      <c r="M14" s="115"/>
      <c r="N14" s="75"/>
    </row>
    <row r="15" spans="1:16" s="58" customFormat="1" ht="19.95" customHeight="1">
      <c r="A15" s="26" t="s">
        <v>38</v>
      </c>
      <c r="B15" s="188">
        <f>SUM(B7:B14)</f>
        <v>0</v>
      </c>
      <c r="C15" s="188">
        <f t="shared" ref="C15:D15" si="6">SUM(C7:C14)</f>
        <v>0</v>
      </c>
      <c r="D15" s="188">
        <f t="shared" si="6"/>
        <v>0</v>
      </c>
      <c r="E15" s="188">
        <f t="shared" ref="E15" si="7">SUM(E7:E14)</f>
        <v>0</v>
      </c>
      <c r="F15" s="188">
        <f t="shared" ref="F15" si="8">SUM(F7:F14)</f>
        <v>0</v>
      </c>
      <c r="G15" s="188">
        <f t="shared" ref="G15" si="9">SUM(G7:G14)</f>
        <v>0</v>
      </c>
      <c r="H15" s="188">
        <f t="shared" ref="H15" si="10">SUM(H7:H14)</f>
        <v>0</v>
      </c>
      <c r="I15" s="188">
        <f t="shared" ref="I15" si="11">SUM(I7:I14)</f>
        <v>0</v>
      </c>
      <c r="J15" s="189">
        <f t="shared" ref="J15" si="12">F15-B15</f>
        <v>0</v>
      </c>
      <c r="K15" s="190">
        <f t="shared" ref="K15" si="13">IF(AND(B15=0,J15=0),0,IF(AND(B15=0,J15&gt;0),1,J15/B15))</f>
        <v>0</v>
      </c>
      <c r="L15" s="189">
        <f t="shared" ref="L15" si="14">I15-E15</f>
        <v>0</v>
      </c>
      <c r="M15" s="190">
        <f t="shared" ref="M15" si="15">IF(AND(E15=0,L15=0),0,IF(AND(E15=0,L15&gt;0),1,L15/E15))</f>
        <v>0</v>
      </c>
      <c r="N15" s="75"/>
    </row>
    <row r="16" spans="1:16" s="59" customFormat="1" ht="19.95" customHeight="1">
      <c r="A16" s="68" t="s">
        <v>232</v>
      </c>
      <c r="B16" s="62"/>
      <c r="C16" s="62"/>
      <c r="D16" s="62"/>
      <c r="E16" s="62"/>
      <c r="F16" s="62"/>
      <c r="G16" s="63"/>
      <c r="H16" s="62"/>
      <c r="I16" s="62"/>
      <c r="J16" s="76"/>
      <c r="K16" s="76"/>
      <c r="L16" s="76"/>
      <c r="M16" s="4"/>
      <c r="N16" s="4"/>
      <c r="O16" s="4"/>
      <c r="P16" s="4"/>
    </row>
    <row r="17" spans="1:16" s="43" customFormat="1" ht="19.95" customHeight="1">
      <c r="A17" s="64" t="s">
        <v>39</v>
      </c>
      <c r="B17" s="64"/>
      <c r="C17" s="64"/>
      <c r="D17" s="65"/>
      <c r="E17" s="65"/>
      <c r="F17" s="297"/>
      <c r="G17" s="297"/>
      <c r="H17" s="297"/>
      <c r="I17" s="4"/>
      <c r="J17" s="4"/>
      <c r="K17" s="4"/>
      <c r="L17" s="4"/>
      <c r="M17" s="4"/>
      <c r="N17" s="4"/>
      <c r="O17" s="4"/>
      <c r="P17" s="4"/>
    </row>
    <row r="18" spans="1:16" s="59" customFormat="1" ht="19.95" customHeight="1">
      <c r="A18" s="64" t="s">
        <v>233</v>
      </c>
      <c r="B18" s="64"/>
      <c r="C18" s="64"/>
      <c r="D18" s="64"/>
      <c r="E18" s="64"/>
      <c r="F18" s="64"/>
      <c r="G18" s="64"/>
      <c r="H18" s="64"/>
      <c r="I18" s="4"/>
      <c r="J18" s="4"/>
      <c r="K18" s="4"/>
      <c r="L18" s="4"/>
      <c r="M18" s="4"/>
      <c r="N18" s="4"/>
      <c r="O18" s="4"/>
      <c r="P18" s="4"/>
    </row>
    <row r="19" spans="1:16" s="43" customFormat="1" ht="19.95" customHeight="1">
      <c r="A19" s="66" t="s">
        <v>40</v>
      </c>
      <c r="B19" s="67"/>
      <c r="C19" s="67"/>
      <c r="D19" s="67"/>
      <c r="E19" s="67"/>
      <c r="F19" s="67"/>
      <c r="G19" s="67"/>
      <c r="H19" s="67"/>
      <c r="I19" s="4"/>
      <c r="J19" s="4"/>
      <c r="K19" s="4"/>
      <c r="L19" s="4"/>
      <c r="M19" s="4"/>
      <c r="N19" s="4"/>
      <c r="O19" s="4"/>
      <c r="P19" s="4"/>
    </row>
    <row r="20" spans="1:16" s="43" customFormat="1" ht="19.95" customHeight="1">
      <c r="A20" s="64"/>
      <c r="B20" s="67"/>
      <c r="C20" s="67"/>
      <c r="D20" s="67"/>
      <c r="E20" s="67"/>
      <c r="F20" s="67"/>
      <c r="G20" s="67"/>
      <c r="H20" s="67"/>
      <c r="I20" s="4"/>
      <c r="J20" s="4"/>
      <c r="K20" s="4"/>
      <c r="L20" s="4"/>
      <c r="M20" s="4"/>
      <c r="N20" s="4"/>
      <c r="O20" s="4"/>
      <c r="P20" s="4"/>
    </row>
    <row r="21" spans="1:16" ht="19.95" customHeight="1">
      <c r="A21" s="68" t="s">
        <v>170</v>
      </c>
      <c r="B21" s="64"/>
      <c r="C21" s="64"/>
      <c r="D21" s="64"/>
      <c r="E21" s="64"/>
      <c r="F21" s="69"/>
      <c r="G21" s="69"/>
      <c r="H21" s="64"/>
    </row>
    <row r="22" spans="1:16" ht="19.95" customHeight="1">
      <c r="A22" s="9"/>
      <c r="B22" s="64"/>
      <c r="C22" s="64"/>
      <c r="D22" s="64"/>
      <c r="E22" s="64"/>
      <c r="F22" s="64"/>
      <c r="G22" s="64"/>
      <c r="H22" s="64"/>
    </row>
    <row r="23" spans="1:16" ht="20.100000000000001" customHeight="1">
      <c r="A23" s="70"/>
      <c r="B23" s="64"/>
      <c r="C23" s="64"/>
      <c r="D23" s="64"/>
      <c r="E23" s="64"/>
      <c r="F23" s="64"/>
      <c r="G23" s="64"/>
      <c r="H23" s="64"/>
    </row>
  </sheetData>
  <mergeCells count="9">
    <mergeCell ref="F17:H17"/>
    <mergeCell ref="A5:A6"/>
    <mergeCell ref="N5:N6"/>
    <mergeCell ref="A1:N1"/>
    <mergeCell ref="A2:N2"/>
    <mergeCell ref="B5:E5"/>
    <mergeCell ref="F5:I5"/>
    <mergeCell ref="J5:K5"/>
    <mergeCell ref="L5:M5"/>
  </mergeCells>
  <phoneticPr fontId="62" type="noConversion"/>
  <hyperlinks>
    <hyperlink ref="N3" location="底稿目录!A1" display="底稿目录!A1"/>
  </hyperlinks>
  <printOptions horizontalCentered="1"/>
  <pageMargins left="0.74803149606299213" right="0.35433070866141736" top="0.59055118110236227" bottom="0.27559055118110237" header="0.51181102362204722" footer="0.19685039370078741"/>
  <pageSetup paperSize="9" scale="82"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M13"/>
  <sheetViews>
    <sheetView view="pageBreakPreview" zoomScaleNormal="100" workbookViewId="0">
      <selection activeCell="G13" sqref="G13"/>
    </sheetView>
  </sheetViews>
  <sheetFormatPr defaultColWidth="9" defaultRowHeight="15.6"/>
  <cols>
    <col min="1" max="1" width="25.8984375" style="40" customWidth="1"/>
    <col min="2" max="2" width="17.69921875" style="40" customWidth="1"/>
    <col min="3" max="3" width="21.59765625" style="40" customWidth="1"/>
    <col min="4" max="4" width="7.5" style="40" customWidth="1"/>
    <col min="5" max="5" width="6" style="40" customWidth="1"/>
    <col min="6" max="16384" width="9" style="40"/>
  </cols>
  <sheetData>
    <row r="1" spans="1:13" s="39" customFormat="1" ht="19.95" customHeight="1">
      <c r="A1" s="314" t="s">
        <v>13</v>
      </c>
      <c r="B1" s="314"/>
      <c r="C1" s="314"/>
      <c r="D1" s="314"/>
      <c r="E1" s="314"/>
      <c r="F1" s="41"/>
      <c r="G1" s="41"/>
      <c r="H1" s="41"/>
      <c r="I1" s="41"/>
      <c r="J1" s="41"/>
      <c r="K1" s="41"/>
      <c r="L1" s="41"/>
      <c r="M1" s="41"/>
    </row>
    <row r="2" spans="1:13" s="39" customFormat="1" ht="19.95" customHeight="1">
      <c r="A2" s="315" t="s">
        <v>41</v>
      </c>
      <c r="B2" s="315"/>
      <c r="C2" s="315"/>
      <c r="D2" s="315"/>
      <c r="E2" s="315"/>
      <c r="F2" s="42"/>
      <c r="G2" s="42"/>
      <c r="H2" s="42"/>
      <c r="I2" s="42"/>
      <c r="J2" s="42"/>
      <c r="K2" s="42"/>
      <c r="L2" s="42"/>
      <c r="M2" s="42"/>
    </row>
    <row r="3" spans="1:13" s="39" customFormat="1" ht="19.95" customHeight="1">
      <c r="A3" s="43" t="str">
        <f>底稿目录!A2</f>
        <v>被审计单位：</v>
      </c>
      <c r="B3" s="44" t="str">
        <f>底稿目录!A4</f>
        <v>编制人：</v>
      </c>
      <c r="C3" s="44" t="str">
        <f>底稿目录!A5</f>
        <v>编制日期：</v>
      </c>
      <c r="D3" s="44" t="s">
        <v>92</v>
      </c>
      <c r="E3" s="44">
        <f>底稿目录!F7</f>
        <v>0</v>
      </c>
      <c r="G3" s="43"/>
      <c r="J3" s="43"/>
      <c r="K3" s="43"/>
      <c r="M3" s="43"/>
    </row>
    <row r="4" spans="1:13" s="39" customFormat="1" ht="19.95" customHeight="1">
      <c r="A4" s="43" t="str">
        <f>底稿目录!A3</f>
        <v>截止日：202X年12月31日</v>
      </c>
      <c r="B4" s="44" t="str">
        <f>底稿目录!A6</f>
        <v>复核人：</v>
      </c>
      <c r="C4" s="44" t="str">
        <f>底稿目录!A7</f>
        <v>复核日期：</v>
      </c>
      <c r="D4" s="44" t="s">
        <v>42</v>
      </c>
      <c r="E4" s="44"/>
      <c r="G4" s="43"/>
      <c r="J4" s="43"/>
      <c r="K4" s="43"/>
      <c r="M4" s="54"/>
    </row>
    <row r="5" spans="1:13" ht="19.95" customHeight="1">
      <c r="A5" s="45" t="s">
        <v>43</v>
      </c>
      <c r="B5" s="46"/>
      <c r="C5" s="46"/>
      <c r="D5" s="46"/>
      <c r="E5" s="46"/>
    </row>
    <row r="6" spans="1:13" ht="19.95" customHeight="1">
      <c r="A6" s="48" t="s">
        <v>44</v>
      </c>
      <c r="B6" s="49" t="s">
        <v>28</v>
      </c>
      <c r="C6" s="49" t="s">
        <v>27</v>
      </c>
      <c r="D6" s="111"/>
      <c r="E6" s="46"/>
    </row>
    <row r="7" spans="1:13" ht="19.95" customHeight="1">
      <c r="A7" s="55" t="str">
        <f>'明细表K2-2'!A11</f>
        <v>待摊费用</v>
      </c>
      <c r="B7" s="56">
        <f>'明细表K2-2'!O11</f>
        <v>0</v>
      </c>
      <c r="C7" s="56">
        <f>'明细表K2-2'!L11</f>
        <v>0</v>
      </c>
      <c r="D7" s="56"/>
      <c r="E7" s="46"/>
    </row>
    <row r="8" spans="1:13" ht="19.95" customHeight="1">
      <c r="A8" s="55" t="str">
        <f>'明细表K2-2'!A12</f>
        <v>待抵扣进项税</v>
      </c>
      <c r="B8" s="56">
        <f>'明细表K2-2'!O12</f>
        <v>0</v>
      </c>
      <c r="C8" s="56">
        <f>'明细表K2-2'!L12</f>
        <v>0</v>
      </c>
      <c r="D8" s="56"/>
      <c r="E8" s="46"/>
    </row>
    <row r="9" spans="1:13" ht="19.95" customHeight="1">
      <c r="A9" s="55" t="str">
        <f>'明细表K2-2'!A13</f>
        <v>房租物业费</v>
      </c>
      <c r="B9" s="56">
        <f>'明细表K2-2'!O13</f>
        <v>0</v>
      </c>
      <c r="C9" s="56">
        <f>'明细表K2-2'!L13</f>
        <v>0</v>
      </c>
      <c r="D9" s="56"/>
      <c r="E9" s="46"/>
    </row>
    <row r="10" spans="1:13" ht="19.95" customHeight="1">
      <c r="A10" s="55" t="str">
        <f>'明细表K2-2'!A14</f>
        <v>预缴企业所得税</v>
      </c>
      <c r="B10" s="56">
        <f>'明细表K2-2'!O14</f>
        <v>0</v>
      </c>
      <c r="C10" s="56">
        <f>'明细表K2-2'!L14</f>
        <v>0</v>
      </c>
      <c r="D10" s="56"/>
      <c r="E10" s="46"/>
    </row>
    <row r="11" spans="1:13" ht="19.95" customHeight="1">
      <c r="A11" s="55" t="str">
        <f>'明细表K2-2'!A17</f>
        <v>应收退货成本</v>
      </c>
      <c r="B11" s="56">
        <f>'明细表K2-2'!O17</f>
        <v>0</v>
      </c>
      <c r="C11" s="56">
        <f>'明细表K2-2'!L17</f>
        <v>0</v>
      </c>
      <c r="D11" s="56"/>
      <c r="E11" s="46"/>
    </row>
    <row r="12" spans="1:13" ht="19.95" customHeight="1">
      <c r="A12" s="48" t="s">
        <v>45</v>
      </c>
      <c r="B12" s="53">
        <f>SUM(B7:B11)</f>
        <v>0</v>
      </c>
      <c r="C12" s="53">
        <f>SUM(C7:C11)</f>
        <v>0</v>
      </c>
      <c r="D12" s="112"/>
      <c r="E12" s="46"/>
    </row>
    <row r="13" spans="1:13" ht="19.95" customHeight="1">
      <c r="A13" s="47" t="s">
        <v>46</v>
      </c>
      <c r="B13" s="46"/>
      <c r="C13" s="46"/>
      <c r="D13" s="46"/>
      <c r="E13" s="46"/>
    </row>
  </sheetData>
  <mergeCells count="2">
    <mergeCell ref="A1:E1"/>
    <mergeCell ref="A2:E2"/>
  </mergeCells>
  <phoneticPr fontId="62" type="noConversion"/>
  <pageMargins left="0.70866141732283505" right="0.70866141732283505" top="0.74803149606299202" bottom="0.74803149606299202" header="0.31496062992126" footer="0.31496062992126"/>
  <pageSetup paperSize="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13"/>
  <sheetViews>
    <sheetView view="pageBreakPreview" zoomScaleNormal="100" workbookViewId="0">
      <selection activeCell="H13" sqref="H13"/>
    </sheetView>
  </sheetViews>
  <sheetFormatPr defaultColWidth="9" defaultRowHeight="15.6"/>
  <cols>
    <col min="1" max="1" width="26.5" style="40" customWidth="1"/>
    <col min="2" max="2" width="16.19921875" style="40" customWidth="1"/>
    <col min="3" max="3" width="23.796875" style="40" customWidth="1"/>
    <col min="4" max="4" width="7.296875" style="40" customWidth="1"/>
    <col min="5" max="5" width="5.59765625" style="40" customWidth="1"/>
    <col min="6" max="16384" width="9" style="40"/>
  </cols>
  <sheetData>
    <row r="1" spans="1:13" s="39" customFormat="1" ht="19.95" customHeight="1">
      <c r="A1" s="314" t="s">
        <v>13</v>
      </c>
      <c r="B1" s="314"/>
      <c r="C1" s="314"/>
      <c r="D1" s="314"/>
      <c r="E1" s="314"/>
      <c r="F1" s="41"/>
      <c r="G1" s="41"/>
      <c r="H1" s="41"/>
      <c r="I1" s="41"/>
      <c r="J1" s="41"/>
      <c r="K1" s="41"/>
      <c r="L1" s="41"/>
      <c r="M1" s="41"/>
    </row>
    <row r="2" spans="1:13" s="39" customFormat="1" ht="19.95" customHeight="1">
      <c r="A2" s="315" t="s">
        <v>5</v>
      </c>
      <c r="B2" s="315"/>
      <c r="C2" s="315"/>
      <c r="D2" s="315"/>
      <c r="E2" s="315"/>
      <c r="F2" s="42"/>
      <c r="G2" s="42"/>
      <c r="H2" s="42"/>
      <c r="I2" s="42"/>
      <c r="J2" s="42"/>
      <c r="K2" s="42"/>
      <c r="L2" s="42"/>
      <c r="M2" s="42"/>
    </row>
    <row r="3" spans="1:13" s="39" customFormat="1" ht="19.95" customHeight="1">
      <c r="A3" s="43" t="str">
        <f>底稿目录!A2</f>
        <v>被审计单位：</v>
      </c>
      <c r="B3" s="44" t="str">
        <f>底稿目录!A4</f>
        <v>编制人：</v>
      </c>
      <c r="C3" s="44" t="str">
        <f>底稿目录!A5</f>
        <v>编制日期：</v>
      </c>
      <c r="D3" s="44" t="s">
        <v>93</v>
      </c>
      <c r="E3" s="44">
        <f>底稿目录!F6</f>
        <v>0</v>
      </c>
      <c r="J3" s="43"/>
      <c r="K3" s="43"/>
      <c r="M3" s="43"/>
    </row>
    <row r="4" spans="1:13" s="39" customFormat="1" ht="19.95" customHeight="1">
      <c r="A4" s="43" t="str">
        <f>底稿目录!A3</f>
        <v>截止日：202X年12月31日</v>
      </c>
      <c r="B4" s="44" t="str">
        <f>底稿目录!A6</f>
        <v>复核人：</v>
      </c>
      <c r="C4" s="44" t="str">
        <f>底稿目录!A7</f>
        <v>复核日期：</v>
      </c>
      <c r="D4" s="44" t="s">
        <v>42</v>
      </c>
      <c r="E4" s="44"/>
      <c r="J4" s="43"/>
      <c r="K4" s="43"/>
      <c r="M4" s="54"/>
    </row>
    <row r="5" spans="1:13" ht="19.95" customHeight="1">
      <c r="A5" s="45" t="s">
        <v>6</v>
      </c>
      <c r="B5" s="46"/>
      <c r="C5" s="46"/>
      <c r="D5" s="46"/>
      <c r="E5" s="46"/>
    </row>
    <row r="6" spans="1:13" ht="19.95" customHeight="1">
      <c r="A6" s="47" t="s">
        <v>47</v>
      </c>
      <c r="B6" s="46"/>
      <c r="C6" s="46"/>
      <c r="D6" s="46"/>
      <c r="E6" s="46"/>
    </row>
    <row r="7" spans="1:13" ht="19.95" customHeight="1">
      <c r="A7" s="48" t="s">
        <v>48</v>
      </c>
      <c r="B7" s="49" t="s">
        <v>49</v>
      </c>
      <c r="C7" s="49" t="s">
        <v>50</v>
      </c>
      <c r="D7" s="111"/>
      <c r="E7" s="46"/>
    </row>
    <row r="8" spans="1:13" ht="19.95" customHeight="1">
      <c r="A8" s="50" t="str">
        <f>'明细表K2-2'!A11</f>
        <v>待摊费用</v>
      </c>
      <c r="B8" s="51">
        <f>'明细表K2-2'!O11</f>
        <v>0</v>
      </c>
      <c r="C8" s="51">
        <f>'明细表K2-2'!L11</f>
        <v>0</v>
      </c>
      <c r="D8" s="51"/>
      <c r="E8" s="46"/>
    </row>
    <row r="9" spans="1:13" ht="19.95" customHeight="1">
      <c r="A9" s="50" t="str">
        <f>'明细表K2-2'!A12</f>
        <v>待抵扣进项税</v>
      </c>
      <c r="B9" s="51">
        <f>'明细表K2-2'!O12</f>
        <v>0</v>
      </c>
      <c r="C9" s="51">
        <f>'明细表K2-2'!L12</f>
        <v>0</v>
      </c>
      <c r="D9" s="51"/>
      <c r="E9" s="46"/>
    </row>
    <row r="10" spans="1:13" ht="19.95" customHeight="1">
      <c r="A10" s="50" t="str">
        <f>'明细表K2-2'!A13</f>
        <v>房租物业费</v>
      </c>
      <c r="B10" s="51">
        <f>'明细表K2-2'!O13</f>
        <v>0</v>
      </c>
      <c r="C10" s="51">
        <f>'明细表K2-2'!L13</f>
        <v>0</v>
      </c>
      <c r="D10" s="51"/>
      <c r="E10" s="46"/>
    </row>
    <row r="11" spans="1:13" ht="19.95" customHeight="1">
      <c r="A11" s="50" t="str">
        <f>'明细表K2-2'!A14</f>
        <v>预缴企业所得税</v>
      </c>
      <c r="B11" s="51">
        <f>'明细表K2-2'!O14</f>
        <v>0</v>
      </c>
      <c r="C11" s="51">
        <f>'明细表K2-2'!L14</f>
        <v>0</v>
      </c>
      <c r="D11" s="51"/>
      <c r="E11" s="46"/>
    </row>
    <row r="12" spans="1:13" ht="19.95" customHeight="1">
      <c r="A12" s="50" t="str">
        <f>'明细表K2-2'!A17</f>
        <v>应收退货成本</v>
      </c>
      <c r="B12" s="51">
        <f>'明细表K2-2'!O17</f>
        <v>0</v>
      </c>
      <c r="C12" s="51">
        <f>'明细表K2-2'!L17</f>
        <v>0</v>
      </c>
      <c r="D12" s="51"/>
      <c r="E12" s="46"/>
    </row>
    <row r="13" spans="1:13" ht="19.95" customHeight="1">
      <c r="A13" s="52" t="s">
        <v>51</v>
      </c>
      <c r="B13" s="53">
        <f>SUM(B8:B12)</f>
        <v>0</v>
      </c>
      <c r="C13" s="53">
        <f>SUM(C8:C12)</f>
        <v>0</v>
      </c>
      <c r="D13" s="112"/>
      <c r="E13" s="46"/>
    </row>
  </sheetData>
  <mergeCells count="2">
    <mergeCell ref="A1:E1"/>
    <mergeCell ref="A2:E2"/>
  </mergeCells>
  <phoneticPr fontId="62" type="noConversion"/>
  <pageMargins left="0.70866141732283505" right="0.70866141732283505" top="0.74803149606299202" bottom="0.74803149606299202" header="0.31496062992126" footer="0.31496062992126"/>
  <pageSetup paperSize="9" orientation="portrait"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R38"/>
  <sheetViews>
    <sheetView view="pageBreakPreview" zoomScaleNormal="115" workbookViewId="0">
      <selection sqref="A1:P1"/>
    </sheetView>
  </sheetViews>
  <sheetFormatPr defaultColWidth="9" defaultRowHeight="15.6"/>
  <cols>
    <col min="1" max="1" width="20.5" style="17" customWidth="1"/>
    <col min="2" max="5" width="10.69921875" style="17" customWidth="1"/>
    <col min="6" max="11" width="11.69921875" style="17" customWidth="1"/>
    <col min="12" max="15" width="9.8984375" style="17" customWidth="1"/>
    <col min="16" max="16384" width="9" style="17"/>
  </cols>
  <sheetData>
    <row r="1" spans="1:18" s="12" customFormat="1" ht="19.95" customHeight="1">
      <c r="A1" s="278" t="s">
        <v>13</v>
      </c>
      <c r="B1" s="278"/>
      <c r="C1" s="278"/>
      <c r="D1" s="278"/>
      <c r="E1" s="278"/>
      <c r="F1" s="278"/>
      <c r="G1" s="278"/>
      <c r="H1" s="278"/>
      <c r="I1" s="278"/>
      <c r="J1" s="278"/>
      <c r="K1" s="278"/>
      <c r="L1" s="278"/>
      <c r="M1" s="278"/>
      <c r="N1" s="278"/>
      <c r="O1" s="278"/>
      <c r="P1" s="278"/>
      <c r="Q1" s="37"/>
      <c r="R1" s="37"/>
    </row>
    <row r="2" spans="1:18" s="13" customFormat="1" ht="19.95" customHeight="1">
      <c r="A2" s="279" t="s">
        <v>52</v>
      </c>
      <c r="B2" s="279"/>
      <c r="C2" s="279"/>
      <c r="D2" s="279"/>
      <c r="E2" s="279"/>
      <c r="F2" s="279"/>
      <c r="G2" s="279"/>
      <c r="H2" s="279"/>
      <c r="I2" s="279"/>
      <c r="J2" s="279"/>
      <c r="K2" s="279"/>
      <c r="L2" s="279"/>
      <c r="M2" s="279"/>
      <c r="N2" s="279"/>
      <c r="O2" s="279"/>
      <c r="P2" s="279"/>
      <c r="Q2" s="38"/>
      <c r="R2" s="38"/>
    </row>
    <row r="3" spans="1:18" s="14" customFormat="1" ht="19.95" customHeight="1">
      <c r="A3" s="4" t="str">
        <f>底稿目录!A2</f>
        <v>被审计单位：</v>
      </c>
      <c r="B3" s="4"/>
      <c r="D3" s="6" t="str">
        <f>底稿目录!A4</f>
        <v>编制人：</v>
      </c>
      <c r="I3" s="9"/>
      <c r="J3" s="30" t="str">
        <f>底稿目录!A5</f>
        <v>编制日期：</v>
      </c>
      <c r="K3" s="31"/>
      <c r="O3" s="109" t="s">
        <v>94</v>
      </c>
      <c r="P3" s="225" t="str">
        <f>底稿目录!F8</f>
        <v>K2-2</v>
      </c>
    </row>
    <row r="4" spans="1:18" s="14" customFormat="1" ht="19.95" customHeight="1">
      <c r="A4" s="4" t="str">
        <f>底稿目录!A3</f>
        <v>截止日：202X年12月31日</v>
      </c>
      <c r="B4" s="18"/>
      <c r="D4" s="6" t="str">
        <f>底稿目录!A6</f>
        <v>复核人：</v>
      </c>
      <c r="I4" s="9"/>
      <c r="J4" s="30" t="str">
        <f>底稿目录!A7</f>
        <v>复核日期：</v>
      </c>
      <c r="K4" s="31"/>
      <c r="O4" s="109" t="s">
        <v>42</v>
      </c>
      <c r="P4" s="6"/>
    </row>
    <row r="5" spans="1:18" s="14" customFormat="1" ht="19.95" customHeight="1">
      <c r="A5" s="19" t="s">
        <v>53</v>
      </c>
      <c r="B5" s="20"/>
      <c r="F5" s="21"/>
      <c r="G5" s="9"/>
      <c r="I5" s="9"/>
      <c r="J5" s="32"/>
      <c r="K5" s="9"/>
      <c r="L5" s="9"/>
      <c r="M5" s="33"/>
    </row>
    <row r="6" spans="1:18" s="14" customFormat="1" ht="19.95" customHeight="1">
      <c r="A6" s="128" t="s">
        <v>169</v>
      </c>
      <c r="B6" s="129"/>
      <c r="C6" s="129"/>
      <c r="D6" s="130"/>
      <c r="E6" s="130"/>
      <c r="F6" s="130"/>
      <c r="G6" s="128" t="s">
        <v>113</v>
      </c>
      <c r="H6" s="130"/>
      <c r="I6" s="130"/>
      <c r="J6" s="130"/>
      <c r="K6" s="130"/>
      <c r="L6" s="130"/>
      <c r="M6" s="130"/>
      <c r="N6" s="130"/>
    </row>
    <row r="7" spans="1:18" s="14" customFormat="1" ht="19.95" customHeight="1">
      <c r="A7" s="128" t="s">
        <v>253</v>
      </c>
      <c r="B7" s="129"/>
      <c r="C7" s="129"/>
      <c r="D7" s="130"/>
      <c r="E7" s="130"/>
      <c r="F7" s="130"/>
      <c r="G7" s="128"/>
      <c r="H7" s="130"/>
      <c r="I7" s="130"/>
      <c r="J7" s="130"/>
      <c r="K7" s="130"/>
      <c r="L7" s="130"/>
      <c r="M7" s="130"/>
      <c r="N7" s="130"/>
    </row>
    <row r="8" spans="1:18" s="14" customFormat="1" ht="19.95" customHeight="1">
      <c r="A8" s="22" t="s">
        <v>54</v>
      </c>
      <c r="B8" s="9"/>
      <c r="C8" s="9"/>
      <c r="E8" s="9"/>
      <c r="F8" s="23"/>
      <c r="I8" s="9"/>
      <c r="J8" s="32"/>
      <c r="K8" s="9"/>
      <c r="L8" s="9"/>
      <c r="M8" s="33"/>
    </row>
    <row r="9" spans="1:18" s="15" customFormat="1" ht="19.95" customHeight="1">
      <c r="A9" s="317" t="s">
        <v>55</v>
      </c>
      <c r="B9" s="321" t="s">
        <v>32</v>
      </c>
      <c r="C9" s="322"/>
      <c r="D9" s="322"/>
      <c r="E9" s="323"/>
      <c r="F9" s="324" t="s">
        <v>56</v>
      </c>
      <c r="G9" s="324"/>
      <c r="H9" s="324" t="s">
        <v>33</v>
      </c>
      <c r="I9" s="325"/>
      <c r="J9" s="326" t="s">
        <v>34</v>
      </c>
      <c r="K9" s="327"/>
      <c r="L9" s="328" t="s">
        <v>35</v>
      </c>
      <c r="M9" s="329"/>
      <c r="N9" s="329"/>
      <c r="O9" s="330"/>
      <c r="P9" s="319" t="s">
        <v>207</v>
      </c>
    </row>
    <row r="10" spans="1:18" s="15" customFormat="1" ht="19.95" customHeight="1">
      <c r="A10" s="318"/>
      <c r="B10" s="24" t="s">
        <v>201</v>
      </c>
      <c r="C10" s="24" t="s">
        <v>202</v>
      </c>
      <c r="D10" s="24" t="s">
        <v>203</v>
      </c>
      <c r="E10" s="24" t="s">
        <v>204</v>
      </c>
      <c r="F10" s="173" t="s">
        <v>205</v>
      </c>
      <c r="G10" s="173" t="s">
        <v>206</v>
      </c>
      <c r="H10" s="173" t="s">
        <v>57</v>
      </c>
      <c r="I10" s="173" t="s">
        <v>58</v>
      </c>
      <c r="J10" s="34" t="s">
        <v>57</v>
      </c>
      <c r="K10" s="34" t="s">
        <v>58</v>
      </c>
      <c r="L10" s="24" t="s">
        <v>201</v>
      </c>
      <c r="M10" s="24" t="s">
        <v>202</v>
      </c>
      <c r="N10" s="24" t="s">
        <v>203</v>
      </c>
      <c r="O10" s="24" t="s">
        <v>204</v>
      </c>
      <c r="P10" s="320"/>
    </row>
    <row r="11" spans="1:18" s="15" customFormat="1" ht="19.95" customHeight="1">
      <c r="A11" s="191" t="s">
        <v>59</v>
      </c>
      <c r="B11" s="25"/>
      <c r="C11" s="25"/>
      <c r="D11" s="25"/>
      <c r="E11" s="116">
        <f>B11+C11-D11</f>
        <v>0</v>
      </c>
      <c r="F11" s="25"/>
      <c r="G11" s="25"/>
      <c r="H11" s="25"/>
      <c r="I11" s="25"/>
      <c r="J11" s="25"/>
      <c r="K11" s="25"/>
      <c r="L11" s="113">
        <f>B11+F11+G11</f>
        <v>0</v>
      </c>
      <c r="M11" s="113">
        <f>C11+H11+J11</f>
        <v>0</v>
      </c>
      <c r="N11" s="113">
        <f>D11+I11+K11</f>
        <v>0</v>
      </c>
      <c r="O11" s="113">
        <f>L11+M11-N11</f>
        <v>0</v>
      </c>
      <c r="P11" s="25"/>
    </row>
    <row r="12" spans="1:18" s="15" customFormat="1" ht="19.95" customHeight="1">
      <c r="A12" s="191" t="s">
        <v>7</v>
      </c>
      <c r="B12" s="25"/>
      <c r="C12" s="25"/>
      <c r="D12" s="25"/>
      <c r="E12" s="116">
        <f t="shared" ref="E12:E19" si="0">B12+C12-D12</f>
        <v>0</v>
      </c>
      <c r="F12" s="25"/>
      <c r="G12" s="25"/>
      <c r="H12" s="25"/>
      <c r="I12" s="25"/>
      <c r="J12" s="25"/>
      <c r="K12" s="25"/>
      <c r="L12" s="113">
        <f>B12+F12+G12</f>
        <v>0</v>
      </c>
      <c r="M12" s="113">
        <f t="shared" ref="M12:M17" si="1">C12+H12+J12</f>
        <v>0</v>
      </c>
      <c r="N12" s="113">
        <f t="shared" ref="N12:N17" si="2">D12+I12+K12</f>
        <v>0</v>
      </c>
      <c r="O12" s="113">
        <f t="shared" ref="O12:O17" si="3">L12+M12-N12</f>
        <v>0</v>
      </c>
      <c r="P12" s="25"/>
    </row>
    <row r="13" spans="1:18" s="15" customFormat="1" ht="19.95" customHeight="1">
      <c r="A13" s="191" t="s">
        <v>8</v>
      </c>
      <c r="B13" s="25"/>
      <c r="C13" s="25"/>
      <c r="D13" s="25"/>
      <c r="E13" s="116">
        <f t="shared" si="0"/>
        <v>0</v>
      </c>
      <c r="F13" s="25"/>
      <c r="G13" s="25"/>
      <c r="H13" s="25"/>
      <c r="I13" s="25"/>
      <c r="J13" s="25"/>
      <c r="K13" s="25"/>
      <c r="L13" s="113">
        <f t="shared" ref="L13:L17" si="4">B13+F13+G13</f>
        <v>0</v>
      </c>
      <c r="M13" s="113">
        <f t="shared" si="1"/>
        <v>0</v>
      </c>
      <c r="N13" s="113">
        <f t="shared" si="2"/>
        <v>0</v>
      </c>
      <c r="O13" s="113">
        <f t="shared" si="3"/>
        <v>0</v>
      </c>
      <c r="P13" s="25"/>
    </row>
    <row r="14" spans="1:18" s="15" customFormat="1" ht="19.95" customHeight="1">
      <c r="A14" s="191" t="s">
        <v>9</v>
      </c>
      <c r="B14" s="25"/>
      <c r="C14" s="25"/>
      <c r="D14" s="25"/>
      <c r="E14" s="116">
        <f t="shared" si="0"/>
        <v>0</v>
      </c>
      <c r="F14" s="25"/>
      <c r="G14" s="25"/>
      <c r="H14" s="25"/>
      <c r="I14" s="25"/>
      <c r="J14" s="25"/>
      <c r="K14" s="25"/>
      <c r="L14" s="113">
        <f t="shared" si="4"/>
        <v>0</v>
      </c>
      <c r="M14" s="113">
        <f t="shared" si="1"/>
        <v>0</v>
      </c>
      <c r="N14" s="113">
        <f t="shared" si="2"/>
        <v>0</v>
      </c>
      <c r="O14" s="113">
        <f t="shared" si="3"/>
        <v>0</v>
      </c>
      <c r="P14" s="25"/>
    </row>
    <row r="15" spans="1:18" s="15" customFormat="1" ht="19.95" customHeight="1">
      <c r="A15" s="191" t="s">
        <v>10</v>
      </c>
      <c r="B15" s="25"/>
      <c r="C15" s="25"/>
      <c r="D15" s="25"/>
      <c r="E15" s="116">
        <f t="shared" si="0"/>
        <v>0</v>
      </c>
      <c r="F15" s="25"/>
      <c r="G15" s="25"/>
      <c r="H15" s="25"/>
      <c r="I15" s="25"/>
      <c r="J15" s="25"/>
      <c r="K15" s="25"/>
      <c r="L15" s="113">
        <f t="shared" si="4"/>
        <v>0</v>
      </c>
      <c r="M15" s="113">
        <f t="shared" si="1"/>
        <v>0</v>
      </c>
      <c r="N15" s="113">
        <f t="shared" si="2"/>
        <v>0</v>
      </c>
      <c r="O15" s="113">
        <f t="shared" si="3"/>
        <v>0</v>
      </c>
      <c r="P15" s="25"/>
    </row>
    <row r="16" spans="1:18" s="15" customFormat="1" ht="19.95" customHeight="1">
      <c r="A16" s="191" t="s">
        <v>11</v>
      </c>
      <c r="B16" s="25"/>
      <c r="C16" s="25"/>
      <c r="D16" s="25"/>
      <c r="E16" s="116">
        <f t="shared" si="0"/>
        <v>0</v>
      </c>
      <c r="F16" s="25"/>
      <c r="G16" s="25"/>
      <c r="H16" s="25"/>
      <c r="I16" s="25"/>
      <c r="J16" s="25"/>
      <c r="K16" s="25"/>
      <c r="L16" s="113">
        <f t="shared" si="4"/>
        <v>0</v>
      </c>
      <c r="M16" s="113">
        <f t="shared" si="1"/>
        <v>0</v>
      </c>
      <c r="N16" s="113">
        <f t="shared" si="2"/>
        <v>0</v>
      </c>
      <c r="O16" s="113">
        <f t="shared" si="3"/>
        <v>0</v>
      </c>
      <c r="P16" s="25"/>
    </row>
    <row r="17" spans="1:16" s="16" customFormat="1" ht="19.95" customHeight="1">
      <c r="A17" s="191" t="s">
        <v>12</v>
      </c>
      <c r="B17" s="25"/>
      <c r="C17" s="25"/>
      <c r="D17" s="25"/>
      <c r="E17" s="116">
        <f t="shared" si="0"/>
        <v>0</v>
      </c>
      <c r="F17" s="25"/>
      <c r="G17" s="25"/>
      <c r="H17" s="25"/>
      <c r="I17" s="25"/>
      <c r="J17" s="25"/>
      <c r="K17" s="25"/>
      <c r="L17" s="113">
        <f t="shared" si="4"/>
        <v>0</v>
      </c>
      <c r="M17" s="113">
        <f t="shared" si="1"/>
        <v>0</v>
      </c>
      <c r="N17" s="113">
        <f t="shared" si="2"/>
        <v>0</v>
      </c>
      <c r="O17" s="113">
        <f t="shared" si="3"/>
        <v>0</v>
      </c>
      <c r="P17" s="25"/>
    </row>
    <row r="18" spans="1:16" s="16" customFormat="1" ht="19.95" customHeight="1">
      <c r="A18" s="191" t="s">
        <v>200</v>
      </c>
      <c r="B18" s="25"/>
      <c r="C18" s="25"/>
      <c r="D18" s="25"/>
      <c r="E18" s="116">
        <f t="shared" si="0"/>
        <v>0</v>
      </c>
      <c r="F18" s="25"/>
      <c r="G18" s="25"/>
      <c r="H18" s="25"/>
      <c r="I18" s="25"/>
      <c r="J18" s="25"/>
      <c r="K18" s="25"/>
      <c r="L18" s="113">
        <f t="shared" ref="L18:L19" si="5">B18+F18+G18</f>
        <v>0</v>
      </c>
      <c r="M18" s="113">
        <f t="shared" ref="M18:M19" si="6">C18+H18+J18</f>
        <v>0</v>
      </c>
      <c r="N18" s="113">
        <f t="shared" ref="N18:N19" si="7">D18+I18+K18</f>
        <v>0</v>
      </c>
      <c r="O18" s="113">
        <f t="shared" ref="O18:O19" si="8">L18+M18-N18</f>
        <v>0</v>
      </c>
      <c r="P18" s="25"/>
    </row>
    <row r="19" spans="1:16" s="16" customFormat="1" ht="19.95" customHeight="1">
      <c r="A19" s="191"/>
      <c r="B19" s="25"/>
      <c r="C19" s="25"/>
      <c r="D19" s="25"/>
      <c r="E19" s="116">
        <f t="shared" si="0"/>
        <v>0</v>
      </c>
      <c r="F19" s="25"/>
      <c r="G19" s="25"/>
      <c r="H19" s="25"/>
      <c r="I19" s="25"/>
      <c r="J19" s="25"/>
      <c r="K19" s="25"/>
      <c r="L19" s="113">
        <f t="shared" si="5"/>
        <v>0</v>
      </c>
      <c r="M19" s="113">
        <f t="shared" si="6"/>
        <v>0</v>
      </c>
      <c r="N19" s="113">
        <f t="shared" si="7"/>
        <v>0</v>
      </c>
      <c r="O19" s="113">
        <f t="shared" si="8"/>
        <v>0</v>
      </c>
      <c r="P19" s="25"/>
    </row>
    <row r="20" spans="1:16" s="16" customFormat="1" ht="19.95" customHeight="1">
      <c r="A20" s="257" t="s">
        <v>60</v>
      </c>
      <c r="B20" s="192">
        <f>SUM(B11:B19)</f>
        <v>0</v>
      </c>
      <c r="C20" s="192">
        <f t="shared" ref="C20:O20" si="9">SUM(C11:C19)</f>
        <v>0</v>
      </c>
      <c r="D20" s="192">
        <f t="shared" si="9"/>
        <v>0</v>
      </c>
      <c r="E20" s="192">
        <f t="shared" si="9"/>
        <v>0</v>
      </c>
      <c r="F20" s="192">
        <f t="shared" si="9"/>
        <v>0</v>
      </c>
      <c r="G20" s="192">
        <f t="shared" si="9"/>
        <v>0</v>
      </c>
      <c r="H20" s="192">
        <f t="shared" si="9"/>
        <v>0</v>
      </c>
      <c r="I20" s="192">
        <f t="shared" si="9"/>
        <v>0</v>
      </c>
      <c r="J20" s="192">
        <f t="shared" si="9"/>
        <v>0</v>
      </c>
      <c r="K20" s="192">
        <f t="shared" si="9"/>
        <v>0</v>
      </c>
      <c r="L20" s="192">
        <f t="shared" si="9"/>
        <v>0</v>
      </c>
      <c r="M20" s="192">
        <f t="shared" si="9"/>
        <v>0</v>
      </c>
      <c r="N20" s="192">
        <f t="shared" si="9"/>
        <v>0</v>
      </c>
      <c r="O20" s="192">
        <f t="shared" si="9"/>
        <v>0</v>
      </c>
      <c r="P20" s="25"/>
    </row>
    <row r="21" spans="1:16" s="15" customFormat="1" ht="19.95" customHeight="1">
      <c r="A21" s="27" t="s">
        <v>61</v>
      </c>
      <c r="B21" s="28"/>
      <c r="C21" s="28"/>
      <c r="D21" s="28"/>
      <c r="E21" s="28"/>
      <c r="F21" s="28"/>
      <c r="G21" s="28"/>
      <c r="H21" s="28"/>
      <c r="I21" s="28"/>
      <c r="J21" s="35"/>
      <c r="K21" s="35"/>
      <c r="L21" s="28"/>
      <c r="M21" s="35"/>
      <c r="N21" s="35"/>
      <c r="O21" s="28"/>
      <c r="P21" s="35"/>
    </row>
    <row r="22" spans="1:16" s="15" customFormat="1" ht="19.95" customHeight="1">
      <c r="A22" s="209"/>
      <c r="B22" s="210"/>
      <c r="C22" s="9"/>
      <c r="D22" s="9"/>
      <c r="E22" s="9"/>
      <c r="F22" s="9"/>
      <c r="G22" s="9"/>
      <c r="H22" s="9"/>
      <c r="I22" s="9"/>
      <c r="J22" s="36"/>
      <c r="K22" s="36"/>
      <c r="L22" s="36"/>
      <c r="M22" s="36"/>
      <c r="N22" s="36"/>
      <c r="O22" s="36"/>
      <c r="P22" s="36"/>
    </row>
    <row r="23" spans="1:16" s="15" customFormat="1" ht="19.95" customHeight="1">
      <c r="A23" s="209"/>
      <c r="B23" s="210"/>
      <c r="C23" s="9"/>
      <c r="D23" s="9"/>
      <c r="E23" s="9"/>
      <c r="F23" s="9"/>
      <c r="G23" s="9"/>
      <c r="H23" s="9"/>
      <c r="I23" s="9"/>
      <c r="J23" s="36"/>
      <c r="K23" s="36"/>
      <c r="L23" s="36"/>
      <c r="M23" s="36"/>
      <c r="N23" s="36"/>
      <c r="O23" s="36"/>
      <c r="P23" s="36"/>
    </row>
    <row r="24" spans="1:16" s="15" customFormat="1" ht="19.95" customHeight="1">
      <c r="A24" s="105"/>
      <c r="B24" s="9"/>
      <c r="C24" s="9"/>
      <c r="D24" s="9"/>
      <c r="E24" s="9"/>
      <c r="F24" s="9"/>
      <c r="G24" s="9"/>
      <c r="H24" s="9"/>
      <c r="I24" s="9"/>
      <c r="J24" s="36"/>
      <c r="K24" s="36"/>
      <c r="L24" s="36"/>
      <c r="M24" s="36"/>
      <c r="N24" s="36"/>
      <c r="O24" s="36"/>
      <c r="P24" s="36"/>
    </row>
    <row r="25" spans="1:16" s="15" customFormat="1" ht="19.95" customHeight="1">
      <c r="A25" s="27" t="s">
        <v>62</v>
      </c>
      <c r="B25" s="9"/>
      <c r="C25" s="9"/>
      <c r="D25" s="9"/>
      <c r="E25" s="9"/>
      <c r="F25" s="9"/>
      <c r="G25" s="9"/>
      <c r="H25" s="9"/>
      <c r="I25" s="9"/>
      <c r="J25" s="36"/>
      <c r="K25" s="36"/>
      <c r="L25" s="36"/>
      <c r="M25" s="36"/>
      <c r="N25" s="36"/>
      <c r="O25" s="36"/>
      <c r="P25" s="36"/>
    </row>
    <row r="26" spans="1:16" s="15" customFormat="1" ht="19.95" customHeight="1">
      <c r="A26" s="9"/>
      <c r="B26" s="9"/>
      <c r="C26" s="9"/>
      <c r="D26" s="9"/>
      <c r="E26" s="9"/>
      <c r="F26" s="9"/>
      <c r="G26" s="9"/>
      <c r="H26" s="9"/>
      <c r="I26" s="9"/>
      <c r="J26" s="36"/>
      <c r="K26" s="36"/>
      <c r="L26" s="36"/>
      <c r="M26" s="36"/>
      <c r="N26" s="36"/>
      <c r="O26" s="36"/>
      <c r="P26" s="36"/>
    </row>
    <row r="27" spans="1:16" s="15" customFormat="1" ht="19.95" customHeight="1">
      <c r="A27" s="9"/>
      <c r="B27" s="9"/>
      <c r="C27" s="9"/>
      <c r="D27" s="9"/>
      <c r="E27" s="9"/>
      <c r="F27" s="9"/>
      <c r="G27" s="9"/>
      <c r="H27" s="9"/>
      <c r="I27" s="9"/>
      <c r="J27" s="36"/>
      <c r="K27" s="36"/>
      <c r="L27" s="36"/>
      <c r="M27" s="36"/>
      <c r="N27" s="36"/>
      <c r="O27" s="36"/>
      <c r="P27" s="36"/>
    </row>
    <row r="28" spans="1:16" s="5" customFormat="1" ht="13.8"/>
    <row r="29" spans="1:16" s="5" customFormat="1" ht="13.8">
      <c r="A29" s="29" t="s">
        <v>63</v>
      </c>
    </row>
    <row r="30" spans="1:16" s="5" customFormat="1" ht="48.75" customHeight="1">
      <c r="A30" s="316" t="s">
        <v>64</v>
      </c>
      <c r="B30" s="316"/>
      <c r="C30" s="316"/>
      <c r="D30" s="316"/>
      <c r="E30" s="316"/>
      <c r="F30" s="316"/>
      <c r="G30" s="316"/>
      <c r="H30" s="316"/>
      <c r="I30" s="316"/>
    </row>
    <row r="31" spans="1:16" s="5" customFormat="1" ht="13.8"/>
    <row r="32" spans="1:16" s="5" customFormat="1" ht="13.8"/>
    <row r="33" s="5" customFormat="1" ht="13.8"/>
    <row r="34" s="5" customFormat="1" ht="13.8"/>
    <row r="35" s="5" customFormat="1" ht="13.8"/>
    <row r="36" s="5" customFormat="1" ht="13.8"/>
    <row r="37" s="5" customFormat="1" ht="13.8"/>
    <row r="38" s="5" customFormat="1" ht="13.8"/>
  </sheetData>
  <mergeCells count="10">
    <mergeCell ref="A30:I30"/>
    <mergeCell ref="A9:A10"/>
    <mergeCell ref="P9:P10"/>
    <mergeCell ref="A1:P1"/>
    <mergeCell ref="A2:P2"/>
    <mergeCell ref="B9:E9"/>
    <mergeCell ref="F9:G9"/>
    <mergeCell ref="H9:I9"/>
    <mergeCell ref="J9:K9"/>
    <mergeCell ref="L9:O9"/>
  </mergeCells>
  <phoneticPr fontId="62" type="noConversion"/>
  <hyperlinks>
    <hyperlink ref="P3" location="底稿目录!A1" display="底稿目录!A1"/>
  </hyperlinks>
  <printOptions horizontalCentered="1"/>
  <pageMargins left="0.27559055118110237" right="0.19685039370078741" top="0.55118110236220474" bottom="0.39370078740157483" header="0.43307086614173229" footer="0.31496062992125984"/>
  <pageSetup paperSize="9" scale="66"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Document" dvAspect="DVASPECT_ICON" shapeId="5122" r:id="rId4">
          <objectPr defaultSize="0" altText="" r:id="rId5">
            <anchor moveWithCells="1">
              <from>
                <xdr:col>0</xdr:col>
                <xdr:colOff>0</xdr:colOff>
                <xdr:row>30</xdr:row>
                <xdr:rowOff>0</xdr:rowOff>
              </from>
              <to>
                <xdr:col>0</xdr:col>
                <xdr:colOff>914400</xdr:colOff>
                <xdr:row>33</xdr:row>
                <xdr:rowOff>160020</xdr:rowOff>
              </to>
            </anchor>
          </objectPr>
        </oleObject>
      </mc:Choice>
      <mc:Fallback>
        <oleObject progId="Document" dvAspect="DVASPECT_ICON" shapeId="5122"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2"/>
  <sheetViews>
    <sheetView view="pageBreakPreview" zoomScaleNormal="100" zoomScaleSheetLayoutView="100" workbookViewId="0">
      <selection sqref="A1:J1"/>
    </sheetView>
  </sheetViews>
  <sheetFormatPr defaultColWidth="8.69921875" defaultRowHeight="15.6"/>
  <cols>
    <col min="1" max="1" width="19.796875" style="164" customWidth="1"/>
    <col min="2" max="2" width="17.19921875" style="164" customWidth="1"/>
    <col min="3" max="3" width="10.296875" style="164" customWidth="1"/>
    <col min="4" max="4" width="11" style="164" customWidth="1"/>
    <col min="5" max="5" width="13.69921875" style="164" customWidth="1"/>
    <col min="6" max="6" width="11.5" style="164" customWidth="1"/>
    <col min="7" max="7" width="10.09765625" style="164" customWidth="1"/>
    <col min="8" max="8" width="10.69921875" style="164" customWidth="1"/>
    <col min="9" max="9" width="8.69921875" style="164"/>
    <col min="10" max="10" width="11.296875" style="164" customWidth="1"/>
    <col min="11" max="16384" width="8.69921875" style="164"/>
  </cols>
  <sheetData>
    <row r="1" spans="1:10" ht="19.95" customHeight="1">
      <c r="A1" s="331" t="s">
        <v>13</v>
      </c>
      <c r="B1" s="331"/>
      <c r="C1" s="331"/>
      <c r="D1" s="331"/>
      <c r="E1" s="331"/>
      <c r="F1" s="331"/>
      <c r="G1" s="331"/>
      <c r="H1" s="331"/>
      <c r="I1" s="331"/>
      <c r="J1" s="331"/>
    </row>
    <row r="2" spans="1:10" ht="19.95" customHeight="1">
      <c r="A2" s="332" t="s">
        <v>150</v>
      </c>
      <c r="B2" s="332"/>
      <c r="C2" s="332"/>
      <c r="D2" s="332"/>
      <c r="E2" s="332"/>
      <c r="F2" s="332"/>
      <c r="G2" s="332"/>
      <c r="H2" s="332"/>
      <c r="I2" s="332"/>
      <c r="J2" s="332"/>
    </row>
    <row r="3" spans="1:10" ht="19.95" customHeight="1">
      <c r="A3" s="165" t="str">
        <f>底稿目录!A2</f>
        <v>被审计单位：</v>
      </c>
      <c r="B3" s="165"/>
      <c r="C3" s="165" t="str">
        <f>底稿目录!A4</f>
        <v>编制人：</v>
      </c>
      <c r="E3" s="165"/>
      <c r="F3" s="165" t="str">
        <f>底稿目录!A5</f>
        <v>编制日期：</v>
      </c>
      <c r="G3" s="165"/>
      <c r="H3" s="165"/>
      <c r="I3" s="165" t="s">
        <v>151</v>
      </c>
      <c r="J3" s="225" t="str">
        <f>底稿目录!F9</f>
        <v>K2-3</v>
      </c>
    </row>
    <row r="4" spans="1:10" ht="19.95" customHeight="1">
      <c r="A4" s="165" t="str">
        <f>底稿目录!A3</f>
        <v>截止日：202X年12月31日</v>
      </c>
      <c r="B4" s="165"/>
      <c r="C4" s="165" t="str">
        <f>底稿目录!A6</f>
        <v>复核人：</v>
      </c>
      <c r="E4" s="165"/>
      <c r="F4" s="165" t="str">
        <f>底稿目录!A7</f>
        <v>复核日期：</v>
      </c>
      <c r="G4" s="165"/>
      <c r="H4" s="165"/>
      <c r="I4" s="165" t="s">
        <v>42</v>
      </c>
      <c r="J4" s="166"/>
    </row>
    <row r="5" spans="1:10" ht="34.200000000000003" customHeight="1">
      <c r="A5" s="167" t="s">
        <v>152</v>
      </c>
      <c r="B5" s="168" t="s">
        <v>153</v>
      </c>
      <c r="C5" s="258" t="s">
        <v>154</v>
      </c>
      <c r="D5" s="169" t="s">
        <v>155</v>
      </c>
      <c r="E5" s="169" t="s">
        <v>156</v>
      </c>
      <c r="F5" s="170" t="s">
        <v>157</v>
      </c>
      <c r="G5" s="169" t="s">
        <v>158</v>
      </c>
      <c r="H5" s="169" t="s">
        <v>159</v>
      </c>
      <c r="I5" s="169" t="s">
        <v>160</v>
      </c>
      <c r="J5" s="169" t="s">
        <v>161</v>
      </c>
    </row>
    <row r="6" spans="1:10" ht="19.95" customHeight="1">
      <c r="A6" s="199"/>
      <c r="B6" s="199"/>
      <c r="C6" s="200"/>
      <c r="D6" s="199"/>
      <c r="E6" s="199"/>
      <c r="F6" s="199"/>
      <c r="G6" s="201"/>
      <c r="H6" s="201"/>
      <c r="I6" s="202"/>
      <c r="J6" s="199"/>
    </row>
    <row r="7" spans="1:10" ht="19.95" customHeight="1">
      <c r="A7" s="199"/>
      <c r="B7" s="199"/>
      <c r="C7" s="200"/>
      <c r="D7" s="199"/>
      <c r="E7" s="199"/>
      <c r="F7" s="199"/>
      <c r="G7" s="201"/>
      <c r="H7" s="201"/>
      <c r="I7" s="202"/>
      <c r="J7" s="199"/>
    </row>
    <row r="8" spans="1:10" ht="19.95" customHeight="1">
      <c r="A8" s="199"/>
      <c r="B8" s="199"/>
      <c r="C8" s="200"/>
      <c r="D8" s="199"/>
      <c r="E8" s="199"/>
      <c r="F8" s="199"/>
      <c r="G8" s="201"/>
      <c r="H8" s="201"/>
      <c r="I8" s="202"/>
      <c r="J8" s="199"/>
    </row>
    <row r="9" spans="1:10" ht="19.95" customHeight="1">
      <c r="A9" s="199"/>
      <c r="B9" s="199"/>
      <c r="C9" s="200"/>
      <c r="D9" s="199"/>
      <c r="E9" s="199"/>
      <c r="F9" s="199"/>
      <c r="G9" s="201"/>
      <c r="H9" s="201"/>
      <c r="I9" s="202"/>
      <c r="J9" s="199"/>
    </row>
    <row r="10" spans="1:10" ht="19.95" customHeight="1">
      <c r="A10" s="199"/>
      <c r="B10" s="199"/>
      <c r="C10" s="200"/>
      <c r="D10" s="199"/>
      <c r="E10" s="199"/>
      <c r="F10" s="199"/>
      <c r="G10" s="201"/>
      <c r="H10" s="201"/>
      <c r="I10" s="202"/>
      <c r="J10" s="199"/>
    </row>
    <row r="11" spans="1:10" ht="19.95" customHeight="1">
      <c r="A11" s="199"/>
      <c r="B11" s="199"/>
      <c r="C11" s="200"/>
      <c r="D11" s="199"/>
      <c r="E11" s="199"/>
      <c r="F11" s="199"/>
      <c r="G11" s="201"/>
      <c r="H11" s="201"/>
      <c r="I11" s="202"/>
      <c r="J11" s="199"/>
    </row>
    <row r="12" spans="1:10" ht="19.95" customHeight="1">
      <c r="A12" s="199"/>
      <c r="B12" s="199"/>
      <c r="C12" s="200"/>
      <c r="D12" s="199"/>
      <c r="E12" s="199"/>
      <c r="F12" s="199"/>
      <c r="G12" s="201"/>
      <c r="H12" s="201"/>
      <c r="I12" s="202"/>
      <c r="J12" s="199"/>
    </row>
    <row r="13" spans="1:10" ht="19.95" customHeight="1">
      <c r="A13" s="199"/>
      <c r="B13" s="199"/>
      <c r="C13" s="200"/>
      <c r="D13" s="199"/>
      <c r="E13" s="199"/>
      <c r="F13" s="199"/>
      <c r="G13" s="201"/>
      <c r="H13" s="201"/>
      <c r="I13" s="202"/>
      <c r="J13" s="199"/>
    </row>
    <row r="14" spans="1:10" ht="19.95" customHeight="1">
      <c r="A14" s="199"/>
      <c r="B14" s="199"/>
      <c r="C14" s="200"/>
      <c r="D14" s="199"/>
      <c r="E14" s="199"/>
      <c r="F14" s="199"/>
      <c r="G14" s="201"/>
      <c r="H14" s="201"/>
      <c r="I14" s="202"/>
      <c r="J14" s="199"/>
    </row>
    <row r="15" spans="1:10" ht="19.95" customHeight="1">
      <c r="A15" s="199"/>
      <c r="B15" s="199"/>
      <c r="C15" s="200"/>
      <c r="D15" s="199"/>
      <c r="E15" s="199"/>
      <c r="F15" s="199"/>
      <c r="G15" s="201"/>
      <c r="H15" s="201"/>
      <c r="I15" s="202"/>
      <c r="J15" s="199"/>
    </row>
    <row r="16" spans="1:10" ht="19.95" customHeight="1">
      <c r="A16" s="199"/>
      <c r="B16" s="199"/>
      <c r="C16" s="200"/>
      <c r="D16" s="199"/>
      <c r="E16" s="199"/>
      <c r="F16" s="199"/>
      <c r="G16" s="201"/>
      <c r="H16" s="201"/>
      <c r="I16" s="202"/>
      <c r="J16" s="199"/>
    </row>
    <row r="17" spans="1:10" ht="19.95" customHeight="1">
      <c r="A17" s="199"/>
      <c r="B17" s="199"/>
      <c r="C17" s="200"/>
      <c r="D17" s="199"/>
      <c r="E17" s="199"/>
      <c r="F17" s="199"/>
      <c r="G17" s="201"/>
      <c r="H17" s="201"/>
      <c r="I17" s="202"/>
      <c r="J17" s="199"/>
    </row>
    <row r="18" spans="1:10" ht="19.95" customHeight="1">
      <c r="A18" s="199"/>
      <c r="B18" s="199"/>
      <c r="C18" s="200"/>
      <c r="D18" s="199"/>
      <c r="E18" s="199"/>
      <c r="F18" s="199"/>
      <c r="G18" s="201"/>
      <c r="H18" s="201"/>
      <c r="I18" s="202"/>
      <c r="J18" s="199"/>
    </row>
    <row r="19" spans="1:10" ht="19.95" customHeight="1">
      <c r="A19" s="199"/>
      <c r="B19" s="199"/>
      <c r="C19" s="200"/>
      <c r="D19" s="199"/>
      <c r="E19" s="199"/>
      <c r="F19" s="199"/>
      <c r="G19" s="201"/>
      <c r="H19" s="201"/>
      <c r="I19" s="202"/>
      <c r="J19" s="199"/>
    </row>
    <row r="20" spans="1:10" ht="19.95" customHeight="1">
      <c r="A20" s="199"/>
      <c r="B20" s="199"/>
      <c r="C20" s="200"/>
      <c r="D20" s="199"/>
      <c r="E20" s="199"/>
      <c r="F20" s="199"/>
      <c r="G20" s="201"/>
      <c r="H20" s="201"/>
      <c r="I20" s="202"/>
      <c r="J20" s="199"/>
    </row>
    <row r="22" spans="1:10" ht="31.2" customHeight="1">
      <c r="A22" s="333" t="s">
        <v>162</v>
      </c>
      <c r="B22" s="334"/>
      <c r="C22" s="334"/>
      <c r="D22" s="334"/>
      <c r="E22" s="334"/>
      <c r="F22" s="334"/>
      <c r="G22" s="334"/>
      <c r="H22" s="334"/>
      <c r="I22" s="334"/>
      <c r="J22" s="334"/>
    </row>
  </sheetData>
  <mergeCells count="3">
    <mergeCell ref="A1:J1"/>
    <mergeCell ref="A2:J2"/>
    <mergeCell ref="A22:J22"/>
  </mergeCells>
  <phoneticPr fontId="62"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4803149606299213" right="0.74803149606299213" top="0.98425196850393704" bottom="0.98425196850393704" header="0.51181102362204722" footer="0.51181102362204722"/>
  <pageSetup paperSize="9" scale="95"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W32"/>
  <sheetViews>
    <sheetView view="pageBreakPreview" zoomScaleSheetLayoutView="100" workbookViewId="0">
      <selection sqref="A1:W1"/>
    </sheetView>
  </sheetViews>
  <sheetFormatPr defaultColWidth="8.09765625" defaultRowHeight="18" customHeight="1"/>
  <cols>
    <col min="1" max="1" width="15.09765625" style="132" customWidth="1"/>
    <col min="2" max="2" width="9" style="132" customWidth="1"/>
    <col min="3" max="3" width="7" style="132" customWidth="1"/>
    <col min="4" max="4" width="6.296875" style="132" customWidth="1"/>
    <col min="5" max="5" width="5.69921875" style="132" customWidth="1"/>
    <col min="6" max="6" width="9.796875" style="132" customWidth="1"/>
    <col min="7" max="7" width="9.69921875" style="132" customWidth="1"/>
    <col min="8" max="8" width="9.796875" style="132" customWidth="1"/>
    <col min="9" max="11" width="8.8984375" style="132" customWidth="1"/>
    <col min="12" max="12" width="10.09765625" style="132" customWidth="1"/>
    <col min="13" max="13" width="10.3984375" style="132" customWidth="1"/>
    <col min="14" max="15" width="8.796875" style="132" customWidth="1"/>
    <col min="16" max="16" width="8.3984375" style="132" customWidth="1"/>
    <col min="17" max="17" width="9.09765625" style="132" customWidth="1"/>
    <col min="18" max="21" width="8.296875" style="132" customWidth="1"/>
    <col min="22" max="16384" width="8.09765625" style="132"/>
  </cols>
  <sheetData>
    <row r="1" spans="1:23" s="131" customFormat="1" ht="19.95" customHeight="1">
      <c r="A1" s="335" t="s">
        <v>13</v>
      </c>
      <c r="B1" s="335"/>
      <c r="C1" s="335"/>
      <c r="D1" s="335"/>
      <c r="E1" s="335"/>
      <c r="F1" s="335"/>
      <c r="G1" s="335"/>
      <c r="H1" s="335"/>
      <c r="I1" s="335"/>
      <c r="J1" s="335"/>
      <c r="K1" s="335"/>
      <c r="L1" s="335"/>
      <c r="M1" s="335"/>
      <c r="N1" s="335"/>
      <c r="O1" s="335"/>
      <c r="P1" s="335"/>
      <c r="Q1" s="335"/>
      <c r="R1" s="335"/>
      <c r="S1" s="335"/>
      <c r="T1" s="335"/>
      <c r="U1" s="335"/>
      <c r="V1" s="335"/>
      <c r="W1" s="335"/>
    </row>
    <row r="2" spans="1:23" s="175" customFormat="1" ht="19.95" customHeight="1">
      <c r="A2" s="336" t="s">
        <v>172</v>
      </c>
      <c r="B2" s="336"/>
      <c r="C2" s="336"/>
      <c r="D2" s="336"/>
      <c r="E2" s="336"/>
      <c r="F2" s="336"/>
      <c r="G2" s="336"/>
      <c r="H2" s="336"/>
      <c r="I2" s="336"/>
      <c r="J2" s="336"/>
      <c r="K2" s="336"/>
      <c r="L2" s="336"/>
      <c r="M2" s="336"/>
      <c r="N2" s="336"/>
      <c r="O2" s="336"/>
      <c r="P2" s="336"/>
      <c r="Q2" s="336"/>
      <c r="R2" s="336"/>
      <c r="S2" s="336"/>
      <c r="T2" s="336"/>
      <c r="U2" s="336"/>
      <c r="V2" s="336"/>
      <c r="W2" s="336"/>
    </row>
    <row r="3" spans="1:23" ht="19.95" customHeight="1">
      <c r="A3" s="132" t="str">
        <f>底稿目录!A2</f>
        <v>被审计单位：</v>
      </c>
      <c r="I3" s="132" t="str">
        <f>底稿目录!A4</f>
        <v>编制人：</v>
      </c>
      <c r="N3" s="133"/>
      <c r="O3" s="133" t="str">
        <f>底稿目录!A5</f>
        <v>编制日期：</v>
      </c>
      <c r="V3" s="132" t="s">
        <v>114</v>
      </c>
      <c r="W3" s="225" t="str">
        <f>底稿目录!F10</f>
        <v>K2-4</v>
      </c>
    </row>
    <row r="4" spans="1:23" ht="19.95" customHeight="1">
      <c r="A4" s="132" t="str">
        <f>底稿目录!A3</f>
        <v>截止日：202X年12月31日</v>
      </c>
      <c r="I4" s="132" t="str">
        <f>底稿目录!A6</f>
        <v>复核人：</v>
      </c>
      <c r="N4" s="133"/>
      <c r="O4" s="133" t="str">
        <f>底稿目录!A7</f>
        <v>复核日期：</v>
      </c>
      <c r="V4" s="132" t="s">
        <v>196</v>
      </c>
    </row>
    <row r="5" spans="1:23" s="174" customFormat="1" ht="19.95" customHeight="1">
      <c r="A5" s="339" t="s">
        <v>208</v>
      </c>
      <c r="B5" s="339" t="s">
        <v>209</v>
      </c>
      <c r="C5" s="337" t="s">
        <v>173</v>
      </c>
      <c r="D5" s="337" t="s">
        <v>210</v>
      </c>
      <c r="E5" s="337" t="s">
        <v>211</v>
      </c>
      <c r="F5" s="339" t="s">
        <v>174</v>
      </c>
      <c r="G5" s="339"/>
      <c r="H5" s="342" t="s">
        <v>175</v>
      </c>
      <c r="I5" s="343"/>
      <c r="J5" s="343"/>
      <c r="K5" s="344"/>
      <c r="L5" s="340" t="s">
        <v>176</v>
      </c>
      <c r="M5" s="340"/>
      <c r="N5" s="340" t="s">
        <v>177</v>
      </c>
      <c r="O5" s="340"/>
      <c r="P5" s="340" t="s">
        <v>178</v>
      </c>
      <c r="Q5" s="340"/>
      <c r="R5" s="339" t="s">
        <v>179</v>
      </c>
      <c r="S5" s="339"/>
      <c r="T5" s="339"/>
      <c r="U5" s="339"/>
      <c r="V5" s="337" t="s">
        <v>180</v>
      </c>
      <c r="W5" s="338" t="s">
        <v>4</v>
      </c>
    </row>
    <row r="6" spans="1:23" s="174" customFormat="1" ht="48.6" customHeight="1">
      <c r="A6" s="339"/>
      <c r="B6" s="339"/>
      <c r="C6" s="337"/>
      <c r="D6" s="337"/>
      <c r="E6" s="337"/>
      <c r="F6" s="186" t="s">
        <v>181</v>
      </c>
      <c r="G6" s="186" t="s">
        <v>182</v>
      </c>
      <c r="H6" s="176" t="s">
        <v>183</v>
      </c>
      <c r="I6" s="176" t="s">
        <v>184</v>
      </c>
      <c r="J6" s="176" t="s">
        <v>185</v>
      </c>
      <c r="K6" s="187" t="s">
        <v>186</v>
      </c>
      <c r="L6" s="177" t="s">
        <v>187</v>
      </c>
      <c r="M6" s="177" t="s">
        <v>178</v>
      </c>
      <c r="N6" s="176" t="s">
        <v>184</v>
      </c>
      <c r="O6" s="177" t="s">
        <v>188</v>
      </c>
      <c r="P6" s="176" t="s">
        <v>184</v>
      </c>
      <c r="Q6" s="177" t="s">
        <v>185</v>
      </c>
      <c r="R6" s="176" t="s">
        <v>189</v>
      </c>
      <c r="S6" s="176" t="s">
        <v>184</v>
      </c>
      <c r="T6" s="176" t="s">
        <v>185</v>
      </c>
      <c r="U6" s="176" t="s">
        <v>186</v>
      </c>
      <c r="V6" s="337"/>
      <c r="W6" s="338"/>
    </row>
    <row r="7" spans="1:23" s="174" customFormat="1" ht="19.95" customHeight="1">
      <c r="A7" s="178" t="s">
        <v>190</v>
      </c>
      <c r="B7" s="178"/>
      <c r="C7" s="178"/>
      <c r="D7" s="178"/>
      <c r="E7" s="178"/>
      <c r="F7" s="178"/>
      <c r="G7" s="178"/>
      <c r="H7" s="181">
        <f>SUM(H8:H10)</f>
        <v>0</v>
      </c>
      <c r="I7" s="181">
        <f>I8+I9+I10</f>
        <v>0</v>
      </c>
      <c r="J7" s="181">
        <f>J8+J9+J10</f>
        <v>0</v>
      </c>
      <c r="K7" s="181">
        <f>K8+K9+K10</f>
        <v>0</v>
      </c>
      <c r="L7" s="181">
        <f>SUM(L8:L10)</f>
        <v>0</v>
      </c>
      <c r="M7" s="181">
        <f>M8+M9+M10</f>
        <v>0</v>
      </c>
      <c r="N7" s="181">
        <f>N8+N9+N10</f>
        <v>0</v>
      </c>
      <c r="O7" s="181">
        <f>O8+O9+O10</f>
        <v>0</v>
      </c>
      <c r="P7" s="181">
        <f>P8+P9+P10</f>
        <v>0</v>
      </c>
      <c r="Q7" s="181">
        <f>Q8+Q9+Q10</f>
        <v>0</v>
      </c>
      <c r="R7" s="181">
        <f>SUM(R8:R10)</f>
        <v>0</v>
      </c>
      <c r="S7" s="181">
        <f>S8+S9+S10</f>
        <v>0</v>
      </c>
      <c r="T7" s="181">
        <f>T8+T9+T10</f>
        <v>0</v>
      </c>
      <c r="U7" s="181">
        <f>U8+U9+U10</f>
        <v>0</v>
      </c>
      <c r="V7" s="196"/>
      <c r="W7" s="179"/>
    </row>
    <row r="8" spans="1:23" ht="19.95" customHeight="1">
      <c r="A8" s="180" t="s">
        <v>198</v>
      </c>
      <c r="B8" s="180"/>
      <c r="C8" s="193"/>
      <c r="D8" s="194"/>
      <c r="E8" s="194"/>
      <c r="F8" s="195"/>
      <c r="G8" s="195"/>
      <c r="H8" s="182"/>
      <c r="I8" s="182"/>
      <c r="J8" s="182"/>
      <c r="K8" s="113">
        <f t="shared" ref="K8:K14" si="0">H8+I8-J8</f>
        <v>0</v>
      </c>
      <c r="L8" s="183"/>
      <c r="M8" s="183"/>
      <c r="N8" s="183"/>
      <c r="O8" s="183"/>
      <c r="P8" s="183"/>
      <c r="Q8" s="183"/>
      <c r="R8" s="113">
        <f>H8+L8+M8</f>
        <v>0</v>
      </c>
      <c r="S8" s="113">
        <f>I8+N8+P8</f>
        <v>0</v>
      </c>
      <c r="T8" s="113">
        <f>J8+O8+Q8</f>
        <v>0</v>
      </c>
      <c r="U8" s="113">
        <f>R8+S8-T8</f>
        <v>0</v>
      </c>
      <c r="V8" s="196"/>
      <c r="W8" s="148"/>
    </row>
    <row r="9" spans="1:23" ht="19.95" customHeight="1">
      <c r="A9" s="180" t="s">
        <v>199</v>
      </c>
      <c r="B9" s="180"/>
      <c r="C9" s="193"/>
      <c r="D9" s="194"/>
      <c r="E9" s="194"/>
      <c r="F9" s="195"/>
      <c r="G9" s="195"/>
      <c r="H9" s="182"/>
      <c r="I9" s="182"/>
      <c r="J9" s="182"/>
      <c r="K9" s="113">
        <f t="shared" si="0"/>
        <v>0</v>
      </c>
      <c r="L9" s="183"/>
      <c r="M9" s="183"/>
      <c r="N9" s="183"/>
      <c r="O9" s="183"/>
      <c r="P9" s="183"/>
      <c r="Q9" s="183"/>
      <c r="R9" s="113">
        <f t="shared" ref="R9:R18" si="1">H9+L9+M9</f>
        <v>0</v>
      </c>
      <c r="S9" s="113">
        <f t="shared" ref="S9:T18" si="2">I9+N9+P9</f>
        <v>0</v>
      </c>
      <c r="T9" s="113">
        <f t="shared" si="2"/>
        <v>0</v>
      </c>
      <c r="U9" s="113">
        <f t="shared" ref="U9:U18" si="3">R9+S9-T9</f>
        <v>0</v>
      </c>
      <c r="V9" s="196"/>
      <c r="W9" s="148"/>
    </row>
    <row r="10" spans="1:23" ht="19.95" customHeight="1">
      <c r="A10" s="180" t="s">
        <v>197</v>
      </c>
      <c r="B10" s="180"/>
      <c r="C10" s="193"/>
      <c r="D10" s="194"/>
      <c r="E10" s="194"/>
      <c r="F10" s="195"/>
      <c r="G10" s="195"/>
      <c r="H10" s="182"/>
      <c r="I10" s="182"/>
      <c r="J10" s="182"/>
      <c r="K10" s="113">
        <f t="shared" si="0"/>
        <v>0</v>
      </c>
      <c r="L10" s="183"/>
      <c r="M10" s="183"/>
      <c r="N10" s="183"/>
      <c r="O10" s="183"/>
      <c r="P10" s="183"/>
      <c r="Q10" s="183"/>
      <c r="R10" s="113">
        <f t="shared" si="1"/>
        <v>0</v>
      </c>
      <c r="S10" s="113">
        <f t="shared" si="2"/>
        <v>0</v>
      </c>
      <c r="T10" s="113">
        <f t="shared" si="2"/>
        <v>0</v>
      </c>
      <c r="U10" s="113">
        <f t="shared" si="3"/>
        <v>0</v>
      </c>
      <c r="V10" s="196"/>
      <c r="W10" s="148"/>
    </row>
    <row r="11" spans="1:23" ht="19.95" customHeight="1">
      <c r="A11" s="178" t="s">
        <v>191</v>
      </c>
      <c r="B11" s="178"/>
      <c r="C11" s="178"/>
      <c r="D11" s="178"/>
      <c r="E11" s="178"/>
      <c r="F11" s="178"/>
      <c r="G11" s="178"/>
      <c r="H11" s="181">
        <f>SUM(H12:H14)</f>
        <v>0</v>
      </c>
      <c r="I11" s="181">
        <f>I12+I13+I14</f>
        <v>0</v>
      </c>
      <c r="J11" s="181">
        <f>J12+J13+J14</f>
        <v>0</v>
      </c>
      <c r="K11" s="181">
        <f>K12+K13+K14</f>
        <v>0</v>
      </c>
      <c r="L11" s="181">
        <f>SUM(L12:L14)</f>
        <v>0</v>
      </c>
      <c r="M11" s="181">
        <f>M12+M13+M14</f>
        <v>0</v>
      </c>
      <c r="N11" s="181">
        <f>N12+N13+N14</f>
        <v>0</v>
      </c>
      <c r="O11" s="181">
        <f>O12+O13+O14</f>
        <v>0</v>
      </c>
      <c r="P11" s="181">
        <f>P12+P13+P14</f>
        <v>0</v>
      </c>
      <c r="Q11" s="181">
        <f>Q12+Q13+Q14</f>
        <v>0</v>
      </c>
      <c r="R11" s="181">
        <f>SUM(R12:R14)</f>
        <v>0</v>
      </c>
      <c r="S11" s="181">
        <f>S12+S13+S14</f>
        <v>0</v>
      </c>
      <c r="T11" s="181">
        <f>T12+T13+T14</f>
        <v>0</v>
      </c>
      <c r="U11" s="181">
        <f>U12+U13+U14</f>
        <v>0</v>
      </c>
      <c r="V11" s="196"/>
      <c r="W11" s="148"/>
    </row>
    <row r="12" spans="1:23" ht="19.95" customHeight="1">
      <c r="A12" s="180" t="str">
        <f>A8</f>
        <v>合同1</v>
      </c>
      <c r="B12" s="180">
        <f>B8</f>
        <v>0</v>
      </c>
      <c r="C12" s="193"/>
      <c r="D12" s="194"/>
      <c r="E12" s="194"/>
      <c r="F12" s="195"/>
      <c r="G12" s="195"/>
      <c r="H12" s="182"/>
      <c r="I12" s="182"/>
      <c r="J12" s="182"/>
      <c r="K12" s="113">
        <f t="shared" si="0"/>
        <v>0</v>
      </c>
      <c r="L12" s="183"/>
      <c r="M12" s="183"/>
      <c r="N12" s="183"/>
      <c r="O12" s="183"/>
      <c r="P12" s="183"/>
      <c r="Q12" s="183"/>
      <c r="R12" s="113">
        <f>H12+L12+M12</f>
        <v>0</v>
      </c>
      <c r="S12" s="113">
        <f>I12+N12+P12</f>
        <v>0</v>
      </c>
      <c r="T12" s="113">
        <f t="shared" si="2"/>
        <v>0</v>
      </c>
      <c r="U12" s="113">
        <f>R12+S12-T12</f>
        <v>0</v>
      </c>
      <c r="V12" s="196"/>
      <c r="W12" s="148"/>
    </row>
    <row r="13" spans="1:23" ht="19.95" customHeight="1">
      <c r="A13" s="180" t="str">
        <f t="shared" ref="A13:B14" si="4">A9</f>
        <v>合同2</v>
      </c>
      <c r="B13" s="180">
        <f t="shared" si="4"/>
        <v>0</v>
      </c>
      <c r="C13" s="193"/>
      <c r="D13" s="194"/>
      <c r="E13" s="194"/>
      <c r="F13" s="195"/>
      <c r="G13" s="195"/>
      <c r="H13" s="182"/>
      <c r="I13" s="182"/>
      <c r="J13" s="182"/>
      <c r="K13" s="113">
        <f t="shared" si="0"/>
        <v>0</v>
      </c>
      <c r="L13" s="183"/>
      <c r="M13" s="183"/>
      <c r="N13" s="183"/>
      <c r="O13" s="183"/>
      <c r="P13" s="183"/>
      <c r="Q13" s="183"/>
      <c r="R13" s="113">
        <f t="shared" si="1"/>
        <v>0</v>
      </c>
      <c r="S13" s="113">
        <f t="shared" si="2"/>
        <v>0</v>
      </c>
      <c r="T13" s="113">
        <f t="shared" si="2"/>
        <v>0</v>
      </c>
      <c r="U13" s="113">
        <f t="shared" si="3"/>
        <v>0</v>
      </c>
      <c r="V13" s="196"/>
      <c r="W13" s="148"/>
    </row>
    <row r="14" spans="1:23" ht="19.95" customHeight="1">
      <c r="A14" s="180" t="str">
        <f t="shared" si="4"/>
        <v>合同3</v>
      </c>
      <c r="B14" s="180">
        <f t="shared" si="4"/>
        <v>0</v>
      </c>
      <c r="C14" s="193"/>
      <c r="D14" s="194"/>
      <c r="E14" s="194"/>
      <c r="F14" s="195"/>
      <c r="G14" s="195"/>
      <c r="H14" s="182"/>
      <c r="I14" s="182"/>
      <c r="J14" s="182"/>
      <c r="K14" s="113">
        <f t="shared" si="0"/>
        <v>0</v>
      </c>
      <c r="L14" s="183"/>
      <c r="M14" s="183"/>
      <c r="N14" s="183"/>
      <c r="O14" s="183"/>
      <c r="P14" s="183"/>
      <c r="Q14" s="183"/>
      <c r="R14" s="113">
        <f>H14+L14+M14</f>
        <v>0</v>
      </c>
      <c r="S14" s="113">
        <f t="shared" si="2"/>
        <v>0</v>
      </c>
      <c r="T14" s="113">
        <f t="shared" si="2"/>
        <v>0</v>
      </c>
      <c r="U14" s="113">
        <f t="shared" si="3"/>
        <v>0</v>
      </c>
      <c r="V14" s="196"/>
      <c r="W14" s="148"/>
    </row>
    <row r="15" spans="1:23" ht="19.95" customHeight="1">
      <c r="A15" s="178" t="s">
        <v>192</v>
      </c>
      <c r="B15" s="178"/>
      <c r="C15" s="178"/>
      <c r="D15" s="178"/>
      <c r="E15" s="178"/>
      <c r="F15" s="178"/>
      <c r="G15" s="178"/>
      <c r="H15" s="181">
        <f>SUM(H16:H18)</f>
        <v>0</v>
      </c>
      <c r="I15" s="181">
        <f>I16+I17+I18</f>
        <v>0</v>
      </c>
      <c r="J15" s="181">
        <f>J16+J17+J18</f>
        <v>0</v>
      </c>
      <c r="K15" s="181">
        <f>K16+K17+K18</f>
        <v>0</v>
      </c>
      <c r="L15" s="181">
        <f t="shared" ref="L15:Q15" si="5">L16+L17+L18</f>
        <v>0</v>
      </c>
      <c r="M15" s="181">
        <f t="shared" si="5"/>
        <v>0</v>
      </c>
      <c r="N15" s="181">
        <f t="shared" si="5"/>
        <v>0</v>
      </c>
      <c r="O15" s="181">
        <f t="shared" si="5"/>
        <v>0</v>
      </c>
      <c r="P15" s="181">
        <f t="shared" si="5"/>
        <v>0</v>
      </c>
      <c r="Q15" s="181">
        <f t="shared" si="5"/>
        <v>0</v>
      </c>
      <c r="R15" s="181">
        <f>SUM(R16:R18)</f>
        <v>0</v>
      </c>
      <c r="S15" s="181">
        <f>S16+S17+S18</f>
        <v>0</v>
      </c>
      <c r="T15" s="181">
        <f>T16+T17+T18</f>
        <v>0</v>
      </c>
      <c r="U15" s="181">
        <f>U16+U17+U18</f>
        <v>0</v>
      </c>
      <c r="V15" s="196"/>
      <c r="W15" s="148"/>
    </row>
    <row r="16" spans="1:23" ht="19.95" customHeight="1">
      <c r="A16" s="180" t="str">
        <f>A8</f>
        <v>合同1</v>
      </c>
      <c r="B16" s="180">
        <f>B8</f>
        <v>0</v>
      </c>
      <c r="C16" s="193"/>
      <c r="D16" s="194"/>
      <c r="E16" s="194"/>
      <c r="F16" s="194"/>
      <c r="G16" s="194"/>
      <c r="H16" s="184">
        <f>H8-H12</f>
        <v>0</v>
      </c>
      <c r="I16" s="184">
        <f>I8-I12</f>
        <v>0</v>
      </c>
      <c r="J16" s="184">
        <f>J8-J12</f>
        <v>0</v>
      </c>
      <c r="K16" s="113">
        <f>K8-K12</f>
        <v>0</v>
      </c>
      <c r="L16" s="184">
        <f>L8-L12</f>
        <v>0</v>
      </c>
      <c r="M16" s="184">
        <f t="shared" ref="M16:O16" si="6">M8-M12</f>
        <v>0</v>
      </c>
      <c r="N16" s="184">
        <f t="shared" si="6"/>
        <v>0</v>
      </c>
      <c r="O16" s="184">
        <f t="shared" si="6"/>
        <v>0</v>
      </c>
      <c r="P16" s="184">
        <f>P8-P12</f>
        <v>0</v>
      </c>
      <c r="Q16" s="184">
        <f t="shared" ref="Q16" si="7">Q8-Q12</f>
        <v>0</v>
      </c>
      <c r="R16" s="113">
        <f>H16+L16+M16</f>
        <v>0</v>
      </c>
      <c r="S16" s="113">
        <f>I16+N16+P16</f>
        <v>0</v>
      </c>
      <c r="T16" s="113">
        <f>J16+O16+Q16</f>
        <v>0</v>
      </c>
      <c r="U16" s="113">
        <f t="shared" si="3"/>
        <v>0</v>
      </c>
      <c r="V16" s="196"/>
      <c r="W16" s="148"/>
    </row>
    <row r="17" spans="1:23" ht="19.95" customHeight="1">
      <c r="A17" s="180" t="str">
        <f t="shared" ref="A17:B18" si="8">A9</f>
        <v>合同2</v>
      </c>
      <c r="B17" s="180">
        <f t="shared" si="8"/>
        <v>0</v>
      </c>
      <c r="C17" s="193"/>
      <c r="D17" s="194"/>
      <c r="E17" s="194"/>
      <c r="F17" s="194"/>
      <c r="G17" s="194"/>
      <c r="H17" s="184">
        <f>H9-H13</f>
        <v>0</v>
      </c>
      <c r="I17" s="184">
        <f t="shared" ref="I17:Q18" si="9">I9-I13</f>
        <v>0</v>
      </c>
      <c r="J17" s="184">
        <f t="shared" si="9"/>
        <v>0</v>
      </c>
      <c r="K17" s="113">
        <f t="shared" si="9"/>
        <v>0</v>
      </c>
      <c r="L17" s="184">
        <f t="shared" si="9"/>
        <v>0</v>
      </c>
      <c r="M17" s="184">
        <f t="shared" si="9"/>
        <v>0</v>
      </c>
      <c r="N17" s="184">
        <f t="shared" si="9"/>
        <v>0</v>
      </c>
      <c r="O17" s="184">
        <f t="shared" si="9"/>
        <v>0</v>
      </c>
      <c r="P17" s="184">
        <f t="shared" si="9"/>
        <v>0</v>
      </c>
      <c r="Q17" s="184">
        <f t="shared" si="9"/>
        <v>0</v>
      </c>
      <c r="R17" s="113">
        <f t="shared" si="1"/>
        <v>0</v>
      </c>
      <c r="S17" s="113">
        <f>I17+N17+P17</f>
        <v>0</v>
      </c>
      <c r="T17" s="113">
        <f>J17+O17+Q17</f>
        <v>0</v>
      </c>
      <c r="U17" s="113">
        <f>R17+S17-T17</f>
        <v>0</v>
      </c>
      <c r="V17" s="196"/>
      <c r="W17" s="148"/>
    </row>
    <row r="18" spans="1:23" ht="19.95" customHeight="1">
      <c r="A18" s="180" t="str">
        <f t="shared" si="8"/>
        <v>合同3</v>
      </c>
      <c r="B18" s="180">
        <f t="shared" si="8"/>
        <v>0</v>
      </c>
      <c r="C18" s="193"/>
      <c r="D18" s="194"/>
      <c r="E18" s="194"/>
      <c r="F18" s="194"/>
      <c r="G18" s="194"/>
      <c r="H18" s="184">
        <f>H10-H14</f>
        <v>0</v>
      </c>
      <c r="I18" s="184">
        <f t="shared" si="9"/>
        <v>0</v>
      </c>
      <c r="J18" s="184">
        <f t="shared" si="9"/>
        <v>0</v>
      </c>
      <c r="K18" s="113">
        <f t="shared" si="9"/>
        <v>0</v>
      </c>
      <c r="L18" s="184">
        <f t="shared" si="9"/>
        <v>0</v>
      </c>
      <c r="M18" s="184">
        <f t="shared" si="9"/>
        <v>0</v>
      </c>
      <c r="N18" s="184">
        <f t="shared" si="9"/>
        <v>0</v>
      </c>
      <c r="O18" s="184">
        <f t="shared" si="9"/>
        <v>0</v>
      </c>
      <c r="P18" s="184">
        <f t="shared" si="9"/>
        <v>0</v>
      </c>
      <c r="Q18" s="184">
        <f t="shared" si="9"/>
        <v>0</v>
      </c>
      <c r="R18" s="113">
        <f t="shared" si="1"/>
        <v>0</v>
      </c>
      <c r="S18" s="113">
        <f t="shared" si="2"/>
        <v>0</v>
      </c>
      <c r="T18" s="113">
        <f t="shared" si="2"/>
        <v>0</v>
      </c>
      <c r="U18" s="113">
        <f t="shared" si="3"/>
        <v>0</v>
      </c>
      <c r="V18" s="196"/>
      <c r="W18" s="148"/>
    </row>
    <row r="19" spans="1:23" s="131" customFormat="1" ht="19.95" customHeight="1">
      <c r="A19" s="156" t="s">
        <v>193</v>
      </c>
      <c r="B19" s="156"/>
    </row>
    <row r="20" spans="1:23" ht="19.95" customHeight="1">
      <c r="B20" s="185"/>
    </row>
    <row r="21" spans="1:23" ht="19.95" customHeight="1">
      <c r="A21" s="137"/>
      <c r="B21" s="137"/>
    </row>
    <row r="22" spans="1:23" ht="19.95" customHeight="1">
      <c r="A22" s="156" t="s">
        <v>194</v>
      </c>
      <c r="B22" s="156"/>
    </row>
    <row r="23" spans="1:23" ht="19.95" customHeight="1"/>
    <row r="24" spans="1:23" ht="19.95" customHeight="1"/>
    <row r="25" spans="1:23" ht="19.95" customHeight="1"/>
    <row r="26" spans="1:23" ht="18" customHeight="1">
      <c r="A26" s="211" t="s">
        <v>234</v>
      </c>
    </row>
    <row r="27" spans="1:23" ht="18" customHeight="1">
      <c r="A27" s="212" t="s">
        <v>235</v>
      </c>
      <c r="B27" s="212"/>
      <c r="C27" s="212"/>
      <c r="D27" s="212"/>
      <c r="E27" s="212"/>
      <c r="F27" s="212"/>
      <c r="G27" s="212"/>
      <c r="H27" s="212"/>
      <c r="I27" s="212"/>
      <c r="J27" s="212"/>
      <c r="K27" s="212"/>
      <c r="L27" s="212"/>
      <c r="M27" s="212"/>
      <c r="N27" s="212"/>
      <c r="O27" s="212"/>
      <c r="P27" s="212"/>
      <c r="Q27" s="212"/>
      <c r="R27" s="212"/>
      <c r="S27" s="212"/>
      <c r="T27" s="212"/>
      <c r="U27" s="212"/>
    </row>
    <row r="28" spans="1:23" ht="21" customHeight="1">
      <c r="A28" s="212" t="s">
        <v>236</v>
      </c>
      <c r="B28" s="212"/>
      <c r="C28" s="212"/>
      <c r="D28" s="212"/>
      <c r="E28" s="212"/>
      <c r="F28" s="212"/>
      <c r="G28" s="212"/>
      <c r="H28" s="212"/>
      <c r="I28" s="212"/>
      <c r="J28" s="212"/>
      <c r="K28" s="212"/>
      <c r="L28" s="212"/>
      <c r="M28" s="212"/>
      <c r="N28" s="212"/>
      <c r="O28" s="212"/>
      <c r="P28" s="212"/>
      <c r="Q28" s="212"/>
      <c r="R28" s="212"/>
      <c r="S28" s="212"/>
      <c r="T28" s="212"/>
      <c r="U28" s="212"/>
    </row>
    <row r="29" spans="1:23" ht="18" customHeight="1">
      <c r="A29" s="213" t="s">
        <v>195</v>
      </c>
      <c r="B29" s="213"/>
      <c r="C29" s="212"/>
      <c r="D29" s="212"/>
      <c r="E29" s="212"/>
      <c r="F29" s="212"/>
      <c r="G29" s="212"/>
      <c r="H29" s="212"/>
      <c r="I29" s="212"/>
      <c r="J29" s="212"/>
      <c r="K29" s="212"/>
      <c r="L29" s="212"/>
      <c r="M29" s="212"/>
      <c r="N29" s="212"/>
      <c r="O29" s="212"/>
      <c r="P29" s="212"/>
      <c r="Q29" s="212"/>
      <c r="R29" s="212"/>
      <c r="S29" s="212"/>
      <c r="T29" s="212"/>
      <c r="U29" s="212"/>
    </row>
    <row r="30" spans="1:23" ht="18" customHeight="1">
      <c r="A30" s="212" t="s">
        <v>237</v>
      </c>
      <c r="B30" s="212"/>
      <c r="C30" s="212"/>
      <c r="D30" s="212"/>
      <c r="E30" s="212"/>
      <c r="F30" s="212"/>
      <c r="G30" s="212"/>
      <c r="H30" s="212"/>
      <c r="I30" s="212"/>
      <c r="J30" s="212"/>
      <c r="K30" s="212"/>
      <c r="L30" s="212"/>
      <c r="M30" s="212"/>
      <c r="N30" s="212"/>
      <c r="O30" s="212"/>
      <c r="P30" s="212"/>
      <c r="Q30" s="212"/>
      <c r="R30" s="212"/>
      <c r="S30" s="212"/>
      <c r="T30" s="212"/>
      <c r="U30" s="212"/>
    </row>
    <row r="31" spans="1:23" ht="33" customHeight="1">
      <c r="A31" s="341" t="s">
        <v>238</v>
      </c>
      <c r="B31" s="341"/>
      <c r="C31" s="341"/>
      <c r="D31" s="341"/>
      <c r="E31" s="341"/>
      <c r="F31" s="341"/>
      <c r="G31" s="341"/>
      <c r="H31" s="341"/>
      <c r="I31" s="341"/>
      <c r="J31" s="341"/>
      <c r="K31" s="341"/>
      <c r="L31" s="341"/>
      <c r="M31" s="341"/>
      <c r="N31" s="341"/>
      <c r="O31" s="341"/>
      <c r="P31" s="341"/>
      <c r="Q31" s="341"/>
      <c r="R31" s="341"/>
      <c r="S31" s="341"/>
      <c r="T31" s="341"/>
      <c r="U31" s="341"/>
    </row>
    <row r="32" spans="1:23" ht="18" customHeight="1">
      <c r="A32" s="212"/>
      <c r="B32" s="212"/>
      <c r="C32" s="212"/>
      <c r="D32" s="212"/>
      <c r="E32" s="212"/>
      <c r="F32" s="212"/>
      <c r="G32" s="212"/>
      <c r="H32" s="212"/>
      <c r="I32" s="212"/>
      <c r="J32" s="212"/>
      <c r="K32" s="212"/>
      <c r="L32" s="212"/>
      <c r="M32" s="212"/>
      <c r="N32" s="212"/>
      <c r="O32" s="212"/>
      <c r="P32" s="212"/>
      <c r="Q32" s="212"/>
      <c r="R32" s="212"/>
      <c r="S32" s="212"/>
      <c r="T32" s="212"/>
      <c r="U32" s="212"/>
    </row>
  </sheetData>
  <mergeCells count="16">
    <mergeCell ref="A31:U31"/>
    <mergeCell ref="H5:K5"/>
    <mergeCell ref="B5:B6"/>
    <mergeCell ref="D5:D6"/>
    <mergeCell ref="E5:E6"/>
    <mergeCell ref="A1:W1"/>
    <mergeCell ref="A2:W2"/>
    <mergeCell ref="V5:V6"/>
    <mergeCell ref="W5:W6"/>
    <mergeCell ref="A5:A6"/>
    <mergeCell ref="C5:C6"/>
    <mergeCell ref="F5:G5"/>
    <mergeCell ref="L5:M5"/>
    <mergeCell ref="N5:O5"/>
    <mergeCell ref="P5:Q5"/>
    <mergeCell ref="R5:U5"/>
  </mergeCells>
  <phoneticPr fontId="62" type="noConversion"/>
  <dataValidations count="1">
    <dataValidation type="list" allowBlank="1" showInputMessage="1" showErrorMessage="1" sqref="D7:E18">
      <formula1>"是,否"</formula1>
    </dataValidation>
  </dataValidations>
  <hyperlinks>
    <hyperlink ref="W3" location="底稿目录!A1" display="底稿目录!A1"/>
  </hyperlinks>
  <printOptions horizontalCentered="1"/>
  <pageMargins left="0.59055118110236227" right="0.59055118110236227" top="0.78740157480314965" bottom="0.39370078740157483" header="0.51181102362204722" footer="0.31496062992125984"/>
  <pageSetup paperSize="9" scale="61" fitToHeight="4"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B66"/>
  <sheetViews>
    <sheetView view="pageBreakPreview" zoomScaleSheetLayoutView="100" workbookViewId="0">
      <selection sqref="A1:Q1"/>
    </sheetView>
  </sheetViews>
  <sheetFormatPr defaultColWidth="8.09765625" defaultRowHeight="18" customHeight="1"/>
  <cols>
    <col min="1" max="1" width="12.5" style="132" customWidth="1"/>
    <col min="2" max="2" width="21.5" style="132" customWidth="1"/>
    <col min="3" max="4" width="10" style="132" customWidth="1"/>
    <col min="5" max="6" width="8.19921875" style="132" bestFit="1" customWidth="1"/>
    <col min="7" max="7" width="11.3984375" style="132" customWidth="1"/>
    <col min="8" max="8" width="8.19921875" style="132" bestFit="1" customWidth="1"/>
    <col min="9" max="9" width="10.3984375" style="132" customWidth="1"/>
    <col min="10" max="12" width="6.69921875" style="132" customWidth="1"/>
    <col min="13" max="16" width="11.3984375" style="132" customWidth="1"/>
    <col min="17" max="17" width="9.09765625" style="132" customWidth="1"/>
    <col min="18" max="16384" width="8.09765625" style="132"/>
  </cols>
  <sheetData>
    <row r="1" spans="1:28" s="131" customFormat="1" ht="19.95" customHeight="1">
      <c r="A1" s="335" t="s">
        <v>13</v>
      </c>
      <c r="B1" s="335"/>
      <c r="C1" s="335"/>
      <c r="D1" s="335"/>
      <c r="E1" s="335"/>
      <c r="F1" s="335"/>
      <c r="G1" s="335"/>
      <c r="H1" s="335"/>
      <c r="I1" s="335"/>
      <c r="J1" s="335"/>
      <c r="K1" s="335"/>
      <c r="L1" s="335"/>
      <c r="M1" s="335"/>
      <c r="N1" s="335"/>
      <c r="O1" s="335"/>
      <c r="P1" s="335"/>
      <c r="Q1" s="335"/>
    </row>
    <row r="2" spans="1:28" s="131" customFormat="1" ht="19.95" customHeight="1">
      <c r="A2" s="336" t="s">
        <v>168</v>
      </c>
      <c r="B2" s="347"/>
      <c r="C2" s="347"/>
      <c r="D2" s="347"/>
      <c r="E2" s="347"/>
      <c r="F2" s="347"/>
      <c r="G2" s="347"/>
      <c r="H2" s="347"/>
      <c r="I2" s="347"/>
      <c r="J2" s="347"/>
      <c r="K2" s="347"/>
      <c r="L2" s="347"/>
      <c r="M2" s="347"/>
      <c r="N2" s="347"/>
      <c r="O2" s="347"/>
      <c r="P2" s="347"/>
      <c r="Q2" s="347"/>
    </row>
    <row r="3" spans="1:28" ht="19.95" customHeight="1">
      <c r="A3" s="132" t="str">
        <f>底稿目录!A2</f>
        <v>被审计单位：</v>
      </c>
      <c r="E3" s="132" t="str">
        <f>底稿目录!A4</f>
        <v>编制人：</v>
      </c>
      <c r="L3" s="133" t="str">
        <f>底稿目录!A5</f>
        <v>编制日期：</v>
      </c>
      <c r="M3" s="133"/>
      <c r="P3" s="204" t="s">
        <v>114</v>
      </c>
      <c r="Q3" s="225" t="str">
        <f>底稿目录!F11</f>
        <v>K2-5</v>
      </c>
    </row>
    <row r="4" spans="1:28" ht="19.95" customHeight="1">
      <c r="A4" s="132" t="str">
        <f>底稿目录!A3</f>
        <v>截止日：202X年12月31日</v>
      </c>
      <c r="E4" s="132" t="str">
        <f>底稿目录!A6</f>
        <v>复核人：</v>
      </c>
      <c r="L4" s="133" t="str">
        <f>底稿目录!A7</f>
        <v>复核日期：</v>
      </c>
      <c r="M4" s="133"/>
      <c r="P4" s="255" t="s">
        <v>282</v>
      </c>
      <c r="Q4" s="134"/>
    </row>
    <row r="5" spans="1:28" s="137" customFormat="1" ht="19.95" customHeight="1">
      <c r="A5" s="135" t="s">
        <v>115</v>
      </c>
      <c r="B5" s="136"/>
      <c r="G5" s="138"/>
      <c r="J5" s="139"/>
      <c r="K5" s="139"/>
      <c r="L5" s="140"/>
      <c r="O5" s="139"/>
      <c r="V5" s="141"/>
      <c r="W5" s="141"/>
      <c r="X5" s="141"/>
      <c r="Y5" s="141"/>
      <c r="Z5" s="141"/>
      <c r="AA5" s="141"/>
      <c r="AB5" s="141"/>
    </row>
    <row r="6" spans="1:28" s="137" customFormat="1" ht="19.95" customHeight="1">
      <c r="A6" s="142" t="s">
        <v>149</v>
      </c>
      <c r="B6" s="142"/>
      <c r="G6" s="138"/>
      <c r="J6" s="139"/>
      <c r="K6" s="139"/>
      <c r="L6" s="140"/>
      <c r="O6" s="139"/>
      <c r="V6" s="141"/>
      <c r="W6" s="141"/>
      <c r="X6" s="141"/>
      <c r="Y6" s="141"/>
      <c r="Z6" s="141"/>
      <c r="AA6" s="141"/>
      <c r="AB6" s="141"/>
    </row>
    <row r="7" spans="1:28" s="137" customFormat="1" ht="19.95" customHeight="1">
      <c r="A7" s="143" t="s">
        <v>116</v>
      </c>
      <c r="B7" s="144"/>
      <c r="G7" s="138"/>
      <c r="J7" s="139"/>
      <c r="K7" s="139"/>
      <c r="L7" s="140"/>
      <c r="O7" s="139"/>
      <c r="V7" s="141"/>
      <c r="W7" s="141"/>
      <c r="X7" s="141"/>
      <c r="Y7" s="141"/>
      <c r="Z7" s="141"/>
      <c r="AA7" s="141"/>
      <c r="AB7" s="141"/>
    </row>
    <row r="8" spans="1:28" ht="19.95" customHeight="1">
      <c r="A8" s="146" t="s">
        <v>143</v>
      </c>
      <c r="B8" s="145">
        <v>45292</v>
      </c>
      <c r="C8" s="146" t="s">
        <v>144</v>
      </c>
      <c r="D8" s="145">
        <v>45657</v>
      </c>
      <c r="R8" s="137"/>
    </row>
    <row r="9" spans="1:28" s="147" customFormat="1" ht="29.4" customHeight="1">
      <c r="A9" s="146" t="s">
        <v>117</v>
      </c>
      <c r="B9" s="146" t="s">
        <v>118</v>
      </c>
      <c r="C9" s="146" t="s">
        <v>119</v>
      </c>
      <c r="D9" s="146" t="s">
        <v>120</v>
      </c>
      <c r="E9" s="146" t="s">
        <v>121</v>
      </c>
      <c r="F9" s="146" t="s">
        <v>122</v>
      </c>
      <c r="G9" s="146" t="s">
        <v>123</v>
      </c>
      <c r="H9" s="146" t="s">
        <v>124</v>
      </c>
      <c r="I9" s="146" t="s">
        <v>125</v>
      </c>
      <c r="J9" s="146" t="s">
        <v>126</v>
      </c>
      <c r="K9" s="146" t="s">
        <v>127</v>
      </c>
      <c r="L9" s="146" t="s">
        <v>128</v>
      </c>
      <c r="M9" s="146" t="s">
        <v>129</v>
      </c>
      <c r="N9" s="146" t="s">
        <v>130</v>
      </c>
      <c r="O9" s="146" t="s">
        <v>131</v>
      </c>
      <c r="P9" s="146" t="s">
        <v>132</v>
      </c>
      <c r="Q9" s="146" t="s">
        <v>133</v>
      </c>
      <c r="R9" s="137"/>
    </row>
    <row r="10" spans="1:28" ht="19.95" customHeight="1">
      <c r="A10" s="180" t="s">
        <v>239</v>
      </c>
      <c r="B10" s="198" t="s">
        <v>212</v>
      </c>
      <c r="C10" s="149"/>
      <c r="D10" s="149"/>
      <c r="E10" s="150"/>
      <c r="F10" s="148"/>
      <c r="G10" s="151"/>
      <c r="H10" s="157">
        <f>IF(F10=0,0,IF(RIGHT(F10,1)&lt;&gt;"年",F10*12,IF(LEN(F10)=3,VALUE(LEFT(F10,2))*12,IF(LEN(F10)=2,VALUE(LEFT(F10,1))*12,"??"))))</f>
        <v>0</v>
      </c>
      <c r="I10" s="158">
        <f t="shared" ref="I10:I21" si="0">IF(E10=0,0,DATE(YEAR(E10),MONTH(E10)+H10,DAY(E10)-1))</f>
        <v>0</v>
      </c>
      <c r="J10" s="157">
        <f>IF(E10=0,0,IF(I10&gt;$D$8,VALUE(DATEDIF(E10,MIN($D$8,I10),"m")+1),VALUE(DATEDIF(E10,MIN($D$8,I10),"m")+1)))</f>
        <v>0</v>
      </c>
      <c r="K10" s="157">
        <f t="shared" ref="K10:K21" si="1">(H10-J10)</f>
        <v>0</v>
      </c>
      <c r="L10" s="157">
        <f>IF(E10=0,0,IF(AND(E10&lt;=$B$8,I10&gt;$D$8),VALUE(DATEDIF($B$8,$D$8,"m")+1),IF(AND(E10&lt;=$B$8,I10&lt;=$D$8),VALUE(DATEDIF($B$8,I10,"m")),IF(AND(E10&gt;$B$8,I10&gt;$D$8),VALUE(DATEDIF(E10,$D$8,"m")+1),IF(AND(E10&gt;=$B$8,I10&lt;=$D$8),VALUE(DATEDIF(E10,I10,"m")+1),)))))</f>
        <v>0</v>
      </c>
      <c r="M10" s="157">
        <f t="shared" ref="M10:M21" si="2">IF(H10=0,0,ROUND(((1-0)/H10)*C10,4))</f>
        <v>0</v>
      </c>
      <c r="N10" s="157">
        <f>ROUND(M10*L10,2)</f>
        <v>0</v>
      </c>
      <c r="O10" s="157">
        <f>ROUND(G10-M10,2)</f>
        <v>0</v>
      </c>
      <c r="P10" s="157">
        <f t="shared" ref="P10:P21" si="3">ROUND(M10*J10,2)</f>
        <v>0</v>
      </c>
      <c r="Q10" s="157">
        <f t="shared" ref="Q10:Q21" si="4">ROUND(D10-P10,2)</f>
        <v>0</v>
      </c>
      <c r="R10" s="137"/>
    </row>
    <row r="11" spans="1:28" ht="19.95" customHeight="1">
      <c r="A11" s="221" t="s">
        <v>254</v>
      </c>
      <c r="B11" s="198" t="s">
        <v>213</v>
      </c>
      <c r="C11" s="149"/>
      <c r="D11" s="149"/>
      <c r="E11" s="148"/>
      <c r="F11" s="148"/>
      <c r="G11" s="151"/>
      <c r="H11" s="157">
        <f t="shared" ref="H11:H21" si="5">IF(F11=0,0,IF(RIGHT(F11,1)&lt;&gt;"年",F11*12,IF(LEN(F11)=3,VALUE(LEFT(F11,2))*12,IF(LEN(F11)=2,VALUE(LEFT(F11,1))*12,"??"))))</f>
        <v>0</v>
      </c>
      <c r="I11" s="158">
        <f t="shared" si="0"/>
        <v>0</v>
      </c>
      <c r="J11" s="157">
        <f t="shared" ref="J11:J21" si="6">IF(E11=0,0,IF(I11&gt;$D$8,VALUE(DATEDIF(E11,MIN($D$8,I11),"m")+1),VALUE(DATEDIF(E11,MIN($D$8,I11),"m")+1)))</f>
        <v>0</v>
      </c>
      <c r="K11" s="157">
        <f t="shared" si="1"/>
        <v>0</v>
      </c>
      <c r="L11" s="157">
        <f t="shared" ref="L11:L21" si="7">IF(E11=0,0,IF(AND(E11&lt;=$B$8,I11&gt;$D$8),VALUE(DATEDIF($B$8,$D$8,"m")+1),IF(AND(E11&lt;=$B$8,I11&lt;=$D$8),VALUE(DATEDIF($B$8,I11,"m")),IF(AND(E11&gt;$B$8,I11&gt;$D$8),VALUE(DATEDIF(E11,$D$8,"m")+1),IF(AND(E11&gt;=$B$8,I11&lt;=$D$8),VALUE(DATEDIF(E11,I11,"m")+1),)))))</f>
        <v>0</v>
      </c>
      <c r="M11" s="157">
        <f t="shared" si="2"/>
        <v>0</v>
      </c>
      <c r="N11" s="157">
        <f t="shared" ref="N11:N21" si="8">ROUND(M11*L11,2)</f>
        <v>0</v>
      </c>
      <c r="O11" s="157">
        <f t="shared" ref="O11:O21" si="9">ROUND(G11-M11,2)</f>
        <v>0</v>
      </c>
      <c r="P11" s="157">
        <f t="shared" si="3"/>
        <v>0</v>
      </c>
      <c r="Q11" s="157">
        <f t="shared" si="4"/>
        <v>0</v>
      </c>
      <c r="R11" s="137"/>
    </row>
    <row r="12" spans="1:28" ht="19.95" customHeight="1">
      <c r="A12" s="148"/>
      <c r="B12" s="149"/>
      <c r="C12" s="149"/>
      <c r="D12" s="149"/>
      <c r="E12" s="148"/>
      <c r="F12" s="148"/>
      <c r="G12" s="151"/>
      <c r="H12" s="157">
        <f t="shared" si="5"/>
        <v>0</v>
      </c>
      <c r="I12" s="158">
        <f t="shared" si="0"/>
        <v>0</v>
      </c>
      <c r="J12" s="157">
        <f t="shared" si="6"/>
        <v>0</v>
      </c>
      <c r="K12" s="157">
        <f t="shared" si="1"/>
        <v>0</v>
      </c>
      <c r="L12" s="157">
        <f t="shared" si="7"/>
        <v>0</v>
      </c>
      <c r="M12" s="157">
        <f t="shared" si="2"/>
        <v>0</v>
      </c>
      <c r="N12" s="157">
        <f t="shared" si="8"/>
        <v>0</v>
      </c>
      <c r="O12" s="157">
        <f t="shared" si="9"/>
        <v>0</v>
      </c>
      <c r="P12" s="157">
        <f t="shared" si="3"/>
        <v>0</v>
      </c>
      <c r="Q12" s="157">
        <f t="shared" si="4"/>
        <v>0</v>
      </c>
      <c r="R12" s="137"/>
    </row>
    <row r="13" spans="1:28" ht="19.95" customHeight="1">
      <c r="A13" s="148"/>
      <c r="B13" s="149"/>
      <c r="C13" s="149"/>
      <c r="D13" s="149"/>
      <c r="E13" s="148"/>
      <c r="F13" s="148"/>
      <c r="G13" s="151"/>
      <c r="H13" s="157">
        <f t="shared" si="5"/>
        <v>0</v>
      </c>
      <c r="I13" s="158">
        <f t="shared" si="0"/>
        <v>0</v>
      </c>
      <c r="J13" s="157">
        <f t="shared" si="6"/>
        <v>0</v>
      </c>
      <c r="K13" s="157">
        <f t="shared" si="1"/>
        <v>0</v>
      </c>
      <c r="L13" s="157">
        <f t="shared" si="7"/>
        <v>0</v>
      </c>
      <c r="M13" s="157">
        <f t="shared" si="2"/>
        <v>0</v>
      </c>
      <c r="N13" s="157">
        <f t="shared" si="8"/>
        <v>0</v>
      </c>
      <c r="O13" s="157">
        <f t="shared" si="9"/>
        <v>0</v>
      </c>
      <c r="P13" s="157">
        <f t="shared" si="3"/>
        <v>0</v>
      </c>
      <c r="Q13" s="157">
        <f t="shared" si="4"/>
        <v>0</v>
      </c>
      <c r="R13" s="137"/>
    </row>
    <row r="14" spans="1:28" ht="19.95" customHeight="1">
      <c r="A14" s="148"/>
      <c r="B14" s="149"/>
      <c r="C14" s="149"/>
      <c r="D14" s="149"/>
      <c r="E14" s="148"/>
      <c r="F14" s="148"/>
      <c r="G14" s="151"/>
      <c r="H14" s="157">
        <f t="shared" si="5"/>
        <v>0</v>
      </c>
      <c r="I14" s="158">
        <f t="shared" si="0"/>
        <v>0</v>
      </c>
      <c r="J14" s="157">
        <f t="shared" si="6"/>
        <v>0</v>
      </c>
      <c r="K14" s="157">
        <f t="shared" si="1"/>
        <v>0</v>
      </c>
      <c r="L14" s="157">
        <f t="shared" si="7"/>
        <v>0</v>
      </c>
      <c r="M14" s="157">
        <f t="shared" si="2"/>
        <v>0</v>
      </c>
      <c r="N14" s="157">
        <f t="shared" si="8"/>
        <v>0</v>
      </c>
      <c r="O14" s="157">
        <f t="shared" si="9"/>
        <v>0</v>
      </c>
      <c r="P14" s="157">
        <f t="shared" si="3"/>
        <v>0</v>
      </c>
      <c r="Q14" s="157">
        <f t="shared" si="4"/>
        <v>0</v>
      </c>
      <c r="R14" s="137"/>
    </row>
    <row r="15" spans="1:28" ht="19.95" customHeight="1">
      <c r="A15" s="148"/>
      <c r="B15" s="149"/>
      <c r="C15" s="149"/>
      <c r="D15" s="149"/>
      <c r="E15" s="148"/>
      <c r="F15" s="148"/>
      <c r="G15" s="151"/>
      <c r="H15" s="157">
        <f t="shared" si="5"/>
        <v>0</v>
      </c>
      <c r="I15" s="158">
        <f t="shared" si="0"/>
        <v>0</v>
      </c>
      <c r="J15" s="157">
        <f t="shared" si="6"/>
        <v>0</v>
      </c>
      <c r="K15" s="157">
        <f t="shared" si="1"/>
        <v>0</v>
      </c>
      <c r="L15" s="157">
        <f t="shared" si="7"/>
        <v>0</v>
      </c>
      <c r="M15" s="157">
        <f t="shared" si="2"/>
        <v>0</v>
      </c>
      <c r="N15" s="157">
        <f t="shared" si="8"/>
        <v>0</v>
      </c>
      <c r="O15" s="157">
        <f t="shared" si="9"/>
        <v>0</v>
      </c>
      <c r="P15" s="157">
        <f t="shared" si="3"/>
        <v>0</v>
      </c>
      <c r="Q15" s="157">
        <f t="shared" si="4"/>
        <v>0</v>
      </c>
      <c r="R15" s="137"/>
    </row>
    <row r="16" spans="1:28" ht="19.95" customHeight="1">
      <c r="A16" s="148"/>
      <c r="B16" s="149"/>
      <c r="C16" s="149"/>
      <c r="D16" s="149"/>
      <c r="E16" s="148"/>
      <c r="F16" s="148"/>
      <c r="G16" s="151"/>
      <c r="H16" s="157">
        <f t="shared" si="5"/>
        <v>0</v>
      </c>
      <c r="I16" s="158">
        <f t="shared" si="0"/>
        <v>0</v>
      </c>
      <c r="J16" s="157">
        <f t="shared" si="6"/>
        <v>0</v>
      </c>
      <c r="K16" s="157">
        <f t="shared" si="1"/>
        <v>0</v>
      </c>
      <c r="L16" s="157">
        <f t="shared" si="7"/>
        <v>0</v>
      </c>
      <c r="M16" s="157">
        <f t="shared" si="2"/>
        <v>0</v>
      </c>
      <c r="N16" s="157">
        <f t="shared" si="8"/>
        <v>0</v>
      </c>
      <c r="O16" s="157">
        <f t="shared" si="9"/>
        <v>0</v>
      </c>
      <c r="P16" s="157">
        <f t="shared" si="3"/>
        <v>0</v>
      </c>
      <c r="Q16" s="157">
        <f t="shared" si="4"/>
        <v>0</v>
      </c>
      <c r="R16" s="137"/>
    </row>
    <row r="17" spans="1:18" ht="19.95" customHeight="1">
      <c r="A17" s="148"/>
      <c r="B17" s="149"/>
      <c r="C17" s="149"/>
      <c r="D17" s="149"/>
      <c r="E17" s="148"/>
      <c r="F17" s="148"/>
      <c r="G17" s="151"/>
      <c r="H17" s="157">
        <f t="shared" si="5"/>
        <v>0</v>
      </c>
      <c r="I17" s="158">
        <f t="shared" si="0"/>
        <v>0</v>
      </c>
      <c r="J17" s="157">
        <f t="shared" si="6"/>
        <v>0</v>
      </c>
      <c r="K17" s="157">
        <f t="shared" si="1"/>
        <v>0</v>
      </c>
      <c r="L17" s="157">
        <f t="shared" si="7"/>
        <v>0</v>
      </c>
      <c r="M17" s="157">
        <f t="shared" si="2"/>
        <v>0</v>
      </c>
      <c r="N17" s="157">
        <f t="shared" si="8"/>
        <v>0</v>
      </c>
      <c r="O17" s="157">
        <f t="shared" si="9"/>
        <v>0</v>
      </c>
      <c r="P17" s="157">
        <f t="shared" si="3"/>
        <v>0</v>
      </c>
      <c r="Q17" s="157">
        <f t="shared" si="4"/>
        <v>0</v>
      </c>
      <c r="R17" s="137"/>
    </row>
    <row r="18" spans="1:18" ht="19.95" customHeight="1">
      <c r="A18" s="148"/>
      <c r="B18" s="149"/>
      <c r="C18" s="149"/>
      <c r="D18" s="149"/>
      <c r="E18" s="148"/>
      <c r="F18" s="148"/>
      <c r="G18" s="151"/>
      <c r="H18" s="157">
        <f t="shared" si="5"/>
        <v>0</v>
      </c>
      <c r="I18" s="158">
        <f t="shared" si="0"/>
        <v>0</v>
      </c>
      <c r="J18" s="157">
        <f t="shared" si="6"/>
        <v>0</v>
      </c>
      <c r="K18" s="157">
        <f t="shared" si="1"/>
        <v>0</v>
      </c>
      <c r="L18" s="157">
        <f t="shared" si="7"/>
        <v>0</v>
      </c>
      <c r="M18" s="157">
        <f t="shared" si="2"/>
        <v>0</v>
      </c>
      <c r="N18" s="157">
        <f t="shared" si="8"/>
        <v>0</v>
      </c>
      <c r="O18" s="157">
        <f t="shared" si="9"/>
        <v>0</v>
      </c>
      <c r="P18" s="157">
        <f t="shared" si="3"/>
        <v>0</v>
      </c>
      <c r="Q18" s="157">
        <f t="shared" si="4"/>
        <v>0</v>
      </c>
      <c r="R18" s="137"/>
    </row>
    <row r="19" spans="1:18" ht="19.95" customHeight="1">
      <c r="A19" s="148"/>
      <c r="B19" s="149"/>
      <c r="C19" s="149"/>
      <c r="D19" s="149"/>
      <c r="E19" s="148"/>
      <c r="F19" s="148"/>
      <c r="G19" s="151"/>
      <c r="H19" s="157">
        <f t="shared" si="5"/>
        <v>0</v>
      </c>
      <c r="I19" s="158">
        <f t="shared" si="0"/>
        <v>0</v>
      </c>
      <c r="J19" s="157">
        <f t="shared" si="6"/>
        <v>0</v>
      </c>
      <c r="K19" s="157">
        <f t="shared" si="1"/>
        <v>0</v>
      </c>
      <c r="L19" s="157">
        <f t="shared" si="7"/>
        <v>0</v>
      </c>
      <c r="M19" s="157">
        <f t="shared" si="2"/>
        <v>0</v>
      </c>
      <c r="N19" s="157">
        <f t="shared" si="8"/>
        <v>0</v>
      </c>
      <c r="O19" s="157">
        <f t="shared" si="9"/>
        <v>0</v>
      </c>
      <c r="P19" s="157">
        <f t="shared" si="3"/>
        <v>0</v>
      </c>
      <c r="Q19" s="157">
        <f t="shared" si="4"/>
        <v>0</v>
      </c>
      <c r="R19" s="137"/>
    </row>
    <row r="20" spans="1:18" ht="19.95" customHeight="1">
      <c r="A20" s="148"/>
      <c r="B20" s="149"/>
      <c r="C20" s="149"/>
      <c r="D20" s="149"/>
      <c r="E20" s="148"/>
      <c r="F20" s="148"/>
      <c r="G20" s="151"/>
      <c r="H20" s="157">
        <f t="shared" si="5"/>
        <v>0</v>
      </c>
      <c r="I20" s="158">
        <f t="shared" si="0"/>
        <v>0</v>
      </c>
      <c r="J20" s="157">
        <f t="shared" si="6"/>
        <v>0</v>
      </c>
      <c r="K20" s="157">
        <f t="shared" si="1"/>
        <v>0</v>
      </c>
      <c r="L20" s="157">
        <f t="shared" si="7"/>
        <v>0</v>
      </c>
      <c r="M20" s="157">
        <f t="shared" si="2"/>
        <v>0</v>
      </c>
      <c r="N20" s="157">
        <f t="shared" si="8"/>
        <v>0</v>
      </c>
      <c r="O20" s="157">
        <f t="shared" si="9"/>
        <v>0</v>
      </c>
      <c r="P20" s="157">
        <f t="shared" si="3"/>
        <v>0</v>
      </c>
      <c r="Q20" s="157">
        <f t="shared" si="4"/>
        <v>0</v>
      </c>
      <c r="R20" s="137"/>
    </row>
    <row r="21" spans="1:18" ht="19.95" customHeight="1">
      <c r="A21" s="148"/>
      <c r="B21" s="149"/>
      <c r="C21" s="149"/>
      <c r="D21" s="149"/>
      <c r="E21" s="148"/>
      <c r="F21" s="148"/>
      <c r="G21" s="151"/>
      <c r="H21" s="157">
        <f t="shared" si="5"/>
        <v>0</v>
      </c>
      <c r="I21" s="158">
        <f t="shared" si="0"/>
        <v>0</v>
      </c>
      <c r="J21" s="157">
        <f t="shared" si="6"/>
        <v>0</v>
      </c>
      <c r="K21" s="157">
        <f t="shared" si="1"/>
        <v>0</v>
      </c>
      <c r="L21" s="157">
        <f t="shared" si="7"/>
        <v>0</v>
      </c>
      <c r="M21" s="157">
        <f t="shared" si="2"/>
        <v>0</v>
      </c>
      <c r="N21" s="157">
        <f t="shared" si="8"/>
        <v>0</v>
      </c>
      <c r="O21" s="157">
        <f t="shared" si="9"/>
        <v>0</v>
      </c>
      <c r="P21" s="157">
        <f t="shared" si="3"/>
        <v>0</v>
      </c>
      <c r="Q21" s="157">
        <f t="shared" si="4"/>
        <v>0</v>
      </c>
      <c r="R21" s="137"/>
    </row>
    <row r="22" spans="1:18" s="131" customFormat="1" ht="19.95" customHeight="1">
      <c r="A22" s="338" t="s">
        <v>60</v>
      </c>
      <c r="B22" s="338"/>
      <c r="C22" s="157">
        <f>SUM(C10:C21)</f>
        <v>0</v>
      </c>
      <c r="D22" s="157">
        <f>SUM(D10:D21)</f>
        <v>0</v>
      </c>
      <c r="E22" s="157"/>
      <c r="F22" s="157"/>
      <c r="G22" s="157">
        <f>SUM(G10:G21)</f>
        <v>0</v>
      </c>
      <c r="H22" s="157"/>
      <c r="I22" s="157"/>
      <c r="J22" s="157"/>
      <c r="K22" s="157"/>
      <c r="L22" s="157"/>
      <c r="M22" s="157">
        <f t="shared" ref="M22:N22" si="10">SUM(M10:M21)</f>
        <v>0</v>
      </c>
      <c r="N22" s="157">
        <f t="shared" si="10"/>
        <v>0</v>
      </c>
      <c r="O22" s="157">
        <f>SUM(O10:O21)</f>
        <v>0</v>
      </c>
      <c r="P22" s="157">
        <f>SUM(P10:P21)</f>
        <v>0</v>
      </c>
      <c r="Q22" s="157">
        <f>SUM(Q10:Q21)</f>
        <v>0</v>
      </c>
      <c r="R22" s="137"/>
    </row>
    <row r="23" spans="1:18" s="131" customFormat="1" ht="19.95" customHeight="1">
      <c r="A23" s="267" t="s">
        <v>134</v>
      </c>
      <c r="C23" s="152"/>
      <c r="D23" s="152"/>
      <c r="E23" s="152"/>
      <c r="F23" s="152"/>
      <c r="G23" s="152"/>
      <c r="H23" s="152"/>
      <c r="I23" s="152"/>
      <c r="J23" s="152"/>
      <c r="K23" s="152"/>
      <c r="L23" s="152"/>
      <c r="M23" s="152"/>
      <c r="N23" s="152"/>
      <c r="O23" s="152"/>
      <c r="P23" s="152"/>
      <c r="Q23" s="152"/>
      <c r="R23" s="137"/>
    </row>
    <row r="24" spans="1:18" s="131" customFormat="1" ht="19.95" customHeight="1">
      <c r="A24" s="345" t="s">
        <v>164</v>
      </c>
      <c r="B24" s="346"/>
      <c r="C24" s="157">
        <f>SUMPRODUCT(($A$10:$A$21=$A24)*(C$10:C$21))</f>
        <v>0</v>
      </c>
      <c r="D24" s="157">
        <f t="array" ref="D24">SUMPRODUCT(($A$10:$A$21=$A24)*(D$10:D$21))</f>
        <v>0</v>
      </c>
      <c r="E24" s="153"/>
      <c r="F24" s="152"/>
      <c r="G24" s="152"/>
      <c r="H24" s="152"/>
      <c r="I24" s="152"/>
      <c r="J24" s="152"/>
      <c r="K24" s="152"/>
      <c r="L24" s="154"/>
      <c r="M24" s="157">
        <f>SUMPRODUCT(($A$10:$A$21=$A24)*(M$10:M$21))</f>
        <v>0</v>
      </c>
      <c r="N24" s="157">
        <f>SUMPRODUCT(($A$10:$A$21=$A24)*(N$10:N$21))</f>
        <v>0</v>
      </c>
      <c r="O24" s="157">
        <f t="array" ref="O24">SUMPRODUCT(($A$10:$A$21=$A24)*(O$10:O$21))</f>
        <v>0</v>
      </c>
      <c r="P24" s="157">
        <f t="array" ref="P24">SUMPRODUCT(($A$10:$A$21=$A24)*(P$10:P$21))</f>
        <v>0</v>
      </c>
      <c r="Q24" s="157">
        <f t="array" ref="Q24">SUMPRODUCT(($A$10:$A$21=$A24)*(Q$10:Q$21))</f>
        <v>0</v>
      </c>
      <c r="R24" s="137"/>
    </row>
    <row r="25" spans="1:18" s="131" customFormat="1" ht="19.95" customHeight="1">
      <c r="A25" s="345" t="s">
        <v>165</v>
      </c>
      <c r="B25" s="346"/>
      <c r="C25" s="157">
        <f t="array" ref="C25">SUMPRODUCT(($A$10:$A$21=$A25)*(C$10:C$21))</f>
        <v>0</v>
      </c>
      <c r="D25" s="157">
        <f t="array" ref="D25">SUMPRODUCT(($A$10:$A$21=$A25)*(D$10:D$21))</f>
        <v>0</v>
      </c>
      <c r="E25" s="153"/>
      <c r="F25" s="152"/>
      <c r="G25" s="152"/>
      <c r="H25" s="152"/>
      <c r="I25" s="152"/>
      <c r="J25" s="152"/>
      <c r="K25" s="152"/>
      <c r="L25" s="154"/>
      <c r="M25" s="157">
        <f t="array" ref="M25">SUMPRODUCT(($A$10:$A$21=$A25)*(M$10:M$21))</f>
        <v>0</v>
      </c>
      <c r="N25" s="157">
        <f t="array" ref="N25">SUMPRODUCT(($A$10:$A$21=$A25)*(N$10:N$21))</f>
        <v>0</v>
      </c>
      <c r="O25" s="157">
        <f t="array" ref="O25">SUMPRODUCT(($A$10:$A$21=$A25)*(O$10:O$21))</f>
        <v>0</v>
      </c>
      <c r="P25" s="157">
        <f t="array" ref="P25">SUMPRODUCT(($A$10:$A$21=$A25)*(P$10:P$21))</f>
        <v>0</v>
      </c>
      <c r="Q25" s="157">
        <f t="array" ref="Q25">SUMPRODUCT(($A$10:$A$21=$A25)*(Q$10:Q$21))</f>
        <v>0</v>
      </c>
    </row>
    <row r="26" spans="1:18" s="131" customFormat="1" ht="19.95" customHeight="1">
      <c r="A26" s="345" t="s">
        <v>166</v>
      </c>
      <c r="B26" s="346"/>
      <c r="C26" s="157">
        <f t="array" ref="C26">SUMPRODUCT(($A$10:$A$21=$A26)*(C$10:C$21))</f>
        <v>0</v>
      </c>
      <c r="D26" s="157">
        <f t="array" ref="D26">SUMPRODUCT(($A$10:$A$21=$A26)*(D$10:D$21))</f>
        <v>0</v>
      </c>
      <c r="E26" s="153"/>
      <c r="F26" s="152"/>
      <c r="G26" s="152"/>
      <c r="H26" s="152"/>
      <c r="I26" s="152"/>
      <c r="J26" s="152"/>
      <c r="K26" s="152"/>
      <c r="L26" s="154"/>
      <c r="M26" s="157">
        <f t="array" ref="M26">SUMPRODUCT(($A$10:$A$21=$A26)*(M$10:M$21))</f>
        <v>0</v>
      </c>
      <c r="N26" s="157">
        <f t="array" ref="N26">SUMPRODUCT(($A$10:$A$21=$A26)*(N$10:N$21))</f>
        <v>0</v>
      </c>
      <c r="O26" s="157">
        <f t="array" ref="O26">SUMPRODUCT(($A$10:$A$21=$A26)*(O$10:O$21))</f>
        <v>0</v>
      </c>
      <c r="P26" s="157">
        <f t="array" ref="P26">SUMPRODUCT(($A$10:$A$21=$A26)*(P$10:P$21))</f>
        <v>0</v>
      </c>
      <c r="Q26" s="157">
        <f t="array" ref="Q26">SUMPRODUCT(($A$10:$A$21=$A26)*(Q$10:Q$21))</f>
        <v>0</v>
      </c>
    </row>
    <row r="27" spans="1:18" s="131" customFormat="1" ht="19.95" customHeight="1">
      <c r="A27" s="345" t="s">
        <v>167</v>
      </c>
      <c r="B27" s="346"/>
      <c r="C27" s="157">
        <f t="array" ref="C27">SUMPRODUCT(($A$10:$A$21=$A27)*(C$10:C$21))</f>
        <v>0</v>
      </c>
      <c r="D27" s="157">
        <f t="array" ref="D27">SUMPRODUCT(($A$10:$A$21=$A27)*(D$10:D$21))</f>
        <v>0</v>
      </c>
      <c r="E27" s="153"/>
      <c r="F27" s="152"/>
      <c r="G27" s="152"/>
      <c r="H27" s="152"/>
      <c r="I27" s="152"/>
      <c r="J27" s="152"/>
      <c r="K27" s="152"/>
      <c r="L27" s="154"/>
      <c r="M27" s="157">
        <f t="array" ref="M27">SUMPRODUCT(($A$10:$A$21=$A27)*(M$10:M$21))</f>
        <v>0</v>
      </c>
      <c r="N27" s="157">
        <f t="array" ref="N27">SUMPRODUCT(($A$10:$A$21=$A27)*(N$10:N$21))</f>
        <v>0</v>
      </c>
      <c r="O27" s="157">
        <f t="array" ref="O27">SUMPRODUCT(($A$10:$A$21=$A27)*(O$10:O$21))</f>
        <v>0</v>
      </c>
      <c r="P27" s="157">
        <f t="array" ref="P27">SUMPRODUCT(($A$10:$A$21=$A27)*(P$10:P$21))</f>
        <v>0</v>
      </c>
      <c r="Q27" s="157">
        <f t="array" ref="Q27">SUMPRODUCT(($A$10:$A$21=$A27)*(Q$10:Q$21))</f>
        <v>0</v>
      </c>
    </row>
    <row r="28" spans="1:18" s="131" customFormat="1" ht="19.95" customHeight="1">
      <c r="A28" s="155" t="s">
        <v>135</v>
      </c>
    </row>
    <row r="29" spans="1:18" ht="19.95" customHeight="1">
      <c r="A29" s="137"/>
    </row>
    <row r="30" spans="1:18" ht="19.95" customHeight="1">
      <c r="A30" s="156" t="s">
        <v>136</v>
      </c>
    </row>
    <row r="31" spans="1:18" ht="19.95" customHeight="1"/>
    <row r="63" spans="1:1" ht="18" customHeight="1">
      <c r="A63" s="132" t="s">
        <v>137</v>
      </c>
    </row>
    <row r="64" spans="1:1" ht="18" customHeight="1">
      <c r="A64" s="132" t="s">
        <v>138</v>
      </c>
    </row>
    <row r="65" spans="1:1" ht="18" customHeight="1">
      <c r="A65" s="132" t="s">
        <v>139</v>
      </c>
    </row>
    <row r="66" spans="1:1" ht="18" customHeight="1">
      <c r="A66" s="132" t="s">
        <v>140</v>
      </c>
    </row>
  </sheetData>
  <mergeCells count="7">
    <mergeCell ref="A27:B27"/>
    <mergeCell ref="A1:Q1"/>
    <mergeCell ref="A2:Q2"/>
    <mergeCell ref="A22:B22"/>
    <mergeCell ref="A24:B24"/>
    <mergeCell ref="A25:B25"/>
    <mergeCell ref="A26:B26"/>
  </mergeCells>
  <phoneticPr fontId="62" type="noConversion"/>
  <hyperlinks>
    <hyperlink ref="Q3" location="底稿目录!A1" display="底稿目录!A1"/>
  </hyperlinks>
  <printOptions horizontalCentered="1"/>
  <pageMargins left="0.59055118110236227" right="0.59055118110236227" top="0.78740157480314965" bottom="0.39370078740157483" header="0.51181102362204722" footer="0.31496062992125984"/>
  <pageSetup paperSize="9" scale="62" fitToHeight="3"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
  <sheetViews>
    <sheetView view="pageBreakPreview" zoomScaleSheetLayoutView="100" workbookViewId="0">
      <selection activeCell="Q3" sqref="Q3"/>
    </sheetView>
  </sheetViews>
  <sheetFormatPr defaultColWidth="9" defaultRowHeight="15.6"/>
  <cols>
    <col min="1" max="3" width="9" style="3"/>
    <col min="4" max="4" width="18" style="3" customWidth="1"/>
    <col min="5" max="5" width="9.59765625" style="3" customWidth="1"/>
    <col min="6" max="7" width="11.3984375" style="3" customWidth="1"/>
    <col min="8" max="8" width="11.69921875" style="3" customWidth="1"/>
    <col min="9" max="9" width="21.8984375" style="3" customWidth="1"/>
    <col min="10" max="14" width="4.3984375" style="3" customWidth="1"/>
    <col min="15" max="15" width="9.59765625" style="3" customWidth="1"/>
    <col min="16" max="16" width="6.296875" style="3" customWidth="1"/>
    <col min="17" max="17" width="16.296875" style="3" customWidth="1"/>
    <col min="18" max="16384" width="9" style="3"/>
  </cols>
  <sheetData>
    <row r="1" spans="1:19" s="1" customFormat="1" ht="19.95" customHeight="1">
      <c r="A1" s="348" t="s">
        <v>13</v>
      </c>
      <c r="B1" s="348"/>
      <c r="C1" s="348"/>
      <c r="D1" s="348"/>
      <c r="E1" s="348"/>
      <c r="F1" s="348"/>
      <c r="G1" s="348"/>
      <c r="H1" s="348"/>
      <c r="I1" s="348"/>
      <c r="J1" s="348"/>
      <c r="K1" s="348"/>
      <c r="L1" s="348"/>
      <c r="M1" s="348"/>
      <c r="N1" s="348"/>
      <c r="O1" s="348"/>
      <c r="P1" s="348"/>
      <c r="Q1" s="348"/>
    </row>
    <row r="2" spans="1:19" s="1" customFormat="1" ht="19.95" customHeight="1">
      <c r="A2" s="349" t="s">
        <v>274</v>
      </c>
      <c r="B2" s="349"/>
      <c r="C2" s="349"/>
      <c r="D2" s="349"/>
      <c r="E2" s="349"/>
      <c r="F2" s="349"/>
      <c r="G2" s="349"/>
      <c r="H2" s="349"/>
      <c r="I2" s="349"/>
      <c r="J2" s="349"/>
      <c r="K2" s="349"/>
      <c r="L2" s="349"/>
      <c r="M2" s="349"/>
      <c r="N2" s="349"/>
      <c r="O2" s="349"/>
      <c r="P2" s="349"/>
      <c r="Q2" s="349"/>
    </row>
    <row r="3" spans="1:19" s="2" customFormat="1" ht="19.95" customHeight="1">
      <c r="A3" s="222" t="str">
        <f>底稿目录!A2</f>
        <v>被审计单位：</v>
      </c>
      <c r="C3" s="222"/>
      <c r="F3" s="223" t="str">
        <f>底稿目录!A4</f>
        <v>编制人：</v>
      </c>
      <c r="G3" s="223"/>
      <c r="I3" s="7" t="str">
        <f>底稿目录!A5</f>
        <v>编制日期：</v>
      </c>
      <c r="P3" s="224" t="s">
        <v>255</v>
      </c>
      <c r="Q3" s="225" t="str">
        <f>底稿目录!F12</f>
        <v>K2-6</v>
      </c>
    </row>
    <row r="4" spans="1:19" s="2" customFormat="1" ht="19.95" customHeight="1">
      <c r="A4" s="222" t="str">
        <f>底稿目录!A3</f>
        <v>截止日：202X年12月31日</v>
      </c>
      <c r="C4" s="18"/>
      <c r="F4" s="223" t="str">
        <f>底稿目录!A6</f>
        <v>复核人：</v>
      </c>
      <c r="G4" s="223"/>
      <c r="I4" s="7" t="str">
        <f>底稿目录!A7</f>
        <v>复核日期：</v>
      </c>
      <c r="P4" s="226" t="s">
        <v>256</v>
      </c>
      <c r="Q4" s="227"/>
    </row>
    <row r="5" spans="1:19" s="229" customFormat="1" ht="19.95" customHeight="1">
      <c r="A5" s="228" t="s">
        <v>257</v>
      </c>
      <c r="B5" s="228"/>
      <c r="C5" s="228"/>
      <c r="D5" s="228"/>
      <c r="E5" s="228"/>
      <c r="F5" s="228"/>
      <c r="G5" s="228"/>
      <c r="H5" s="228"/>
      <c r="I5" s="228"/>
      <c r="J5" s="228"/>
      <c r="K5" s="228"/>
      <c r="L5" s="228"/>
      <c r="M5" s="228"/>
      <c r="N5" s="228"/>
    </row>
    <row r="6" spans="1:19" s="229" customFormat="1" ht="19.95" customHeight="1">
      <c r="A6" s="163" t="s">
        <v>240</v>
      </c>
      <c r="B6" s="163"/>
      <c r="C6" s="230"/>
      <c r="D6" s="231"/>
      <c r="E6" s="231"/>
      <c r="F6" s="231"/>
      <c r="G6" s="231"/>
      <c r="H6" s="231" t="s">
        <v>275</v>
      </c>
      <c r="I6" s="231"/>
      <c r="J6" s="231"/>
      <c r="K6" s="231"/>
      <c r="L6" s="231"/>
      <c r="M6" s="231"/>
      <c r="N6" s="231"/>
    </row>
    <row r="7" spans="1:19" s="229" customFormat="1" ht="19.95" customHeight="1">
      <c r="A7" s="163" t="s">
        <v>241</v>
      </c>
      <c r="B7" s="163"/>
      <c r="C7" s="230"/>
      <c r="D7" s="231"/>
      <c r="E7" s="231"/>
      <c r="F7" s="231"/>
      <c r="G7" s="231"/>
      <c r="H7" s="231"/>
      <c r="I7" s="231"/>
      <c r="J7" s="231"/>
      <c r="K7" s="231"/>
      <c r="L7" s="231"/>
      <c r="M7" s="231"/>
      <c r="N7" s="231"/>
    </row>
    <row r="8" spans="1:19" s="229" customFormat="1" ht="19.95" customHeight="1">
      <c r="A8" s="162" t="s">
        <v>258</v>
      </c>
      <c r="B8" s="162"/>
      <c r="C8" s="232"/>
      <c r="D8" s="232"/>
      <c r="E8" s="233"/>
      <c r="F8" s="234"/>
      <c r="G8" s="234"/>
      <c r="H8" s="234"/>
    </row>
    <row r="9" spans="1:19" s="229" customFormat="1" ht="19.95" customHeight="1">
      <c r="A9" s="235" t="s">
        <v>259</v>
      </c>
      <c r="B9" s="235"/>
      <c r="C9" s="232"/>
      <c r="D9" s="232"/>
      <c r="E9" s="233"/>
      <c r="F9" s="234"/>
      <c r="G9" s="234"/>
      <c r="H9" s="234"/>
    </row>
    <row r="10" spans="1:19" s="236" customFormat="1" ht="19.95" customHeight="1">
      <c r="A10" s="350" t="s">
        <v>285</v>
      </c>
      <c r="B10" s="356" t="s">
        <v>260</v>
      </c>
      <c r="C10" s="356"/>
      <c r="D10" s="356"/>
      <c r="E10" s="356"/>
      <c r="F10" s="356"/>
      <c r="G10" s="356"/>
      <c r="H10" s="356"/>
      <c r="I10" s="357" t="s">
        <v>261</v>
      </c>
      <c r="J10" s="359" t="s">
        <v>262</v>
      </c>
      <c r="K10" s="360"/>
      <c r="L10" s="360"/>
      <c r="M10" s="360"/>
      <c r="N10" s="360"/>
      <c r="O10" s="361" t="s">
        <v>263</v>
      </c>
      <c r="P10" s="362" t="s">
        <v>264</v>
      </c>
      <c r="Q10" s="364" t="s">
        <v>265</v>
      </c>
      <c r="R10" s="229"/>
    </row>
    <row r="11" spans="1:19" s="238" customFormat="1" ht="19.95" customHeight="1">
      <c r="A11" s="351"/>
      <c r="B11" s="259" t="s">
        <v>65</v>
      </c>
      <c r="C11" s="259" t="s">
        <v>66</v>
      </c>
      <c r="D11" s="259" t="s">
        <v>266</v>
      </c>
      <c r="E11" s="259" t="s">
        <v>267</v>
      </c>
      <c r="F11" s="259" t="s">
        <v>268</v>
      </c>
      <c r="G11" s="260" t="s">
        <v>269</v>
      </c>
      <c r="H11" s="260" t="s">
        <v>270</v>
      </c>
      <c r="I11" s="358"/>
      <c r="J11" s="261">
        <v>1</v>
      </c>
      <c r="K11" s="261">
        <v>2</v>
      </c>
      <c r="L11" s="261">
        <v>3</v>
      </c>
      <c r="M11" s="261">
        <v>4</v>
      </c>
      <c r="N11" s="261">
        <v>5</v>
      </c>
      <c r="O11" s="361"/>
      <c r="P11" s="363"/>
      <c r="Q11" s="365"/>
      <c r="R11" s="229"/>
      <c r="S11" s="237"/>
    </row>
    <row r="12" spans="1:19" s="236" customFormat="1" ht="19.95" customHeight="1">
      <c r="A12" s="239"/>
      <c r="B12" s="239"/>
      <c r="C12" s="239"/>
      <c r="D12" s="239"/>
      <c r="E12" s="239"/>
      <c r="F12" s="239"/>
      <c r="G12" s="239"/>
      <c r="H12" s="240"/>
      <c r="I12" s="239"/>
      <c r="J12" s="241"/>
      <c r="K12" s="241"/>
      <c r="L12" s="241"/>
      <c r="M12" s="241"/>
      <c r="N12" s="241"/>
      <c r="O12" s="239"/>
      <c r="P12" s="239"/>
      <c r="Q12" s="239"/>
      <c r="R12" s="229"/>
    </row>
    <row r="13" spans="1:19" s="236" customFormat="1" ht="19.95" customHeight="1">
      <c r="A13" s="239"/>
      <c r="B13" s="239"/>
      <c r="C13" s="239"/>
      <c r="D13" s="239"/>
      <c r="E13" s="239"/>
      <c r="F13" s="239"/>
      <c r="G13" s="239"/>
      <c r="H13" s="240"/>
      <c r="I13" s="239"/>
      <c r="J13" s="241"/>
      <c r="K13" s="241"/>
      <c r="L13" s="241"/>
      <c r="M13" s="241"/>
      <c r="N13" s="241"/>
      <c r="O13" s="239"/>
      <c r="P13" s="239"/>
      <c r="Q13" s="239"/>
      <c r="R13" s="229"/>
    </row>
    <row r="14" spans="1:19" s="236" customFormat="1" ht="19.95" customHeight="1">
      <c r="A14" s="239"/>
      <c r="B14" s="239"/>
      <c r="C14" s="239"/>
      <c r="D14" s="239"/>
      <c r="E14" s="239"/>
      <c r="F14" s="239"/>
      <c r="G14" s="239"/>
      <c r="H14" s="240"/>
      <c r="I14" s="239"/>
      <c r="J14" s="241"/>
      <c r="K14" s="241"/>
      <c r="L14" s="241"/>
      <c r="M14" s="241"/>
      <c r="N14" s="241"/>
      <c r="O14" s="239"/>
      <c r="P14" s="239"/>
      <c r="Q14" s="239"/>
      <c r="R14" s="229"/>
    </row>
    <row r="15" spans="1:19" s="236" customFormat="1" ht="19.95" customHeight="1">
      <c r="A15" s="239"/>
      <c r="B15" s="239"/>
      <c r="C15" s="239"/>
      <c r="D15" s="239"/>
      <c r="E15" s="239"/>
      <c r="F15" s="239"/>
      <c r="G15" s="239"/>
      <c r="H15" s="240"/>
      <c r="I15" s="239"/>
      <c r="J15" s="241"/>
      <c r="K15" s="241"/>
      <c r="L15" s="241"/>
      <c r="M15" s="241"/>
      <c r="N15" s="241"/>
      <c r="O15" s="239"/>
      <c r="P15" s="239"/>
      <c r="Q15" s="239"/>
      <c r="R15" s="229"/>
    </row>
    <row r="16" spans="1:19" s="236" customFormat="1" ht="19.95" customHeight="1">
      <c r="A16" s="239"/>
      <c r="B16" s="239"/>
      <c r="C16" s="239"/>
      <c r="D16" s="239"/>
      <c r="E16" s="239"/>
      <c r="F16" s="239"/>
      <c r="G16" s="239"/>
      <c r="H16" s="240"/>
      <c r="I16" s="239"/>
      <c r="J16" s="241"/>
      <c r="K16" s="241"/>
      <c r="L16" s="241"/>
      <c r="M16" s="241"/>
      <c r="N16" s="241"/>
      <c r="O16" s="239"/>
      <c r="P16" s="239"/>
      <c r="Q16" s="239"/>
      <c r="R16" s="229"/>
    </row>
    <row r="17" spans="1:18" s="236" customFormat="1" ht="19.95" customHeight="1">
      <c r="A17" s="239"/>
      <c r="B17" s="239"/>
      <c r="C17" s="239"/>
      <c r="D17" s="239"/>
      <c r="E17" s="239"/>
      <c r="F17" s="239"/>
      <c r="G17" s="239"/>
      <c r="H17" s="240"/>
      <c r="I17" s="239"/>
      <c r="J17" s="241"/>
      <c r="K17" s="241"/>
      <c r="L17" s="241"/>
      <c r="M17" s="241"/>
      <c r="N17" s="241"/>
      <c r="O17" s="239"/>
      <c r="P17" s="239"/>
      <c r="Q17" s="239"/>
      <c r="R17" s="229"/>
    </row>
    <row r="18" spans="1:18" s="236" customFormat="1" ht="19.95" customHeight="1">
      <c r="A18" s="239"/>
      <c r="B18" s="239"/>
      <c r="C18" s="239"/>
      <c r="D18" s="239"/>
      <c r="E18" s="239"/>
      <c r="F18" s="239"/>
      <c r="G18" s="239"/>
      <c r="H18" s="240"/>
      <c r="I18" s="239"/>
      <c r="J18" s="241"/>
      <c r="K18" s="241"/>
      <c r="L18" s="241"/>
      <c r="M18" s="241"/>
      <c r="N18" s="241"/>
      <c r="O18" s="239"/>
      <c r="P18" s="239"/>
      <c r="Q18" s="239"/>
      <c r="R18" s="229"/>
    </row>
    <row r="19" spans="1:18" s="236" customFormat="1" ht="19.95" customHeight="1">
      <c r="A19" s="239"/>
      <c r="B19" s="239"/>
      <c r="C19" s="239"/>
      <c r="D19" s="239"/>
      <c r="E19" s="239"/>
      <c r="F19" s="239"/>
      <c r="G19" s="239"/>
      <c r="H19" s="240"/>
      <c r="I19" s="239"/>
      <c r="J19" s="241"/>
      <c r="K19" s="241"/>
      <c r="L19" s="241"/>
      <c r="M19" s="241"/>
      <c r="N19" s="241"/>
      <c r="O19" s="239"/>
      <c r="P19" s="239"/>
      <c r="Q19" s="239"/>
      <c r="R19" s="229"/>
    </row>
    <row r="20" spans="1:18" s="236" customFormat="1" ht="19.95" customHeight="1">
      <c r="A20" s="239"/>
      <c r="B20" s="239"/>
      <c r="C20" s="239"/>
      <c r="D20" s="239"/>
      <c r="E20" s="239"/>
      <c r="F20" s="239"/>
      <c r="G20" s="239"/>
      <c r="H20" s="240"/>
      <c r="I20" s="239"/>
      <c r="J20" s="241"/>
      <c r="K20" s="241"/>
      <c r="L20" s="241"/>
      <c r="M20" s="241"/>
      <c r="N20" s="241"/>
      <c r="O20" s="239"/>
      <c r="P20" s="239"/>
      <c r="Q20" s="239"/>
      <c r="R20" s="229"/>
    </row>
    <row r="21" spans="1:18" s="236" customFormat="1" ht="19.95" customHeight="1">
      <c r="A21" s="239"/>
      <c r="B21" s="239"/>
      <c r="C21" s="239"/>
      <c r="D21" s="239"/>
      <c r="E21" s="239"/>
      <c r="F21" s="239"/>
      <c r="G21" s="239"/>
      <c r="H21" s="240"/>
      <c r="I21" s="239"/>
      <c r="J21" s="241"/>
      <c r="K21" s="241"/>
      <c r="L21" s="241"/>
      <c r="M21" s="241"/>
      <c r="N21" s="241"/>
      <c r="O21" s="239"/>
      <c r="P21" s="239"/>
      <c r="Q21" s="239"/>
      <c r="R21" s="229"/>
    </row>
    <row r="22" spans="1:18" s="236" customFormat="1" ht="19.95" customHeight="1">
      <c r="A22" s="239"/>
      <c r="B22" s="239"/>
      <c r="C22" s="239"/>
      <c r="D22" s="239"/>
      <c r="E22" s="239"/>
      <c r="F22" s="239"/>
      <c r="G22" s="239"/>
      <c r="H22" s="240"/>
      <c r="I22" s="239"/>
      <c r="J22" s="241"/>
      <c r="K22" s="241"/>
      <c r="L22" s="241"/>
      <c r="M22" s="241"/>
      <c r="N22" s="241"/>
      <c r="O22" s="239"/>
      <c r="P22" s="239"/>
      <c r="Q22" s="239"/>
      <c r="R22" s="229"/>
    </row>
    <row r="23" spans="1:18" s="236" customFormat="1" ht="19.95" customHeight="1">
      <c r="A23" s="239"/>
      <c r="B23" s="239"/>
      <c r="C23" s="239"/>
      <c r="D23" s="239"/>
      <c r="E23" s="239"/>
      <c r="F23" s="239"/>
      <c r="G23" s="239"/>
      <c r="H23" s="240"/>
      <c r="I23" s="239"/>
      <c r="J23" s="241"/>
      <c r="K23" s="241"/>
      <c r="L23" s="241"/>
      <c r="M23" s="241"/>
      <c r="N23" s="241"/>
      <c r="O23" s="239"/>
      <c r="P23" s="239"/>
      <c r="Q23" s="239"/>
      <c r="R23" s="229"/>
    </row>
    <row r="24" spans="1:18" s="236" customFormat="1" ht="19.95" customHeight="1">
      <c r="A24" s="239"/>
      <c r="B24" s="239"/>
      <c r="C24" s="239"/>
      <c r="D24" s="239"/>
      <c r="E24" s="239"/>
      <c r="F24" s="239"/>
      <c r="G24" s="239"/>
      <c r="H24" s="240"/>
      <c r="I24" s="239"/>
      <c r="J24" s="241"/>
      <c r="K24" s="241"/>
      <c r="L24" s="241"/>
      <c r="M24" s="241"/>
      <c r="N24" s="241"/>
      <c r="O24" s="239"/>
      <c r="P24" s="239"/>
      <c r="Q24" s="239"/>
      <c r="R24" s="229"/>
    </row>
    <row r="25" spans="1:18" s="236" customFormat="1" ht="19.95" customHeight="1">
      <c r="A25" s="352" t="s">
        <v>271</v>
      </c>
      <c r="B25" s="353"/>
      <c r="C25" s="353"/>
      <c r="D25" s="354"/>
      <c r="E25" s="242"/>
      <c r="F25" s="242"/>
      <c r="G25" s="243">
        <f>SUM(G12:G24)</f>
        <v>0</v>
      </c>
      <c r="H25" s="243">
        <f>SUM(H12:H24)</f>
        <v>0</v>
      </c>
      <c r="I25" s="242"/>
      <c r="J25" s="242"/>
      <c r="K25" s="242"/>
      <c r="L25" s="242"/>
      <c r="M25" s="242"/>
      <c r="N25" s="242"/>
      <c r="O25" s="242"/>
      <c r="P25" s="242"/>
      <c r="Q25" s="242"/>
      <c r="R25" s="229"/>
    </row>
    <row r="26" spans="1:18" s="244" customFormat="1" ht="19.95" customHeight="1">
      <c r="A26" s="8" t="s">
        <v>272</v>
      </c>
      <c r="B26" s="8"/>
      <c r="K26"/>
      <c r="L26"/>
      <c r="M26"/>
      <c r="N26" s="245"/>
      <c r="O26" s="246"/>
      <c r="P26" s="246"/>
      <c r="Q26" s="246"/>
    </row>
    <row r="27" spans="1:18" s="244" customFormat="1" ht="19.95" customHeight="1">
      <c r="A27" s="14" t="s">
        <v>302</v>
      </c>
      <c r="B27" s="14"/>
      <c r="C27"/>
      <c r="D27" s="268" t="s">
        <v>303</v>
      </c>
      <c r="E27" s="268" t="s">
        <v>304</v>
      </c>
      <c r="F27" s="268" t="s">
        <v>305</v>
      </c>
      <c r="G27" s="268" t="s">
        <v>306</v>
      </c>
      <c r="H27" s="269" t="s">
        <v>307</v>
      </c>
      <c r="K27"/>
      <c r="L27"/>
      <c r="M27"/>
      <c r="N27" s="245"/>
      <c r="O27" s="246"/>
      <c r="P27" s="246"/>
      <c r="Q27" s="246"/>
    </row>
    <row r="28" spans="1:18" s="244" customFormat="1" ht="19.95" customHeight="1">
      <c r="A28" s="82"/>
      <c r="B28" s="82"/>
      <c r="C28"/>
      <c r="D28" s="268" t="s">
        <v>308</v>
      </c>
      <c r="E28" s="270">
        <f>'明细表K2-2'!M20</f>
        <v>0</v>
      </c>
      <c r="F28" s="270">
        <f>G25</f>
        <v>0</v>
      </c>
      <c r="G28" s="271" t="e">
        <f>ROUND(F28/E28,4)</f>
        <v>#DIV/0!</v>
      </c>
      <c r="H28" s="205"/>
      <c r="K28"/>
      <c r="L28"/>
      <c r="M28"/>
      <c r="N28" s="245"/>
      <c r="O28" s="246"/>
      <c r="P28" s="246"/>
      <c r="Q28" s="246"/>
    </row>
    <row r="29" spans="1:18" s="244" customFormat="1" ht="19.95" customHeight="1">
      <c r="A29" s="82"/>
      <c r="B29" s="82"/>
      <c r="C29"/>
      <c r="D29" s="268" t="s">
        <v>309</v>
      </c>
      <c r="E29" s="270">
        <f>'明细表K2-2'!N20</f>
        <v>0</v>
      </c>
      <c r="F29" s="270">
        <f>H25</f>
        <v>0</v>
      </c>
      <c r="G29" s="271" t="e">
        <f>ROUND(F29/E29,2)</f>
        <v>#DIV/0!</v>
      </c>
      <c r="H29" s="205"/>
      <c r="K29"/>
      <c r="L29"/>
      <c r="M29"/>
      <c r="N29" s="245"/>
      <c r="O29" s="246"/>
      <c r="P29" s="246"/>
      <c r="Q29" s="246"/>
    </row>
    <row r="30" spans="1:18" s="2" customFormat="1" ht="19.95" customHeight="1">
      <c r="A30" s="272" t="s">
        <v>310</v>
      </c>
      <c r="B30" s="82"/>
      <c r="C30"/>
      <c r="D30" s="273"/>
      <c r="E30" s="274"/>
      <c r="F30" s="274"/>
      <c r="G30" s="275"/>
      <c r="H30" s="205"/>
      <c r="K30" s="247"/>
      <c r="L30" s="11"/>
      <c r="M30" s="11"/>
      <c r="N30" s="11"/>
      <c r="O30" s="11"/>
      <c r="P30" s="11"/>
      <c r="Q30" s="11"/>
    </row>
    <row r="31" spans="1:18" s="2" customFormat="1" ht="19.95" customHeight="1">
      <c r="A31" s="248" t="s">
        <v>273</v>
      </c>
      <c r="B31" s="248"/>
      <c r="D31" s="11"/>
      <c r="E31" s="11"/>
      <c r="F31" s="11"/>
      <c r="G31" s="11"/>
      <c r="H31" s="11"/>
      <c r="I31" s="11"/>
      <c r="J31" s="11"/>
      <c r="K31" s="11"/>
      <c r="L31" s="11"/>
      <c r="M31" s="11"/>
      <c r="N31" s="11"/>
      <c r="O31" s="11"/>
      <c r="P31" s="11"/>
      <c r="Q31" s="11"/>
    </row>
    <row r="32" spans="1:18" s="2" customFormat="1" ht="19.95" customHeight="1">
      <c r="D32" s="11"/>
      <c r="E32" s="11"/>
      <c r="F32" s="11"/>
      <c r="G32" s="11"/>
      <c r="H32" s="11"/>
      <c r="I32" s="11"/>
      <c r="K32" s="11"/>
      <c r="L32" s="11"/>
      <c r="M32" s="11"/>
      <c r="N32" s="11"/>
      <c r="O32" s="11"/>
      <c r="P32" s="11"/>
      <c r="Q32" s="11"/>
    </row>
    <row r="33" spans="2:17" s="2" customFormat="1" ht="19.95" customHeight="1">
      <c r="B33" s="249"/>
      <c r="D33" s="11"/>
      <c r="E33" s="11"/>
      <c r="F33" s="11"/>
      <c r="G33" s="11"/>
      <c r="H33" s="11"/>
      <c r="I33" s="11"/>
      <c r="K33" s="11"/>
      <c r="L33" s="11"/>
      <c r="M33" s="11"/>
      <c r="N33" s="11"/>
      <c r="O33" s="11"/>
      <c r="P33" s="11"/>
      <c r="Q33" s="11"/>
    </row>
    <row r="34" spans="2:17" s="2" customFormat="1" ht="34.200000000000003" customHeight="1">
      <c r="B34" s="355"/>
      <c r="C34" s="355"/>
      <c r="D34" s="355"/>
      <c r="E34" s="355"/>
      <c r="F34" s="355"/>
      <c r="G34" s="355"/>
      <c r="H34" s="355"/>
      <c r="I34" s="355"/>
      <c r="J34" s="355"/>
      <c r="K34" s="355"/>
      <c r="L34" s="355"/>
      <c r="M34" s="355"/>
      <c r="N34" s="355"/>
      <c r="O34" s="355"/>
      <c r="P34" s="355"/>
      <c r="Q34" s="355"/>
    </row>
    <row r="35" spans="2:17" s="2" customFormat="1" ht="18" customHeight="1">
      <c r="B35" s="10"/>
      <c r="D35" s="11"/>
      <c r="E35" s="11"/>
      <c r="F35" s="11"/>
      <c r="G35" s="11"/>
      <c r="H35" s="11"/>
      <c r="I35" s="11"/>
      <c r="J35" s="11"/>
      <c r="K35" s="11"/>
      <c r="L35" s="11"/>
      <c r="M35" s="11"/>
      <c r="N35" s="11"/>
      <c r="O35" s="11"/>
      <c r="P35" s="11"/>
      <c r="Q35" s="11"/>
    </row>
  </sheetData>
  <mergeCells count="11">
    <mergeCell ref="A1:Q1"/>
    <mergeCell ref="A2:Q2"/>
    <mergeCell ref="A10:A11"/>
    <mergeCell ref="A25:D25"/>
    <mergeCell ref="B34:Q34"/>
    <mergeCell ref="B10:H10"/>
    <mergeCell ref="I10:I11"/>
    <mergeCell ref="J10:N10"/>
    <mergeCell ref="O10:O11"/>
    <mergeCell ref="P10:P11"/>
    <mergeCell ref="Q10:Q11"/>
  </mergeCells>
  <phoneticPr fontId="90" type="noConversion"/>
  <dataValidations count="2">
    <dataValidation type="list" allowBlank="1" showInputMessage="1" showErrorMessage="1" sqref="J12:N24 K25:P25">
      <formula1>"√,X"</formula1>
    </dataValidation>
    <dataValidation type="list" allowBlank="1" showInputMessage="1" showErrorMessage="1" sqref="D31">
      <formula1>"A：未见异常，可以确认。,B：经审计调整可以确认。,C：由于存在上述重大未调整事项（或审计范围受到限制无法获取充分、适当证据），不可确认。"</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8"/>
  <sheetViews>
    <sheetView workbookViewId="0">
      <selection activeCell="B9" sqref="B9"/>
    </sheetView>
  </sheetViews>
  <sheetFormatPr defaultColWidth="9" defaultRowHeight="15.6"/>
  <sheetData>
    <row r="1" spans="1:2">
      <c r="A1" t="s">
        <v>67</v>
      </c>
      <c r="B1" t="s">
        <v>68</v>
      </c>
    </row>
    <row r="2" spans="1:2">
      <c r="A2" t="s">
        <v>69</v>
      </c>
      <c r="B2" t="s">
        <v>70</v>
      </c>
    </row>
    <row r="3" spans="1:2">
      <c r="A3" t="s">
        <v>71</v>
      </c>
      <c r="B3" t="s">
        <v>72</v>
      </c>
    </row>
    <row r="4" spans="1:2">
      <c r="A4" t="s">
        <v>73</v>
      </c>
      <c r="B4" t="s">
        <v>74</v>
      </c>
    </row>
    <row r="5" spans="1:2">
      <c r="A5" t="s">
        <v>75</v>
      </c>
      <c r="B5" t="s">
        <v>76</v>
      </c>
    </row>
    <row r="6" spans="1:2">
      <c r="A6" t="s">
        <v>77</v>
      </c>
      <c r="B6" t="s">
        <v>78</v>
      </c>
    </row>
    <row r="7" spans="1:2">
      <c r="A7" t="s">
        <v>79</v>
      </c>
      <c r="B7" t="s">
        <v>80</v>
      </c>
    </row>
    <row r="8" spans="1:2">
      <c r="A8" t="s">
        <v>81</v>
      </c>
      <c r="B8" t="s">
        <v>82</v>
      </c>
    </row>
  </sheetData>
  <phoneticPr fontId="6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底稿目录</vt:lpstr>
      <vt:lpstr>实质性程序表 K2A</vt:lpstr>
      <vt:lpstr>审定表K2-1</vt:lpstr>
      <vt:lpstr>附注披露信息（上市公司）</vt:lpstr>
      <vt:lpstr>附注披露信息（国企）</vt:lpstr>
      <vt:lpstr>明细表K2-2</vt:lpstr>
      <vt:lpstr>调整分录汇总K2-3</vt:lpstr>
      <vt:lpstr>合同取得成本明细表K2-4</vt:lpstr>
      <vt:lpstr>摊销测算表K2-5</vt:lpstr>
      <vt:lpstr>其他流动资产检查表表K2-6</vt:lpstr>
      <vt:lpstr>GT_Custom</vt:lpstr>
      <vt:lpstr>'调整分录汇总K2-3'!Print_Area</vt:lpstr>
      <vt:lpstr>'附注披露信息（上市公司）'!Print_Area</vt:lpstr>
      <vt:lpstr>'合同取得成本明细表K2-4'!Print_Area</vt:lpstr>
      <vt:lpstr>'明细表K2-2'!Print_Area</vt:lpstr>
      <vt:lpstr>'其他流动资产检查表表K2-6'!Print_Area</vt:lpstr>
      <vt:lpstr>'审定表K2-1'!Print_Area</vt:lpstr>
      <vt:lpstr>'实质性程序表 K2A'!Print_Area</vt:lpstr>
      <vt:lpstr>'摊销测算表K2-5'!Print_Area</vt:lpstr>
      <vt:lpstr>'实质性程序表 K2A'!Print_Titles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2025-10-21T08:57:16Z</cp:lastPrinted>
  <dcterms:created xsi:type="dcterms:W3CDTF">2007-05-20T08:51:00Z</dcterms:created>
  <dcterms:modified xsi:type="dcterms:W3CDTF">2025-11-05T07:10:18Z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A6841C7651E74947A4ABAFB77797DF0A</vt:lpwstr>
  </property>
  <property fmtid="{D5CDD505-2E9C-101B-9397-08002B2CF9AE}" pid="3" name="KSOProductBuildVer">
    <vt:lpwstr>2052-11.1.0.13703</vt:lpwstr>
  </property>
</Properties>
</file>