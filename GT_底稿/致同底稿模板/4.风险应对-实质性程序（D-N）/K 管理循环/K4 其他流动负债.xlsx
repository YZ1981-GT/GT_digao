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Default Extension="vml" ContentType="application/vnd.openxmlformats-officedocument.vmlDrawing"/>
  <Default Extension="doc" ContentType="application/msword"/>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24226"/>
  <mc:AlternateContent xmlns:mc="http://schemas.openxmlformats.org/markup-compatibility/2006">
    <mc:Choice Requires="x15">
      <x15ac:absPath xmlns:x15ac="http://schemas.microsoft.com/office/spreadsheetml/2010/11/ac" url="D:\5.底稿模板\2025年底稿修订\1.已修订底稿\2025年底稿模板-10.31\K 管理循环\"/>
    </mc:Choice>
  </mc:AlternateContent>
  <bookViews>
    <workbookView xWindow="-120" yWindow="-120" windowWidth="29040" windowHeight="15528" tabRatio="927"/>
  </bookViews>
  <sheets>
    <sheet name="底稿目录" sheetId="6" r:id="rId1"/>
    <sheet name="实质性程序表 K4A" sheetId="7" r:id="rId2"/>
    <sheet name="审定表 K4-1" sheetId="1" r:id="rId3"/>
    <sheet name="附注披露信息（上市公司）" sheetId="3" r:id="rId4"/>
    <sheet name="附注披露信息（国企）" sheetId="2" r:id="rId5"/>
    <sheet name="明细表 K4-2" sheetId="4" r:id="rId6"/>
    <sheet name="调整分录汇总 K4-3" sheetId="8" r:id="rId7"/>
    <sheet name="其他流动负债检查表 K4-4" sheetId="5" r:id="rId8"/>
  </sheets>
  <externalReferences>
    <externalReference r:id="rId9"/>
    <externalReference r:id="rId10"/>
    <externalReference r:id="rId11"/>
  </externalReferences>
  <definedNames>
    <definedName name="aas" hidden="1">#REF!</definedName>
    <definedName name="abc" hidden="1">[1]Breakdown!#REF!</definedName>
    <definedName name="abcd" hidden="1">[1]Breakdown!#REF!</definedName>
    <definedName name="abcdefg" hidden="1">#REF!</definedName>
    <definedName name="AFV" hidden="1">#REF!</definedName>
    <definedName name="bs" hidden="1">{#N/A,#N/A,FALSE,"BBPREP"}</definedName>
    <definedName name="bs_1" hidden="1">{#N/A,#N/A,FALSE,"BBPREP"}</definedName>
    <definedName name="CCD" hidden="1">#REF!</definedName>
    <definedName name="CDE" hidden="1">#REF!</definedName>
    <definedName name="data" hidden="1">#REF!</definedName>
    <definedName name="DEX" hidden="1">#REF!</definedName>
    <definedName name="EDC" hidden="1">#REF!</definedName>
    <definedName name="FAD" hidden="1">[1]Breakdown!#REF!</definedName>
    <definedName name="FASD" hidden="1">#REF!</definedName>
    <definedName name="FEDC" hidden="1">'[2]2004'!#REF!</definedName>
    <definedName name="_xlnm.Print_Area" localSheetId="6">'调整分录汇总 K4-3'!$A$1:$J$20</definedName>
    <definedName name="_xlnm.Print_Area" localSheetId="4">'附注披露信息（国企）'!$A$1:$E$15</definedName>
    <definedName name="_xlnm.Print_Area" localSheetId="3">'附注披露信息（上市公司）'!$A$1:$H$38</definedName>
    <definedName name="_xlnm.Print_Area" localSheetId="5">'明细表 K4-2'!$A$1:$P$22</definedName>
    <definedName name="_xlnm.Print_Area" localSheetId="7">'其他流动负债检查表 K4-4'!$A$1:$Q$37</definedName>
    <definedName name="_xlnm.Print_Area" localSheetId="2">'审定表 K4-1'!$A$1:$L$21</definedName>
    <definedName name="_xlnm.Print_Area" localSheetId="1">'实质性程序表 K4A'!$A$1:$I$24</definedName>
    <definedName name="_xlnm.Print_Titles" localSheetId="1">'实质性程序表 K4A'!$15:$15</definedName>
    <definedName name="RDES" hidden="1">#REF!</definedName>
    <definedName name="TextRefCopyRangeCount" hidden="1">136</definedName>
    <definedName name="VFE" hidden="1">#REF!</definedName>
    <definedName name="wer" hidden="1">#REF!</definedName>
    <definedName name="XAP" hidden="1">#REF!</definedName>
    <definedName name="XAQ" hidden="1">#REF!</definedName>
    <definedName name="XCD" hidden="1">#REF!</definedName>
    <definedName name="XREF_COLUMN_1" hidden="1">#REF!</definedName>
    <definedName name="XREF_COLUMN_2" hidden="1">[1]Breakdown!#REF!</definedName>
    <definedName name="XREF_COLUMN_3" hidden="1">#REF!</definedName>
    <definedName name="XREF_COLUMN_5" hidden="1">'[2]2004'!#REF!</definedName>
    <definedName name="XRefActiveRow" hidden="1">#REF!</definedName>
    <definedName name="XRefColumnsCount" hidden="1">2</definedName>
    <definedName name="XRefCopy1" hidden="1">#REF!</definedName>
    <definedName name="XRefCopy1Row" hidden="1">#REF!</definedName>
    <definedName name="XRefCopy2Row" hidden="1">#REF!</definedName>
    <definedName name="XRefCopyRangeCount" hidden="1">2</definedName>
    <definedName name="XRefPaste1" hidden="1">#REF!</definedName>
    <definedName name="XRefPaste1Row" hidden="1">#REF!</definedName>
    <definedName name="XRefPaste2" hidden="1">#REF!</definedName>
    <definedName name="XRefPaste2Row" hidden="1">#REF!</definedName>
    <definedName name="XRefPaste3" hidden="1">#REF!</definedName>
    <definedName name="XRefPaste3Row" hidden="1">#REF!</definedName>
    <definedName name="XRefPasteRangeCount" hidden="1">2</definedName>
    <definedName name="本循环科目" hidden="1">[3]索引!$D$15:$D$76</definedName>
    <definedName name="底稿目录" hidden="1">#REF!</definedName>
    <definedName name="喂喂喂" hidden="1">#REF!</definedName>
    <definedName name="新目录" hidden="1">#REF!</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33" i="5" l="1"/>
  <c r="F32" i="5"/>
  <c r="E33" i="5"/>
  <c r="E32" i="5"/>
  <c r="G32" i="5" l="1"/>
  <c r="G33" i="5"/>
  <c r="H29" i="5"/>
  <c r="G29" i="5" l="1"/>
  <c r="C16" i="4" l="1"/>
  <c r="D16" i="4"/>
  <c r="F16" i="4"/>
  <c r="G16" i="4"/>
  <c r="H16" i="4"/>
  <c r="I16" i="4"/>
  <c r="J16" i="4"/>
  <c r="K16" i="4"/>
  <c r="B16" i="4"/>
  <c r="E12" i="4"/>
  <c r="E13" i="4"/>
  <c r="E14" i="4"/>
  <c r="E15" i="4"/>
  <c r="E11" i="4"/>
  <c r="G8" i="1"/>
  <c r="H8" i="1"/>
  <c r="G9" i="1"/>
  <c r="H9" i="1"/>
  <c r="G10" i="1"/>
  <c r="H10" i="1"/>
  <c r="G11" i="1"/>
  <c r="H11" i="1"/>
  <c r="B8" i="1"/>
  <c r="C8" i="1"/>
  <c r="D8" i="1"/>
  <c r="B9" i="1"/>
  <c r="C9" i="1"/>
  <c r="D9" i="1"/>
  <c r="B10" i="1"/>
  <c r="C10" i="1"/>
  <c r="D10" i="1"/>
  <c r="B11" i="1"/>
  <c r="C11" i="1"/>
  <c r="D11" i="1"/>
  <c r="E16" i="4" l="1"/>
  <c r="Q3" i="5"/>
  <c r="C3" i="8"/>
  <c r="J3" i="8"/>
  <c r="P3" i="4"/>
  <c r="E3" i="2"/>
  <c r="H3" i="3"/>
  <c r="L3" i="1"/>
  <c r="I3" i="7"/>
  <c r="A4" i="7"/>
  <c r="B36" i="3" l="1"/>
  <c r="E33" i="3"/>
  <c r="G7" i="1"/>
  <c r="H7" i="1"/>
  <c r="E34" i="3"/>
  <c r="E35" i="3"/>
  <c r="D36" i="3"/>
  <c r="C36" i="3"/>
  <c r="B29" i="3"/>
  <c r="G26" i="3"/>
  <c r="G27" i="3"/>
  <c r="G28" i="3"/>
  <c r="G29" i="3" s="1"/>
  <c r="F29" i="3"/>
  <c r="E29" i="3"/>
  <c r="D29" i="3"/>
  <c r="C29" i="3"/>
  <c r="F23" i="3"/>
  <c r="B23" i="3"/>
  <c r="N11" i="4"/>
  <c r="M11" i="4"/>
  <c r="L11" i="4"/>
  <c r="C7" i="3" s="1"/>
  <c r="F8" i="1"/>
  <c r="F9" i="1"/>
  <c r="F10" i="1"/>
  <c r="F11" i="1"/>
  <c r="B7" i="1"/>
  <c r="C7" i="1"/>
  <c r="D7" i="1"/>
  <c r="F4" i="8"/>
  <c r="C4" i="8"/>
  <c r="A4" i="8"/>
  <c r="F3" i="8"/>
  <c r="A3" i="8"/>
  <c r="I4" i="5"/>
  <c r="J4" i="4"/>
  <c r="C4" i="2"/>
  <c r="D4" i="3"/>
  <c r="H4" i="1"/>
  <c r="E4" i="7"/>
  <c r="E3" i="7"/>
  <c r="E4" i="5"/>
  <c r="D4" i="4"/>
  <c r="B4" i="2"/>
  <c r="B4" i="3"/>
  <c r="D4" i="1"/>
  <c r="C4" i="7"/>
  <c r="C3" i="7"/>
  <c r="A3" i="7"/>
  <c r="A8" i="1"/>
  <c r="A9" i="1"/>
  <c r="A10" i="1"/>
  <c r="A11" i="1"/>
  <c r="A7" i="1"/>
  <c r="H3" i="1"/>
  <c r="D3" i="1"/>
  <c r="A4" i="1"/>
  <c r="A3" i="1"/>
  <c r="A8" i="2"/>
  <c r="A9" i="2"/>
  <c r="A10" i="2"/>
  <c r="A11" i="2"/>
  <c r="A7" i="2"/>
  <c r="A8" i="3"/>
  <c r="A9" i="3"/>
  <c r="A10" i="3"/>
  <c r="A11" i="3"/>
  <c r="A7" i="3"/>
  <c r="N15" i="4"/>
  <c r="M15" i="4"/>
  <c r="L15" i="4"/>
  <c r="N14" i="4"/>
  <c r="M14" i="4"/>
  <c r="L14" i="4"/>
  <c r="N13" i="4"/>
  <c r="M13" i="4"/>
  <c r="L13" i="4"/>
  <c r="N12" i="4"/>
  <c r="M12" i="4"/>
  <c r="L12" i="4"/>
  <c r="O12" i="4" s="1"/>
  <c r="A4" i="5"/>
  <c r="I3" i="5"/>
  <c r="E3" i="5"/>
  <c r="A3" i="5"/>
  <c r="A4" i="4"/>
  <c r="J3" i="4"/>
  <c r="D3" i="4"/>
  <c r="A3" i="4"/>
  <c r="A4" i="3"/>
  <c r="D3" i="3"/>
  <c r="B3" i="3"/>
  <c r="A3" i="3"/>
  <c r="A4" i="2"/>
  <c r="C3" i="2"/>
  <c r="B3" i="2"/>
  <c r="A3" i="2"/>
  <c r="C11" i="2" l="1"/>
  <c r="O15" i="4"/>
  <c r="C9" i="3"/>
  <c r="O13" i="4"/>
  <c r="C7" i="2"/>
  <c r="O11" i="4"/>
  <c r="B7" i="2" s="1"/>
  <c r="L16" i="4"/>
  <c r="M16" i="4"/>
  <c r="N16" i="4"/>
  <c r="C10" i="2"/>
  <c r="O14" i="4"/>
  <c r="C11" i="3"/>
  <c r="C9" i="2"/>
  <c r="C8" i="2"/>
  <c r="E9" i="1"/>
  <c r="C8" i="3"/>
  <c r="E36" i="3"/>
  <c r="E7" i="1"/>
  <c r="I9" i="1"/>
  <c r="I10" i="1"/>
  <c r="D12" i="1"/>
  <c r="D14" i="1" s="1"/>
  <c r="E11" i="1"/>
  <c r="I11" i="1"/>
  <c r="H12" i="1"/>
  <c r="H14" i="1" s="1"/>
  <c r="B8" i="2"/>
  <c r="B8" i="3"/>
  <c r="E10" i="1"/>
  <c r="C12" i="1"/>
  <c r="C14" i="1" s="1"/>
  <c r="E8" i="1"/>
  <c r="G12" i="1"/>
  <c r="G14" i="1" s="1"/>
  <c r="I8" i="1"/>
  <c r="B12" i="1"/>
  <c r="B14" i="1" s="1"/>
  <c r="F7" i="1"/>
  <c r="I7" i="1" s="1"/>
  <c r="C10" i="3"/>
  <c r="C12" i="2" l="1"/>
  <c r="B7" i="3"/>
  <c r="O16" i="4"/>
  <c r="B10" i="3"/>
  <c r="B10" i="2"/>
  <c r="C12" i="3"/>
  <c r="J9" i="1"/>
  <c r="K9" i="1" s="1"/>
  <c r="J11" i="1"/>
  <c r="K11" i="1" s="1"/>
  <c r="J7" i="1"/>
  <c r="K7" i="1" s="1"/>
  <c r="J10" i="1"/>
  <c r="K10" i="1" s="1"/>
  <c r="J8" i="1"/>
  <c r="K8" i="1" s="1"/>
  <c r="F12" i="1"/>
  <c r="F14" i="1" s="1"/>
  <c r="E12" i="1"/>
  <c r="B9" i="3"/>
  <c r="B9" i="2"/>
  <c r="I12" i="1"/>
  <c r="I14" i="1" s="1"/>
  <c r="B11" i="2"/>
  <c r="B11" i="3"/>
  <c r="J12" i="1" l="1"/>
  <c r="K12" i="1" s="1"/>
  <c r="E14" i="1"/>
  <c r="B12" i="3"/>
  <c r="B12" i="2"/>
</calcChain>
</file>

<file path=xl/comments1.xml><?xml version="1.0" encoding="utf-8"?>
<comments xmlns="http://schemas.openxmlformats.org/spreadsheetml/2006/main">
  <authors>
    <author>何先琴</author>
  </authors>
  <commentList>
    <comment ref="B15" authorId="0" shapeId="0">
      <text>
        <r>
          <rPr>
            <b/>
            <sz val="9"/>
            <color indexed="81"/>
            <rFont val="宋体"/>
            <family val="3"/>
            <charset val="134"/>
          </rPr>
          <t>专业技术部:</t>
        </r>
        <r>
          <rPr>
            <sz val="9"/>
            <color indexed="81"/>
            <rFont val="宋体"/>
            <family val="3"/>
            <charset val="134"/>
          </rPr>
          <t xml:space="preserve">
根据被审计单位实际情况和风险评估情况裁剪、修改或增加审计程序</t>
        </r>
      </text>
    </comment>
  </commentList>
</comments>
</file>

<file path=xl/sharedStrings.xml><?xml version="1.0" encoding="utf-8"?>
<sst xmlns="http://schemas.openxmlformats.org/spreadsheetml/2006/main" count="298" uniqueCount="252">
  <si>
    <t>致同会计师事务所</t>
  </si>
  <si>
    <t>合计</t>
  </si>
  <si>
    <t>附注披露信息（上市公司）</t>
    <phoneticPr fontId="5" type="noConversion"/>
  </si>
  <si>
    <t>期末数</t>
  </si>
  <si>
    <t>本期增加</t>
    <phoneticPr fontId="5" type="noConversion"/>
  </si>
  <si>
    <t>本期减少</t>
    <phoneticPr fontId="5" type="noConversion"/>
  </si>
  <si>
    <r>
      <rPr>
        <b/>
        <sz val="12"/>
        <color indexed="8"/>
        <rFont val="宋体"/>
        <family val="3"/>
        <charset val="134"/>
      </rPr>
      <t>目录</t>
    </r>
    <phoneticPr fontId="5" type="noConversion"/>
  </si>
  <si>
    <r>
      <rPr>
        <b/>
        <sz val="10"/>
        <color indexed="8"/>
        <rFont val="宋体"/>
        <family val="3"/>
        <charset val="134"/>
      </rPr>
      <t>序号</t>
    </r>
  </si>
  <si>
    <t>内容</t>
  </si>
  <si>
    <r>
      <rPr>
        <b/>
        <sz val="10"/>
        <color indexed="8"/>
        <rFont val="宋体"/>
        <family val="3"/>
        <charset val="134"/>
      </rPr>
      <t>索引号</t>
    </r>
  </si>
  <si>
    <r>
      <rPr>
        <b/>
        <sz val="10"/>
        <color indexed="8"/>
        <rFont val="宋体"/>
        <family val="3"/>
        <charset val="134"/>
      </rPr>
      <t>备注</t>
    </r>
  </si>
  <si>
    <t>其他流动负债</t>
  </si>
  <si>
    <t>说明：</t>
  </si>
  <si>
    <t>【公司根据《企业会计准则》规定计入“递延收益”科目的金额，应按如下原则确定所属的报表项目：</t>
  </si>
  <si>
    <t>债券名称</t>
  </si>
  <si>
    <t>面值</t>
  </si>
  <si>
    <t>发行日期</t>
  </si>
  <si>
    <t>债券期限</t>
  </si>
  <si>
    <t>发行金额</t>
  </si>
  <si>
    <t>短期应付债券（续）</t>
  </si>
  <si>
    <t>本期发行</t>
  </si>
  <si>
    <t>按面值计提利息</t>
  </si>
  <si>
    <t>溢折价摊销</t>
  </si>
  <si>
    <t>本期偿还</t>
  </si>
  <si>
    <t>补助项目</t>
  </si>
  <si>
    <t>页次：</t>
    <phoneticPr fontId="29" type="noConversion"/>
  </si>
  <si>
    <t>本期审定数与上期
审定数的比较</t>
    <phoneticPr fontId="5" type="noConversion"/>
  </si>
  <si>
    <t>变动率</t>
    <phoneticPr fontId="5" type="noConversion"/>
  </si>
  <si>
    <t>变动额</t>
    <phoneticPr fontId="5" type="noConversion"/>
  </si>
  <si>
    <t>其他流动负债审定表</t>
    <phoneticPr fontId="5" type="noConversion"/>
  </si>
  <si>
    <r>
      <rPr>
        <b/>
        <sz val="10"/>
        <color indexed="8"/>
        <rFont val="宋体"/>
        <family val="3"/>
        <charset val="134"/>
      </rPr>
      <t>项目</t>
    </r>
  </si>
  <si>
    <t>期初数</t>
    <phoneticPr fontId="5" type="noConversion"/>
  </si>
  <si>
    <t>期末数</t>
    <phoneticPr fontId="5" type="noConversion"/>
  </si>
  <si>
    <t>原因分析</t>
    <phoneticPr fontId="5" type="noConversion"/>
  </si>
  <si>
    <t>未审数</t>
    <phoneticPr fontId="5" type="noConversion"/>
  </si>
  <si>
    <t>账项调整</t>
    <phoneticPr fontId="5" type="noConversion"/>
  </si>
  <si>
    <t>重分类调整</t>
    <phoneticPr fontId="5" type="noConversion"/>
  </si>
  <si>
    <t>审定数</t>
    <phoneticPr fontId="5" type="noConversion"/>
  </si>
  <si>
    <r>
      <rPr>
        <b/>
        <sz val="10"/>
        <color indexed="8"/>
        <rFont val="宋体"/>
        <family val="3"/>
        <charset val="134"/>
      </rPr>
      <t>合计</t>
    </r>
    <phoneticPr fontId="5" type="noConversion"/>
  </si>
  <si>
    <r>
      <t>主要原因</t>
    </r>
    <r>
      <rPr>
        <sz val="10"/>
        <color indexed="10"/>
        <rFont val="宋体"/>
        <family val="3"/>
        <charset val="134"/>
      </rPr>
      <t>（比例超过30%的）</t>
    </r>
    <r>
      <rPr>
        <sz val="10"/>
        <rFont val="宋体"/>
        <family val="3"/>
        <charset val="134"/>
      </rPr>
      <t>：</t>
    </r>
    <phoneticPr fontId="5" type="noConversion"/>
  </si>
  <si>
    <r>
      <t>（</t>
    </r>
    <r>
      <rPr>
        <sz val="10"/>
        <rFont val="Arial Narrow"/>
        <family val="2"/>
      </rPr>
      <t>2</t>
    </r>
    <r>
      <rPr>
        <sz val="10"/>
        <rFont val="宋体"/>
        <family val="3"/>
        <charset val="134"/>
      </rPr>
      <t>）情况说明。</t>
    </r>
    <phoneticPr fontId="5" type="noConversion"/>
  </si>
  <si>
    <r>
      <rPr>
        <b/>
        <sz val="10"/>
        <color indexed="8"/>
        <rFont val="宋体"/>
        <family val="3"/>
        <charset val="134"/>
      </rPr>
      <t>一、审计目标</t>
    </r>
    <r>
      <rPr>
        <b/>
        <sz val="10"/>
        <color indexed="8"/>
        <rFont val="Arial Narrow"/>
        <family val="2"/>
      </rPr>
      <t>:</t>
    </r>
    <phoneticPr fontId="12" type="noConversion"/>
  </si>
  <si>
    <t>备注</t>
    <phoneticPr fontId="5" type="noConversion"/>
  </si>
  <si>
    <r>
      <t>（</t>
    </r>
    <r>
      <rPr>
        <sz val="10"/>
        <rFont val="Arial Narrow"/>
        <family val="2"/>
      </rPr>
      <t>1</t>
    </r>
    <r>
      <rPr>
        <sz val="10"/>
        <rFont val="宋体"/>
        <family val="3"/>
        <charset val="134"/>
      </rPr>
      <t>）其他流动负债本期较上期增加（负数为减少）：</t>
    </r>
    <phoneticPr fontId="5" type="noConversion"/>
  </si>
  <si>
    <r>
      <rPr>
        <sz val="10"/>
        <rFont val="宋体"/>
        <family val="3"/>
        <charset val="134"/>
      </rPr>
      <t>页次：</t>
    </r>
  </si>
  <si>
    <t>项目</t>
    <phoneticPr fontId="5" type="noConversion"/>
  </si>
  <si>
    <r>
      <rPr>
        <b/>
        <sz val="10"/>
        <color indexed="8"/>
        <rFont val="宋体"/>
        <family val="3"/>
        <charset val="134"/>
      </rPr>
      <t>三、审计说明：</t>
    </r>
    <phoneticPr fontId="5" type="noConversion"/>
  </si>
  <si>
    <r>
      <rPr>
        <b/>
        <sz val="10"/>
        <color indexed="8"/>
        <rFont val="宋体"/>
        <family val="3"/>
        <charset val="134"/>
      </rPr>
      <t>四、审计结论：</t>
    </r>
    <phoneticPr fontId="5" type="noConversion"/>
  </si>
  <si>
    <r>
      <rPr>
        <b/>
        <sz val="10"/>
        <rFont val="宋体"/>
        <family val="3"/>
        <charset val="134"/>
      </rPr>
      <t>二、样本选取标准与规模：</t>
    </r>
    <phoneticPr fontId="32" type="noConversion"/>
  </si>
  <si>
    <r>
      <rPr>
        <b/>
        <sz val="10"/>
        <rFont val="宋体"/>
        <family val="3"/>
        <charset val="134"/>
      </rPr>
      <t>三、测试：</t>
    </r>
    <phoneticPr fontId="32" type="noConversion"/>
  </si>
  <si>
    <r>
      <rPr>
        <b/>
        <sz val="10"/>
        <rFont val="宋体"/>
        <family val="3"/>
        <charset val="134"/>
      </rPr>
      <t>四、审计说明：</t>
    </r>
    <phoneticPr fontId="32" type="noConversion"/>
  </si>
  <si>
    <r>
      <rPr>
        <b/>
        <sz val="10"/>
        <rFont val="宋体"/>
        <family val="3"/>
        <charset val="134"/>
      </rPr>
      <t>五、审计结论：</t>
    </r>
    <phoneticPr fontId="5" type="noConversion"/>
  </si>
  <si>
    <r>
      <rPr>
        <b/>
        <sz val="12"/>
        <rFont val="宋体"/>
        <family val="3"/>
        <charset val="134"/>
      </rPr>
      <t>底稿开列时，可先在以下单元格填写有关内容，以便其他底稿引用有关数据：</t>
    </r>
    <phoneticPr fontId="5" type="noConversion"/>
  </si>
  <si>
    <t>编制说明：</t>
    <phoneticPr fontId="29" type="noConversion"/>
  </si>
  <si>
    <t>致同会计师事务所</t>
    <phoneticPr fontId="5" type="noConversion"/>
  </si>
  <si>
    <t>其他流动负债实质性程序</t>
    <phoneticPr fontId="5" type="noConversion"/>
  </si>
  <si>
    <t>其他流动负债</t>
    <phoneticPr fontId="5" type="noConversion"/>
  </si>
  <si>
    <r>
      <rPr>
        <b/>
        <sz val="10"/>
        <rFont val="宋体"/>
        <family val="3"/>
        <charset val="134"/>
      </rPr>
      <t>财务报表的认定　</t>
    </r>
  </si>
  <si>
    <t>三、计划实施的实质性程序</t>
    <phoneticPr fontId="5" type="noConversion"/>
  </si>
  <si>
    <t>序号</t>
    <phoneticPr fontId="5" type="noConversion"/>
  </si>
  <si>
    <r>
      <rPr>
        <b/>
        <sz val="10"/>
        <rFont val="宋体"/>
        <family val="3"/>
        <charset val="134"/>
      </rPr>
      <t>程序分类</t>
    </r>
    <phoneticPr fontId="5" type="noConversion"/>
  </si>
  <si>
    <t>常规★</t>
    <phoneticPr fontId="5" type="noConversion"/>
  </si>
  <si>
    <t>1</t>
    <phoneticPr fontId="5" type="noConversion"/>
  </si>
  <si>
    <r>
      <rPr>
        <sz val="10"/>
        <color indexed="8"/>
        <rFont val="宋体"/>
        <family val="3"/>
        <charset val="134"/>
      </rPr>
      <t>索引号：</t>
    </r>
  </si>
  <si>
    <t>页次：</t>
  </si>
  <si>
    <t>调整事项说明</t>
    <phoneticPr fontId="5" type="noConversion"/>
  </si>
  <si>
    <t>类别（报表调整/账项调整/其他）</t>
    <phoneticPr fontId="5" type="noConversion"/>
  </si>
  <si>
    <t>科目名称</t>
    <phoneticPr fontId="5" type="noConversion"/>
  </si>
  <si>
    <t>附注项目</t>
    <phoneticPr fontId="5" type="noConversion"/>
  </si>
  <si>
    <t>……</t>
    <phoneticPr fontId="5" type="noConversion"/>
  </si>
  <si>
    <t>借方调整金额</t>
    <phoneticPr fontId="5" type="noConversion"/>
  </si>
  <si>
    <t>贷方调整金额</t>
    <phoneticPr fontId="5" type="noConversion"/>
  </si>
  <si>
    <t>索引</t>
    <phoneticPr fontId="5" type="noConversion"/>
  </si>
  <si>
    <t>其他流动负债调整分录汇总表</t>
    <phoneticPr fontId="5" type="noConversion"/>
  </si>
  <si>
    <t>备选</t>
    <phoneticPr fontId="29" type="noConversion"/>
  </si>
  <si>
    <t>差异：</t>
    <phoneticPr fontId="5" type="noConversion"/>
  </si>
  <si>
    <t>【待转销项税额属于其他非流动负债的，在“其他非流动负债”科目列示。】</t>
  </si>
  <si>
    <t>上年年末数</t>
  </si>
  <si>
    <t>合  计</t>
  </si>
  <si>
    <t>本期增加</t>
  </si>
  <si>
    <t>本期减少</t>
  </si>
  <si>
    <t>形成原因</t>
  </si>
  <si>
    <t>说明：计入递延收益的政府补助详见附注五、84、政府补助</t>
    <phoneticPr fontId="29" type="noConversion"/>
  </si>
  <si>
    <t>项  目</t>
  </si>
  <si>
    <t>小  计</t>
  </si>
  <si>
    <t>票面利率</t>
    <phoneticPr fontId="29" type="noConversion"/>
  </si>
  <si>
    <t>是否违约</t>
    <phoneticPr fontId="29" type="noConversion"/>
  </si>
  <si>
    <r>
      <rPr>
        <sz val="10"/>
        <rFont val="宋体"/>
        <family val="3"/>
        <charset val="134"/>
      </rPr>
      <t>索引号：</t>
    </r>
    <phoneticPr fontId="5" type="noConversion"/>
  </si>
  <si>
    <t>K4A</t>
  </si>
  <si>
    <t>K4-1</t>
  </si>
  <si>
    <t>K4-2</t>
  </si>
  <si>
    <t>K4-3</t>
  </si>
  <si>
    <t>索引：</t>
    <phoneticPr fontId="5" type="noConversion"/>
  </si>
  <si>
    <t>页次：</t>
    <phoneticPr fontId="5" type="noConversion"/>
  </si>
  <si>
    <t>索引号：</t>
    <phoneticPr fontId="29" type="noConversion"/>
  </si>
  <si>
    <t>索引号：</t>
    <phoneticPr fontId="5" type="noConversion"/>
  </si>
  <si>
    <t>索引号：</t>
    <phoneticPr fontId="5" type="noConversion"/>
  </si>
  <si>
    <t>审计目标</t>
    <phoneticPr fontId="5" type="noConversion"/>
  </si>
  <si>
    <t>完整性</t>
  </si>
  <si>
    <t>权利和义务</t>
  </si>
  <si>
    <t>财务报表的认定</t>
    <phoneticPr fontId="5" type="noConversion"/>
  </si>
  <si>
    <t>存在</t>
    <phoneticPr fontId="5" type="noConversion"/>
  </si>
  <si>
    <t>完整性</t>
    <phoneticPr fontId="5" type="noConversion"/>
  </si>
  <si>
    <t>权利和
义务</t>
    <phoneticPr fontId="5" type="noConversion"/>
  </si>
  <si>
    <r>
      <rPr>
        <sz val="10"/>
        <rFont val="宋体"/>
        <family val="3"/>
        <charset val="134"/>
      </rPr>
      <t>备选</t>
    </r>
    <phoneticPr fontId="5" type="noConversion"/>
  </si>
  <si>
    <t>√</t>
    <phoneticPr fontId="5" type="noConversion"/>
  </si>
  <si>
    <t>√</t>
    <phoneticPr fontId="5" type="noConversion"/>
  </si>
  <si>
    <t>√</t>
    <phoneticPr fontId="5" type="noConversion"/>
  </si>
  <si>
    <t>2</t>
  </si>
  <si>
    <t>3</t>
  </si>
  <si>
    <t>4</t>
  </si>
  <si>
    <t>5</t>
  </si>
  <si>
    <t>6</t>
  </si>
  <si>
    <t>T1</t>
    <phoneticPr fontId="53" type="noConversion"/>
  </si>
  <si>
    <t>准确性、计价和分摊</t>
  </si>
  <si>
    <t>在使用手工编制、自定义信息报告、系统生成的非固定格式报告等由被审计单位生成的信息时，测试有关信息准确性和完整性，并考虑针对编制和维护由被审计单位生成的信息的相关控制实施控制测试，以评价该信息是否能够为实现审计目的提供基础。</t>
  </si>
  <si>
    <t>关注会计政策、会计估计合理性、一贯性。关注其是否利用会计政策和会计估计及其变更操纵利润。</t>
    <phoneticPr fontId="5" type="noConversion"/>
  </si>
  <si>
    <t>列报</t>
    <phoneticPr fontId="5" type="noConversion"/>
  </si>
  <si>
    <t>列报</t>
    <phoneticPr fontId="5" type="noConversion"/>
  </si>
  <si>
    <r>
      <rPr>
        <sz val="10"/>
        <rFont val="宋体"/>
        <family val="3"/>
        <charset val="134"/>
      </rPr>
      <t>常规★</t>
    </r>
    <phoneticPr fontId="5" type="noConversion"/>
  </si>
  <si>
    <r>
      <rPr>
        <sz val="10"/>
        <color theme="1"/>
        <rFont val="宋体"/>
        <family val="3"/>
        <charset val="134"/>
      </rPr>
      <t>常规★</t>
    </r>
    <phoneticPr fontId="59" type="noConversion"/>
  </si>
  <si>
    <r>
      <rPr>
        <sz val="10"/>
        <rFont val="宋体"/>
        <family val="3"/>
        <charset val="134"/>
      </rPr>
      <t>常规★</t>
    </r>
    <phoneticPr fontId="5" type="noConversion"/>
  </si>
  <si>
    <t>8</t>
  </si>
  <si>
    <t>常规★</t>
    <phoneticPr fontId="59" type="noConversion"/>
  </si>
  <si>
    <t>√</t>
    <phoneticPr fontId="5" type="noConversion"/>
  </si>
  <si>
    <r>
      <rPr>
        <b/>
        <sz val="10"/>
        <rFont val="宋体"/>
        <family val="3"/>
        <charset val="134"/>
      </rPr>
      <t>二、审计过程：</t>
    </r>
    <phoneticPr fontId="5" type="noConversion"/>
  </si>
  <si>
    <t>√</t>
    <phoneticPr fontId="5" type="noConversion"/>
  </si>
  <si>
    <t>√</t>
  </si>
  <si>
    <t>7</t>
    <phoneticPr fontId="5" type="noConversion"/>
  </si>
  <si>
    <r>
      <rPr>
        <sz val="10"/>
        <rFont val="宋体"/>
        <family val="3"/>
        <charset val="134"/>
      </rPr>
      <t>短期应付债券</t>
    </r>
  </si>
  <si>
    <r>
      <rPr>
        <sz val="10"/>
        <rFont val="宋体"/>
        <family val="3"/>
        <charset val="134"/>
      </rPr>
      <t>政府补助</t>
    </r>
  </si>
  <si>
    <r>
      <rPr>
        <sz val="10"/>
        <rFont val="宋体"/>
        <family val="3"/>
        <charset val="134"/>
      </rPr>
      <t>待转销项税额</t>
    </r>
  </si>
  <si>
    <r>
      <rPr>
        <sz val="10"/>
        <rFont val="宋体"/>
        <family val="3"/>
        <charset val="134"/>
      </rPr>
      <t>应付退货款</t>
    </r>
  </si>
  <si>
    <t>报表项目</t>
    <phoneticPr fontId="5" type="noConversion"/>
  </si>
  <si>
    <t>一、审计目标：</t>
    <phoneticPr fontId="32" type="noConversion"/>
  </si>
  <si>
    <r>
      <t>1.</t>
    </r>
    <r>
      <rPr>
        <sz val="10"/>
        <rFont val="宋体"/>
        <family val="3"/>
        <charset val="134"/>
      </rPr>
      <t>资产负债表中记录的其他流动负债是存在的，且已经记录在恰当的账户中；</t>
    </r>
    <r>
      <rPr>
        <sz val="10"/>
        <rFont val="Arial Narrow"/>
        <family val="2"/>
      </rPr>
      <t/>
    </r>
    <phoneticPr fontId="5" type="noConversion"/>
  </si>
  <si>
    <r>
      <t>2.</t>
    </r>
    <r>
      <rPr>
        <sz val="10"/>
        <rFont val="宋体"/>
        <family val="3"/>
        <charset val="134"/>
      </rPr>
      <t>记录的其他流动负债是被审计单位应当履行的偿还义务；</t>
    </r>
    <phoneticPr fontId="5" type="noConversion"/>
  </si>
  <si>
    <r>
      <t>3.</t>
    </r>
    <r>
      <rPr>
        <sz val="10"/>
        <rFont val="宋体"/>
        <family val="3"/>
        <charset val="134"/>
      </rPr>
      <t>其他流动负债以恰当的金额包括在财务报表中，与之相关的计价或分摊调整已恰当记录，相关披露已得到恰当计量和描述。</t>
    </r>
    <phoneticPr fontId="5" type="noConversion"/>
  </si>
  <si>
    <t>√</t>
    <phoneticPr fontId="5" type="noConversion"/>
  </si>
  <si>
    <r>
      <t>2.</t>
    </r>
    <r>
      <rPr>
        <b/>
        <sz val="10"/>
        <rFont val="宋体"/>
        <family val="3"/>
        <charset val="134"/>
      </rPr>
      <t>审计结论</t>
    </r>
    <phoneticPr fontId="5" type="noConversion"/>
  </si>
  <si>
    <t xml:space="preserve"> </t>
    <phoneticPr fontId="29" type="noConversion"/>
  </si>
  <si>
    <t>K4-4</t>
  </si>
  <si>
    <r>
      <rPr>
        <u/>
        <sz val="10"/>
        <color indexed="12"/>
        <rFont val="宋体"/>
        <family val="3"/>
        <charset val="134"/>
      </rPr>
      <t>实质性程序表</t>
    </r>
  </si>
  <si>
    <t>无需打印</t>
    <phoneticPr fontId="5" type="noConversion"/>
  </si>
  <si>
    <r>
      <rPr>
        <u/>
        <sz val="10"/>
        <color indexed="12"/>
        <rFont val="宋体"/>
        <family val="3"/>
        <charset val="134"/>
      </rPr>
      <t>审定表</t>
    </r>
    <phoneticPr fontId="5" type="noConversion"/>
  </si>
  <si>
    <r>
      <rPr>
        <u/>
        <sz val="10"/>
        <color indexed="12"/>
        <rFont val="宋体"/>
        <family val="3"/>
        <charset val="134"/>
      </rPr>
      <t>附注披露信息（上市公司）</t>
    </r>
    <phoneticPr fontId="29" type="noConversion"/>
  </si>
  <si>
    <r>
      <rPr>
        <u/>
        <sz val="10"/>
        <color indexed="12"/>
        <rFont val="宋体"/>
        <family val="3"/>
        <charset val="134"/>
      </rPr>
      <t>附注披露信息（国企）</t>
    </r>
    <phoneticPr fontId="29" type="noConversion"/>
  </si>
  <si>
    <r>
      <rPr>
        <u/>
        <sz val="10"/>
        <color indexed="12"/>
        <rFont val="宋体"/>
        <family val="3"/>
        <charset val="134"/>
      </rPr>
      <t>明细表</t>
    </r>
    <phoneticPr fontId="29" type="noConversion"/>
  </si>
  <si>
    <r>
      <rPr>
        <u/>
        <sz val="10"/>
        <color indexed="12"/>
        <rFont val="宋体"/>
        <family val="3"/>
        <charset val="134"/>
      </rPr>
      <t>调整分录汇总</t>
    </r>
    <phoneticPr fontId="29" type="noConversion"/>
  </si>
  <si>
    <t>底稿索引号</t>
    <phoneticPr fontId="5" type="noConversion"/>
  </si>
  <si>
    <r>
      <rPr>
        <sz val="9"/>
        <color rgb="FF0000FF"/>
        <rFont val="宋体"/>
        <family val="3"/>
        <charset val="134"/>
      </rPr>
      <t>可参见《审计手册》</t>
    </r>
    <r>
      <rPr>
        <sz val="9"/>
        <color rgb="FF0000FF"/>
        <rFont val="Arial Narrow"/>
        <family val="2"/>
      </rPr>
      <t>4.2.6</t>
    </r>
    <r>
      <rPr>
        <sz val="9"/>
        <color rgb="FF0000FF"/>
        <rFont val="宋体"/>
        <family val="3"/>
        <charset val="134"/>
      </rPr>
      <t xml:space="preserve">，由被审计单位生成的信息可能是由系统生成的、或手工编制的、或二者兼而有之的方式生成的。例如，由被审计单位生成的信息可能包括：
</t>
    </r>
    <r>
      <rPr>
        <sz val="9"/>
        <color rgb="FF0000FF"/>
        <rFont val="Arial Narrow"/>
        <family val="2"/>
      </rPr>
      <t xml:space="preserve">• </t>
    </r>
    <r>
      <rPr>
        <sz val="9"/>
        <color rgb="FF0000FF"/>
        <rFont val="宋体"/>
        <family val="3"/>
        <charset val="134"/>
      </rPr>
      <t xml:space="preserve">不涉及自定义的、由系统生成的报告（如，固定格式报告）；
</t>
    </r>
    <r>
      <rPr>
        <sz val="9"/>
        <color rgb="FF0000FF"/>
        <rFont val="Arial Narrow"/>
        <family val="2"/>
      </rPr>
      <t xml:space="preserve">• </t>
    </r>
    <r>
      <rPr>
        <sz val="9"/>
        <color rgb="FF0000FF"/>
        <rFont val="宋体"/>
        <family val="3"/>
        <charset val="134"/>
      </rPr>
      <t xml:space="preserve">可能通过人工自定义的、由系统生成的报告，例如，（计算机）查询信息或特别定制的报告；
</t>
    </r>
    <r>
      <rPr>
        <sz val="9"/>
        <color rgb="FF0000FF"/>
        <rFont val="Arial Narrow"/>
        <family val="2"/>
      </rPr>
      <t xml:space="preserve">• </t>
    </r>
    <r>
      <rPr>
        <sz val="9"/>
        <color rgb="FF0000FF"/>
        <rFont val="宋体"/>
        <family val="3"/>
        <charset val="134"/>
      </rPr>
      <t xml:space="preserve">手工编制的信息，例如，汇总信息的电子表格或用以支持分配、计算以及调节的电子表格；
</t>
    </r>
    <r>
      <rPr>
        <sz val="9"/>
        <color rgb="FF0000FF"/>
        <rFont val="Arial Narrow"/>
        <family val="2"/>
      </rPr>
      <t xml:space="preserve">• </t>
    </r>
    <r>
      <rPr>
        <sz val="9"/>
        <color rgb="FF0000FF"/>
        <rFont val="宋体"/>
        <family val="3"/>
        <charset val="134"/>
      </rPr>
      <t xml:space="preserve">其他系统生成或手工编制的信息，例如，由被审计单位编制的客户发票；
</t>
    </r>
    <r>
      <rPr>
        <sz val="9"/>
        <color rgb="FF0000FF"/>
        <rFont val="Arial Narrow"/>
        <family val="2"/>
      </rPr>
      <t xml:space="preserve">• </t>
    </r>
    <r>
      <rPr>
        <sz val="9"/>
        <color rgb="FF0000FF"/>
        <rFont val="宋体"/>
        <family val="3"/>
        <charset val="134"/>
      </rPr>
      <t>通过影印、拍摄、扫描或其他方式转换成电子形式的文件记录。</t>
    </r>
    <phoneticPr fontId="59" type="noConversion"/>
  </si>
  <si>
    <r>
      <rPr>
        <sz val="9"/>
        <color rgb="FF0000FF"/>
        <rFont val="宋体"/>
        <family val="3"/>
        <charset val="134"/>
      </rPr>
      <t xml:space="preserve">由被审计单位生成的信息不包括：
</t>
    </r>
    <r>
      <rPr>
        <sz val="9"/>
        <color rgb="FF0000FF"/>
        <rFont val="Arial Narrow"/>
        <family val="2"/>
      </rPr>
      <t xml:space="preserve">• </t>
    </r>
    <r>
      <rPr>
        <sz val="9"/>
        <color rgb="FF0000FF"/>
        <rFont val="宋体"/>
        <family val="3"/>
        <charset val="134"/>
      </rPr>
      <t xml:space="preserve">总分类账或明细分类账、试算平衡表、或经审计的财务报表；
</t>
    </r>
    <r>
      <rPr>
        <sz val="9"/>
        <color rgb="FF0000FF"/>
        <rFont val="Arial Narrow"/>
        <family val="2"/>
      </rPr>
      <t xml:space="preserve">• </t>
    </r>
    <r>
      <rPr>
        <sz val="9"/>
        <color rgb="FF0000FF"/>
        <rFont val="宋体"/>
        <family val="3"/>
        <charset val="134"/>
      </rPr>
      <t xml:space="preserve">第三方（除了服务机构）的报表或报告，例如，原始银行对账单，或函证的回函；
</t>
    </r>
    <r>
      <rPr>
        <sz val="9"/>
        <color rgb="FF0000FF"/>
        <rFont val="Arial Narrow"/>
        <family val="2"/>
      </rPr>
      <t xml:space="preserve">• </t>
    </r>
    <r>
      <rPr>
        <sz val="9"/>
        <color rgb="FF0000FF"/>
        <rFont val="宋体"/>
        <family val="3"/>
        <charset val="134"/>
      </rPr>
      <t>外部数据（例如，第三方发布的数据，如，定价来源）。</t>
    </r>
    <phoneticPr fontId="59" type="noConversion"/>
  </si>
  <si>
    <t>K4-4</t>
    <phoneticPr fontId="5" type="noConversion"/>
  </si>
  <si>
    <r>
      <t>A 1-1/</t>
    </r>
    <r>
      <rPr>
        <sz val="10"/>
        <color rgb="FFFF0000"/>
        <rFont val="Arial Narrow"/>
        <family val="2"/>
      </rPr>
      <t>A1-15 /A1-16</t>
    </r>
    <phoneticPr fontId="5" type="noConversion"/>
  </si>
  <si>
    <t>其他流动负债明细表</t>
    <phoneticPr fontId="5" type="noConversion"/>
  </si>
  <si>
    <t>测试总体：</t>
    <phoneticPr fontId="5" type="noConversion"/>
  </si>
  <si>
    <t>特定样本：</t>
    <phoneticPr fontId="5" type="noConversion"/>
  </si>
  <si>
    <t>抽样总体：</t>
    <phoneticPr fontId="5" type="noConversion"/>
  </si>
  <si>
    <t>确定的抽样样本量：</t>
    <phoneticPr fontId="5" type="noConversion"/>
  </si>
  <si>
    <t>抽样方法：</t>
    <phoneticPr fontId="5" type="noConversion"/>
  </si>
  <si>
    <t>抽样过程：</t>
    <phoneticPr fontId="5" type="noConversion"/>
  </si>
  <si>
    <r>
      <rPr>
        <sz val="10"/>
        <color rgb="FF0000FF"/>
        <rFont val="宋体"/>
        <family val="3"/>
        <charset val="134"/>
      </rPr>
      <t>如借方发生额所有凭证共</t>
    </r>
    <r>
      <rPr>
        <sz val="10"/>
        <color rgb="FF0000FF"/>
        <rFont val="Arial Narrow"/>
        <family val="2"/>
      </rPr>
      <t>XX</t>
    </r>
    <r>
      <rPr>
        <sz val="10"/>
        <color rgb="FF0000FF"/>
        <rFont val="宋体"/>
        <family val="3"/>
        <charset val="134"/>
      </rPr>
      <t>笔金额</t>
    </r>
    <r>
      <rPr>
        <sz val="10"/>
        <color rgb="FF0000FF"/>
        <rFont val="Arial Narrow"/>
        <family val="2"/>
      </rPr>
      <t>XX</t>
    </r>
    <r>
      <rPr>
        <sz val="10"/>
        <color rgb="FF0000FF"/>
        <rFont val="宋体"/>
        <family val="3"/>
        <charset val="134"/>
      </rPr>
      <t>、贷方发生额所有凭证共</t>
    </r>
    <r>
      <rPr>
        <sz val="10"/>
        <color rgb="FF0000FF"/>
        <rFont val="Arial Narrow"/>
        <family val="2"/>
      </rPr>
      <t>XX</t>
    </r>
    <r>
      <rPr>
        <sz val="10"/>
        <color rgb="FF0000FF"/>
        <rFont val="宋体"/>
        <family val="3"/>
        <charset val="134"/>
      </rPr>
      <t>笔金额</t>
    </r>
    <r>
      <rPr>
        <sz val="10"/>
        <color rgb="FF0000FF"/>
        <rFont val="Arial Narrow"/>
        <family val="2"/>
      </rPr>
      <t>XX</t>
    </r>
    <phoneticPr fontId="5" type="noConversion"/>
  </si>
  <si>
    <r>
      <rPr>
        <sz val="10"/>
        <color rgb="FF0000FF"/>
        <rFont val="宋体"/>
        <family val="3"/>
        <charset val="134"/>
      </rPr>
      <t>测试总体扣除特定样本以外的样本，共</t>
    </r>
    <r>
      <rPr>
        <sz val="10"/>
        <color rgb="FF0000FF"/>
        <rFont val="Arial Narrow"/>
        <family val="2"/>
      </rPr>
      <t>XX</t>
    </r>
    <r>
      <rPr>
        <sz val="10"/>
        <color rgb="FF0000FF"/>
        <rFont val="宋体"/>
        <family val="3"/>
        <charset val="134"/>
      </rPr>
      <t>笔、金额</t>
    </r>
    <r>
      <rPr>
        <sz val="10"/>
        <color rgb="FF0000FF"/>
        <rFont val="Arial Narrow"/>
        <family val="2"/>
      </rPr>
      <t>XX</t>
    </r>
    <phoneticPr fontId="5" type="noConversion"/>
  </si>
  <si>
    <r>
      <rPr>
        <sz val="10"/>
        <color rgb="FF0000FF"/>
        <rFont val="宋体"/>
        <family val="3"/>
        <charset val="134"/>
      </rPr>
      <t>使用</t>
    </r>
    <r>
      <rPr>
        <sz val="10"/>
        <color rgb="FF0000FF"/>
        <rFont val="Arial Narrow"/>
        <family val="2"/>
      </rPr>
      <t>IDEA</t>
    </r>
    <r>
      <rPr>
        <sz val="10"/>
        <color rgb="FF0000FF"/>
        <rFont val="宋体"/>
        <family val="3"/>
        <charset val="134"/>
      </rPr>
      <t>（</t>
    </r>
    <r>
      <rPr>
        <sz val="10"/>
        <color rgb="FF0000FF"/>
        <rFont val="Arial Narrow"/>
        <family val="2"/>
      </rPr>
      <t>XX</t>
    </r>
    <r>
      <rPr>
        <sz val="10"/>
        <color rgb="FF0000FF"/>
        <rFont val="宋体"/>
        <family val="3"/>
        <charset val="134"/>
      </rPr>
      <t>抽样工具）选择</t>
    </r>
    <r>
      <rPr>
        <sz val="10"/>
        <color rgb="FF0000FF"/>
        <rFont val="Arial Narrow"/>
        <family val="2"/>
      </rPr>
      <t>XX</t>
    </r>
    <r>
      <rPr>
        <sz val="10"/>
        <color rgb="FF0000FF"/>
        <rFont val="宋体"/>
        <family val="3"/>
        <charset val="134"/>
      </rPr>
      <t>数量、金额</t>
    </r>
    <r>
      <rPr>
        <sz val="10"/>
        <color rgb="FF0000FF"/>
        <rFont val="Arial Narrow"/>
        <family val="2"/>
      </rPr>
      <t>XX</t>
    </r>
    <r>
      <rPr>
        <sz val="10"/>
        <color rgb="FF0000FF"/>
        <rFont val="宋体"/>
        <family val="3"/>
        <charset val="134"/>
      </rPr>
      <t>的样本进行测试，抽样工具中的样本选择过程和结果见</t>
    </r>
    <r>
      <rPr>
        <sz val="10"/>
        <color rgb="FF0000FF"/>
        <rFont val="Arial Narrow"/>
        <family val="2"/>
      </rPr>
      <t>&lt;XX&gt;</t>
    </r>
    <r>
      <rPr>
        <sz val="10"/>
        <color rgb="FF0000FF"/>
        <rFont val="宋体"/>
        <family val="3"/>
        <charset val="134"/>
      </rPr>
      <t>底稿</t>
    </r>
    <phoneticPr fontId="5" type="noConversion"/>
  </si>
  <si>
    <r>
      <t>XX</t>
    </r>
    <r>
      <rPr>
        <sz val="10"/>
        <color rgb="FF0000FF"/>
        <rFont val="宋体"/>
        <family val="3"/>
        <charset val="134"/>
      </rPr>
      <t>金额以上（大额）、关联方</t>
    </r>
    <r>
      <rPr>
        <sz val="10"/>
        <color rgb="FF0000FF"/>
        <rFont val="Arial Narrow"/>
        <family val="2"/>
      </rPr>
      <t>/</t>
    </r>
    <r>
      <rPr>
        <sz val="10"/>
        <color rgb="FF0000FF"/>
        <rFont val="宋体"/>
        <family val="3"/>
        <charset val="134"/>
      </rPr>
      <t>关联交易形成的款项、</t>
    </r>
    <r>
      <rPr>
        <sz val="10"/>
        <color rgb="FF0000FF"/>
        <rFont val="Arial Narrow"/>
        <family val="2"/>
      </rPr>
      <t>XX</t>
    </r>
    <r>
      <rPr>
        <sz val="10"/>
        <color rgb="FF0000FF"/>
        <rFont val="宋体"/>
        <family val="3"/>
        <charset val="134"/>
      </rPr>
      <t>异常款项全部测试，共</t>
    </r>
    <r>
      <rPr>
        <sz val="10"/>
        <color rgb="FF0000FF"/>
        <rFont val="Arial Narrow"/>
        <family val="2"/>
      </rPr>
      <t>XX</t>
    </r>
    <r>
      <rPr>
        <sz val="10"/>
        <color rgb="FF0000FF"/>
        <rFont val="宋体"/>
        <family val="3"/>
        <charset val="134"/>
      </rPr>
      <t>笔；</t>
    </r>
    <phoneticPr fontId="5" type="noConversion"/>
  </si>
  <si>
    <r>
      <t>1.</t>
    </r>
    <r>
      <rPr>
        <b/>
        <sz val="10"/>
        <rFont val="宋体"/>
        <family val="3"/>
        <charset val="134"/>
      </rPr>
      <t>审计说明</t>
    </r>
    <phoneticPr fontId="5" type="noConversion"/>
  </si>
  <si>
    <r>
      <t>TB</t>
    </r>
    <r>
      <rPr>
        <b/>
        <sz val="10"/>
        <color indexed="8"/>
        <rFont val="宋体"/>
        <family val="3"/>
        <charset val="134"/>
      </rPr>
      <t>数据：</t>
    </r>
    <phoneticPr fontId="5" type="noConversion"/>
  </si>
  <si>
    <t>日期</t>
  </si>
  <si>
    <t>凭证编号</t>
  </si>
  <si>
    <t>合计</t>
    <phoneticPr fontId="5" type="noConversion"/>
  </si>
  <si>
    <r>
      <rPr>
        <sz val="10"/>
        <rFont val="宋体"/>
        <family val="3"/>
        <charset val="134"/>
      </rPr>
      <t>（</t>
    </r>
    <r>
      <rPr>
        <sz val="10"/>
        <rFont val="Arial Narrow"/>
        <family val="2"/>
      </rPr>
      <t>2</t>
    </r>
    <r>
      <rPr>
        <sz val="10"/>
        <rFont val="宋体"/>
        <family val="3"/>
        <charset val="134"/>
      </rPr>
      <t>）递延收益</t>
    </r>
    <r>
      <rPr>
        <sz val="10"/>
        <rFont val="Arial Narrow"/>
        <family val="2"/>
      </rPr>
      <t>-</t>
    </r>
    <r>
      <rPr>
        <sz val="10"/>
        <rFont val="宋体"/>
        <family val="3"/>
        <charset val="134"/>
      </rPr>
      <t>政府补助情况</t>
    </r>
    <phoneticPr fontId="29" type="noConversion"/>
  </si>
  <si>
    <r>
      <rPr>
        <sz val="10"/>
        <rFont val="宋体"/>
        <family val="3"/>
        <charset val="134"/>
      </rPr>
      <t>（</t>
    </r>
    <r>
      <rPr>
        <sz val="10"/>
        <rFont val="Arial Narrow"/>
        <family val="2"/>
      </rPr>
      <t>1</t>
    </r>
    <r>
      <rPr>
        <sz val="10"/>
        <rFont val="宋体"/>
        <family val="3"/>
        <charset val="134"/>
      </rPr>
      <t>）短期应付债券</t>
    </r>
  </si>
  <si>
    <r>
      <rPr>
        <sz val="10"/>
        <color rgb="FF0000FF"/>
        <rFont val="宋体"/>
        <family val="3"/>
        <charset val="134"/>
      </rPr>
      <t>（</t>
    </r>
    <r>
      <rPr>
        <sz val="10"/>
        <color rgb="FF0000FF"/>
        <rFont val="Arial Narrow"/>
        <family val="2"/>
      </rPr>
      <t>1</t>
    </r>
    <r>
      <rPr>
        <sz val="10"/>
        <color rgb="FF0000FF"/>
        <rFont val="宋体"/>
        <family val="3"/>
        <charset val="134"/>
      </rPr>
      <t>）受益期预计在一年以内（含一年）的，应在</t>
    </r>
    <r>
      <rPr>
        <sz val="10"/>
        <color rgb="FF0000FF"/>
        <rFont val="Arial Narrow"/>
        <family val="2"/>
      </rPr>
      <t>“</t>
    </r>
    <r>
      <rPr>
        <sz val="10"/>
        <color rgb="FF0000FF"/>
        <rFont val="宋体"/>
        <family val="3"/>
        <charset val="134"/>
      </rPr>
      <t>其他流动负债</t>
    </r>
    <r>
      <rPr>
        <sz val="10"/>
        <color rgb="FF0000FF"/>
        <rFont val="Arial Narrow"/>
        <family val="2"/>
      </rPr>
      <t>”</t>
    </r>
    <r>
      <rPr>
        <sz val="10"/>
        <color rgb="FF0000FF"/>
        <rFont val="宋体"/>
        <family val="3"/>
        <charset val="134"/>
      </rPr>
      <t>项目列报；</t>
    </r>
  </si>
  <si>
    <r>
      <rPr>
        <sz val="10"/>
        <color rgb="FF0000FF"/>
        <rFont val="宋体"/>
        <family val="3"/>
        <charset val="134"/>
      </rPr>
      <t>（</t>
    </r>
    <r>
      <rPr>
        <sz val="10"/>
        <color rgb="FF0000FF"/>
        <rFont val="Arial Narrow"/>
        <family val="2"/>
      </rPr>
      <t>2</t>
    </r>
    <r>
      <rPr>
        <sz val="10"/>
        <color rgb="FF0000FF"/>
        <rFont val="宋体"/>
        <family val="3"/>
        <charset val="134"/>
      </rPr>
      <t>）自资产负债表日起算的受益期限超过一年的，在</t>
    </r>
    <r>
      <rPr>
        <sz val="10"/>
        <color rgb="FF0000FF"/>
        <rFont val="Arial Narrow"/>
        <family val="2"/>
      </rPr>
      <t>“</t>
    </r>
    <r>
      <rPr>
        <sz val="10"/>
        <color rgb="FF0000FF"/>
        <rFont val="宋体"/>
        <family val="3"/>
        <charset val="134"/>
      </rPr>
      <t>递延收益</t>
    </r>
    <r>
      <rPr>
        <sz val="10"/>
        <color rgb="FF0000FF"/>
        <rFont val="Arial Narrow"/>
        <family val="2"/>
      </rPr>
      <t>”</t>
    </r>
    <r>
      <rPr>
        <sz val="10"/>
        <color rgb="FF0000FF"/>
        <rFont val="宋体"/>
        <family val="3"/>
        <charset val="134"/>
      </rPr>
      <t>目中列报。】</t>
    </r>
  </si>
  <si>
    <r>
      <rPr>
        <sz val="10"/>
        <color theme="1"/>
        <rFont val="宋体"/>
        <family val="3"/>
        <charset val="134"/>
      </rPr>
      <t>页次：</t>
    </r>
    <phoneticPr fontId="29" type="noConversion"/>
  </si>
  <si>
    <r>
      <rPr>
        <sz val="10"/>
        <rFont val="宋体"/>
        <family val="3"/>
        <charset val="134"/>
        <scheme val="minor"/>
      </rPr>
      <t>其他流动负债</t>
    </r>
  </si>
  <si>
    <r>
      <rPr>
        <b/>
        <sz val="10"/>
        <rFont val="宋体"/>
        <family val="3"/>
        <charset val="134"/>
        <scheme val="minor"/>
      </rPr>
      <t>项</t>
    </r>
    <r>
      <rPr>
        <b/>
        <sz val="10"/>
        <rFont val="Arial Narrow"/>
        <family val="2"/>
      </rPr>
      <t xml:space="preserve">  </t>
    </r>
    <r>
      <rPr>
        <b/>
        <sz val="10"/>
        <rFont val="宋体"/>
        <family val="3"/>
        <charset val="134"/>
        <scheme val="minor"/>
      </rPr>
      <t>目</t>
    </r>
  </si>
  <si>
    <r>
      <rPr>
        <b/>
        <sz val="10"/>
        <rFont val="宋体"/>
        <family val="3"/>
        <charset val="134"/>
        <scheme val="minor"/>
      </rPr>
      <t>期末余额</t>
    </r>
  </si>
  <si>
    <r>
      <rPr>
        <b/>
        <sz val="10"/>
        <rFont val="宋体"/>
        <family val="3"/>
        <charset val="134"/>
        <scheme val="minor"/>
      </rPr>
      <t>合</t>
    </r>
    <r>
      <rPr>
        <b/>
        <sz val="10"/>
        <rFont val="Arial Narrow"/>
        <family val="2"/>
      </rPr>
      <t xml:space="preserve">  </t>
    </r>
    <r>
      <rPr>
        <b/>
        <sz val="10"/>
        <rFont val="宋体"/>
        <family val="3"/>
        <charset val="134"/>
        <scheme val="minor"/>
      </rPr>
      <t>计</t>
    </r>
  </si>
  <si>
    <r>
      <rPr>
        <sz val="10"/>
        <color rgb="FF0000FF"/>
        <rFont val="宋体"/>
        <family val="3"/>
        <charset val="134"/>
        <scheme val="minor"/>
      </rPr>
      <t>注：发行债券应披露债券名称，债券面值，发行日期，债券期限，发行金额，期初余额，本期发行金额，按面值计提利息，溢折价摊销，本期偿还的金额，期末余额等相关信息。</t>
    </r>
  </si>
  <si>
    <r>
      <rPr>
        <sz val="10"/>
        <color rgb="FF0000FF"/>
        <rFont val="宋体"/>
        <family val="3"/>
        <charset val="134"/>
        <scheme val="minor"/>
      </rPr>
      <t>【待转销项税额属于其他非流动负债的，在</t>
    </r>
    <r>
      <rPr>
        <sz val="10"/>
        <color rgb="FF0000FF"/>
        <rFont val="Arial Narrow"/>
        <family val="2"/>
      </rPr>
      <t>“</t>
    </r>
    <r>
      <rPr>
        <sz val="10"/>
        <color rgb="FF0000FF"/>
        <rFont val="宋体"/>
        <family val="3"/>
        <charset val="134"/>
        <scheme val="minor"/>
      </rPr>
      <t>其他非流动负债</t>
    </r>
    <r>
      <rPr>
        <sz val="10"/>
        <color rgb="FF0000FF"/>
        <rFont val="Arial Narrow"/>
        <family val="2"/>
      </rPr>
      <t>”</t>
    </r>
    <r>
      <rPr>
        <sz val="10"/>
        <color rgb="FF0000FF"/>
        <rFont val="宋体"/>
        <family val="3"/>
        <charset val="134"/>
        <scheme val="minor"/>
      </rPr>
      <t>科目列示。】</t>
    </r>
  </si>
  <si>
    <r>
      <rPr>
        <b/>
        <sz val="10"/>
        <rFont val="宋体"/>
        <family val="3"/>
        <charset val="134"/>
        <scheme val="minor"/>
      </rPr>
      <t>期初余额</t>
    </r>
    <phoneticPr fontId="29" type="noConversion"/>
  </si>
  <si>
    <r>
      <rPr>
        <sz val="10"/>
        <rFont val="宋体"/>
        <family val="3"/>
        <charset val="134"/>
      </rPr>
      <t>索引号：</t>
    </r>
    <phoneticPr fontId="29" type="noConversion"/>
  </si>
  <si>
    <t>附注披露信息(国企)</t>
    <phoneticPr fontId="5" type="noConversion"/>
  </si>
  <si>
    <r>
      <rPr>
        <b/>
        <sz val="10"/>
        <color indexed="8"/>
        <rFont val="宋体"/>
        <family val="3"/>
        <charset val="134"/>
        <scheme val="minor"/>
      </rPr>
      <t>未审数</t>
    </r>
    <phoneticPr fontId="5" type="noConversion"/>
  </si>
  <si>
    <t>期初调整</t>
    <phoneticPr fontId="41" type="noConversion"/>
  </si>
  <si>
    <t>账项调整</t>
    <phoneticPr fontId="41" type="noConversion"/>
  </si>
  <si>
    <t>重分类调整</t>
    <phoneticPr fontId="41" type="noConversion"/>
  </si>
  <si>
    <t>审定数</t>
    <phoneticPr fontId="5" type="noConversion"/>
  </si>
  <si>
    <t>账项调整</t>
    <phoneticPr fontId="5" type="noConversion"/>
  </si>
  <si>
    <t>提示：本底稿适用于调整分录较多、较复杂的项目，且仅列示与本报表项目相关的审计调整。项目组可根据项目实际情况选择是否使用该底稿。</t>
    <phoneticPr fontId="5" type="noConversion"/>
  </si>
  <si>
    <r>
      <t>财会〔</t>
    </r>
    <r>
      <rPr>
        <sz val="10"/>
        <color rgb="FF0000FF"/>
        <rFont val="Arial Narrow"/>
        <family val="2"/>
      </rPr>
      <t>2018</t>
    </r>
    <r>
      <rPr>
        <sz val="10"/>
        <color rgb="FF0000FF"/>
        <rFont val="宋体"/>
        <family val="3"/>
        <charset val="134"/>
      </rPr>
      <t>〕</t>
    </r>
    <r>
      <rPr>
        <sz val="10"/>
        <color rgb="FF0000FF"/>
        <rFont val="Arial Narrow"/>
        <family val="2"/>
      </rPr>
      <t>15</t>
    </r>
    <r>
      <rPr>
        <sz val="10"/>
        <color rgb="FF0000FF"/>
        <rFont val="宋体"/>
        <family val="3"/>
        <charset val="134"/>
      </rPr>
      <t>号：预计负债”科目下的“应付退货款”明细科目，在一年或一个正常营业周期内清偿的项目在其他流动负债反映。</t>
    </r>
    <phoneticPr fontId="29" type="noConversion"/>
  </si>
  <si>
    <r>
      <t>1.</t>
    </r>
    <r>
      <rPr>
        <sz val="10"/>
        <rFont val="宋体"/>
        <family val="3"/>
        <charset val="134"/>
      </rPr>
      <t>资产负债表中记录的其他流动负债是存在的，且已记录于恰当的账户。</t>
    </r>
    <phoneticPr fontId="12" type="noConversion"/>
  </si>
  <si>
    <r>
      <t>2.</t>
    </r>
    <r>
      <rPr>
        <sz val="10"/>
        <rFont val="宋体"/>
        <family val="3"/>
        <charset val="134"/>
      </rPr>
      <t>所有应记录的其他流动负债均已记录，所有应当包括在财务报表中的相关披露均已包括。</t>
    </r>
    <phoneticPr fontId="12" type="noConversion"/>
  </si>
  <si>
    <r>
      <t>3.</t>
    </r>
    <r>
      <rPr>
        <sz val="10"/>
        <rFont val="宋体"/>
        <family val="3"/>
        <charset val="134"/>
      </rPr>
      <t>其他流动负债以恰当的金额包括在财务报表中，与之相关的计价或分摊调整已恰当记录，相关披露已得到恰当计量和描述。</t>
    </r>
    <phoneticPr fontId="12" type="noConversion"/>
  </si>
  <si>
    <r>
      <rPr>
        <b/>
        <sz val="10"/>
        <color rgb="FFFF0000"/>
        <rFont val="宋体"/>
        <family val="3"/>
        <charset val="134"/>
      </rPr>
      <t>测试内容说明：</t>
    </r>
    <r>
      <rPr>
        <sz val="10"/>
        <color rgb="FFFF0000"/>
        <rFont val="Arial Narrow"/>
        <family val="2"/>
      </rPr>
      <t>1.</t>
    </r>
    <r>
      <rPr>
        <sz val="10"/>
        <color rgb="FFFF0000"/>
        <rFont val="宋体"/>
        <family val="3"/>
        <charset val="134"/>
      </rPr>
      <t>原始凭证是否齐全；</t>
    </r>
    <r>
      <rPr>
        <sz val="10"/>
        <color rgb="FFFF0000"/>
        <rFont val="Arial Narrow"/>
        <family val="2"/>
      </rPr>
      <t xml:space="preserve"> 2.</t>
    </r>
    <r>
      <rPr>
        <sz val="10"/>
        <color rgb="FFFF0000"/>
        <rFont val="宋体"/>
        <family val="3"/>
        <charset val="134"/>
      </rPr>
      <t>记账凭证与原始凭证是否相符；</t>
    </r>
    <r>
      <rPr>
        <sz val="10"/>
        <color rgb="FFFF0000"/>
        <rFont val="Arial Narrow"/>
        <family val="2"/>
      </rPr>
      <t>3.</t>
    </r>
    <r>
      <rPr>
        <sz val="10"/>
        <color rgb="FFFF0000"/>
        <rFont val="宋体"/>
        <family val="3"/>
        <charset val="134"/>
      </rPr>
      <t>账务处理是否正确；</t>
    </r>
    <r>
      <rPr>
        <sz val="10"/>
        <color rgb="FFFF0000"/>
        <rFont val="Arial Narrow"/>
        <family val="2"/>
      </rPr>
      <t>4.</t>
    </r>
    <r>
      <rPr>
        <sz val="10"/>
        <color rgb="FFFF0000"/>
        <rFont val="宋体"/>
        <family val="3"/>
        <charset val="134"/>
      </rPr>
      <t>是否记录于恰当的会计期间；</t>
    </r>
    <r>
      <rPr>
        <sz val="10"/>
        <color rgb="FFFF0000"/>
        <rFont val="Arial Narrow"/>
        <family val="2"/>
      </rPr>
      <t>5.……</t>
    </r>
    <phoneticPr fontId="5" type="noConversion"/>
  </si>
  <si>
    <t>一、本账户涉及的科目</t>
    <phoneticPr fontId="59" type="noConversion"/>
  </si>
  <si>
    <t>二、审计目标与认定的对应关系</t>
    <phoneticPr fontId="5" type="noConversion"/>
  </si>
  <si>
    <r>
      <t xml:space="preserve">A. </t>
    </r>
    <r>
      <rPr>
        <sz val="10"/>
        <rFont val="宋体"/>
        <family val="3"/>
        <charset val="134"/>
      </rPr>
      <t>资产负债表中记录的其他流动负债是存在的，且已记录于恰当的账户</t>
    </r>
    <phoneticPr fontId="5" type="noConversion"/>
  </si>
  <si>
    <r>
      <t xml:space="preserve">B. </t>
    </r>
    <r>
      <rPr>
        <sz val="10"/>
        <rFont val="宋体"/>
        <family val="3"/>
        <charset val="134"/>
      </rPr>
      <t>所有应记录的其他流动负债均已记录，所有应当包括在财务报表中的相关披露均已包括</t>
    </r>
    <phoneticPr fontId="5" type="noConversion"/>
  </si>
  <si>
    <r>
      <t xml:space="preserve">D. </t>
    </r>
    <r>
      <rPr>
        <sz val="10"/>
        <rFont val="宋体"/>
        <family val="3"/>
        <charset val="134"/>
      </rPr>
      <t>其他流动负债以恰当的金额包括在财务报表中，与之相关的计价或分摊调整已恰当记录，相关披露已得到恰当计量和描述</t>
    </r>
    <phoneticPr fontId="5" type="noConversion"/>
  </si>
  <si>
    <t>页 次：</t>
    <phoneticPr fontId="5" type="noConversion"/>
  </si>
  <si>
    <t>√</t>
    <phoneticPr fontId="5" type="noConversion"/>
  </si>
  <si>
    <r>
      <rPr>
        <sz val="10"/>
        <rFont val="宋体"/>
        <family val="3"/>
        <charset val="134"/>
      </rPr>
      <t>检查关联交易：
（</t>
    </r>
    <r>
      <rPr>
        <sz val="10"/>
        <rFont val="Arial Narrow"/>
        <family val="2"/>
      </rPr>
      <t>1</t>
    </r>
    <r>
      <rPr>
        <sz val="10"/>
        <rFont val="宋体"/>
        <family val="3"/>
        <charset val="134"/>
      </rPr>
      <t>）了解关联交易的商业理由、交易事项的目的、价格和条件，考虑对关联交易形成的其他流动负债的合理性、合法性；
（</t>
    </r>
    <r>
      <rPr>
        <sz val="10"/>
        <rFont val="Arial Narrow"/>
        <family val="2"/>
      </rPr>
      <t>2</t>
    </r>
    <r>
      <rPr>
        <sz val="10"/>
        <rFont val="宋体"/>
        <family val="3"/>
        <charset val="134"/>
      </rPr>
      <t>）检查对关联交易形成的其他流动负债的真实性相关的支持性文件、检查会计处理是否正确；
（</t>
    </r>
    <r>
      <rPr>
        <sz val="10"/>
        <rFont val="Arial Narrow"/>
        <family val="2"/>
      </rPr>
      <t>3</t>
    </r>
    <r>
      <rPr>
        <sz val="10"/>
        <rFont val="宋体"/>
        <family val="3"/>
        <charset val="134"/>
      </rPr>
      <t>）考虑向关联方或其他注册会计师函证重大的关联交易和余额（包括担保和其他重要信息）；
（</t>
    </r>
    <r>
      <rPr>
        <sz val="10"/>
        <rFont val="Arial Narrow"/>
        <family val="2"/>
      </rPr>
      <t>4</t>
    </r>
    <r>
      <rPr>
        <sz val="10"/>
        <rFont val="宋体"/>
        <family val="3"/>
        <charset val="134"/>
      </rPr>
      <t>）必要时，向与交易相关的人员和机构（如银行、律师）函证或与其讨论有关信息；
（</t>
    </r>
    <r>
      <rPr>
        <sz val="10"/>
        <rFont val="Arial Narrow"/>
        <family val="2"/>
      </rPr>
      <t>5</t>
    </r>
    <r>
      <rPr>
        <sz val="10"/>
        <rFont val="宋体"/>
        <family val="3"/>
        <charset val="134"/>
      </rPr>
      <t>）考虑是否存在未识别的关联方，关联交易和余额披露是否正确。</t>
    </r>
    <phoneticPr fontId="5" type="noConversion"/>
  </si>
  <si>
    <t>考虑是否存在超出被审计单位正常经营活动的重大、异常交易等，根据评估的舞弊风险等因素增加的审计程序。</t>
    <phoneticPr fontId="5" type="noConversion"/>
  </si>
  <si>
    <t>检查与其他流动负债有关的的记账凭证和相应的支持性证据以确定交易的真实性，是否按规定进行相应的会计处理和披露。</t>
    <phoneticPr fontId="5" type="noConversion"/>
  </si>
  <si>
    <t>检查其他流动负债是否已按企业会计准则或其他适用的规定在财务报表中做出恰当列报和披露。</t>
    <phoneticPr fontId="5" type="noConversion"/>
  </si>
  <si>
    <t>IPO/上市/新三板/重组/舞弊应对</t>
    <phoneticPr fontId="59" type="noConversion"/>
  </si>
  <si>
    <t>明细项目</t>
    <phoneticPr fontId="5" type="noConversion"/>
  </si>
  <si>
    <t>记账凭证</t>
    <phoneticPr fontId="5" type="noConversion"/>
  </si>
  <si>
    <t>支持性文件</t>
    <phoneticPr fontId="5" type="noConversion"/>
  </si>
  <si>
    <r>
      <rPr>
        <b/>
        <sz val="10"/>
        <rFont val="宋体"/>
        <family val="3"/>
        <charset val="134"/>
      </rPr>
      <t>核对内容</t>
    </r>
  </si>
  <si>
    <t>索引号</t>
  </si>
  <si>
    <t>是否异常</t>
    <phoneticPr fontId="5" type="noConversion"/>
  </si>
  <si>
    <t>备注说明</t>
    <phoneticPr fontId="5" type="noConversion"/>
  </si>
  <si>
    <t>业务内容</t>
    <phoneticPr fontId="5" type="noConversion"/>
  </si>
  <si>
    <t>对方科目</t>
    <phoneticPr fontId="5" type="noConversion"/>
  </si>
  <si>
    <t>对方明细科目</t>
    <phoneticPr fontId="5" type="noConversion"/>
  </si>
  <si>
    <t>借方金额</t>
    <phoneticPr fontId="5" type="noConversion"/>
  </si>
  <si>
    <t>贷方金额</t>
    <phoneticPr fontId="5" type="noConversion"/>
  </si>
  <si>
    <r>
      <rPr>
        <sz val="10"/>
        <color rgb="FF0000FF"/>
        <rFont val="宋体"/>
        <family val="3"/>
        <charset val="134"/>
      </rPr>
      <t>抽取</t>
    </r>
    <r>
      <rPr>
        <sz val="10"/>
        <color rgb="FF0000FF"/>
        <rFont val="Arial Narrow"/>
        <family val="2"/>
      </rPr>
      <t>XX</t>
    </r>
    <r>
      <rPr>
        <sz val="10"/>
        <color rgb="FF0000FF"/>
        <rFont val="宋体"/>
        <family val="3"/>
        <charset val="134"/>
      </rPr>
      <t>笔（如果使用了样本计算器计算样本量，样本量计算过程见</t>
    </r>
    <r>
      <rPr>
        <sz val="10"/>
        <color rgb="FF0000FF"/>
        <rFont val="Arial Narrow"/>
        <family val="2"/>
      </rPr>
      <t>&lt;XX&gt;</t>
    </r>
    <r>
      <rPr>
        <sz val="10"/>
        <color rgb="FF0000FF"/>
        <rFont val="宋体"/>
        <family val="3"/>
        <charset val="134"/>
      </rPr>
      <t>底稿）</t>
    </r>
    <phoneticPr fontId="5" type="noConversion"/>
  </si>
  <si>
    <t>其他流动负债检查表</t>
    <phoneticPr fontId="5" type="noConversion"/>
  </si>
  <si>
    <t>K4-1
/K4-2</t>
    <phoneticPr fontId="53" type="noConversion"/>
  </si>
  <si>
    <t>K4-1
/K4-2</t>
    <phoneticPr fontId="53" type="noConversion"/>
  </si>
  <si>
    <t>其他流动负债检查表</t>
    <phoneticPr fontId="29" type="noConversion"/>
  </si>
  <si>
    <r>
      <t>获取上期期末的其他流动负债明细，复核加计正确，总账与明细账核对一致；识别重大的明细项目、查找异常项目并了解该明细项目的核算目的和用途；将个别重大负债与其支持文件核对；检查期初其他流动负债在本期支付、转销情况，考虑是否需要函证期初余额以及其他必要追加的审计程序。</t>
    </r>
    <r>
      <rPr>
        <sz val="10"/>
        <color rgb="FFFF0000"/>
        <rFont val="宋体"/>
        <family val="3"/>
        <charset val="134"/>
      </rPr>
      <t>（适用于首次承接）</t>
    </r>
    <phoneticPr fontId="5" type="noConversion"/>
  </si>
  <si>
    <r>
      <rPr>
        <sz val="10"/>
        <rFont val="宋体"/>
        <family val="3"/>
        <charset val="134"/>
      </rPr>
      <t>获取或编制明细表、执行下列程序，并编制审定表：
（</t>
    </r>
    <r>
      <rPr>
        <sz val="10"/>
        <rFont val="Arial Narrow"/>
        <family val="2"/>
      </rPr>
      <t>1</t>
    </r>
    <r>
      <rPr>
        <sz val="10"/>
        <rFont val="宋体"/>
        <family val="3"/>
        <charset val="134"/>
      </rPr>
      <t>）复核加计正确，并与总账数和明细账合计数核对是否相符，期初余额与上期审定期末余额是否相符；
（</t>
    </r>
    <r>
      <rPr>
        <sz val="10"/>
        <rFont val="Arial Narrow"/>
        <family val="2"/>
      </rPr>
      <t>2</t>
    </r>
    <r>
      <rPr>
        <sz val="10"/>
        <rFont val="宋体"/>
        <family val="3"/>
        <charset val="134"/>
      </rPr>
      <t>）识别重大的账户、识别账户中单项重大的明细项目；
（</t>
    </r>
    <r>
      <rPr>
        <sz val="10"/>
        <rFont val="Arial Narrow"/>
        <family val="2"/>
      </rPr>
      <t>3</t>
    </r>
    <r>
      <rPr>
        <sz val="10"/>
        <rFont val="宋体"/>
        <family val="3"/>
        <charset val="134"/>
      </rPr>
      <t>）了解明细项目的核算目的和用途；</t>
    </r>
    <r>
      <rPr>
        <sz val="10"/>
        <rFont val="宋体"/>
        <family val="3"/>
        <charset val="134"/>
      </rPr>
      <t/>
    </r>
    <phoneticPr fontId="5" type="noConversion"/>
  </si>
  <si>
    <r>
      <rPr>
        <sz val="10"/>
        <rFont val="宋体"/>
        <family val="3"/>
        <charset val="134"/>
      </rPr>
      <t>被审计单位：</t>
    </r>
    <r>
      <rPr>
        <sz val="10"/>
        <rFont val="Arial Narrow"/>
        <family val="2"/>
      </rPr>
      <t/>
    </r>
    <phoneticPr fontId="5" type="noConversion"/>
  </si>
  <si>
    <t>编制人：</t>
    <phoneticPr fontId="5" type="noConversion"/>
  </si>
  <si>
    <t>编制日期：</t>
    <phoneticPr fontId="5" type="noConversion"/>
  </si>
  <si>
    <t>复核人：</t>
    <phoneticPr fontId="5" type="noConversion"/>
  </si>
  <si>
    <t>复核日期：</t>
    <phoneticPr fontId="5" type="noConversion"/>
  </si>
  <si>
    <r>
      <t xml:space="preserve">C. </t>
    </r>
    <r>
      <rPr>
        <sz val="10"/>
        <rFont val="宋体"/>
        <family val="3"/>
        <charset val="134"/>
      </rPr>
      <t>记录的其他流动负债是被审计单位应当履行的偿还义务</t>
    </r>
    <phoneticPr fontId="5" type="noConversion"/>
  </si>
  <si>
    <r>
      <t xml:space="preserve">E. </t>
    </r>
    <r>
      <rPr>
        <sz val="10"/>
        <rFont val="宋体"/>
        <family val="3"/>
        <charset val="134"/>
      </rPr>
      <t>其他流动负债已被恰当地汇总或分解且表述清楚，相关披露在按照企业会计准则的编制基础下是相关的、可理解的</t>
    </r>
    <phoneticPr fontId="5" type="noConversion"/>
  </si>
  <si>
    <t>存在</t>
  </si>
  <si>
    <r>
      <rPr>
        <sz val="10"/>
        <rFont val="宋体"/>
        <family val="3"/>
        <charset val="134"/>
      </rPr>
      <t>截止日：</t>
    </r>
    <r>
      <rPr>
        <sz val="10"/>
        <rFont val="Arial Narrow"/>
        <family val="2"/>
      </rPr>
      <t>202X</t>
    </r>
    <r>
      <rPr>
        <sz val="10"/>
        <rFont val="宋体"/>
        <family val="3"/>
        <charset val="134"/>
      </rPr>
      <t>年</t>
    </r>
    <r>
      <rPr>
        <sz val="10"/>
        <rFont val="Arial Narrow"/>
        <family val="2"/>
      </rPr>
      <t>12</t>
    </r>
    <r>
      <rPr>
        <sz val="10"/>
        <rFont val="宋体"/>
        <family val="3"/>
        <charset val="134"/>
      </rPr>
      <t>月</t>
    </r>
    <r>
      <rPr>
        <sz val="10"/>
        <rFont val="Arial Narrow"/>
        <family val="2"/>
      </rPr>
      <t>31</t>
    </r>
    <r>
      <rPr>
        <sz val="10"/>
        <rFont val="宋体"/>
        <family val="3"/>
        <charset val="134"/>
      </rPr>
      <t>日</t>
    </r>
    <phoneticPr fontId="5" type="noConversion"/>
  </si>
  <si>
    <t>关于工作底稿与审计程序索引号对应的说明</t>
    <phoneticPr fontId="5" type="noConversion"/>
  </si>
  <si>
    <r>
      <t>1.</t>
    </r>
    <r>
      <rPr>
        <b/>
        <sz val="12"/>
        <rFont val="宋体"/>
        <family val="3"/>
        <charset val="134"/>
      </rPr>
      <t>编制的审计工作底稿应与审计程序对应。</t>
    </r>
    <r>
      <rPr>
        <sz val="10"/>
        <color theme="1"/>
        <rFont val="宋体"/>
        <family val="3"/>
        <charset val="134"/>
        <scheme val="minor"/>
      </rPr>
      <t>审计项目组应根据被审计单位实际情况和风险评估情况在实质性程序表中裁剪、修改或增加审计程序，根据实际执行的审计程序完成相应审计工作底稿，编制的工作底稿中应按自然顺序依次编制索引号，并通过唯一的索引号将与实质性程序表中的程序对应关联（即将工作底稿的索引号填入实质性程序表中的底稿索引号列）。</t>
    </r>
    <phoneticPr fontId="5" type="noConversion"/>
  </si>
  <si>
    <r>
      <t>2.</t>
    </r>
    <r>
      <rPr>
        <b/>
        <sz val="12"/>
        <rFont val="宋体"/>
        <family val="3"/>
        <charset val="134"/>
      </rPr>
      <t>获取的支持性证据应与审计底稿或程序对应。</t>
    </r>
    <r>
      <rPr>
        <sz val="10"/>
        <color theme="1"/>
        <rFont val="宋体"/>
        <family val="3"/>
        <charset val="134"/>
        <scheme val="minor"/>
      </rPr>
      <t>审计项目组在完成底稿时获取的支持性证据应根据底稿索引号编制下一级按自然顺序排序的索引号（如</t>
    </r>
    <r>
      <rPr>
        <sz val="12"/>
        <rFont val="Arial Narrow"/>
        <family val="2"/>
      </rPr>
      <t>D1-2-1</t>
    </r>
    <r>
      <rPr>
        <sz val="10"/>
        <color theme="1"/>
        <rFont val="宋体"/>
        <family val="3"/>
        <charset val="134"/>
        <scheme val="minor"/>
      </rPr>
      <t>、</t>
    </r>
    <r>
      <rPr>
        <sz val="12"/>
        <rFont val="Arial Narrow"/>
        <family val="2"/>
      </rPr>
      <t>D1-2-2</t>
    </r>
    <r>
      <rPr>
        <sz val="10"/>
        <color theme="1"/>
        <rFont val="宋体"/>
        <family val="3"/>
        <charset val="134"/>
        <scheme val="minor"/>
      </rPr>
      <t>、</t>
    </r>
    <r>
      <rPr>
        <sz val="12"/>
        <rFont val="Arial Narrow"/>
        <family val="2"/>
      </rPr>
      <t>……</t>
    </r>
    <r>
      <rPr>
        <sz val="10"/>
        <color theme="1"/>
        <rFont val="宋体"/>
        <family val="3"/>
        <charset val="134"/>
        <scheme val="minor"/>
      </rPr>
      <t>），并在底稿中说明引用的支持性证据、关联索引号。</t>
    </r>
    <phoneticPr fontId="5" type="noConversion"/>
  </si>
  <si>
    <r>
      <rPr>
        <b/>
        <sz val="12"/>
        <rFont val="Arial Narrow"/>
        <family val="2"/>
      </rPr>
      <t>3.</t>
    </r>
    <r>
      <rPr>
        <b/>
        <sz val="12"/>
        <rFont val="宋体"/>
        <family val="3"/>
        <charset val="134"/>
      </rPr>
      <t>工作底稿索引号的编码规则：</t>
    </r>
    <r>
      <rPr>
        <sz val="10"/>
        <color theme="1"/>
        <rFont val="宋体"/>
        <family val="3"/>
        <charset val="134"/>
        <scheme val="minor"/>
      </rPr>
      <t>实质性程序索引号按循环从</t>
    </r>
    <r>
      <rPr>
        <sz val="12"/>
        <rFont val="Arial Narrow"/>
        <family val="2"/>
      </rPr>
      <t>“D”</t>
    </r>
    <r>
      <rPr>
        <sz val="10"/>
        <color theme="1"/>
        <rFont val="宋体"/>
        <family val="3"/>
        <charset val="134"/>
        <scheme val="minor"/>
      </rPr>
      <t>到</t>
    </r>
    <r>
      <rPr>
        <sz val="12"/>
        <rFont val="Arial Narrow"/>
        <family val="2"/>
      </rPr>
      <t>“N”,</t>
    </r>
    <r>
      <rPr>
        <sz val="10"/>
        <color theme="1"/>
        <rFont val="宋体"/>
        <family val="3"/>
        <charset val="134"/>
        <scheme val="minor"/>
      </rPr>
      <t>循环内账户以顺序号排列，模板中底稿索引号按账户顺序</t>
    </r>
    <r>
      <rPr>
        <sz val="12"/>
        <rFont val="Arial Narrow"/>
        <family val="2"/>
      </rPr>
      <t>+</t>
    </r>
    <r>
      <rPr>
        <sz val="10"/>
        <color theme="1"/>
        <rFont val="宋体"/>
        <family val="3"/>
        <charset val="134"/>
        <scheme val="minor"/>
      </rPr>
      <t>自然数顺序（即模板中索引号按二级自然顺序排列，如</t>
    </r>
    <r>
      <rPr>
        <sz val="12"/>
        <rFont val="Arial Narrow"/>
        <family val="2"/>
      </rPr>
      <t>D1-1</t>
    </r>
    <r>
      <rPr>
        <sz val="10"/>
        <color theme="1"/>
        <rFont val="宋体"/>
        <family val="3"/>
        <charset val="134"/>
        <scheme val="minor"/>
      </rPr>
      <t>、</t>
    </r>
    <r>
      <rPr>
        <sz val="12"/>
        <rFont val="Arial Narrow"/>
        <family val="2"/>
      </rPr>
      <t>D1-2</t>
    </r>
    <r>
      <rPr>
        <sz val="10"/>
        <color theme="1"/>
        <rFont val="宋体"/>
        <family val="3"/>
        <charset val="134"/>
        <scheme val="minor"/>
      </rPr>
      <t>、</t>
    </r>
    <r>
      <rPr>
        <sz val="12"/>
        <rFont val="Arial Narrow"/>
        <family val="2"/>
      </rPr>
      <t>D1-3</t>
    </r>
    <r>
      <rPr>
        <sz val="10"/>
        <color theme="1"/>
        <rFont val="宋体"/>
        <family val="3"/>
        <charset val="134"/>
        <scheme val="minor"/>
      </rPr>
      <t>、</t>
    </r>
    <r>
      <rPr>
        <sz val="12"/>
        <rFont val="Arial Narrow"/>
        <family val="2"/>
      </rPr>
      <t>……D1-N</t>
    </r>
    <r>
      <rPr>
        <sz val="10"/>
        <color theme="1"/>
        <rFont val="宋体"/>
        <family val="3"/>
        <charset val="134"/>
        <scheme val="minor"/>
      </rPr>
      <t>）。</t>
    </r>
    <phoneticPr fontId="5" type="noConversion"/>
  </si>
  <si>
    <t>根据被审计单位实际情况和风险评估情况裁剪、修改或增加审计程序</t>
    <phoneticPr fontId="5" type="noConversion"/>
  </si>
  <si>
    <t>审计程序</t>
    <phoneticPr fontId="59" type="noConversion"/>
  </si>
  <si>
    <t>随机选样/系统选样/货币单元抽样/随意选样（非统计抽样适用）</t>
    <phoneticPr fontId="5" type="noConversion"/>
  </si>
  <si>
    <r>
      <t>1.</t>
    </r>
    <r>
      <rPr>
        <sz val="10"/>
        <rFont val="宋体"/>
        <family val="3"/>
        <charset val="134"/>
      </rPr>
      <t>本期发生额、期末余额检查比例：</t>
    </r>
    <phoneticPr fontId="5" type="noConversion"/>
  </si>
  <si>
    <t>方向</t>
    <phoneticPr fontId="5" type="noConversion"/>
  </si>
  <si>
    <t>账面金额</t>
    <phoneticPr fontId="5" type="noConversion"/>
  </si>
  <si>
    <t>检查金额</t>
    <phoneticPr fontId="5" type="noConversion"/>
  </si>
  <si>
    <t>检查比例</t>
    <phoneticPr fontId="5" type="noConversion"/>
  </si>
  <si>
    <t>如果检查比例较低应扩大检查样本量或说明原因</t>
    <phoneticPr fontId="5" type="noConversion"/>
  </si>
  <si>
    <t>本期借方</t>
    <phoneticPr fontId="5" type="noConversion"/>
  </si>
  <si>
    <t>本期贷方</t>
    <phoneticPr fontId="5" type="noConversion"/>
  </si>
  <si>
    <t>2.……</t>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</si>
</sst>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0">
    <numFmt numFmtId="41" formatCode="_ * #,##0_ ;_ * \-#,##0_ ;_ * &quot;-&quot;_ ;_ @_ "/>
    <numFmt numFmtId="43" formatCode="_ * #,##0.00_ ;_ * \-#,##0.00_ ;_ * &quot;-&quot;??_ ;_ @_ "/>
    <numFmt numFmtId="176" formatCode="_-#,##0_-;\(#,##0\);_-\ \ &quot;-&quot;_-;_-@_-"/>
    <numFmt numFmtId="177" formatCode="_-#,##0.00_-;\(#,##0.00\);_-\ \ &quot;-&quot;_-;_-@_-"/>
    <numFmt numFmtId="178" formatCode="mmm/dd/yyyy;_-\ &quot;N/A&quot;_-;_-\ &quot;-&quot;_-"/>
    <numFmt numFmtId="179" formatCode="mmm/yyyy;_-\ &quot;N/A&quot;_-;_-\ &quot;-&quot;_-"/>
    <numFmt numFmtId="180" formatCode="_-#,##0%_-;\(#,##0%\);_-\ &quot;-&quot;_-"/>
    <numFmt numFmtId="181" formatCode="_-#,###,_-;\(#,###,\);_-\ \ &quot;-&quot;_-;_-@_-"/>
    <numFmt numFmtId="182" formatCode="_-#,###.00,_-;\(#,###.00,\);_-\ \ &quot;-&quot;_-;_-@_-"/>
    <numFmt numFmtId="183" formatCode="_-#0&quot;.&quot;0,_-;\(#0&quot;.&quot;0,\);_-\ \ &quot;-&quot;_-;_-@_-"/>
    <numFmt numFmtId="184" formatCode="_-#0&quot;.&quot;0000_-;\(#0&quot;.&quot;0000\);_-\ \ &quot;-&quot;_-;_-@_-"/>
    <numFmt numFmtId="185" formatCode="&quot;$&quot;#,##0_);\(&quot;$&quot;#,##0\)"/>
    <numFmt numFmtId="186" formatCode="_-* #,##0_-;\-* #,##0_-;_-* &quot;-&quot;_-;_-@_-"/>
    <numFmt numFmtId="187" formatCode="_-* #,##0.00_-;\-* #,##0.00_-;_-* &quot;-&quot;??_-;_-@_-"/>
    <numFmt numFmtId="188" formatCode="_-&quot;$&quot;* #,##0_-;\-&quot;$&quot;* #,##0_-;_-&quot;$&quot;* &quot;-&quot;_-;_-@_-"/>
    <numFmt numFmtId="189" formatCode="_-&quot;$&quot;* #,##0.00_-;\-&quot;$&quot;* #,##0.00_-;_-&quot;$&quot;* &quot;-&quot;??_-;_-@_-"/>
    <numFmt numFmtId="190" formatCode="_([$€-2]* #,##0.00_);_([$€-2]* \(#,##0.00\);_([$€-2]* &quot;-&quot;??_)"/>
    <numFmt numFmtId="191" formatCode="&quot;\&quot;#,##0;[Red]&quot;\&quot;&quot;\&quot;\-#,##0"/>
    <numFmt numFmtId="192" formatCode="&quot;\&quot;#,##0.00;[Red]&quot;\&quot;&quot;\&quot;\-#,##0.00"/>
    <numFmt numFmtId="193" formatCode="&quot;\&quot;#,##0;&quot;\&quot;&quot;\&quot;\-#,##0"/>
  </numFmts>
  <fonts count="85">
    <font>
      <sz val="10"/>
      <color theme="1"/>
      <name val="宋体"/>
      <charset val="134"/>
      <scheme val="minor"/>
    </font>
    <font>
      <sz val="11"/>
      <color theme="1"/>
      <name val="宋体"/>
      <family val="2"/>
      <charset val="134"/>
      <scheme val="minor"/>
    </font>
    <font>
      <sz val="11"/>
      <color theme="1"/>
      <name val="宋体"/>
      <family val="2"/>
      <scheme val="minor"/>
    </font>
    <font>
      <sz val="12"/>
      <name val="宋体"/>
      <family val="3"/>
      <charset val="134"/>
    </font>
    <font>
      <b/>
      <sz val="10"/>
      <name val="宋体"/>
      <family val="3"/>
      <charset val="134"/>
    </font>
    <font>
      <sz val="9"/>
      <name val="宋体"/>
      <family val="3"/>
      <charset val="134"/>
    </font>
    <font>
      <b/>
      <sz val="10"/>
      <name val="Arial Narrow"/>
      <family val="2"/>
    </font>
    <font>
      <sz val="12"/>
      <name val="Arial Narrow"/>
      <family val="2"/>
    </font>
    <font>
      <b/>
      <sz val="12"/>
      <name val="宋体"/>
      <family val="3"/>
      <charset val="134"/>
    </font>
    <font>
      <b/>
      <sz val="12"/>
      <name val="Arial Narrow"/>
      <family val="2"/>
    </font>
    <font>
      <sz val="10"/>
      <name val="Arial Narrow"/>
      <family val="2"/>
    </font>
    <font>
      <sz val="10"/>
      <name val="宋体"/>
      <family val="3"/>
      <charset val="134"/>
    </font>
    <font>
      <sz val="10"/>
      <name val="Times New Roman"/>
      <family val="1"/>
    </font>
    <font>
      <u/>
      <sz val="12"/>
      <color indexed="12"/>
      <name val="宋体"/>
      <family val="3"/>
      <charset val="134"/>
    </font>
    <font>
      <sz val="12"/>
      <name val="Times New Roman"/>
      <family val="1"/>
    </font>
    <font>
      <u val="singleAccounting"/>
      <vertAlign val="subscript"/>
      <sz val="10"/>
      <name val="Times New Roman"/>
      <family val="1"/>
    </font>
    <font>
      <i/>
      <sz val="9"/>
      <name val="Times New Roman"/>
      <family val="1"/>
    </font>
    <font>
      <sz val="7"/>
      <name val="Helv"/>
      <family val="2"/>
    </font>
    <font>
      <b/>
      <sz val="10"/>
      <name val="MS Sans Serif"/>
      <family val="2"/>
    </font>
    <font>
      <sz val="10"/>
      <name val="Arial"/>
      <family val="2"/>
    </font>
    <font>
      <u/>
      <sz val="7.5"/>
      <color indexed="36"/>
      <name val="Arial"/>
      <family val="2"/>
    </font>
    <font>
      <sz val="8"/>
      <name val="Arial"/>
      <family val="2"/>
    </font>
    <font>
      <u/>
      <sz val="7.5"/>
      <color indexed="12"/>
      <name val="Arial"/>
      <family val="2"/>
    </font>
    <font>
      <sz val="10"/>
      <name val="Courier"/>
      <family val="3"/>
    </font>
    <font>
      <sz val="12"/>
      <name val="Garamond"/>
      <family val="1"/>
    </font>
    <font>
      <sz val="7"/>
      <color indexed="10"/>
      <name val="Helv"/>
      <family val="2"/>
    </font>
    <font>
      <sz val="12"/>
      <name val="楷体"/>
      <family val="3"/>
      <charset val="134"/>
    </font>
    <font>
      <sz val="12"/>
      <name val="楷体_GB2312"/>
      <family val="3"/>
      <charset val="134"/>
    </font>
    <font>
      <b/>
      <sz val="10"/>
      <color indexed="8"/>
      <name val="宋体"/>
      <family val="3"/>
      <charset val="134"/>
    </font>
    <font>
      <sz val="9"/>
      <name val="宋体"/>
      <family val="3"/>
      <charset val="134"/>
    </font>
    <font>
      <sz val="10"/>
      <color indexed="8"/>
      <name val="Arial Narrow"/>
      <family val="2"/>
    </font>
    <font>
      <b/>
      <sz val="10"/>
      <color indexed="8"/>
      <name val="Arial Narrow"/>
      <family val="2"/>
    </font>
    <font>
      <sz val="18"/>
      <color indexed="48"/>
      <name val="魏碑"/>
      <family val="3"/>
      <charset val="134"/>
    </font>
    <font>
      <sz val="10"/>
      <color indexed="12"/>
      <name val="Arial Narrow"/>
      <family val="2"/>
    </font>
    <font>
      <b/>
      <sz val="12"/>
      <color indexed="8"/>
      <name val="Arial Narrow"/>
      <family val="2"/>
    </font>
    <font>
      <b/>
      <sz val="12"/>
      <color indexed="8"/>
      <name val="宋体"/>
      <family val="3"/>
      <charset val="134"/>
    </font>
    <font>
      <sz val="10"/>
      <color indexed="10"/>
      <name val="宋体"/>
      <family val="3"/>
      <charset val="134"/>
    </font>
    <font>
      <sz val="9"/>
      <name val="Arial Narrow"/>
      <family val="2"/>
    </font>
    <font>
      <i/>
      <u/>
      <sz val="10"/>
      <color indexed="12"/>
      <name val="宋体"/>
      <family val="3"/>
      <charset val="134"/>
    </font>
    <font>
      <u/>
      <sz val="10"/>
      <name val="Arial Narrow"/>
      <family val="2"/>
    </font>
    <font>
      <b/>
      <u/>
      <sz val="10"/>
      <color indexed="10"/>
      <name val="Arial Narrow"/>
      <family val="2"/>
    </font>
    <font>
      <sz val="9"/>
      <name val="宋体"/>
      <family val="3"/>
      <charset val="134"/>
    </font>
    <font>
      <u/>
      <sz val="10"/>
      <color indexed="12"/>
      <name val="宋体"/>
      <family val="3"/>
      <charset val="134"/>
    </font>
    <font>
      <sz val="12"/>
      <name val="仿宋_GB2312"/>
      <family val="3"/>
      <charset val="134"/>
    </font>
    <font>
      <sz val="12"/>
      <color indexed="12"/>
      <name val="仿宋_GB2312"/>
      <family val="3"/>
      <charset val="134"/>
    </font>
    <font>
      <i/>
      <sz val="10"/>
      <color indexed="12"/>
      <name val="Arial Narrow"/>
      <family val="2"/>
    </font>
    <font>
      <b/>
      <sz val="10"/>
      <color indexed="12"/>
      <name val="Arial Narrow"/>
      <family val="2"/>
    </font>
    <font>
      <u/>
      <sz val="10"/>
      <color indexed="12"/>
      <name val="Arial Narrow"/>
      <family val="2"/>
    </font>
    <font>
      <sz val="10"/>
      <color indexed="8"/>
      <name val="宋体"/>
      <family val="3"/>
      <charset val="134"/>
      <scheme val="minor"/>
    </font>
    <font>
      <sz val="10"/>
      <color rgb="FFFF0000"/>
      <name val="Arial Narrow"/>
      <family val="2"/>
    </font>
    <font>
      <sz val="12"/>
      <color rgb="FF0000FF"/>
      <name val="仿宋_GB2312"/>
      <family val="3"/>
      <charset val="134"/>
    </font>
    <font>
      <i/>
      <sz val="12"/>
      <color rgb="FFFF0000"/>
      <name val="仿宋_GB2312"/>
      <family val="3"/>
      <charset val="134"/>
    </font>
    <font>
      <sz val="10"/>
      <color rgb="FFFF0000"/>
      <name val="宋体"/>
      <family val="3"/>
      <charset val="134"/>
    </font>
    <font>
      <sz val="9"/>
      <name val="宋体"/>
      <family val="3"/>
      <charset val="134"/>
      <scheme val="minor"/>
    </font>
    <font>
      <b/>
      <sz val="14"/>
      <name val="宋体"/>
      <family val="3"/>
      <charset val="134"/>
    </font>
    <font>
      <sz val="10"/>
      <color indexed="8"/>
      <name val="宋体"/>
      <family val="3"/>
      <charset val="134"/>
    </font>
    <font>
      <sz val="10"/>
      <color theme="1"/>
      <name val="宋体"/>
      <family val="3"/>
      <charset val="134"/>
    </font>
    <font>
      <sz val="10"/>
      <name val="Arial Narrow"/>
      <family val="3"/>
      <charset val="134"/>
    </font>
    <font>
      <b/>
      <sz val="10"/>
      <name val="Arial"/>
      <family val="2"/>
    </font>
    <font>
      <sz val="9"/>
      <name val="宋体"/>
      <family val="2"/>
      <charset val="134"/>
      <scheme val="minor"/>
    </font>
    <font>
      <sz val="11"/>
      <color theme="1"/>
      <name val="宋体"/>
      <family val="3"/>
      <charset val="134"/>
      <scheme val="minor"/>
    </font>
    <font>
      <b/>
      <sz val="10"/>
      <color indexed="10"/>
      <name val="Arial Narrow"/>
      <family val="2"/>
    </font>
    <font>
      <b/>
      <sz val="10"/>
      <color rgb="FFE92841"/>
      <name val="Arial Narrow"/>
      <family val="2"/>
    </font>
    <font>
      <sz val="10"/>
      <color rgb="FF000000"/>
      <name val="宋体"/>
      <family val="2"/>
      <charset val="134"/>
    </font>
    <font>
      <sz val="10"/>
      <color theme="1"/>
      <name val="Arial Narrow"/>
      <family val="2"/>
    </font>
    <font>
      <sz val="10"/>
      <name val="宋体"/>
      <family val="3"/>
      <charset val="134"/>
      <scheme val="minor"/>
    </font>
    <font>
      <b/>
      <sz val="10"/>
      <name val="宋体"/>
      <family val="3"/>
      <charset val="134"/>
      <scheme val="minor"/>
    </font>
    <font>
      <sz val="10"/>
      <color rgb="FF0000FF"/>
      <name val="宋体"/>
      <family val="3"/>
      <charset val="134"/>
      <scheme val="minor"/>
    </font>
    <font>
      <b/>
      <sz val="10"/>
      <color rgb="FF000000"/>
      <name val="宋体"/>
      <family val="3"/>
      <charset val="134"/>
      <scheme val="minor"/>
    </font>
    <font>
      <b/>
      <sz val="10"/>
      <color rgb="FF000000"/>
      <name val="Arial Narrow"/>
      <family val="2"/>
    </font>
    <font>
      <b/>
      <sz val="10"/>
      <color theme="1"/>
      <name val="宋体"/>
      <family val="3"/>
      <charset val="134"/>
    </font>
    <font>
      <b/>
      <sz val="10"/>
      <color rgb="FFFF0000"/>
      <name val="Arial Narrow"/>
      <family val="2"/>
    </font>
    <font>
      <b/>
      <sz val="10"/>
      <color rgb="FFFF0000"/>
      <name val="宋体"/>
      <family val="3"/>
      <charset val="134"/>
    </font>
    <font>
      <sz val="10"/>
      <color rgb="FF0000FF"/>
      <name val="Arial Narrow"/>
      <family val="2"/>
    </font>
    <font>
      <sz val="10"/>
      <color rgb="FF0000FF"/>
      <name val="宋体"/>
      <family val="3"/>
      <charset val="134"/>
    </font>
    <font>
      <sz val="9"/>
      <color rgb="FF0000FF"/>
      <name val="Arial Narrow"/>
      <family val="2"/>
    </font>
    <font>
      <sz val="9"/>
      <color rgb="FF0000FF"/>
      <name val="宋体"/>
      <family val="3"/>
      <charset val="134"/>
    </font>
    <font>
      <b/>
      <sz val="12"/>
      <name val="宋体"/>
      <family val="3"/>
      <charset val="134"/>
      <scheme val="minor"/>
    </font>
    <font>
      <b/>
      <sz val="14"/>
      <name val="宋体"/>
      <family val="3"/>
      <charset val="134"/>
      <scheme val="minor"/>
    </font>
    <font>
      <b/>
      <sz val="14"/>
      <name val="Arial Narrow"/>
      <family val="2"/>
    </font>
    <font>
      <b/>
      <sz val="10"/>
      <color theme="1"/>
      <name val="宋体"/>
      <family val="3"/>
      <charset val="134"/>
      <scheme val="minor"/>
    </font>
    <font>
      <b/>
      <sz val="10"/>
      <color indexed="8"/>
      <name val="宋体"/>
      <family val="3"/>
      <charset val="134"/>
      <scheme val="minor"/>
    </font>
    <font>
      <b/>
      <sz val="9"/>
      <color indexed="81"/>
      <name val="宋体"/>
      <family val="3"/>
      <charset val="134"/>
    </font>
    <font>
      <sz val="9"/>
      <color indexed="81"/>
      <name val="宋体"/>
      <family val="3"/>
      <charset val="134"/>
    </font>
    <font>
      <sz val="10"/>
      <color theme="1"/>
      <name val="宋体"/>
      <family val="3"/>
      <charset val="134"/>
      <scheme val="minor"/>
    </font>
  </fonts>
  <fills count="11">
    <fill>
      <patternFill patternType="none"/>
    </fill>
    <fill>
      <patternFill patternType="gray125"/>
    </fill>
    <fill>
      <patternFill patternType="solid">
        <fgColor indexed="22"/>
        <bgColor indexed="64"/>
      </patternFill>
    </fill>
    <fill>
      <patternFill patternType="solid">
        <fgColor indexed="26"/>
        <bgColor indexed="64"/>
      </patternFill>
    </fill>
    <fill>
      <patternFill patternType="solid">
        <fgColor indexed="9"/>
        <bgColor indexed="64"/>
      </patternFill>
    </fill>
    <fill>
      <patternFill patternType="solid">
        <fgColor indexed="14"/>
        <bgColor indexed="64"/>
      </patternFill>
    </fill>
    <fill>
      <patternFill patternType="solid">
        <fgColor theme="7" tint="0.79998168889431442"/>
        <bgColor indexed="64"/>
      </patternFill>
    </fill>
    <fill>
      <patternFill patternType="solid">
        <fgColor theme="0" tint="-0.14999847407452621"/>
        <bgColor indexed="64"/>
      </patternFill>
    </fill>
    <fill>
      <patternFill patternType="solid">
        <fgColor rgb="FF92D050"/>
        <bgColor indexed="64"/>
      </patternFill>
    </fill>
    <fill>
      <patternFill patternType="solid">
        <fgColor rgb="FFE4DFEC"/>
        <bgColor indexed="64"/>
      </patternFill>
    </fill>
    <fill>
      <patternFill patternType="solid">
        <fgColor theme="7" tint="0.79998168889431442"/>
        <bgColor rgb="FFB7DEE8"/>
      </patternFill>
    </fill>
  </fills>
  <borders count="15">
    <border>
      <left/>
      <right/>
      <top/>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right/>
      <top style="hair">
        <color indexed="64"/>
      </top>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top style="medium">
        <color indexed="64"/>
      </top>
      <bottom style="medium">
        <color indexed="64"/>
      </bottom>
      <diagonal/>
    </border>
    <border>
      <left/>
      <right/>
      <top/>
      <bottom style="medium">
        <color indexed="64"/>
      </bottom>
      <diagonal/>
    </border>
    <border>
      <left/>
      <right/>
      <top style="medium">
        <color indexed="64"/>
      </top>
      <bottom/>
      <diagonal/>
    </border>
    <border>
      <left/>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style="thin">
        <color indexed="55"/>
      </left>
      <right style="thin">
        <color indexed="55"/>
      </right>
      <top style="thin">
        <color indexed="55"/>
      </top>
      <bottom style="thin">
        <color indexed="55"/>
      </bottom>
      <diagonal/>
    </border>
    <border>
      <left style="hair">
        <color indexed="64"/>
      </left>
      <right/>
      <top/>
      <bottom/>
      <diagonal/>
    </border>
  </borders>
  <cellStyleXfs count="62">
    <xf numFmtId="0" fontId="0" fillId="0" borderId="0">
      <alignment vertical="center"/>
    </xf>
    <xf numFmtId="49" fontId="12" fillId="0" borderId="0" applyProtection="0">
      <alignment horizontal="left"/>
    </xf>
    <xf numFmtId="176" fontId="12" fillId="0" borderId="0" applyFill="0" applyBorder="0" applyProtection="0">
      <alignment horizontal="right"/>
    </xf>
    <xf numFmtId="177" fontId="12" fillId="0" borderId="0" applyFill="0" applyBorder="0" applyProtection="0">
      <alignment horizontal="right"/>
    </xf>
    <xf numFmtId="178" fontId="15" fillId="0" borderId="0" applyFill="0" applyBorder="0" applyProtection="0">
      <alignment horizontal="center"/>
    </xf>
    <xf numFmtId="179" fontId="15" fillId="0" borderId="0" applyFill="0" applyBorder="0" applyProtection="0">
      <alignment horizontal="center"/>
    </xf>
    <xf numFmtId="180" fontId="16" fillId="0" borderId="0" applyFill="0" applyBorder="0" applyProtection="0">
      <alignment horizontal="right"/>
    </xf>
    <xf numFmtId="181" fontId="12" fillId="0" borderId="0" applyFill="0" applyBorder="0" applyProtection="0">
      <alignment horizontal="right"/>
    </xf>
    <xf numFmtId="182" fontId="12" fillId="0" borderId="0" applyFill="0" applyBorder="0" applyProtection="0">
      <alignment horizontal="right"/>
    </xf>
    <xf numFmtId="183" fontId="12" fillId="0" borderId="0" applyFill="0" applyBorder="0" applyProtection="0">
      <alignment horizontal="right"/>
    </xf>
    <xf numFmtId="184" fontId="12" fillId="0" borderId="0" applyFill="0" applyBorder="0" applyProtection="0">
      <alignment horizontal="right"/>
    </xf>
    <xf numFmtId="3" fontId="17" fillId="0" borderId="0"/>
    <xf numFmtId="185" fontId="18" fillId="0" borderId="1" applyAlignment="0" applyProtection="0"/>
    <xf numFmtId="186" fontId="19" fillId="0" borderId="0" applyFont="0" applyFill="0" applyBorder="0" applyAlignment="0" applyProtection="0"/>
    <xf numFmtId="187" fontId="19" fillId="0" borderId="0" applyFont="0" applyFill="0" applyBorder="0" applyAlignment="0" applyProtection="0"/>
    <xf numFmtId="188" fontId="19" fillId="0" borderId="0" applyFont="0" applyFill="0" applyBorder="0" applyAlignment="0" applyProtection="0"/>
    <xf numFmtId="189" fontId="19" fillId="0" borderId="0" applyFont="0" applyFill="0" applyBorder="0" applyAlignment="0" applyProtection="0"/>
    <xf numFmtId="41" fontId="19" fillId="0" borderId="0" applyFont="0" applyFill="0" applyBorder="0" applyAlignment="0" applyProtection="0"/>
    <xf numFmtId="43" fontId="19" fillId="0" borderId="0" applyFont="0" applyFill="0" applyBorder="0" applyAlignment="0" applyProtection="0"/>
    <xf numFmtId="190" fontId="12" fillId="0" borderId="0" applyFont="0" applyFill="0" applyBorder="0" applyAlignment="0" applyProtection="0"/>
    <xf numFmtId="0" fontId="20" fillId="0" borderId="0" applyNumberFormat="0" applyFill="0" applyBorder="0" applyAlignment="0" applyProtection="0">
      <alignment vertical="top"/>
      <protection locked="0"/>
    </xf>
    <xf numFmtId="38" fontId="21" fillId="2" borderId="0" applyNumberFormat="0" applyBorder="0" applyAlignment="0" applyProtection="0"/>
    <xf numFmtId="0" fontId="22" fillId="0" borderId="0" applyNumberFormat="0" applyFill="0" applyBorder="0" applyAlignment="0" applyProtection="0">
      <alignment vertical="top"/>
      <protection locked="0"/>
    </xf>
    <xf numFmtId="10" fontId="21" fillId="3" borderId="2" applyNumberFormat="0" applyBorder="0" applyAlignment="0" applyProtection="0"/>
    <xf numFmtId="191" fontId="3" fillId="0" borderId="0" applyFont="0" applyFill="0" applyBorder="0" applyAlignment="0" applyProtection="0"/>
    <xf numFmtId="192" fontId="3" fillId="0" borderId="0" applyFont="0" applyFill="0" applyBorder="0" applyAlignment="0" applyProtection="0"/>
    <xf numFmtId="0" fontId="23" fillId="0" borderId="0"/>
    <xf numFmtId="193" fontId="3" fillId="0" borderId="0"/>
    <xf numFmtId="0" fontId="24" fillId="0" borderId="0"/>
    <xf numFmtId="10" fontId="19" fillId="0" borderId="0" applyFont="0" applyFill="0" applyBorder="0" applyAlignment="0" applyProtection="0"/>
    <xf numFmtId="3" fontId="25" fillId="0" borderId="0"/>
    <xf numFmtId="9" fontId="3" fillId="0" borderId="0" applyFont="0" applyFill="0" applyBorder="0" applyAlignment="0" applyProtection="0"/>
    <xf numFmtId="0" fontId="3" fillId="0" borderId="0">
      <protection locked="0"/>
    </xf>
    <xf numFmtId="190" fontId="3" fillId="0" borderId="0">
      <protection locked="0"/>
    </xf>
    <xf numFmtId="0" fontId="11" fillId="0" borderId="0"/>
    <xf numFmtId="190" fontId="3" fillId="0" borderId="0"/>
    <xf numFmtId="0" fontId="3" fillId="0" borderId="0">
      <alignment vertical="center"/>
    </xf>
    <xf numFmtId="0" fontId="14" fillId="0" borderId="0"/>
    <xf numFmtId="0" fontId="3" fillId="0" borderId="0"/>
    <xf numFmtId="0" fontId="3" fillId="0" borderId="0" applyFill="0" applyBorder="0"/>
    <xf numFmtId="0" fontId="3" fillId="0" borderId="0">
      <alignment vertical="center"/>
    </xf>
    <xf numFmtId="0" fontId="13" fillId="0" borderId="0" applyNumberFormat="0" applyFill="0" applyBorder="0" applyAlignment="0" applyProtection="0">
      <alignment vertical="top"/>
      <protection locked="0"/>
    </xf>
    <xf numFmtId="0" fontId="26" fillId="0" borderId="0"/>
    <xf numFmtId="41" fontId="3" fillId="0" borderId="0" applyFont="0" applyFill="0" applyBorder="0" applyAlignment="0" applyProtection="0"/>
    <xf numFmtId="43" fontId="3" fillId="0" borderId="0" applyFont="0" applyFill="0" applyBorder="0" applyAlignment="0" applyProtection="0"/>
    <xf numFmtId="41" fontId="27" fillId="0" borderId="0" applyFont="0" applyFill="0" applyBorder="0" applyAlignment="0" applyProtection="0"/>
    <xf numFmtId="43" fontId="27" fillId="0" borderId="0" applyFont="0" applyFill="0" applyBorder="0" applyAlignment="0" applyProtection="0"/>
    <xf numFmtId="43" fontId="3" fillId="0" borderId="0" applyFont="0" applyFill="0" applyBorder="0" applyAlignment="0" applyProtection="0"/>
    <xf numFmtId="0" fontId="2" fillId="0" borderId="0"/>
    <xf numFmtId="0" fontId="3" fillId="0" borderId="0">
      <protection locked="0"/>
    </xf>
    <xf numFmtId="0" fontId="60" fillId="0" borderId="0">
      <alignment vertical="center"/>
    </xf>
    <xf numFmtId="190" fontId="60" fillId="0" borderId="0">
      <alignment vertical="center"/>
    </xf>
    <xf numFmtId="190" fontId="3" fillId="0" borderId="0"/>
    <xf numFmtId="0" fontId="13" fillId="0" borderId="0" applyNumberFormat="0" applyFill="0" applyBorder="0" applyAlignment="0" applyProtection="0">
      <alignment vertical="top"/>
      <protection locked="0"/>
    </xf>
    <xf numFmtId="9" fontId="3" fillId="0" borderId="0" applyFont="0" applyFill="0" applyBorder="0" applyAlignment="0" applyProtection="0"/>
    <xf numFmtId="0" fontId="12" fillId="0" borderId="0">
      <protection locked="0"/>
    </xf>
    <xf numFmtId="190" fontId="3" fillId="0" borderId="0"/>
    <xf numFmtId="190" fontId="3" fillId="0" borderId="0">
      <protection locked="0"/>
    </xf>
    <xf numFmtId="190" fontId="60" fillId="0" borderId="0">
      <alignment vertical="center"/>
    </xf>
    <xf numFmtId="190" fontId="3" fillId="0" borderId="0">
      <alignment vertical="center"/>
      <protection locked="0"/>
    </xf>
    <xf numFmtId="43" fontId="3" fillId="0" borderId="0" applyFont="0" applyFill="0" applyBorder="0" applyAlignment="0" applyProtection="0">
      <alignment vertical="center"/>
    </xf>
    <xf numFmtId="190" fontId="1" fillId="0" borderId="0">
      <alignment vertical="center"/>
    </xf>
  </cellStyleXfs>
  <cellXfs count="333">
    <xf numFmtId="0" fontId="0" fillId="0" borderId="0" xfId="0">
      <alignment vertical="center"/>
    </xf>
    <xf numFmtId="43" fontId="7" fillId="0" borderId="0" xfId="39" applyNumberFormat="1" applyFont="1" applyBorder="1" applyAlignment="1">
      <alignment vertical="center"/>
    </xf>
    <xf numFmtId="43" fontId="10" fillId="0" borderId="0" xfId="39" applyNumberFormat="1" applyFont="1" applyBorder="1" applyAlignment="1">
      <alignment vertical="center"/>
    </xf>
    <xf numFmtId="43" fontId="10" fillId="0" borderId="0" xfId="39" applyNumberFormat="1" applyFont="1" applyBorder="1" applyAlignment="1">
      <alignment horizontal="left" vertical="center"/>
    </xf>
    <xf numFmtId="49" fontId="10" fillId="0" borderId="0" xfId="39" applyNumberFormat="1" applyFont="1" applyBorder="1" applyAlignment="1">
      <alignment vertical="center"/>
    </xf>
    <xf numFmtId="43" fontId="6" fillId="0" borderId="0" xfId="39" applyNumberFormat="1" applyFont="1" applyBorder="1" applyAlignment="1">
      <alignment vertical="center"/>
    </xf>
    <xf numFmtId="0" fontId="6" fillId="0" borderId="0" xfId="36" applyFont="1">
      <alignment vertical="center"/>
    </xf>
    <xf numFmtId="0" fontId="10" fillId="0" borderId="0" xfId="36" applyFont="1">
      <alignment vertical="center"/>
    </xf>
    <xf numFmtId="0" fontId="9" fillId="0" borderId="0" xfId="36" applyFont="1">
      <alignment vertical="center"/>
    </xf>
    <xf numFmtId="0" fontId="7" fillId="0" borderId="0" xfId="36" applyFont="1">
      <alignment vertical="center"/>
    </xf>
    <xf numFmtId="0" fontId="10" fillId="0" borderId="0" xfId="32" applyFont="1" applyAlignment="1">
      <alignment vertical="center"/>
      <protection locked="0"/>
    </xf>
    <xf numFmtId="0" fontId="10" fillId="0" borderId="0" xfId="32" applyFont="1">
      <protection locked="0"/>
    </xf>
    <xf numFmtId="0" fontId="6" fillId="0" borderId="0" xfId="32" applyFont="1">
      <protection locked="0"/>
    </xf>
    <xf numFmtId="0" fontId="10" fillId="0" borderId="3" xfId="32" applyFont="1" applyBorder="1" applyAlignment="1">
      <alignment vertical="center"/>
      <protection locked="0"/>
    </xf>
    <xf numFmtId="0" fontId="7" fillId="0" borderId="0" xfId="32" applyFont="1">
      <protection locked="0"/>
    </xf>
    <xf numFmtId="0" fontId="9" fillId="0" borderId="0" xfId="32" applyFont="1" applyAlignment="1">
      <alignment vertical="center"/>
      <protection locked="0"/>
    </xf>
    <xf numFmtId="0" fontId="10" fillId="0" borderId="0" xfId="32" applyFont="1" applyAlignment="1">
      <alignment horizontal="left" vertical="center"/>
      <protection locked="0"/>
    </xf>
    <xf numFmtId="0" fontId="6" fillId="0" borderId="0" xfId="38" applyFont="1" applyAlignment="1">
      <alignment horizontal="left" vertical="center"/>
    </xf>
    <xf numFmtId="0" fontId="10" fillId="0" borderId="0" xfId="38" applyFont="1" applyAlignment="1" applyProtection="1">
      <alignment vertical="center"/>
      <protection locked="0"/>
    </xf>
    <xf numFmtId="0" fontId="33" fillId="0" borderId="0" xfId="38" applyFont="1" applyAlignment="1" applyProtection="1">
      <alignment horizontal="center" vertical="center"/>
      <protection hidden="1"/>
    </xf>
    <xf numFmtId="0" fontId="10" fillId="0" borderId="0" xfId="38" applyFont="1" applyAlignment="1" applyProtection="1">
      <alignment horizontal="left" vertical="center"/>
      <protection hidden="1"/>
    </xf>
    <xf numFmtId="0" fontId="33" fillId="0" borderId="0" xfId="38" applyFont="1" applyAlignment="1" applyProtection="1">
      <alignment horizontal="left" vertical="center"/>
      <protection locked="0"/>
    </xf>
    <xf numFmtId="0" fontId="10" fillId="0" borderId="3" xfId="32" applyFont="1" applyBorder="1" applyAlignment="1">
      <alignment horizontal="center" vertical="center"/>
      <protection locked="0"/>
    </xf>
    <xf numFmtId="0" fontId="10" fillId="0" borderId="0" xfId="32" applyFont="1" applyAlignment="1">
      <alignment horizontal="center" vertical="center"/>
      <protection locked="0"/>
    </xf>
    <xf numFmtId="0" fontId="6" fillId="0" borderId="0" xfId="32" applyFont="1" applyAlignment="1">
      <alignment vertical="center"/>
      <protection locked="0"/>
    </xf>
    <xf numFmtId="0" fontId="6" fillId="0" borderId="0" xfId="32" applyFont="1" applyAlignment="1">
      <alignment horizontal="left" vertical="center"/>
      <protection locked="0"/>
    </xf>
    <xf numFmtId="0" fontId="33" fillId="0" borderId="0" xfId="32" applyFont="1" applyAlignment="1">
      <alignment vertical="center"/>
      <protection locked="0"/>
    </xf>
    <xf numFmtId="0" fontId="7" fillId="0" borderId="0" xfId="32" applyFont="1" applyAlignment="1">
      <alignment vertical="center"/>
      <protection locked="0"/>
    </xf>
    <xf numFmtId="0" fontId="33" fillId="0" borderId="0" xfId="32" applyFont="1">
      <protection locked="0"/>
    </xf>
    <xf numFmtId="0" fontId="33" fillId="0" borderId="0" xfId="32" applyFont="1" applyAlignment="1">
      <alignment horizontal="right"/>
      <protection locked="0"/>
    </xf>
    <xf numFmtId="0" fontId="34" fillId="0" borderId="0" xfId="0" applyFont="1" applyAlignment="1">
      <alignment horizontal="left" vertical="center"/>
    </xf>
    <xf numFmtId="0" fontId="31" fillId="0" borderId="0" xfId="0" applyFont="1" applyAlignment="1">
      <alignment horizontal="left" vertical="center"/>
    </xf>
    <xf numFmtId="0" fontId="31" fillId="0" borderId="0" xfId="0" applyFont="1" applyAlignment="1">
      <alignment horizontal="center" vertical="center"/>
    </xf>
    <xf numFmtId="0" fontId="31" fillId="0" borderId="2" xfId="0" applyFont="1" applyBorder="1" applyAlignment="1">
      <alignment horizontal="center" vertical="center"/>
    </xf>
    <xf numFmtId="0" fontId="30" fillId="0" borderId="0" xfId="0" applyFont="1">
      <alignment vertical="center"/>
    </xf>
    <xf numFmtId="0" fontId="30" fillId="0" borderId="2" xfId="0" applyFont="1" applyBorder="1" applyAlignment="1">
      <alignment horizontal="center" vertical="center"/>
    </xf>
    <xf numFmtId="0" fontId="30" fillId="0" borderId="0" xfId="0" applyFont="1" applyAlignment="1">
      <alignment horizontal="center" vertical="center"/>
    </xf>
    <xf numFmtId="190" fontId="4" fillId="6" borderId="4" xfId="35" applyFont="1" applyFill="1" applyBorder="1" applyAlignment="1" applyProtection="1">
      <alignment horizontal="center" vertical="center" wrapText="1"/>
      <protection locked="0"/>
    </xf>
    <xf numFmtId="190" fontId="4" fillId="6" borderId="4" xfId="33" applyFont="1" applyFill="1" applyBorder="1" applyAlignment="1">
      <alignment horizontal="center" vertical="center"/>
      <protection locked="0"/>
    </xf>
    <xf numFmtId="190" fontId="28" fillId="6" borderId="4" xfId="33" applyFont="1" applyFill="1" applyBorder="1" applyAlignment="1">
      <alignment horizontal="center" vertical="center" wrapText="1"/>
      <protection locked="0"/>
    </xf>
    <xf numFmtId="43" fontId="10" fillId="0" borderId="3" xfId="39" applyNumberFormat="1" applyFont="1" applyBorder="1" applyAlignment="1">
      <alignment horizontal="left" vertical="center"/>
    </xf>
    <xf numFmtId="43" fontId="38" fillId="0" borderId="3" xfId="41" applyNumberFormat="1" applyFont="1" applyBorder="1" applyAlignment="1" applyProtection="1">
      <alignment horizontal="center" vertical="center"/>
    </xf>
    <xf numFmtId="43" fontId="10" fillId="0" borderId="3" xfId="39" applyNumberFormat="1" applyFont="1" applyBorder="1" applyAlignment="1">
      <alignment vertical="center"/>
    </xf>
    <xf numFmtId="43" fontId="6" fillId="0" borderId="0" xfId="39" applyNumberFormat="1" applyFont="1" applyFill="1" applyBorder="1" applyAlignment="1">
      <alignment vertical="center"/>
    </xf>
    <xf numFmtId="0" fontId="11" fillId="0" borderId="0" xfId="37" applyFont="1" applyAlignment="1">
      <alignment vertical="center"/>
    </xf>
    <xf numFmtId="0" fontId="10" fillId="0" borderId="0" xfId="37" applyFont="1" applyAlignment="1">
      <alignment vertical="center"/>
    </xf>
    <xf numFmtId="9" fontId="39" fillId="0" borderId="0" xfId="31" applyFont="1" applyBorder="1" applyAlignment="1">
      <alignment horizontal="left" vertical="center"/>
    </xf>
    <xf numFmtId="43" fontId="10" fillId="0" borderId="0" xfId="39" applyNumberFormat="1" applyFont="1" applyFill="1" applyBorder="1" applyAlignment="1">
      <alignment vertical="center"/>
    </xf>
    <xf numFmtId="0" fontId="11" fillId="0" borderId="0" xfId="37" applyFont="1" applyAlignment="1">
      <alignment horizontal="left" vertical="center"/>
    </xf>
    <xf numFmtId="0" fontId="10" fillId="0" borderId="0" xfId="37" applyFont="1" applyAlignment="1">
      <alignment horizontal="left" vertical="center"/>
    </xf>
    <xf numFmtId="0" fontId="4" fillId="0" borderId="0" xfId="37" applyFont="1" applyAlignment="1">
      <alignment vertical="center"/>
    </xf>
    <xf numFmtId="0" fontId="31" fillId="0" borderId="0" xfId="32" applyFont="1" applyAlignment="1" applyProtection="1">
      <alignment vertical="center"/>
    </xf>
    <xf numFmtId="0" fontId="40" fillId="0" borderId="0" xfId="32" applyFont="1" applyAlignment="1" applyProtection="1">
      <alignment horizontal="center"/>
    </xf>
    <xf numFmtId="0" fontId="10" fillId="0" borderId="0" xfId="32" applyFont="1" applyAlignment="1">
      <alignment vertical="center" wrapText="1"/>
      <protection locked="0"/>
    </xf>
    <xf numFmtId="0" fontId="10" fillId="0" borderId="0" xfId="32" applyFont="1" applyAlignment="1">
      <alignment horizontal="right" vertical="center"/>
      <protection locked="0"/>
    </xf>
    <xf numFmtId="0" fontId="10" fillId="0" borderId="0" xfId="32" applyFont="1" applyAlignment="1">
      <alignment horizontal="justify" vertical="center" wrapText="1"/>
      <protection locked="0"/>
    </xf>
    <xf numFmtId="0" fontId="6" fillId="0" borderId="0" xfId="32" applyFont="1" applyAlignment="1" applyProtection="1">
      <alignment horizontal="left" vertical="center"/>
    </xf>
    <xf numFmtId="0" fontId="10" fillId="0" borderId="0" xfId="40" applyFont="1">
      <alignment vertical="center"/>
    </xf>
    <xf numFmtId="43" fontId="30" fillId="4" borderId="4" xfId="47" applyFont="1" applyFill="1" applyBorder="1" applyAlignment="1">
      <alignment vertical="center"/>
    </xf>
    <xf numFmtId="0" fontId="10" fillId="0" borderId="3" xfId="32" applyFont="1" applyBorder="1">
      <protection locked="0"/>
    </xf>
    <xf numFmtId="0" fontId="6" fillId="0" borderId="0" xfId="38" applyFont="1" applyAlignment="1">
      <alignment vertical="center"/>
    </xf>
    <xf numFmtId="0" fontId="10" fillId="0" borderId="3" xfId="32" applyFont="1" applyBorder="1" applyAlignment="1">
      <alignment horizontal="left" vertical="center"/>
      <protection locked="0"/>
    </xf>
    <xf numFmtId="0" fontId="48" fillId="0" borderId="4" xfId="0" applyFont="1" applyBorder="1" applyAlignment="1">
      <alignment horizontal="left" vertical="center"/>
    </xf>
    <xf numFmtId="14" fontId="10" fillId="0" borderId="0" xfId="39" applyNumberFormat="1" applyFont="1" applyBorder="1" applyAlignment="1">
      <alignment vertical="center"/>
    </xf>
    <xf numFmtId="14" fontId="10" fillId="0" borderId="0" xfId="32" applyNumberFormat="1" applyFont="1" applyAlignment="1">
      <alignment vertical="center"/>
      <protection locked="0"/>
    </xf>
    <xf numFmtId="0" fontId="31" fillId="0" borderId="4" xfId="0" applyFont="1" applyBorder="1" applyAlignment="1">
      <alignment horizontal="center" vertical="center"/>
    </xf>
    <xf numFmtId="43" fontId="10" fillId="0" borderId="4" xfId="47" applyFont="1" applyFill="1" applyBorder="1" applyAlignment="1">
      <alignment horizontal="right" vertical="center" wrapText="1"/>
    </xf>
    <xf numFmtId="43" fontId="11" fillId="0" borderId="0" xfId="39" applyNumberFormat="1" applyFont="1" applyFill="1" applyBorder="1" applyAlignment="1">
      <alignment vertical="center"/>
    </xf>
    <xf numFmtId="43" fontId="8" fillId="0" borderId="0" xfId="39" applyNumberFormat="1" applyFont="1" applyFill="1" applyBorder="1" applyAlignment="1">
      <alignment vertical="center"/>
    </xf>
    <xf numFmtId="43" fontId="10" fillId="0" borderId="0" xfId="39" applyNumberFormat="1" applyFont="1" applyFill="1" applyBorder="1" applyAlignment="1">
      <alignment horizontal="left" vertical="center"/>
    </xf>
    <xf numFmtId="49" fontId="10" fillId="0" borderId="0" xfId="39" applyNumberFormat="1" applyFont="1" applyFill="1" applyBorder="1" applyAlignment="1">
      <alignment vertical="center"/>
    </xf>
    <xf numFmtId="0" fontId="0" fillId="0" borderId="0" xfId="0" applyAlignment="1" applyProtection="1">
      <protection locked="0"/>
    </xf>
    <xf numFmtId="0" fontId="0" fillId="0" borderId="0" xfId="0" applyProtection="1">
      <alignment vertical="center"/>
      <protection locked="0"/>
    </xf>
    <xf numFmtId="0" fontId="3" fillId="0" borderId="0" xfId="32">
      <protection locked="0"/>
    </xf>
    <xf numFmtId="0" fontId="49" fillId="0" borderId="4" xfId="0" applyFont="1" applyBorder="1">
      <alignment vertical="center"/>
    </xf>
    <xf numFmtId="0" fontId="31" fillId="0" borderId="0" xfId="0" applyFont="1">
      <alignment vertical="center"/>
    </xf>
    <xf numFmtId="0" fontId="6" fillId="0" borderId="3" xfId="38" applyFont="1" applyBorder="1" applyAlignment="1">
      <alignment vertical="center"/>
    </xf>
    <xf numFmtId="0" fontId="6" fillId="0" borderId="3" xfId="32" applyFont="1" applyBorder="1" applyAlignment="1">
      <alignment vertical="center"/>
      <protection locked="0"/>
    </xf>
    <xf numFmtId="0" fontId="45" fillId="0" borderId="0" xfId="32" applyFont="1" applyAlignment="1">
      <alignment vertical="center"/>
      <protection locked="0"/>
    </xf>
    <xf numFmtId="0" fontId="46" fillId="0" borderId="0" xfId="32" applyFont="1" applyAlignment="1">
      <alignment horizontal="left"/>
      <protection locked="0"/>
    </xf>
    <xf numFmtId="0" fontId="9" fillId="0" borderId="0" xfId="0" applyFont="1" applyProtection="1">
      <alignment vertical="center"/>
      <protection locked="0"/>
    </xf>
    <xf numFmtId="0" fontId="47" fillId="0" borderId="2" xfId="41" applyFont="1" applyBorder="1" applyAlignment="1" applyProtection="1">
      <alignment vertical="center"/>
    </xf>
    <xf numFmtId="0" fontId="47" fillId="0" borderId="2" xfId="41" quotePrefix="1" applyFont="1" applyBorder="1" applyAlignment="1" applyProtection="1">
      <alignment vertical="center"/>
    </xf>
    <xf numFmtId="0" fontId="6" fillId="7" borderId="0" xfId="32" applyFont="1" applyFill="1" applyAlignment="1">
      <alignment vertical="center"/>
      <protection locked="0"/>
    </xf>
    <xf numFmtId="0" fontId="10" fillId="7" borderId="0" xfId="32" applyFont="1" applyFill="1" applyAlignment="1">
      <alignment vertical="center"/>
      <protection locked="0"/>
    </xf>
    <xf numFmtId="49" fontId="10" fillId="0" borderId="0" xfId="40" applyNumberFormat="1" applyFont="1" applyAlignment="1">
      <alignment horizontal="left" vertical="center"/>
    </xf>
    <xf numFmtId="0" fontId="10" fillId="0" borderId="13" xfId="40" applyFont="1" applyBorder="1">
      <alignment vertical="center"/>
    </xf>
    <xf numFmtId="0" fontId="57" fillId="0" borderId="0" xfId="32" applyFont="1" applyAlignment="1">
      <alignment vertical="center"/>
      <protection locked="0"/>
    </xf>
    <xf numFmtId="0" fontId="58" fillId="0" borderId="0" xfId="40" applyFont="1">
      <alignment vertical="center"/>
    </xf>
    <xf numFmtId="0" fontId="3" fillId="0" borderId="0" xfId="49">
      <protection locked="0"/>
    </xf>
    <xf numFmtId="43" fontId="43" fillId="0" borderId="0" xfId="39" applyNumberFormat="1" applyFont="1" applyFill="1" applyBorder="1" applyAlignment="1">
      <alignment vertical="center"/>
    </xf>
    <xf numFmtId="14" fontId="30" fillId="0" borderId="0" xfId="50" applyNumberFormat="1" applyFont="1">
      <alignment vertical="center"/>
    </xf>
    <xf numFmtId="190" fontId="61" fillId="0" borderId="0" xfId="51" applyFont="1">
      <alignment vertical="center"/>
    </xf>
    <xf numFmtId="0" fontId="28" fillId="6" borderId="4" xfId="49" applyFont="1" applyFill="1" applyBorder="1" applyAlignment="1" applyProtection="1">
      <alignment vertical="center"/>
    </xf>
    <xf numFmtId="190" fontId="4" fillId="6" borderId="4" xfId="52" applyFont="1" applyFill="1" applyBorder="1" applyAlignment="1" applyProtection="1">
      <alignment horizontal="center" vertical="center" wrapText="1"/>
      <protection locked="0"/>
    </xf>
    <xf numFmtId="190" fontId="62" fillId="6" borderId="4" xfId="52" applyFont="1" applyFill="1" applyBorder="1" applyAlignment="1" applyProtection="1">
      <alignment horizontal="center" vertical="center" wrapText="1"/>
      <protection locked="0"/>
    </xf>
    <xf numFmtId="43" fontId="30" fillId="0" borderId="4" xfId="47" applyFont="1" applyFill="1" applyBorder="1" applyAlignment="1">
      <alignment horizontal="right" vertical="center"/>
    </xf>
    <xf numFmtId="0" fontId="10" fillId="0" borderId="4" xfId="0" applyFont="1" applyBorder="1">
      <alignment vertical="center"/>
    </xf>
    <xf numFmtId="0" fontId="65" fillId="0" borderId="0" xfId="0" applyFont="1" applyProtection="1">
      <alignment vertical="center"/>
      <protection locked="0"/>
    </xf>
    <xf numFmtId="0" fontId="66" fillId="0" borderId="6" xfId="0" applyFont="1" applyBorder="1" applyAlignment="1" applyProtection="1">
      <alignment horizontal="justify" vertical="center" wrapText="1"/>
      <protection locked="0"/>
    </xf>
    <xf numFmtId="0" fontId="65" fillId="0" borderId="0" xfId="0" applyFont="1" applyAlignment="1" applyProtection="1">
      <alignment horizontal="justify" vertical="center" wrapText="1"/>
      <protection locked="0"/>
    </xf>
    <xf numFmtId="0" fontId="65" fillId="0" borderId="0" xfId="0" applyFont="1" applyAlignment="1" applyProtection="1">
      <alignment horizontal="justify" vertical="center"/>
      <protection locked="0"/>
    </xf>
    <xf numFmtId="0" fontId="68" fillId="0" borderId="6" xfId="0" applyFont="1" applyBorder="1" applyAlignment="1">
      <alignment horizontal="right" vertical="center" wrapText="1"/>
    </xf>
    <xf numFmtId="0" fontId="67" fillId="0" borderId="0" xfId="0" applyFont="1" applyProtection="1">
      <alignment vertical="center"/>
      <protection locked="0"/>
    </xf>
    <xf numFmtId="0" fontId="67" fillId="0" borderId="0" xfId="0" applyFont="1" applyAlignment="1" applyProtection="1">
      <alignment vertical="center" wrapText="1"/>
      <protection locked="0"/>
    </xf>
    <xf numFmtId="0" fontId="65" fillId="0" borderId="0" xfId="0" applyFont="1" applyAlignment="1">
      <alignment horizontal="left" vertical="center"/>
    </xf>
    <xf numFmtId="0" fontId="65" fillId="0" borderId="7" xfId="0" applyFont="1" applyBorder="1" applyAlignment="1" applyProtection="1">
      <alignment horizontal="justify" vertical="center" wrapText="1"/>
      <protection locked="0"/>
    </xf>
    <xf numFmtId="0" fontId="66" fillId="0" borderId="7" xfId="0" applyFont="1" applyBorder="1" applyAlignment="1" applyProtection="1">
      <alignment horizontal="justify" vertical="center" wrapText="1"/>
      <protection locked="0"/>
    </xf>
    <xf numFmtId="0" fontId="65" fillId="0" borderId="0" xfId="0" applyFont="1">
      <alignment vertical="center"/>
    </xf>
    <xf numFmtId="0" fontId="66" fillId="0" borderId="6" xfId="0" applyFont="1" applyBorder="1" applyAlignment="1">
      <alignment horizontal="left" vertical="center" wrapText="1"/>
    </xf>
    <xf numFmtId="0" fontId="66" fillId="0" borderId="6" xfId="0" applyFont="1" applyBorder="1" applyAlignment="1">
      <alignment horizontal="right" vertical="center" wrapText="1"/>
    </xf>
    <xf numFmtId="0" fontId="65" fillId="0" borderId="0" xfId="0" applyFont="1" applyAlignment="1">
      <alignment horizontal="left" vertical="center" wrapText="1"/>
    </xf>
    <xf numFmtId="0" fontId="65" fillId="0" borderId="7" xfId="0" applyFont="1" applyBorder="1" applyAlignment="1">
      <alignment horizontal="left" vertical="center" wrapText="1"/>
    </xf>
    <xf numFmtId="0" fontId="66" fillId="0" borderId="7" xfId="0" applyFont="1" applyBorder="1" applyAlignment="1">
      <alignment horizontal="left" vertical="center" wrapText="1"/>
    </xf>
    <xf numFmtId="43" fontId="10" fillId="0" borderId="0" xfId="0" applyNumberFormat="1" applyFont="1" applyAlignment="1" applyProtection="1">
      <alignment horizontal="right" vertical="center" wrapText="1"/>
      <protection locked="0"/>
    </xf>
    <xf numFmtId="43" fontId="6" fillId="0" borderId="6" xfId="47" applyFont="1" applyFill="1" applyBorder="1" applyAlignment="1" applyProtection="1">
      <alignment horizontal="right" vertical="center" wrapText="1" shrinkToFit="1"/>
      <protection locked="0"/>
    </xf>
    <xf numFmtId="0" fontId="10" fillId="0" borderId="0" xfId="0" applyFont="1" applyAlignment="1" applyProtection="1">
      <alignment horizontal="right" vertical="center" wrapText="1"/>
      <protection locked="0"/>
    </xf>
    <xf numFmtId="0" fontId="10" fillId="0" borderId="7" xfId="0" applyFont="1" applyBorder="1" applyAlignment="1" applyProtection="1">
      <alignment horizontal="right" vertical="center" wrapText="1"/>
      <protection locked="0"/>
    </xf>
    <xf numFmtId="0" fontId="10" fillId="0" borderId="0" xfId="0" applyFont="1" applyAlignment="1">
      <alignment horizontal="right" vertical="center" wrapText="1"/>
    </xf>
    <xf numFmtId="43" fontId="10" fillId="0" borderId="0" xfId="47" applyFont="1" applyAlignment="1">
      <alignment horizontal="right" vertical="center" wrapText="1"/>
    </xf>
    <xf numFmtId="0" fontId="10" fillId="0" borderId="7" xfId="0" applyFont="1" applyBorder="1" applyAlignment="1">
      <alignment horizontal="right" vertical="center" wrapText="1"/>
    </xf>
    <xf numFmtId="43" fontId="6" fillId="0" borderId="7" xfId="47" applyFont="1" applyBorder="1" applyAlignment="1">
      <alignment horizontal="right" vertical="center" wrapText="1"/>
    </xf>
    <xf numFmtId="43" fontId="6" fillId="0" borderId="6" xfId="47" applyFont="1" applyBorder="1" applyAlignment="1">
      <alignment horizontal="right" vertical="center" wrapText="1"/>
    </xf>
    <xf numFmtId="43" fontId="10" fillId="0" borderId="8" xfId="47" applyFont="1" applyBorder="1" applyAlignment="1">
      <alignment horizontal="right" vertical="center" wrapText="1"/>
    </xf>
    <xf numFmtId="43" fontId="10" fillId="0" borderId="7" xfId="47" applyFont="1" applyBorder="1" applyAlignment="1">
      <alignment horizontal="right" vertical="center" wrapText="1"/>
    </xf>
    <xf numFmtId="0" fontId="6" fillId="0" borderId="7" xfId="0" applyFont="1" applyBorder="1" applyAlignment="1">
      <alignment horizontal="right" vertical="center" wrapText="1"/>
    </xf>
    <xf numFmtId="43" fontId="69" fillId="0" borderId="7" xfId="47" applyFont="1" applyBorder="1" applyAlignment="1" applyProtection="1">
      <alignment horizontal="right" vertical="center" wrapText="1"/>
      <protection locked="0"/>
    </xf>
    <xf numFmtId="43" fontId="6" fillId="0" borderId="7" xfId="47" applyFont="1" applyBorder="1" applyAlignment="1" applyProtection="1">
      <alignment horizontal="right" vertical="center" wrapText="1"/>
      <protection locked="0"/>
    </xf>
    <xf numFmtId="0" fontId="66" fillId="0" borderId="6" xfId="0" applyFont="1" applyBorder="1" applyAlignment="1" applyProtection="1">
      <alignment horizontal="center" vertical="center" wrapText="1"/>
      <protection locked="0"/>
    </xf>
    <xf numFmtId="0" fontId="66" fillId="8" borderId="6" xfId="0" applyFont="1" applyFill="1" applyBorder="1" applyAlignment="1" applyProtection="1">
      <alignment horizontal="center" vertical="center" wrapText="1"/>
      <protection locked="0"/>
    </xf>
    <xf numFmtId="0" fontId="10" fillId="8" borderId="0" xfId="0" applyFont="1" applyFill="1" applyAlignment="1" applyProtection="1">
      <alignment horizontal="right" vertical="center" wrapText="1"/>
      <protection locked="0"/>
    </xf>
    <xf numFmtId="0" fontId="10" fillId="8" borderId="7" xfId="0" applyFont="1" applyFill="1" applyBorder="1" applyAlignment="1" applyProtection="1">
      <alignment horizontal="right" vertical="center" wrapText="1"/>
      <protection locked="0"/>
    </xf>
    <xf numFmtId="43" fontId="69" fillId="8" borderId="7" xfId="47" applyFont="1" applyFill="1" applyBorder="1" applyAlignment="1" applyProtection="1">
      <alignment horizontal="right" vertical="center" wrapText="1"/>
      <protection locked="0"/>
    </xf>
    <xf numFmtId="0" fontId="66" fillId="0" borderId="6" xfId="0" applyFont="1" applyBorder="1" applyAlignment="1">
      <alignment horizontal="center" vertical="center" wrapText="1"/>
    </xf>
    <xf numFmtId="0" fontId="66" fillId="8" borderId="6" xfId="0" applyFont="1" applyFill="1" applyBorder="1" applyAlignment="1">
      <alignment horizontal="center" vertical="center" wrapText="1"/>
    </xf>
    <xf numFmtId="43" fontId="10" fillId="8" borderId="0" xfId="47" applyFont="1" applyFill="1" applyAlignment="1">
      <alignment horizontal="right" vertical="center" wrapText="1"/>
    </xf>
    <xf numFmtId="43" fontId="6" fillId="8" borderId="6" xfId="47" applyFont="1" applyFill="1" applyBorder="1" applyAlignment="1">
      <alignment horizontal="right" vertical="center" wrapText="1"/>
    </xf>
    <xf numFmtId="43" fontId="11" fillId="0" borderId="0" xfId="39" applyNumberFormat="1" applyFont="1" applyBorder="1" applyAlignment="1">
      <alignment horizontal="right" vertical="center"/>
    </xf>
    <xf numFmtId="49" fontId="10" fillId="0" borderId="0" xfId="39" applyNumberFormat="1" applyFont="1" applyBorder="1" applyAlignment="1">
      <alignment horizontal="left" vertical="center"/>
    </xf>
    <xf numFmtId="43" fontId="30" fillId="9" borderId="4" xfId="47" applyFont="1" applyFill="1" applyBorder="1" applyAlignment="1">
      <alignment horizontal="right" vertical="center"/>
    </xf>
    <xf numFmtId="43" fontId="10" fillId="9" borderId="4" xfId="47" applyFont="1" applyFill="1" applyBorder="1" applyAlignment="1">
      <alignment horizontal="right" vertical="center" wrapText="1"/>
    </xf>
    <xf numFmtId="10" fontId="10" fillId="9" borderId="4" xfId="31" applyNumberFormat="1" applyFont="1" applyFill="1" applyBorder="1" applyAlignment="1">
      <alignment horizontal="right" vertical="center" wrapText="1"/>
    </xf>
    <xf numFmtId="43" fontId="10" fillId="0" borderId="0" xfId="39" applyNumberFormat="1" applyFont="1" applyFill="1" applyBorder="1" applyAlignment="1">
      <alignment horizontal="right" vertical="center"/>
    </xf>
    <xf numFmtId="43" fontId="64" fillId="0" borderId="0" xfId="39" applyNumberFormat="1" applyFont="1" applyFill="1" applyBorder="1" applyAlignment="1">
      <alignment horizontal="left" vertical="center"/>
    </xf>
    <xf numFmtId="0" fontId="11" fillId="0" borderId="0" xfId="32" applyFont="1" applyAlignment="1">
      <alignment horizontal="left" vertical="center"/>
      <protection locked="0"/>
    </xf>
    <xf numFmtId="43" fontId="37" fillId="9" borderId="4" xfId="35" applyNumberFormat="1" applyFont="1" applyFill="1" applyBorder="1" applyAlignment="1">
      <alignment horizontal="right" vertical="center" shrinkToFit="1"/>
    </xf>
    <xf numFmtId="0" fontId="28" fillId="6" borderId="4" xfId="49" applyFont="1" applyFill="1" applyBorder="1" applyAlignment="1" applyProtection="1">
      <alignment vertical="center" wrapText="1"/>
    </xf>
    <xf numFmtId="0" fontId="11" fillId="0" borderId="4" xfId="49" applyFont="1" applyBorder="1" applyAlignment="1">
      <alignment horizontal="center" vertical="center" wrapText="1"/>
      <protection locked="0"/>
    </xf>
    <xf numFmtId="0" fontId="6" fillId="0" borderId="0" xfId="32" applyFont="1" applyBorder="1" applyAlignment="1">
      <alignment horizontal="justify" vertical="center"/>
      <protection locked="0"/>
    </xf>
    <xf numFmtId="0" fontId="10" fillId="0" borderId="0" xfId="32" applyFont="1" applyBorder="1" applyAlignment="1">
      <alignment vertical="center"/>
      <protection locked="0"/>
    </xf>
    <xf numFmtId="0" fontId="4" fillId="6" borderId="4" xfId="50" applyFont="1" applyFill="1" applyBorder="1" applyAlignment="1" applyProtection="1">
      <alignment horizontal="center" vertical="center"/>
      <protection locked="0"/>
    </xf>
    <xf numFmtId="0" fontId="4" fillId="6" borderId="4" xfId="50" applyFont="1" applyFill="1" applyBorder="1" applyAlignment="1" applyProtection="1">
      <alignment horizontal="center" vertical="center" wrapText="1"/>
      <protection locked="0"/>
    </xf>
    <xf numFmtId="0" fontId="10" fillId="0" borderId="4" xfId="32" applyFont="1" applyFill="1" applyBorder="1" applyAlignment="1">
      <alignment horizontal="center" vertical="center" wrapText="1"/>
      <protection locked="0"/>
    </xf>
    <xf numFmtId="0" fontId="10" fillId="0" borderId="4" xfId="32" applyFont="1" applyFill="1" applyBorder="1" applyAlignment="1">
      <alignment vertical="center" wrapText="1"/>
      <protection locked="0"/>
    </xf>
    <xf numFmtId="49" fontId="10" fillId="0" borderId="4" xfId="40" applyNumberFormat="1" applyFont="1" applyFill="1" applyBorder="1" applyAlignment="1">
      <alignment horizontal="center" vertical="center"/>
    </xf>
    <xf numFmtId="0" fontId="10" fillId="0" borderId="5" xfId="32" applyFont="1" applyFill="1" applyBorder="1" applyAlignment="1">
      <alignment horizontal="center" vertical="center" wrapText="1"/>
      <protection locked="0"/>
    </xf>
    <xf numFmtId="0" fontId="19" fillId="0" borderId="5" xfId="48" applyFont="1" applyFill="1" applyBorder="1" applyAlignment="1" applyProtection="1">
      <alignment vertical="center" wrapText="1"/>
      <protection locked="0"/>
    </xf>
    <xf numFmtId="0" fontId="11" fillId="0" borderId="4" xfId="50" applyFont="1" applyFill="1" applyBorder="1" applyAlignment="1" applyProtection="1">
      <alignment horizontal="center" vertical="center"/>
      <protection locked="0"/>
    </xf>
    <xf numFmtId="0" fontId="10" fillId="0" borderId="4" xfId="49" applyFont="1" applyFill="1" applyBorder="1" applyAlignment="1">
      <alignment horizontal="left" vertical="center" wrapText="1"/>
      <protection locked="0"/>
    </xf>
    <xf numFmtId="0" fontId="11" fillId="0" borderId="4" xfId="49" applyFont="1" applyFill="1" applyBorder="1" applyAlignment="1">
      <alignment horizontal="left" vertical="center" wrapText="1"/>
      <protection locked="0"/>
    </xf>
    <xf numFmtId="0" fontId="64" fillId="0" borderId="4" xfId="50" applyFont="1" applyFill="1" applyBorder="1" applyAlignment="1">
      <alignment horizontal="center" vertical="center" wrapText="1"/>
    </xf>
    <xf numFmtId="0" fontId="56" fillId="0" borderId="4" xfId="50" applyFont="1" applyFill="1" applyBorder="1" applyAlignment="1">
      <alignment horizontal="center" vertical="center" wrapText="1"/>
    </xf>
    <xf numFmtId="0" fontId="64" fillId="0" borderId="5" xfId="48" applyFont="1" applyFill="1" applyBorder="1" applyAlignment="1">
      <alignment horizontal="center" vertical="center" wrapText="1"/>
    </xf>
    <xf numFmtId="0" fontId="10" fillId="0" borderId="5" xfId="49" applyFont="1" applyFill="1" applyBorder="1" applyAlignment="1">
      <alignment horizontal="center" vertical="center" wrapText="1" shrinkToFit="1"/>
      <protection locked="0"/>
    </xf>
    <xf numFmtId="0" fontId="70" fillId="0" borderId="4" xfId="50" applyFont="1" applyFill="1" applyBorder="1" applyAlignment="1">
      <alignment horizontal="center" vertical="center" wrapText="1"/>
    </xf>
    <xf numFmtId="0" fontId="4" fillId="0" borderId="4" xfId="50" applyFont="1" applyFill="1" applyBorder="1" applyAlignment="1" applyProtection="1">
      <alignment horizontal="center" vertical="center"/>
      <protection locked="0"/>
    </xf>
    <xf numFmtId="0" fontId="10" fillId="0" borderId="4" xfId="49" applyFont="1" applyBorder="1" applyAlignment="1">
      <alignment horizontal="center" vertical="center" wrapText="1"/>
      <protection locked="0"/>
    </xf>
    <xf numFmtId="0" fontId="10" fillId="0" borderId="0" xfId="55" applyFont="1" applyAlignment="1">
      <alignment vertical="center"/>
      <protection locked="0"/>
    </xf>
    <xf numFmtId="0" fontId="65" fillId="0" borderId="0" xfId="0" applyFont="1" applyAlignment="1" applyProtection="1">
      <alignment horizontal="left" vertical="center"/>
    </xf>
    <xf numFmtId="0" fontId="10" fillId="0" borderId="0" xfId="0" applyFont="1" applyAlignment="1" applyProtection="1">
      <alignment vertical="center"/>
      <protection locked="0"/>
    </xf>
    <xf numFmtId="0" fontId="10" fillId="0" borderId="0" xfId="55" applyFont="1">
      <protection locked="0"/>
    </xf>
    <xf numFmtId="0" fontId="30" fillId="0" borderId="4" xfId="49" applyFont="1" applyBorder="1" applyAlignment="1" applyProtection="1">
      <alignment vertical="center"/>
    </xf>
    <xf numFmtId="190" fontId="4" fillId="0" borderId="0" xfId="56" applyFont="1" applyAlignment="1">
      <alignment vertical="center"/>
    </xf>
    <xf numFmtId="190" fontId="4" fillId="0" borderId="0" xfId="56" applyFont="1" applyAlignment="1">
      <alignment vertical="center" wrapText="1"/>
    </xf>
    <xf numFmtId="190" fontId="10" fillId="0" borderId="0" xfId="56" applyFont="1" applyAlignment="1">
      <alignment horizontal="left" vertical="center"/>
    </xf>
    <xf numFmtId="190" fontId="4" fillId="0" borderId="0" xfId="56" applyFont="1" applyAlignment="1">
      <alignment horizontal="left" vertical="center" wrapText="1"/>
    </xf>
    <xf numFmtId="190" fontId="11" fillId="0" borderId="0" xfId="56" applyFont="1" applyAlignment="1">
      <alignment horizontal="left" vertical="center"/>
    </xf>
    <xf numFmtId="190" fontId="73" fillId="0" borderId="0" xfId="56" applyFont="1" applyAlignment="1">
      <alignment horizontal="left" vertical="center"/>
    </xf>
    <xf numFmtId="190" fontId="3" fillId="0" borderId="0" xfId="57">
      <protection locked="0"/>
    </xf>
    <xf numFmtId="190" fontId="74" fillId="0" borderId="0" xfId="56" applyFont="1" applyAlignment="1">
      <alignment horizontal="left" vertical="center"/>
    </xf>
    <xf numFmtId="0" fontId="6" fillId="0" borderId="0" xfId="37" applyFont="1" applyAlignment="1">
      <alignment vertical="center"/>
    </xf>
    <xf numFmtId="0" fontId="10" fillId="5" borderId="0" xfId="0" applyFont="1" applyFill="1" applyBorder="1" applyAlignment="1" applyProtection="1">
      <alignment horizontal="justify" vertical="center" wrapText="1"/>
      <protection locked="0"/>
    </xf>
    <xf numFmtId="190" fontId="10" fillId="0" borderId="4" xfId="57" applyFont="1" applyBorder="1" applyAlignment="1">
      <alignment vertical="center"/>
      <protection locked="0"/>
    </xf>
    <xf numFmtId="190" fontId="30" fillId="0" borderId="4" xfId="59" applyFont="1" applyFill="1" applyBorder="1" applyAlignment="1" applyProtection="1">
      <alignment vertical="center"/>
    </xf>
    <xf numFmtId="43" fontId="30" fillId="0" borderId="4" xfId="47" applyFont="1" applyFill="1" applyBorder="1" applyAlignment="1" applyProtection="1">
      <alignment vertical="center"/>
    </xf>
    <xf numFmtId="190" fontId="30" fillId="0" borderId="4" xfId="59" applyFont="1" applyFill="1" applyBorder="1" applyAlignment="1" applyProtection="1">
      <alignment horizontal="center" vertical="center"/>
    </xf>
    <xf numFmtId="0" fontId="11" fillId="0" borderId="0" xfId="0" applyFont="1" applyAlignment="1" applyProtection="1">
      <alignment vertical="center"/>
      <protection locked="0"/>
    </xf>
    <xf numFmtId="0" fontId="30" fillId="0" borderId="0" xfId="0" applyFont="1" applyAlignment="1">
      <alignment vertical="center"/>
    </xf>
    <xf numFmtId="0" fontId="30" fillId="0" borderId="2" xfId="0" applyFont="1" applyBorder="1" applyAlignment="1">
      <alignment vertical="center"/>
    </xf>
    <xf numFmtId="0" fontId="31" fillId="0" borderId="2" xfId="0" applyFont="1" applyBorder="1" applyAlignment="1">
      <alignment vertical="center"/>
    </xf>
    <xf numFmtId="0" fontId="63" fillId="0" borderId="2" xfId="0" applyFont="1" applyBorder="1" applyAlignment="1">
      <alignment vertical="center"/>
    </xf>
    <xf numFmtId="0" fontId="75" fillId="7" borderId="0" xfId="50" applyFont="1" applyFill="1" applyAlignment="1" applyProtection="1">
      <alignment horizontal="left" vertical="top" wrapText="1"/>
      <protection locked="0"/>
    </xf>
    <xf numFmtId="190" fontId="10" fillId="0" borderId="4" xfId="57" applyFont="1" applyBorder="1" applyAlignment="1">
      <alignment horizontal="center" vertical="center" wrapText="1"/>
      <protection locked="0"/>
    </xf>
    <xf numFmtId="0" fontId="31" fillId="6" borderId="4" xfId="0" applyFont="1" applyFill="1" applyBorder="1" applyAlignment="1">
      <alignment horizontal="center" vertical="center"/>
    </xf>
    <xf numFmtId="0" fontId="49" fillId="0" borderId="0" xfId="32" applyFont="1" applyAlignment="1">
      <alignment horizontal="left" vertical="center"/>
      <protection locked="0"/>
    </xf>
    <xf numFmtId="190" fontId="4" fillId="6" borderId="4" xfId="57" applyFont="1" applyFill="1" applyBorder="1" applyAlignment="1">
      <alignment horizontal="center" vertical="center"/>
      <protection locked="0"/>
    </xf>
    <xf numFmtId="14" fontId="10" fillId="0" borderId="4" xfId="57" applyNumberFormat="1" applyFont="1" applyBorder="1" applyAlignment="1">
      <alignment horizontal="center" vertical="center"/>
      <protection locked="0"/>
    </xf>
    <xf numFmtId="49" fontId="10" fillId="0" borderId="4" xfId="57" applyNumberFormat="1" applyFont="1" applyBorder="1" applyAlignment="1">
      <alignment horizontal="center" vertical="center"/>
      <protection locked="0"/>
    </xf>
    <xf numFmtId="43" fontId="10" fillId="0" borderId="4" xfId="60" applyFont="1" applyBorder="1" applyAlignment="1" applyProtection="1">
      <alignment vertical="center"/>
      <protection locked="0"/>
    </xf>
    <xf numFmtId="49" fontId="10" fillId="0" borderId="4" xfId="57" applyNumberFormat="1" applyFont="1" applyBorder="1" applyAlignment="1">
      <alignment vertical="center"/>
      <protection locked="0"/>
    </xf>
    <xf numFmtId="190" fontId="11" fillId="6" borderId="4" xfId="57" applyFont="1" applyFill="1" applyBorder="1" applyAlignment="1">
      <alignment vertical="center"/>
      <protection locked="0"/>
    </xf>
    <xf numFmtId="43" fontId="6" fillId="6" borderId="4" xfId="60" applyFont="1" applyFill="1" applyBorder="1" applyAlignment="1" applyProtection="1">
      <alignment vertical="center"/>
      <protection locked="0"/>
    </xf>
    <xf numFmtId="190" fontId="4" fillId="6" borderId="4" xfId="57" applyFont="1" applyFill="1" applyBorder="1" applyAlignment="1">
      <alignment vertical="center"/>
      <protection locked="0"/>
    </xf>
    <xf numFmtId="43" fontId="48" fillId="0" borderId="4" xfId="47" applyFont="1" applyBorder="1" applyAlignment="1">
      <alignment horizontal="left" vertical="center"/>
    </xf>
    <xf numFmtId="0" fontId="10" fillId="0" borderId="0" xfId="0" applyFont="1" applyAlignment="1">
      <alignment horizontal="left" vertical="center"/>
    </xf>
    <xf numFmtId="0" fontId="73" fillId="0" borderId="0" xfId="0" applyFont="1" applyProtection="1">
      <alignment vertical="center"/>
      <protection locked="0"/>
    </xf>
    <xf numFmtId="0" fontId="10" fillId="0" borderId="0" xfId="0" applyFont="1" applyAlignment="1" applyProtection="1">
      <alignment horizontal="left" vertical="center"/>
      <protection locked="0"/>
    </xf>
    <xf numFmtId="0" fontId="10" fillId="0" borderId="0" xfId="0" applyFont="1" applyProtection="1">
      <alignment vertical="center"/>
      <protection locked="0"/>
    </xf>
    <xf numFmtId="0" fontId="64" fillId="0" borderId="0" xfId="0" applyFont="1" applyProtection="1">
      <alignment vertical="center"/>
      <protection locked="0"/>
    </xf>
    <xf numFmtId="0" fontId="64" fillId="0" borderId="0" xfId="0" applyFont="1" applyAlignment="1" applyProtection="1">
      <protection locked="0"/>
    </xf>
    <xf numFmtId="0" fontId="6" fillId="0" borderId="6" xfId="0" applyFont="1" applyBorder="1" applyAlignment="1" applyProtection="1">
      <alignment horizontal="justify" vertical="center" wrapText="1"/>
      <protection locked="0"/>
    </xf>
    <xf numFmtId="0" fontId="6" fillId="0" borderId="6" xfId="0" applyFont="1" applyBorder="1" applyAlignment="1" applyProtection="1">
      <alignment horizontal="right" vertical="center" wrapText="1"/>
      <protection locked="0"/>
    </xf>
    <xf numFmtId="0" fontId="10" fillId="0" borderId="0" xfId="0" applyFont="1" applyAlignment="1" applyProtection="1">
      <alignment horizontal="justify" vertical="center" wrapText="1"/>
      <protection locked="0"/>
    </xf>
    <xf numFmtId="43" fontId="73" fillId="0" borderId="0" xfId="0" applyNumberFormat="1" applyFont="1">
      <alignment vertical="center"/>
    </xf>
    <xf numFmtId="43" fontId="10" fillId="0" borderId="0" xfId="47" applyFont="1" applyAlignment="1" applyProtection="1">
      <alignment horizontal="justify" vertical="center" wrapText="1"/>
      <protection locked="0"/>
    </xf>
    <xf numFmtId="190" fontId="66" fillId="6" borderId="4" xfId="35" applyFont="1" applyFill="1" applyBorder="1" applyAlignment="1" applyProtection="1">
      <alignment horizontal="center" vertical="center"/>
      <protection locked="0"/>
    </xf>
    <xf numFmtId="190" fontId="81" fillId="6" borderId="4" xfId="35" applyFont="1" applyFill="1" applyBorder="1" applyAlignment="1" applyProtection="1">
      <alignment horizontal="center" vertical="center"/>
      <protection locked="0"/>
    </xf>
    <xf numFmtId="190" fontId="81" fillId="6" borderId="5" xfId="35" applyFont="1" applyFill="1" applyBorder="1" applyAlignment="1" applyProtection="1">
      <alignment horizontal="center" vertical="center"/>
      <protection locked="0"/>
    </xf>
    <xf numFmtId="0" fontId="74" fillId="0" borderId="0" xfId="32" applyFont="1">
      <protection locked="0"/>
    </xf>
    <xf numFmtId="0" fontId="73" fillId="0" borderId="0" xfId="32" applyFont="1">
      <protection locked="0"/>
    </xf>
    <xf numFmtId="0" fontId="34" fillId="0" borderId="0" xfId="0" applyFont="1" applyAlignment="1">
      <alignment horizontal="center" vertical="center"/>
    </xf>
    <xf numFmtId="0" fontId="10" fillId="0" borderId="4" xfId="49" applyFont="1" applyFill="1" applyBorder="1" applyAlignment="1">
      <alignment horizontal="left" vertical="center" wrapText="1"/>
      <protection locked="0"/>
    </xf>
    <xf numFmtId="0" fontId="28" fillId="6" borderId="4" xfId="0" applyFont="1" applyFill="1" applyBorder="1" applyAlignment="1">
      <alignment horizontal="center" vertical="center"/>
    </xf>
    <xf numFmtId="0" fontId="49" fillId="0" borderId="0" xfId="0" applyFont="1" applyFill="1" applyBorder="1" applyAlignment="1" applyProtection="1">
      <alignment horizontal="left" vertical="center"/>
      <protection locked="0"/>
    </xf>
    <xf numFmtId="0" fontId="4" fillId="0" borderId="0" xfId="0" applyFont="1" applyFill="1" applyBorder="1" applyAlignment="1" applyProtection="1">
      <alignment vertical="center"/>
      <protection locked="0"/>
    </xf>
    <xf numFmtId="0" fontId="10" fillId="0" borderId="0" xfId="50" applyFont="1" applyFill="1" applyBorder="1" applyAlignment="1" applyProtection="1">
      <alignment vertical="center"/>
      <protection locked="0"/>
    </xf>
    <xf numFmtId="0" fontId="10" fillId="0" borderId="0" xfId="50" applyFont="1" applyFill="1" applyAlignment="1" applyProtection="1">
      <alignment vertical="center"/>
      <protection locked="0"/>
    </xf>
    <xf numFmtId="49" fontId="4" fillId="0" borderId="0" xfId="50" applyNumberFormat="1" applyFont="1" applyFill="1" applyAlignment="1" applyProtection="1">
      <alignment horizontal="left" vertical="center"/>
      <protection locked="0"/>
    </xf>
    <xf numFmtId="0" fontId="6" fillId="0" borderId="0" xfId="50" applyFont="1" applyFill="1" applyAlignment="1" applyProtection="1">
      <alignment horizontal="justify" vertical="center"/>
      <protection locked="0"/>
    </xf>
    <xf numFmtId="0" fontId="11" fillId="0" borderId="0" xfId="32" applyFont="1" applyAlignment="1">
      <alignment horizontal="right" vertical="center"/>
      <protection locked="0"/>
    </xf>
    <xf numFmtId="0" fontId="71" fillId="0" borderId="14" xfId="32" applyFont="1" applyBorder="1" applyAlignment="1">
      <alignment horizontal="left" vertical="center" wrapText="1"/>
      <protection locked="0"/>
    </xf>
    <xf numFmtId="0" fontId="49" fillId="0" borderId="0" xfId="32" applyFont="1" applyAlignment="1">
      <alignment vertical="center"/>
      <protection locked="0"/>
    </xf>
    <xf numFmtId="190" fontId="11" fillId="0" borderId="4" xfId="57" applyFont="1" applyBorder="1" applyAlignment="1">
      <alignment horizontal="left" vertical="center" wrapText="1"/>
      <protection locked="0"/>
    </xf>
    <xf numFmtId="43" fontId="30" fillId="6" borderId="4" xfId="47" applyFont="1" applyFill="1" applyBorder="1" applyAlignment="1">
      <alignment horizontal="right" vertical="center"/>
    </xf>
    <xf numFmtId="0" fontId="81" fillId="6" borderId="4" xfId="0" applyFont="1" applyFill="1" applyBorder="1" applyAlignment="1">
      <alignment horizontal="center" vertical="center"/>
    </xf>
    <xf numFmtId="43" fontId="30" fillId="6" borderId="4" xfId="47" applyFont="1" applyFill="1" applyBorder="1" applyAlignment="1">
      <alignment vertical="center"/>
    </xf>
    <xf numFmtId="0" fontId="6" fillId="6" borderId="4" xfId="0" applyFont="1" applyFill="1" applyBorder="1" applyAlignment="1" applyProtection="1">
      <alignment horizontal="center" vertical="center"/>
      <protection locked="0"/>
    </xf>
    <xf numFmtId="0" fontId="10" fillId="0" borderId="4" xfId="0" applyFont="1" applyBorder="1" applyAlignment="1" applyProtection="1">
      <alignment horizontal="center" vertical="center"/>
      <protection locked="0"/>
    </xf>
    <xf numFmtId="0" fontId="10" fillId="0" borderId="4" xfId="60" applyNumberFormat="1" applyFont="1" applyBorder="1" applyAlignment="1" applyProtection="1">
      <alignment horizontal="center" vertical="center"/>
      <protection locked="0"/>
    </xf>
    <xf numFmtId="190" fontId="11" fillId="0" borderId="4" xfId="57" applyFont="1" applyBorder="1" applyAlignment="1">
      <alignment vertical="center"/>
      <protection locked="0"/>
    </xf>
    <xf numFmtId="49" fontId="11" fillId="0" borderId="4" xfId="57" applyNumberFormat="1" applyFont="1" applyBorder="1" applyAlignment="1">
      <alignment horizontal="center" vertical="center"/>
      <protection locked="0"/>
    </xf>
    <xf numFmtId="0" fontId="42" fillId="0" borderId="2" xfId="41" quotePrefix="1" applyFont="1" applyBorder="1" applyAlignment="1" applyProtection="1">
      <alignment vertical="center"/>
    </xf>
    <xf numFmtId="0" fontId="13" fillId="0" borderId="0" xfId="41" applyAlignment="1">
      <alignment vertical="center"/>
      <protection locked="0"/>
    </xf>
    <xf numFmtId="43" fontId="33" fillId="0" borderId="0" xfId="41" applyNumberFormat="1" applyFont="1" applyBorder="1" applyAlignment="1" applyProtection="1">
      <alignment vertical="center"/>
    </xf>
    <xf numFmtId="0" fontId="49" fillId="0" borderId="4" xfId="32" applyFont="1" applyFill="1" applyBorder="1" applyAlignment="1">
      <alignment horizontal="center" vertical="center" wrapText="1"/>
      <protection locked="0"/>
    </xf>
    <xf numFmtId="0" fontId="4" fillId="6" borderId="4" xfId="32" applyFont="1" applyFill="1" applyBorder="1" applyAlignment="1">
      <alignment horizontal="center" vertical="center"/>
      <protection locked="0"/>
    </xf>
    <xf numFmtId="0" fontId="4" fillId="6" borderId="4" xfId="32" applyFont="1" applyFill="1" applyBorder="1" applyAlignment="1">
      <alignment horizontal="center" vertical="center" wrapText="1"/>
      <protection locked="0"/>
    </xf>
    <xf numFmtId="0" fontId="11" fillId="5" borderId="0" xfId="0" applyFont="1" applyFill="1" applyBorder="1" applyAlignment="1" applyProtection="1">
      <alignment horizontal="justify" vertical="center" wrapText="1"/>
      <protection locked="0"/>
    </xf>
    <xf numFmtId="0" fontId="10" fillId="0" borderId="0" xfId="32" applyFont="1" applyBorder="1" applyAlignment="1">
      <alignment horizontal="center" vertical="center"/>
      <protection locked="0"/>
    </xf>
    <xf numFmtId="0" fontId="54" fillId="0" borderId="0" xfId="0" applyFont="1" applyAlignment="1" applyProtection="1">
      <alignment horizontal="center" vertical="center"/>
      <protection locked="0"/>
    </xf>
    <xf numFmtId="190" fontId="74" fillId="0" borderId="0" xfId="61" applyFont="1" applyFill="1" applyAlignment="1">
      <alignment horizontal="left" vertical="center"/>
    </xf>
    <xf numFmtId="0" fontId="74" fillId="0" borderId="0" xfId="38" applyFont="1" applyAlignment="1">
      <alignment horizontal="left" vertical="center"/>
    </xf>
    <xf numFmtId="0" fontId="10" fillId="0" borderId="0" xfId="32" applyFont="1" applyBorder="1" applyAlignment="1">
      <alignment horizontal="left" vertical="center"/>
      <protection locked="0"/>
    </xf>
    <xf numFmtId="0" fontId="11" fillId="0" borderId="4" xfId="0" applyFont="1" applyBorder="1" applyAlignment="1" applyProtection="1">
      <alignment horizontal="center" vertical="center"/>
      <protection locked="0"/>
    </xf>
    <xf numFmtId="0" fontId="52" fillId="0" borderId="0" xfId="32" applyFont="1" applyAlignment="1">
      <alignment vertical="center"/>
      <protection locked="0"/>
    </xf>
    <xf numFmtId="43" fontId="10" fillId="0" borderId="4" xfId="60" applyFont="1" applyBorder="1" applyAlignment="1" applyProtection="1">
      <alignment horizontal="center" vertical="center"/>
      <protection locked="0"/>
    </xf>
    <xf numFmtId="10" fontId="10" fillId="0" borderId="4" xfId="31" applyNumberFormat="1" applyFont="1" applyBorder="1" applyAlignment="1" applyProtection="1">
      <alignment horizontal="center" vertical="center"/>
      <protection locked="0"/>
    </xf>
    <xf numFmtId="0" fontId="11" fillId="0" borderId="0" xfId="0" applyFont="1" applyBorder="1" applyAlignment="1" applyProtection="1">
      <alignment horizontal="center" vertical="center"/>
      <protection locked="0"/>
    </xf>
    <xf numFmtId="43" fontId="10" fillId="0" borderId="0" xfId="60" applyFont="1" applyBorder="1" applyAlignment="1" applyProtection="1">
      <alignment horizontal="center" vertical="center"/>
      <protection locked="0"/>
    </xf>
    <xf numFmtId="10" fontId="10" fillId="0" borderId="0" xfId="31" applyNumberFormat="1" applyFont="1" applyBorder="1" applyAlignment="1" applyProtection="1">
      <alignment horizontal="center" vertical="center"/>
      <protection locked="0"/>
    </xf>
    <xf numFmtId="0" fontId="34" fillId="0" borderId="0" xfId="0" applyFont="1" applyAlignment="1">
      <alignment horizontal="center" vertical="center"/>
    </xf>
    <xf numFmtId="0" fontId="9" fillId="0" borderId="0" xfId="0" applyFont="1" applyAlignment="1" applyProtection="1">
      <alignment horizontal="left" vertical="center" wrapText="1"/>
      <protection locked="0"/>
    </xf>
    <xf numFmtId="0" fontId="7" fillId="0" borderId="0" xfId="0" applyFont="1" applyAlignment="1" applyProtection="1">
      <alignment horizontal="left" vertical="center" wrapText="1"/>
      <protection locked="0"/>
    </xf>
    <xf numFmtId="0" fontId="8" fillId="0" borderId="0" xfId="36" applyFont="1" applyAlignment="1">
      <alignment horizontal="center" vertical="center"/>
    </xf>
    <xf numFmtId="0" fontId="54" fillId="0" borderId="0" xfId="36" applyFont="1" applyAlignment="1">
      <alignment horizontal="center" vertical="center"/>
    </xf>
    <xf numFmtId="0" fontId="11" fillId="0" borderId="0" xfId="32" applyFont="1" applyBorder="1" applyAlignment="1">
      <alignment horizontal="left" vertical="center" wrapText="1"/>
      <protection locked="0"/>
    </xf>
    <xf numFmtId="0" fontId="10" fillId="0" borderId="0" xfId="32" applyFont="1" applyBorder="1" applyAlignment="1">
      <alignment horizontal="left" vertical="center" wrapText="1"/>
      <protection locked="0"/>
    </xf>
    <xf numFmtId="0" fontId="6" fillId="6" borderId="4" xfId="49" applyFont="1" applyFill="1" applyBorder="1" applyAlignment="1">
      <alignment horizontal="center" vertical="center" wrapText="1"/>
      <protection locked="0"/>
    </xf>
    <xf numFmtId="190" fontId="4" fillId="6" borderId="4" xfId="57" applyFont="1" applyFill="1" applyBorder="1" applyAlignment="1">
      <alignment horizontal="center" vertical="center" wrapText="1"/>
      <protection locked="0"/>
    </xf>
    <xf numFmtId="0" fontId="4" fillId="0" borderId="0" xfId="32" applyFont="1" applyBorder="1" applyAlignment="1">
      <alignment horizontal="left" vertical="center"/>
      <protection locked="0"/>
    </xf>
    <xf numFmtId="0" fontId="6" fillId="0" borderId="0" xfId="32" applyFont="1" applyBorder="1" applyAlignment="1">
      <alignment horizontal="left" vertical="center"/>
      <protection locked="0"/>
    </xf>
    <xf numFmtId="0" fontId="10" fillId="0" borderId="0" xfId="32" applyFont="1" applyBorder="1" applyAlignment="1">
      <alignment horizontal="center" vertical="center"/>
      <protection locked="0"/>
    </xf>
    <xf numFmtId="0" fontId="4" fillId="6" borderId="4" xfId="50" applyFont="1" applyFill="1" applyBorder="1" applyAlignment="1" applyProtection="1">
      <alignment horizontal="center" vertical="center"/>
      <protection locked="0"/>
    </xf>
    <xf numFmtId="0" fontId="6" fillId="6" borderId="4" xfId="50" applyFont="1" applyFill="1" applyBorder="1" applyAlignment="1" applyProtection="1">
      <alignment horizontal="center" vertical="center"/>
      <protection locked="0"/>
    </xf>
    <xf numFmtId="49" fontId="4" fillId="6" borderId="11" xfId="32" applyNumberFormat="1" applyFont="1" applyFill="1" applyBorder="1" applyAlignment="1">
      <alignment horizontal="center" vertical="center"/>
      <protection locked="0"/>
    </xf>
    <xf numFmtId="49" fontId="4" fillId="6" borderId="12" xfId="32" applyNumberFormat="1" applyFont="1" applyFill="1" applyBorder="1" applyAlignment="1">
      <alignment horizontal="center" vertical="center"/>
      <protection locked="0"/>
    </xf>
    <xf numFmtId="0" fontId="4" fillId="6" borderId="4" xfId="50" applyFont="1" applyFill="1" applyBorder="1" applyAlignment="1" applyProtection="1">
      <alignment horizontal="center" vertical="center" wrapText="1"/>
      <protection locked="0"/>
    </xf>
    <xf numFmtId="0" fontId="6" fillId="6" borderId="11" xfId="32" applyFont="1" applyFill="1" applyBorder="1" applyAlignment="1">
      <alignment horizontal="center" vertical="center" wrapText="1"/>
      <protection locked="0"/>
    </xf>
    <xf numFmtId="0" fontId="6" fillId="6" borderId="12" xfId="32" applyFont="1" applyFill="1" applyBorder="1" applyAlignment="1">
      <alignment horizontal="center" vertical="center" wrapText="1"/>
      <protection locked="0"/>
    </xf>
    <xf numFmtId="0" fontId="10" fillId="0" borderId="4" xfId="49" applyFont="1" applyFill="1" applyBorder="1" applyAlignment="1">
      <alignment horizontal="left" vertical="center" wrapText="1"/>
      <protection locked="0"/>
    </xf>
    <xf numFmtId="0" fontId="11" fillId="0" borderId="4" xfId="49" applyFont="1" applyBorder="1" applyAlignment="1">
      <alignment horizontal="center" vertical="center" wrapText="1"/>
      <protection locked="0"/>
    </xf>
    <xf numFmtId="0" fontId="4" fillId="6" borderId="4" xfId="49" applyFont="1" applyFill="1" applyBorder="1" applyAlignment="1">
      <alignment horizontal="center" vertical="center" wrapText="1"/>
      <protection locked="0"/>
    </xf>
    <xf numFmtId="43" fontId="8" fillId="0" borderId="0" xfId="39" applyNumberFormat="1" applyFont="1" applyBorder="1" applyAlignment="1">
      <alignment horizontal="center" vertical="center"/>
    </xf>
    <xf numFmtId="43" fontId="54" fillId="0" borderId="0" xfId="39" applyNumberFormat="1" applyFont="1" applyBorder="1" applyAlignment="1">
      <alignment horizontal="center" vertical="center"/>
    </xf>
    <xf numFmtId="0" fontId="28" fillId="6" borderId="4" xfId="0" applyFont="1" applyFill="1" applyBorder="1" applyAlignment="1">
      <alignment horizontal="center" vertical="center"/>
    </xf>
    <xf numFmtId="0" fontId="30" fillId="6" borderId="4" xfId="0" applyFont="1" applyFill="1" applyBorder="1">
      <alignment vertical="center"/>
    </xf>
    <xf numFmtId="10" fontId="39" fillId="0" borderId="0" xfId="31" applyNumberFormat="1" applyFont="1" applyBorder="1" applyAlignment="1">
      <alignment horizontal="left" vertical="center"/>
    </xf>
    <xf numFmtId="0" fontId="31" fillId="6" borderId="4" xfId="0" applyFont="1" applyFill="1" applyBorder="1" applyAlignment="1">
      <alignment horizontal="center" vertical="center"/>
    </xf>
    <xf numFmtId="0" fontId="31" fillId="6" borderId="4" xfId="0" applyFont="1" applyFill="1" applyBorder="1">
      <alignment vertical="center"/>
    </xf>
    <xf numFmtId="190" fontId="4" fillId="6" borderId="5" xfId="35" applyFont="1" applyFill="1" applyBorder="1" applyAlignment="1" applyProtection="1">
      <alignment horizontal="center" vertical="center" wrapText="1"/>
      <protection locked="0"/>
    </xf>
    <xf numFmtId="190" fontId="6" fillId="6" borderId="9" xfId="35" applyFont="1" applyFill="1" applyBorder="1" applyAlignment="1" applyProtection="1">
      <alignment horizontal="center" vertical="center" wrapText="1"/>
      <protection locked="0"/>
    </xf>
    <xf numFmtId="190" fontId="6" fillId="6" borderId="10" xfId="35" applyFont="1" applyFill="1" applyBorder="1" applyAlignment="1" applyProtection="1">
      <alignment horizontal="center" vertical="center" wrapText="1"/>
      <protection locked="0"/>
    </xf>
    <xf numFmtId="190" fontId="28" fillId="6" borderId="4" xfId="33" applyFont="1" applyFill="1" applyBorder="1" applyAlignment="1">
      <alignment horizontal="center" vertical="center" wrapText="1"/>
      <protection locked="0"/>
    </xf>
    <xf numFmtId="190" fontId="4" fillId="6" borderId="4" xfId="33" applyFont="1" applyFill="1" applyBorder="1" applyAlignment="1">
      <alignment horizontal="center" vertical="center" wrapText="1"/>
      <protection locked="0"/>
    </xf>
    <xf numFmtId="0" fontId="50" fillId="0" borderId="0" xfId="0" applyFont="1" applyAlignment="1" applyProtection="1">
      <alignment horizontal="left" vertical="center" wrapText="1"/>
      <protection locked="0"/>
    </xf>
    <xf numFmtId="0" fontId="51" fillId="0" borderId="0" xfId="0" applyFont="1" applyAlignment="1" applyProtection="1">
      <alignment horizontal="left" vertical="center" wrapText="1"/>
      <protection locked="0"/>
    </xf>
    <xf numFmtId="0" fontId="8" fillId="0" borderId="0" xfId="37" applyFont="1" applyAlignment="1">
      <alignment horizontal="center" vertical="center"/>
    </xf>
    <xf numFmtId="43" fontId="54" fillId="0" borderId="0" xfId="39" applyNumberFormat="1" applyFont="1" applyFill="1" applyBorder="1" applyAlignment="1">
      <alignment horizontal="center" vertical="center"/>
    </xf>
    <xf numFmtId="0" fontId="77" fillId="0" borderId="0" xfId="37" applyFont="1" applyAlignment="1">
      <alignment horizontal="center" vertical="center"/>
    </xf>
    <xf numFmtId="43" fontId="78" fillId="0" borderId="0" xfId="39" applyNumberFormat="1" applyFont="1" applyFill="1" applyBorder="1" applyAlignment="1">
      <alignment horizontal="center" vertical="center"/>
    </xf>
    <xf numFmtId="0" fontId="77" fillId="0" borderId="0" xfId="36" applyFont="1" applyAlignment="1">
      <alignment horizontal="center" vertical="center"/>
    </xf>
    <xf numFmtId="0" fontId="78" fillId="0" borderId="0" xfId="36" applyFont="1" applyAlignment="1">
      <alignment horizontal="center" vertical="center"/>
    </xf>
    <xf numFmtId="190" fontId="81" fillId="6" borderId="5" xfId="35" applyFont="1" applyFill="1" applyBorder="1" applyAlignment="1" applyProtection="1">
      <alignment horizontal="center" vertical="center"/>
      <protection locked="0"/>
    </xf>
    <xf numFmtId="190" fontId="81" fillId="6" borderId="9" xfId="35" applyFont="1" applyFill="1" applyBorder="1" applyAlignment="1" applyProtection="1">
      <alignment horizontal="center" vertical="center"/>
      <protection locked="0"/>
    </xf>
    <xf numFmtId="190" fontId="66" fillId="6" borderId="5" xfId="35" applyFont="1" applyFill="1" applyBorder="1" applyAlignment="1" applyProtection="1">
      <alignment horizontal="center" vertical="center"/>
      <protection locked="0"/>
    </xf>
    <xf numFmtId="190" fontId="66" fillId="6" borderId="9" xfId="35" applyFont="1" applyFill="1" applyBorder="1" applyAlignment="1" applyProtection="1">
      <alignment horizontal="center" vertical="center"/>
      <protection locked="0"/>
    </xf>
    <xf numFmtId="190" fontId="66" fillId="6" borderId="10" xfId="35" applyFont="1" applyFill="1" applyBorder="1" applyAlignment="1" applyProtection="1">
      <alignment horizontal="center" vertical="center"/>
      <protection locked="0"/>
    </xf>
    <xf numFmtId="190" fontId="66" fillId="6" borderId="11" xfId="35" applyFont="1" applyFill="1" applyBorder="1" applyAlignment="1" applyProtection="1">
      <alignment horizontal="center" vertical="center"/>
      <protection locked="0"/>
    </xf>
    <xf numFmtId="190" fontId="66" fillId="6" borderId="12" xfId="35" applyFont="1" applyFill="1" applyBorder="1" applyAlignment="1" applyProtection="1">
      <alignment horizontal="center" vertical="center"/>
      <protection locked="0"/>
    </xf>
    <xf numFmtId="0" fontId="80" fillId="6" borderId="11" xfId="0" applyFont="1" applyFill="1" applyBorder="1" applyAlignment="1">
      <alignment horizontal="center" vertical="center" wrapText="1"/>
    </xf>
    <xf numFmtId="0" fontId="80" fillId="6" borderId="12" xfId="0" applyFont="1" applyFill="1" applyBorder="1" applyAlignment="1">
      <alignment horizontal="center" vertical="center" wrapText="1"/>
    </xf>
    <xf numFmtId="0" fontId="80" fillId="6" borderId="5" xfId="0" applyFont="1" applyFill="1" applyBorder="1" applyAlignment="1">
      <alignment horizontal="center" vertical="center"/>
    </xf>
    <xf numFmtId="0" fontId="80" fillId="6" borderId="9" xfId="0" applyFont="1" applyFill="1" applyBorder="1" applyAlignment="1">
      <alignment horizontal="center" vertical="center"/>
    </xf>
    <xf numFmtId="0" fontId="80" fillId="6" borderId="10" xfId="0" applyFont="1" applyFill="1" applyBorder="1" applyAlignment="1">
      <alignment horizontal="center" vertical="center"/>
    </xf>
    <xf numFmtId="190" fontId="81" fillId="6" borderId="4" xfId="35" applyFont="1" applyFill="1" applyBorder="1" applyAlignment="1" applyProtection="1">
      <alignment horizontal="center" vertical="center"/>
      <protection locked="0"/>
    </xf>
    <xf numFmtId="43" fontId="77" fillId="0" borderId="0" xfId="39" applyNumberFormat="1" applyFont="1" applyBorder="1" applyAlignment="1">
      <alignment horizontal="center" vertical="center"/>
    </xf>
    <xf numFmtId="43" fontId="79" fillId="0" borderId="0" xfId="39" applyNumberFormat="1" applyFont="1" applyBorder="1" applyAlignment="1">
      <alignment horizontal="center" vertical="center"/>
    </xf>
    <xf numFmtId="0" fontId="44" fillId="0" borderId="0" xfId="49" applyFont="1" applyAlignment="1">
      <alignment horizontal="left" vertical="center" wrapText="1"/>
      <protection locked="0"/>
    </xf>
    <xf numFmtId="0" fontId="7" fillId="0" borderId="0" xfId="49" applyFont="1" applyAlignment="1">
      <alignment horizontal="left" vertical="center" wrapText="1"/>
      <protection locked="0"/>
    </xf>
    <xf numFmtId="0" fontId="77" fillId="0" borderId="0" xfId="32" applyFont="1" applyAlignment="1">
      <alignment horizontal="center" vertical="center"/>
      <protection locked="0"/>
    </xf>
    <xf numFmtId="0" fontId="54" fillId="0" borderId="0" xfId="32" applyFont="1" applyAlignment="1">
      <alignment horizontal="center" vertical="center"/>
      <protection locked="0"/>
    </xf>
    <xf numFmtId="190" fontId="4" fillId="6" borderId="11" xfId="57" applyFont="1" applyFill="1" applyBorder="1" applyAlignment="1">
      <alignment horizontal="center" vertical="center"/>
      <protection locked="0"/>
    </xf>
    <xf numFmtId="190" fontId="4" fillId="6" borderId="12" xfId="57" applyFont="1" applyFill="1" applyBorder="1" applyAlignment="1">
      <alignment horizontal="center" vertical="center"/>
      <protection locked="0"/>
    </xf>
    <xf numFmtId="190" fontId="4" fillId="6" borderId="4" xfId="59" applyFont="1" applyFill="1" applyBorder="1" applyAlignment="1">
      <alignment horizontal="center" vertical="center"/>
      <protection locked="0"/>
    </xf>
    <xf numFmtId="190" fontId="6" fillId="6" borderId="4" xfId="59" applyFont="1" applyFill="1" applyBorder="1" applyAlignment="1">
      <alignment horizontal="center" vertical="center"/>
      <protection locked="0"/>
    </xf>
    <xf numFmtId="0" fontId="4" fillId="10" borderId="11" xfId="32" applyFont="1" applyFill="1" applyBorder="1" applyAlignment="1" applyProtection="1">
      <alignment horizontal="center" vertical="center" wrapText="1"/>
    </xf>
    <xf numFmtId="0" fontId="4" fillId="10" borderId="12" xfId="32" applyFont="1" applyFill="1" applyBorder="1" applyAlignment="1" applyProtection="1">
      <alignment horizontal="center" vertical="center" wrapText="1"/>
    </xf>
    <xf numFmtId="0" fontId="4" fillId="6" borderId="4" xfId="32" applyFont="1" applyFill="1" applyBorder="1" applyAlignment="1">
      <alignment horizontal="center" vertical="center"/>
      <protection locked="0"/>
    </xf>
    <xf numFmtId="190" fontId="4" fillId="6" borderId="4" xfId="59" applyFont="1" applyFill="1" applyBorder="1" applyAlignment="1">
      <alignment horizontal="center" vertical="center" wrapText="1"/>
      <protection locked="0"/>
    </xf>
    <xf numFmtId="190" fontId="6" fillId="6" borderId="4" xfId="59" applyFont="1" applyFill="1" applyBorder="1" applyAlignment="1">
      <alignment horizontal="center" vertical="center" wrapText="1"/>
      <protection locked="0"/>
    </xf>
    <xf numFmtId="0" fontId="6" fillId="6" borderId="5" xfId="0" applyFont="1" applyFill="1" applyBorder="1" applyAlignment="1" applyProtection="1">
      <alignment horizontal="center" vertical="center"/>
      <protection locked="0"/>
    </xf>
    <xf numFmtId="0" fontId="6" fillId="6" borderId="9" xfId="0" applyFont="1" applyFill="1" applyBorder="1" applyAlignment="1" applyProtection="1">
      <alignment horizontal="center" vertical="center"/>
      <protection locked="0"/>
    </xf>
    <xf numFmtId="0" fontId="4" fillId="10" borderId="4" xfId="32" applyFont="1" applyFill="1" applyBorder="1" applyAlignment="1" applyProtection="1">
      <alignment horizontal="center" vertical="center" wrapText="1"/>
    </xf>
  </cellXfs>
  <cellStyles count="62">
    <cellStyle name="@_text" xfId="1"/>
    <cellStyle name="{Comma [0]}" xfId="2"/>
    <cellStyle name="{Comma}" xfId="3"/>
    <cellStyle name="{Date}" xfId="4"/>
    <cellStyle name="{Month}" xfId="5"/>
    <cellStyle name="{Percent}" xfId="6"/>
    <cellStyle name="{Thousand [0]}" xfId="7"/>
    <cellStyle name="{Thousand}" xfId="8"/>
    <cellStyle name="{Z'0000(1 dec)}" xfId="9"/>
    <cellStyle name="{Z'0000(4 dec)}" xfId="10"/>
    <cellStyle name="Black" xfId="11"/>
    <cellStyle name="Border" xfId="12"/>
    <cellStyle name="Comma [0]_1995" xfId="13"/>
    <cellStyle name="Comma_1995" xfId="14"/>
    <cellStyle name="Currency [0]_1995" xfId="15"/>
    <cellStyle name="Currency_1995" xfId="16"/>
    <cellStyle name="Dezimal [0]_laroux" xfId="17"/>
    <cellStyle name="Dezimal_laroux" xfId="18"/>
    <cellStyle name="Euro" xfId="19"/>
    <cellStyle name="Followed Hyperlink_AheadBehind.xls Chart 23" xfId="20"/>
    <cellStyle name="Grey" xfId="21"/>
    <cellStyle name="Hyperlink_AheadBehind.xls Chart 23" xfId="22"/>
    <cellStyle name="Input [yellow]" xfId="23"/>
    <cellStyle name="Milliers [0]_laroux" xfId="24"/>
    <cellStyle name="Milliers_laroux" xfId="25"/>
    <cellStyle name="Non défini" xfId="26"/>
    <cellStyle name="Normal - Style1" xfId="27"/>
    <cellStyle name="Normal_22-Jun EUS Forecasts" xfId="28"/>
    <cellStyle name="Percent [2]" xfId="29"/>
    <cellStyle name="Red" xfId="30"/>
    <cellStyle name="百分比" xfId="31" builtinId="5"/>
    <cellStyle name="百分比 2" xfId="54"/>
    <cellStyle name="常规" xfId="0" builtinId="0"/>
    <cellStyle name="常规 11 5" xfId="61"/>
    <cellStyle name="常规 2" xfId="32"/>
    <cellStyle name="常规 2 2" xfId="59"/>
    <cellStyle name="常规 2 3" xfId="48"/>
    <cellStyle name="常规 2 8" xfId="49"/>
    <cellStyle name="常规 2 8 2" xfId="57"/>
    <cellStyle name="常规 3" xfId="33"/>
    <cellStyle name="常规 3 2" xfId="34"/>
    <cellStyle name="常规 4" xfId="35"/>
    <cellStyle name="常规 4 2" xfId="51"/>
    <cellStyle name="常规 4 2 2" xfId="52"/>
    <cellStyle name="常规 7" xfId="50"/>
    <cellStyle name="常规 7 2" xfId="58"/>
    <cellStyle name="常规_Book1" xfId="36"/>
    <cellStyle name="常规_c-资产类" xfId="37"/>
    <cellStyle name="常规_sheet" xfId="55"/>
    <cellStyle name="常规_进一步审计程序--销售与收款循环" xfId="38"/>
    <cellStyle name="常规_进一步审计程序--销售与收款循环 2" xfId="56"/>
    <cellStyle name="常规_新审定表" xfId="39"/>
    <cellStyle name="常规_制造费用" xfId="40"/>
    <cellStyle name="超链接" xfId="41" builtinId="8"/>
    <cellStyle name="超链接 3 2" xfId="53"/>
    <cellStyle name="普通_ 外G9(3)" xfId="42"/>
    <cellStyle name="千分位[0]_宁波" xfId="43"/>
    <cellStyle name="千分位_宁波" xfId="44"/>
    <cellStyle name="千位[0]_laroux" xfId="45"/>
    <cellStyle name="千位_laroux" xfId="46"/>
    <cellStyle name="千位分隔" xfId="47" builtinId="3"/>
    <cellStyle name="千位分隔 6" xfId="6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drawings/_rels/vmlDrawing2.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26</xdr:row>
          <xdr:rowOff>0</xdr:rowOff>
        </xdr:from>
        <xdr:to>
          <xdr:col>0</xdr:col>
          <xdr:colOff>914400</xdr:colOff>
          <xdr:row>29</xdr:row>
          <xdr:rowOff>114300</xdr:rowOff>
        </xdr:to>
        <xdr:sp macro="" textlink="">
          <xdr:nvSpPr>
            <xdr:cNvPr id="1025" name="Object 1" hidden="1">
              <a:extLst>
                <a:ext uri="{63B3BB69-23CF-44E3-9099-C40C66FF867C}">
                  <a14:compatExt spid="_x0000_s1025"/>
                </a:ext>
                <a:ext uri="{FF2B5EF4-FFF2-40B4-BE49-F238E27FC236}">
                  <a16:creationId xmlns:a16="http://schemas.microsoft.com/office/drawing/2014/main" id="{00000000-0008-0000-0500-000001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Worksheet%20in%205440%20Inventory"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Worksheet%20in%208240%20COS%20breakdown"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d.docs.live.net/Documents%20and%20Settings/bjcpauser/&#26700;&#38754;/Jinyuu/total/Documents%20and%20Settings/Administrator/&#26700;&#38754;/to&#65293;&#20869;&#37096;&#25511;&#21046;&#32452;/&#20854;&#20182;&#25152;/&#22825;&#24314;/&#22269;&#36152;_2005_&#38543;&#20415;.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reakdown"/>
      <sheetName val="徐淮分部"/>
      <sheetName val="Stock turnover"/>
      <sheetName val="Prov-Mvmt"/>
      <sheetName val="Obsolete Stock List"/>
      <sheetName val="Negative sales"/>
      <sheetName val="XREF"/>
      <sheetName val="Tickmarks"/>
      <sheetName val="B"/>
      <sheetName val="2009年受限统计表"/>
      <sheetName val="银行存款"/>
      <sheetName val="04"/>
      <sheetName val="03"/>
      <sheetName val="表头"/>
      <sheetName val="其他应收个人"/>
      <sheetName val="Summary"/>
      <sheetName val="35.1租赁明细"/>
      <sheetName val="1"/>
      <sheetName val="2"/>
      <sheetName val="3"/>
      <sheetName val="4"/>
      <sheetName val="5"/>
      <sheetName val="6"/>
      <sheetName val="7"/>
      <sheetName val="8"/>
      <sheetName val="9"/>
      <sheetName val="10"/>
      <sheetName val="11"/>
      <sheetName val="12"/>
      <sheetName val="1-12"/>
      <sheetName val="3 (2)"/>
      <sheetName val="4 (2)"/>
      <sheetName val="5 (2)"/>
      <sheetName val="6 (2)"/>
      <sheetName val="7 (2)"/>
      <sheetName val="8 (2)"/>
      <sheetName val="9 (2)"/>
      <sheetName val="10 (2)"/>
      <sheetName val="11 (2)"/>
      <sheetName val="12 (2)"/>
      <sheetName val="1 (2)"/>
      <sheetName val="2 (2)"/>
      <sheetName val="5月"/>
      <sheetName val="6月"/>
      <sheetName val="1-10月明细表"/>
      <sheetName val="索引"/>
      <sheetName val="Investment Property"/>
      <sheetName val="대외공문"/>
      <sheetName val="2004"/>
      <sheetName val="资产负债表"/>
      <sheetName val="营业费用测试"/>
      <sheetName val="利润及分配表"/>
      <sheetName val="资产方"/>
      <sheetName val="减值准备表"/>
      <sheetName val="负债方"/>
      <sheetName val="系统参数设置"/>
      <sheetName val="固定资产清单"/>
      <sheetName val="#REF!"/>
      <sheetName val="预收帐款明细"/>
      <sheetName val="项目成本-制作成本明细G1-6"/>
      <sheetName val="固定资产明细"/>
      <sheetName val="kmmc"/>
      <sheetName val="科目表"/>
      <sheetName val="现金明细（勿删）"/>
      <sheetName val="选择键"/>
      <sheetName val="&lt;原报&gt;资产负债表"/>
      <sheetName val="W"/>
      <sheetName val="其他应收款－个人借款明细"/>
      <sheetName val="无正式发票的支出"/>
      <sheetName val="E1020"/>
      <sheetName val="UFPrn20080707101342"/>
      <sheetName val="库龄"/>
      <sheetName val="Audit Sampling Table"/>
      <sheetName val="For Ref"/>
      <sheetName val="Inventory"/>
      <sheetName val="PFS"/>
      <sheetName val="土地"/>
      <sheetName val="建筑工程"/>
      <sheetName val="装潢工程"/>
      <sheetName val="间接费用"/>
      <sheetName val="利息资本化"/>
      <sheetName val="配套工程"/>
      <sheetName val="机电工程"/>
      <sheetName val="Payment test"/>
      <sheetName val="RM"/>
      <sheetName val="在途物资"/>
      <sheetName val="WIP"/>
      <sheetName val="FG"/>
      <sheetName val="跌价准备"/>
      <sheetName val="跌价准备清单"/>
      <sheetName val="Sample Design"/>
      <sheetName val="审计调整"/>
      <sheetName val="生产成本"/>
      <sheetName val="完"/>
      <sheetName val="企业表一"/>
      <sheetName val="M-5C"/>
      <sheetName val="M-5A"/>
      <sheetName val="表头（请先填写）"/>
      <sheetName val="200)年受限统计表"/>
      <sheetName val="35.1租赁明滆"/>
      <sheetName val="PER SALES ORG"/>
      <sheetName val="eqpmad2"/>
      <sheetName val="本期报表"/>
      <sheetName val="Repayment Summary"/>
      <sheetName val="Breakdown-本部"/>
      <sheetName val="DATA"/>
      <sheetName val="UFPrn20061113135115"/>
      <sheetName val="KM"/>
      <sheetName val="inventory list index"/>
      <sheetName val="costing"/>
      <sheetName val="差异分摊计算表"/>
      <sheetName val="调整分录汇总"/>
      <sheetName val="PTC"/>
      <sheetName val="Stock turnove_x0002_"/>
      <sheetName val="For Report"/>
      <sheetName val="BKD"/>
      <sheetName val="商品明細"/>
      <sheetName val="PFD"/>
      <sheetName val="开发产品-三期"/>
      <sheetName val="PFS SAR"/>
      <sheetName val="Property For Rental"/>
      <sheetName val="开发成本汇总表-南块"/>
      <sheetName val="南块会所成本调整及PFS"/>
      <sheetName val="开发成本汇总表-北块"/>
      <sheetName val="北块PFS"/>
      <sheetName val="会所"/>
      <sheetName val="PUD"/>
      <sheetName val="开发成本汇总表"/>
      <sheetName val="项目 Summary"/>
      <sheetName val="Confirmation Control"/>
      <sheetName val="Payment Detail"/>
      <sheetName val="项目"/>
      <sheetName val="2006"/>
      <sheetName val="建筑"/>
      <sheetName val="机电"/>
      <sheetName val="装潢"/>
      <sheetName val="在途存货清单及测试"/>
      <sheetName val="Appendix"/>
      <sheetName val="3mon-1Year"/>
      <sheetName val="per mgt"/>
      <sheetName val="above5y"/>
      <sheetName val="1-3MON"/>
      <sheetName val="1year-5year"/>
      <sheetName val="个人借款明细"/>
      <sheetName val="POWER ASSUMPTIONS"/>
      <sheetName val="lookup"/>
      <sheetName val="Unit Information"/>
      <sheetName val="Company Information"/>
      <sheetName val="基础数据"/>
      <sheetName val="原材料余额表"/>
      <sheetName val="21710103"/>
      <sheetName val="2171010501"/>
      <sheetName val="2171010502"/>
      <sheetName val="217102"/>
      <sheetName val="cover"/>
      <sheetName val="Toolbox"/>
      <sheetName val="折旧测试2007"/>
      <sheetName val="剥离前"/>
      <sheetName val="Stock turnove_x005f_x0002_"/>
      <sheetName val="中山低值"/>
      <sheetName val="YS02-02"/>
      <sheetName val="主营业务税金及附加Dy"/>
      <sheetName val="应收账款Dy"/>
      <sheetName val="original"/>
      <sheetName val="C_301"/>
      <sheetName val="C_311"/>
      <sheetName val="C_318"/>
      <sheetName val="Sheet1"/>
      <sheetName val="目錄"/>
      <sheetName val="税金汇总"/>
      <sheetName val="1-6yue"/>
      <sheetName val="Worksheet in 8240 COS breakdown"/>
      <sheetName val="余额表"/>
      <sheetName val="09差异分摊计算表"/>
      <sheetName val="08差异分摊计算表"/>
      <sheetName val="材料差异"/>
      <sheetName val="收入明细－按客户"/>
      <sheetName val="内部往来"/>
      <sheetName val="材料采购-入库"/>
      <sheetName val="原材料－其他"/>
      <sheetName val="材料成本差异－运费等"/>
      <sheetName val="_______"/>
      <sheetName val="核算项目余额表"/>
      <sheetName val="应交税金"/>
      <sheetName val="G.1R-Shou COP Gf"/>
      <sheetName val="成本调整明细表"/>
      <sheetName val="XL4Poppy"/>
      <sheetName val="凤县折旧测算"/>
      <sheetName val="BALANCE SHEET"/>
      <sheetName val="FA-2"/>
      <sheetName val="7-11销售"/>
      <sheetName val="制造费用"/>
      <sheetName val="关联交易-存款"/>
      <sheetName val="报表科目"/>
      <sheetName val="应收账款贷方余额表"/>
      <sheetName val="应收账款借方余额表"/>
      <sheetName val="应收账款余额表"/>
      <sheetName val="试算"/>
      <sheetName val="附注汇总"/>
      <sheetName val="内部销售明细表"/>
      <sheetName val="预付账款Dy"/>
      <sheetName val="STATPARA"/>
      <sheetName val="Lead"/>
      <sheetName val="CF"/>
      <sheetName val="preBS"/>
      <sheetName val="preCF"/>
      <sheetName val="preIS"/>
      <sheetName val="preCE"/>
      <sheetName val="TB"/>
      <sheetName val="主营业务成本Dy"/>
      <sheetName val="分录"/>
      <sheetName val="存货_包装物"/>
      <sheetName val="存货_库存商品mx"/>
      <sheetName val="存货_生产成本mx1"/>
      <sheetName val="存货_委托加工物资mx"/>
      <sheetName val="存货_制造费用Mx"/>
      <sheetName val="坏账准备_其他应收款Dy"/>
      <sheetName val="营业外收入Dy"/>
      <sheetName val="固定资产Dy"/>
      <sheetName val="累计折旧Dy"/>
      <sheetName val="界面"/>
      <sheetName val="Payroll"/>
      <sheetName val="递延税款Dy"/>
      <sheetName val="资本公积Dy"/>
      <sheetName val="盈余公积Dy"/>
      <sheetName val="未分配利润Dy"/>
      <sheetName val="补贴收入Dy"/>
      <sheetName val="所得税Dy"/>
      <sheetName val="坏账准备_应收账款Dy"/>
      <sheetName val="预收账款Dy"/>
      <sheetName val="应交税金Dy"/>
      <sheetName val="其他应交款Dy"/>
      <sheetName val="主营业务收入Dy"/>
      <sheetName val="坏账准备_应收账款Mx"/>
      <sheetName val="专项应付款Dy"/>
      <sheetName val="Ðì»´·Ö²¿"/>
      <sheetName val="工作表目录"/>
      <sheetName val="明细表"/>
      <sheetName val="固定资产(原表)"/>
      <sheetName val="Worksheet in 5440 Inventory"/>
      <sheetName val="账面外销"/>
      <sheetName val="Control"/>
      <sheetName val="Pre-operating Exp"/>
      <sheetName val="Miscellaneous Exp."/>
      <sheetName val="Rental 2002"/>
      <sheetName val="Rental 2001"/>
      <sheetName val="成本倒扎"/>
      <sheetName val="IMPORT"/>
      <sheetName val="账龄4"/>
      <sheetName val="披露表(标准)"/>
      <sheetName val="披露表(国资)"/>
      <sheetName val="邻酮定乙酚发出测试"/>
      <sheetName val="材料采购－原材料（购价）"/>
      <sheetName val="房屋及建筑物"/>
      <sheetName val="委托加工材料"/>
      <sheetName val="上期试算"/>
      <sheetName val="累计产销存"/>
      <sheetName val="营业外收支明细"/>
      <sheetName val="PL Statement_CN_WK"/>
      <sheetName val="三兴2"/>
      <sheetName val="附注披露信息(上市公司)G4-1"/>
      <sheetName val="Aging 06-03-2002"/>
      <sheetName val="DI-ESTI"/>
      <sheetName val="Ctinh 10kV"/>
      <sheetName val="Source"/>
      <sheetName val="dxnsjtempsheet"/>
      <sheetName val="试算号"/>
      <sheetName val="2-试算"/>
      <sheetName val="1-平衡表"/>
      <sheetName val="工程结算明细账1-6月"/>
      <sheetName val="低值易耗品"/>
      <sheetName val="劳务费"/>
      <sheetName val="折旧"/>
      <sheetName val="工资"/>
      <sheetName val="福利费"/>
      <sheetName val="水电费"/>
      <sheetName val="办公费"/>
      <sheetName val="业务招待费"/>
      <sheetName val="差"/>
      <sheetName val="机"/>
      <sheetName val="劳保"/>
      <sheetName val="通迅费"/>
      <sheetName val="修"/>
      <sheetName val="科目名称表"/>
      <sheetName val="表头信息"/>
      <sheetName val="国内CP2产品收入明细"/>
      <sheetName val="Sheet9"/>
      <sheetName val="05大桥分卡片"/>
      <sheetName val="KKKKKKKK"/>
      <sheetName val="试算16"/>
      <sheetName val="试算17"/>
      <sheetName val="Stock turnove_x005f_x005f_x005f_x0002_"/>
      <sheetName val="2.대외공문"/>
      <sheetName val="US Codes"/>
      <sheetName val="消费税率"/>
      <sheetName val="N1"/>
      <sheetName val="Reconciliation连云港"/>
      <sheetName val="Ex Diff"/>
      <sheetName val="银行"/>
      <sheetName val="1月"/>
      <sheetName val="至10月末全成本汇总表（动态）"/>
      <sheetName val="Stock turnove_x005f_x005f_x005f_x005f_x005f"/>
      <sheetName val="FS"/>
      <sheetName val="gl"/>
      <sheetName val="Adm"/>
      <sheetName val="sell"/>
      <sheetName val="Fin"/>
      <sheetName val="Calendar"/>
      <sheetName val="Disclosure"/>
      <sheetName val="Segment info"/>
      <sheetName val="Adjustment"/>
      <sheetName val="Count Diff"/>
      <sheetName val="General Instruction"/>
      <sheetName val="Sample"/>
      <sheetName val="InventoryList"/>
      <sheetName val="Stock List"/>
      <sheetName val="Trina Breakdown"/>
      <sheetName val="2007 Q3"/>
      <sheetName val="Breakdown-Trina"/>
      <sheetName val="Breakdown-TEI"/>
      <sheetName val="Note"/>
      <sheetName val="Audit Procedure"/>
      <sheetName val="Turnover"/>
      <sheetName val="FG Mov"/>
      <sheetName val="#REF"/>
      <sheetName val="For disclosure"/>
      <sheetName val="CZ AJE summary"/>
      <sheetName val="折旧测算"/>
      <sheetName val="12月份品种酒生产月报表"/>
      <sheetName val="物料收发汇总表"/>
      <sheetName val="应收账款"/>
      <sheetName val="营业外支出Dy"/>
      <sheetName val="应付账款Dy"/>
      <sheetName val="应付账款mx"/>
      <sheetName val="待摊费用mx"/>
      <sheetName val="固定资产减值准备mx"/>
      <sheetName val="累计折旧mx"/>
      <sheetName val="应付福利费mx"/>
      <sheetName val="应付工资mx"/>
      <sheetName val="预提费用mx"/>
      <sheetName val="在建工程mx"/>
      <sheetName val="制造费用mx"/>
      <sheetName val="2008年"/>
      <sheetName val="余额表10-12"/>
      <sheetName val="Macro1"/>
      <sheetName val="XL4Test5"/>
      <sheetName val="多级销售汇总表（备用）"/>
      <sheetName val="上期报表"/>
      <sheetName val="BJ Expenses"/>
      <sheetName val="Sample Rev"/>
      <sheetName val="Sample IS"/>
      <sheetName val="Probability View"/>
      <sheetName val="FY04ExpDetail"/>
      <sheetName val="VODAC"/>
      <sheetName val="sumdepn01"/>
      <sheetName val="降低额统计(会签)"/>
      <sheetName val="附件25.2-销售收入"/>
      <sheetName val="高层领导支持计划"/>
      <sheetName val="8月乘用车分公司期间费用统计表"/>
      <sheetName val="소상 &quot;1&quot;"/>
      <sheetName val="Sheet2"/>
      <sheetName val="培训执行汇总"/>
      <sheetName val="외주현황.wq1"/>
      <sheetName val="薪酬表"/>
      <sheetName val="收入明细账"/>
      <sheetName val="PRC-BS-SZ"/>
      <sheetName val="名称"/>
      <sheetName val="A3-1合并汇总报表"/>
      <sheetName val="参数"/>
      <sheetName val="序时账"/>
      <sheetName val="所得税明细表"/>
      <sheetName val="other lia"/>
      <sheetName val="prepayment"/>
      <sheetName val="related co"/>
      <sheetName val="sel"/>
      <sheetName val="AR"/>
      <sheetName val="15287贵阳市乌当区天网工程"/>
      <sheetName val="Coach Chassis (inventory)"/>
      <sheetName val="10年12月差异分摊计算表"/>
      <sheetName val="管理费用审定表"/>
      <sheetName val="基本信息输入"/>
      <sheetName val="分录汇总表"/>
      <sheetName val="Sheet1 (11)"/>
      <sheetName val="封面"/>
      <sheetName val="Inventory list provison"/>
      <sheetName val="NRV test"/>
      <sheetName val="FG Aging provision"/>
      <sheetName val="Breakdown "/>
      <sheetName val="Detail list 0512"/>
      <sheetName val="Detail list 0510"/>
      <sheetName val="Obsolete provision"/>
      <sheetName val="备品配件 低值易耗品清单"/>
      <sheetName val="break down"/>
      <sheetName val="openning balance "/>
      <sheetName val="2005.4.30 inventory list"/>
      <sheetName val="Obsolelte provision"/>
      <sheetName val="provision reversal list"/>
      <sheetName val="Detail list 0611"/>
      <sheetName val="工时统计"/>
      <sheetName val="06费用化明细"/>
      <sheetName val="明细科目余额表"/>
      <sheetName val="A3"/>
      <sheetName val="外地"/>
      <sheetName val="坯布"/>
      <sheetName val="材料"/>
      <sheetName val="外销"/>
      <sheetName val="清单12.31"/>
      <sheetName val="科目余额表"/>
      <sheetName val="Title"/>
      <sheetName val="인사현황(부서)"/>
      <sheetName val="主营业务明细表"/>
      <sheetName val="会计科目"/>
      <sheetName val="Stock turnove_x005f_x005f_x005f"/>
      <sheetName val="B-S"/>
      <sheetName val="Income Statement"/>
      <sheetName val="M3 - BS"/>
      <sheetName val="M3 - PL"/>
      <sheetName val="Erection"/>
      <sheetName val="P12 TB SZ"/>
      <sheetName val="Validation"/>
      <sheetName val="审定表D3"/>
      <sheetName val="明细分类账"/>
      <sheetName val="报表层次重要性水平"/>
      <sheetName val="所有者权益（股东权益）变动表(未审)"/>
      <sheetName val="TB0212"/>
      <sheetName val="个所税"/>
      <sheetName val="企业所得税"/>
      <sheetName val="4-2长投债券"/>
      <sheetName val="3流资汇总"/>
      <sheetName val="存货跌价准备Dy"/>
      <sheetName val="基本生产成本"/>
      <sheetName val="预提费用"/>
      <sheetName val="长期应付款Dy"/>
      <sheetName val="逾龄"/>
      <sheetName val="役龄"/>
      <sheetName val="福州路仓库(3)"/>
      <sheetName val="物资采购-1"/>
      <sheetName val="物资采购-2"/>
      <sheetName val="祁连山路仓库(5)"/>
      <sheetName val="特种储备物资"/>
      <sheetName val="张江库"/>
      <sheetName val="amended"/>
      <sheetName val="原材料"/>
      <sheetName val="SP"/>
      <sheetName val="基本情况表"/>
      <sheetName val="分产品销售收入、成本分析表"/>
      <sheetName val="合并2"/>
      <sheetName val="短期借款汇总表"/>
      <sheetName val="长期借款汇总表"/>
      <sheetName val="UFPrn20031203195053"/>
      <sheetName val="SW-TEO"/>
      <sheetName val="其他货币资金.dbf"/>
      <sheetName val="银行存款.dbf"/>
      <sheetName val="银行存款Dy"/>
      <sheetName val="应收利息Dy"/>
      <sheetName val="短期投资Dy"/>
      <sheetName val="货币资金Dy"/>
      <sheetName val="标本-资产"/>
      <sheetName val="cs"/>
      <sheetName val="Procedure"/>
      <sheetName val="存货跌价准备清单"/>
      <sheetName val="期末关联方库存"/>
      <sheetName val=" Breakdown"/>
      <sheetName val="warehouse"/>
      <sheetName val="Provision mov't"/>
      <sheetName val="05.10存货估价"/>
      <sheetName val="Aging test"/>
      <sheetName val="仓库分部"/>
      <sheetName val="存货明细汇总"/>
      <sheetName val="Inventory list"/>
      <sheetName val="NRV &amp;Valuation Test"/>
      <sheetName val="Qty test"/>
      <sheetName val="Inventory provision"/>
      <sheetName val="200912减值准备清单"/>
      <sheetName val="2008年减值未销售"/>
      <sheetName val="201006减值准备清单"/>
      <sheetName val="存货分布"/>
      <sheetName val="FG Adj"/>
      <sheetName val="报表项目"/>
      <sheetName val="A02"/>
      <sheetName val="CJE"/>
      <sheetName val="Intercompany balance"/>
      <sheetName val="BS"/>
      <sheetName val="吴江评估增值摊销"/>
      <sheetName val="青岛泰信评估增值摊销"/>
      <sheetName val="石油设备评估增值摊销"/>
      <sheetName val="未实现毛利"/>
      <sheetName val="Equity Movement"/>
      <sheetName val="非经常性损益"/>
      <sheetName val="MI"/>
      <sheetName val="NFC TB"/>
      <sheetName val="订单"/>
      <sheetName val="A16C"/>
      <sheetName val="Main"/>
      <sheetName val="应付账款明细BS.09 "/>
      <sheetName val="4-货币资金-现金"/>
      <sheetName val="CF附注"/>
      <sheetName val="试算平衡表"/>
      <sheetName val="调整分录"/>
      <sheetName val="数量金额总账"/>
      <sheetName val="细节测试审计抽样"/>
      <sheetName val="其他应付款科目余额2005.12.31"/>
      <sheetName val="固定资产及累计折旧凭证抽查表"/>
      <sheetName val="固定资产增加检查表"/>
      <sheetName val="固定资产审定表"/>
      <sheetName val="固定资产减少检查表"/>
      <sheetName val="固定资产盘点检查情况表"/>
      <sheetName val="审定表"/>
      <sheetName val="折旧计算检查表"/>
      <sheetName val="83套公房"/>
      <sheetName val="损益"/>
      <sheetName val="投资收益Dy"/>
      <sheetName val="한계원가"/>
      <sheetName val="Sheet4"/>
      <sheetName val="Sheet6"/>
      <sheetName val="Sheet5"/>
      <sheetName val="Sheet3"/>
      <sheetName val="折旧表2006年1-6月"/>
      <sheetName val="Oct"/>
      <sheetName val="base"/>
      <sheetName val="存货月度明细"/>
      <sheetName val="OS test"/>
      <sheetName val="US test"/>
      <sheetName val="调整汇总说明"/>
      <sheetName val="SALES-ADJ"/>
      <sheetName val="F.G Adj"/>
      <sheetName val="存货汇总表"/>
      <sheetName val="存货-自制半成品"/>
      <sheetName val="存货-产成品"/>
      <sheetName val="存货-原材料"/>
      <sheetName val="存货-包装物"/>
      <sheetName val="存货-低值易耗品"/>
      <sheetName val="长期股权投资Dy"/>
      <sheetName val="其他应收款Dy"/>
      <sheetName val="商誉Dy"/>
      <sheetName val="04收发存汇总表"/>
      <sheetName val="其他应付款Dy"/>
      <sheetName val="差异调整97"/>
      <sheetName val="流资汇总"/>
      <sheetName val="收入"/>
      <sheetName val="说明"/>
      <sheetName val="差异调整95"/>
      <sheetName val="差异调整96"/>
      <sheetName val="NFMSDLQJ"/>
      <sheetName val="应收账款明细表"/>
      <sheetName val="期初帐龄辅助表MT"/>
      <sheetName val="坏账准备辅助表MT"/>
      <sheetName val="UFPrn20021130165512"/>
      <sheetName val="财务费用"/>
      <sheetName val="管理费用"/>
      <sheetName val="UFPrn20031114182129"/>
      <sheetName val="2006年TB"/>
      <sheetName val="27-7"/>
      <sheetName val="UFPrn20200302102412"/>
      <sheetName val="SysRefTables"/>
      <sheetName val="数量对比"/>
      <sheetName val="存货外购单价分析表-年度G2-3-1-1"/>
      <sheetName val="存货总体分析表G2-3"/>
      <sheetName val="二级明细"/>
      <sheetName val="其他应收-导出"/>
      <sheetName val="营业外支出"/>
      <sheetName val="UFPrn20040104084034"/>
      <sheetName val="BNWXVLNN"/>
      <sheetName val="利润分析"/>
      <sheetName val="资产负债分析"/>
      <sheetName val="Economic evaluation - FY98 base"/>
      <sheetName val="基础信息"/>
      <sheetName val="隐藏页"/>
      <sheetName val="loan database"/>
      <sheetName val="货币资金审定表"/>
      <sheetName val="Administration"/>
      <sheetName val="08.8"/>
      <sheetName val="库存商品库龄分析G2-3-3"/>
      <sheetName val="发出计价汇总－库存商品"/>
      <sheetName val="预计负债Dy"/>
      <sheetName val="选择报表"/>
      <sheetName val="2019年研发费用按项目汇总M8-6"/>
      <sheetName val="param"/>
      <sheetName val="Traduction"/>
      <sheetName val="2550"/>
      <sheetName val="2552"/>
      <sheetName val="_2562"/>
      <sheetName val="_2565"/>
      <sheetName val="_8004"/>
      <sheetName val="_8025"/>
      <sheetName val="3331"/>
      <sheetName val="3334"/>
      <sheetName val="3388"/>
      <sheetName val="3389"/>
      <sheetName val="4213"/>
      <sheetName val="5357"/>
      <sheetName val="8066"/>
      <sheetName val="下拉菜单"/>
      <sheetName val="Adj. spreadsheet for June"/>
      <sheetName val="TT04"/>
      <sheetName val="Catalogo Roca 1Oct'01"/>
      <sheetName val="附表"/>
      <sheetName val="SENSITIVITY"/>
      <sheetName val="Parameters"/>
      <sheetName val="PIT"/>
      <sheetName val="Movement"/>
      <sheetName val="成品"/>
      <sheetName val="短期投资股票投资.dbf"/>
      <sheetName val="短期投资国债投资.dbf"/>
      <sheetName val="股票投资收益.dbf"/>
      <sheetName val="其他货币海通.dbf"/>
      <sheetName val="其他货币零领路.dbf"/>
      <sheetName val="投资收益债券.dbf"/>
      <sheetName val="存货审定表G2"/>
      <sheetName val="跌价准备测试表G2-2-4-1"/>
      <sheetName val="参数表"/>
      <sheetName val="原材料收发"/>
      <sheetName val="A140-00"/>
      <sheetName val="A141-20"/>
      <sheetName val="A142-50"/>
      <sheetName val="A141-60"/>
      <sheetName val="CAS"/>
      <sheetName val="A141-10"/>
      <sheetName val="短期借款Dy"/>
      <sheetName val="Input_Hide"/>
      <sheetName val="FX"/>
      <sheetName val="06"/>
      <sheetName val="List"/>
      <sheetName val="广州库"/>
      <sheetName val="制费-分月"/>
      <sheetName val="应付账款 (2)"/>
      <sheetName val="Index"/>
      <sheetName val="2008年1月"/>
      <sheetName val="2007年12月  "/>
      <sheetName val="2008年2月"/>
      <sheetName val="1999TL"/>
      <sheetName val="入库分类"/>
      <sheetName val="外销涤布"/>
      <sheetName val="原TB表"/>
      <sheetName val="主菜单"/>
      <sheetName val="其他应收款分录表"/>
      <sheetName val="MasterList"/>
      <sheetName val="信息"/>
      <sheetName val="Part_Datum"/>
      <sheetName val="FU-OTHER"/>
      <sheetName val="管理费用Dy"/>
      <sheetName val="财务费用mx"/>
      <sheetName val="其他应收款Mx"/>
      <sheetName val="其他应付款Mx"/>
      <sheetName val="营业外支出Mx"/>
      <sheetName val="披露表(上市)"/>
      <sheetName val="程序表原始数据"/>
      <sheetName val="其他应交款mx"/>
      <sheetName val="应交税金mx1"/>
      <sheetName val="应收票据Mx"/>
      <sheetName val="预收账款Mx"/>
      <sheetName val="生产成本mx"/>
      <sheetName val="明细汇总表（见附件）G2-2"/>
      <sheetName val="生产成本分配G2-8-6"/>
      <sheetName val="科目名称"/>
      <sheetName val="蓝谷全层级"/>
      <sheetName val="Confirmation"/>
      <sheetName val="statement 1998"/>
      <sheetName val="c_data"/>
      <sheetName val="co_code"/>
      <sheetName val="Register"/>
      <sheetName val="K31X"/>
      <sheetName val="XVIa(i) - average price (2)"/>
      <sheetName val="153541"/>
      <sheetName val="PLAC"/>
      <sheetName val="June 2004 13%&amp;17% details"/>
      <sheetName val="June 2004 7% details"/>
      <sheetName val="财务费用Dy"/>
      <sheetName val="2002 DTT mgt ac"/>
      <sheetName val="Actual (n)"/>
      <sheetName val="2002-2004产销率"/>
      <sheetName val="J300"/>
      <sheetName val="HEADER"/>
      <sheetName val="版权方2004年度频道分布汇总表"/>
      <sheetName val="项目信息"/>
      <sheetName val="Input"/>
      <sheetName val="D3"/>
      <sheetName val="Conversion to EUR"/>
      <sheetName val="报表项目列表"/>
      <sheetName val="jhcyl"/>
      <sheetName val="FA-LISTING"/>
      <sheetName val="Sample Design(季报不适用)"/>
      <sheetName val="Provision"/>
      <sheetName val="5-1.存货明细-原物料"/>
      <sheetName val="5-1.存货明细-WIP"/>
      <sheetName val="5-1.存货明细-FG"/>
      <sheetName val="5-2.原物料報廢倉明細"/>
      <sheetName val="原物料報廢倉明細"/>
      <sheetName val="Sample size design"/>
      <sheetName val="存货清单"/>
      <sheetName val="IV1209"/>
      <sheetName val="制成品-产品"/>
      <sheetName val="在制品-产品"/>
      <sheetName val="原料"/>
      <sheetName val="物料"/>
      <sheetName val="2010.12.31"/>
      <sheetName val="WIP LCM"/>
      <sheetName val="FG LCM"/>
      <sheetName val="5-3.存货明细-WIP"/>
      <sheetName val="5-4.存货明细-FG"/>
      <sheetName val="原材料+物料存貨明細表"/>
      <sheetName val="WIP存貨明細表"/>
      <sheetName val="製成品存貨明細表"/>
      <sheetName val="原料報廢倉明細"/>
      <sheetName val="预付账款汇总表"/>
      <sheetName val="Chart of Acct"/>
      <sheetName val="This year-Budget-20092010"/>
      <sheetName val="Basic information"/>
      <sheetName val="9200"/>
      <sheetName val="总公司2002.12.31"/>
      <sheetName val="应付账款明细表"/>
      <sheetName val="固定资产"/>
      <sheetName val="I151-10"/>
      <sheetName val="Lease adjustment"/>
      <sheetName val="17应付票据明细表"/>
      <sheetName val="10-12"/>
      <sheetName val="ws9"/>
      <sheetName val="Rate"/>
      <sheetName val="附表6"/>
      <sheetName val="A.R 01"/>
      <sheetName val="公司代码"/>
      <sheetName val="UFPrn20190109164420"/>
      <sheetName val="销售6.13"/>
      <sheetName val="K420"/>
      <sheetName val="Vendor"/>
      <sheetName val="Consol FS"/>
      <sheetName val="J&amp;Q"/>
      <sheetName val="ARP"/>
      <sheetName val="审定表P6"/>
      <sheetName val="原材料发出计价测试-OK"/>
      <sheetName val="Group1"/>
      <sheetName val="差旅费"/>
      <sheetName val="PPE"/>
      <sheetName val="9月结存固定资产清单"/>
      <sheetName val="填表说明"/>
      <sheetName val="实收资本Dy"/>
      <sheetName val="1_12月"/>
      <sheetName val="11月"/>
      <sheetName val="12月"/>
      <sheetName val="56271-2"/>
      <sheetName val="５８D"/>
      <sheetName val="1_10月"/>
      <sheetName val="UFPrn20071013211250"/>
      <sheetName val="物资采购含税转出"/>
      <sheetName val="1-11基础信息"/>
      <sheetName val="3-03-01固资折旧"/>
      <sheetName val="TB表"/>
      <sheetName val="明细表K7-2"/>
      <sheetName val="UFPrn20030305081341"/>
      <sheetName val="税费动力"/>
      <sheetName val="报表20130630信威永胜"/>
      <sheetName val="A6"/>
      <sheetName val="pos. descr."/>
      <sheetName val="广告费和业务宣传费表"/>
      <sheetName val="资产减值准备表"/>
      <sheetName val="工资薪金表"/>
      <sheetName val="投资收益表"/>
      <sheetName val="附件(excel）"/>
      <sheetName val="业务招待费表"/>
      <sheetName val="成本日报(4-10)"/>
      <sheetName val="Canada"/>
      <sheetName val="填写参数"/>
      <sheetName val="存货审核表"/>
      <sheetName val="资产减值损失"/>
      <sheetName val="01 Bid Price summary"/>
      <sheetName val="GiaVL"/>
      <sheetName val="Thuc thanh"/>
      <sheetName val="DTCT"/>
      <sheetName val="基本参数"/>
      <sheetName val="Liabrary"/>
      <sheetName val="靶材分配比例"/>
      <sheetName val="Set-up"/>
      <sheetName val="E15-AFL"/>
      <sheetName val="基本信息"/>
      <sheetName val="BalanceSheet"/>
      <sheetName val="TB-2018"/>
      <sheetName val="GL-2018"/>
      <sheetName val="PPD Schedule"/>
      <sheetName val="目录"/>
      <sheetName val="ITEM"/>
      <sheetName val="SAR"/>
      <sheetName val="报表科目明细"/>
      <sheetName val="专项应付款Mx"/>
      <sheetName val="DONVIBAN"/>
      <sheetName val="NGUON"/>
      <sheetName val="设定"/>
      <sheetName val="01成品"/>
      <sheetName val="应付"/>
      <sheetName val="UFPrn20120201171347"/>
      <sheetName val="UFPrn20120201171700"/>
      <sheetName val="公司清单"/>
      <sheetName val="公司名单"/>
      <sheetName val="合并范围清单"/>
      <sheetName val="管理费用表分析-1"/>
      <sheetName val="利息支出分类表"/>
      <sheetName val="0605"/>
      <sheetName val="未安排订单（集团）"/>
      <sheetName val="2.1.CM6150(导入)"/>
      <sheetName val="Financ. Overview"/>
      <sheetName val="Category"/>
      <sheetName val="Variables"/>
      <sheetName val="安盛其他应收款-坏账"/>
      <sheetName val="1月固定资产清单"/>
      <sheetName val="期后回款情况 D2-4"/>
      <sheetName val="审计说明"/>
      <sheetName val="分项目明细 D2-M"/>
      <sheetName val="分客户预收明细表 D3-2"/>
      <sheetName val="#511BkRec"/>
      <sheetName val="#511-DEC97"/>
      <sheetName val="主要规划指标"/>
      <sheetName val="凭证核对内容"/>
      <sheetName val="Stock turnove_x005f"/>
      <sheetName val="12-坏账计提表"/>
      <sheetName val="Stock_turnove_x005f_x005f_x005f_x005f_x00_2"/>
      <sheetName val="公允价值变动损益Dy"/>
      <sheetName val="工程物资Dy"/>
      <sheetName val="Non-Statistical Sampling Master"/>
      <sheetName val="期后回款测试"/>
      <sheetName val="选择选项"/>
      <sheetName val="99.12"/>
      <sheetName val="evaluate资金回收"/>
      <sheetName val="库存商品"/>
      <sheetName val="1(分品种)"/>
      <sheetName val="xbase"/>
      <sheetName val="现金流量表"/>
      <sheetName val="收入明细表"/>
      <sheetName val="A430"/>
      <sheetName val="2013调整分录"/>
      <sheetName val="2012调整分录"/>
      <sheetName val="项目索引"/>
      <sheetName val="2009调整分录"/>
      <sheetName val="Menu"/>
      <sheetName val="3-11待摊"/>
      <sheetName val="6-1土地"/>
      <sheetName val="TB98"/>
      <sheetName val="应收账款Mx"/>
      <sheetName val="conWP"/>
      <sheetName val="p.5, bank int income"/>
      <sheetName val="税审调整分录汇总表"/>
      <sheetName val="利息测算表"/>
      <sheetName val="视同销售收入"/>
      <sheetName val="审计调整分录汇总表"/>
      <sheetName val="调整类型"/>
      <sheetName val="税审调整底稿"/>
      <sheetName val="营业收入"/>
      <sheetName val="报表格式"/>
      <sheetName val="视同销售成本"/>
      <sheetName val="营业成本"/>
      <sheetName val="YA-1-1"/>
      <sheetName val="关键控制测试表"/>
      <sheetName val="所有者权益(股东权益)变动表(未审)"/>
      <sheetName val="役"/>
      <sheetName val="3.现金流量表"/>
      <sheetName val="暂估"/>
      <sheetName val="06 六类公摊"/>
      <sheetName val="财务成本"/>
      <sheetName val="核算现金流量表"/>
      <sheetName val="生产成本账"/>
      <sheetName val="销售预测表"/>
      <sheetName val="信息说明"/>
      <sheetName val="2004电器设备"/>
      <sheetName val="2004电子设备"/>
      <sheetName val="2004房屋建筑物"/>
      <sheetName val="2004家具"/>
      <sheetName val="2004通用设备"/>
      <sheetName val="2004土地"/>
      <sheetName val="2004仪器仪表"/>
      <sheetName val="2004运输设备"/>
      <sheetName val="2004专用设备"/>
      <sheetName val="一区"/>
      <sheetName val="二区"/>
      <sheetName val="三区"/>
      <sheetName val="四区"/>
      <sheetName val="五区"/>
      <sheetName val="六区"/>
      <sheetName val="七区"/>
      <sheetName val="幼儿园小学"/>
      <sheetName val="进度"/>
      <sheetName val="项目规划指标"/>
      <sheetName val="现金流一区"/>
      <sheetName val="现金流(二区)"/>
      <sheetName val="现金流(三区)"/>
      <sheetName val="现金流(四区)"/>
      <sheetName val="现金流(五区)"/>
      <sheetName val="现金流(六区)"/>
      <sheetName val="现金流(七区)"/>
      <sheetName val="现金流(幼儿园小学)"/>
      <sheetName val="使用说明"/>
      <sheetName val="累计销售"/>
      <sheetName val="销售出库序时簿"/>
      <sheetName val="预收明细表"/>
      <sheetName val="预付明细"/>
      <sheetName val="分期收款发出12月"/>
      <sheetName val="应收市内"/>
      <sheetName val="应收外埠"/>
      <sheetName val="T  B"/>
      <sheetName val="损益推导"/>
      <sheetName val="项目利润表(PS)"/>
      <sheetName val="应付账款审定表"/>
      <sheetName val="master"/>
      <sheetName val="tot"/>
      <sheetName val=" "/>
      <sheetName val="Mp-team 1"/>
      <sheetName val="银行借款询证"/>
      <sheetName val="维简及井巷"/>
      <sheetName val="产销存"/>
      <sheetName val="1-6累计销售"/>
      <sheetName val="收入个月"/>
      <sheetName val="12进销存"/>
      <sheetName val="_x0000__x0000__x0000__x0000__x0000__x0000__x0000__x0000_"/>
      <sheetName val="名称（勿删）"/>
      <sheetName val="3480總表"/>
      <sheetName val="现金"/>
      <sheetName val="列表"/>
      <sheetName val="工资表"/>
      <sheetName val="年终奖合并"/>
      <sheetName val="个人所得税表"/>
      <sheetName val="薪酬标准"/>
      <sheetName val="人员信息表"/>
      <sheetName val="员工银行账号明细表"/>
      <sheetName val="内部公司清单"/>
      <sheetName val="ARP-U501"/>
      <sheetName val="g101"/>
      <sheetName val="E101"/>
      <sheetName val="ARP-U201"/>
      <sheetName val="K204"/>
      <sheetName val="机器设备"/>
      <sheetName val="低保五保电费支出"/>
      <sheetName val="Stock_turnove_x005f_x005f_x00_2"/>
      <sheetName val="13-坏账计提表"/>
      <sheetName val="上报资产负债表"/>
      <sheetName val="上报损益表"/>
      <sheetName val="现金流量表（月报）"/>
      <sheetName val="补充表"/>
      <sheetName val="Word附注"/>
      <sheetName val="Lifetable 80 percent Mortality"/>
      <sheetName val="FSM"/>
      <sheetName val="表1.5"/>
      <sheetName val="xj"/>
      <sheetName val="1.公司概况"/>
      <sheetName val="production cost"/>
      <sheetName val="General Data"/>
      <sheetName val="Sch PR-2"/>
      <sheetName val="Sch PR-3"/>
      <sheetName val="科目索引"/>
      <sheetName val="GT_Custom"/>
      <sheetName val="UFPrn20070303114642"/>
      <sheetName val="合并试算表"/>
      <sheetName val="2005"/>
      <sheetName val="可供出售金融资产Dy"/>
      <sheetName val="清单1"/>
      <sheetName val="主表"/>
      <sheetName val="附表三"/>
      <sheetName val="改造后数据表"/>
      <sheetName val="华房01"/>
      <sheetName val="健翔01"/>
      <sheetName val="京通01"/>
      <sheetName val="应付利息Dy"/>
      <sheetName val="VV"/>
      <sheetName val="YH1"/>
      <sheetName val="#511-SEPT97"/>
      <sheetName val="#511-OCT97"/>
      <sheetName val="#511-NOV97"/>
      <sheetName val="现调整"/>
      <sheetName val="附表2关联交易"/>
      <sheetName val="重要性水平"/>
      <sheetName val="关联方清单"/>
      <sheetName val="J411"/>
      <sheetName val="J412"/>
      <sheetName val="FY02"/>
      <sheetName val="Notes"/>
      <sheetName val="Inventory list "/>
      <sheetName val="存货材料成本差异"/>
      <sheetName val="北京"/>
      <sheetName val="北京原材料明细表"/>
      <sheetName val="深圳"/>
      <sheetName val="广州"/>
      <sheetName val="期末存货中关联方采购金额"/>
      <sheetName val="科目代码"/>
      <sheetName val="表二十九1（01）"/>
      <sheetName val="明细表2016"/>
      <sheetName val="会计科目表"/>
      <sheetName val="银行存款核对表"/>
      <sheetName val="Top22(GER)"/>
      <sheetName val="Rental PIT"/>
      <sheetName val="Sample test"/>
      <sheetName val="Business tax PIT"/>
      <sheetName val="Professional fee"/>
      <sheetName val="十一、消耗性生物资产G2-2-11"/>
      <sheetName val="管理费用明细表(2001年)"/>
      <sheetName val="出库"/>
      <sheetName val="入库"/>
      <sheetName val="TB资产"/>
      <sheetName val="其他应收款-2019.12.31"/>
      <sheetName val="其他应付款"/>
      <sheetName val="选项清单列表（不归档）"/>
      <sheetName val="UFPrn20050930091710"/>
      <sheetName val="UFPrn20050930204109"/>
      <sheetName val="关联方"/>
      <sheetName val="2021.10"/>
      <sheetName val="B1-1001"/>
      <sheetName val="明细表（账龄）M1-2"/>
      <sheetName val="明细表M9-2"/>
      <sheetName val="AFEMAI"/>
      <sheetName val="Detail Loan Move. &amp; Listing"/>
      <sheetName val="CAUDIT"/>
      <sheetName val="风险分类"/>
      <sheetName val="O101"/>
      <sheetName val="J8-9使用权资产负债确认汇总表2020年1月1日的租赁合同）"/>
      <sheetName val="KEY"/>
      <sheetName val="起"/>
      <sheetName val="末"/>
      <sheetName val="补贴收入明细表"/>
      <sheetName val="以前年度损益调整Dy"/>
      <sheetName val="dongia (2)"/>
      <sheetName val="销售收入"/>
      <sheetName val="代码"/>
      <sheetName val="06汇总"/>
      <sheetName val="主数据(车型)"/>
      <sheetName val="2月修改"/>
      <sheetName val="项目成本明细表"/>
      <sheetName val="收入毛利分析D4-3-1-分析"/>
      <sheetName val="D4-12-1销售退回核查-分析"/>
      <sheetName val="自定义名称"/>
      <sheetName val="Stock_turnove_x00_2"/>
      <sheetName val="抵销科目"/>
      <sheetName val="增值税测算表O1-4 -2019年"/>
      <sheetName val="科目设置"/>
      <sheetName val="产品名称.勿删"/>
      <sheetName val="Collateral"/>
      <sheetName val="Disposition"/>
      <sheetName val="BAS"/>
      <sheetName val="BUDGET"/>
      <sheetName val="Input-Act"/>
      <sheetName val="A股IPO审计程序汇总"/>
      <sheetName val="General"/>
      <sheetName val="待售物业"/>
      <sheetName val="发展中物业"/>
      <sheetName val="发展中物业明细"/>
      <sheetName val="其他存货"/>
      <sheetName val="Valuation of PFS"/>
      <sheetName val="Valuation of PUD"/>
      <sheetName val="Detail test"/>
      <sheetName val="Cut-off"/>
      <sheetName val="Detailed test"/>
      <sheetName val="PUD Breakdown"/>
      <sheetName val="Adjustment on 一期成本"/>
      <sheetName val="Initialize"/>
      <sheetName val="提足折旧"/>
      <sheetName val="G1-3b月度销售分析"/>
      <sheetName val="Setting"/>
      <sheetName val="BlsFinAss"/>
      <sheetName val="BlsFinTdp"/>
      <sheetName val="BlsGdw"/>
      <sheetName val="BlsOia"/>
      <sheetName val="BlsDch"/>
      <sheetName val="BlsOla"/>
      <sheetName val="BlsPrvPrp"/>
      <sheetName val="BlsPrvSre"/>
      <sheetName val="BlsPrvLit"/>
      <sheetName val="BlsPrvPrs"/>
      <sheetName val="BlsPrvSpb"/>
      <sheetName val="BlsPrvLst"/>
      <sheetName val="BlsPrvCbc"/>
      <sheetName val="BlsPrvOpv"/>
      <sheetName val="SysNavigation"/>
      <sheetName val="SysCompanyCodes"/>
      <sheetName val="SysOpcoCompanyCodes"/>
      <sheetName val="CafOpa"/>
      <sheetName val="O5 Lead-其他应付-Consol"/>
      <sheetName val="G2 Lead"/>
      <sheetName val="O5-4  Lead"/>
      <sheetName val="Bloomberg"/>
      <sheetName val="Summary (Wuhan)"/>
      <sheetName val="其他应收款明细表"/>
      <sheetName val="0_Menu"/>
      <sheetName val="Version"/>
      <sheetName val="Rates"/>
      <sheetName val="Summary_retrieve"/>
      <sheetName val="Malasia"/>
      <sheetName val="存货差异分析表"/>
      <sheetName val="B-3"/>
      <sheetName val="B-4"/>
      <sheetName val="表2&lt;销售出库单&gt;"/>
      <sheetName val="A300"/>
      <sheetName val="6月末SP库存"/>
      <sheetName val="CE"/>
      <sheetName val="IS"/>
      <sheetName val="Customize Your Loan Manager"/>
      <sheetName val="初始设定"/>
      <sheetName val="内销收人"/>
      <sheetName val="校验"/>
      <sheetName val="原报表"/>
      <sheetName val="上年审前调整"/>
      <sheetName val="上年审前试算表"/>
      <sheetName val="本年审前调整"/>
      <sheetName val="本年审前试算表"/>
      <sheetName val="审前报表"/>
      <sheetName val="2006TB"/>
      <sheetName val="银行列表"/>
      <sheetName val="报表11"/>
      <sheetName val="折旧测算表"/>
      <sheetName val="母公司TB"/>
      <sheetName val="Chart of Account"/>
      <sheetName val="清单"/>
      <sheetName val="关联方_物流集团"/>
      <sheetName val="存货_生产成本Dy"/>
      <sheetName val="主营业务成本mx"/>
      <sheetName val="注释补充表1"/>
      <sheetName val="阳光365人员情况表（截至2005.9.30）"/>
      <sheetName val="TAX COM"/>
      <sheetName val="其它业务收入分类"/>
      <sheetName val="B15 重要性计算表"/>
      <sheetName val="集团关联方清单"/>
      <sheetName val="数据有效性"/>
      <sheetName val="conBS"/>
      <sheetName val="conCE"/>
      <sheetName val="conCF"/>
      <sheetName val="conIS"/>
      <sheetName val="N__其他应收款"/>
      <sheetName val="N__应收账款"/>
      <sheetName val="N__营业收入及营业成本"/>
      <sheetName val="源"/>
      <sheetName val="Marco"/>
      <sheetName val="799"/>
      <sheetName val="应收账款明细分类账2019"/>
      <sheetName val="20年销售出库"/>
      <sheetName val="6.6-存货-制造费用明细表"/>
      <sheetName val="核算项目组合表"/>
      <sheetName val="全部预算"/>
      <sheetName val="A3 &amp; U 09-01"/>
      <sheetName val="公司名称一览表"/>
      <sheetName val="UFPrn20210115161842"/>
      <sheetName val="单位往来"/>
      <sheetName val="投资保证金"/>
      <sheetName val="2019—库存商品库龄"/>
      <sheetName val="2018年报表"/>
      <sheetName val="预期信用损失的计量测试D2-14（20201231）"/>
      <sheetName val="鼎信诺字典表"/>
      <sheetName val="现金流量表(未审)"/>
      <sheetName val="偿债力分析"/>
      <sheetName val="应收帐款询证函"/>
      <sheetName val="Final"/>
      <sheetName val="JA#1"/>
      <sheetName val="JA#2&amp;5"/>
      <sheetName val="Stock_turnove_x005f_x005f_x005f_x005f_x005f"/>
      <sheetName val="合并"/>
      <sheetName val="dm"/>
      <sheetName val="清冊"/>
      <sheetName val="12月开票明细"/>
      <sheetName val="Income tax reconciliation"/>
      <sheetName val="账户汇总表_2017年1月至12月_"/>
      <sheetName val="2013.10-2014.9原材料外购入库序时簿"/>
      <sheetName val="未实现毛利及收入成本抵消"/>
      <sheetName val="Dis."/>
      <sheetName val="合并TB-19年"/>
      <sheetName val="采购订单3名"/>
      <sheetName val="审计程序D29"/>
      <sheetName val="合并起点"/>
      <sheetName val="母公司汇总"/>
      <sheetName val="九、开发成本G2-2-9"/>
      <sheetName val="八、开发产品G2-2-8"/>
      <sheetName val="一、原材料明细表G2-2-1"/>
      <sheetName val="二、材料采购、在途物资明细表G2-2-2"/>
      <sheetName val="三、周转材料、低值易耗品，包装物明细表G2-2-3"/>
      <sheetName val="四、自制半成品明细表G2-2-4"/>
      <sheetName val="六、库存商品明细表G2-2-6"/>
      <sheetName val="七、发出商品G2-2-7"/>
      <sheetName val="订"/>
      <sheetName val="2-R1619"/>
      <sheetName val="研发项目"/>
      <sheetName val="资金计划项目说明"/>
      <sheetName val="database"/>
      <sheetName val="원단위"/>
      <sheetName val="类型设置"/>
      <sheetName val="往来"/>
      <sheetName val="分析报告 "/>
      <sheetName val="Master Data"/>
      <sheetName val="detail"/>
      <sheetName val="汇总"/>
      <sheetName val="税后工资测算"/>
      <sheetName val="UFPrn20050405152516"/>
      <sheetName val="Net Sales (Monthly) Projection"/>
      <sheetName val="销售明细-2021"/>
      <sheetName val="存货收发存-2021"/>
      <sheetName val="明细表D4-20"/>
      <sheetName val="原材料&amp;存货跌价 list"/>
      <sheetName val="生产成本list"/>
      <sheetName val="2009.12.31日完工比例"/>
      <sheetName val="2011.12.31完工比例"/>
      <sheetName val="2010.06.30完工比例"/>
      <sheetName val="库存明细2011"/>
      <sheetName val="在途"/>
      <sheetName val="其他业务利润"/>
      <sheetName val="其他材料收入重复"/>
      <sheetName val="其他材料收入账"/>
      <sheetName val="预收"/>
      <sheetName val="F1"/>
      <sheetName val="销售费用"/>
      <sheetName val="截止测试-入库G2-7-1"/>
      <sheetName val="TB试算表_本年"/>
      <sheetName val="院级设计"/>
      <sheetName val="银行存款明细表"/>
      <sheetName val="人员支出"/>
      <sheetName val="农业用地"/>
      <sheetName val="2002年一般预算收入"/>
      <sheetName val="RYRPADTN"/>
      <sheetName val="2019收入成本（未审）"/>
      <sheetName val="2019年6月-2020年5月项目收入成本一览"/>
      <sheetName val="TB-公证天业"/>
      <sheetName val="BKD-氢能"/>
      <sheetName val="2045020001"/>
      <sheetName val="schedule"/>
      <sheetName val="2008 SPL"/>
      <sheetName val="TargetReports"/>
      <sheetName val="KIINAS"/>
      <sheetName val="BW_FAELI"/>
      <sheetName val="（27）实收资本"/>
      <sheetName val="面积指标"/>
      <sheetName val="固定资产2001年折旧"/>
      <sheetName val="所得税凭证抽查"/>
      <sheetName val="W3"/>
      <sheetName val="数字视频并帐"/>
      <sheetName val="P1"/>
      <sheetName val="Listen"/>
      <sheetName val="(6413)销售费用"/>
      <sheetName val="管理"/>
      <sheetName val="主营成本"/>
      <sheetName val="其他应付款 "/>
      <sheetName val="UFPrn20050217103510"/>
      <sheetName val="应付账款"/>
      <sheetName val="6113应收账款"/>
      <sheetName val="Start"/>
      <sheetName val="cov"/>
      <sheetName val="046 Fixed Ass. mov."/>
      <sheetName val="Open"/>
      <sheetName val="获签学生登记表-直客"/>
      <sheetName val="TPM"/>
      <sheetName val="UFPrn20010510092817"/>
      <sheetName val="UFPrn20010510092918"/>
      <sheetName val="设备部房屋"/>
      <sheetName val="表六 "/>
      <sheetName val="A41-2折旧测试"/>
      <sheetName val="披露表（上市）"/>
      <sheetName val="P-7 CF Fed"/>
      <sheetName val="应收-全"/>
      <sheetName val="二月"/>
      <sheetName val="2011调整分录"/>
      <sheetName val="B7-2-1应付账款余额表"/>
      <sheetName val="一级"/>
      <sheetName val="2003本部资产负债试算表"/>
      <sheetName val="2003本部利润及利润分配表试算表"/>
      <sheetName val="tra-vat-lieu"/>
      <sheetName val="威海汉邦"/>
      <sheetName val="dtct cong"/>
      <sheetName val="数据源-勿动"/>
      <sheetName val="BPR"/>
      <sheetName val="2015PPE"/>
      <sheetName val="资产负债表-母"/>
      <sheetName val="Sheet668"/>
      <sheetName val="USD Data input"/>
      <sheetName val="附表2"/>
      <sheetName val="在制"/>
      <sheetName val="22"/>
      <sheetName val="M 67"/>
      <sheetName val="福利费1"/>
      <sheetName val="整理"/>
      <sheetName val="RawData"/>
      <sheetName val="1－5月余额表"/>
      <sheetName val="1－10月余额表"/>
      <sheetName val="数量金额明细账"/>
      <sheetName val="Jumei"/>
      <sheetName val="SW"/>
      <sheetName val="JDMCode"/>
      <sheetName val="PanelInfo"/>
      <sheetName val="2.1 PS估值分析-上市公司"/>
      <sheetName val="3111"/>
      <sheetName val="3113"/>
      <sheetName val="_8013"/>
      <sheetName val="序时帐"/>
      <sheetName val="Common Assumptions"/>
      <sheetName val="4528"/>
      <sheetName val="有效性"/>
      <sheetName val="Bid_Details"/>
      <sheetName val="BW系统 原稿"/>
      <sheetName val="营业费用02"/>
      <sheetName val="Provision list"/>
      <sheetName val="现金流分录汇总"/>
      <sheetName val="递延所得税资产Dy"/>
      <sheetName val="产能统计（2014）"/>
      <sheetName val="审定_资产负债表"/>
      <sheetName val="未审_资产负债表"/>
      <sheetName val="C1"/>
      <sheetName val="科目代码表"/>
      <sheetName val="UFPrn20200514122159"/>
      <sheetName val="accode"/>
      <sheetName val="NBCF"/>
      <sheetName val="2019年6月其他应付款明细表M4-2  "/>
      <sheetName val="关联方应收款"/>
      <sheetName val="长期借款 (2)"/>
      <sheetName val="短期借款"/>
      <sheetName val="存货Dy"/>
      <sheetName val="收入和成本对应表"/>
      <sheetName val="调整分录 "/>
      <sheetName val="营业费用截止"/>
      <sheetName val="2017_6_30记6号"/>
      <sheetName val="1_主营业务收入"/>
      <sheetName val="工程汇总表 2020新收入准则"/>
      <sheetName val="A180-10"/>
      <sheetName val="填制说明"/>
      <sheetName val="科目2015"/>
      <sheetName val="2018"/>
      <sheetName val="应交税费审定表"/>
      <sheetName val="画底稿使用"/>
      <sheetName val="调整后报表"/>
      <sheetName val="D4-3-2"/>
      <sheetName val="AP"/>
      <sheetName val="NPBOC"/>
      <sheetName val="NPIC"/>
      <sheetName val="会企01表"/>
      <sheetName val="会企02表"/>
      <sheetName val="G2-5生产成本审定表"/>
      <sheetName val="款项性质明细"/>
      <sheetName val="审计调整汇总G1-0-1"/>
      <sheetName val="房租物业余额G1-3"/>
      <sheetName val="HL"/>
      <sheetName val="F01-A (2)"/>
      <sheetName val="固定资产、累计折旧、减值准备明细表"/>
      <sheetName val="现金流量1-10月"/>
      <sheetName val="10月"/>
      <sheetName val="2月"/>
      <sheetName val="3月"/>
      <sheetName val="4月"/>
      <sheetName val="7月"/>
      <sheetName val="8月"/>
      <sheetName val="9月"/>
      <sheetName val="敏感参数"/>
      <sheetName val="1 项目情况"/>
      <sheetName val="1 项目利润表(PS)"/>
      <sheetName val="3 损益推导"/>
      <sheetName val="l&gt;y"/>
      <sheetName val="inventories aging"/>
      <sheetName val="原材料 (y.e.)"/>
      <sheetName val="不合格原材料 (y.e.)"/>
      <sheetName val="产成品 (y.e.)"/>
      <sheetName val="Aging"/>
      <sheetName val="产成品"/>
      <sheetName val="不合格原材料"/>
      <sheetName val="委外加工"/>
      <sheetName val="Aging Summary（2005.6）"/>
      <sheetName val="Aging-材料"/>
      <sheetName val="Aging-产品"/>
      <sheetName val="Aging-特别"/>
      <sheetName val="Summary 06.9"/>
      <sheetName val="Inventory Breakdown"/>
      <sheetName val="Tickmark"/>
      <sheetName val="China"/>
      <sheetName val="inventories list by amount"/>
      <sheetName val="Sheet841"/>
      <sheetName val="BKD-库存材料"/>
      <sheetName val="BKD-周转材料"/>
      <sheetName val="存货周转率测试"/>
      <sheetName val="周转材料摊销"/>
      <sheetName val="Purchase Test"/>
      <sheetName val="定义"/>
      <sheetName val="枚举字典"/>
      <sheetName val="mvt"/>
      <sheetName val="支出项目对应现金流项目"/>
      <sheetName val="UFPrn2003其他"/>
      <sheetName val="sales"/>
      <sheetName val="数据源"/>
      <sheetName val="审计工作底稿目录"/>
      <sheetName val="面料"/>
      <sheetName val="辅料"/>
      <sheetName val="燃料"/>
      <sheetName val="预收帐款"/>
      <sheetName val="毛利分析图"/>
      <sheetName val="_"/>
      <sheetName val="控制测试样本量"/>
      <sheetName val="01"/>
      <sheetName val="010"/>
      <sheetName val="011"/>
      <sheetName val="012"/>
      <sheetName val="02"/>
      <sheetName val="05"/>
      <sheetName val="07"/>
      <sheetName val="08"/>
      <sheetName val="09"/>
      <sheetName val="37.租赁明细"/>
      <sheetName val="正式"/>
      <sheetName val="D2-7本期应收结算单查验"/>
      <sheetName val="预算假设-项目状态"/>
      <sheetName val="23"/>
      <sheetName val="资产"/>
      <sheetName val="租赁计算表19"/>
      <sheetName val="租赁计算表30"/>
      <sheetName val="租赁计算表37"/>
      <sheetName val="租赁计算表26"/>
      <sheetName val="租赁计算表42"/>
      <sheetName val="租赁计算表49"/>
      <sheetName val="租赁计算表48"/>
      <sheetName val="租赁计算表47"/>
      <sheetName val="租赁计算表59"/>
      <sheetName val="租赁计算表73"/>
      <sheetName val="租赁计算表76"/>
      <sheetName val="租赁计算表107"/>
      <sheetName val="租赁计算表111"/>
      <sheetName val="租赁计算表120"/>
      <sheetName val="租赁计算表89"/>
      <sheetName val="租赁计算表52"/>
      <sheetName val="租赁计算表69"/>
      <sheetName val="租赁计算表86"/>
      <sheetName val="租赁计算表127"/>
      <sheetName val="租赁计算表132"/>
      <sheetName val="明细汇总表"/>
      <sheetName val="租赁计算表133"/>
      <sheetName val="租赁计算表134"/>
      <sheetName val="租赁计算表135"/>
      <sheetName val="租赁计算表137"/>
      <sheetName val="租赁计算表138"/>
      <sheetName val="租赁计算表100"/>
      <sheetName val="租赁计算表16"/>
      <sheetName val="担保"/>
      <sheetName val="CRITERIA1"/>
      <sheetName val="CRITERIA2"/>
      <sheetName val="1461（12.6）"/>
      <sheetName val="销售毛利润汇总表"/>
      <sheetName val="A子公司"/>
      <sheetName val="98调整分录表"/>
      <sheetName val="FA-06-不看"/>
      <sheetName val="FA-05-不看"/>
      <sheetName val="mapping"/>
      <sheetName val="产品销售毛利表"/>
      <sheetName val="01 Balance Sheet资产负债表"/>
      <sheetName val="PY-pp"/>
      <sheetName val="Sheet761"/>
      <sheetName val="F.T"/>
      <sheetName val="CONSOL"/>
      <sheetName val="待摊费用明细表"/>
      <sheetName val="资产评估结果分类汇总表 (2)"/>
      <sheetName val="调整汇总19"/>
      <sheetName val="调整汇总16"/>
      <sheetName val="调整汇总18"/>
      <sheetName val="调整汇总17"/>
      <sheetName val="母公司调整汇总17"/>
      <sheetName val="项目名称"/>
      <sheetName val="参考1-项目明细"/>
      <sheetName val="期別全体表"/>
      <sheetName val="2017年开发支出余额"/>
      <sheetName val="分析表L1-3-1"/>
      <sheetName val="2004年试算表"/>
      <sheetName val="BKD天津瑞贝"/>
      <sheetName val="BKD瑞奇北京"/>
      <sheetName val="BKD上海华外"/>
      <sheetName val="BKD瑞奇中国"/>
      <sheetName val="DEP PIT-SH"/>
      <sheetName val="DEP PIT -GZ"/>
      <sheetName val="库存商品余额表.dbf"/>
      <sheetName val="销售单价公允性"/>
      <sheetName val="工作底稿扉页"/>
      <sheetName val="Y3-1一般会计制度附注"/>
      <sheetName val="PAF"/>
      <sheetName val="營業成本表"/>
      <sheetName val="94"/>
      <sheetName val="Adm97"/>
      <sheetName val="2005-5"/>
      <sheetName val="TB2005"/>
      <sheetName val="SCH 2 - Highlights_2"/>
      <sheetName val="dentaltable"/>
      <sheetName val="Products"/>
      <sheetName val="Flow"/>
      <sheetName val="G2 存货"/>
      <sheetName val="G5 主营业务成本"/>
      <sheetName val="TB2017"/>
      <sheetName val="TB2018"/>
      <sheetName val="GL2018"/>
      <sheetName val="JE JX "/>
      <sheetName val="JE SH"/>
      <sheetName val="TB2021"/>
      <sheetName val="JE2021"/>
      <sheetName val="Excel版财务报表附注"/>
      <sheetName val="Sheet481"/>
      <sheetName val="20年出库"/>
      <sheetName val="无形资产"/>
      <sheetName val="利润表项目"/>
      <sheetName val="INVDAYS"/>
      <sheetName val="表三甲"/>
      <sheetName val="11-1"/>
      <sheetName val="数据汇总表"/>
      <sheetName val="A2-1试算"/>
      <sheetName val="Sheet929"/>
      <sheetName val="管理费用(集团董事会)"/>
      <sheetName val="收发存汇总表"/>
      <sheetName val="折旧计算表"/>
      <sheetName val="Currency"/>
      <sheetName val="DropDown"/>
      <sheetName val="Non-Statistical Sampling"/>
      <sheetName val="基础条件"/>
      <sheetName val="数据库表"/>
      <sheetName val="销售明细账审计后"/>
      <sheetName val="08现金流量底稿"/>
      <sheetName val="09现金流量底稿"/>
      <sheetName val="Major"/>
      <sheetName val="profit2 (2)"/>
      <sheetName val="351B发出商品明细-不打印"/>
      <sheetName val="351A发出商品测试"/>
      <sheetName val="3402存货导引表"/>
      <sheetName val="3月生产成本凭证"/>
      <sheetName val="能耗计算 OK "/>
      <sheetName val="应付帐款余额表"/>
      <sheetName val="或有事项"/>
      <sheetName val="关联方交易"/>
      <sheetName val="其他综合收益"/>
      <sheetName val="审定表M4"/>
      <sheetName val="FIN48 TP Doc"/>
      <sheetName val="Sheet751"/>
      <sheetName val="银行未达账项明细表"/>
      <sheetName val="资产负债表（新）"/>
      <sheetName val="Sheet910"/>
      <sheetName val="制造费用明细表"/>
      <sheetName val="生产成本检查表"/>
      <sheetName val="销售费用截止测试"/>
      <sheetName val="附注披露信息（上市公司）L1-1"/>
      <sheetName val="Sheet447"/>
      <sheetName val="销项税"/>
      <sheetName val="SCH H"/>
      <sheetName val="Planning"/>
      <sheetName val="Planning Extension"/>
      <sheetName val="Audit Results Ext"/>
      <sheetName val="Audit Results Upper Stratum Ext"/>
      <sheetName val="Population Characteristics"/>
      <sheetName val="Individually Significant Items"/>
      <sheetName val="Projection Extended Sample"/>
      <sheetName val="Projection"/>
      <sheetName val="D2-1 应收账款Leadsheet"/>
      <sheetName val="存货明细表"/>
      <sheetName val="收入检查表（是否全部开票及船舶离港时间1-10）D4-3-1"/>
      <sheetName val="No.305"/>
      <sheetName val="No.404"/>
      <sheetName val="Contents"/>
      <sheetName val="市场比较法"/>
      <sheetName val="基础资料"/>
      <sheetName val="账项调整"/>
      <sheetName val="索引表"/>
      <sheetName val="申报表封面"/>
      <sheetName val="全年折旧"/>
      <sheetName val="固定资产清理"/>
      <sheetName val="Basic_Information"/>
      <sheetName val="FORM14_2"/>
      <sheetName val="新城资金明细"/>
      <sheetName val="申鑫大厦租金明细"/>
      <sheetName val="三林明细"/>
      <sheetName val="东陆明细"/>
      <sheetName val="在建工程"/>
      <sheetName val="函证结果汇总表M1-5"/>
      <sheetName val="集团关联单位"/>
      <sheetName val="个人备用金账龄"/>
      <sheetName val="审定表M1 "/>
      <sheetName val="预期信用损失的计量测试M1-7-1"/>
      <sheetName val="发货单列表"/>
      <sheetName val="Sheet829"/>
      <sheetName val="Sheet703"/>
      <sheetName val="披露表-国企报告"/>
      <sheetName val="披露表-上市公司报告"/>
      <sheetName val="Sheet748"/>
      <sheetName val="投资"/>
      <sheetName val="筹资"/>
      <sheetName val="首页"/>
      <sheetName val="绝对估值"/>
      <sheetName val="销售输入表"/>
      <sheetName val="C101"/>
      <sheetName val="管理费用检查表"/>
      <sheetName val="营业外收入检查情况表"/>
      <sheetName val="营业费用检查表"/>
      <sheetName val="A105010"/>
      <sheetName val="nada"/>
      <sheetName val="dropdowns"/>
      <sheetName val="通用设备折旧复核"/>
      <sheetName val="专用设备折旧复核"/>
      <sheetName val="运输设备折旧复核"/>
      <sheetName val="电子设备折旧复核"/>
      <sheetName val="其他设备折旧"/>
      <sheetName val="Sheet794"/>
      <sheetName val="白玻综合成本"/>
      <sheetName val="综合成本"/>
      <sheetName val="LF"/>
      <sheetName val="MB51"/>
      <sheetName val="Nov,01"/>
      <sheetName val="存货收发存汇总表"/>
      <sheetName val="CE_P"/>
      <sheetName val="ADJ Sum(console)"/>
      <sheetName val="利润中心"/>
      <sheetName val="折旧表"/>
      <sheetName val="固定资产卡片"/>
      <sheetName val="2009投资明细表"/>
      <sheetName val="a"/>
      <sheetName val="L1-1"/>
      <sheetName val="97년"/>
      <sheetName val="LADJ Recon "/>
      <sheetName val="For report Disclosure"/>
      <sheetName val="Turnover days analysis"/>
      <sheetName val="5442(ref)"/>
      <sheetName val="5443(ref)"/>
      <sheetName val="For PACKAGE"/>
      <sheetName val="本部"/>
      <sheetName val="西安"/>
      <sheetName val="重庆"/>
      <sheetName val="成都"/>
      <sheetName val="哈尔滨"/>
      <sheetName val="大连"/>
      <sheetName val="沈阳"/>
      <sheetName val="秦皇岛"/>
      <sheetName val="武汉"/>
      <sheetName val="郑州"/>
      <sheetName val="天津"/>
      <sheetName val="烟台"/>
      <sheetName val="青岛"/>
      <sheetName val="济南"/>
      <sheetName val="南昌"/>
      <sheetName val="合肥"/>
      <sheetName val="嘉兴"/>
      <sheetName val="温州"/>
      <sheetName val="台州"/>
      <sheetName val="宁波"/>
      <sheetName val="杭州"/>
      <sheetName val="扬州"/>
      <sheetName val="南通"/>
      <sheetName val="常州"/>
      <sheetName val="南京"/>
      <sheetName val="张家港"/>
      <sheetName val="江阴"/>
      <sheetName val="无锡"/>
      <sheetName val="昆山"/>
      <sheetName val="苏州"/>
      <sheetName val="嘉定"/>
      <sheetName val="松江"/>
      <sheetName val="长沙"/>
      <sheetName val="福州"/>
      <sheetName val="泉州"/>
      <sheetName val="厦门"/>
      <sheetName val="惠州"/>
      <sheetName val="汕头"/>
      <sheetName val="花都"/>
      <sheetName val="番禺"/>
      <sheetName val="莞城"/>
      <sheetName val="塘厦"/>
      <sheetName val="长安"/>
      <sheetName val="佛山"/>
      <sheetName val="顺德"/>
      <sheetName val="中山"/>
      <sheetName val="龙岗"/>
      <sheetName val="漳州"/>
      <sheetName val="浦东"/>
      <sheetName val="绍兴"/>
      <sheetName val="石家庄"/>
      <sheetName val="存货--12.31"/>
      <sheetName val="存货库龄分析"/>
      <sheetName val="存货跌价2013.1.4"/>
      <sheetName val="6月生产成本"/>
      <sheetName val="3-1-1现金"/>
      <sheetName val="股本Dy"/>
      <sheetName val="应收出口退税mx"/>
      <sheetName val="payroll "/>
      <sheetName val="2003年预付账款明细账"/>
      <sheetName val="其他业务利润Dy"/>
      <sheetName val="营业费用Dy"/>
      <sheetName val="应收票据Dy"/>
      <sheetName val="LinkData"/>
      <sheetName val="30.06.03"/>
      <sheetName val="主营业务收入mx"/>
      <sheetName val="余额表（终稿）"/>
      <sheetName val="5-1-3管沟"/>
      <sheetName val="5-3工程物资"/>
      <sheetName val="5-4-2在建安装"/>
      <sheetName val="5-5固定清理"/>
      <sheetName val="5-6待处理固定损失"/>
      <sheetName val="丁字帐户"/>
      <sheetName val="KLHT"/>
      <sheetName val="每月資料"/>
      <sheetName val="无形资产Dy"/>
      <sheetName val="无形资产减值准备Dy"/>
      <sheetName val="应收补贴款Dy"/>
      <sheetName val="其他流动资产Dy"/>
      <sheetName val="内部往来Dy"/>
      <sheetName val="长期待摊费用Dy"/>
      <sheetName val="管理费用mx"/>
      <sheetName val="存货Cx"/>
      <sheetName val="按客户"/>
      <sheetName val="FLdeleted"/>
      <sheetName val="存货_库存商品Dy"/>
      <sheetName val="应付工资Dy"/>
      <sheetName val="应付福利费Dy"/>
      <sheetName val="预提费用Dy"/>
      <sheetName val="长期股权投资Mx"/>
      <sheetName val="Final sample listing"/>
      <sheetName val="UFPrn20200921194626"/>
      <sheetName val="余额表200606"/>
      <sheetName val="200611"/>
      <sheetName val="200612"/>
      <sheetName val="Segment"/>
      <sheetName val="list of LC"/>
      <sheetName val="冻品入库"/>
      <sheetName val="鸡油车间"/>
      <sheetName val="conWP1"/>
      <sheetName val="外销收入明细表"/>
      <sheetName val="UFPrn20060111164230"/>
      <sheetName val="07年1-9月"/>
      <sheetName val="dep08"/>
      <sheetName val="成本计提模板"/>
      <sheetName val="信用证分银行"/>
      <sheetName val="商承分银行"/>
      <sheetName val="基本情况"/>
      <sheetName val="商保"/>
      <sheetName val="投资收益Mx"/>
      <sheetName val="三分厂04年1-12月销售价 "/>
      <sheetName val="05年1月销售价"/>
      <sheetName val="04年12月销售价"/>
      <sheetName val="大额未达"/>
      <sheetName val="校对"/>
      <sheetName val="抵消信息表"/>
      <sheetName val="以前年度损益调整"/>
      <sheetName val="已审CF"/>
      <sheetName val="Khoan cong truong Tan De"/>
      <sheetName val="成本"/>
      <sheetName val="MG1"/>
      <sheetName val="USCV3"/>
      <sheetName val="879099"/>
      <sheetName val="资产负债表(本部原报)"/>
      <sheetName val="_Profile"/>
      <sheetName val="附件3-1 穿行待补-展升"/>
      <sheetName val="待摊费用Dy"/>
      <sheetName val="固定资产折旧报表"/>
      <sheetName val="在建工程Dy"/>
      <sheetName val="Accounts"/>
      <sheetName val="生产成本Dy"/>
      <sheetName val="ACTINV"/>
      <sheetName val="H增"/>
      <sheetName val="Net Trans Sum"/>
      <sheetName val="A_Gen"/>
      <sheetName val="Sens"/>
      <sheetName val="20071-10月原材料发出计价测试(不打)"/>
      <sheetName val="200712"/>
      <sheetName val="自制半成品1-12计价测试"/>
      <sheetName val="产成品收发存余额表1-12"/>
      <sheetName val="预付账款Mx"/>
      <sheetName val="帐上"/>
      <sheetName val="$TB 1"/>
      <sheetName val="$TB"/>
      <sheetName val="Devices"/>
      <sheetName val="3. Textile"/>
      <sheetName val="7. NN staff turnover report"/>
      <sheetName val="帐套"/>
      <sheetName val="明细"/>
      <sheetName val="生产领料序时簿"/>
      <sheetName val="新的工作表"/>
      <sheetName val="合并试算平衡表"/>
      <sheetName val="综合成本分析01.01-0205"/>
      <sheetName val="武平流水"/>
      <sheetName val="销售收入底稿"/>
      <sheetName val="混料"/>
      <sheetName val="基本信息_百鑫"/>
      <sheetName val="To tied 2001 opening RE"/>
      <sheetName val="T.B."/>
      <sheetName val="Sheet697"/>
      <sheetName val="Sheet912"/>
      <sheetName val="预收分期表"/>
      <sheetName val="预收账款明细表D3-2"/>
      <sheetName val="轨道一厂在产品盘点倒轧表G2-6-5"/>
      <sheetName val="重分类错报表"/>
      <sheetName val="裕华城"/>
      <sheetName val="收入毛利分析D4-21"/>
      <sheetName val="海外客户提单检查"/>
      <sheetName val="U8数据"/>
      <sheetName val="Competition ¥"/>
      <sheetName val="表头及目录"/>
      <sheetName val="B15 重要性计算表(审计前）"/>
      <sheetName val="N__财务费用"/>
      <sheetName val="N__持有至到期投资"/>
      <sheetName val="N__存货"/>
      <sheetName val="N__递延所得税资产和递延所得税负债"/>
      <sheetName val="N__短期借款"/>
      <sheetName val="所合并"/>
      <sheetName val="资合并"/>
      <sheetName val="N__工程物资"/>
      <sheetName val="N__公允价值变动收益"/>
      <sheetName val="N__股本"/>
      <sheetName val="N__固定资产"/>
      <sheetName val="N__固定资产清理"/>
      <sheetName val="N__管理费用"/>
      <sheetName val="N__货币资金"/>
      <sheetName val="N__交易性金融负债"/>
      <sheetName val="N__交易性金融资产"/>
      <sheetName val="N__开发支出"/>
      <sheetName val="N__可供出售金融资产"/>
      <sheetName val="N__库存股"/>
      <sheetName val="利合并"/>
      <sheetName val="N__每股收益"/>
      <sheetName val="N__其他非流动负债"/>
      <sheetName val="N__其他非流动资产"/>
      <sheetName val="N__其他流动负债"/>
      <sheetName val="N__其他应付款"/>
      <sheetName val="N__其他综合收益"/>
      <sheetName val="N__其他流动资产"/>
      <sheetName val="N__商誉"/>
      <sheetName val="N__生产性生物资产"/>
      <sheetName val="N__所得税费用"/>
      <sheetName val="N__投资收益"/>
      <sheetName val="N__投资性房地产"/>
      <sheetName val="N__未分配利润"/>
      <sheetName val="N__无形资产"/>
      <sheetName val="N__现金流量表附注"/>
      <sheetName val="现合并"/>
      <sheetName val="N__销售费用"/>
      <sheetName val="N__一年内到期的非流动负债"/>
      <sheetName val="N__一年内到期的非流动资产"/>
      <sheetName val="N__盈余公积"/>
      <sheetName val="N__税金及附加"/>
      <sheetName val="N__营业外收入"/>
      <sheetName val="N__营业外支出"/>
      <sheetName val="N__应付股利"/>
      <sheetName val="N__应付利息"/>
      <sheetName val="N__应付票据"/>
      <sheetName val="N__应付债券"/>
      <sheetName val="N__应付账款"/>
      <sheetName val="N__应付职工薪酬"/>
      <sheetName val="N__应交税费"/>
      <sheetName val="N__应收股利"/>
      <sheetName val="N__应收利息"/>
      <sheetName val="N__应收票据"/>
      <sheetName val="N__油气资产"/>
      <sheetName val="N__预付款项"/>
      <sheetName val="N__预计负债"/>
      <sheetName val="N__预收账款"/>
      <sheetName val="N__在建工程"/>
      <sheetName val="N__长期待摊费用"/>
      <sheetName val="N__长期借款"/>
      <sheetName val="N__长期应付款"/>
      <sheetName val="N__长期应收款"/>
      <sheetName val="N__专项储备"/>
      <sheetName val="N__专项应付款"/>
      <sheetName val="N__资本公积"/>
      <sheetName val="N__资产减值损失"/>
      <sheetName val="N__资产减值准备"/>
      <sheetName val="Sheet_Serial"/>
      <sheetName val="FA MVT"/>
      <sheetName val="Physical Description"/>
      <sheetName val="DEF"/>
      <sheetName val="社員リスト"/>
      <sheetName val="固定资产借贷方分析J1-3"/>
      <sheetName val="折旧测算表（不含减值）-直线法J1-8-1-页数多，仅打印头尾"/>
      <sheetName val="明细表J1-2"/>
      <sheetName val="累计折旧重新测算（不含减值）J1-8-2-仅打印头尾"/>
      <sheetName val="标准UPPH"/>
      <sheetName val="28"/>
      <sheetName val="14"/>
      <sheetName val="36"/>
      <sheetName val="13"/>
      <sheetName val="16-1"/>
      <sheetName val="16-2"/>
      <sheetName val="16-3"/>
      <sheetName val="Group"/>
      <sheetName val="FK Ma"/>
      <sheetName val="MetaData"/>
      <sheetName val="現金流量"/>
      <sheetName val="固清"/>
      <sheetName val="Wacc"/>
      <sheetName val="5440彙總表"/>
      <sheetName val="PopCache_Sheet1"/>
      <sheetName val="IPO"/>
      <sheetName val="总账"/>
      <sheetName val="yszk200412.dbf"/>
      <sheetName val="U321"/>
      <sheetName val="dd"/>
      <sheetName val="维简费"/>
      <sheetName val="维简费返还"/>
      <sheetName val="Threshold Table"/>
      <sheetName val="Translation FRF"/>
      <sheetName val="凭证汇总"/>
      <sheetName val="Sales by customer- details"/>
      <sheetName val="&lt;FF&gt; Tax Payable"/>
      <sheetName val="基础设置"/>
      <sheetName val="期末应付账款明细表G4-2"/>
      <sheetName val="C - Cash and Bank"/>
      <sheetName val="8-1"/>
      <sheetName val="大额运费分析表G4-4-4"/>
      <sheetName val="科目设定"/>
      <sheetName val="销售发票专用序时簿"/>
      <sheetName val="PRC 15"/>
      <sheetName val="本期调整分录"/>
      <sheetName val="上期调整分录"/>
      <sheetName val="现流本期编制分录"/>
      <sheetName val="现流上期编制分录"/>
      <sheetName val="资产负债表、利润表、现金流量表"/>
      <sheetName val="销售发票序时簿"/>
      <sheetName val="PRC 13"/>
      <sheetName val="May"/>
      <sheetName val="33230"/>
      <sheetName val="hidesheet"/>
      <sheetName val="函证结果汇总表D4-34"/>
      <sheetName val="财企01表_南宁轨道交通集团有限责任公司（集团合并）期末数"/>
      <sheetName val="2021年TB"/>
      <sheetName val="凭证汇总1"/>
      <sheetName val="Cash Flows"/>
      <sheetName val="人事明细"/>
      <sheetName val="半成品slje"/>
      <sheetName val="9-12月"/>
      <sheetName val="附注索引"/>
      <sheetName val="汇总核对表"/>
      <sheetName val="2005余额表"/>
      <sheetName val="委托贷款Dy"/>
      <sheetName val="坏账准备_预付账款Dy"/>
      <sheetName val="基础"/>
      <sheetName val="累计折旧_2"/>
      <sheetName val="Header Data"/>
      <sheetName val="项目编号列表"/>
      <sheetName val="单位"/>
      <sheetName val="L1-1资产负债表"/>
      <sheetName val="Y3-2 06企业会计制度附注"/>
      <sheetName val="Y0-1报告准备表（无需打印）"/>
      <sheetName val="销售费用Dy"/>
      <sheetName val="主数据"/>
      <sheetName val="VM"/>
      <sheetName val="天合与太阳时代的往来余额(天合账面)"/>
      <sheetName val="181231科技&amp;凯博-其他应付"/>
      <sheetName val="2021应收账面数"/>
      <sheetName val="2021工程账面数"/>
      <sheetName val="评估结论"/>
      <sheetName val="FIRE Parameters"/>
      <sheetName val="G2TempSheet"/>
      <sheetName val="损益表"/>
      <sheetName val="_810余额表"/>
      <sheetName val="qtr local"/>
      <sheetName val="A_1"/>
      <sheetName val="备注"/>
      <sheetName val="工程量"/>
      <sheetName val="服务"/>
      <sheetName val="1梁家5-1-1房建"/>
      <sheetName val="1梁家5-1-2构筑"/>
      <sheetName val="p &amp; lx"/>
      <sheetName val="3-9其他应收"/>
      <sheetName val="9-3应付帐款"/>
      <sheetName val="Director"/>
      <sheetName val="3-1-2银存"/>
      <sheetName val="3-1-3其他货币"/>
      <sheetName val="10-1长借"/>
      <sheetName val="10-2应付债券"/>
      <sheetName val="10-3长期应付款"/>
      <sheetName val="10-4住房周转金"/>
      <sheetName val="10-5其他长期负债"/>
      <sheetName val="10-6递延税款贷项"/>
      <sheetName val="3-10存货汇总"/>
      <sheetName val="3-12待处理流损"/>
      <sheetName val="3-13一年长债"/>
      <sheetName val="3-14其他流资"/>
      <sheetName val="3-2短投汇总"/>
      <sheetName val="3-5应收股利"/>
      <sheetName val="3-6应收利息"/>
      <sheetName val="3-7预付帐款"/>
      <sheetName val="3-8应收补贴"/>
      <sheetName val="长投汇总"/>
      <sheetName val="6-2其他无形"/>
      <sheetName val="7-1开办费"/>
      <sheetName val="7-2长期待摊"/>
      <sheetName val="8-1其他长期"/>
      <sheetName val="8-2递税借项"/>
      <sheetName val="9-1短期借款"/>
      <sheetName val="9-10应付利润"/>
      <sheetName val="9-11其他应交"/>
      <sheetName val="9-12预提"/>
      <sheetName val="9-13一年内长债"/>
      <sheetName val="9-14其他流负"/>
      <sheetName val="9-2应付票据"/>
      <sheetName val="9-4预收帐款"/>
      <sheetName val="9-5代销商品款"/>
      <sheetName val="9-6其他应付款"/>
      <sheetName val="9-7应付工资"/>
      <sheetName val="9-8应付福利费"/>
      <sheetName val="9-9应交税金"/>
      <sheetName val="梁家5-1-1房建"/>
      <sheetName val="XLR_NoRangeSheet"/>
      <sheetName val="累计折旧测算表"/>
      <sheetName val="Alternative"/>
      <sheetName val="统计"/>
      <sheetName val="长期股权投资审定表"/>
      <sheetName val="10K4"/>
      <sheetName val="工企资产负债表"/>
      <sheetName val="出租开发产品明细"/>
      <sheetName val="预付款项Dy"/>
      <sheetName val="预收款项Dy"/>
      <sheetName val="Sales for 2001"/>
      <sheetName val="IPQC-9 二次烧结"/>
      <sheetName val="上缴管理费明细"/>
      <sheetName val="frm销售合同-Sub"/>
      <sheetName val="服务部待报废"/>
      <sheetName val="VAS TB"/>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sheetData sheetId="1516" refreshError="1"/>
      <sheetData sheetId="1517" refreshError="1"/>
      <sheetData sheetId="1518"/>
      <sheetData sheetId="1519" refreshError="1"/>
      <sheetData sheetId="1520" refreshError="1"/>
      <sheetData sheetId="1521" refreshError="1"/>
      <sheetData sheetId="1522" refreshError="1"/>
      <sheetData sheetId="1523"/>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sheetData sheetId="1561"/>
      <sheetData sheetId="1562" refreshError="1"/>
      <sheetData sheetId="1563" refreshError="1"/>
      <sheetData sheetId="1564"/>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sheetData sheetId="1764"/>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reakdown"/>
      <sheetName val="2004"/>
      <sheetName val="test on帐面补差"/>
      <sheetName val="XREF"/>
      <sheetName val="Tickmarks"/>
      <sheetName val="企业表一"/>
      <sheetName val="M-5C"/>
      <sheetName val="M-5A"/>
      <sheetName val="科目表"/>
      <sheetName val="机关财务营业费用"/>
      <sheetName val="存栏2"/>
      <sheetName val="索引"/>
      <sheetName val="生产成本账"/>
      <sheetName val="系统参数设置"/>
      <sheetName val="固定资产清单"/>
      <sheetName val="示范99tzfl"/>
      <sheetName val="#REF!"/>
      <sheetName val="明细科目余额表"/>
      <sheetName val="现金明细（勿删）"/>
      <sheetName val="本期报表"/>
      <sheetName val="XL4Poppy"/>
      <sheetName val="1"/>
      <sheetName val="2"/>
      <sheetName val="3"/>
      <sheetName val="4"/>
      <sheetName val="5"/>
      <sheetName val="6"/>
      <sheetName val="7"/>
      <sheetName val="8"/>
      <sheetName val="9"/>
      <sheetName val="10"/>
      <sheetName val="11"/>
      <sheetName val="12"/>
      <sheetName val="1-12"/>
      <sheetName val="3 (2)"/>
      <sheetName val="4 (2)"/>
      <sheetName val="5 (2)"/>
      <sheetName val="6 (2)"/>
      <sheetName val="7 (2)"/>
      <sheetName val="8 (2)"/>
      <sheetName val="9 (2)"/>
      <sheetName val="10 (2)"/>
      <sheetName val="11 (2)"/>
      <sheetName val="12 (2)"/>
      <sheetName val="1 (2)"/>
      <sheetName val="2 (2)"/>
      <sheetName val="Raw materials"/>
      <sheetName val="Investment Property"/>
      <sheetName val="基本参数"/>
      <sheetName val="W"/>
      <sheetName val="生产成本"/>
      <sheetName val="&lt;原报&gt;资产负债表"/>
      <sheetName val="PER SALES ORG"/>
      <sheetName val="Bilanz Aktiva"/>
      <sheetName val="Bil.Zu-Abgang"/>
      <sheetName val="Cash Flow"/>
      <sheetName val="GuV"/>
      <sheetName val="Bilanz Passiva"/>
      <sheetName val="差异调整97"/>
      <sheetName val="差异调整95"/>
      <sheetName val="差异调整96"/>
      <sheetName val="1－5月余额表"/>
      <sheetName val="1－10月余额表"/>
      <sheetName val="预付账款Dy"/>
      <sheetName val="Source"/>
      <sheetName val="Bal Sheet"/>
      <sheetName val="DATA"/>
      <sheetName val="UFPrn20061113135115"/>
      <sheetName val="基本信息"/>
      <sheetName val="35.1租赁明细"/>
      <sheetName val="表头"/>
      <sheetName val="PTC"/>
      <sheetName val="资产负债表"/>
      <sheetName val="YS02-02"/>
      <sheetName val="P12 TB SZ"/>
      <sheetName val="B"/>
      <sheetName val="coding"/>
      <sheetName val="基础数据"/>
      <sheetName val="三兴2"/>
      <sheetName val="Toolbox"/>
      <sheetName val="Appendix"/>
      <sheetName val="PRC BS"/>
      <sheetName val="完"/>
      <sheetName val="인사현황(부서)"/>
      <sheetName val="Cover"/>
      <sheetName val="营业费用测试"/>
      <sheetName val="KKKKKKKK"/>
      <sheetName val="管理费用(集团董事会)"/>
      <sheetName val="C_301"/>
      <sheetName val="C_311"/>
      <sheetName val="C_318"/>
      <sheetName val="Sheet1"/>
      <sheetName val="委托加工材料"/>
      <sheetName val="材料采购－原材料（购价）"/>
      <sheetName val="核算项目余额表"/>
      <sheetName val="应付账款"/>
      <sheetName val="预提费用"/>
      <sheetName val="清单12.31"/>
      <sheetName val="材料采购-入库"/>
      <sheetName val="原材料－其他"/>
      <sheetName val="材料成本差异－运费等"/>
      <sheetName val="数量对比"/>
      <sheetName val="BALANCE SHEET"/>
      <sheetName val="表头（请先填写+核心提示）"/>
      <sheetName val="账面外销"/>
      <sheetName val="应收账款余额表"/>
      <sheetName val="所得税明细表"/>
      <sheetName val="产销存"/>
      <sheetName val="1-6累计销售"/>
      <sheetName val="收入个月"/>
      <sheetName val="累计产销存"/>
      <sheetName val="AGRO-DATA"/>
      <sheetName val="报表科目"/>
      <sheetName val="应收账款贷方余额表"/>
      <sheetName val="应收账款借方余额表"/>
      <sheetName val=""/>
      <sheetName val="STATPARA"/>
      <sheetName val="Lead"/>
      <sheetName val="CF"/>
      <sheetName val="preBS"/>
      <sheetName val="preCF"/>
      <sheetName val="preIS"/>
      <sheetName val="preCE"/>
      <sheetName val="TB"/>
      <sheetName val="标本-资产"/>
      <sheetName val="主营业务成本Dy"/>
      <sheetName val="分录"/>
      <sheetName val="存货_包装物"/>
      <sheetName val="存货_库存商品mx"/>
      <sheetName val="存货_生产成本mx1"/>
      <sheetName val="存货_委托加工物资mx"/>
      <sheetName val="存货_制造费用Mx"/>
      <sheetName val="应收账款"/>
      <sheetName val="制造成本表"/>
      <sheetName val="Summary"/>
      <sheetName val="9000"/>
      <sheetName val="9747"/>
      <sheetName val="9577"/>
      <sheetName val="COS breakdown"/>
      <sheetName val="2-1主营业务收入查证表1"/>
      <sheetName val="审计说明"/>
      <sheetName val="FA-2"/>
      <sheetName val="目錄"/>
      <sheetName val="短期投资股票投资.dbf"/>
      <sheetName val="短期投资国债投资.dbf"/>
      <sheetName val="股票投资收益.dbf"/>
      <sheetName val="其他货币海通.dbf"/>
      <sheetName val="其他货币零领路.dbf"/>
      <sheetName val="投资收益债券.dbf"/>
      <sheetName val="选择键"/>
      <sheetName val="有效性"/>
      <sheetName val="总成本"/>
      <sheetName val="UFPrn20030731121657"/>
      <sheetName val="合并清单"/>
      <sheetName val="Ex Diff"/>
      <sheetName val="导引表"/>
      <sheetName val="Control"/>
      <sheetName val="长投测试"/>
      <sheetName val="E1020"/>
      <sheetName val="AR"/>
      <sheetName val="福州路仓库(3)"/>
      <sheetName val="物资采购-1"/>
      <sheetName val="物资采购-2"/>
      <sheetName val="祁连山路仓库(5)"/>
      <sheetName val="特种储备物资"/>
      <sheetName val="张江库"/>
      <sheetName val="other lia"/>
      <sheetName val="prepayment"/>
      <sheetName val="related co"/>
      <sheetName val="adm"/>
      <sheetName val="sel"/>
      <sheetName val="基本情况表"/>
      <sheetName val="POWER ASSUMPTIONS"/>
      <sheetName val="eqpmad2"/>
      <sheetName val="1月"/>
      <sheetName val="收入"/>
      <sheetName val="说明"/>
      <sheetName val="_x005f_x0000__x005f_x0000__x005f_x0000__x005f_x0000__x0"/>
      <sheetName val="名称（勿删）"/>
      <sheetName val="营业外收支明细"/>
      <sheetName val="7-11销售"/>
      <sheetName val="表头信息"/>
      <sheetName val="gvl"/>
      <sheetName val="Title"/>
      <sheetName val="Understand the client"/>
      <sheetName val="Bokslutsprocessen"/>
      <sheetName val="Indata"/>
      <sheetName val="CRA"/>
      <sheetName val="材差5月份结转"/>
      <sheetName val="生产成本6月份结转"/>
      <sheetName val="库存商品项目账"/>
      <sheetName val="Worksheet in 8240 COS breakdown"/>
      <sheetName val="12进销存"/>
      <sheetName val="5月"/>
      <sheetName val="6月"/>
      <sheetName val="上期报表"/>
      <sheetName val="工程物资Dy"/>
      <sheetName val="索引表"/>
      <sheetName val="表头（请先填写）"/>
      <sheetName val="US Codes"/>
      <sheetName val="M3 - BS"/>
      <sheetName val="M3 - PL"/>
      <sheetName val="B-S"/>
      <sheetName val="3库存"/>
      <sheetName val="3收入"/>
      <sheetName val="3成本"/>
      <sheetName val="委托加工物资明细"/>
      <sheetName val="专项买的固定资产"/>
      <sheetName val="#REF"/>
      <sheetName val="项目调整"/>
      <sheetName val="剥离前"/>
      <sheetName val="成本调整明细表"/>
      <sheetName val="_x005f_x005f_x005f_x0000__x005f_x005f_x005f_x0000__x005"/>
      <sheetName val="original"/>
      <sheetName val="Erection"/>
      <sheetName val="劳务费"/>
      <sheetName val="折旧"/>
      <sheetName val="工资"/>
      <sheetName val="福利费"/>
      <sheetName val="水电费"/>
      <sheetName val="办公费"/>
      <sheetName val="业务招待费"/>
      <sheetName val="差"/>
      <sheetName val="机"/>
      <sheetName val="劳保"/>
      <sheetName val="通迅费"/>
      <sheetName val="修"/>
      <sheetName val="营业外收入Dy"/>
      <sheetName val="固定资产Dy"/>
      <sheetName val="累计折旧Dy"/>
      <sheetName val="银行存款Dy"/>
      <sheetName val="应收利息Dy"/>
      <sheetName val="短期投资Dy"/>
      <sheetName val="货币资金Dy"/>
      <sheetName val="参数"/>
      <sheetName val="无形资产年末数构成"/>
      <sheetName val="营业外支出"/>
      <sheetName val="Currency"/>
      <sheetName val="DropDown"/>
      <sheetName val="Non-Statistical Sampling"/>
      <sheetName val="现金"/>
      <sheetName val="多级销售汇总表（备用）"/>
      <sheetName val="Financ. Overview"/>
      <sheetName val="China"/>
      <sheetName val="Absol"/>
      <sheetName val="降低额统计(会签)"/>
      <sheetName val="2.대외공문"/>
      <sheetName val="RD제품개발투자비(매가)"/>
      <sheetName val="培训执行汇总"/>
      <sheetName val="02考勤"/>
      <sheetName val="项目"/>
      <sheetName val="06汇总"/>
      <sheetName val="8月乘用车分公司期间费用统计表"/>
      <sheetName val="分产品销售收入、成本分析表"/>
      <sheetName val="Sheet3"/>
      <sheetName val="PRC-BS-SZ"/>
      <sheetName val="Main"/>
      <sheetName val="Income Statement"/>
      <sheetName val="试算平衡表"/>
      <sheetName val="其他应付款科目余额2005.12.31"/>
      <sheetName val="订单"/>
      <sheetName val="内部往来"/>
      <sheetName val="中山低值"/>
      <sheetName val="Sales Jul 99"/>
      <sheetName val="RESULT"/>
      <sheetName val="基本信息输入"/>
      <sheetName val="审计分工配置表"/>
      <sheetName val="UFPrn2003其他"/>
      <sheetName val="COS SAR"/>
      <sheetName val="Excess Calc"/>
      <sheetName val="2005"/>
      <sheetName val="2003"/>
      <sheetName val="2002"/>
      <sheetName val="2001"/>
      <sheetName val="Summary-返利"/>
      <sheetName val="返利收入青岛"/>
      <sheetName val="返利收入-淄博"/>
      <sheetName val="COS"/>
      <sheetName val="SAR"/>
      <sheetName val="PIT-cost"/>
      <sheetName val="Major FG analysis"/>
      <sheetName val="GP ratio"/>
      <sheetName val="GP ratio Analysis"/>
      <sheetName val="Consolidation"/>
      <sheetName val="申友"/>
      <sheetName val="Printing cost breakdown"/>
      <sheetName val="Purchase"/>
      <sheetName val="Excess Calc for ref"/>
      <sheetName val="Breakdown 2005.12"/>
      <sheetName val="累计销售"/>
      <sheetName val="银行借款询证"/>
      <sheetName val="基础信息"/>
      <sheetName val="D4-封面"/>
      <sheetName val="D41-封面"/>
      <sheetName val="收入和成本对应表"/>
      <sheetName val="主营业务明细表"/>
      <sheetName val="_x005f_x0000__x005f_x0000__x005"/>
      <sheetName val="工时统计"/>
      <sheetName val="21710103"/>
      <sheetName val="2171010501"/>
      <sheetName val="2171010502"/>
      <sheetName val="217102"/>
      <sheetName val="流资汇总"/>
      <sheetName val="披露表(国资)"/>
      <sheetName val="sell"/>
      <sheetName val="fin"/>
      <sheetName val="Validation"/>
      <sheetName val="_x005f_x005f_x005f_x005f_x005f_x005f_x005f_x0000__x005f"/>
      <sheetName val="Plan"/>
      <sheetName val="A"/>
      <sheetName val="递延税款Dy"/>
      <sheetName val="所得税Dy"/>
      <sheetName val="股本Dy"/>
      <sheetName val="资本公积Dy"/>
      <sheetName val="盈余公积Dy"/>
      <sheetName val="投资收益Dy"/>
      <sheetName val="长期股权投资Dy"/>
      <sheetName val="Payroll"/>
      <sheetName val="逾龄"/>
      <sheetName val="役龄"/>
      <sheetName val="原材料"/>
      <sheetName val="封面"/>
      <sheetName val="院级设计"/>
      <sheetName val="BS"/>
      <sheetName val="CE"/>
      <sheetName val="IS"/>
      <sheetName val="FS"/>
      <sheetName val="gl"/>
      <sheetName val="C01-1"/>
      <sheetName val="审计工作底稿目录"/>
      <sheetName val="P1012001"/>
      <sheetName val="cs"/>
      <sheetName val="科目名称表"/>
      <sheetName val="_x005f_x005f_x005f_x0000__x005f"/>
      <sheetName val="A430"/>
      <sheetName val="dep08"/>
      <sheetName val="利润分析"/>
      <sheetName val="资产负债分析"/>
      <sheetName val="4-货币资金-现金"/>
      <sheetName val="2006年TB"/>
      <sheetName val="其他应收款明细表"/>
      <sheetName val="补充信息"/>
      <sheetName val="明细表D4-2-1（行业）"/>
      <sheetName val="应交税费审定表"/>
      <sheetName val="dxnsjtempsheet"/>
      <sheetName val="销售6.13"/>
      <sheetName val="役"/>
      <sheetName val="应付账款明细BS.09 "/>
      <sheetName val="CF附注"/>
      <sheetName val="其他应付款Dy"/>
      <sheetName val="附注汇总"/>
      <sheetName val="细节测试审计抽样"/>
      <sheetName val="长期借款Dy"/>
      <sheetName val="原TB表"/>
      <sheetName val="其他应收款Dy"/>
      <sheetName val="货币资金审定表"/>
      <sheetName val="试算"/>
      <sheetName val="财务费用Dy"/>
      <sheetName val="FX"/>
      <sheetName val="Input_Hide"/>
      <sheetName val="Oct"/>
      <sheetName val="界面"/>
      <sheetName val="1999TL"/>
      <sheetName val="PL配賦明細"/>
      <sheetName val="折旧表2006年1-6月"/>
      <sheetName val="Spreadsheet"/>
      <sheetName val="每月資料"/>
      <sheetName val="T.B."/>
      <sheetName val="Inhalt"/>
      <sheetName val="2008.02T.B."/>
      <sheetName val="whw5r"/>
      <sheetName val="06"/>
      <sheetName val="2008年2月"/>
      <sheetName val="Index"/>
      <sheetName val="MasterList"/>
      <sheetName val="管理费用Dy"/>
      <sheetName val="坏账准备_其他应收款Dy"/>
      <sheetName val="其他应收款Mx"/>
      <sheetName val="10-12"/>
      <sheetName val="附表6"/>
      <sheetName val="其他应收款分录表"/>
      <sheetName val="Pre-operating Exp"/>
      <sheetName val="Miscellaneous Exp."/>
      <sheetName val="Rental 2002"/>
      <sheetName val="Rental 2001"/>
      <sheetName val="base"/>
      <sheetName val="J&amp;Q"/>
      <sheetName val="2005余额表"/>
      <sheetName val="Mp-team 1"/>
      <sheetName val="天合与太阳时代的往来余额(天合账面)"/>
      <sheetName val="关联交易-存款"/>
      <sheetName val="param"/>
      <sheetName val="cov"/>
      <sheetName val="ZI-1存货余额表 "/>
      <sheetName val="ZI封面"/>
      <sheetName val="ZI-0调整分录 "/>
      <sheetName val="应付账款Dy"/>
      <sheetName val="应付账款mx"/>
      <sheetName val="待摊费用mx"/>
      <sheetName val="固定资产减值准备mx"/>
      <sheetName val="累计折旧mx"/>
      <sheetName val="应付福利费mx"/>
      <sheetName val="应付工资mx"/>
      <sheetName val="预提费用mx"/>
      <sheetName val="在建工程mx"/>
      <sheetName val="制造费用mx"/>
      <sheetName val="主营业务成本mx"/>
      <sheetName val="应收账款Dy"/>
      <sheetName val="UFPrn20080707101342"/>
      <sheetName val="预付款项"/>
      <sheetName val="其他应付款"/>
      <sheetName val="其他应收款"/>
      <sheetName val="报表格式"/>
      <sheetName val="Consolidation TB"/>
      <sheetName val="应收帐款"/>
      <sheetName val="83套公房"/>
      <sheetName val="固定资产审定表"/>
      <sheetName val="固定资产减少检查表"/>
      <sheetName val="固定资产盘点检查情况表"/>
      <sheetName val="固定资产增加检查表"/>
      <sheetName val="审定表"/>
      <sheetName val="折旧计算检查表"/>
      <sheetName val="长期股权投资明细表"/>
      <sheetName val="无形资产凭证抽查表"/>
      <sheetName val="枚举字典"/>
      <sheetName val="吴江评估增值摊销"/>
      <sheetName val="青岛泰信评估增值摊销"/>
      <sheetName val="石油设备评估增值摊销"/>
      <sheetName val="未实现毛利"/>
      <sheetName val="Equity Movement"/>
      <sheetName val="非经常性损益"/>
      <sheetName val="MI"/>
      <sheetName val="NFC TB"/>
      <sheetName val="其他货币资金.dbf"/>
      <sheetName val="银行存款.dbf"/>
      <sheetName val="吴江"/>
      <sheetName val="UFPrn20031203195053"/>
      <sheetName val="_x0000__x0000__x0000__x0000__x0"/>
      <sheetName val="提足折旧"/>
      <sheetName val="_x005f_x005f_x005f_x005f_x005f_x005f_x005f_x005f_x005f_x005f_"/>
      <sheetName val="_x005f_x005f_x005f_x005f_"/>
      <sheetName val="财务成本"/>
      <sheetName val="SysNavigation"/>
      <sheetName val="BlsPrvOpv"/>
      <sheetName val="其他应付款 "/>
      <sheetName val="项目信息"/>
      <sheetName val="生产成本及销售成本倒轧表"/>
      <sheetName val="低值易耗品"/>
      <sheetName val="loan database"/>
      <sheetName val="试算2019"/>
      <sheetName val="邻酮定乙酚发出测试"/>
      <sheetName val="ACCOUNT LIST"/>
      <sheetName val="HEADER"/>
      <sheetName val="E1"/>
      <sheetName val="Parameters"/>
      <sheetName val="E-15"/>
      <sheetName val="Ex. rate"/>
      <sheetName val="Conversion to EUR"/>
      <sheetName val="J300"/>
      <sheetName val="mf-f"/>
      <sheetName val="版权方2004年度频道分布总表"/>
      <sheetName val="Input"/>
      <sheetName val="TYPE"/>
      <sheetName val="Actual (n)"/>
      <sheetName val="报表项目列表"/>
      <sheetName val="D3"/>
      <sheetName val="报表项目"/>
      <sheetName val="披露表(上市)"/>
      <sheetName val="总公司2002.12.31"/>
      <sheetName val="固定资产2006"/>
      <sheetName val="Chart of Account"/>
      <sheetName val="应付帐款"/>
      <sheetName val="Workings"/>
      <sheetName val="BDbilling"/>
      <sheetName val="目录"/>
      <sheetName val="库存商品"/>
      <sheetName val="名称"/>
      <sheetName val="存货Dy"/>
      <sheetName val="BNWXVLNN"/>
      <sheetName val="敏感参数"/>
      <sheetName val="_x005f_x0000__x005f"/>
      <sheetName val="广州库"/>
      <sheetName val="_x005f_x005f_x005f_x0000__x005f_x005f_x005f_x0000__x0_2"/>
      <sheetName val="Sheet2"/>
      <sheetName val="4-2长投债券"/>
      <sheetName val="3流资汇总"/>
      <sheetName val="M2"/>
      <sheetName val="专项应付款Dy"/>
      <sheetName val="营业外支出Dy"/>
      <sheetName val="应收账款Mx"/>
      <sheetName val="Director"/>
      <sheetName val="p.5, bank int income"/>
      <sheetName val="Menu"/>
      <sheetName val="conWP"/>
      <sheetName val="conBS"/>
      <sheetName val="conCE"/>
      <sheetName val="conCF"/>
      <sheetName val="conIS"/>
      <sheetName val="母公司TB"/>
      <sheetName val="_"/>
      <sheetName val="主菜单"/>
      <sheetName val="校对"/>
      <sheetName val="AJE23#"/>
      <sheetName val="FLdeleted"/>
      <sheetName val="存货_库存商品Dy"/>
      <sheetName val="长期股权投资Mx"/>
      <sheetName val="应付福利费Dy"/>
      <sheetName val="UFPrn20040104084034"/>
      <sheetName val="_x005f_x0000__x005f_x0000__x005f_x0000__x005f_x0000___2"/>
      <sheetName val="关键控制测试表"/>
      <sheetName val="科目余额表"/>
      <sheetName val="房屋类"/>
      <sheetName val="合并"/>
      <sheetName val="UFPrn20031114182129"/>
      <sheetName val="27-7"/>
      <sheetName val="管理费用明细表(2001年)"/>
      <sheetName val="帐务资料"/>
      <sheetName val="电子"/>
      <sheetName val="未安排订单（集团）"/>
      <sheetName val="工企资产负债表"/>
      <sheetName val="暂估"/>
      <sheetName val="凭证核对内容"/>
      <sheetName val="_x0000__x0000__x005"/>
      <sheetName val="PRC 13"/>
      <sheetName val="二级明细"/>
      <sheetName val="其他应收-导出"/>
      <sheetName val="隐藏页"/>
      <sheetName val="发出计价汇总－库存商品"/>
      <sheetName val="Administration"/>
      <sheetName val="master"/>
      <sheetName val="房屋及建筑物"/>
      <sheetName val="Traduction"/>
      <sheetName val="Catalogo Roca 1Oct'01"/>
      <sheetName val="_5081"/>
      <sheetName val="企业编码"/>
      <sheetName val="Open"/>
      <sheetName val="R&amp;P"/>
      <sheetName val="Energy Variance"/>
      <sheetName val="Section"/>
      <sheetName val="TT04"/>
      <sheetName val="Profit and Loss"/>
      <sheetName val="申报表封面"/>
      <sheetName val="基础条件"/>
      <sheetName val="ENT"/>
      <sheetName val="FTHL"/>
      <sheetName val="GX"/>
      <sheetName val="IN"/>
      <sheetName val="ITCD"/>
      <sheetName val="LVLT"/>
      <sheetName val="MFNX"/>
      <sheetName val="NOPT"/>
      <sheetName val="TCM"/>
      <sheetName val="TSIX"/>
      <sheetName val="WCG"/>
      <sheetName val="Added Detail List"/>
      <sheetName val="1_12月"/>
      <sheetName val="11月"/>
      <sheetName val="12月"/>
      <sheetName val="PS"/>
      <sheetName val="01"/>
      <sheetName val="010"/>
      <sheetName val="011"/>
      <sheetName val="012"/>
      <sheetName val="02"/>
      <sheetName val="03"/>
      <sheetName val="04"/>
      <sheetName val="05"/>
      <sheetName val="07"/>
      <sheetName val="08"/>
      <sheetName val="09"/>
      <sheetName val="总账余额"/>
      <sheetName val="调整分录"/>
      <sheetName val="调整分录汇总"/>
      <sheetName val="F101"/>
      <sheetName val="I151-10"/>
      <sheetName val="TB2005"/>
      <sheetName val="A.R 01"/>
      <sheetName val="17应付票据明细表"/>
      <sheetName val="列表"/>
      <sheetName val="科目名称"/>
      <sheetName val="应付账款明细表"/>
      <sheetName val="List"/>
      <sheetName val="Ref"/>
      <sheetName val="This year-Budget-20092010"/>
      <sheetName val="FA"/>
      <sheetName val="GZ4-1审定表"/>
      <sheetName val="BT 03"/>
      <sheetName val="BT 02"/>
      <sheetName val="BT 01"/>
      <sheetName val="FF-6"/>
      <sheetName val="EJE-PRC"/>
      <sheetName val="EJE-HK"/>
      <sheetName val="明细台帐"/>
      <sheetName val="固定资产(原表)"/>
      <sheetName val="Economic evaluation - FY98 base"/>
      <sheetName val="AFEMAI"/>
      <sheetName val="Detail Loan Move. &amp; Listing"/>
      <sheetName val="原材料发出计价测试-OK"/>
      <sheetName val="审定表L2"/>
      <sheetName val="选择报表"/>
      <sheetName val="KEY"/>
      <sheetName val="ES Table"/>
      <sheetName val="材料"/>
      <sheetName val="外销"/>
      <sheetName val="AP"/>
      <sheetName val="NPBOC"/>
      <sheetName val="NPIC"/>
      <sheetName val="余额表"/>
      <sheetName val="PPE"/>
      <sheetName val="Labor cost"/>
      <sheetName val="04收发存汇总表"/>
      <sheetName val="应收帐龄OK"/>
      <sheetName val="外销涤布"/>
      <sheetName val="业务登记表"/>
      <sheetName val="Pfile"/>
      <sheetName val="备忘录"/>
      <sheetName val="05.7工资分析"/>
      <sheetName val="2019财务收发存"/>
      <sheetName val="2019库存收发存"/>
      <sheetName val="_formula_"/>
      <sheetName val="明细分类账"/>
      <sheetName val="关联方—创斯达"/>
      <sheetName val="关联方—东风汽车"/>
      <sheetName val="1月固定资产清单"/>
      <sheetName val="库存商品余额表.dbf"/>
      <sheetName val="08现金流量底稿"/>
      <sheetName val="09现金流量底稿"/>
      <sheetName val="Collateral"/>
      <sheetName val="Disposition"/>
      <sheetName val="控制测试样本量"/>
      <sheetName val="广告费和业务宣传费表"/>
      <sheetName val="资产减值准备表"/>
      <sheetName val="工资薪金表"/>
      <sheetName val="投资收益表"/>
      <sheetName val="附件(excel）"/>
      <sheetName val="业务招待费表"/>
      <sheetName val="利润及分配表"/>
      <sheetName val="资产方"/>
      <sheetName val="减值准备表"/>
      <sheetName val="负债方"/>
      <sheetName val="表2.1_自查情况汇总表（按税种）"/>
      <sheetName val="2003本部资产负债试算表"/>
      <sheetName val="2003本部利润及利润分配表试算表"/>
      <sheetName val="301主营收入 "/>
      <sheetName val="307销售费用"/>
      <sheetName val="316营外收入"/>
      <sheetName val="306税金附加"/>
      <sheetName val="DTCT"/>
      <sheetName val="GiaVL"/>
      <sheetName val="Thuc thanh"/>
      <sheetName val="财务费用表"/>
      <sheetName val="营业外支出表"/>
      <sheetName val="视同销售成本表"/>
      <sheetName val="管理费用表"/>
      <sheetName val="利息支出表"/>
      <sheetName val="其他业务支出表"/>
      <sheetName val="生产成本表"/>
      <sheetName val="成本费用表"/>
      <sheetName val="制造费用表"/>
      <sheetName val="G.1R-Shou COP Gf"/>
      <sheetName val="原材料收发"/>
      <sheetName val="分录汇总表"/>
      <sheetName val="#511BkRec"/>
      <sheetName val="#511-SEPT97"/>
      <sheetName val="#511-OCT97"/>
      <sheetName val="#511-NOV97"/>
      <sheetName val="#511-DEC97"/>
      <sheetName val="NRV2"/>
      <sheetName val="dentaltable"/>
      <sheetName val="E15-AFL"/>
      <sheetName val="CODE"/>
      <sheetName val="BKD"/>
      <sheetName val="dm"/>
      <sheetName val="MB51"/>
      <sheetName val="nada"/>
      <sheetName val="Nov,01"/>
      <sheetName val="Category"/>
      <sheetName val="明细表"/>
      <sheetName val="08.8"/>
      <sheetName val="TB表"/>
      <sheetName val="科目余额表1"/>
      <sheetName val="xbase"/>
      <sheetName val="现金流量表"/>
      <sheetName val="Dept"/>
      <sheetName val="JA#1"/>
      <sheetName val="JA#2&amp;5"/>
      <sheetName val="A3"/>
      <sheetName val="选择选项"/>
      <sheetName val="Holidays"/>
      <sheetName val="C4-"/>
      <sheetName val="工程汇总表"/>
      <sheetName val="Non-Statistical Sampling Master"/>
      <sheetName val="2013年合并试算"/>
      <sheetName val="销售预测表"/>
      <sheetName val="信息说明"/>
      <sheetName val="4.科目余额表（末级）"/>
      <sheetName val="其他业务利润"/>
      <sheetName val="其他材料收入重复"/>
      <sheetName val="其他材料收入账"/>
      <sheetName val="预收"/>
      <sheetName val="A投资指标"/>
      <sheetName val="Z控制表"/>
      <sheetName val="K流量表过渡"/>
      <sheetName val="O售价敏感分析"/>
      <sheetName val="给排水工程量计算书"/>
      <sheetName val="2004电器设备"/>
      <sheetName val="2004电子设备"/>
      <sheetName val="2004房屋建筑物"/>
      <sheetName val="2004家具"/>
      <sheetName val="2004通用设备"/>
      <sheetName val="2004土地"/>
      <sheetName val="2004仪器仪表"/>
      <sheetName val="2004运输设备"/>
      <sheetName val="2004专用设备"/>
      <sheetName val="存货跌价准备Dy"/>
      <sheetName val="基本生产成本"/>
      <sheetName val="销售出库序时簿"/>
      <sheetName val="F1"/>
      <sheetName val="应收款项审定表"/>
      <sheetName val="T  B"/>
      <sheetName val="信息"/>
      <sheetName val="坏账准备计算表"/>
      <sheetName val="功能范围"/>
      <sheetName val="2.1.CM6150(导入)"/>
      <sheetName val="tot"/>
      <sheetName val=" "/>
      <sheetName val="Sheet9"/>
      <sheetName val="上报资产负债表"/>
      <sheetName val="上报损益表"/>
      <sheetName val="现金流量表（月报）"/>
      <sheetName val="补充表"/>
      <sheetName val="2013调整分录"/>
      <sheetName val="2012调整分录"/>
      <sheetName val="项目索引"/>
      <sheetName val="2009调整分录"/>
      <sheetName val="Macro1"/>
      <sheetName val="외주현황.wq1"/>
      <sheetName val="생산"/>
      <sheetName val="진도현황"/>
      <sheetName val="自定义名称"/>
      <sheetName val="ARP-U501"/>
      <sheetName val="Sales for 2001"/>
      <sheetName val="ws9"/>
      <sheetName val="INVDAYS"/>
      <sheetName val="_x005f_x0000__x005f_x0000__x0_2"/>
      <sheetName val="Within"/>
      <sheetName val="accounting"/>
      <sheetName val="非保稅"/>
      <sheetName val="工资表"/>
      <sheetName val="个人所得税表"/>
      <sheetName val="薪酬标准"/>
      <sheetName val="人员信息表"/>
      <sheetName val="员工银行账号明细表"/>
      <sheetName val="Logic"/>
      <sheetName val="入库分类"/>
      <sheetName val="其他应收款坏账准备"/>
      <sheetName val="全年折旧"/>
      <sheetName val="SP"/>
      <sheetName val="合并2"/>
      <sheetName val="GT_Custom"/>
      <sheetName val="CONSOL"/>
      <sheetName val="序时账"/>
      <sheetName val="开发成本审核表"/>
      <sheetName val="固定资产及折旧审核表"/>
      <sheetName val="坏帐准备金审核表"/>
      <sheetName val="长期待摊费用摊销审核表"/>
      <sheetName val="无形资产摊销审核表"/>
      <sheetName val="投资审核表"/>
      <sheetName val="Links"/>
      <sheetName val="库存股Dy"/>
      <sheetName val="时间设置"/>
      <sheetName val="成本日报(4-10)"/>
      <sheetName val="凤一"/>
      <sheetName val="交易性金融资产Dy"/>
      <sheetName val="应付票据Dy"/>
      <sheetName val="VV"/>
      <sheetName val="YH1"/>
      <sheetName val="1461（12.6）"/>
      <sheetName val="选项清单列表（不归档）"/>
      <sheetName val="9200"/>
      <sheetName val="起"/>
      <sheetName val="止"/>
      <sheetName val="合并试算表"/>
      <sheetName val="dklx"/>
      <sheetName val="应付职工薪酬14"/>
      <sheetName val="应交税费15"/>
      <sheetName val="Part_Datum"/>
      <sheetName val="CAUDIT"/>
      <sheetName val="ARP"/>
      <sheetName val="风险分类"/>
      <sheetName val="表头和填表说明"/>
      <sheetName val="关联方"/>
      <sheetName val="K1 Tax computation"/>
      <sheetName val="外地"/>
      <sheetName val="坯布"/>
      <sheetName val="表二十九1（01）"/>
      <sheetName val="UFPrn20050217103510"/>
      <sheetName val="明细表2017"/>
      <sheetName val="_x005f_x005f_x005f_x005f_x005f_x005f_x005f_x005f_"/>
      <sheetName val="余额表李"/>
      <sheetName val="科目代码"/>
      <sheetName val="银行存款核对表"/>
      <sheetName val="Sheet1 (11)"/>
      <sheetName val="科目清单"/>
      <sheetName val="固定资产折旧表"/>
      <sheetName val="会计科目表"/>
      <sheetName val="审计标识"/>
      <sheetName val="ｻﾌﾟﾗｲﾔｰﾘｽﾄ"/>
      <sheetName val="Rental PIT"/>
      <sheetName val="Sample test"/>
      <sheetName val="Business tax PIT"/>
      <sheetName val="Professional fee"/>
      <sheetName val="九、开发成本G2-2-9"/>
      <sheetName val="八、开发产品G2-2-8"/>
      <sheetName val="四、自制半成品明细表G2-2-4"/>
      <sheetName val="七、发出商品G2-2-7"/>
      <sheetName val="一、原材料明细表G2-2-1"/>
      <sheetName val="二、材料采购、在途物资明细表G2-2-2"/>
      <sheetName val="三、周转材料、低值易耗品，包装物明细表G2-2-3"/>
      <sheetName val="六、库存商品明细表G2-2-6"/>
      <sheetName val="福利费1"/>
      <sheetName val="营业费用02"/>
      <sheetName val="799"/>
      <sheetName val="存货明细汇总表"/>
      <sheetName val="G2-2存货明细汇总表"/>
      <sheetName val="上年PL审定"/>
      <sheetName val="补贴收入明细表"/>
      <sheetName val="A2-1试算"/>
      <sheetName val="待摊费用明细表"/>
      <sheetName val="长期借款明细表1"/>
      <sheetName val="末"/>
      <sheetName val="截至2004年10月31日存货材料清单"/>
      <sheetName val="TONGKE-HT"/>
      <sheetName val="代码"/>
      <sheetName val="dropdowns"/>
      <sheetName val="_x005f_x005f_"/>
      <sheetName val="MUS"/>
      <sheetName val="报表项目名称"/>
      <sheetName val="move"/>
      <sheetName val="General"/>
      <sheetName val="Planning"/>
      <sheetName val="Individually Significant Items"/>
      <sheetName val="Summary (Quanzhou)"/>
      <sheetName val="Summary (Shenyang standalone) "/>
      <sheetName val="首页"/>
      <sheetName val="参数维护"/>
      <sheetName val="N2720 当期非经常性损益明细表"/>
      <sheetName val="Summary (Wuhan)"/>
      <sheetName val="Setting"/>
      <sheetName val="General "/>
      <sheetName val="Lists"/>
      <sheetName val="Elements"/>
      <sheetName val="30.09.2017"/>
      <sheetName val="SW-TEO"/>
      <sheetName val="Malasia"/>
      <sheetName val="103105"/>
      <sheetName val="HR"/>
      <sheetName val="利润表验证表"/>
      <sheetName val="Prepaid expenses-Wendy"/>
      <sheetName val="TB 1999-2000"/>
      <sheetName val="Sheet4"/>
      <sheetName val="研发项目"/>
      <sheetName val="资金计划项目说明"/>
      <sheetName val="生产入库04"/>
      <sheetName val="현금경비중역"/>
      <sheetName val="TCalc"/>
      <sheetName val="Threshold Cal"/>
      <sheetName val="작성양식"/>
      <sheetName val="_x0000__x005f"/>
      <sheetName val="_x0000__x0000__x0000__x0000___2"/>
      <sheetName val="_x0000__x0000__x0_2"/>
      <sheetName val="重要性水平"/>
      <sheetName val="银行列表"/>
      <sheetName val="收入明细－按客户"/>
      <sheetName val="数量金额总账"/>
      <sheetName val="销售费用Dy"/>
      <sheetName val="J411"/>
      <sheetName val="J412"/>
      <sheetName val="Marco"/>
      <sheetName val="Customize Your Loan Manager"/>
      <sheetName val="Group"/>
      <sheetName val="预收账款明细表D3-2"/>
      <sheetName val="J"/>
      <sheetName val="C - Cash and Bank"/>
      <sheetName val="A300"/>
      <sheetName val="应付股利Dy"/>
      <sheetName val="预提费用Dy"/>
      <sheetName val="2008年1月"/>
      <sheetName val="2007年12月  "/>
      <sheetName val="商保"/>
      <sheetName val="现流表（附表）黄"/>
      <sheetName val="3. Textile"/>
      <sheetName val="6200B-32应付职工薪酬勾稽表T"/>
      <sheetName val="冻品入库"/>
      <sheetName val="鸡油车间"/>
      <sheetName val="应交税金Dy"/>
      <sheetName val="应收出口退税mx"/>
      <sheetName val="其他应交款Dy"/>
      <sheetName val="主营业务收入Dy"/>
      <sheetName val="유통망계획"/>
      <sheetName val="财务费用mx"/>
      <sheetName val="其他应付款Mx"/>
      <sheetName val="营业外支出Mx"/>
      <sheetName val="未分配利润Dy"/>
      <sheetName val="补贴收入Dy"/>
      <sheetName val="坏账准备_应收账款Dy"/>
      <sheetName val="预收账款Dy"/>
      <sheetName val="坏账准备_应收账款Mx"/>
      <sheetName val="Company"/>
      <sheetName val="主营业务税金及附加Dy"/>
      <sheetName val="其他业务利润Dy"/>
      <sheetName val="营业费用Dy"/>
      <sheetName val="应收票据Dy"/>
      <sheetName val="程序表原始数据"/>
      <sheetName val="个所税"/>
      <sheetName val="企业所得税"/>
      <sheetName val="票7)"/>
      <sheetName val="无形资产Dy"/>
      <sheetName val="无形资产减值准备Dy"/>
      <sheetName val="应收补贴款Dy"/>
      <sheetName val="其他流动资产Dy"/>
      <sheetName val="内部往来Dy"/>
      <sheetName val="长期待摊费用Dy"/>
      <sheetName val="管理费用mx"/>
      <sheetName val="6200B-8社保缴交人数核对"/>
      <sheetName val="payroll "/>
      <sheetName val="发生额 (2)"/>
      <sheetName val="主营业务收入mx"/>
      <sheetName val="TB98"/>
      <sheetName val="FA3-5"/>
      <sheetName val="FA3-4"/>
      <sheetName val="TB MAR2004"/>
      <sheetName val="生产成本Dy"/>
      <sheetName val="原报调整分录"/>
      <sheetName val="审计调整分录"/>
      <sheetName val="已审CF"/>
      <sheetName val="基础"/>
      <sheetName val="conWP1"/>
      <sheetName val="20071-10月原材料发出计价测试(不打)"/>
      <sheetName val="投资收益Mx"/>
      <sheetName val="200712"/>
      <sheetName val="注释汇总"/>
      <sheetName val="初始设定"/>
      <sheetName val="报表11"/>
      <sheetName val="其它业务收入分类"/>
      <sheetName val="壓摸穿燈"/>
      <sheetName val="Rate"/>
      <sheetName val="校验"/>
      <sheetName val="原报表"/>
      <sheetName val="上年审前调整"/>
      <sheetName val="上年审前试算表"/>
      <sheetName val="本年审前调整"/>
      <sheetName val="本年审前试算表"/>
      <sheetName val="审前报表"/>
      <sheetName val="B15 重要性计算表"/>
      <sheetName val="N__其他应收款"/>
      <sheetName val="N__应收账款"/>
      <sheetName val="N__营业收入及营业成本"/>
      <sheetName val="附表2关联交易"/>
      <sheetName val="集团关联方清单"/>
      <sheetName val="数据有效性"/>
      <sheetName val="Sheet1 (2)"/>
      <sheetName val="进料加工汇总信息查询"/>
      <sheetName val="Cashbook"/>
      <sheetName val="现调整"/>
      <sheetName val="（附表2）固定资产处理情况表"/>
      <sheetName val="科余表"/>
      <sheetName val="资产负债表利润及利润分配表"/>
      <sheetName val="期初应付帐款明细表G4-2 "/>
      <sheetName val="操作页"/>
      <sheetName val="核算项目组合表"/>
      <sheetName val="科目"/>
      <sheetName val="公司名称一览表"/>
      <sheetName val="其他应付款明细表M4-2 21"/>
      <sheetName val="其他应付款明细表M4-2 20"/>
      <sheetName val="2020年调整分录"/>
      <sheetName val="2019年调整分录 "/>
      <sheetName val="投资性房地产Dy"/>
      <sheetName val="表5_2_3固定资产—电子设备"/>
      <sheetName val="0609"/>
      <sheetName val="发出商品替代"/>
      <sheetName val="2007.11PPR管件单件测算"/>
      <sheetName val="清冊"/>
      <sheetName val="JA"/>
      <sheetName val="坏账准备_预付账款Dy"/>
      <sheetName val="Dis."/>
      <sheetName val="账户汇总表_2017年1月至12月_"/>
      <sheetName val="应收账款明细表"/>
      <sheetName val="Income tax reconciliation"/>
      <sheetName val="销项税"/>
      <sheetName val="十一、消耗性生物资产G2-2-11"/>
      <sheetName val="应付账款 (2)"/>
      <sheetName val="累计1"/>
      <sheetName val="FIRE Parameters"/>
      <sheetName val="应付(单位)关注"/>
      <sheetName val="员工工资"/>
      <sheetName val="Permit"/>
      <sheetName val="瓶差"/>
      <sheetName val="本期毛利"/>
      <sheetName val="余额表数量"/>
      <sheetName val="_Profile"/>
      <sheetName val="无形资产"/>
      <sheetName val="长期待摊费用"/>
      <sheetName val="应交税金"/>
      <sheetName val="BKD-氢能"/>
      <sheetName val="for disclosure"/>
      <sheetName val="Final"/>
      <sheetName val="2008 SPL"/>
      <sheetName val="OB97LST"/>
      <sheetName val="WIP(For Nick)"/>
      <sheetName val="Admin"/>
      <sheetName val="WO CONV"/>
      <sheetName val="ACTINV"/>
      <sheetName val="N3 PBT"/>
      <sheetName val="Listen"/>
      <sheetName val="Breakdown-本部"/>
      <sheetName val="预付账款汇总表"/>
      <sheetName val="审计调整"/>
      <sheetName val="银行存款明细表"/>
      <sheetName val="管理"/>
      <sheetName val="P1"/>
      <sheetName val="Bilanz"/>
      <sheetName val="Personal"/>
      <sheetName val="commentary"/>
      <sheetName val="Cash of Company"/>
      <sheetName val="tax payable"/>
      <sheetName val="209zt"/>
      <sheetName val="115zt"/>
      <sheetName val="11901zt"/>
      <sheetName val="EXP"/>
      <sheetName val="B7-2-1应付账款余额表"/>
      <sheetName val="主营成本"/>
      <sheetName val="Start"/>
      <sheetName val="科目余额表正式"/>
      <sheetName val="2004年度应收账款分析"/>
      <sheetName val="2020年"/>
      <sheetName val="主营业务收入明细帐"/>
      <sheetName val="五矿收入明细帐"/>
      <sheetName val="现金流量表所需提供的资料"/>
      <sheetName val="负债试算表"/>
      <sheetName val="利润及利润分配表试算表"/>
      <sheetName val="资产试算表"/>
      <sheetName val="披露表（上市）"/>
      <sheetName val="Namelist"/>
      <sheetName val="固资明细"/>
      <sheetName val="日照"/>
      <sheetName val="德州"/>
      <sheetName val="滨州"/>
      <sheetName val="淄博"/>
      <sheetName val="大鲁"/>
      <sheetName val="威海"/>
      <sheetName val="山东省互联网传媒集团应收账款（账龄统计）统计数据"/>
      <sheetName val="张淑东"/>
      <sheetName val="Master Data"/>
      <sheetName val="一级"/>
      <sheetName val="办公设备"/>
      <sheetName val="会计分录序时簿_2"/>
      <sheetName val="表1.5"/>
      <sheetName val="Sheet116"/>
      <sheetName val="Sheet140"/>
      <sheetName val="dtct cong"/>
      <sheetName val="Book 1 Summary"/>
      <sheetName val="P&amp;L"/>
      <sheetName val="损益表"/>
      <sheetName val="番禺管理"/>
      <sheetName val="通力管理"/>
      <sheetName val="股份销售费用"/>
      <sheetName val="股份管理"/>
      <sheetName val="安福管理"/>
      <sheetName val="通力销售费用"/>
      <sheetName val="Sheet112"/>
      <sheetName val="Sheet615"/>
      <sheetName val="Sheet616"/>
      <sheetName val="22"/>
      <sheetName val="M 67"/>
      <sheetName val="THEME CODE"/>
      <sheetName val="CR CODE"/>
      <sheetName val="부서CODE"/>
      <sheetName val="系统附加值表"/>
      <sheetName val="设备部房屋"/>
      <sheetName val="definition"/>
      <sheetName val="SW"/>
      <sheetName val="JDMCode"/>
      <sheetName val="PanelInfo"/>
      <sheetName val="00 FG breakdown"/>
      <sheetName val="01 FG breakdown"/>
      <sheetName val="99 FG breakdown"/>
      <sheetName val="电动车间"/>
      <sheetName val="5132"/>
      <sheetName val="会计科目"/>
      <sheetName val="Detail P&amp;L"/>
      <sheetName val="审计程序"/>
      <sheetName val="披露表(上市)-2016"/>
      <sheetName val="替代结果汇总表"/>
      <sheetName val="审定_资产负债表"/>
      <sheetName val="未审_资产负债表"/>
      <sheetName val="CAPEX-KEuro"/>
      <sheetName val="code_note"/>
      <sheetName val="数据模板1"/>
      <sheetName val="1_主营业务收入"/>
      <sheetName val="其他应收"/>
      <sheetName val="应收"/>
      <sheetName val="预付"/>
      <sheetName val="其他非流动资产合并抵消明细"/>
      <sheetName val="其他应收款－个人借款明细"/>
      <sheetName val="2017_6_30记6号"/>
      <sheetName val="07TB"/>
      <sheetName val="AR Breakdown&amp;Aging"/>
      <sheetName val="AP Breakdown &amp; Aging"/>
      <sheetName val="测算表"/>
      <sheetName val="A140-10"/>
      <sheetName val="数据源"/>
      <sheetName val="画底稿使用"/>
      <sheetName val="调整后报表"/>
      <sheetName val="收入成本审定表D4试剂"/>
      <sheetName val="审计说明M4-0"/>
      <sheetName val="库存商品库龄分析G2-3-3"/>
      <sheetName val="固定资产、累计折旧、减值准备明细表"/>
      <sheetName val="现金流量1-10月"/>
      <sheetName val="基础资料（B）"/>
      <sheetName val="Tfc&amp;toll asmptns"/>
      <sheetName val="G1-1-1a AR-85A"/>
      <sheetName val="浙江道之-机器设备"/>
      <sheetName val="Dates"/>
      <sheetName val="Sheet113"/>
      <sheetName val="合并TB-19年"/>
      <sheetName val="固定资产"/>
      <sheetName val="专项应付款Mx"/>
      <sheetName val="应付工资Dy"/>
      <sheetName val="UFPrn20071013211250"/>
      <sheetName val="D4-1营业收入审定表"/>
      <sheetName val="函证汇总表 G4-4-1"/>
      <sheetName val="发货单列表"/>
      <sheetName val="凭证测试（固硫）"/>
      <sheetName val="应收(帐面数)"/>
      <sheetName val="出租开发产品明细"/>
      <sheetName val="Sheet132"/>
      <sheetName val="Sheet555"/>
      <sheetName val="Sheet659"/>
      <sheetName val="Sheet703"/>
      <sheetName val="補充資料-10030 asset list"/>
      <sheetName val="新城资金明细"/>
      <sheetName val="申鑫大厦租金明细"/>
      <sheetName val="三林明细"/>
      <sheetName val="东陆明细"/>
      <sheetName val="D2-7本期应收结算单查验"/>
      <sheetName val="2021明细表D2-2 "/>
      <sheetName val="销售单价公允性"/>
      <sheetName val="预收帐款"/>
      <sheetName val="面积指标"/>
      <sheetName val="酒店"/>
      <sheetName val="P&amp;L Summary Page"/>
      <sheetName val="含量"/>
      <sheetName val="Sheet137"/>
      <sheetName val="Sheet367"/>
      <sheetName val="UFPrn20200415105500"/>
      <sheetName val="ITEM"/>
      <sheetName val="明细表J8-1"/>
      <sheetName val="11、对外开证"/>
      <sheetName val="财务费用"/>
      <sheetName val="投资收益"/>
      <sheetName val="B1-1001"/>
      <sheetName val="资债比较原"/>
      <sheetName val="Dropdown Category"/>
      <sheetName val="98调整分录表"/>
      <sheetName val="大楼分录"/>
      <sheetName val="凤县折旧测算"/>
      <sheetName val="Table"/>
      <sheetName val="产品销售毛利表"/>
      <sheetName val="苏州天山 - 待摊费用余额表明细"/>
      <sheetName val="支出原材料"/>
      <sheetName val="收入原料"/>
      <sheetName val="tax comp"/>
      <sheetName val="PY-pp"/>
      <sheetName val="PRC 15"/>
      <sheetName val="Sheet152"/>
      <sheetName val="Sheet136"/>
      <sheetName val="Word附注"/>
      <sheetName val="递延所得税负债Dy"/>
      <sheetName val="主营业务收入审定表D4"/>
      <sheetName val="明细表D4-2-2(品种）"/>
      <sheetName val="明细表D4-2-3(地区）"/>
      <sheetName val="收入毛利分析D4-3-1"/>
      <sheetName val="月度毛利分析D4-3-2"/>
      <sheetName val="重要产品毛利分析D4-3-3"/>
      <sheetName val="重要指标分析D4-3-4"/>
      <sheetName val="重要客户结构分析D4-3-5"/>
      <sheetName val="重要客户收入情况分析D4-3-6"/>
      <sheetName val="产品价格分析D4-3-7"/>
      <sheetName val="收入确认政策检查D4-4"/>
      <sheetName val="核实被函证单位信息D4-5-2"/>
      <sheetName val="函证过程控制D4-5-3"/>
      <sheetName val="主营业务收入差异调节表检查表D4-5-4"/>
      <sheetName val="回函核对记录D4-5-5"/>
      <sheetName val="替代程序表D4-5-6"/>
      <sheetName val="营业收入完整性测试表D4-7"/>
      <sheetName val="合同形式检查表D4-8-1"/>
      <sheetName val="合同履行检查表D4-8-2"/>
      <sheetName val="明细表D4-2-2(品种）(废)"/>
      <sheetName val="函证结果汇总表D4-5"/>
      <sheetName val="营业收入真实性测试表D4-6"/>
      <sheetName val="绿化养护收入截止测试D4-9"/>
      <sheetName val="识别未披露的关联方D4-10"/>
      <sheetName val="姓名汇总D4-10-1"/>
      <sheetName val="公司高管亲属名单D4-10-2"/>
      <sheetName val="职工花名册D4-10-3"/>
      <sheetName val="经销商负责人名单D4-10-4"/>
      <sheetName val="关联方销售情况及价格公允性检查D4-11"/>
      <sheetName val="D4-12-1销售退回核查"/>
      <sheetName val="D14-12-2销售折扣与折让核查"/>
      <sheetName val="D4-13客户核查清单"/>
      <sheetName val="D4-13-1电话访谈示例"/>
      <sheetName val="D4-13-2互联网查询示例"/>
      <sheetName val="D4-13-3客户走访模板1"/>
      <sheetName val="D4-13-3客户走访模板2"/>
      <sheetName val="针对环保局合同及收款核对检查表D4-16 (原,废)"/>
      <sheetName val="建造合同核查D4-14"/>
      <sheetName val="工程结算检查表(原D4-9-2)D4-15"/>
      <sheetName val="绿化养护_环保局项目检查表D4-16-1"/>
      <sheetName val="绿化养护_其他项目检查表D4-16-2"/>
      <sheetName val="建造合同核查D4-17(未设公式)"/>
      <sheetName val="预计总成本、验工计价检查测试 (2017)0305版"/>
      <sheetName val="预计总成本、验工计价检查测试 (2017)D4-17"/>
      <sheetName val="工程施工抽盘汇总表D4-18"/>
      <sheetName val="绿化养护收入情况检查表D4-15"/>
      <sheetName val="建造合同核查表 "/>
      <sheetName val="预计总成本、结算项目检查测试"/>
      <sheetName val="填写参数"/>
      <sheetName val="Movement "/>
      <sheetName val="存货汇总表10"/>
      <sheetName val="销售毛利润汇总表（原始）"/>
      <sheetName val="制造费用多栏明细账"/>
      <sheetName val="数量金额明细账"/>
      <sheetName val="Capital Spending"/>
      <sheetName val="Sales Analysis"/>
      <sheetName val="1-資本租賃條件試算"/>
      <sheetName val="e13100"/>
      <sheetName val="CNY"/>
      <sheetName val="USD"/>
      <sheetName val="x504明细"/>
      <sheetName val="ACT Cashflow"/>
      <sheetName val="Program Controls"/>
      <sheetName val="BS Heading"/>
      <sheetName val="A104000期间费用明细表"/>
      <sheetName val="Sheet91"/>
      <sheetName val="수리결과"/>
      <sheetName val="减少资产"/>
      <sheetName val="6602"/>
      <sheetName val="2701"/>
      <sheetName val="Sheet98"/>
      <sheetName val="NBCF"/>
      <sheetName val="M Schedules"/>
      <sheetName val="CCTL"/>
      <sheetName val="WIP"/>
      <sheetName val="D2-2-1风险分类"/>
      <sheetName val="Sheet160"/>
      <sheetName val="原材料抽查表"/>
      <sheetName val="试制收入"/>
      <sheetName val="12月销售成本表(原表)"/>
      <sheetName val="6125应付职工薪酬"/>
      <sheetName val="6126-1-2固定资产折旧明细 "/>
      <sheetName val="Sheet523"/>
      <sheetName val="Sheet524"/>
      <sheetName val="报表层次重要性水平"/>
      <sheetName val="所有者权益(股东权益)变动表(未审)"/>
      <sheetName val="订单418"/>
      <sheetName val="I151-40"/>
      <sheetName val="TB-I"/>
      <sheetName val="TB-基"/>
      <sheetName val="税金 "/>
      <sheetName val="产品入库序时簿"/>
      <sheetName val="Sheet6"/>
      <sheetName val="Sheet7"/>
      <sheetName val="Sheet115"/>
      <sheetName val="Sheet438"/>
      <sheetName val="能耗计算 OK "/>
      <sheetName val="Acc1"/>
      <sheetName val="基本情况"/>
      <sheetName val="上市1"/>
      <sheetName val="上市2"/>
      <sheetName val="上市3"/>
      <sheetName val="上市4"/>
      <sheetName val="上市5"/>
      <sheetName val="上市6"/>
      <sheetName val="上市7"/>
      <sheetName val="上市8"/>
      <sheetName val="上市9"/>
      <sheetName val="accode"/>
      <sheetName val="合同检查表"/>
      <sheetName val="银行未达账项明细表"/>
      <sheetName val="银行存款"/>
      <sheetName val="Sheet106"/>
      <sheetName val="合并TB"/>
      <sheetName val="制造费用明细表"/>
      <sheetName val="生产成本检查表"/>
      <sheetName val="销售费用明细表"/>
      <sheetName val="应收票据明细账"/>
      <sheetName val="20应收余额"/>
      <sheetName val="UFPrn20210723144007"/>
      <sheetName val="Audit Results"/>
      <sheetName val="Audit Results Upper Stratum"/>
      <sheetName val="Population Characteristics"/>
      <sheetName val="2002.1-6管理费用"/>
      <sheetName val="G2-5生产成本审定表"/>
      <sheetName val="FIN48 TP Doc"/>
      <sheetName val="No.305"/>
      <sheetName val="No.404"/>
      <sheetName val="Contents"/>
      <sheetName val="市场比较法"/>
      <sheetName val="短期借款汇总表"/>
      <sheetName val="20年销售出库"/>
      <sheetName val="固定资产清理"/>
      <sheetName val="在建工程"/>
      <sheetName val="Sheet134"/>
      <sheetName val="Sheet181"/>
      <sheetName val="Sheet537"/>
      <sheetName val="Sheet145"/>
      <sheetName val="SFS(ACTUAL)"/>
      <sheetName val="Sheet146"/>
      <sheetName val="Sheet157"/>
      <sheetName val="Sheet508"/>
      <sheetName val="Sheet606"/>
      <sheetName val="Sheet607"/>
      <sheetName val="Sheet608"/>
      <sheetName val="New Dept-IX"/>
      <sheetName val="L105"/>
      <sheetName val="R221"/>
      <sheetName val="销售输入表"/>
      <sheetName val="evaluate资金回收"/>
      <sheetName val="To tied 2001 opening RE"/>
      <sheetName val="资产评估结果分类汇总表 (2)"/>
      <sheetName val="2001年运使费相抵"/>
      <sheetName val="RESUMEN"/>
      <sheetName val="通用设备折旧复核"/>
      <sheetName val="专用设备折旧复核"/>
      <sheetName val="运输设备折旧复核"/>
      <sheetName val="电子设备折旧复核"/>
      <sheetName val="其他设备折旧"/>
      <sheetName val="Sheet148"/>
      <sheetName val="管理费用"/>
      <sheetName val="综合成本"/>
      <sheetName val="存货收发存汇总表"/>
      <sheetName val="利润中心"/>
      <sheetName val="profit2 (2)"/>
      <sheetName val="218"/>
      <sheetName val="固定资产卡片"/>
      <sheetName val="科目代码表"/>
      <sheetName val="折旧表"/>
      <sheetName val="0012"/>
      <sheetName val="ADJ Sum(console)"/>
      <sheetName val="L1-1"/>
      <sheetName val="变动"/>
      <sheetName val="QoA"/>
      <sheetName val="QofE"/>
      <sheetName val="QofA"/>
      <sheetName val="2-试算"/>
      <sheetName val="CalcOutPut"/>
      <sheetName val="披露表-上市公司报告"/>
      <sheetName val="CODES"/>
      <sheetName val="在建工程Dy"/>
      <sheetName val="存货Cx"/>
      <sheetName val="M"/>
      <sheetName val="损益表 &lt; P1 &gt; "/>
      <sheetName val="披露表(国企)"/>
      <sheetName val="销售收入底稿"/>
      <sheetName val="FO1"/>
      <sheetName val="应付利息Dy"/>
      <sheetName val="以前年度损益调整"/>
      <sheetName val="Khoan cong truong Tan De"/>
      <sheetName val="5200D-5其他应收款审定明细表1"/>
      <sheetName val="营业费用趋势分析"/>
      <sheetName val="3-11待摊"/>
      <sheetName val="6-1土地"/>
      <sheetName val="Base Info"/>
      <sheetName val="費用"/>
      <sheetName val="資本支出"/>
      <sheetName val="人力"/>
      <sheetName val="編製說明"/>
      <sheetName val="한계원가"/>
      <sheetName val="2020云汉芯城"/>
      <sheetName val="内销收人"/>
      <sheetName val="待摊费用Dy"/>
      <sheetName val="工程项目"/>
      <sheetName val="预付账款Mx"/>
      <sheetName val="预付账款Mx1"/>
      <sheetName val="应付账款Mx1"/>
      <sheetName val="原材料Mx1"/>
      <sheetName val="营业成本Dy"/>
      <sheetName val="A_1"/>
      <sheetName val="累计折旧_2"/>
      <sheetName val="余额表（终稿）"/>
      <sheetName val="2008年"/>
      <sheetName val="生产成本mx"/>
      <sheetName val="qtr local"/>
      <sheetName val="营业费用截止"/>
      <sheetName val="递延收益Dy"/>
      <sheetName val="372D-1 2012年折旧测算"/>
      <sheetName val="Sheet798"/>
      <sheetName val="Sheet545"/>
      <sheetName val="Sheet151"/>
      <sheetName val="May"/>
      <sheetName val="Sheet257"/>
      <sheetName val="Sheet426"/>
      <sheetName val="Sheet593"/>
      <sheetName val="CQFMA"/>
      <sheetName val="Segment"/>
      <sheetName val="list of LC"/>
      <sheetName val="04利息支出"/>
      <sheetName val="利息收入"/>
      <sheetName val="预提工行贷"/>
      <sheetName val="查验底稿"/>
      <sheetName val="Sheet611"/>
      <sheetName val="Sheet832"/>
      <sheetName val="Sheet836"/>
      <sheetName val="56271-2"/>
      <sheetName val="2021年收入汇总"/>
      <sheetName val="U8数据"/>
      <sheetName val="pe"/>
      <sheetName val="28"/>
      <sheetName val="14"/>
      <sheetName val="36"/>
      <sheetName val="13"/>
      <sheetName val="16-1"/>
      <sheetName val="16-2"/>
      <sheetName val="16-3"/>
      <sheetName val="Competition ¥"/>
      <sheetName val="630科目余额表"/>
      <sheetName val="ZA-DY"/>
      <sheetName val="FY02"/>
      <sheetName val="审计差异汇总"/>
      <sheetName val="B15 重要性计算表(审计前）"/>
      <sheetName val="CE_P"/>
      <sheetName val="表头及目录"/>
      <sheetName val="N__财务费用"/>
      <sheetName val="N__持有至到期投资"/>
      <sheetName val="N__存货"/>
      <sheetName val="N__递延所得税资产和递延所得税负债"/>
      <sheetName val="N__短期借款"/>
      <sheetName val="所合并"/>
      <sheetName val="资合并"/>
      <sheetName val="N__工程物资"/>
      <sheetName val="N__公允价值变动收益"/>
      <sheetName val="N__股本"/>
      <sheetName val="N__固定资产"/>
      <sheetName val="N__固定资产清理"/>
      <sheetName val="N__管理费用"/>
      <sheetName val="N__货币资金"/>
      <sheetName val="N__交易性金融负债"/>
      <sheetName val="N__交易性金融资产"/>
      <sheetName val="N__开发支出"/>
      <sheetName val="N__可供出售金融资产"/>
      <sheetName val="N__库存股"/>
      <sheetName val="利合并"/>
      <sheetName val="N__每股收益"/>
      <sheetName val="N__其他非流动负债"/>
      <sheetName val="N__其他非流动资产"/>
      <sheetName val="N__其他流动负债"/>
      <sheetName val="N__其他应付款"/>
      <sheetName val="N__其他综合收益"/>
      <sheetName val="N__其他流动资产"/>
      <sheetName val="N__商誉"/>
      <sheetName val="N__生产性生物资产"/>
      <sheetName val="N__所得税费用"/>
      <sheetName val="N__投资收益"/>
      <sheetName val="N__投资性房地产"/>
      <sheetName val="N__未分配利润"/>
      <sheetName val="N__无形资产"/>
      <sheetName val="N__现金流量表附注"/>
      <sheetName val="现合并"/>
      <sheetName val="N__销售费用"/>
      <sheetName val="N__一年内到期的非流动负债"/>
      <sheetName val="N__一年内到期的非流动资产"/>
      <sheetName val="N__应付股利"/>
      <sheetName val="N__应付利息"/>
      <sheetName val="N__应付票据"/>
      <sheetName val="N__应付债券"/>
      <sheetName val="N__应付账款"/>
      <sheetName val="N__应付职工薪酬"/>
      <sheetName val="N__应交税费"/>
      <sheetName val="N__应收股利"/>
      <sheetName val="N__应收利息"/>
      <sheetName val="N__应收票据"/>
      <sheetName val="N__盈余公积"/>
      <sheetName val="N__税金及附加"/>
      <sheetName val="N__营业外收入"/>
      <sheetName val="N__营业外支出"/>
      <sheetName val="N__油气资产"/>
      <sheetName val="N__预付款项"/>
      <sheetName val="N__预计负债"/>
      <sheetName val="N__预收账款"/>
      <sheetName val="N__在建工程"/>
      <sheetName val="N__长期待摊费用"/>
      <sheetName val="N__长期借款"/>
      <sheetName val="N__长期应付款"/>
      <sheetName val="N__长期应收款"/>
      <sheetName val="N__专项储备"/>
      <sheetName val="N__专项应付款"/>
      <sheetName val="N__资本公积"/>
      <sheetName val="N__资产减值损失"/>
      <sheetName val="N__资产减值准备"/>
      <sheetName val="Variables"/>
      <sheetName val="维护表"/>
      <sheetName val="enums"/>
      <sheetName val="原材料采购价格检查G4-7"/>
      <sheetName val="Basic_Setting"/>
      <sheetName val="A1-4 Failure Impact "/>
      <sheetName val="SMAEU-3"/>
      <sheetName val="FK Ma"/>
      <sheetName val="特殊部门按部门分类"/>
      <sheetName val="技术人员分位值(不含PM&amp;SLS）"/>
      <sheetName val="DEF"/>
      <sheetName val="Sheet166"/>
      <sheetName val="U321"/>
      <sheetName val="現金流量"/>
      <sheetName val="固清"/>
      <sheetName val="PopCache_Sheet1"/>
      <sheetName val="MetaData"/>
      <sheetName val="Threshold Table"/>
      <sheetName val="dd"/>
      <sheetName val="凭证汇总"/>
      <sheetName val="维简费"/>
      <sheetName val="维简费返还"/>
      <sheetName val="韓国"/>
      <sheetName val="yszk200412.dbf"/>
      <sheetName val="5440彙總表"/>
      <sheetName val="IPO"/>
      <sheetName val="Summary Page"/>
      <sheetName val="NR-2006"/>
      <sheetName val="AR-2006"/>
      <sheetName val="NR-2005"/>
      <sheetName val="AR-2005"/>
      <sheetName val="AR-2004"/>
      <sheetName val="Q4"/>
      <sheetName val="Sheet1.1"/>
      <sheetName val="10 销货成本表"/>
      <sheetName val="AATI "/>
      <sheetName val="NECsoic8(bvi)"/>
      <sheetName val="Anpec(bvi)"/>
      <sheetName val="Apec(bvi)"/>
      <sheetName val="ATU"/>
      <sheetName val="FSC"/>
      <sheetName val="IR"/>
      <sheetName val="ITOCHU_Sanyo"/>
      <sheetName val="Melco"/>
      <sheetName val="NECtssop8(bvi)"/>
      <sheetName val="NIKO(bvi)"/>
      <sheetName val="O2Micro"/>
      <sheetName val="PAN JIT"/>
      <sheetName val="Richtek (bvi)"/>
      <sheetName val="Semiwell"/>
      <sheetName val="Supertek"/>
      <sheetName val="3D"/>
      <sheetName val="CF-8&quot;-y2"/>
      <sheetName val="PL-monthly"/>
      <sheetName val="Wacc"/>
      <sheetName val="IC3A"/>
      <sheetName val="'IC4'A"/>
      <sheetName val="'IO7"/>
      <sheetName val="'IO8"/>
      <sheetName val="PL"/>
      <sheetName val="列表选择表"/>
      <sheetName val="JPN Chl"/>
      <sheetName val="科目索引"/>
      <sheetName val="7-1 2008管理费用-办公费"/>
      <sheetName val="7-5 2008年管理费用-试验检验费"/>
      <sheetName val="7-1 2009年管理费用-办公费"/>
      <sheetName val="7-5 2009年管理费用-试验检验费"/>
      <sheetName val="7-1 2010年管理费用-办公费"/>
      <sheetName val="7-5 2010年管理费用-试验检验费"/>
      <sheetName val="财企01表_南宁轨道交通集团有限责任公司（集团合并）期末数"/>
      <sheetName val="销售毛利润表"/>
      <sheetName val="PLGROUPCPY"/>
      <sheetName val="销售发票专用序时簿"/>
      <sheetName val="DEP"/>
      <sheetName val="制造费用"/>
      <sheetName val="11908发生额"/>
      <sheetName val="帐上"/>
      <sheetName val="5500A-4固定资产检查"/>
      <sheetName val="6200B-4应付职工薪酬检查"/>
      <sheetName val="6200B-5应付职工薪酬勾稽检查"/>
      <sheetName val="勿删-各公司按部门汇总工资"/>
      <sheetName val="6200B-6.1应付职工薪酬检查-工资"/>
      <sheetName val="6200B-3应付职工薪酬披露核对表"/>
      <sheetName val="YA-1-1"/>
      <sheetName val="外销收入明细表"/>
      <sheetName val="内部销售明细表"/>
      <sheetName val="actbgtbyM"/>
      <sheetName val="Inputs"/>
      <sheetName val="DR Summary Margin"/>
      <sheetName val="DR Summary Margin - Fcst"/>
      <sheetName val="Prior Week Funnel"/>
      <sheetName val="DR Summary Revenue"/>
      <sheetName val="DR Summary Revenue - Fcst"/>
      <sheetName val="DR Summary Units"/>
      <sheetName val="DR Summary Units - Fcst"/>
      <sheetName val="3-9其他应收"/>
      <sheetName val="9-3应付帐款"/>
      <sheetName val="按客户"/>
      <sheetName val="Prg"/>
      <sheetName val="Profile"/>
      <sheetName val="项目编号列表"/>
      <sheetName val="使用说明"/>
      <sheetName val="Income Stm"/>
      <sheetName val="（27）实收资本"/>
      <sheetName val="5200A-5应收账款函证汇总表"/>
      <sheetName val="2、生产成本月际分析"/>
      <sheetName val="预付账款Mx12"/>
      <sheetName val="NGUON"/>
      <sheetName val="自制半成品1-12计价测试"/>
      <sheetName val="Breakdown G&amp;A"/>
      <sheetName val="Bad debt provison&amp;aging analysi"/>
      <sheetName val="alternative"/>
      <sheetName val="自制半成品 (2)"/>
      <sheetName val="产成品明细"/>
      <sheetName val="主营业务成本 (2)"/>
      <sheetName val="Drop List References"/>
      <sheetName val="Bank"/>
      <sheetName val="工程量计算"/>
      <sheetName val="Expense Summary-M"/>
      <sheetName val="Production"/>
      <sheetName val="上缴管理费明细"/>
      <sheetName val="出库"/>
      <sheetName val="入库"/>
      <sheetName val="3-1-1现金"/>
      <sheetName val="3-1-2银存"/>
      <sheetName val="3-1-3其他货币"/>
      <sheetName val="10-1长借"/>
      <sheetName val="10-2应付债券"/>
      <sheetName val="10-3长期应付款"/>
      <sheetName val="10-4住房周转金"/>
      <sheetName val="10-5其他长期负债"/>
      <sheetName val="10-6递延税款贷项"/>
      <sheetName val="3-10存货汇总"/>
      <sheetName val="3-12待处理流损"/>
      <sheetName val="3-13一年长债"/>
      <sheetName val="3-14其他流资"/>
      <sheetName val="3-2短投汇总"/>
      <sheetName val="3-5应收股利"/>
      <sheetName val="3-6应收利息"/>
      <sheetName val="3-7预付帐款"/>
      <sheetName val="3-8应收补贴"/>
      <sheetName val="长投汇总"/>
      <sheetName val="6-2其他无形"/>
      <sheetName val="7-1开办费"/>
      <sheetName val="7-2长期待摊"/>
      <sheetName val="8-1其他长期"/>
      <sheetName val="8-2递税借项"/>
      <sheetName val="9-1短期借款"/>
      <sheetName val="9-10应付利润"/>
      <sheetName val="9-11其他应交"/>
      <sheetName val="9-12预提"/>
      <sheetName val="9-13一年内长债"/>
      <sheetName val="9-14其他流负"/>
      <sheetName val="9-2应付票据"/>
      <sheetName val="9-4预收帐款"/>
      <sheetName val="9-5代销商品款"/>
      <sheetName val="9-6其他应付款"/>
      <sheetName val="9-7应付工资"/>
      <sheetName val="9-8应付福利费"/>
      <sheetName val="9-9应交税金"/>
      <sheetName val="Notes"/>
      <sheetName val="折旧测算表"/>
      <sheetName val="5-3工程物资"/>
      <sheetName val="5-4-2在建安装"/>
      <sheetName val="5-5固定清理"/>
      <sheetName val="5-6待处理固定损失"/>
      <sheetName val="十价"/>
      <sheetName val="KLHT"/>
      <sheetName val="IC-5保理费用核查"/>
      <sheetName val="10-3-1工作量确认单核查 --OK"/>
      <sheetName val="收入成本大表"/>
      <sheetName val="check是否取回"/>
      <sheetName val="变更前的成本大表"/>
      <sheetName val="2017年表"/>
      <sheetName val="关联方抵消"/>
      <sheetName val="10-3-2回复"/>
      <sheetName val="Basic information"/>
      <sheetName val="Basic_Information"/>
      <sheetName val="FORM14_2"/>
      <sheetName val="L1-1资产负债表"/>
      <sheetName val="工程量"/>
      <sheetName val="工作底稿扉页"/>
      <sheetName val="Y3-1一般会计制度附注"/>
      <sheetName val="Y3-2 06企业会计制度附注"/>
      <sheetName val="Y0-1报告准备表（无需打印）"/>
      <sheetName val="5-1-3管沟"/>
      <sheetName val="梁家5-1-1房建"/>
      <sheetName val="5-4-1在建土建"/>
      <sheetName val="$TB 1"/>
      <sheetName val="$TB"/>
      <sheetName val="建发股份关联方清单"/>
      <sheetName val="评估结论"/>
      <sheetName val="HKBUD"/>
      <sheetName val="I-COA"/>
      <sheetName val="合并范围"/>
      <sheetName val="长期应付款Dy"/>
      <sheetName val="Acct"/>
      <sheetName val="template"/>
      <sheetName val="JP Report"/>
      <sheetName val="1-000-1"/>
      <sheetName val="1-000-3"/>
      <sheetName val="10K4"/>
      <sheetName val="Sheet121"/>
      <sheetName val="Sheet120"/>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sheetData sheetId="1071"/>
      <sheetData sheetId="1072"/>
      <sheetData sheetId="1073" refreshError="1"/>
      <sheetData sheetId="1074" refreshError="1"/>
      <sheetData sheetId="1075" refreshError="1"/>
      <sheetData sheetId="1076" refreshError="1"/>
      <sheetData sheetId="1077" refreshError="1"/>
      <sheetData sheetId="1078" refreshError="1"/>
      <sheetData sheetId="1079"/>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sheetData sheetId="1154"/>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sheetData sheetId="1176"/>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sheetData sheetId="1245" refreshError="1"/>
      <sheetData sheetId="1246" refreshError="1"/>
      <sheetData sheetId="1247" refreshError="1"/>
      <sheetData sheetId="1248" refreshError="1"/>
      <sheetData sheetId="1249"/>
      <sheetData sheetId="1250" refreshError="1"/>
      <sheetData sheetId="1251" refreshError="1"/>
      <sheetData sheetId="1252" refreshError="1"/>
      <sheetData sheetId="1253" refreshError="1"/>
      <sheetData sheetId="1254" refreshError="1"/>
      <sheetData sheetId="1255"/>
      <sheetData sheetId="1256" refreshError="1"/>
      <sheetData sheetId="1257" refreshError="1"/>
      <sheetData sheetId="1258" refreshError="1"/>
      <sheetData sheetId="1259" refreshError="1"/>
      <sheetData sheetId="1260" refreshError="1"/>
      <sheetData sheetId="1261"/>
      <sheetData sheetId="1262"/>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sheetData sheetId="1314"/>
      <sheetData sheetId="1315"/>
      <sheetData sheetId="1316"/>
      <sheetData sheetId="1317" refreshError="1"/>
      <sheetData sheetId="1318"/>
      <sheetData sheetId="1319"/>
      <sheetData sheetId="1320"/>
      <sheetData sheetId="1321"/>
      <sheetData sheetId="1322"/>
      <sheetData sheetId="1323"/>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sheetData sheetId="1385"/>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sheetData sheetId="1398"/>
      <sheetData sheetId="1399"/>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sheetData sheetId="1412"/>
      <sheetData sheetId="1413"/>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sheetData sheetId="1703"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索引"/>
      <sheetName val="货币资金Cx"/>
      <sheetName val="货币资金Mx"/>
      <sheetName val="分录"/>
      <sheetName val="标本-资产"/>
    </sheetNames>
    <sheetDataSet>
      <sheetData sheetId="0">
        <row r="15">
          <cell r="D15" t="str">
            <v>货币资金</v>
          </cell>
        </row>
      </sheetData>
      <sheetData sheetId="1" refreshError="1"/>
      <sheetData sheetId="2" refreshError="1"/>
      <sheetData sheetId="3" refreshError="1"/>
      <sheetData sheetId="4" refreshError="1"/>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1.xml"/><Relationship Id="rId1" Type="http://schemas.openxmlformats.org/officeDocument/2006/relationships/printerSettings" Target="../printerSettings/printerSettings5.bin"/><Relationship Id="rId5" Type="http://schemas.openxmlformats.org/officeDocument/2006/relationships/image" Target="../media/image1.emf"/><Relationship Id="rId4" Type="http://schemas.openxmlformats.org/officeDocument/2006/relationships/oleObject" Target="../embeddings/Microsoft_Word_97_-_2003___.doc"/></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F19"/>
  <sheetViews>
    <sheetView tabSelected="1" workbookViewId="0"/>
  </sheetViews>
  <sheetFormatPr defaultColWidth="9.109375" defaultRowHeight="13.8"/>
  <cols>
    <col min="1" max="1" width="93.88671875" style="34" bestFit="1" customWidth="1"/>
    <col min="2" max="2" width="5.6640625" style="36" bestFit="1" customWidth="1"/>
    <col min="3" max="3" width="36" style="34" customWidth="1"/>
    <col min="4" max="4" width="11.33203125" style="36" customWidth="1"/>
    <col min="5" max="5" width="8.44140625" style="34" customWidth="1"/>
    <col min="6" max="16384" width="9.109375" style="34"/>
  </cols>
  <sheetData>
    <row r="1" spans="1:6" s="30" customFormat="1" ht="22.5" customHeight="1">
      <c r="A1" s="80" t="s">
        <v>52</v>
      </c>
      <c r="D1" s="220"/>
    </row>
    <row r="2" spans="1:6" s="31" customFormat="1" ht="16.2" customHeight="1">
      <c r="A2" s="181" t="s">
        <v>227</v>
      </c>
      <c r="B2" s="260" t="s">
        <v>6</v>
      </c>
      <c r="C2" s="260"/>
      <c r="D2" s="260"/>
      <c r="E2" s="260"/>
    </row>
    <row r="3" spans="1:6" s="32" customFormat="1" ht="22.5" customHeight="1">
      <c r="A3" s="181" t="s">
        <v>235</v>
      </c>
    </row>
    <row r="4" spans="1:6" ht="19.8" customHeight="1">
      <c r="A4" s="247" t="s">
        <v>228</v>
      </c>
      <c r="B4" s="33" t="s">
        <v>7</v>
      </c>
      <c r="C4" s="33" t="s">
        <v>8</v>
      </c>
      <c r="D4" s="33" t="s">
        <v>9</v>
      </c>
      <c r="E4" s="33" t="s">
        <v>10</v>
      </c>
      <c r="F4" s="187"/>
    </row>
    <row r="5" spans="1:6" ht="19.8" customHeight="1">
      <c r="A5" s="247" t="s">
        <v>229</v>
      </c>
      <c r="B5" s="35">
        <v>1</v>
      </c>
      <c r="C5" s="81" t="s">
        <v>142</v>
      </c>
      <c r="D5" s="35" t="s">
        <v>88</v>
      </c>
      <c r="E5" s="188"/>
      <c r="F5" s="187"/>
    </row>
    <row r="6" spans="1:6" ht="19.8" customHeight="1">
      <c r="A6" s="247" t="s">
        <v>230</v>
      </c>
      <c r="B6" s="35">
        <v>2</v>
      </c>
      <c r="C6" s="81" t="s">
        <v>144</v>
      </c>
      <c r="D6" s="35" t="s">
        <v>89</v>
      </c>
      <c r="E6" s="189"/>
      <c r="F6" s="187"/>
    </row>
    <row r="7" spans="1:6" ht="19.8" customHeight="1">
      <c r="A7" s="247" t="s">
        <v>231</v>
      </c>
      <c r="B7" s="35">
        <v>3</v>
      </c>
      <c r="C7" s="82" t="s">
        <v>145</v>
      </c>
      <c r="D7" s="35"/>
      <c r="E7" s="188"/>
      <c r="F7" s="186" t="s">
        <v>143</v>
      </c>
    </row>
    <row r="8" spans="1:6" ht="19.8" customHeight="1">
      <c r="B8" s="35">
        <v>4</v>
      </c>
      <c r="C8" s="82" t="s">
        <v>146</v>
      </c>
      <c r="D8" s="35"/>
      <c r="E8" s="188"/>
      <c r="F8" s="186" t="s">
        <v>143</v>
      </c>
    </row>
    <row r="9" spans="1:6" ht="19.8" customHeight="1">
      <c r="A9" s="249" t="s">
        <v>236</v>
      </c>
      <c r="B9" s="35">
        <v>5</v>
      </c>
      <c r="C9" s="82" t="s">
        <v>147</v>
      </c>
      <c r="D9" s="35" t="s">
        <v>90</v>
      </c>
      <c r="E9" s="188"/>
      <c r="F9" s="187"/>
    </row>
    <row r="10" spans="1:6" ht="19.8" customHeight="1">
      <c r="A10" s="261" t="s">
        <v>237</v>
      </c>
      <c r="B10" s="35">
        <v>6</v>
      </c>
      <c r="C10" s="82" t="s">
        <v>148</v>
      </c>
      <c r="D10" s="35" t="s">
        <v>91</v>
      </c>
      <c r="E10" s="190" t="s">
        <v>74</v>
      </c>
      <c r="F10" s="187"/>
    </row>
    <row r="11" spans="1:6" ht="19.8" customHeight="1">
      <c r="A11" s="261"/>
      <c r="B11" s="35">
        <v>7</v>
      </c>
      <c r="C11" s="241" t="s">
        <v>224</v>
      </c>
      <c r="D11" s="35" t="s">
        <v>141</v>
      </c>
      <c r="E11" s="188"/>
      <c r="F11" s="187"/>
    </row>
    <row r="12" spans="1:6">
      <c r="A12" s="261"/>
    </row>
    <row r="13" spans="1:6">
      <c r="A13" s="261"/>
    </row>
    <row r="14" spans="1:6">
      <c r="A14" s="261" t="s">
        <v>238</v>
      </c>
    </row>
    <row r="15" spans="1:6">
      <c r="A15" s="261"/>
    </row>
    <row r="16" spans="1:6">
      <c r="A16" s="261"/>
    </row>
    <row r="17" spans="1:1">
      <c r="A17" s="262" t="s">
        <v>239</v>
      </c>
    </row>
    <row r="18" spans="1:1">
      <c r="A18" s="262"/>
    </row>
    <row r="19" spans="1:1">
      <c r="A19" s="262"/>
    </row>
  </sheetData>
  <mergeCells count="4">
    <mergeCell ref="B2:E2"/>
    <mergeCell ref="A10:A13"/>
    <mergeCell ref="A14:A16"/>
    <mergeCell ref="A17:A19"/>
  </mergeCells>
  <phoneticPr fontId="29" type="noConversion"/>
  <hyperlinks>
    <hyperlink ref="C6" location="'审定表 K4-1'!A1" display="审定表"/>
    <hyperlink ref="C8" location="'附注披露信息（国企）'!Print_Area" display="附注披露信息（国企）"/>
    <hyperlink ref="C7" location="'附注披露信息（上市公司）'!Print_Area" display="附注披露信息（上市公司）"/>
    <hyperlink ref="C9" location="'明细表 K4-2'!Print_Area" display="明细表"/>
    <hyperlink ref="C11" location="'其他流动负债检查表 K4-4'!A1" display="其他流动负债检查表"/>
    <hyperlink ref="C5" location="'实质性程序表 K4A'!Print_Area" display="实质性程序表"/>
    <hyperlink ref="C10" location="'调整分录汇总 K4-3'!Print_Area" display="调整分录汇总"/>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
  <dimension ref="A1:J207"/>
  <sheetViews>
    <sheetView view="pageBreakPreview" zoomScaleNormal="115" zoomScaleSheetLayoutView="100" workbookViewId="0">
      <selection sqref="A1:I1"/>
    </sheetView>
  </sheetViews>
  <sheetFormatPr defaultRowHeight="13.8"/>
  <cols>
    <col min="1" max="1" width="5" style="85" customWidth="1"/>
    <col min="2" max="2" width="71.109375" style="86" customWidth="1"/>
    <col min="3" max="3" width="12.109375" style="57" customWidth="1"/>
    <col min="4" max="4" width="6.77734375" style="57" customWidth="1"/>
    <col min="5" max="6" width="7.33203125" style="57" customWidth="1"/>
    <col min="7" max="7" width="8.44140625" style="57" customWidth="1"/>
    <col min="8" max="8" width="7.21875" style="57" customWidth="1"/>
    <col min="9" max="9" width="8.33203125" style="57" customWidth="1"/>
    <col min="10" max="10" width="61.88671875" style="57" customWidth="1"/>
    <col min="11" max="250" width="9.109375" style="57"/>
    <col min="251" max="251" width="9.6640625" style="57" customWidth="1"/>
    <col min="252" max="252" width="107.109375" style="57" customWidth="1"/>
    <col min="253" max="253" width="0" style="57" hidden="1" customWidth="1"/>
    <col min="254" max="254" width="13.44140625" style="57" customWidth="1"/>
    <col min="255" max="255" width="15.44140625" style="57" customWidth="1"/>
    <col min="256" max="256" width="6.88671875" style="57" customWidth="1"/>
    <col min="257" max="257" width="6.44140625" style="57" customWidth="1"/>
    <col min="258" max="258" width="5.33203125" style="57" customWidth="1"/>
    <col min="259" max="259" width="6.33203125" style="57" customWidth="1"/>
    <col min="260" max="260" width="16" style="57" customWidth="1"/>
    <col min="261" max="261" width="12.109375" style="57" customWidth="1"/>
    <col min="262" max="262" width="36.109375" style="57" bestFit="1" customWidth="1"/>
    <col min="263" max="506" width="9.109375" style="57"/>
    <col min="507" max="507" width="9.6640625" style="57" customWidth="1"/>
    <col min="508" max="508" width="107.109375" style="57" customWidth="1"/>
    <col min="509" max="509" width="0" style="57" hidden="1" customWidth="1"/>
    <col min="510" max="510" width="13.44140625" style="57" customWidth="1"/>
    <col min="511" max="511" width="15.44140625" style="57" customWidth="1"/>
    <col min="512" max="512" width="6.88671875" style="57" customWidth="1"/>
    <col min="513" max="513" width="6.44140625" style="57" customWidth="1"/>
    <col min="514" max="514" width="5.33203125" style="57" customWidth="1"/>
    <col min="515" max="515" width="6.33203125" style="57" customWidth="1"/>
    <col min="516" max="516" width="16" style="57" customWidth="1"/>
    <col min="517" max="517" width="12.109375" style="57" customWidth="1"/>
    <col min="518" max="518" width="36.109375" style="57" bestFit="1" customWidth="1"/>
    <col min="519" max="762" width="9.109375" style="57"/>
    <col min="763" max="763" width="9.6640625" style="57" customWidth="1"/>
    <col min="764" max="764" width="107.109375" style="57" customWidth="1"/>
    <col min="765" max="765" width="0" style="57" hidden="1" customWidth="1"/>
    <col min="766" max="766" width="13.44140625" style="57" customWidth="1"/>
    <col min="767" max="767" width="15.44140625" style="57" customWidth="1"/>
    <col min="768" max="768" width="6.88671875" style="57" customWidth="1"/>
    <col min="769" max="769" width="6.44140625" style="57" customWidth="1"/>
    <col min="770" max="770" width="5.33203125" style="57" customWidth="1"/>
    <col min="771" max="771" width="6.33203125" style="57" customWidth="1"/>
    <col min="772" max="772" width="16" style="57" customWidth="1"/>
    <col min="773" max="773" width="12.109375" style="57" customWidth="1"/>
    <col min="774" max="774" width="36.109375" style="57" bestFit="1" customWidth="1"/>
    <col min="775" max="1018" width="9.109375" style="57"/>
    <col min="1019" max="1019" width="9.6640625" style="57" customWidth="1"/>
    <col min="1020" max="1020" width="107.109375" style="57" customWidth="1"/>
    <col min="1021" max="1021" width="0" style="57" hidden="1" customWidth="1"/>
    <col min="1022" max="1022" width="13.44140625" style="57" customWidth="1"/>
    <col min="1023" max="1023" width="15.44140625" style="57" customWidth="1"/>
    <col min="1024" max="1024" width="6.88671875" style="57" customWidth="1"/>
    <col min="1025" max="1025" width="6.44140625" style="57" customWidth="1"/>
    <col min="1026" max="1026" width="5.33203125" style="57" customWidth="1"/>
    <col min="1027" max="1027" width="6.33203125" style="57" customWidth="1"/>
    <col min="1028" max="1028" width="16" style="57" customWidth="1"/>
    <col min="1029" max="1029" width="12.109375" style="57" customWidth="1"/>
    <col min="1030" max="1030" width="36.109375" style="57" bestFit="1" customWidth="1"/>
    <col min="1031" max="1274" width="9.109375" style="57"/>
    <col min="1275" max="1275" width="9.6640625" style="57" customWidth="1"/>
    <col min="1276" max="1276" width="107.109375" style="57" customWidth="1"/>
    <col min="1277" max="1277" width="0" style="57" hidden="1" customWidth="1"/>
    <col min="1278" max="1278" width="13.44140625" style="57" customWidth="1"/>
    <col min="1279" max="1279" width="15.44140625" style="57" customWidth="1"/>
    <col min="1280" max="1280" width="6.88671875" style="57" customWidth="1"/>
    <col min="1281" max="1281" width="6.44140625" style="57" customWidth="1"/>
    <col min="1282" max="1282" width="5.33203125" style="57" customWidth="1"/>
    <col min="1283" max="1283" width="6.33203125" style="57" customWidth="1"/>
    <col min="1284" max="1284" width="16" style="57" customWidth="1"/>
    <col min="1285" max="1285" width="12.109375" style="57" customWidth="1"/>
    <col min="1286" max="1286" width="36.109375" style="57" bestFit="1" customWidth="1"/>
    <col min="1287" max="1530" width="9.109375" style="57"/>
    <col min="1531" max="1531" width="9.6640625" style="57" customWidth="1"/>
    <col min="1532" max="1532" width="107.109375" style="57" customWidth="1"/>
    <col min="1533" max="1533" width="0" style="57" hidden="1" customWidth="1"/>
    <col min="1534" max="1534" width="13.44140625" style="57" customWidth="1"/>
    <col min="1535" max="1535" width="15.44140625" style="57" customWidth="1"/>
    <col min="1536" max="1536" width="6.88671875" style="57" customWidth="1"/>
    <col min="1537" max="1537" width="6.44140625" style="57" customWidth="1"/>
    <col min="1538" max="1538" width="5.33203125" style="57" customWidth="1"/>
    <col min="1539" max="1539" width="6.33203125" style="57" customWidth="1"/>
    <col min="1540" max="1540" width="16" style="57" customWidth="1"/>
    <col min="1541" max="1541" width="12.109375" style="57" customWidth="1"/>
    <col min="1542" max="1542" width="36.109375" style="57" bestFit="1" customWidth="1"/>
    <col min="1543" max="1786" width="9.109375" style="57"/>
    <col min="1787" max="1787" width="9.6640625" style="57" customWidth="1"/>
    <col min="1788" max="1788" width="107.109375" style="57" customWidth="1"/>
    <col min="1789" max="1789" width="0" style="57" hidden="1" customWidth="1"/>
    <col min="1790" max="1790" width="13.44140625" style="57" customWidth="1"/>
    <col min="1791" max="1791" width="15.44140625" style="57" customWidth="1"/>
    <col min="1792" max="1792" width="6.88671875" style="57" customWidth="1"/>
    <col min="1793" max="1793" width="6.44140625" style="57" customWidth="1"/>
    <col min="1794" max="1794" width="5.33203125" style="57" customWidth="1"/>
    <col min="1795" max="1795" width="6.33203125" style="57" customWidth="1"/>
    <col min="1796" max="1796" width="16" style="57" customWidth="1"/>
    <col min="1797" max="1797" width="12.109375" style="57" customWidth="1"/>
    <col min="1798" max="1798" width="36.109375" style="57" bestFit="1" customWidth="1"/>
    <col min="1799" max="2042" width="9.109375" style="57"/>
    <col min="2043" max="2043" width="9.6640625" style="57" customWidth="1"/>
    <col min="2044" max="2044" width="107.109375" style="57" customWidth="1"/>
    <col min="2045" max="2045" width="0" style="57" hidden="1" customWidth="1"/>
    <col min="2046" max="2046" width="13.44140625" style="57" customWidth="1"/>
    <col min="2047" max="2047" width="15.44140625" style="57" customWidth="1"/>
    <col min="2048" max="2048" width="6.88671875" style="57" customWidth="1"/>
    <col min="2049" max="2049" width="6.44140625" style="57" customWidth="1"/>
    <col min="2050" max="2050" width="5.33203125" style="57" customWidth="1"/>
    <col min="2051" max="2051" width="6.33203125" style="57" customWidth="1"/>
    <col min="2052" max="2052" width="16" style="57" customWidth="1"/>
    <col min="2053" max="2053" width="12.109375" style="57" customWidth="1"/>
    <col min="2054" max="2054" width="36.109375" style="57" bestFit="1" customWidth="1"/>
    <col min="2055" max="2298" width="9.109375" style="57"/>
    <col min="2299" max="2299" width="9.6640625" style="57" customWidth="1"/>
    <col min="2300" max="2300" width="107.109375" style="57" customWidth="1"/>
    <col min="2301" max="2301" width="0" style="57" hidden="1" customWidth="1"/>
    <col min="2302" max="2302" width="13.44140625" style="57" customWidth="1"/>
    <col min="2303" max="2303" width="15.44140625" style="57" customWidth="1"/>
    <col min="2304" max="2304" width="6.88671875" style="57" customWidth="1"/>
    <col min="2305" max="2305" width="6.44140625" style="57" customWidth="1"/>
    <col min="2306" max="2306" width="5.33203125" style="57" customWidth="1"/>
    <col min="2307" max="2307" width="6.33203125" style="57" customWidth="1"/>
    <col min="2308" max="2308" width="16" style="57" customWidth="1"/>
    <col min="2309" max="2309" width="12.109375" style="57" customWidth="1"/>
    <col min="2310" max="2310" width="36.109375" style="57" bestFit="1" customWidth="1"/>
    <col min="2311" max="2554" width="9.109375" style="57"/>
    <col min="2555" max="2555" width="9.6640625" style="57" customWidth="1"/>
    <col min="2556" max="2556" width="107.109375" style="57" customWidth="1"/>
    <col min="2557" max="2557" width="0" style="57" hidden="1" customWidth="1"/>
    <col min="2558" max="2558" width="13.44140625" style="57" customWidth="1"/>
    <col min="2559" max="2559" width="15.44140625" style="57" customWidth="1"/>
    <col min="2560" max="2560" width="6.88671875" style="57" customWidth="1"/>
    <col min="2561" max="2561" width="6.44140625" style="57" customWidth="1"/>
    <col min="2562" max="2562" width="5.33203125" style="57" customWidth="1"/>
    <col min="2563" max="2563" width="6.33203125" style="57" customWidth="1"/>
    <col min="2564" max="2564" width="16" style="57" customWidth="1"/>
    <col min="2565" max="2565" width="12.109375" style="57" customWidth="1"/>
    <col min="2566" max="2566" width="36.109375" style="57" bestFit="1" customWidth="1"/>
    <col min="2567" max="2810" width="9.109375" style="57"/>
    <col min="2811" max="2811" width="9.6640625" style="57" customWidth="1"/>
    <col min="2812" max="2812" width="107.109375" style="57" customWidth="1"/>
    <col min="2813" max="2813" width="0" style="57" hidden="1" customWidth="1"/>
    <col min="2814" max="2814" width="13.44140625" style="57" customWidth="1"/>
    <col min="2815" max="2815" width="15.44140625" style="57" customWidth="1"/>
    <col min="2816" max="2816" width="6.88671875" style="57" customWidth="1"/>
    <col min="2817" max="2817" width="6.44140625" style="57" customWidth="1"/>
    <col min="2818" max="2818" width="5.33203125" style="57" customWidth="1"/>
    <col min="2819" max="2819" width="6.33203125" style="57" customWidth="1"/>
    <col min="2820" max="2820" width="16" style="57" customWidth="1"/>
    <col min="2821" max="2821" width="12.109375" style="57" customWidth="1"/>
    <col min="2822" max="2822" width="36.109375" style="57" bestFit="1" customWidth="1"/>
    <col min="2823" max="3066" width="9.109375" style="57"/>
    <col min="3067" max="3067" width="9.6640625" style="57" customWidth="1"/>
    <col min="3068" max="3068" width="107.109375" style="57" customWidth="1"/>
    <col min="3069" max="3069" width="0" style="57" hidden="1" customWidth="1"/>
    <col min="3070" max="3070" width="13.44140625" style="57" customWidth="1"/>
    <col min="3071" max="3071" width="15.44140625" style="57" customWidth="1"/>
    <col min="3072" max="3072" width="6.88671875" style="57" customWidth="1"/>
    <col min="3073" max="3073" width="6.44140625" style="57" customWidth="1"/>
    <col min="3074" max="3074" width="5.33203125" style="57" customWidth="1"/>
    <col min="3075" max="3075" width="6.33203125" style="57" customWidth="1"/>
    <col min="3076" max="3076" width="16" style="57" customWidth="1"/>
    <col min="3077" max="3077" width="12.109375" style="57" customWidth="1"/>
    <col min="3078" max="3078" width="36.109375" style="57" bestFit="1" customWidth="1"/>
    <col min="3079" max="3322" width="9.109375" style="57"/>
    <col min="3323" max="3323" width="9.6640625" style="57" customWidth="1"/>
    <col min="3324" max="3324" width="107.109375" style="57" customWidth="1"/>
    <col min="3325" max="3325" width="0" style="57" hidden="1" customWidth="1"/>
    <col min="3326" max="3326" width="13.44140625" style="57" customWidth="1"/>
    <col min="3327" max="3327" width="15.44140625" style="57" customWidth="1"/>
    <col min="3328" max="3328" width="6.88671875" style="57" customWidth="1"/>
    <col min="3329" max="3329" width="6.44140625" style="57" customWidth="1"/>
    <col min="3330" max="3330" width="5.33203125" style="57" customWidth="1"/>
    <col min="3331" max="3331" width="6.33203125" style="57" customWidth="1"/>
    <col min="3332" max="3332" width="16" style="57" customWidth="1"/>
    <col min="3333" max="3333" width="12.109375" style="57" customWidth="1"/>
    <col min="3334" max="3334" width="36.109375" style="57" bestFit="1" customWidth="1"/>
    <col min="3335" max="3578" width="9.109375" style="57"/>
    <col min="3579" max="3579" width="9.6640625" style="57" customWidth="1"/>
    <col min="3580" max="3580" width="107.109375" style="57" customWidth="1"/>
    <col min="3581" max="3581" width="0" style="57" hidden="1" customWidth="1"/>
    <col min="3582" max="3582" width="13.44140625" style="57" customWidth="1"/>
    <col min="3583" max="3583" width="15.44140625" style="57" customWidth="1"/>
    <col min="3584" max="3584" width="6.88671875" style="57" customWidth="1"/>
    <col min="3585" max="3585" width="6.44140625" style="57" customWidth="1"/>
    <col min="3586" max="3586" width="5.33203125" style="57" customWidth="1"/>
    <col min="3587" max="3587" width="6.33203125" style="57" customWidth="1"/>
    <col min="3588" max="3588" width="16" style="57" customWidth="1"/>
    <col min="3589" max="3589" width="12.109375" style="57" customWidth="1"/>
    <col min="3590" max="3590" width="36.109375" style="57" bestFit="1" customWidth="1"/>
    <col min="3591" max="3834" width="9.109375" style="57"/>
    <col min="3835" max="3835" width="9.6640625" style="57" customWidth="1"/>
    <col min="3836" max="3836" width="107.109375" style="57" customWidth="1"/>
    <col min="3837" max="3837" width="0" style="57" hidden="1" customWidth="1"/>
    <col min="3838" max="3838" width="13.44140625" style="57" customWidth="1"/>
    <col min="3839" max="3839" width="15.44140625" style="57" customWidth="1"/>
    <col min="3840" max="3840" width="6.88671875" style="57" customWidth="1"/>
    <col min="3841" max="3841" width="6.44140625" style="57" customWidth="1"/>
    <col min="3842" max="3842" width="5.33203125" style="57" customWidth="1"/>
    <col min="3843" max="3843" width="6.33203125" style="57" customWidth="1"/>
    <col min="3844" max="3844" width="16" style="57" customWidth="1"/>
    <col min="3845" max="3845" width="12.109375" style="57" customWidth="1"/>
    <col min="3846" max="3846" width="36.109375" style="57" bestFit="1" customWidth="1"/>
    <col min="3847" max="4090" width="9.109375" style="57"/>
    <col min="4091" max="4091" width="9.6640625" style="57" customWidth="1"/>
    <col min="4092" max="4092" width="107.109375" style="57" customWidth="1"/>
    <col min="4093" max="4093" width="0" style="57" hidden="1" customWidth="1"/>
    <col min="4094" max="4094" width="13.44140625" style="57" customWidth="1"/>
    <col min="4095" max="4095" width="15.44140625" style="57" customWidth="1"/>
    <col min="4096" max="4096" width="6.88671875" style="57" customWidth="1"/>
    <col min="4097" max="4097" width="6.44140625" style="57" customWidth="1"/>
    <col min="4098" max="4098" width="5.33203125" style="57" customWidth="1"/>
    <col min="4099" max="4099" width="6.33203125" style="57" customWidth="1"/>
    <col min="4100" max="4100" width="16" style="57" customWidth="1"/>
    <col min="4101" max="4101" width="12.109375" style="57" customWidth="1"/>
    <col min="4102" max="4102" width="36.109375" style="57" bestFit="1" customWidth="1"/>
    <col min="4103" max="4346" width="9.109375" style="57"/>
    <col min="4347" max="4347" width="9.6640625" style="57" customWidth="1"/>
    <col min="4348" max="4348" width="107.109375" style="57" customWidth="1"/>
    <col min="4349" max="4349" width="0" style="57" hidden="1" customWidth="1"/>
    <col min="4350" max="4350" width="13.44140625" style="57" customWidth="1"/>
    <col min="4351" max="4351" width="15.44140625" style="57" customWidth="1"/>
    <col min="4352" max="4352" width="6.88671875" style="57" customWidth="1"/>
    <col min="4353" max="4353" width="6.44140625" style="57" customWidth="1"/>
    <col min="4354" max="4354" width="5.33203125" style="57" customWidth="1"/>
    <col min="4355" max="4355" width="6.33203125" style="57" customWidth="1"/>
    <col min="4356" max="4356" width="16" style="57" customWidth="1"/>
    <col min="4357" max="4357" width="12.109375" style="57" customWidth="1"/>
    <col min="4358" max="4358" width="36.109375" style="57" bestFit="1" customWidth="1"/>
    <col min="4359" max="4602" width="9.109375" style="57"/>
    <col min="4603" max="4603" width="9.6640625" style="57" customWidth="1"/>
    <col min="4604" max="4604" width="107.109375" style="57" customWidth="1"/>
    <col min="4605" max="4605" width="0" style="57" hidden="1" customWidth="1"/>
    <col min="4606" max="4606" width="13.44140625" style="57" customWidth="1"/>
    <col min="4607" max="4607" width="15.44140625" style="57" customWidth="1"/>
    <col min="4608" max="4608" width="6.88671875" style="57" customWidth="1"/>
    <col min="4609" max="4609" width="6.44140625" style="57" customWidth="1"/>
    <col min="4610" max="4610" width="5.33203125" style="57" customWidth="1"/>
    <col min="4611" max="4611" width="6.33203125" style="57" customWidth="1"/>
    <col min="4612" max="4612" width="16" style="57" customWidth="1"/>
    <col min="4613" max="4613" width="12.109375" style="57" customWidth="1"/>
    <col min="4614" max="4614" width="36.109375" style="57" bestFit="1" customWidth="1"/>
    <col min="4615" max="4858" width="9.109375" style="57"/>
    <col min="4859" max="4859" width="9.6640625" style="57" customWidth="1"/>
    <col min="4860" max="4860" width="107.109375" style="57" customWidth="1"/>
    <col min="4861" max="4861" width="0" style="57" hidden="1" customWidth="1"/>
    <col min="4862" max="4862" width="13.44140625" style="57" customWidth="1"/>
    <col min="4863" max="4863" width="15.44140625" style="57" customWidth="1"/>
    <col min="4864" max="4864" width="6.88671875" style="57" customWidth="1"/>
    <col min="4865" max="4865" width="6.44140625" style="57" customWidth="1"/>
    <col min="4866" max="4866" width="5.33203125" style="57" customWidth="1"/>
    <col min="4867" max="4867" width="6.33203125" style="57" customWidth="1"/>
    <col min="4868" max="4868" width="16" style="57" customWidth="1"/>
    <col min="4869" max="4869" width="12.109375" style="57" customWidth="1"/>
    <col min="4870" max="4870" width="36.109375" style="57" bestFit="1" customWidth="1"/>
    <col min="4871" max="5114" width="9.109375" style="57"/>
    <col min="5115" max="5115" width="9.6640625" style="57" customWidth="1"/>
    <col min="5116" max="5116" width="107.109375" style="57" customWidth="1"/>
    <col min="5117" max="5117" width="0" style="57" hidden="1" customWidth="1"/>
    <col min="5118" max="5118" width="13.44140625" style="57" customWidth="1"/>
    <col min="5119" max="5119" width="15.44140625" style="57" customWidth="1"/>
    <col min="5120" max="5120" width="6.88671875" style="57" customWidth="1"/>
    <col min="5121" max="5121" width="6.44140625" style="57" customWidth="1"/>
    <col min="5122" max="5122" width="5.33203125" style="57" customWidth="1"/>
    <col min="5123" max="5123" width="6.33203125" style="57" customWidth="1"/>
    <col min="5124" max="5124" width="16" style="57" customWidth="1"/>
    <col min="5125" max="5125" width="12.109375" style="57" customWidth="1"/>
    <col min="5126" max="5126" width="36.109375" style="57" bestFit="1" customWidth="1"/>
    <col min="5127" max="5370" width="9.109375" style="57"/>
    <col min="5371" max="5371" width="9.6640625" style="57" customWidth="1"/>
    <col min="5372" max="5372" width="107.109375" style="57" customWidth="1"/>
    <col min="5373" max="5373" width="0" style="57" hidden="1" customWidth="1"/>
    <col min="5374" max="5374" width="13.44140625" style="57" customWidth="1"/>
    <col min="5375" max="5375" width="15.44140625" style="57" customWidth="1"/>
    <col min="5376" max="5376" width="6.88671875" style="57" customWidth="1"/>
    <col min="5377" max="5377" width="6.44140625" style="57" customWidth="1"/>
    <col min="5378" max="5378" width="5.33203125" style="57" customWidth="1"/>
    <col min="5379" max="5379" width="6.33203125" style="57" customWidth="1"/>
    <col min="5380" max="5380" width="16" style="57" customWidth="1"/>
    <col min="5381" max="5381" width="12.109375" style="57" customWidth="1"/>
    <col min="5382" max="5382" width="36.109375" style="57" bestFit="1" customWidth="1"/>
    <col min="5383" max="5626" width="9.109375" style="57"/>
    <col min="5627" max="5627" width="9.6640625" style="57" customWidth="1"/>
    <col min="5628" max="5628" width="107.109375" style="57" customWidth="1"/>
    <col min="5629" max="5629" width="0" style="57" hidden="1" customWidth="1"/>
    <col min="5630" max="5630" width="13.44140625" style="57" customWidth="1"/>
    <col min="5631" max="5631" width="15.44140625" style="57" customWidth="1"/>
    <col min="5632" max="5632" width="6.88671875" style="57" customWidth="1"/>
    <col min="5633" max="5633" width="6.44140625" style="57" customWidth="1"/>
    <col min="5634" max="5634" width="5.33203125" style="57" customWidth="1"/>
    <col min="5635" max="5635" width="6.33203125" style="57" customWidth="1"/>
    <col min="5636" max="5636" width="16" style="57" customWidth="1"/>
    <col min="5637" max="5637" width="12.109375" style="57" customWidth="1"/>
    <col min="5638" max="5638" width="36.109375" style="57" bestFit="1" customWidth="1"/>
    <col min="5639" max="5882" width="9.109375" style="57"/>
    <col min="5883" max="5883" width="9.6640625" style="57" customWidth="1"/>
    <col min="5884" max="5884" width="107.109375" style="57" customWidth="1"/>
    <col min="5885" max="5885" width="0" style="57" hidden="1" customWidth="1"/>
    <col min="5886" max="5886" width="13.44140625" style="57" customWidth="1"/>
    <col min="5887" max="5887" width="15.44140625" style="57" customWidth="1"/>
    <col min="5888" max="5888" width="6.88671875" style="57" customWidth="1"/>
    <col min="5889" max="5889" width="6.44140625" style="57" customWidth="1"/>
    <col min="5890" max="5890" width="5.33203125" style="57" customWidth="1"/>
    <col min="5891" max="5891" width="6.33203125" style="57" customWidth="1"/>
    <col min="5892" max="5892" width="16" style="57" customWidth="1"/>
    <col min="5893" max="5893" width="12.109375" style="57" customWidth="1"/>
    <col min="5894" max="5894" width="36.109375" style="57" bestFit="1" customWidth="1"/>
    <col min="5895" max="6138" width="9.109375" style="57"/>
    <col min="6139" max="6139" width="9.6640625" style="57" customWidth="1"/>
    <col min="6140" max="6140" width="107.109375" style="57" customWidth="1"/>
    <col min="6141" max="6141" width="0" style="57" hidden="1" customWidth="1"/>
    <col min="6142" max="6142" width="13.44140625" style="57" customWidth="1"/>
    <col min="6143" max="6143" width="15.44140625" style="57" customWidth="1"/>
    <col min="6144" max="6144" width="6.88671875" style="57" customWidth="1"/>
    <col min="6145" max="6145" width="6.44140625" style="57" customWidth="1"/>
    <col min="6146" max="6146" width="5.33203125" style="57" customWidth="1"/>
    <col min="6147" max="6147" width="6.33203125" style="57" customWidth="1"/>
    <col min="6148" max="6148" width="16" style="57" customWidth="1"/>
    <col min="6149" max="6149" width="12.109375" style="57" customWidth="1"/>
    <col min="6150" max="6150" width="36.109375" style="57" bestFit="1" customWidth="1"/>
    <col min="6151" max="6394" width="9.109375" style="57"/>
    <col min="6395" max="6395" width="9.6640625" style="57" customWidth="1"/>
    <col min="6396" max="6396" width="107.109375" style="57" customWidth="1"/>
    <col min="6397" max="6397" width="0" style="57" hidden="1" customWidth="1"/>
    <col min="6398" max="6398" width="13.44140625" style="57" customWidth="1"/>
    <col min="6399" max="6399" width="15.44140625" style="57" customWidth="1"/>
    <col min="6400" max="6400" width="6.88671875" style="57" customWidth="1"/>
    <col min="6401" max="6401" width="6.44140625" style="57" customWidth="1"/>
    <col min="6402" max="6402" width="5.33203125" style="57" customWidth="1"/>
    <col min="6403" max="6403" width="6.33203125" style="57" customWidth="1"/>
    <col min="6404" max="6404" width="16" style="57" customWidth="1"/>
    <col min="6405" max="6405" width="12.109375" style="57" customWidth="1"/>
    <col min="6406" max="6406" width="36.109375" style="57" bestFit="1" customWidth="1"/>
    <col min="6407" max="6650" width="9.109375" style="57"/>
    <col min="6651" max="6651" width="9.6640625" style="57" customWidth="1"/>
    <col min="6652" max="6652" width="107.109375" style="57" customWidth="1"/>
    <col min="6653" max="6653" width="0" style="57" hidden="1" customWidth="1"/>
    <col min="6654" max="6654" width="13.44140625" style="57" customWidth="1"/>
    <col min="6655" max="6655" width="15.44140625" style="57" customWidth="1"/>
    <col min="6656" max="6656" width="6.88671875" style="57" customWidth="1"/>
    <col min="6657" max="6657" width="6.44140625" style="57" customWidth="1"/>
    <col min="6658" max="6658" width="5.33203125" style="57" customWidth="1"/>
    <col min="6659" max="6659" width="6.33203125" style="57" customWidth="1"/>
    <col min="6660" max="6660" width="16" style="57" customWidth="1"/>
    <col min="6661" max="6661" width="12.109375" style="57" customWidth="1"/>
    <col min="6662" max="6662" width="36.109375" style="57" bestFit="1" customWidth="1"/>
    <col min="6663" max="6906" width="9.109375" style="57"/>
    <col min="6907" max="6907" width="9.6640625" style="57" customWidth="1"/>
    <col min="6908" max="6908" width="107.109375" style="57" customWidth="1"/>
    <col min="6909" max="6909" width="0" style="57" hidden="1" customWidth="1"/>
    <col min="6910" max="6910" width="13.44140625" style="57" customWidth="1"/>
    <col min="6911" max="6911" width="15.44140625" style="57" customWidth="1"/>
    <col min="6912" max="6912" width="6.88671875" style="57" customWidth="1"/>
    <col min="6913" max="6913" width="6.44140625" style="57" customWidth="1"/>
    <col min="6914" max="6914" width="5.33203125" style="57" customWidth="1"/>
    <col min="6915" max="6915" width="6.33203125" style="57" customWidth="1"/>
    <col min="6916" max="6916" width="16" style="57" customWidth="1"/>
    <col min="6917" max="6917" width="12.109375" style="57" customWidth="1"/>
    <col min="6918" max="6918" width="36.109375" style="57" bestFit="1" customWidth="1"/>
    <col min="6919" max="7162" width="9.109375" style="57"/>
    <col min="7163" max="7163" width="9.6640625" style="57" customWidth="1"/>
    <col min="7164" max="7164" width="107.109375" style="57" customWidth="1"/>
    <col min="7165" max="7165" width="0" style="57" hidden="1" customWidth="1"/>
    <col min="7166" max="7166" width="13.44140625" style="57" customWidth="1"/>
    <col min="7167" max="7167" width="15.44140625" style="57" customWidth="1"/>
    <col min="7168" max="7168" width="6.88671875" style="57" customWidth="1"/>
    <col min="7169" max="7169" width="6.44140625" style="57" customWidth="1"/>
    <col min="7170" max="7170" width="5.33203125" style="57" customWidth="1"/>
    <col min="7171" max="7171" width="6.33203125" style="57" customWidth="1"/>
    <col min="7172" max="7172" width="16" style="57" customWidth="1"/>
    <col min="7173" max="7173" width="12.109375" style="57" customWidth="1"/>
    <col min="7174" max="7174" width="36.109375" style="57" bestFit="1" customWidth="1"/>
    <col min="7175" max="7418" width="9.109375" style="57"/>
    <col min="7419" max="7419" width="9.6640625" style="57" customWidth="1"/>
    <col min="7420" max="7420" width="107.109375" style="57" customWidth="1"/>
    <col min="7421" max="7421" width="0" style="57" hidden="1" customWidth="1"/>
    <col min="7422" max="7422" width="13.44140625" style="57" customWidth="1"/>
    <col min="7423" max="7423" width="15.44140625" style="57" customWidth="1"/>
    <col min="7424" max="7424" width="6.88671875" style="57" customWidth="1"/>
    <col min="7425" max="7425" width="6.44140625" style="57" customWidth="1"/>
    <col min="7426" max="7426" width="5.33203125" style="57" customWidth="1"/>
    <col min="7427" max="7427" width="6.33203125" style="57" customWidth="1"/>
    <col min="7428" max="7428" width="16" style="57" customWidth="1"/>
    <col min="7429" max="7429" width="12.109375" style="57" customWidth="1"/>
    <col min="7430" max="7430" width="36.109375" style="57" bestFit="1" customWidth="1"/>
    <col min="7431" max="7674" width="9.109375" style="57"/>
    <col min="7675" max="7675" width="9.6640625" style="57" customWidth="1"/>
    <col min="7676" max="7676" width="107.109375" style="57" customWidth="1"/>
    <col min="7677" max="7677" width="0" style="57" hidden="1" customWidth="1"/>
    <col min="7678" max="7678" width="13.44140625" style="57" customWidth="1"/>
    <col min="7679" max="7679" width="15.44140625" style="57" customWidth="1"/>
    <col min="7680" max="7680" width="6.88671875" style="57" customWidth="1"/>
    <col min="7681" max="7681" width="6.44140625" style="57" customWidth="1"/>
    <col min="7682" max="7682" width="5.33203125" style="57" customWidth="1"/>
    <col min="7683" max="7683" width="6.33203125" style="57" customWidth="1"/>
    <col min="7684" max="7684" width="16" style="57" customWidth="1"/>
    <col min="7685" max="7685" width="12.109375" style="57" customWidth="1"/>
    <col min="7686" max="7686" width="36.109375" style="57" bestFit="1" customWidth="1"/>
    <col min="7687" max="7930" width="9.109375" style="57"/>
    <col min="7931" max="7931" width="9.6640625" style="57" customWidth="1"/>
    <col min="7932" max="7932" width="107.109375" style="57" customWidth="1"/>
    <col min="7933" max="7933" width="0" style="57" hidden="1" customWidth="1"/>
    <col min="7934" max="7934" width="13.44140625" style="57" customWidth="1"/>
    <col min="7935" max="7935" width="15.44140625" style="57" customWidth="1"/>
    <col min="7936" max="7936" width="6.88671875" style="57" customWidth="1"/>
    <col min="7937" max="7937" width="6.44140625" style="57" customWidth="1"/>
    <col min="7938" max="7938" width="5.33203125" style="57" customWidth="1"/>
    <col min="7939" max="7939" width="6.33203125" style="57" customWidth="1"/>
    <col min="7940" max="7940" width="16" style="57" customWidth="1"/>
    <col min="7941" max="7941" width="12.109375" style="57" customWidth="1"/>
    <col min="7942" max="7942" width="36.109375" style="57" bestFit="1" customWidth="1"/>
    <col min="7943" max="8186" width="9.109375" style="57"/>
    <col min="8187" max="8187" width="9.6640625" style="57" customWidth="1"/>
    <col min="8188" max="8188" width="107.109375" style="57" customWidth="1"/>
    <col min="8189" max="8189" width="0" style="57" hidden="1" customWidth="1"/>
    <col min="8190" max="8190" width="13.44140625" style="57" customWidth="1"/>
    <col min="8191" max="8191" width="15.44140625" style="57" customWidth="1"/>
    <col min="8192" max="8192" width="6.88671875" style="57" customWidth="1"/>
    <col min="8193" max="8193" width="6.44140625" style="57" customWidth="1"/>
    <col min="8194" max="8194" width="5.33203125" style="57" customWidth="1"/>
    <col min="8195" max="8195" width="6.33203125" style="57" customWidth="1"/>
    <col min="8196" max="8196" width="16" style="57" customWidth="1"/>
    <col min="8197" max="8197" width="12.109375" style="57" customWidth="1"/>
    <col min="8198" max="8198" width="36.109375" style="57" bestFit="1" customWidth="1"/>
    <col min="8199" max="8442" width="9.109375" style="57"/>
    <col min="8443" max="8443" width="9.6640625" style="57" customWidth="1"/>
    <col min="8444" max="8444" width="107.109375" style="57" customWidth="1"/>
    <col min="8445" max="8445" width="0" style="57" hidden="1" customWidth="1"/>
    <col min="8446" max="8446" width="13.44140625" style="57" customWidth="1"/>
    <col min="8447" max="8447" width="15.44140625" style="57" customWidth="1"/>
    <col min="8448" max="8448" width="6.88671875" style="57" customWidth="1"/>
    <col min="8449" max="8449" width="6.44140625" style="57" customWidth="1"/>
    <col min="8450" max="8450" width="5.33203125" style="57" customWidth="1"/>
    <col min="8451" max="8451" width="6.33203125" style="57" customWidth="1"/>
    <col min="8452" max="8452" width="16" style="57" customWidth="1"/>
    <col min="8453" max="8453" width="12.109375" style="57" customWidth="1"/>
    <col min="8454" max="8454" width="36.109375" style="57" bestFit="1" customWidth="1"/>
    <col min="8455" max="8698" width="9.109375" style="57"/>
    <col min="8699" max="8699" width="9.6640625" style="57" customWidth="1"/>
    <col min="8700" max="8700" width="107.109375" style="57" customWidth="1"/>
    <col min="8701" max="8701" width="0" style="57" hidden="1" customWidth="1"/>
    <col min="8702" max="8702" width="13.44140625" style="57" customWidth="1"/>
    <col min="8703" max="8703" width="15.44140625" style="57" customWidth="1"/>
    <col min="8704" max="8704" width="6.88671875" style="57" customWidth="1"/>
    <col min="8705" max="8705" width="6.44140625" style="57" customWidth="1"/>
    <col min="8706" max="8706" width="5.33203125" style="57" customWidth="1"/>
    <col min="8707" max="8707" width="6.33203125" style="57" customWidth="1"/>
    <col min="8708" max="8708" width="16" style="57" customWidth="1"/>
    <col min="8709" max="8709" width="12.109375" style="57" customWidth="1"/>
    <col min="8710" max="8710" width="36.109375" style="57" bestFit="1" customWidth="1"/>
    <col min="8711" max="8954" width="9.109375" style="57"/>
    <col min="8955" max="8955" width="9.6640625" style="57" customWidth="1"/>
    <col min="8956" max="8956" width="107.109375" style="57" customWidth="1"/>
    <col min="8957" max="8957" width="0" style="57" hidden="1" customWidth="1"/>
    <col min="8958" max="8958" width="13.44140625" style="57" customWidth="1"/>
    <col min="8959" max="8959" width="15.44140625" style="57" customWidth="1"/>
    <col min="8960" max="8960" width="6.88671875" style="57" customWidth="1"/>
    <col min="8961" max="8961" width="6.44140625" style="57" customWidth="1"/>
    <col min="8962" max="8962" width="5.33203125" style="57" customWidth="1"/>
    <col min="8963" max="8963" width="6.33203125" style="57" customWidth="1"/>
    <col min="8964" max="8964" width="16" style="57" customWidth="1"/>
    <col min="8965" max="8965" width="12.109375" style="57" customWidth="1"/>
    <col min="8966" max="8966" width="36.109375" style="57" bestFit="1" customWidth="1"/>
    <col min="8967" max="9210" width="9.109375" style="57"/>
    <col min="9211" max="9211" width="9.6640625" style="57" customWidth="1"/>
    <col min="9212" max="9212" width="107.109375" style="57" customWidth="1"/>
    <col min="9213" max="9213" width="0" style="57" hidden="1" customWidth="1"/>
    <col min="9214" max="9214" width="13.44140625" style="57" customWidth="1"/>
    <col min="9215" max="9215" width="15.44140625" style="57" customWidth="1"/>
    <col min="9216" max="9216" width="6.88671875" style="57" customWidth="1"/>
    <col min="9217" max="9217" width="6.44140625" style="57" customWidth="1"/>
    <col min="9218" max="9218" width="5.33203125" style="57" customWidth="1"/>
    <col min="9219" max="9219" width="6.33203125" style="57" customWidth="1"/>
    <col min="9220" max="9220" width="16" style="57" customWidth="1"/>
    <col min="9221" max="9221" width="12.109375" style="57" customWidth="1"/>
    <col min="9222" max="9222" width="36.109375" style="57" bestFit="1" customWidth="1"/>
    <col min="9223" max="9466" width="9.109375" style="57"/>
    <col min="9467" max="9467" width="9.6640625" style="57" customWidth="1"/>
    <col min="9468" max="9468" width="107.109375" style="57" customWidth="1"/>
    <col min="9469" max="9469" width="0" style="57" hidden="1" customWidth="1"/>
    <col min="9470" max="9470" width="13.44140625" style="57" customWidth="1"/>
    <col min="9471" max="9471" width="15.44140625" style="57" customWidth="1"/>
    <col min="9472" max="9472" width="6.88671875" style="57" customWidth="1"/>
    <col min="9473" max="9473" width="6.44140625" style="57" customWidth="1"/>
    <col min="9474" max="9474" width="5.33203125" style="57" customWidth="1"/>
    <col min="9475" max="9475" width="6.33203125" style="57" customWidth="1"/>
    <col min="9476" max="9476" width="16" style="57" customWidth="1"/>
    <col min="9477" max="9477" width="12.109375" style="57" customWidth="1"/>
    <col min="9478" max="9478" width="36.109375" style="57" bestFit="1" customWidth="1"/>
    <col min="9479" max="9722" width="9.109375" style="57"/>
    <col min="9723" max="9723" width="9.6640625" style="57" customWidth="1"/>
    <col min="9724" max="9724" width="107.109375" style="57" customWidth="1"/>
    <col min="9725" max="9725" width="0" style="57" hidden="1" customWidth="1"/>
    <col min="9726" max="9726" width="13.44140625" style="57" customWidth="1"/>
    <col min="9727" max="9727" width="15.44140625" style="57" customWidth="1"/>
    <col min="9728" max="9728" width="6.88671875" style="57" customWidth="1"/>
    <col min="9729" max="9729" width="6.44140625" style="57" customWidth="1"/>
    <col min="9730" max="9730" width="5.33203125" style="57" customWidth="1"/>
    <col min="9731" max="9731" width="6.33203125" style="57" customWidth="1"/>
    <col min="9732" max="9732" width="16" style="57" customWidth="1"/>
    <col min="9733" max="9733" width="12.109375" style="57" customWidth="1"/>
    <col min="9734" max="9734" width="36.109375" style="57" bestFit="1" customWidth="1"/>
    <col min="9735" max="9978" width="9.109375" style="57"/>
    <col min="9979" max="9979" width="9.6640625" style="57" customWidth="1"/>
    <col min="9980" max="9980" width="107.109375" style="57" customWidth="1"/>
    <col min="9981" max="9981" width="0" style="57" hidden="1" customWidth="1"/>
    <col min="9982" max="9982" width="13.44140625" style="57" customWidth="1"/>
    <col min="9983" max="9983" width="15.44140625" style="57" customWidth="1"/>
    <col min="9984" max="9984" width="6.88671875" style="57" customWidth="1"/>
    <col min="9985" max="9985" width="6.44140625" style="57" customWidth="1"/>
    <col min="9986" max="9986" width="5.33203125" style="57" customWidth="1"/>
    <col min="9987" max="9987" width="6.33203125" style="57" customWidth="1"/>
    <col min="9988" max="9988" width="16" style="57" customWidth="1"/>
    <col min="9989" max="9989" width="12.109375" style="57" customWidth="1"/>
    <col min="9990" max="9990" width="36.109375" style="57" bestFit="1" customWidth="1"/>
    <col min="9991" max="10234" width="9.109375" style="57"/>
    <col min="10235" max="10235" width="9.6640625" style="57" customWidth="1"/>
    <col min="10236" max="10236" width="107.109375" style="57" customWidth="1"/>
    <col min="10237" max="10237" width="0" style="57" hidden="1" customWidth="1"/>
    <col min="10238" max="10238" width="13.44140625" style="57" customWidth="1"/>
    <col min="10239" max="10239" width="15.44140625" style="57" customWidth="1"/>
    <col min="10240" max="10240" width="6.88671875" style="57" customWidth="1"/>
    <col min="10241" max="10241" width="6.44140625" style="57" customWidth="1"/>
    <col min="10242" max="10242" width="5.33203125" style="57" customWidth="1"/>
    <col min="10243" max="10243" width="6.33203125" style="57" customWidth="1"/>
    <col min="10244" max="10244" width="16" style="57" customWidth="1"/>
    <col min="10245" max="10245" width="12.109375" style="57" customWidth="1"/>
    <col min="10246" max="10246" width="36.109375" style="57" bestFit="1" customWidth="1"/>
    <col min="10247" max="10490" width="9.109375" style="57"/>
    <col min="10491" max="10491" width="9.6640625" style="57" customWidth="1"/>
    <col min="10492" max="10492" width="107.109375" style="57" customWidth="1"/>
    <col min="10493" max="10493" width="0" style="57" hidden="1" customWidth="1"/>
    <col min="10494" max="10494" width="13.44140625" style="57" customWidth="1"/>
    <col min="10495" max="10495" width="15.44140625" style="57" customWidth="1"/>
    <col min="10496" max="10496" width="6.88671875" style="57" customWidth="1"/>
    <col min="10497" max="10497" width="6.44140625" style="57" customWidth="1"/>
    <col min="10498" max="10498" width="5.33203125" style="57" customWidth="1"/>
    <col min="10499" max="10499" width="6.33203125" style="57" customWidth="1"/>
    <col min="10500" max="10500" width="16" style="57" customWidth="1"/>
    <col min="10501" max="10501" width="12.109375" style="57" customWidth="1"/>
    <col min="10502" max="10502" width="36.109375" style="57" bestFit="1" customWidth="1"/>
    <col min="10503" max="10746" width="9.109375" style="57"/>
    <col min="10747" max="10747" width="9.6640625" style="57" customWidth="1"/>
    <col min="10748" max="10748" width="107.109375" style="57" customWidth="1"/>
    <col min="10749" max="10749" width="0" style="57" hidden="1" customWidth="1"/>
    <col min="10750" max="10750" width="13.44140625" style="57" customWidth="1"/>
    <col min="10751" max="10751" width="15.44140625" style="57" customWidth="1"/>
    <col min="10752" max="10752" width="6.88671875" style="57" customWidth="1"/>
    <col min="10753" max="10753" width="6.44140625" style="57" customWidth="1"/>
    <col min="10754" max="10754" width="5.33203125" style="57" customWidth="1"/>
    <col min="10755" max="10755" width="6.33203125" style="57" customWidth="1"/>
    <col min="10756" max="10756" width="16" style="57" customWidth="1"/>
    <col min="10757" max="10757" width="12.109375" style="57" customWidth="1"/>
    <col min="10758" max="10758" width="36.109375" style="57" bestFit="1" customWidth="1"/>
    <col min="10759" max="11002" width="9.109375" style="57"/>
    <col min="11003" max="11003" width="9.6640625" style="57" customWidth="1"/>
    <col min="11004" max="11004" width="107.109375" style="57" customWidth="1"/>
    <col min="11005" max="11005" width="0" style="57" hidden="1" customWidth="1"/>
    <col min="11006" max="11006" width="13.44140625" style="57" customWidth="1"/>
    <col min="11007" max="11007" width="15.44140625" style="57" customWidth="1"/>
    <col min="11008" max="11008" width="6.88671875" style="57" customWidth="1"/>
    <col min="11009" max="11009" width="6.44140625" style="57" customWidth="1"/>
    <col min="11010" max="11010" width="5.33203125" style="57" customWidth="1"/>
    <col min="11011" max="11011" width="6.33203125" style="57" customWidth="1"/>
    <col min="11012" max="11012" width="16" style="57" customWidth="1"/>
    <col min="11013" max="11013" width="12.109375" style="57" customWidth="1"/>
    <col min="11014" max="11014" width="36.109375" style="57" bestFit="1" customWidth="1"/>
    <col min="11015" max="11258" width="9.109375" style="57"/>
    <col min="11259" max="11259" width="9.6640625" style="57" customWidth="1"/>
    <col min="11260" max="11260" width="107.109375" style="57" customWidth="1"/>
    <col min="11261" max="11261" width="0" style="57" hidden="1" customWidth="1"/>
    <col min="11262" max="11262" width="13.44140625" style="57" customWidth="1"/>
    <col min="11263" max="11263" width="15.44140625" style="57" customWidth="1"/>
    <col min="11264" max="11264" width="6.88671875" style="57" customWidth="1"/>
    <col min="11265" max="11265" width="6.44140625" style="57" customWidth="1"/>
    <col min="11266" max="11266" width="5.33203125" style="57" customWidth="1"/>
    <col min="11267" max="11267" width="6.33203125" style="57" customWidth="1"/>
    <col min="11268" max="11268" width="16" style="57" customWidth="1"/>
    <col min="11269" max="11269" width="12.109375" style="57" customWidth="1"/>
    <col min="11270" max="11270" width="36.109375" style="57" bestFit="1" customWidth="1"/>
    <col min="11271" max="11514" width="9.109375" style="57"/>
    <col min="11515" max="11515" width="9.6640625" style="57" customWidth="1"/>
    <col min="11516" max="11516" width="107.109375" style="57" customWidth="1"/>
    <col min="11517" max="11517" width="0" style="57" hidden="1" customWidth="1"/>
    <col min="11518" max="11518" width="13.44140625" style="57" customWidth="1"/>
    <col min="11519" max="11519" width="15.44140625" style="57" customWidth="1"/>
    <col min="11520" max="11520" width="6.88671875" style="57" customWidth="1"/>
    <col min="11521" max="11521" width="6.44140625" style="57" customWidth="1"/>
    <col min="11522" max="11522" width="5.33203125" style="57" customWidth="1"/>
    <col min="11523" max="11523" width="6.33203125" style="57" customWidth="1"/>
    <col min="11524" max="11524" width="16" style="57" customWidth="1"/>
    <col min="11525" max="11525" width="12.109375" style="57" customWidth="1"/>
    <col min="11526" max="11526" width="36.109375" style="57" bestFit="1" customWidth="1"/>
    <col min="11527" max="11770" width="9.109375" style="57"/>
    <col min="11771" max="11771" width="9.6640625" style="57" customWidth="1"/>
    <col min="11772" max="11772" width="107.109375" style="57" customWidth="1"/>
    <col min="11773" max="11773" width="0" style="57" hidden="1" customWidth="1"/>
    <col min="11774" max="11774" width="13.44140625" style="57" customWidth="1"/>
    <col min="11775" max="11775" width="15.44140625" style="57" customWidth="1"/>
    <col min="11776" max="11776" width="6.88671875" style="57" customWidth="1"/>
    <col min="11777" max="11777" width="6.44140625" style="57" customWidth="1"/>
    <col min="11778" max="11778" width="5.33203125" style="57" customWidth="1"/>
    <col min="11779" max="11779" width="6.33203125" style="57" customWidth="1"/>
    <col min="11780" max="11780" width="16" style="57" customWidth="1"/>
    <col min="11781" max="11781" width="12.109375" style="57" customWidth="1"/>
    <col min="11782" max="11782" width="36.109375" style="57" bestFit="1" customWidth="1"/>
    <col min="11783" max="12026" width="9.109375" style="57"/>
    <col min="12027" max="12027" width="9.6640625" style="57" customWidth="1"/>
    <col min="12028" max="12028" width="107.109375" style="57" customWidth="1"/>
    <col min="12029" max="12029" width="0" style="57" hidden="1" customWidth="1"/>
    <col min="12030" max="12030" width="13.44140625" style="57" customWidth="1"/>
    <col min="12031" max="12031" width="15.44140625" style="57" customWidth="1"/>
    <col min="12032" max="12032" width="6.88671875" style="57" customWidth="1"/>
    <col min="12033" max="12033" width="6.44140625" style="57" customWidth="1"/>
    <col min="12034" max="12034" width="5.33203125" style="57" customWidth="1"/>
    <col min="12035" max="12035" width="6.33203125" style="57" customWidth="1"/>
    <col min="12036" max="12036" width="16" style="57" customWidth="1"/>
    <col min="12037" max="12037" width="12.109375" style="57" customWidth="1"/>
    <col min="12038" max="12038" width="36.109375" style="57" bestFit="1" customWidth="1"/>
    <col min="12039" max="12282" width="9.109375" style="57"/>
    <col min="12283" max="12283" width="9.6640625" style="57" customWidth="1"/>
    <col min="12284" max="12284" width="107.109375" style="57" customWidth="1"/>
    <col min="12285" max="12285" width="0" style="57" hidden="1" customWidth="1"/>
    <col min="12286" max="12286" width="13.44140625" style="57" customWidth="1"/>
    <col min="12287" max="12287" width="15.44140625" style="57" customWidth="1"/>
    <col min="12288" max="12288" width="6.88671875" style="57" customWidth="1"/>
    <col min="12289" max="12289" width="6.44140625" style="57" customWidth="1"/>
    <col min="12290" max="12290" width="5.33203125" style="57" customWidth="1"/>
    <col min="12291" max="12291" width="6.33203125" style="57" customWidth="1"/>
    <col min="12292" max="12292" width="16" style="57" customWidth="1"/>
    <col min="12293" max="12293" width="12.109375" style="57" customWidth="1"/>
    <col min="12294" max="12294" width="36.109375" style="57" bestFit="1" customWidth="1"/>
    <col min="12295" max="12538" width="9.109375" style="57"/>
    <col min="12539" max="12539" width="9.6640625" style="57" customWidth="1"/>
    <col min="12540" max="12540" width="107.109375" style="57" customWidth="1"/>
    <col min="12541" max="12541" width="0" style="57" hidden="1" customWidth="1"/>
    <col min="12542" max="12542" width="13.44140625" style="57" customWidth="1"/>
    <col min="12543" max="12543" width="15.44140625" style="57" customWidth="1"/>
    <col min="12544" max="12544" width="6.88671875" style="57" customWidth="1"/>
    <col min="12545" max="12545" width="6.44140625" style="57" customWidth="1"/>
    <col min="12546" max="12546" width="5.33203125" style="57" customWidth="1"/>
    <col min="12547" max="12547" width="6.33203125" style="57" customWidth="1"/>
    <col min="12548" max="12548" width="16" style="57" customWidth="1"/>
    <col min="12549" max="12549" width="12.109375" style="57" customWidth="1"/>
    <col min="12550" max="12550" width="36.109375" style="57" bestFit="1" customWidth="1"/>
    <col min="12551" max="12794" width="9.109375" style="57"/>
    <col min="12795" max="12795" width="9.6640625" style="57" customWidth="1"/>
    <col min="12796" max="12796" width="107.109375" style="57" customWidth="1"/>
    <col min="12797" max="12797" width="0" style="57" hidden="1" customWidth="1"/>
    <col min="12798" max="12798" width="13.44140625" style="57" customWidth="1"/>
    <col min="12799" max="12799" width="15.44140625" style="57" customWidth="1"/>
    <col min="12800" max="12800" width="6.88671875" style="57" customWidth="1"/>
    <col min="12801" max="12801" width="6.44140625" style="57" customWidth="1"/>
    <col min="12802" max="12802" width="5.33203125" style="57" customWidth="1"/>
    <col min="12803" max="12803" width="6.33203125" style="57" customWidth="1"/>
    <col min="12804" max="12804" width="16" style="57" customWidth="1"/>
    <col min="12805" max="12805" width="12.109375" style="57" customWidth="1"/>
    <col min="12806" max="12806" width="36.109375" style="57" bestFit="1" customWidth="1"/>
    <col min="12807" max="13050" width="9.109375" style="57"/>
    <col min="13051" max="13051" width="9.6640625" style="57" customWidth="1"/>
    <col min="13052" max="13052" width="107.109375" style="57" customWidth="1"/>
    <col min="13053" max="13053" width="0" style="57" hidden="1" customWidth="1"/>
    <col min="13054" max="13054" width="13.44140625" style="57" customWidth="1"/>
    <col min="13055" max="13055" width="15.44140625" style="57" customWidth="1"/>
    <col min="13056" max="13056" width="6.88671875" style="57" customWidth="1"/>
    <col min="13057" max="13057" width="6.44140625" style="57" customWidth="1"/>
    <col min="13058" max="13058" width="5.33203125" style="57" customWidth="1"/>
    <col min="13059" max="13059" width="6.33203125" style="57" customWidth="1"/>
    <col min="13060" max="13060" width="16" style="57" customWidth="1"/>
    <col min="13061" max="13061" width="12.109375" style="57" customWidth="1"/>
    <col min="13062" max="13062" width="36.109375" style="57" bestFit="1" customWidth="1"/>
    <col min="13063" max="13306" width="9.109375" style="57"/>
    <col min="13307" max="13307" width="9.6640625" style="57" customWidth="1"/>
    <col min="13308" max="13308" width="107.109375" style="57" customWidth="1"/>
    <col min="13309" max="13309" width="0" style="57" hidden="1" customWidth="1"/>
    <col min="13310" max="13310" width="13.44140625" style="57" customWidth="1"/>
    <col min="13311" max="13311" width="15.44140625" style="57" customWidth="1"/>
    <col min="13312" max="13312" width="6.88671875" style="57" customWidth="1"/>
    <col min="13313" max="13313" width="6.44140625" style="57" customWidth="1"/>
    <col min="13314" max="13314" width="5.33203125" style="57" customWidth="1"/>
    <col min="13315" max="13315" width="6.33203125" style="57" customWidth="1"/>
    <col min="13316" max="13316" width="16" style="57" customWidth="1"/>
    <col min="13317" max="13317" width="12.109375" style="57" customWidth="1"/>
    <col min="13318" max="13318" width="36.109375" style="57" bestFit="1" customWidth="1"/>
    <col min="13319" max="13562" width="9.109375" style="57"/>
    <col min="13563" max="13563" width="9.6640625" style="57" customWidth="1"/>
    <col min="13564" max="13564" width="107.109375" style="57" customWidth="1"/>
    <col min="13565" max="13565" width="0" style="57" hidden="1" customWidth="1"/>
    <col min="13566" max="13566" width="13.44140625" style="57" customWidth="1"/>
    <col min="13567" max="13567" width="15.44140625" style="57" customWidth="1"/>
    <col min="13568" max="13568" width="6.88671875" style="57" customWidth="1"/>
    <col min="13569" max="13569" width="6.44140625" style="57" customWidth="1"/>
    <col min="13570" max="13570" width="5.33203125" style="57" customWidth="1"/>
    <col min="13571" max="13571" width="6.33203125" style="57" customWidth="1"/>
    <col min="13572" max="13572" width="16" style="57" customWidth="1"/>
    <col min="13573" max="13573" width="12.109375" style="57" customWidth="1"/>
    <col min="13574" max="13574" width="36.109375" style="57" bestFit="1" customWidth="1"/>
    <col min="13575" max="13818" width="9.109375" style="57"/>
    <col min="13819" max="13819" width="9.6640625" style="57" customWidth="1"/>
    <col min="13820" max="13820" width="107.109375" style="57" customWidth="1"/>
    <col min="13821" max="13821" width="0" style="57" hidden="1" customWidth="1"/>
    <col min="13822" max="13822" width="13.44140625" style="57" customWidth="1"/>
    <col min="13823" max="13823" width="15.44140625" style="57" customWidth="1"/>
    <col min="13824" max="13824" width="6.88671875" style="57" customWidth="1"/>
    <col min="13825" max="13825" width="6.44140625" style="57" customWidth="1"/>
    <col min="13826" max="13826" width="5.33203125" style="57" customWidth="1"/>
    <col min="13827" max="13827" width="6.33203125" style="57" customWidth="1"/>
    <col min="13828" max="13828" width="16" style="57" customWidth="1"/>
    <col min="13829" max="13829" width="12.109375" style="57" customWidth="1"/>
    <col min="13830" max="13830" width="36.109375" style="57" bestFit="1" customWidth="1"/>
    <col min="13831" max="14074" width="9.109375" style="57"/>
    <col min="14075" max="14075" width="9.6640625" style="57" customWidth="1"/>
    <col min="14076" max="14076" width="107.109375" style="57" customWidth="1"/>
    <col min="14077" max="14077" width="0" style="57" hidden="1" customWidth="1"/>
    <col min="14078" max="14078" width="13.44140625" style="57" customWidth="1"/>
    <col min="14079" max="14079" width="15.44140625" style="57" customWidth="1"/>
    <col min="14080" max="14080" width="6.88671875" style="57" customWidth="1"/>
    <col min="14081" max="14081" width="6.44140625" style="57" customWidth="1"/>
    <col min="14082" max="14082" width="5.33203125" style="57" customWidth="1"/>
    <col min="14083" max="14083" width="6.33203125" style="57" customWidth="1"/>
    <col min="14084" max="14084" width="16" style="57" customWidth="1"/>
    <col min="14085" max="14085" width="12.109375" style="57" customWidth="1"/>
    <col min="14086" max="14086" width="36.109375" style="57" bestFit="1" customWidth="1"/>
    <col min="14087" max="14330" width="9.109375" style="57"/>
    <col min="14331" max="14331" width="9.6640625" style="57" customWidth="1"/>
    <col min="14332" max="14332" width="107.109375" style="57" customWidth="1"/>
    <col min="14333" max="14333" width="0" style="57" hidden="1" customWidth="1"/>
    <col min="14334" max="14334" width="13.44140625" style="57" customWidth="1"/>
    <col min="14335" max="14335" width="15.44140625" style="57" customWidth="1"/>
    <col min="14336" max="14336" width="6.88671875" style="57" customWidth="1"/>
    <col min="14337" max="14337" width="6.44140625" style="57" customWidth="1"/>
    <col min="14338" max="14338" width="5.33203125" style="57" customWidth="1"/>
    <col min="14339" max="14339" width="6.33203125" style="57" customWidth="1"/>
    <col min="14340" max="14340" width="16" style="57" customWidth="1"/>
    <col min="14341" max="14341" width="12.109375" style="57" customWidth="1"/>
    <col min="14342" max="14342" width="36.109375" style="57" bestFit="1" customWidth="1"/>
    <col min="14343" max="14586" width="9.109375" style="57"/>
    <col min="14587" max="14587" width="9.6640625" style="57" customWidth="1"/>
    <col min="14588" max="14588" width="107.109375" style="57" customWidth="1"/>
    <col min="14589" max="14589" width="0" style="57" hidden="1" customWidth="1"/>
    <col min="14590" max="14590" width="13.44140625" style="57" customWidth="1"/>
    <col min="14591" max="14591" width="15.44140625" style="57" customWidth="1"/>
    <col min="14592" max="14592" width="6.88671875" style="57" customWidth="1"/>
    <col min="14593" max="14593" width="6.44140625" style="57" customWidth="1"/>
    <col min="14594" max="14594" width="5.33203125" style="57" customWidth="1"/>
    <col min="14595" max="14595" width="6.33203125" style="57" customWidth="1"/>
    <col min="14596" max="14596" width="16" style="57" customWidth="1"/>
    <col min="14597" max="14597" width="12.109375" style="57" customWidth="1"/>
    <col min="14598" max="14598" width="36.109375" style="57" bestFit="1" customWidth="1"/>
    <col min="14599" max="14842" width="9.109375" style="57"/>
    <col min="14843" max="14843" width="9.6640625" style="57" customWidth="1"/>
    <col min="14844" max="14844" width="107.109375" style="57" customWidth="1"/>
    <col min="14845" max="14845" width="0" style="57" hidden="1" customWidth="1"/>
    <col min="14846" max="14846" width="13.44140625" style="57" customWidth="1"/>
    <col min="14847" max="14847" width="15.44140625" style="57" customWidth="1"/>
    <col min="14848" max="14848" width="6.88671875" style="57" customWidth="1"/>
    <col min="14849" max="14849" width="6.44140625" style="57" customWidth="1"/>
    <col min="14850" max="14850" width="5.33203125" style="57" customWidth="1"/>
    <col min="14851" max="14851" width="6.33203125" style="57" customWidth="1"/>
    <col min="14852" max="14852" width="16" style="57" customWidth="1"/>
    <col min="14853" max="14853" width="12.109375" style="57" customWidth="1"/>
    <col min="14854" max="14854" width="36.109375" style="57" bestFit="1" customWidth="1"/>
    <col min="14855" max="15098" width="9.109375" style="57"/>
    <col min="15099" max="15099" width="9.6640625" style="57" customWidth="1"/>
    <col min="15100" max="15100" width="107.109375" style="57" customWidth="1"/>
    <col min="15101" max="15101" width="0" style="57" hidden="1" customWidth="1"/>
    <col min="15102" max="15102" width="13.44140625" style="57" customWidth="1"/>
    <col min="15103" max="15103" width="15.44140625" style="57" customWidth="1"/>
    <col min="15104" max="15104" width="6.88671875" style="57" customWidth="1"/>
    <col min="15105" max="15105" width="6.44140625" style="57" customWidth="1"/>
    <col min="15106" max="15106" width="5.33203125" style="57" customWidth="1"/>
    <col min="15107" max="15107" width="6.33203125" style="57" customWidth="1"/>
    <col min="15108" max="15108" width="16" style="57" customWidth="1"/>
    <col min="15109" max="15109" width="12.109375" style="57" customWidth="1"/>
    <col min="15110" max="15110" width="36.109375" style="57" bestFit="1" customWidth="1"/>
    <col min="15111" max="15354" width="9.109375" style="57"/>
    <col min="15355" max="15355" width="9.6640625" style="57" customWidth="1"/>
    <col min="15356" max="15356" width="107.109375" style="57" customWidth="1"/>
    <col min="15357" max="15357" width="0" style="57" hidden="1" customWidth="1"/>
    <col min="15358" max="15358" width="13.44140625" style="57" customWidth="1"/>
    <col min="15359" max="15359" width="15.44140625" style="57" customWidth="1"/>
    <col min="15360" max="15360" width="6.88671875" style="57" customWidth="1"/>
    <col min="15361" max="15361" width="6.44140625" style="57" customWidth="1"/>
    <col min="15362" max="15362" width="5.33203125" style="57" customWidth="1"/>
    <col min="15363" max="15363" width="6.33203125" style="57" customWidth="1"/>
    <col min="15364" max="15364" width="16" style="57" customWidth="1"/>
    <col min="15365" max="15365" width="12.109375" style="57" customWidth="1"/>
    <col min="15366" max="15366" width="36.109375" style="57" bestFit="1" customWidth="1"/>
    <col min="15367" max="15610" width="9.109375" style="57"/>
    <col min="15611" max="15611" width="9.6640625" style="57" customWidth="1"/>
    <col min="15612" max="15612" width="107.109375" style="57" customWidth="1"/>
    <col min="15613" max="15613" width="0" style="57" hidden="1" customWidth="1"/>
    <col min="15614" max="15614" width="13.44140625" style="57" customWidth="1"/>
    <col min="15615" max="15615" width="15.44140625" style="57" customWidth="1"/>
    <col min="15616" max="15616" width="6.88671875" style="57" customWidth="1"/>
    <col min="15617" max="15617" width="6.44140625" style="57" customWidth="1"/>
    <col min="15618" max="15618" width="5.33203125" style="57" customWidth="1"/>
    <col min="15619" max="15619" width="6.33203125" style="57" customWidth="1"/>
    <col min="15620" max="15620" width="16" style="57" customWidth="1"/>
    <col min="15621" max="15621" width="12.109375" style="57" customWidth="1"/>
    <col min="15622" max="15622" width="36.109375" style="57" bestFit="1" customWidth="1"/>
    <col min="15623" max="15866" width="9.109375" style="57"/>
    <col min="15867" max="15867" width="9.6640625" style="57" customWidth="1"/>
    <col min="15868" max="15868" width="107.109375" style="57" customWidth="1"/>
    <col min="15869" max="15869" width="0" style="57" hidden="1" customWidth="1"/>
    <col min="15870" max="15870" width="13.44140625" style="57" customWidth="1"/>
    <col min="15871" max="15871" width="15.44140625" style="57" customWidth="1"/>
    <col min="15872" max="15872" width="6.88671875" style="57" customWidth="1"/>
    <col min="15873" max="15873" width="6.44140625" style="57" customWidth="1"/>
    <col min="15874" max="15874" width="5.33203125" style="57" customWidth="1"/>
    <col min="15875" max="15875" width="6.33203125" style="57" customWidth="1"/>
    <col min="15876" max="15876" width="16" style="57" customWidth="1"/>
    <col min="15877" max="15877" width="12.109375" style="57" customWidth="1"/>
    <col min="15878" max="15878" width="36.109375" style="57" bestFit="1" customWidth="1"/>
    <col min="15879" max="16122" width="9.109375" style="57"/>
    <col min="16123" max="16123" width="9.6640625" style="57" customWidth="1"/>
    <col min="16124" max="16124" width="107.109375" style="57" customWidth="1"/>
    <col min="16125" max="16125" width="0" style="57" hidden="1" customWidth="1"/>
    <col min="16126" max="16126" width="13.44140625" style="57" customWidth="1"/>
    <col min="16127" max="16127" width="15.44140625" style="57" customWidth="1"/>
    <col min="16128" max="16128" width="6.88671875" style="57" customWidth="1"/>
    <col min="16129" max="16129" width="6.44140625" style="57" customWidth="1"/>
    <col min="16130" max="16130" width="5.33203125" style="57" customWidth="1"/>
    <col min="16131" max="16131" width="6.33203125" style="57" customWidth="1"/>
    <col min="16132" max="16132" width="16" style="57" customWidth="1"/>
    <col min="16133" max="16133" width="12.109375" style="57" customWidth="1"/>
    <col min="16134" max="16134" width="36.109375" style="57" bestFit="1" customWidth="1"/>
    <col min="16135" max="16379" width="9.109375" style="57"/>
    <col min="16380" max="16384" width="9.109375" style="57" customWidth="1"/>
  </cols>
  <sheetData>
    <row r="1" spans="1:10" s="9" customFormat="1" ht="19.95" customHeight="1">
      <c r="A1" s="263" t="s">
        <v>54</v>
      </c>
      <c r="B1" s="263"/>
      <c r="C1" s="263"/>
      <c r="D1" s="263"/>
      <c r="E1" s="263"/>
      <c r="F1" s="263"/>
      <c r="G1" s="263"/>
      <c r="H1" s="263"/>
      <c r="I1" s="263"/>
    </row>
    <row r="2" spans="1:10" s="9" customFormat="1" ht="19.95" customHeight="1">
      <c r="A2" s="264" t="s">
        <v>55</v>
      </c>
      <c r="B2" s="264"/>
      <c r="C2" s="264"/>
      <c r="D2" s="264"/>
      <c r="E2" s="264"/>
      <c r="F2" s="264"/>
      <c r="G2" s="264"/>
      <c r="H2" s="264"/>
      <c r="I2" s="264"/>
    </row>
    <row r="3" spans="1:10" s="10" customFormat="1" ht="19.95" customHeight="1">
      <c r="A3" s="10" t="str">
        <f>底稿目录!A2</f>
        <v>被审计单位：</v>
      </c>
      <c r="C3" s="10" t="str">
        <f>底稿目录!A4</f>
        <v>编制人：</v>
      </c>
      <c r="E3" s="10" t="str">
        <f>底稿目录!A5</f>
        <v>编制日期：</v>
      </c>
      <c r="H3" s="54" t="s">
        <v>87</v>
      </c>
      <c r="I3" s="242" t="str">
        <f>底稿目录!D5</f>
        <v>K4A</v>
      </c>
    </row>
    <row r="4" spans="1:10" s="10" customFormat="1" ht="19.95" customHeight="1">
      <c r="A4" s="10" t="str">
        <f>底稿目录!A3</f>
        <v>截止日：202X年12月31日</v>
      </c>
      <c r="C4" s="87" t="str">
        <f>底稿目录!A6</f>
        <v>复核人：</v>
      </c>
      <c r="E4" s="10" t="str">
        <f>底稿目录!A7</f>
        <v>复核日期：</v>
      </c>
      <c r="H4" s="229" t="s">
        <v>201</v>
      </c>
      <c r="I4" s="16"/>
    </row>
    <row r="5" spans="1:10" ht="19.95" customHeight="1">
      <c r="A5" s="224" t="s">
        <v>196</v>
      </c>
      <c r="B5" s="225"/>
      <c r="C5" s="226"/>
      <c r="D5" s="225"/>
      <c r="E5" s="225"/>
      <c r="F5" s="225"/>
      <c r="G5" s="225"/>
      <c r="H5" s="226"/>
      <c r="I5" s="225"/>
    </row>
    <row r="6" spans="1:10" ht="19.95" customHeight="1">
      <c r="A6" s="265" t="s">
        <v>56</v>
      </c>
      <c r="B6" s="266"/>
      <c r="C6" s="266"/>
      <c r="D6" s="266"/>
      <c r="E6" s="266"/>
      <c r="F6" s="266"/>
      <c r="G6" s="266"/>
      <c r="H6" s="266"/>
      <c r="I6" s="266"/>
    </row>
    <row r="7" spans="1:10" ht="19.95" customHeight="1">
      <c r="A7" s="227" t="s">
        <v>197</v>
      </c>
      <c r="B7" s="228"/>
      <c r="C7" s="226"/>
      <c r="D7" s="226"/>
      <c r="E7" s="226"/>
      <c r="F7" s="226"/>
      <c r="G7" s="226"/>
      <c r="H7" s="226"/>
      <c r="I7" s="226"/>
    </row>
    <row r="8" spans="1:10" s="10" customFormat="1" ht="19.95" customHeight="1">
      <c r="A8" s="281" t="s">
        <v>97</v>
      </c>
      <c r="B8" s="281"/>
      <c r="C8" s="281"/>
      <c r="D8" s="281"/>
      <c r="E8" s="281"/>
      <c r="F8" s="281"/>
      <c r="G8" s="267" t="s">
        <v>57</v>
      </c>
      <c r="H8" s="267"/>
      <c r="I8" s="267"/>
    </row>
    <row r="9" spans="1:10" s="10" customFormat="1" ht="19.95" customHeight="1">
      <c r="A9" s="279" t="s">
        <v>198</v>
      </c>
      <c r="B9" s="279"/>
      <c r="C9" s="279"/>
      <c r="D9" s="279"/>
      <c r="E9" s="279"/>
      <c r="F9" s="279"/>
      <c r="G9" s="280" t="s">
        <v>234</v>
      </c>
      <c r="H9" s="280"/>
      <c r="I9" s="280"/>
    </row>
    <row r="10" spans="1:10" s="10" customFormat="1" ht="19.95" customHeight="1">
      <c r="A10" s="279" t="s">
        <v>199</v>
      </c>
      <c r="B10" s="279"/>
      <c r="C10" s="279"/>
      <c r="D10" s="279"/>
      <c r="E10" s="279"/>
      <c r="F10" s="279"/>
      <c r="G10" s="280" t="s">
        <v>98</v>
      </c>
      <c r="H10" s="280"/>
      <c r="I10" s="280"/>
    </row>
    <row r="11" spans="1:10" s="10" customFormat="1" ht="19.95" customHeight="1">
      <c r="A11" s="279" t="s">
        <v>232</v>
      </c>
      <c r="B11" s="279"/>
      <c r="C11" s="279"/>
      <c r="D11" s="279"/>
      <c r="E11" s="279"/>
      <c r="F11" s="279"/>
      <c r="G11" s="280" t="s">
        <v>99</v>
      </c>
      <c r="H11" s="280"/>
      <c r="I11" s="280"/>
    </row>
    <row r="12" spans="1:10" s="10" customFormat="1" ht="19.95" customHeight="1">
      <c r="A12" s="279" t="s">
        <v>200</v>
      </c>
      <c r="B12" s="279"/>
      <c r="C12" s="279"/>
      <c r="D12" s="279"/>
      <c r="E12" s="279"/>
      <c r="F12" s="279"/>
      <c r="G12" s="280" t="s">
        <v>114</v>
      </c>
      <c r="H12" s="280"/>
      <c r="I12" s="280"/>
    </row>
    <row r="13" spans="1:10" s="10" customFormat="1" ht="19.95" customHeight="1">
      <c r="A13" s="279" t="s">
        <v>233</v>
      </c>
      <c r="B13" s="279"/>
      <c r="C13" s="279"/>
      <c r="D13" s="279"/>
      <c r="E13" s="279"/>
      <c r="F13" s="279"/>
      <c r="G13" s="280" t="s">
        <v>117</v>
      </c>
      <c r="H13" s="280"/>
      <c r="I13" s="280"/>
    </row>
    <row r="14" spans="1:10" s="10" customFormat="1" ht="19.95" customHeight="1">
      <c r="A14" s="269" t="s">
        <v>58</v>
      </c>
      <c r="B14" s="270"/>
      <c r="C14" s="148"/>
      <c r="D14" s="149"/>
      <c r="E14" s="271"/>
      <c r="F14" s="271"/>
      <c r="G14" s="271"/>
      <c r="H14" s="149"/>
      <c r="I14" s="149"/>
    </row>
    <row r="15" spans="1:10" s="23" customFormat="1" ht="19.95" customHeight="1">
      <c r="A15" s="274" t="s">
        <v>59</v>
      </c>
      <c r="B15" s="276" t="s">
        <v>241</v>
      </c>
      <c r="C15" s="277" t="s">
        <v>60</v>
      </c>
      <c r="D15" s="272" t="s">
        <v>100</v>
      </c>
      <c r="E15" s="273"/>
      <c r="F15" s="273"/>
      <c r="G15" s="273"/>
      <c r="H15" s="273"/>
      <c r="I15" s="268" t="s">
        <v>149</v>
      </c>
    </row>
    <row r="16" spans="1:10" s="83" customFormat="1" ht="36.6" customHeight="1">
      <c r="A16" s="275"/>
      <c r="B16" s="276"/>
      <c r="C16" s="278"/>
      <c r="D16" s="150" t="s">
        <v>101</v>
      </c>
      <c r="E16" s="150" t="s">
        <v>102</v>
      </c>
      <c r="F16" s="151" t="s">
        <v>103</v>
      </c>
      <c r="G16" s="151" t="s">
        <v>114</v>
      </c>
      <c r="H16" s="151" t="s">
        <v>118</v>
      </c>
      <c r="I16" s="268"/>
      <c r="J16" s="250" t="s">
        <v>240</v>
      </c>
    </row>
    <row r="17" spans="1:10" s="83" customFormat="1" ht="69" customHeight="1">
      <c r="A17" s="154" t="s">
        <v>62</v>
      </c>
      <c r="B17" s="158" t="s">
        <v>226</v>
      </c>
      <c r="C17" s="152" t="s">
        <v>119</v>
      </c>
      <c r="D17" s="157" t="s">
        <v>105</v>
      </c>
      <c r="E17" s="157" t="s">
        <v>106</v>
      </c>
      <c r="F17" s="157"/>
      <c r="G17" s="165" t="s">
        <v>107</v>
      </c>
      <c r="H17" s="157"/>
      <c r="I17" s="152" t="s">
        <v>222</v>
      </c>
      <c r="J17" s="230"/>
    </row>
    <row r="18" spans="1:10" s="88" customFormat="1" ht="51" customHeight="1">
      <c r="A18" s="154" t="s">
        <v>108</v>
      </c>
      <c r="B18" s="159" t="s">
        <v>115</v>
      </c>
      <c r="C18" s="162" t="s">
        <v>120</v>
      </c>
      <c r="D18" s="156"/>
      <c r="E18" s="165" t="s">
        <v>106</v>
      </c>
      <c r="F18" s="157"/>
      <c r="G18" s="161" t="s">
        <v>126</v>
      </c>
      <c r="H18" s="157"/>
      <c r="I18" s="244" t="s">
        <v>113</v>
      </c>
      <c r="J18" s="191" t="s">
        <v>150</v>
      </c>
    </row>
    <row r="19" spans="1:10" s="84" customFormat="1" ht="51.6" customHeight="1">
      <c r="A19" s="154" t="s">
        <v>109</v>
      </c>
      <c r="B19" s="159" t="s">
        <v>225</v>
      </c>
      <c r="C19" s="155" t="s">
        <v>104</v>
      </c>
      <c r="D19" s="161" t="s">
        <v>124</v>
      </c>
      <c r="E19" s="164" t="s">
        <v>202</v>
      </c>
      <c r="F19" s="161" t="s">
        <v>124</v>
      </c>
      <c r="G19" s="161" t="s">
        <v>202</v>
      </c>
      <c r="H19" s="157"/>
      <c r="I19" s="152"/>
      <c r="J19" s="191" t="s">
        <v>151</v>
      </c>
    </row>
    <row r="20" spans="1:10" s="83" customFormat="1" ht="30.6" customHeight="1">
      <c r="A20" s="154" t="s">
        <v>110</v>
      </c>
      <c r="B20" s="159" t="s">
        <v>116</v>
      </c>
      <c r="C20" s="163" t="s">
        <v>119</v>
      </c>
      <c r="D20" s="161" t="s">
        <v>138</v>
      </c>
      <c r="E20" s="161" t="s">
        <v>138</v>
      </c>
      <c r="F20" s="160"/>
      <c r="G20" s="161" t="s">
        <v>138</v>
      </c>
      <c r="H20" s="160"/>
      <c r="I20" s="152" t="s">
        <v>223</v>
      </c>
    </row>
    <row r="21" spans="1:10" s="83" customFormat="1" ht="131.4" customHeight="1">
      <c r="A21" s="154" t="s">
        <v>111</v>
      </c>
      <c r="B21" s="221" t="s">
        <v>203</v>
      </c>
      <c r="C21" s="155" t="s">
        <v>121</v>
      </c>
      <c r="D21" s="161" t="s">
        <v>127</v>
      </c>
      <c r="E21" s="164" t="s">
        <v>127</v>
      </c>
      <c r="F21" s="161" t="s">
        <v>127</v>
      </c>
      <c r="G21" s="164" t="s">
        <v>127</v>
      </c>
      <c r="H21" s="161" t="s">
        <v>127</v>
      </c>
      <c r="I21" s="152"/>
    </row>
    <row r="22" spans="1:10" s="83" customFormat="1" ht="30.6" customHeight="1">
      <c r="A22" s="154" t="s">
        <v>112</v>
      </c>
      <c r="B22" s="159" t="s">
        <v>205</v>
      </c>
      <c r="C22" s="161" t="s">
        <v>123</v>
      </c>
      <c r="D22" s="164" t="s">
        <v>124</v>
      </c>
      <c r="E22" s="160"/>
      <c r="F22" s="161" t="s">
        <v>124</v>
      </c>
      <c r="G22" s="161" t="s">
        <v>124</v>
      </c>
      <c r="H22" s="160"/>
      <c r="I22" s="152" t="s">
        <v>152</v>
      </c>
    </row>
    <row r="23" spans="1:10" s="84" customFormat="1" ht="35.4" customHeight="1">
      <c r="A23" s="154" t="s">
        <v>128</v>
      </c>
      <c r="B23" s="232" t="s">
        <v>204</v>
      </c>
      <c r="C23" s="161" t="s">
        <v>207</v>
      </c>
      <c r="D23" s="147"/>
      <c r="E23" s="147"/>
      <c r="F23" s="147"/>
      <c r="G23" s="147"/>
      <c r="H23" s="166"/>
      <c r="I23" s="166"/>
    </row>
    <row r="24" spans="1:10" s="84" customFormat="1" ht="33" customHeight="1">
      <c r="A24" s="154" t="s">
        <v>122</v>
      </c>
      <c r="B24" s="232" t="s">
        <v>206</v>
      </c>
      <c r="C24" s="155" t="s">
        <v>61</v>
      </c>
      <c r="D24" s="153"/>
      <c r="E24" s="153"/>
      <c r="F24" s="153"/>
      <c r="G24" s="153"/>
      <c r="H24" s="157" t="s">
        <v>106</v>
      </c>
      <c r="I24" s="192" t="s">
        <v>153</v>
      </c>
    </row>
    <row r="25" spans="1:10">
      <c r="B25" s="57"/>
    </row>
    <row r="26" spans="1:10">
      <c r="B26" s="57"/>
    </row>
    <row r="27" spans="1:10">
      <c r="B27" s="57"/>
    </row>
    <row r="28" spans="1:10">
      <c r="B28" s="57"/>
    </row>
    <row r="29" spans="1:10">
      <c r="B29" s="57"/>
    </row>
    <row r="30" spans="1:10">
      <c r="B30" s="57"/>
    </row>
    <row r="31" spans="1:10">
      <c r="B31" s="57"/>
    </row>
    <row r="32" spans="1:10">
      <c r="B32" s="57"/>
    </row>
    <row r="33" spans="2:2">
      <c r="B33" s="57"/>
    </row>
    <row r="34" spans="2:2">
      <c r="B34" s="57"/>
    </row>
    <row r="35" spans="2:2">
      <c r="B35" s="57"/>
    </row>
    <row r="36" spans="2:2">
      <c r="B36" s="57"/>
    </row>
    <row r="37" spans="2:2">
      <c r="B37" s="57"/>
    </row>
    <row r="38" spans="2:2">
      <c r="B38" s="57"/>
    </row>
    <row r="39" spans="2:2">
      <c r="B39" s="57"/>
    </row>
    <row r="40" spans="2:2">
      <c r="B40" s="57"/>
    </row>
    <row r="41" spans="2:2">
      <c r="B41" s="57"/>
    </row>
    <row r="42" spans="2:2">
      <c r="B42" s="57"/>
    </row>
    <row r="43" spans="2:2">
      <c r="B43" s="57"/>
    </row>
    <row r="44" spans="2:2">
      <c r="B44" s="57"/>
    </row>
    <row r="45" spans="2:2">
      <c r="B45" s="57"/>
    </row>
    <row r="46" spans="2:2">
      <c r="B46" s="57"/>
    </row>
    <row r="47" spans="2:2">
      <c r="B47" s="57"/>
    </row>
    <row r="48" spans="2:2">
      <c r="B48" s="57"/>
    </row>
    <row r="49" spans="2:2">
      <c r="B49" s="57"/>
    </row>
    <row r="50" spans="2:2">
      <c r="B50" s="57"/>
    </row>
    <row r="51" spans="2:2">
      <c r="B51" s="57"/>
    </row>
    <row r="52" spans="2:2">
      <c r="B52" s="57"/>
    </row>
    <row r="53" spans="2:2">
      <c r="B53" s="57"/>
    </row>
    <row r="54" spans="2:2">
      <c r="B54" s="57"/>
    </row>
    <row r="55" spans="2:2">
      <c r="B55" s="57"/>
    </row>
    <row r="56" spans="2:2">
      <c r="B56" s="57"/>
    </row>
    <row r="57" spans="2:2">
      <c r="B57" s="57"/>
    </row>
    <row r="58" spans="2:2">
      <c r="B58" s="57"/>
    </row>
    <row r="59" spans="2:2">
      <c r="B59" s="57"/>
    </row>
    <row r="60" spans="2:2">
      <c r="B60" s="57"/>
    </row>
    <row r="61" spans="2:2">
      <c r="B61" s="57"/>
    </row>
    <row r="62" spans="2:2">
      <c r="B62" s="57"/>
    </row>
    <row r="63" spans="2:2">
      <c r="B63" s="57"/>
    </row>
    <row r="64" spans="2:2">
      <c r="B64" s="57"/>
    </row>
    <row r="65" spans="2:2">
      <c r="B65" s="57"/>
    </row>
    <row r="66" spans="2:2">
      <c r="B66" s="57"/>
    </row>
    <row r="67" spans="2:2">
      <c r="B67" s="57"/>
    </row>
    <row r="68" spans="2:2">
      <c r="B68" s="57"/>
    </row>
    <row r="69" spans="2:2">
      <c r="B69" s="57"/>
    </row>
    <row r="70" spans="2:2">
      <c r="B70" s="57"/>
    </row>
    <row r="71" spans="2:2">
      <c r="B71" s="57"/>
    </row>
    <row r="72" spans="2:2">
      <c r="B72" s="57"/>
    </row>
    <row r="73" spans="2:2">
      <c r="B73" s="57"/>
    </row>
    <row r="74" spans="2:2">
      <c r="B74" s="57"/>
    </row>
    <row r="75" spans="2:2">
      <c r="B75" s="57"/>
    </row>
    <row r="76" spans="2:2">
      <c r="B76" s="57"/>
    </row>
    <row r="77" spans="2:2">
      <c r="B77" s="57"/>
    </row>
    <row r="78" spans="2:2">
      <c r="B78" s="57"/>
    </row>
    <row r="79" spans="2:2">
      <c r="B79" s="57"/>
    </row>
    <row r="80" spans="2:2">
      <c r="B80" s="57"/>
    </row>
    <row r="81" spans="2:2">
      <c r="B81" s="57"/>
    </row>
    <row r="82" spans="2:2">
      <c r="B82" s="57"/>
    </row>
    <row r="83" spans="2:2">
      <c r="B83" s="57"/>
    </row>
    <row r="84" spans="2:2">
      <c r="B84" s="57"/>
    </row>
    <row r="85" spans="2:2">
      <c r="B85" s="57"/>
    </row>
    <row r="86" spans="2:2">
      <c r="B86" s="57"/>
    </row>
    <row r="87" spans="2:2">
      <c r="B87" s="57"/>
    </row>
    <row r="88" spans="2:2">
      <c r="B88" s="57"/>
    </row>
    <row r="89" spans="2:2">
      <c r="B89" s="57"/>
    </row>
    <row r="90" spans="2:2">
      <c r="B90" s="57"/>
    </row>
    <row r="91" spans="2:2">
      <c r="B91" s="57"/>
    </row>
    <row r="92" spans="2:2">
      <c r="B92" s="57"/>
    </row>
    <row r="93" spans="2:2">
      <c r="B93" s="57"/>
    </row>
    <row r="94" spans="2:2">
      <c r="B94" s="57"/>
    </row>
    <row r="95" spans="2:2">
      <c r="B95" s="57"/>
    </row>
    <row r="96" spans="2:2">
      <c r="B96" s="57"/>
    </row>
    <row r="97" spans="2:2">
      <c r="B97" s="57"/>
    </row>
    <row r="98" spans="2:2">
      <c r="B98" s="57"/>
    </row>
    <row r="99" spans="2:2">
      <c r="B99" s="57"/>
    </row>
    <row r="100" spans="2:2">
      <c r="B100" s="57"/>
    </row>
    <row r="101" spans="2:2">
      <c r="B101" s="57"/>
    </row>
    <row r="102" spans="2:2">
      <c r="B102" s="57"/>
    </row>
    <row r="103" spans="2:2">
      <c r="B103" s="57"/>
    </row>
    <row r="104" spans="2:2">
      <c r="B104" s="57"/>
    </row>
    <row r="105" spans="2:2">
      <c r="B105" s="57"/>
    </row>
    <row r="106" spans="2:2">
      <c r="B106" s="57"/>
    </row>
    <row r="107" spans="2:2">
      <c r="B107" s="57"/>
    </row>
    <row r="108" spans="2:2">
      <c r="B108" s="57"/>
    </row>
    <row r="109" spans="2:2">
      <c r="B109" s="57"/>
    </row>
    <row r="110" spans="2:2">
      <c r="B110" s="57"/>
    </row>
    <row r="111" spans="2:2">
      <c r="B111" s="57"/>
    </row>
    <row r="112" spans="2:2">
      <c r="B112" s="57"/>
    </row>
    <row r="113" spans="2:2">
      <c r="B113" s="57"/>
    </row>
    <row r="114" spans="2:2">
      <c r="B114" s="57"/>
    </row>
    <row r="115" spans="2:2">
      <c r="B115" s="57"/>
    </row>
    <row r="116" spans="2:2">
      <c r="B116" s="57"/>
    </row>
    <row r="117" spans="2:2">
      <c r="B117" s="57"/>
    </row>
    <row r="118" spans="2:2">
      <c r="B118" s="57"/>
    </row>
    <row r="119" spans="2:2">
      <c r="B119" s="57"/>
    </row>
    <row r="120" spans="2:2">
      <c r="B120" s="57"/>
    </row>
    <row r="121" spans="2:2">
      <c r="B121" s="57"/>
    </row>
    <row r="122" spans="2:2">
      <c r="B122" s="57"/>
    </row>
    <row r="123" spans="2:2">
      <c r="B123" s="57"/>
    </row>
    <row r="124" spans="2:2">
      <c r="B124" s="57"/>
    </row>
    <row r="125" spans="2:2">
      <c r="B125" s="57"/>
    </row>
    <row r="126" spans="2:2">
      <c r="B126" s="57"/>
    </row>
    <row r="127" spans="2:2">
      <c r="B127" s="57"/>
    </row>
    <row r="128" spans="2:2">
      <c r="B128" s="57"/>
    </row>
    <row r="129" spans="2:2">
      <c r="B129" s="57"/>
    </row>
    <row r="130" spans="2:2">
      <c r="B130" s="57"/>
    </row>
    <row r="131" spans="2:2">
      <c r="B131" s="57"/>
    </row>
    <row r="132" spans="2:2">
      <c r="B132" s="57"/>
    </row>
    <row r="133" spans="2:2">
      <c r="B133" s="57"/>
    </row>
    <row r="134" spans="2:2">
      <c r="B134" s="57"/>
    </row>
    <row r="135" spans="2:2">
      <c r="B135" s="57"/>
    </row>
    <row r="136" spans="2:2">
      <c r="B136" s="57"/>
    </row>
    <row r="137" spans="2:2">
      <c r="B137" s="57"/>
    </row>
    <row r="138" spans="2:2">
      <c r="B138" s="57"/>
    </row>
    <row r="139" spans="2:2">
      <c r="B139" s="57"/>
    </row>
    <row r="140" spans="2:2">
      <c r="B140" s="57"/>
    </row>
    <row r="141" spans="2:2">
      <c r="B141" s="57"/>
    </row>
    <row r="142" spans="2:2">
      <c r="B142" s="57"/>
    </row>
    <row r="143" spans="2:2">
      <c r="B143" s="57"/>
    </row>
    <row r="144" spans="2:2">
      <c r="B144" s="57"/>
    </row>
    <row r="145" spans="2:2">
      <c r="B145" s="57"/>
    </row>
    <row r="146" spans="2:2">
      <c r="B146" s="57"/>
    </row>
    <row r="147" spans="2:2">
      <c r="B147" s="57"/>
    </row>
    <row r="148" spans="2:2">
      <c r="B148" s="57"/>
    </row>
    <row r="149" spans="2:2">
      <c r="B149" s="57"/>
    </row>
    <row r="150" spans="2:2">
      <c r="B150" s="57"/>
    </row>
    <row r="151" spans="2:2">
      <c r="B151" s="57"/>
    </row>
    <row r="152" spans="2:2">
      <c r="B152" s="57"/>
    </row>
    <row r="153" spans="2:2">
      <c r="B153" s="57"/>
    </row>
    <row r="154" spans="2:2">
      <c r="B154" s="57"/>
    </row>
    <row r="155" spans="2:2">
      <c r="B155" s="57"/>
    </row>
    <row r="156" spans="2:2">
      <c r="B156" s="57"/>
    </row>
    <row r="157" spans="2:2">
      <c r="B157" s="57"/>
    </row>
    <row r="158" spans="2:2">
      <c r="B158" s="57"/>
    </row>
    <row r="159" spans="2:2">
      <c r="B159" s="57"/>
    </row>
    <row r="160" spans="2:2">
      <c r="B160" s="57"/>
    </row>
    <row r="161" spans="2:2">
      <c r="B161" s="57"/>
    </row>
    <row r="162" spans="2:2">
      <c r="B162" s="57"/>
    </row>
    <row r="163" spans="2:2">
      <c r="B163" s="57"/>
    </row>
    <row r="164" spans="2:2">
      <c r="B164" s="57"/>
    </row>
    <row r="165" spans="2:2">
      <c r="B165" s="57"/>
    </row>
    <row r="166" spans="2:2">
      <c r="B166" s="57"/>
    </row>
    <row r="167" spans="2:2">
      <c r="B167" s="57"/>
    </row>
    <row r="168" spans="2:2">
      <c r="B168" s="57"/>
    </row>
    <row r="169" spans="2:2">
      <c r="B169" s="57"/>
    </row>
    <row r="170" spans="2:2">
      <c r="B170" s="57"/>
    </row>
    <row r="171" spans="2:2">
      <c r="B171" s="57"/>
    </row>
    <row r="172" spans="2:2">
      <c r="B172" s="57"/>
    </row>
    <row r="173" spans="2:2">
      <c r="B173" s="57"/>
    </row>
    <row r="174" spans="2:2">
      <c r="B174" s="57"/>
    </row>
    <row r="175" spans="2:2">
      <c r="B175" s="57"/>
    </row>
    <row r="176" spans="2:2">
      <c r="B176" s="57"/>
    </row>
    <row r="177" spans="2:2">
      <c r="B177" s="57"/>
    </row>
    <row r="178" spans="2:2">
      <c r="B178" s="57"/>
    </row>
    <row r="179" spans="2:2">
      <c r="B179" s="57"/>
    </row>
    <row r="180" spans="2:2">
      <c r="B180" s="57"/>
    </row>
    <row r="181" spans="2:2">
      <c r="B181" s="57"/>
    </row>
    <row r="182" spans="2:2">
      <c r="B182" s="57"/>
    </row>
    <row r="183" spans="2:2">
      <c r="B183" s="57"/>
    </row>
    <row r="184" spans="2:2">
      <c r="B184" s="57"/>
    </row>
    <row r="185" spans="2:2">
      <c r="B185" s="57"/>
    </row>
    <row r="186" spans="2:2">
      <c r="B186" s="57"/>
    </row>
    <row r="187" spans="2:2">
      <c r="B187" s="57"/>
    </row>
    <row r="188" spans="2:2">
      <c r="B188" s="57"/>
    </row>
    <row r="189" spans="2:2">
      <c r="B189" s="57"/>
    </row>
    <row r="190" spans="2:2">
      <c r="B190" s="57"/>
    </row>
    <row r="191" spans="2:2">
      <c r="B191" s="57"/>
    </row>
    <row r="192" spans="2:2">
      <c r="B192" s="57"/>
    </row>
    <row r="193" spans="2:2">
      <c r="B193" s="57"/>
    </row>
    <row r="194" spans="2:2">
      <c r="B194" s="57"/>
    </row>
    <row r="195" spans="2:2">
      <c r="B195" s="57"/>
    </row>
    <row r="196" spans="2:2">
      <c r="B196" s="57"/>
    </row>
    <row r="197" spans="2:2">
      <c r="B197" s="57"/>
    </row>
    <row r="198" spans="2:2">
      <c r="B198" s="57"/>
    </row>
    <row r="199" spans="2:2">
      <c r="B199" s="57"/>
    </row>
    <row r="200" spans="2:2">
      <c r="B200" s="57"/>
    </row>
    <row r="201" spans="2:2">
      <c r="B201" s="57"/>
    </row>
    <row r="202" spans="2:2">
      <c r="B202" s="57"/>
    </row>
    <row r="203" spans="2:2">
      <c r="B203" s="57"/>
    </row>
    <row r="204" spans="2:2">
      <c r="B204" s="57"/>
    </row>
    <row r="205" spans="2:2">
      <c r="B205" s="57"/>
    </row>
    <row r="206" spans="2:2">
      <c r="B206" s="57"/>
    </row>
    <row r="207" spans="2:2">
      <c r="B207" s="57"/>
    </row>
  </sheetData>
  <mergeCells count="22">
    <mergeCell ref="G13:I13"/>
    <mergeCell ref="A8:F8"/>
    <mergeCell ref="A9:F9"/>
    <mergeCell ref="A10:F10"/>
    <mergeCell ref="A11:F11"/>
    <mergeCell ref="A12:F12"/>
    <mergeCell ref="A1:I1"/>
    <mergeCell ref="A2:I2"/>
    <mergeCell ref="A6:I6"/>
    <mergeCell ref="G8:I8"/>
    <mergeCell ref="I15:I16"/>
    <mergeCell ref="A14:B14"/>
    <mergeCell ref="E14:G14"/>
    <mergeCell ref="D15:H15"/>
    <mergeCell ref="A15:A16"/>
    <mergeCell ref="B15:B16"/>
    <mergeCell ref="C15:C16"/>
    <mergeCell ref="A13:F13"/>
    <mergeCell ref="G9:I9"/>
    <mergeCell ref="G10:I10"/>
    <mergeCell ref="G11:I11"/>
    <mergeCell ref="G12:I12"/>
  </mergeCells>
  <phoneticPr fontId="5" type="noConversion"/>
  <hyperlinks>
    <hyperlink ref="I3" location="底稿目录!A1" display="底稿目录!A1"/>
  </hyperlinks>
  <printOptions horizontalCentered="1"/>
  <pageMargins left="0.7" right="0.7" top="0.75" bottom="0.75" header="0.3" footer="0.3"/>
  <pageSetup paperSize="9" scale="70" fitToHeight="50" orientation="portrait" blackAndWhite="1" cellComments="atEnd" horizontalDpi="300" r:id="rId1"/>
  <headerFooter alignWithMargins="0">
    <oddFooter>&amp;C&amp;P/&amp;N</oddFooter>
  </headerFooter>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N21"/>
  <sheetViews>
    <sheetView view="pageBreakPreview" zoomScaleSheetLayoutView="100" workbookViewId="0">
      <selection sqref="A1:L1"/>
    </sheetView>
  </sheetViews>
  <sheetFormatPr defaultColWidth="9.109375" defaultRowHeight="23.25" customHeight="1"/>
  <cols>
    <col min="1" max="1" width="22.5546875" style="2" customWidth="1"/>
    <col min="2" max="8" width="10.88671875" style="2" customWidth="1"/>
    <col min="9" max="9" width="12.33203125" style="2" customWidth="1"/>
    <col min="10" max="11" width="10.88671875" style="2" customWidth="1"/>
    <col min="12" max="12" width="8.6640625" style="2" customWidth="1"/>
    <col min="13" max="13" width="18" style="2" bestFit="1" customWidth="1"/>
    <col min="14" max="14" width="9.109375" style="2"/>
    <col min="15" max="15" width="6.44140625" style="2" customWidth="1"/>
    <col min="16" max="16384" width="9.109375" style="2"/>
  </cols>
  <sheetData>
    <row r="1" spans="1:14" s="1" customFormat="1" ht="19.95" customHeight="1">
      <c r="A1" s="282" t="s">
        <v>0</v>
      </c>
      <c r="B1" s="282"/>
      <c r="C1" s="282"/>
      <c r="D1" s="282"/>
      <c r="E1" s="282"/>
      <c r="F1" s="282"/>
      <c r="G1" s="282"/>
      <c r="H1" s="282"/>
      <c r="I1" s="282"/>
      <c r="J1" s="282"/>
      <c r="K1" s="282"/>
      <c r="L1" s="282"/>
    </row>
    <row r="2" spans="1:14" s="1" customFormat="1" ht="19.95" customHeight="1">
      <c r="A2" s="283" t="s">
        <v>29</v>
      </c>
      <c r="B2" s="283"/>
      <c r="C2" s="283"/>
      <c r="D2" s="283"/>
      <c r="E2" s="283"/>
      <c r="F2" s="283"/>
      <c r="G2" s="283"/>
      <c r="H2" s="283"/>
      <c r="I2" s="283"/>
      <c r="J2" s="283"/>
      <c r="K2" s="283"/>
      <c r="L2" s="283"/>
    </row>
    <row r="3" spans="1:14" ht="19.95" customHeight="1">
      <c r="A3" s="2" t="str">
        <f>底稿目录!A2</f>
        <v>被审计单位：</v>
      </c>
      <c r="D3" s="3" t="str">
        <f>底稿目录!A4</f>
        <v>编制人：</v>
      </c>
      <c r="H3" s="3" t="str">
        <f>底稿目录!A5</f>
        <v>编制日期：</v>
      </c>
      <c r="K3" s="137" t="s">
        <v>92</v>
      </c>
      <c r="L3" s="243" t="str">
        <f>底稿目录!D6</f>
        <v>K4-1</v>
      </c>
    </row>
    <row r="4" spans="1:14" ht="19.95" customHeight="1">
      <c r="A4" s="2" t="str">
        <f>底稿目录!A3</f>
        <v>截止日：202X年12月31日</v>
      </c>
      <c r="B4" s="4"/>
      <c r="D4" s="3" t="str">
        <f>底稿目录!A6</f>
        <v>复核人：</v>
      </c>
      <c r="H4" s="3" t="str">
        <f>底稿目录!A7</f>
        <v>复核日期：</v>
      </c>
      <c r="K4" s="137" t="s">
        <v>93</v>
      </c>
      <c r="L4" s="138"/>
    </row>
    <row r="5" spans="1:14" ht="33" customHeight="1">
      <c r="A5" s="287" t="s">
        <v>30</v>
      </c>
      <c r="B5" s="289" t="s">
        <v>31</v>
      </c>
      <c r="C5" s="290"/>
      <c r="D5" s="290"/>
      <c r="E5" s="291"/>
      <c r="F5" s="289" t="s">
        <v>32</v>
      </c>
      <c r="G5" s="290"/>
      <c r="H5" s="290"/>
      <c r="I5" s="291"/>
      <c r="J5" s="292" t="s">
        <v>26</v>
      </c>
      <c r="K5" s="293"/>
      <c r="L5" s="284" t="s">
        <v>33</v>
      </c>
    </row>
    <row r="6" spans="1:14" ht="19.95" customHeight="1">
      <c r="A6" s="288"/>
      <c r="B6" s="37" t="s">
        <v>34</v>
      </c>
      <c r="C6" s="37" t="s">
        <v>35</v>
      </c>
      <c r="D6" s="37" t="s">
        <v>36</v>
      </c>
      <c r="E6" s="37" t="s">
        <v>37</v>
      </c>
      <c r="F6" s="37" t="s">
        <v>34</v>
      </c>
      <c r="G6" s="37" t="s">
        <v>35</v>
      </c>
      <c r="H6" s="37" t="s">
        <v>36</v>
      </c>
      <c r="I6" s="37" t="s">
        <v>37</v>
      </c>
      <c r="J6" s="38" t="s">
        <v>28</v>
      </c>
      <c r="K6" s="39" t="s">
        <v>27</v>
      </c>
      <c r="L6" s="285"/>
    </row>
    <row r="7" spans="1:14" s="5" customFormat="1" ht="19.95" customHeight="1">
      <c r="A7" s="62" t="str">
        <f>'明细表 K4-2'!A11</f>
        <v>短期应付债券</v>
      </c>
      <c r="B7" s="139">
        <f>'明细表 K4-2'!B11</f>
        <v>0</v>
      </c>
      <c r="C7" s="139">
        <f>'明细表 K4-2'!F11</f>
        <v>0</v>
      </c>
      <c r="D7" s="139">
        <f>'明细表 K4-2'!G11</f>
        <v>0</v>
      </c>
      <c r="E7" s="139">
        <f>B7+C7+D7</f>
        <v>0</v>
      </c>
      <c r="F7" s="139">
        <f>'明细表 K4-2'!E11</f>
        <v>0</v>
      </c>
      <c r="G7" s="139">
        <f>'明细表 K4-2'!F11+'明细表 K4-2'!H11-'明细表 K4-2'!I11</f>
        <v>0</v>
      </c>
      <c r="H7" s="139">
        <f>'明细表 K4-2'!G11+'明细表 K4-2'!J11-'明细表 K4-2'!K11</f>
        <v>0</v>
      </c>
      <c r="I7" s="139">
        <f>F7+G7+H7</f>
        <v>0</v>
      </c>
      <c r="J7" s="140">
        <f t="shared" ref="J7:J12" si="0">I7-E7</f>
        <v>0</v>
      </c>
      <c r="K7" s="141">
        <f t="shared" ref="K7:K12" si="1">IF(AND(E7=0,J7=0),0,IF(AND(E7=0,J7&gt;0),1,J7/E7))</f>
        <v>0</v>
      </c>
      <c r="L7" s="66"/>
    </row>
    <row r="8" spans="1:14" s="5" customFormat="1" ht="19.95" customHeight="1">
      <c r="A8" s="62" t="str">
        <f>'明细表 K4-2'!A12</f>
        <v>政府补助</v>
      </c>
      <c r="B8" s="139">
        <f>'明细表 K4-2'!B12</f>
        <v>0</v>
      </c>
      <c r="C8" s="139">
        <f>'明细表 K4-2'!F12</f>
        <v>0</v>
      </c>
      <c r="D8" s="139">
        <f>'明细表 K4-2'!G12</f>
        <v>0</v>
      </c>
      <c r="E8" s="139">
        <f>B8+C8+D8</f>
        <v>0</v>
      </c>
      <c r="F8" s="139">
        <f>'明细表 K4-2'!E12</f>
        <v>0</v>
      </c>
      <c r="G8" s="139">
        <f>'明细表 K4-2'!F12+'明细表 K4-2'!H12-'明细表 K4-2'!I12</f>
        <v>0</v>
      </c>
      <c r="H8" s="139">
        <f>'明细表 K4-2'!G12+'明细表 K4-2'!J12-'明细表 K4-2'!K12</f>
        <v>0</v>
      </c>
      <c r="I8" s="139">
        <f>F8+G8+H8</f>
        <v>0</v>
      </c>
      <c r="J8" s="140">
        <f t="shared" si="0"/>
        <v>0</v>
      </c>
      <c r="K8" s="141">
        <f t="shared" si="1"/>
        <v>0</v>
      </c>
      <c r="L8" s="66"/>
    </row>
    <row r="9" spans="1:14" s="5" customFormat="1" ht="19.95" customHeight="1">
      <c r="A9" s="62" t="str">
        <f>'明细表 K4-2'!A13</f>
        <v>待转销项税额</v>
      </c>
      <c r="B9" s="139">
        <f>'明细表 K4-2'!B13</f>
        <v>0</v>
      </c>
      <c r="C9" s="139">
        <f>'明细表 K4-2'!F13</f>
        <v>0</v>
      </c>
      <c r="D9" s="139">
        <f>'明细表 K4-2'!G13</f>
        <v>0</v>
      </c>
      <c r="E9" s="139">
        <f>B9+C9+D9</f>
        <v>0</v>
      </c>
      <c r="F9" s="139">
        <f>'明细表 K4-2'!E13</f>
        <v>0</v>
      </c>
      <c r="G9" s="139">
        <f>'明细表 K4-2'!F13+'明细表 K4-2'!H13-'明细表 K4-2'!I13</f>
        <v>0</v>
      </c>
      <c r="H9" s="139">
        <f>'明细表 K4-2'!G13+'明细表 K4-2'!J13-'明细表 K4-2'!K13</f>
        <v>0</v>
      </c>
      <c r="I9" s="139">
        <f>F9+G9+H9</f>
        <v>0</v>
      </c>
      <c r="J9" s="140">
        <f t="shared" si="0"/>
        <v>0</v>
      </c>
      <c r="K9" s="141">
        <f t="shared" si="1"/>
        <v>0</v>
      </c>
      <c r="L9" s="66"/>
    </row>
    <row r="10" spans="1:14" s="5" customFormat="1" ht="19.95" customHeight="1">
      <c r="A10" s="62" t="str">
        <f>'明细表 K4-2'!A14</f>
        <v>应付退货款</v>
      </c>
      <c r="B10" s="139">
        <f>'明细表 K4-2'!B14</f>
        <v>0</v>
      </c>
      <c r="C10" s="139">
        <f>'明细表 K4-2'!F14</f>
        <v>0</v>
      </c>
      <c r="D10" s="139">
        <f>'明细表 K4-2'!G14</f>
        <v>0</v>
      </c>
      <c r="E10" s="139">
        <f>B10+C10+D10</f>
        <v>0</v>
      </c>
      <c r="F10" s="139">
        <f>'明细表 K4-2'!E14</f>
        <v>0</v>
      </c>
      <c r="G10" s="139">
        <f>'明细表 K4-2'!F14+'明细表 K4-2'!H14-'明细表 K4-2'!I14</f>
        <v>0</v>
      </c>
      <c r="H10" s="139">
        <f>'明细表 K4-2'!G14+'明细表 K4-2'!J14-'明细表 K4-2'!K14</f>
        <v>0</v>
      </c>
      <c r="I10" s="139">
        <f>F10+G10+H10</f>
        <v>0</v>
      </c>
      <c r="J10" s="140">
        <f t="shared" si="0"/>
        <v>0</v>
      </c>
      <c r="K10" s="141">
        <f t="shared" si="1"/>
        <v>0</v>
      </c>
      <c r="L10" s="66"/>
    </row>
    <row r="11" spans="1:14" s="5" customFormat="1" ht="19.95" customHeight="1">
      <c r="A11" s="203">
        <f>'明细表 K4-2'!A15</f>
        <v>0</v>
      </c>
      <c r="B11" s="139">
        <f>'明细表 K4-2'!B15</f>
        <v>0</v>
      </c>
      <c r="C11" s="139">
        <f>'明细表 K4-2'!F15</f>
        <v>0</v>
      </c>
      <c r="D11" s="139">
        <f>'明细表 K4-2'!G15</f>
        <v>0</v>
      </c>
      <c r="E11" s="139">
        <f>B11+C11+D11</f>
        <v>0</v>
      </c>
      <c r="F11" s="139">
        <f>'明细表 K4-2'!E15</f>
        <v>0</v>
      </c>
      <c r="G11" s="139">
        <f>'明细表 K4-2'!F15+'明细表 K4-2'!H15-'明细表 K4-2'!I15</f>
        <v>0</v>
      </c>
      <c r="H11" s="139">
        <f>'明细表 K4-2'!G15+'明细表 K4-2'!J15-'明细表 K4-2'!K15</f>
        <v>0</v>
      </c>
      <c r="I11" s="139">
        <f>F11+G11+H11</f>
        <v>0</v>
      </c>
      <c r="J11" s="140">
        <f t="shared" si="0"/>
        <v>0</v>
      </c>
      <c r="K11" s="141">
        <f t="shared" si="1"/>
        <v>0</v>
      </c>
      <c r="L11" s="66"/>
    </row>
    <row r="12" spans="1:14" s="5" customFormat="1" ht="19.95" customHeight="1">
      <c r="A12" s="65" t="s">
        <v>38</v>
      </c>
      <c r="B12" s="139">
        <f>SUM(B7:B11)</f>
        <v>0</v>
      </c>
      <c r="C12" s="139">
        <f t="shared" ref="C12:I12" si="2">SUM(C7:C11)</f>
        <v>0</v>
      </c>
      <c r="D12" s="139">
        <f t="shared" si="2"/>
        <v>0</v>
      </c>
      <c r="E12" s="139">
        <f t="shared" si="2"/>
        <v>0</v>
      </c>
      <c r="F12" s="139">
        <f t="shared" si="2"/>
        <v>0</v>
      </c>
      <c r="G12" s="139">
        <f t="shared" si="2"/>
        <v>0</v>
      </c>
      <c r="H12" s="139">
        <f t="shared" si="2"/>
        <v>0</v>
      </c>
      <c r="I12" s="139">
        <f t="shared" si="2"/>
        <v>0</v>
      </c>
      <c r="J12" s="140">
        <f t="shared" si="0"/>
        <v>0</v>
      </c>
      <c r="K12" s="141">
        <f t="shared" si="1"/>
        <v>0</v>
      </c>
      <c r="L12" s="66"/>
    </row>
    <row r="13" spans="1:14" s="5" customFormat="1" ht="19.95" customHeight="1">
      <c r="A13" s="193" t="s">
        <v>166</v>
      </c>
      <c r="B13" s="96"/>
      <c r="C13" s="96"/>
      <c r="D13" s="96"/>
      <c r="E13" s="96"/>
      <c r="F13" s="96"/>
      <c r="G13" s="96"/>
      <c r="H13" s="96"/>
      <c r="I13" s="96"/>
      <c r="J13" s="96"/>
      <c r="K13" s="96"/>
      <c r="L13" s="96"/>
    </row>
    <row r="14" spans="1:14" s="5" customFormat="1" ht="19.95" customHeight="1">
      <c r="A14" s="222" t="s">
        <v>75</v>
      </c>
      <c r="B14" s="233">
        <f>B12-B13</f>
        <v>0</v>
      </c>
      <c r="C14" s="233">
        <f t="shared" ref="C14:H14" si="3">C12-C13</f>
        <v>0</v>
      </c>
      <c r="D14" s="233">
        <f t="shared" si="3"/>
        <v>0</v>
      </c>
      <c r="E14" s="233">
        <f t="shared" si="3"/>
        <v>0</v>
      </c>
      <c r="F14" s="233">
        <f t="shared" si="3"/>
        <v>0</v>
      </c>
      <c r="G14" s="233">
        <f t="shared" si="3"/>
        <v>0</v>
      </c>
      <c r="H14" s="233">
        <f t="shared" si="3"/>
        <v>0</v>
      </c>
      <c r="I14" s="233">
        <f t="shared" ref="I14" si="4">I12-I13</f>
        <v>0</v>
      </c>
      <c r="J14" s="233"/>
      <c r="K14" s="233"/>
      <c r="L14" s="233"/>
    </row>
    <row r="15" spans="1:14" s="43" customFormat="1" ht="19.95" customHeight="1">
      <c r="A15" s="180" t="s">
        <v>165</v>
      </c>
      <c r="B15" s="40"/>
      <c r="C15" s="40"/>
      <c r="D15" s="40"/>
      <c r="E15" s="40"/>
      <c r="F15" s="41"/>
      <c r="G15" s="41"/>
      <c r="H15" s="40"/>
      <c r="I15" s="42"/>
      <c r="J15" s="42"/>
      <c r="K15" s="2"/>
      <c r="L15" s="2"/>
      <c r="M15" s="2"/>
      <c r="N15" s="2"/>
    </row>
    <row r="16" spans="1:14" s="47" customFormat="1" ht="19.95" customHeight="1">
      <c r="A16" s="44" t="s">
        <v>43</v>
      </c>
      <c r="B16" s="45"/>
      <c r="C16" s="45"/>
      <c r="D16" s="46"/>
      <c r="E16" s="46"/>
      <c r="F16" s="286"/>
      <c r="G16" s="286"/>
      <c r="H16" s="286"/>
      <c r="I16" s="2"/>
      <c r="J16" s="2"/>
      <c r="K16" s="2"/>
      <c r="L16" s="2"/>
      <c r="M16" s="2"/>
      <c r="N16" s="2"/>
    </row>
    <row r="17" spans="1:14" s="43" customFormat="1" ht="19.95" customHeight="1">
      <c r="A17" s="44" t="s">
        <v>39</v>
      </c>
      <c r="B17" s="45"/>
      <c r="C17" s="45"/>
      <c r="D17" s="45"/>
      <c r="E17" s="45"/>
      <c r="F17" s="45"/>
      <c r="G17" s="45"/>
      <c r="H17" s="45"/>
      <c r="I17" s="2"/>
      <c r="J17" s="2"/>
      <c r="K17" s="2"/>
      <c r="L17" s="2"/>
      <c r="M17" s="2"/>
      <c r="N17" s="2"/>
    </row>
    <row r="18" spans="1:14" s="47" customFormat="1" ht="19.95" customHeight="1">
      <c r="A18" s="44"/>
      <c r="B18" s="45"/>
      <c r="C18" s="45"/>
      <c r="D18" s="45"/>
      <c r="E18" s="45"/>
      <c r="F18" s="45"/>
      <c r="G18" s="45"/>
      <c r="H18" s="45"/>
      <c r="I18" s="2"/>
      <c r="J18" s="2"/>
      <c r="K18" s="2"/>
      <c r="L18" s="2"/>
      <c r="M18" s="2"/>
      <c r="N18" s="2"/>
    </row>
    <row r="19" spans="1:14" s="47" customFormat="1" ht="19.95" customHeight="1">
      <c r="A19" s="48" t="s">
        <v>40</v>
      </c>
      <c r="B19" s="45"/>
      <c r="C19" s="45"/>
      <c r="D19" s="45"/>
      <c r="E19" s="45"/>
      <c r="F19" s="45"/>
      <c r="G19" s="45"/>
      <c r="H19" s="45"/>
      <c r="I19" s="2"/>
      <c r="J19" s="2"/>
      <c r="K19" s="2"/>
      <c r="L19" s="2"/>
      <c r="M19" s="2"/>
      <c r="N19" s="2"/>
    </row>
    <row r="20" spans="1:14" s="47" customFormat="1" ht="19.95" customHeight="1">
      <c r="A20" s="180" t="s">
        <v>139</v>
      </c>
      <c r="B20" s="49"/>
      <c r="C20" s="49"/>
      <c r="D20" s="49"/>
      <c r="E20" s="49"/>
      <c r="F20" s="49"/>
      <c r="G20" s="49"/>
      <c r="H20" s="49"/>
      <c r="I20" s="2"/>
      <c r="J20" s="2"/>
      <c r="K20" s="2"/>
      <c r="L20" s="2"/>
      <c r="M20" s="2"/>
      <c r="N20" s="2"/>
    </row>
    <row r="21" spans="1:14" ht="19.95" customHeight="1">
      <c r="A21" s="48"/>
      <c r="B21" s="49"/>
      <c r="C21" s="49"/>
      <c r="D21" s="49"/>
      <c r="E21" s="49"/>
      <c r="F21" s="49"/>
      <c r="G21" s="49"/>
      <c r="H21" s="49"/>
    </row>
  </sheetData>
  <mergeCells count="8">
    <mergeCell ref="A1:L1"/>
    <mergeCell ref="A2:L2"/>
    <mergeCell ref="L5:L6"/>
    <mergeCell ref="F16:H16"/>
    <mergeCell ref="A5:A6"/>
    <mergeCell ref="B5:E5"/>
    <mergeCell ref="F5:I5"/>
    <mergeCell ref="J5:K5"/>
  </mergeCells>
  <phoneticPr fontId="5" type="noConversion"/>
  <hyperlinks>
    <hyperlink ref="L3" location="底稿目录!A1" display="底稿目录!A1"/>
  </hyperlinks>
  <printOptions horizontalCentered="1"/>
  <pageMargins left="0.74803149606299213" right="0.35433070866141736" top="0.59055118110236227" bottom="0.27559055118110237" header="0.51181102362204722" footer="0.19685039370078741"/>
  <pageSetup paperSize="9" scale="95" orientation="landscape" blackAndWhite="1" r:id="rId1"/>
  <headerFooter alignWithMargins="0">
    <oddFooter>&amp;C&amp;P/&amp;N</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L42"/>
  <sheetViews>
    <sheetView view="pageBreakPreview" zoomScaleSheetLayoutView="100" workbookViewId="0">
      <selection sqref="A1:H38"/>
    </sheetView>
  </sheetViews>
  <sheetFormatPr defaultColWidth="9.109375" defaultRowHeight="15.6"/>
  <cols>
    <col min="1" max="1" width="30.44140625" style="73" customWidth="1"/>
    <col min="2" max="7" width="19.6640625" style="73" customWidth="1"/>
    <col min="8" max="16384" width="9.109375" style="73"/>
  </cols>
  <sheetData>
    <row r="1" spans="1:12" s="67" customFormat="1" ht="19.95" customHeight="1">
      <c r="A1" s="296" t="s">
        <v>0</v>
      </c>
      <c r="B1" s="296"/>
      <c r="C1" s="296"/>
      <c r="D1" s="296"/>
      <c r="E1" s="296"/>
      <c r="F1" s="296"/>
      <c r="G1" s="296"/>
      <c r="H1" s="296"/>
      <c r="I1" s="50"/>
      <c r="J1" s="50"/>
      <c r="K1" s="50"/>
      <c r="L1" s="50"/>
    </row>
    <row r="2" spans="1:12" s="67" customFormat="1" ht="19.95" customHeight="1">
      <c r="A2" s="297" t="s">
        <v>2</v>
      </c>
      <c r="B2" s="297"/>
      <c r="C2" s="297"/>
      <c r="D2" s="297"/>
      <c r="E2" s="297"/>
      <c r="F2" s="297"/>
      <c r="G2" s="297"/>
      <c r="H2" s="297"/>
      <c r="I2" s="68"/>
      <c r="J2" s="68"/>
      <c r="K2" s="68"/>
      <c r="L2" s="68"/>
    </row>
    <row r="3" spans="1:12" s="67" customFormat="1" ht="19.95" customHeight="1">
      <c r="A3" s="47" t="str">
        <f>底稿目录!A2</f>
        <v>被审计单位：</v>
      </c>
      <c r="B3" s="69" t="str">
        <f>底稿目录!A4</f>
        <v>编制人：</v>
      </c>
      <c r="D3" s="47" t="str">
        <f>底稿目录!A5</f>
        <v>编制日期：</v>
      </c>
      <c r="G3" s="142" t="s">
        <v>94</v>
      </c>
      <c r="H3" s="47">
        <f>底稿目录!D7</f>
        <v>0</v>
      </c>
      <c r="I3" s="47"/>
      <c r="J3" s="47"/>
      <c r="L3" s="47"/>
    </row>
    <row r="4" spans="1:12" s="67" customFormat="1" ht="19.95" customHeight="1">
      <c r="A4" s="47" t="str">
        <f>底稿目录!A3</f>
        <v>截止日：202X年12月31日</v>
      </c>
      <c r="B4" s="69" t="str">
        <f>底稿目录!A6</f>
        <v>复核人：</v>
      </c>
      <c r="D4" s="47" t="str">
        <f>底稿目录!A7</f>
        <v>复核日期：</v>
      </c>
      <c r="G4" s="142" t="s">
        <v>25</v>
      </c>
      <c r="H4" s="47"/>
      <c r="I4" s="47"/>
      <c r="J4" s="47"/>
      <c r="L4" s="70"/>
    </row>
    <row r="5" spans="1:12" s="71" customFormat="1" ht="19.95" customHeight="1" thickBot="1">
      <c r="A5" s="101" t="s">
        <v>11</v>
      </c>
      <c r="B5" s="98"/>
      <c r="C5" s="98"/>
      <c r="D5" s="98"/>
      <c r="E5" s="98"/>
      <c r="F5" s="98"/>
      <c r="G5" s="98"/>
    </row>
    <row r="6" spans="1:12" s="71" customFormat="1" ht="19.95" customHeight="1" thickBot="1">
      <c r="A6" s="99" t="s">
        <v>83</v>
      </c>
      <c r="B6" s="102" t="s">
        <v>3</v>
      </c>
      <c r="C6" s="102" t="s">
        <v>77</v>
      </c>
      <c r="D6" s="98"/>
      <c r="E6" s="98"/>
      <c r="F6" s="98"/>
      <c r="G6" s="98"/>
    </row>
    <row r="7" spans="1:12" s="71" customFormat="1" ht="19.95" customHeight="1">
      <c r="A7" s="100" t="str">
        <f>'明细表 K4-2'!A11</f>
        <v>短期应付债券</v>
      </c>
      <c r="B7" s="114">
        <f>'明细表 K4-2'!O11</f>
        <v>0</v>
      </c>
      <c r="C7" s="114">
        <f>'明细表 K4-2'!L11</f>
        <v>0</v>
      </c>
      <c r="D7" s="98"/>
      <c r="E7" s="98"/>
      <c r="F7" s="98"/>
      <c r="G7" s="98"/>
    </row>
    <row r="8" spans="1:12" s="71" customFormat="1" ht="19.95" customHeight="1">
      <c r="A8" s="100" t="str">
        <f>'明细表 K4-2'!A12</f>
        <v>政府补助</v>
      </c>
      <c r="B8" s="114">
        <f>'明细表 K4-2'!O12</f>
        <v>0</v>
      </c>
      <c r="C8" s="114">
        <f>'明细表 K4-2'!L12</f>
        <v>0</v>
      </c>
      <c r="D8" s="98"/>
      <c r="E8" s="98"/>
      <c r="F8" s="98"/>
      <c r="G8" s="98"/>
    </row>
    <row r="9" spans="1:12" s="71" customFormat="1" ht="19.95" customHeight="1">
      <c r="A9" s="100" t="str">
        <f>'明细表 K4-2'!A13</f>
        <v>待转销项税额</v>
      </c>
      <c r="B9" s="114">
        <f>'明细表 K4-2'!O13</f>
        <v>0</v>
      </c>
      <c r="C9" s="114">
        <f>'明细表 K4-2'!L13</f>
        <v>0</v>
      </c>
      <c r="D9" s="98"/>
      <c r="E9" s="98"/>
      <c r="F9" s="98"/>
      <c r="G9" s="98"/>
    </row>
    <row r="10" spans="1:12" s="71" customFormat="1" ht="19.95" customHeight="1">
      <c r="A10" s="100" t="str">
        <f>'明细表 K4-2'!A14</f>
        <v>应付退货款</v>
      </c>
      <c r="B10" s="114">
        <f>'明细表 K4-2'!O14</f>
        <v>0</v>
      </c>
      <c r="C10" s="114">
        <f>'明细表 K4-2'!L14</f>
        <v>0</v>
      </c>
      <c r="D10" s="98"/>
      <c r="E10" s="98"/>
      <c r="F10" s="98"/>
      <c r="G10" s="98"/>
    </row>
    <row r="11" spans="1:12" s="71" customFormat="1" ht="19.95" customHeight="1" thickBot="1">
      <c r="A11" s="100">
        <f>'明细表 K4-2'!A15</f>
        <v>0</v>
      </c>
      <c r="B11" s="114">
        <f>'明细表 K4-2'!O15</f>
        <v>0</v>
      </c>
      <c r="C11" s="114">
        <f>'明细表 K4-2'!L15</f>
        <v>0</v>
      </c>
      <c r="D11" s="98"/>
      <c r="E11" s="98"/>
      <c r="F11" s="98"/>
      <c r="G11" s="98"/>
    </row>
    <row r="12" spans="1:12" s="71" customFormat="1" ht="19.95" customHeight="1" thickBot="1">
      <c r="A12" s="99" t="s">
        <v>78</v>
      </c>
      <c r="B12" s="115">
        <f>SUM(B7:B11)</f>
        <v>0</v>
      </c>
      <c r="C12" s="115">
        <f>SUM(C7:C11)</f>
        <v>0</v>
      </c>
      <c r="D12" s="98"/>
      <c r="E12" s="98"/>
      <c r="F12" s="98"/>
      <c r="G12" s="98"/>
    </row>
    <row r="13" spans="1:12" s="71" customFormat="1" ht="19.95" customHeight="1">
      <c r="A13" s="101" t="s">
        <v>12</v>
      </c>
      <c r="B13" s="98"/>
      <c r="C13" s="98"/>
      <c r="D13" s="98"/>
      <c r="E13" s="98"/>
      <c r="F13" s="98"/>
      <c r="G13" s="98"/>
    </row>
    <row r="14" spans="1:12" s="71" customFormat="1" ht="19.95" customHeight="1">
      <c r="A14" s="103" t="s">
        <v>13</v>
      </c>
      <c r="B14" s="103"/>
      <c r="C14" s="103"/>
      <c r="D14" s="98"/>
      <c r="E14" s="98"/>
      <c r="F14" s="98"/>
      <c r="G14" s="98"/>
    </row>
    <row r="15" spans="1:12" s="71" customFormat="1" ht="19.95" customHeight="1">
      <c r="A15" s="205" t="s">
        <v>172</v>
      </c>
      <c r="B15" s="103"/>
      <c r="C15" s="103"/>
      <c r="D15" s="98"/>
      <c r="E15" s="98"/>
      <c r="F15" s="98"/>
      <c r="G15" s="98"/>
    </row>
    <row r="16" spans="1:12" s="71" customFormat="1" ht="19.95" customHeight="1">
      <c r="A16" s="205" t="s">
        <v>173</v>
      </c>
      <c r="B16" s="104"/>
      <c r="C16" s="104"/>
      <c r="D16" s="98"/>
      <c r="E16" s="98"/>
      <c r="F16" s="98"/>
      <c r="G16" s="98"/>
    </row>
    <row r="17" spans="1:8" s="71" customFormat="1" ht="19.95" customHeight="1">
      <c r="A17" s="103" t="s">
        <v>76</v>
      </c>
      <c r="B17" s="103"/>
      <c r="C17" s="103"/>
      <c r="D17" s="98"/>
      <c r="E17" s="98"/>
      <c r="F17" s="98"/>
      <c r="G17" s="98"/>
    </row>
    <row r="18" spans="1:8" s="71" customFormat="1" ht="19.95" customHeight="1" thickBot="1">
      <c r="A18" s="204" t="s">
        <v>171</v>
      </c>
      <c r="B18" s="98"/>
      <c r="C18" s="98"/>
      <c r="D18" s="98"/>
      <c r="E18" s="98"/>
      <c r="F18" s="98"/>
      <c r="G18" s="98"/>
    </row>
    <row r="19" spans="1:8" s="72" customFormat="1" ht="19.95" customHeight="1" thickBot="1">
      <c r="A19" s="128" t="s">
        <v>14</v>
      </c>
      <c r="B19" s="128" t="s">
        <v>15</v>
      </c>
      <c r="C19" s="129" t="s">
        <v>85</v>
      </c>
      <c r="D19" s="128" t="s">
        <v>16</v>
      </c>
      <c r="E19" s="128" t="s">
        <v>17</v>
      </c>
      <c r="F19" s="128" t="s">
        <v>18</v>
      </c>
      <c r="G19" s="98"/>
    </row>
    <row r="20" spans="1:8" s="71" customFormat="1" ht="19.95" customHeight="1">
      <c r="A20" s="100"/>
      <c r="B20" s="116"/>
      <c r="C20" s="130"/>
      <c r="D20" s="116"/>
      <c r="E20" s="116"/>
      <c r="F20" s="116"/>
      <c r="G20" s="98"/>
    </row>
    <row r="21" spans="1:8" s="71" customFormat="1" ht="19.95" customHeight="1">
      <c r="A21" s="100"/>
      <c r="B21" s="116"/>
      <c r="C21" s="130"/>
      <c r="D21" s="116"/>
      <c r="E21" s="116"/>
      <c r="F21" s="116"/>
      <c r="G21" s="98"/>
    </row>
    <row r="22" spans="1:8" s="71" customFormat="1" ht="19.95" customHeight="1" thickBot="1">
      <c r="A22" s="106"/>
      <c r="B22" s="117"/>
      <c r="C22" s="131"/>
      <c r="D22" s="117"/>
      <c r="E22" s="117"/>
      <c r="F22" s="117"/>
      <c r="G22" s="98"/>
    </row>
    <row r="23" spans="1:8" s="71" customFormat="1" ht="19.95" customHeight="1" thickBot="1">
      <c r="A23" s="107" t="s">
        <v>84</v>
      </c>
      <c r="B23" s="126">
        <f>SUM(B20:B22)</f>
        <v>0</v>
      </c>
      <c r="C23" s="132"/>
      <c r="D23" s="127"/>
      <c r="E23" s="127"/>
      <c r="F23" s="126">
        <f>SUM(F20:F22)</f>
        <v>0</v>
      </c>
      <c r="G23" s="98"/>
    </row>
    <row r="24" spans="1:8" s="71" customFormat="1" ht="19.95" customHeight="1" thickBot="1">
      <c r="A24" s="105" t="s">
        <v>19</v>
      </c>
      <c r="B24" s="108"/>
      <c r="C24" s="108"/>
      <c r="D24" s="108"/>
      <c r="E24" s="108"/>
      <c r="F24" s="108"/>
      <c r="G24" s="108"/>
    </row>
    <row r="25" spans="1:8" s="71" customFormat="1" ht="19.95" customHeight="1" thickBot="1">
      <c r="A25" s="133" t="s">
        <v>14</v>
      </c>
      <c r="B25" s="133" t="s">
        <v>77</v>
      </c>
      <c r="C25" s="133" t="s">
        <v>20</v>
      </c>
      <c r="D25" s="133" t="s">
        <v>21</v>
      </c>
      <c r="E25" s="133" t="s">
        <v>22</v>
      </c>
      <c r="F25" s="133" t="s">
        <v>23</v>
      </c>
      <c r="G25" s="133" t="s">
        <v>3</v>
      </c>
      <c r="H25" s="134" t="s">
        <v>86</v>
      </c>
    </row>
    <row r="26" spans="1:8" s="71" customFormat="1" ht="19.95" customHeight="1">
      <c r="A26" s="111"/>
      <c r="B26" s="118"/>
      <c r="C26" s="118"/>
      <c r="D26" s="118"/>
      <c r="E26" s="118"/>
      <c r="F26" s="118"/>
      <c r="G26" s="119">
        <f>B26+C26+D26-E26-F26</f>
        <v>0</v>
      </c>
      <c r="H26" s="135"/>
    </row>
    <row r="27" spans="1:8" s="71" customFormat="1" ht="19.95" customHeight="1">
      <c r="A27" s="111"/>
      <c r="B27" s="118"/>
      <c r="C27" s="118"/>
      <c r="D27" s="118"/>
      <c r="E27" s="118"/>
      <c r="F27" s="118"/>
      <c r="G27" s="119">
        <f>B27+C27+D27-E27-F27</f>
        <v>0</v>
      </c>
      <c r="H27" s="135"/>
    </row>
    <row r="28" spans="1:8" s="71" customFormat="1" ht="19.95" customHeight="1" thickBot="1">
      <c r="A28" s="112"/>
      <c r="B28" s="120"/>
      <c r="C28" s="120"/>
      <c r="D28" s="120"/>
      <c r="E28" s="120"/>
      <c r="F28" s="120"/>
      <c r="G28" s="119">
        <f>B28+C28+D28-E28-F28</f>
        <v>0</v>
      </c>
      <c r="H28" s="135"/>
    </row>
    <row r="29" spans="1:8" s="71" customFormat="1" ht="19.95" customHeight="1" thickBot="1">
      <c r="A29" s="113" t="s">
        <v>78</v>
      </c>
      <c r="B29" s="121">
        <f>SUM(B26:B28)</f>
        <v>0</v>
      </c>
      <c r="C29" s="121">
        <f t="shared" ref="C29:G29" si="0">SUM(C26:C28)</f>
        <v>0</v>
      </c>
      <c r="D29" s="121">
        <f t="shared" si="0"/>
        <v>0</v>
      </c>
      <c r="E29" s="121">
        <f t="shared" si="0"/>
        <v>0</v>
      </c>
      <c r="F29" s="121">
        <f t="shared" si="0"/>
        <v>0</v>
      </c>
      <c r="G29" s="122">
        <f t="shared" si="0"/>
        <v>0</v>
      </c>
      <c r="H29" s="136"/>
    </row>
    <row r="30" spans="1:8" s="71" customFormat="1" ht="19.95" customHeight="1">
      <c r="A30" s="101" t="s">
        <v>12</v>
      </c>
      <c r="B30" s="98"/>
      <c r="C30" s="98"/>
      <c r="D30" s="98"/>
      <c r="E30" s="98"/>
      <c r="F30" s="98"/>
      <c r="G30" s="98"/>
    </row>
    <row r="31" spans="1:8" s="71" customFormat="1" ht="19.95" customHeight="1" thickBot="1">
      <c r="A31" s="204" t="s">
        <v>170</v>
      </c>
      <c r="B31" s="108"/>
      <c r="C31" s="108"/>
      <c r="D31" s="108"/>
      <c r="E31" s="108"/>
      <c r="F31" s="108"/>
      <c r="G31" s="98"/>
    </row>
    <row r="32" spans="1:8" s="71" customFormat="1" ht="19.95" customHeight="1" thickBot="1">
      <c r="A32" s="109" t="s">
        <v>24</v>
      </c>
      <c r="B32" s="110" t="s">
        <v>77</v>
      </c>
      <c r="C32" s="110" t="s">
        <v>79</v>
      </c>
      <c r="D32" s="110" t="s">
        <v>80</v>
      </c>
      <c r="E32" s="110" t="s">
        <v>3</v>
      </c>
      <c r="F32" s="110" t="s">
        <v>81</v>
      </c>
      <c r="G32" s="98"/>
    </row>
    <row r="33" spans="1:7" s="71" customFormat="1" ht="19.95" customHeight="1">
      <c r="A33" s="111"/>
      <c r="B33" s="118"/>
      <c r="C33" s="118"/>
      <c r="D33" s="118"/>
      <c r="E33" s="123">
        <f>B33+C33-D33</f>
        <v>0</v>
      </c>
      <c r="F33" s="118"/>
      <c r="G33" s="98"/>
    </row>
    <row r="34" spans="1:7" s="71" customFormat="1" ht="19.95" customHeight="1">
      <c r="A34" s="111"/>
      <c r="B34" s="118"/>
      <c r="C34" s="118"/>
      <c r="D34" s="118"/>
      <c r="E34" s="119">
        <f>B34+C34-D34</f>
        <v>0</v>
      </c>
      <c r="F34" s="118"/>
      <c r="G34" s="98"/>
    </row>
    <row r="35" spans="1:7" s="71" customFormat="1" ht="19.95" customHeight="1" thickBot="1">
      <c r="A35" s="112"/>
      <c r="B35" s="120"/>
      <c r="C35" s="120"/>
      <c r="D35" s="120"/>
      <c r="E35" s="124">
        <f>B35+C35-D35</f>
        <v>0</v>
      </c>
      <c r="F35" s="120"/>
      <c r="G35" s="98"/>
    </row>
    <row r="36" spans="1:7" s="71" customFormat="1" ht="19.95" customHeight="1" thickBot="1">
      <c r="A36" s="113" t="s">
        <v>78</v>
      </c>
      <c r="B36" s="121">
        <f>SUM(B33:B35)</f>
        <v>0</v>
      </c>
      <c r="C36" s="121">
        <f>SUM(C33:C35)</f>
        <v>0</v>
      </c>
      <c r="D36" s="121">
        <f>SUM(D33:D35)</f>
        <v>0</v>
      </c>
      <c r="E36" s="121">
        <f>SUM(E33:E35)</f>
        <v>0</v>
      </c>
      <c r="F36" s="125"/>
      <c r="G36" s="98"/>
    </row>
    <row r="37" spans="1:7" s="71" customFormat="1" ht="19.95" customHeight="1">
      <c r="A37" s="105" t="s">
        <v>82</v>
      </c>
      <c r="B37" s="108"/>
      <c r="C37" s="108"/>
      <c r="D37" s="108"/>
      <c r="E37" s="108"/>
      <c r="F37" s="108"/>
      <c r="G37" s="98"/>
    </row>
    <row r="38" spans="1:7" s="71" customFormat="1" ht="19.95" customHeight="1">
      <c r="A38" s="101"/>
      <c r="B38" s="98"/>
      <c r="C38" s="98"/>
      <c r="D38" s="98"/>
      <c r="E38" s="98"/>
      <c r="F38" s="98"/>
      <c r="G38" s="98"/>
    </row>
    <row r="39" spans="1:7" s="71" customFormat="1">
      <c r="A39" s="295"/>
      <c r="B39" s="295"/>
      <c r="C39" s="295"/>
      <c r="D39" s="295"/>
      <c r="E39" s="295"/>
      <c r="F39" s="295"/>
      <c r="G39" s="295"/>
    </row>
    <row r="40" spans="1:7" s="71" customFormat="1">
      <c r="A40" s="294"/>
      <c r="B40" s="294"/>
      <c r="C40" s="294"/>
      <c r="D40" s="294"/>
      <c r="E40" s="294"/>
      <c r="F40" s="294"/>
      <c r="G40" s="294"/>
    </row>
    <row r="41" spans="1:7" s="71" customFormat="1">
      <c r="A41" s="294"/>
      <c r="B41" s="294"/>
      <c r="C41" s="294"/>
      <c r="D41" s="294"/>
      <c r="E41" s="294"/>
      <c r="F41" s="294"/>
      <c r="G41" s="294"/>
    </row>
    <row r="42" spans="1:7" s="71" customFormat="1" ht="12"/>
  </sheetData>
  <mergeCells count="5">
    <mergeCell ref="A41:G41"/>
    <mergeCell ref="A39:G39"/>
    <mergeCell ref="A40:G40"/>
    <mergeCell ref="A1:H1"/>
    <mergeCell ref="A2:H2"/>
  </mergeCells>
  <phoneticPr fontId="29" type="noConversion"/>
  <pageMargins left="0.70866141732283472" right="0.70866141732283472" top="0.74803149606299213" bottom="0.74803149606299213" header="0.31496062992125984" footer="0.31496062992125984"/>
  <pageSetup paperSize="9" scale="60" orientation="portrait" blackAndWhite="1"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pageSetUpPr fitToPage="1"/>
  </sheetPr>
  <dimension ref="A1:L15"/>
  <sheetViews>
    <sheetView view="pageBreakPreview" zoomScaleSheetLayoutView="100" workbookViewId="0">
      <selection activeCell="B14" sqref="B14"/>
    </sheetView>
  </sheetViews>
  <sheetFormatPr defaultColWidth="9.109375" defaultRowHeight="15.6"/>
  <cols>
    <col min="1" max="1" width="28.33203125" style="73" customWidth="1"/>
    <col min="2" max="2" width="19.6640625" style="73" customWidth="1"/>
    <col min="3" max="3" width="25.33203125" style="73" customWidth="1"/>
    <col min="4" max="4" width="9.88671875" style="73" customWidth="1"/>
    <col min="5" max="5" width="8" style="73" customWidth="1"/>
    <col min="6" max="6" width="14.5546875" style="73" customWidth="1"/>
    <col min="7" max="16384" width="9.109375" style="73"/>
  </cols>
  <sheetData>
    <row r="1" spans="1:12" s="47" customFormat="1" ht="19.95" customHeight="1">
      <c r="A1" s="298" t="s">
        <v>0</v>
      </c>
      <c r="B1" s="298"/>
      <c r="C1" s="298"/>
      <c r="D1" s="298"/>
      <c r="E1" s="298"/>
      <c r="F1" s="180"/>
      <c r="G1" s="180"/>
      <c r="H1" s="180"/>
      <c r="I1" s="180"/>
      <c r="J1" s="180"/>
      <c r="K1" s="180"/>
      <c r="L1" s="180"/>
    </row>
    <row r="2" spans="1:12" s="47" customFormat="1" ht="19.95" customHeight="1">
      <c r="A2" s="299" t="s">
        <v>183</v>
      </c>
      <c r="B2" s="299"/>
      <c r="C2" s="299"/>
      <c r="D2" s="299"/>
      <c r="E2" s="299"/>
      <c r="F2" s="43"/>
      <c r="G2" s="43"/>
      <c r="H2" s="43"/>
      <c r="I2" s="43"/>
      <c r="J2" s="43"/>
      <c r="K2" s="43"/>
      <c r="L2" s="43"/>
    </row>
    <row r="3" spans="1:12" s="47" customFormat="1" ht="19.95" customHeight="1">
      <c r="A3" s="47" t="str">
        <f>底稿目录!A2</f>
        <v>被审计单位：</v>
      </c>
      <c r="B3" s="69" t="str">
        <f>底稿目录!A4</f>
        <v>编制人：</v>
      </c>
      <c r="C3" s="69" t="str">
        <f>底稿目录!A5</f>
        <v>编制日期：</v>
      </c>
      <c r="D3" s="142" t="s">
        <v>182</v>
      </c>
      <c r="E3" s="143">
        <f>底稿目录!D8</f>
        <v>0</v>
      </c>
    </row>
    <row r="4" spans="1:12" s="47" customFormat="1" ht="19.95" customHeight="1">
      <c r="A4" s="47" t="str">
        <f>底稿目录!A3</f>
        <v>截止日：202X年12月31日</v>
      </c>
      <c r="B4" s="69" t="str">
        <f>底稿目录!A6</f>
        <v>复核人：</v>
      </c>
      <c r="C4" s="69" t="str">
        <f>底稿目录!A7</f>
        <v>复核日期：</v>
      </c>
      <c r="D4" s="142" t="s">
        <v>174</v>
      </c>
      <c r="E4" s="69"/>
      <c r="L4" s="70"/>
    </row>
    <row r="5" spans="1:12" s="209" customFormat="1" ht="19.95" customHeight="1" thickBot="1">
      <c r="A5" s="206" t="s">
        <v>175</v>
      </c>
      <c r="B5" s="207"/>
      <c r="C5" s="207"/>
      <c r="D5" s="208"/>
      <c r="E5" s="208"/>
    </row>
    <row r="6" spans="1:12" s="209" customFormat="1" ht="19.95" customHeight="1" thickBot="1">
      <c r="A6" s="210" t="s">
        <v>176</v>
      </c>
      <c r="B6" s="211" t="s">
        <v>177</v>
      </c>
      <c r="C6" s="211" t="s">
        <v>181</v>
      </c>
      <c r="D6" s="208"/>
      <c r="E6" s="208"/>
    </row>
    <row r="7" spans="1:12" s="209" customFormat="1" ht="19.95" customHeight="1">
      <c r="A7" s="212" t="str">
        <f>'明细表 K4-2'!A11</f>
        <v>短期应付债券</v>
      </c>
      <c r="B7" s="114">
        <f>'明细表 K4-2'!O11</f>
        <v>0</v>
      </c>
      <c r="C7" s="114">
        <f>'明细表 K4-2'!L11</f>
        <v>0</v>
      </c>
      <c r="D7" s="208"/>
      <c r="E7" s="208"/>
    </row>
    <row r="8" spans="1:12" s="209" customFormat="1" ht="19.95" customHeight="1">
      <c r="A8" s="212" t="str">
        <f>'明细表 K4-2'!A12</f>
        <v>政府补助</v>
      </c>
      <c r="B8" s="114">
        <f>'明细表 K4-2'!O12</f>
        <v>0</v>
      </c>
      <c r="C8" s="114">
        <f>'明细表 K4-2'!L12</f>
        <v>0</v>
      </c>
      <c r="D8" s="208"/>
      <c r="E8" s="208"/>
    </row>
    <row r="9" spans="1:12" s="209" customFormat="1" ht="19.95" customHeight="1">
      <c r="A9" s="212" t="str">
        <f>'明细表 K4-2'!A13</f>
        <v>待转销项税额</v>
      </c>
      <c r="B9" s="114">
        <f>'明细表 K4-2'!O13</f>
        <v>0</v>
      </c>
      <c r="C9" s="114">
        <f>'明细表 K4-2'!L13</f>
        <v>0</v>
      </c>
      <c r="D9" s="208"/>
      <c r="E9" s="208"/>
    </row>
    <row r="10" spans="1:12" s="209" customFormat="1" ht="19.95" customHeight="1">
      <c r="A10" s="212" t="str">
        <f>'明细表 K4-2'!A14</f>
        <v>应付退货款</v>
      </c>
      <c r="B10" s="114">
        <f>'明细表 K4-2'!O14</f>
        <v>0</v>
      </c>
      <c r="C10" s="114">
        <f>'明细表 K4-2'!L14</f>
        <v>0</v>
      </c>
      <c r="D10" s="208"/>
      <c r="E10" s="208"/>
    </row>
    <row r="11" spans="1:12" s="209" customFormat="1" ht="19.95" customHeight="1" thickBot="1">
      <c r="A11" s="214">
        <f>'明细表 K4-2'!A15</f>
        <v>0</v>
      </c>
      <c r="B11" s="114">
        <f>'明细表 K4-2'!O15</f>
        <v>0</v>
      </c>
      <c r="C11" s="114">
        <f>'明细表 K4-2'!L15</f>
        <v>0</v>
      </c>
      <c r="D11" s="208"/>
      <c r="E11" s="208"/>
    </row>
    <row r="12" spans="1:12" s="209" customFormat="1" ht="19.95" customHeight="1" thickBot="1">
      <c r="A12" s="210" t="s">
        <v>178</v>
      </c>
      <c r="B12" s="115">
        <f>SUM(B7:B11)</f>
        <v>0</v>
      </c>
      <c r="C12" s="115">
        <f>SUM(C7:C11)</f>
        <v>0</v>
      </c>
      <c r="D12" s="208"/>
      <c r="E12" s="208"/>
    </row>
    <row r="13" spans="1:12" s="209" customFormat="1" ht="19.95" customHeight="1">
      <c r="A13" s="213" t="s">
        <v>179</v>
      </c>
    </row>
    <row r="14" spans="1:12" s="209" customFormat="1" ht="19.95" customHeight="1">
      <c r="A14" s="213" t="s">
        <v>180</v>
      </c>
    </row>
    <row r="15" spans="1:12" s="209" customFormat="1" ht="19.95" customHeight="1"/>
  </sheetData>
  <mergeCells count="2">
    <mergeCell ref="A1:E1"/>
    <mergeCell ref="A2:E2"/>
  </mergeCells>
  <phoneticPr fontId="29" type="noConversion"/>
  <printOptions horizontalCentered="1"/>
  <pageMargins left="0.98425196850393704" right="0.74803149606299213" top="0.98425196850393704" bottom="0.98425196850393704" header="0.51181102362204722" footer="0.51181102362204722"/>
  <pageSetup paperSize="9" fitToHeight="100" orientation="portrait" blackAndWhite="1" cellComments="atEnd" r:id="rId1"/>
  <headerFooter alignWithMargins="0"/>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6">
    <pageSetUpPr fitToPage="1"/>
  </sheetPr>
  <dimension ref="A1:R29"/>
  <sheetViews>
    <sheetView view="pageBreakPreview" zoomScaleSheetLayoutView="100" workbookViewId="0">
      <selection sqref="A1:P1"/>
    </sheetView>
  </sheetViews>
  <sheetFormatPr defaultColWidth="9.109375" defaultRowHeight="15.6"/>
  <cols>
    <col min="1" max="1" width="26.109375" style="14" customWidth="1"/>
    <col min="2" max="16" width="10.6640625" style="14" customWidth="1"/>
    <col min="17" max="16384" width="9.109375" style="14"/>
  </cols>
  <sheetData>
    <row r="1" spans="1:18" s="7" customFormat="1" ht="20.100000000000001" customHeight="1">
      <c r="A1" s="300" t="s">
        <v>0</v>
      </c>
      <c r="B1" s="300"/>
      <c r="C1" s="300"/>
      <c r="D1" s="300"/>
      <c r="E1" s="300"/>
      <c r="F1" s="300"/>
      <c r="G1" s="300"/>
      <c r="H1" s="300"/>
      <c r="I1" s="300"/>
      <c r="J1" s="300"/>
      <c r="K1" s="300"/>
      <c r="L1" s="300"/>
      <c r="M1" s="300"/>
      <c r="N1" s="300"/>
      <c r="O1" s="300"/>
      <c r="P1" s="300"/>
      <c r="Q1" s="6"/>
      <c r="R1" s="6"/>
    </row>
    <row r="2" spans="1:18" s="9" customFormat="1" ht="24.9" customHeight="1">
      <c r="A2" s="301" t="s">
        <v>154</v>
      </c>
      <c r="B2" s="301"/>
      <c r="C2" s="301"/>
      <c r="D2" s="301"/>
      <c r="E2" s="301"/>
      <c r="F2" s="301"/>
      <c r="G2" s="301"/>
      <c r="H2" s="301"/>
      <c r="I2" s="301"/>
      <c r="J2" s="301"/>
      <c r="K2" s="301"/>
      <c r="L2" s="301"/>
      <c r="M2" s="301"/>
      <c r="N2" s="301"/>
      <c r="O2" s="301"/>
      <c r="P2" s="301"/>
      <c r="Q2" s="8"/>
      <c r="R2" s="8"/>
    </row>
    <row r="3" spans="1:18" s="10" customFormat="1" ht="20.100000000000001" customHeight="1">
      <c r="A3" s="2" t="str">
        <f>底稿目录!A2</f>
        <v>被审计单位：</v>
      </c>
      <c r="B3" s="2"/>
      <c r="D3" s="3" t="str">
        <f>底稿目录!A4</f>
        <v>编制人：</v>
      </c>
      <c r="J3" s="63" t="str">
        <f>底稿目录!A5</f>
        <v>编制日期：</v>
      </c>
      <c r="K3" s="64"/>
      <c r="O3" s="144" t="s">
        <v>95</v>
      </c>
      <c r="P3" s="243" t="str">
        <f>底稿目录!D9</f>
        <v>K4-2</v>
      </c>
    </row>
    <row r="4" spans="1:18" s="10" customFormat="1" ht="20.100000000000001" customHeight="1">
      <c r="A4" s="2" t="str">
        <f>底稿目录!A3</f>
        <v>截止日：202X年12月31日</v>
      </c>
      <c r="B4" s="4"/>
      <c r="D4" s="3" t="str">
        <f>底稿目录!A6</f>
        <v>复核人：</v>
      </c>
      <c r="J4" s="63" t="str">
        <f>底稿目录!A7</f>
        <v>复核日期：</v>
      </c>
      <c r="K4" s="64"/>
      <c r="O4" s="16" t="s">
        <v>44</v>
      </c>
    </row>
    <row r="5" spans="1:18" s="10" customFormat="1" ht="20.100000000000001" customHeight="1">
      <c r="A5" s="51" t="s">
        <v>41</v>
      </c>
      <c r="B5" s="52"/>
      <c r="F5" s="53"/>
      <c r="J5" s="54"/>
      <c r="M5" s="55"/>
    </row>
    <row r="6" spans="1:18" s="10" customFormat="1" ht="20.100000000000001" customHeight="1">
      <c r="A6" s="167" t="s">
        <v>192</v>
      </c>
      <c r="B6" s="167"/>
      <c r="C6" s="168"/>
      <c r="D6" s="169"/>
      <c r="E6" s="169"/>
      <c r="G6" s="167" t="s">
        <v>193</v>
      </c>
      <c r="H6" s="170"/>
      <c r="I6" s="169"/>
      <c r="J6" s="169"/>
      <c r="K6" s="169"/>
      <c r="L6" s="169"/>
    </row>
    <row r="7" spans="1:18" s="10" customFormat="1" ht="20.100000000000001" customHeight="1">
      <c r="A7" s="169" t="s">
        <v>194</v>
      </c>
      <c r="B7" s="167"/>
      <c r="C7" s="168"/>
      <c r="D7" s="169"/>
      <c r="E7" s="169"/>
      <c r="F7" s="167"/>
      <c r="H7" s="170"/>
      <c r="I7" s="169"/>
      <c r="J7" s="169"/>
      <c r="K7" s="169"/>
      <c r="L7" s="169"/>
      <c r="M7" s="169"/>
    </row>
    <row r="8" spans="1:18" s="10" customFormat="1" ht="20.100000000000001" customHeight="1">
      <c r="A8" s="56" t="s">
        <v>125</v>
      </c>
      <c r="F8" s="57"/>
      <c r="J8" s="54"/>
      <c r="M8" s="55"/>
    </row>
    <row r="9" spans="1:18" s="11" customFormat="1" ht="20.100000000000001" customHeight="1">
      <c r="A9" s="309" t="s">
        <v>45</v>
      </c>
      <c r="B9" s="311" t="s">
        <v>184</v>
      </c>
      <c r="C9" s="312"/>
      <c r="D9" s="312"/>
      <c r="E9" s="313"/>
      <c r="F9" s="314" t="s">
        <v>185</v>
      </c>
      <c r="G9" s="314"/>
      <c r="H9" s="314" t="s">
        <v>186</v>
      </c>
      <c r="I9" s="314"/>
      <c r="J9" s="302" t="s">
        <v>187</v>
      </c>
      <c r="K9" s="303"/>
      <c r="L9" s="304" t="s">
        <v>188</v>
      </c>
      <c r="M9" s="305"/>
      <c r="N9" s="305"/>
      <c r="O9" s="306"/>
      <c r="P9" s="307" t="s">
        <v>42</v>
      </c>
    </row>
    <row r="10" spans="1:18" s="11" customFormat="1" ht="20.100000000000001" customHeight="1">
      <c r="A10" s="310"/>
      <c r="B10" s="215" t="s">
        <v>31</v>
      </c>
      <c r="C10" s="215" t="s">
        <v>4</v>
      </c>
      <c r="D10" s="215" t="s">
        <v>5</v>
      </c>
      <c r="E10" s="215" t="s">
        <v>32</v>
      </c>
      <c r="F10" s="216" t="s">
        <v>189</v>
      </c>
      <c r="G10" s="216" t="s">
        <v>187</v>
      </c>
      <c r="H10" s="216" t="s">
        <v>4</v>
      </c>
      <c r="I10" s="216" t="s">
        <v>5</v>
      </c>
      <c r="J10" s="217" t="s">
        <v>4</v>
      </c>
      <c r="K10" s="217" t="s">
        <v>5</v>
      </c>
      <c r="L10" s="215" t="s">
        <v>31</v>
      </c>
      <c r="M10" s="215" t="s">
        <v>4</v>
      </c>
      <c r="N10" s="215" t="s">
        <v>5</v>
      </c>
      <c r="O10" s="215" t="s">
        <v>32</v>
      </c>
      <c r="P10" s="308"/>
    </row>
    <row r="11" spans="1:18" s="11" customFormat="1" ht="20.100000000000001" customHeight="1">
      <c r="A11" s="97" t="s">
        <v>129</v>
      </c>
      <c r="B11" s="58"/>
      <c r="C11" s="58"/>
      <c r="D11" s="58"/>
      <c r="E11" s="145">
        <f>B11+C11-D11</f>
        <v>0</v>
      </c>
      <c r="F11" s="58"/>
      <c r="G11" s="58"/>
      <c r="H11" s="58"/>
      <c r="I11" s="58"/>
      <c r="J11" s="58"/>
      <c r="K11" s="58"/>
      <c r="L11" s="139">
        <f>B11+F11+G11</f>
        <v>0</v>
      </c>
      <c r="M11" s="139">
        <f>C11+H11+J11</f>
        <v>0</v>
      </c>
      <c r="N11" s="139">
        <f>D11+I11+K11</f>
        <v>0</v>
      </c>
      <c r="O11" s="139">
        <f>L11+M11-N11</f>
        <v>0</v>
      </c>
      <c r="P11" s="58"/>
    </row>
    <row r="12" spans="1:18" s="11" customFormat="1" ht="20.100000000000001" customHeight="1">
      <c r="A12" s="97" t="s">
        <v>130</v>
      </c>
      <c r="B12" s="58"/>
      <c r="C12" s="58"/>
      <c r="D12" s="58"/>
      <c r="E12" s="145">
        <f t="shared" ref="E12:E15" si="0">B12+C12-D12</f>
        <v>0</v>
      </c>
      <c r="F12" s="58"/>
      <c r="G12" s="58"/>
      <c r="H12" s="58"/>
      <c r="I12" s="58"/>
      <c r="J12" s="58"/>
      <c r="K12" s="58"/>
      <c r="L12" s="139">
        <f>B12+F12+G12</f>
        <v>0</v>
      </c>
      <c r="M12" s="139">
        <f t="shared" ref="M12:N15" si="1">C12+H12+J12</f>
        <v>0</v>
      </c>
      <c r="N12" s="139">
        <f t="shared" si="1"/>
        <v>0</v>
      </c>
      <c r="O12" s="139">
        <f t="shared" ref="O12:O15" si="2">L12+M12-N12</f>
        <v>0</v>
      </c>
      <c r="P12" s="58"/>
    </row>
    <row r="13" spans="1:18" s="11" customFormat="1" ht="20.100000000000001" customHeight="1">
      <c r="A13" s="97" t="s">
        <v>131</v>
      </c>
      <c r="B13" s="58"/>
      <c r="C13" s="58"/>
      <c r="D13" s="58"/>
      <c r="E13" s="145">
        <f t="shared" si="0"/>
        <v>0</v>
      </c>
      <c r="F13" s="58"/>
      <c r="G13" s="58"/>
      <c r="H13" s="58"/>
      <c r="I13" s="58"/>
      <c r="J13" s="58"/>
      <c r="K13" s="58"/>
      <c r="L13" s="139">
        <f>B13+F13+G13</f>
        <v>0</v>
      </c>
      <c r="M13" s="139">
        <f t="shared" si="1"/>
        <v>0</v>
      </c>
      <c r="N13" s="139">
        <f t="shared" si="1"/>
        <v>0</v>
      </c>
      <c r="O13" s="139">
        <f t="shared" si="2"/>
        <v>0</v>
      </c>
      <c r="P13" s="58"/>
    </row>
    <row r="14" spans="1:18" s="11" customFormat="1" ht="20.100000000000001" customHeight="1">
      <c r="A14" s="97" t="s">
        <v>132</v>
      </c>
      <c r="B14" s="58"/>
      <c r="C14" s="58"/>
      <c r="D14" s="58"/>
      <c r="E14" s="145">
        <f t="shared" si="0"/>
        <v>0</v>
      </c>
      <c r="F14" s="58"/>
      <c r="G14" s="58"/>
      <c r="H14" s="58"/>
      <c r="I14" s="58"/>
      <c r="J14" s="58"/>
      <c r="K14" s="58"/>
      <c r="L14" s="139">
        <f>B14+F14+G14</f>
        <v>0</v>
      </c>
      <c r="M14" s="139">
        <f t="shared" si="1"/>
        <v>0</v>
      </c>
      <c r="N14" s="139">
        <f t="shared" si="1"/>
        <v>0</v>
      </c>
      <c r="O14" s="139">
        <f t="shared" si="2"/>
        <v>0</v>
      </c>
      <c r="P14" s="58"/>
    </row>
    <row r="15" spans="1:18" s="12" customFormat="1" ht="20.100000000000001" customHeight="1">
      <c r="A15" s="74"/>
      <c r="B15" s="58"/>
      <c r="C15" s="58"/>
      <c r="D15" s="58"/>
      <c r="E15" s="145">
        <f t="shared" si="0"/>
        <v>0</v>
      </c>
      <c r="F15" s="58"/>
      <c r="G15" s="58"/>
      <c r="H15" s="58"/>
      <c r="I15" s="58"/>
      <c r="J15" s="58"/>
      <c r="K15" s="58"/>
      <c r="L15" s="139">
        <f>B15+F15+G15</f>
        <v>0</v>
      </c>
      <c r="M15" s="139">
        <f t="shared" si="1"/>
        <v>0</v>
      </c>
      <c r="N15" s="139">
        <f t="shared" si="1"/>
        <v>0</v>
      </c>
      <c r="O15" s="139">
        <f t="shared" si="2"/>
        <v>0</v>
      </c>
      <c r="P15" s="58"/>
    </row>
    <row r="16" spans="1:18" s="12" customFormat="1" ht="20.100000000000001" customHeight="1">
      <c r="A16" s="234" t="s">
        <v>1</v>
      </c>
      <c r="B16" s="145">
        <f>SUM(B11:B15)</f>
        <v>0</v>
      </c>
      <c r="C16" s="145">
        <f t="shared" ref="C16:O16" si="3">SUM(C11:C15)</f>
        <v>0</v>
      </c>
      <c r="D16" s="145">
        <f t="shared" si="3"/>
        <v>0</v>
      </c>
      <c r="E16" s="145">
        <f t="shared" si="3"/>
        <v>0</v>
      </c>
      <c r="F16" s="145">
        <f t="shared" si="3"/>
        <v>0</v>
      </c>
      <c r="G16" s="145">
        <f t="shared" si="3"/>
        <v>0</v>
      </c>
      <c r="H16" s="145">
        <f t="shared" si="3"/>
        <v>0</v>
      </c>
      <c r="I16" s="145">
        <f t="shared" si="3"/>
        <v>0</v>
      </c>
      <c r="J16" s="145">
        <f t="shared" si="3"/>
        <v>0</v>
      </c>
      <c r="K16" s="145">
        <f t="shared" si="3"/>
        <v>0</v>
      </c>
      <c r="L16" s="145">
        <f t="shared" si="3"/>
        <v>0</v>
      </c>
      <c r="M16" s="145">
        <f t="shared" si="3"/>
        <v>0</v>
      </c>
      <c r="N16" s="145">
        <f t="shared" si="3"/>
        <v>0</v>
      </c>
      <c r="O16" s="145">
        <f t="shared" si="3"/>
        <v>0</v>
      </c>
      <c r="P16" s="235"/>
    </row>
    <row r="17" spans="1:16" s="11" customFormat="1" ht="20.100000000000001" customHeight="1">
      <c r="A17" s="75" t="s">
        <v>46</v>
      </c>
      <c r="B17" s="13"/>
      <c r="C17" s="13"/>
      <c r="D17" s="13"/>
      <c r="E17" s="13"/>
      <c r="F17" s="13"/>
      <c r="G17" s="13"/>
      <c r="H17" s="13"/>
      <c r="I17" s="13"/>
      <c r="J17" s="59"/>
      <c r="K17" s="59"/>
      <c r="L17" s="59"/>
      <c r="M17" s="59"/>
      <c r="N17" s="59"/>
      <c r="O17" s="59"/>
      <c r="P17" s="59"/>
    </row>
    <row r="18" spans="1:16" s="11" customFormat="1" ht="20.100000000000001" customHeight="1">
      <c r="A18" s="75"/>
      <c r="B18" s="10"/>
      <c r="C18" s="10"/>
      <c r="D18" s="10"/>
      <c r="E18" s="10"/>
      <c r="F18" s="10"/>
      <c r="G18" s="10"/>
      <c r="H18" s="10"/>
      <c r="I18" s="10"/>
    </row>
    <row r="19" spans="1:16" s="11" customFormat="1" ht="20.100000000000001" customHeight="1">
      <c r="A19" s="75"/>
      <c r="B19" s="10"/>
      <c r="C19" s="10"/>
      <c r="D19" s="10"/>
      <c r="E19" s="10"/>
      <c r="F19" s="10"/>
      <c r="G19" s="10"/>
      <c r="H19" s="10"/>
      <c r="I19" s="10"/>
    </row>
    <row r="20" spans="1:16" s="11" customFormat="1" ht="20.100000000000001" customHeight="1">
      <c r="A20" s="75" t="s">
        <v>47</v>
      </c>
      <c r="B20" s="10"/>
      <c r="C20" s="10"/>
      <c r="D20" s="10"/>
      <c r="E20" s="10"/>
      <c r="F20" s="10"/>
      <c r="G20" s="10"/>
      <c r="H20" s="10"/>
      <c r="I20" s="10"/>
    </row>
    <row r="21" spans="1:16" s="11" customFormat="1" ht="20.100000000000001" customHeight="1">
      <c r="A21" s="24"/>
      <c r="B21" s="10"/>
      <c r="C21" s="10"/>
      <c r="D21" s="10"/>
      <c r="E21" s="10"/>
      <c r="F21" s="10"/>
      <c r="G21" s="10"/>
      <c r="H21" s="10"/>
      <c r="I21" s="10"/>
    </row>
    <row r="22" spans="1:16" s="11" customFormat="1" ht="20.100000000000001" customHeight="1">
      <c r="A22" s="10"/>
      <c r="B22" s="10"/>
      <c r="C22" s="10"/>
      <c r="D22" s="10"/>
      <c r="E22" s="10"/>
      <c r="F22" s="10"/>
      <c r="G22" s="10"/>
      <c r="H22" s="10"/>
      <c r="I22" s="10"/>
    </row>
    <row r="23" spans="1:16" s="11" customFormat="1" ht="18" customHeight="1"/>
    <row r="24" spans="1:16" s="11" customFormat="1" ht="18" customHeight="1">
      <c r="A24" s="218" t="s">
        <v>53</v>
      </c>
      <c r="B24" s="219"/>
      <c r="C24" s="219"/>
      <c r="D24" s="219"/>
      <c r="E24" s="219"/>
      <c r="F24" s="219"/>
      <c r="G24" s="219"/>
      <c r="H24" s="219"/>
      <c r="I24" s="219"/>
    </row>
    <row r="25" spans="1:16" s="11" customFormat="1" ht="15" customHeight="1">
      <c r="A25" s="218" t="s">
        <v>191</v>
      </c>
      <c r="B25" s="219"/>
      <c r="C25" s="219"/>
      <c r="D25" s="219"/>
      <c r="E25" s="219"/>
      <c r="F25" s="219"/>
      <c r="G25" s="219"/>
      <c r="H25" s="219"/>
      <c r="I25" s="219"/>
    </row>
    <row r="26" spans="1:16" s="11" customFormat="1" ht="15" customHeight="1"/>
    <row r="27" spans="1:16" s="11" customFormat="1" ht="15" customHeight="1"/>
    <row r="28" spans="1:16" s="11" customFormat="1" ht="15" customHeight="1"/>
    <row r="29" spans="1:16" s="11" customFormat="1" ht="15" customHeight="1"/>
  </sheetData>
  <mergeCells count="9">
    <mergeCell ref="A1:P1"/>
    <mergeCell ref="A2:P2"/>
    <mergeCell ref="J9:K9"/>
    <mergeCell ref="L9:O9"/>
    <mergeCell ref="P9:P10"/>
    <mergeCell ref="A9:A10"/>
    <mergeCell ref="B9:E9"/>
    <mergeCell ref="F9:G9"/>
    <mergeCell ref="H9:I9"/>
  </mergeCells>
  <phoneticPr fontId="29" type="noConversion"/>
  <hyperlinks>
    <hyperlink ref="P3" location="底稿目录!A1" display="底稿目录!A1"/>
  </hyperlinks>
  <printOptions horizontalCentered="1"/>
  <pageMargins left="0.74803149606299213" right="0.55118110236220474" top="0.98425196850393704" bottom="0.23622047244094491" header="0.51181102362204722" footer="0.19685039370078741"/>
  <pageSetup paperSize="9" scale="79" fitToHeight="100" orientation="landscape" blackAndWhite="1" cellComments="atEnd" r:id="rId1"/>
  <headerFooter alignWithMargins="0">
    <oddFooter>&amp;C&amp;P/&amp;N</oddFooter>
  </headerFooter>
  <rowBreaks count="1" manualBreakCount="1">
    <brk id="21" max="15" man="1"/>
  </rowBreaks>
  <drawing r:id="rId2"/>
  <legacyDrawing r:id="rId3"/>
  <oleObjects>
    <mc:AlternateContent xmlns:mc="http://schemas.openxmlformats.org/markup-compatibility/2006">
      <mc:Choice Requires="x14">
        <oleObject progId="Document" dvAspect="DVASPECT_ICON" shapeId="1025" r:id="rId4">
          <objectPr defaultSize="0" r:id="rId5">
            <anchor moveWithCells="1">
              <from>
                <xdr:col>0</xdr:col>
                <xdr:colOff>0</xdr:colOff>
                <xdr:row>26</xdr:row>
                <xdr:rowOff>0</xdr:rowOff>
              </from>
              <to>
                <xdr:col>0</xdr:col>
                <xdr:colOff>914400</xdr:colOff>
                <xdr:row>29</xdr:row>
                <xdr:rowOff>114300</xdr:rowOff>
              </to>
            </anchor>
          </objectPr>
        </oleObject>
      </mc:Choice>
      <mc:Fallback>
        <oleObject progId="Document" dvAspect="DVASPECT_ICON" shapeId="1025" r:id="rId4"/>
      </mc:Fallback>
    </mc:AlternateContent>
  </oleObjec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dimension ref="A1:J21"/>
  <sheetViews>
    <sheetView view="pageBreakPreview" zoomScaleNormal="100" zoomScaleSheetLayoutView="100" workbookViewId="0">
      <selection sqref="A1:J1"/>
    </sheetView>
  </sheetViews>
  <sheetFormatPr defaultColWidth="8.88671875" defaultRowHeight="15.6"/>
  <cols>
    <col min="1" max="1" width="23" style="89" customWidth="1"/>
    <col min="2" max="2" width="23.5546875" style="89" customWidth="1"/>
    <col min="3" max="3" width="12.109375" style="89" customWidth="1"/>
    <col min="4" max="4" width="14.5546875" style="89" customWidth="1"/>
    <col min="5" max="5" width="19.109375" style="89" customWidth="1"/>
    <col min="6" max="6" width="12" style="89" customWidth="1"/>
    <col min="7" max="9" width="8.88671875" style="89"/>
    <col min="10" max="10" width="16.88671875" style="89" customWidth="1"/>
    <col min="11" max="16384" width="8.88671875" style="89"/>
  </cols>
  <sheetData>
    <row r="1" spans="1:10" ht="19.95" customHeight="1">
      <c r="A1" s="315" t="s">
        <v>0</v>
      </c>
      <c r="B1" s="315"/>
      <c r="C1" s="315"/>
      <c r="D1" s="315"/>
      <c r="E1" s="315"/>
      <c r="F1" s="315"/>
      <c r="G1" s="315"/>
      <c r="H1" s="315"/>
      <c r="I1" s="315"/>
      <c r="J1" s="315"/>
    </row>
    <row r="2" spans="1:10" ht="19.95" customHeight="1">
      <c r="A2" s="283" t="s">
        <v>73</v>
      </c>
      <c r="B2" s="283"/>
      <c r="C2" s="283"/>
      <c r="D2" s="316"/>
      <c r="E2" s="316"/>
      <c r="F2" s="316"/>
      <c r="G2" s="316"/>
      <c r="H2" s="316"/>
      <c r="I2" s="316"/>
      <c r="J2" s="316"/>
    </row>
    <row r="3" spans="1:10" ht="19.95" customHeight="1">
      <c r="A3" s="47" t="str">
        <f>底稿目录!A2</f>
        <v>被审计单位：</v>
      </c>
      <c r="C3" s="47" t="str">
        <f>底稿目录!A4</f>
        <v>编制人：</v>
      </c>
      <c r="E3" s="47"/>
      <c r="F3" s="47" t="str">
        <f>底稿目录!A5</f>
        <v>编制日期：</v>
      </c>
      <c r="G3" s="47"/>
      <c r="H3" s="90"/>
      <c r="I3" s="91" t="s">
        <v>63</v>
      </c>
      <c r="J3" s="243" t="str">
        <f>底稿目录!D10</f>
        <v>K4-3</v>
      </c>
    </row>
    <row r="4" spans="1:10" ht="19.95" customHeight="1">
      <c r="A4" s="47" t="str">
        <f>底稿目录!A3</f>
        <v>截止日：202X年12月31日</v>
      </c>
      <c r="C4" s="47" t="str">
        <f>底稿目录!A6</f>
        <v>复核人：</v>
      </c>
      <c r="E4" s="47"/>
      <c r="F4" s="47" t="str">
        <f>底稿目录!A7</f>
        <v>复核日期：</v>
      </c>
      <c r="G4" s="47"/>
      <c r="H4" s="47"/>
      <c r="I4" s="91" t="s">
        <v>64</v>
      </c>
      <c r="J4" s="92"/>
    </row>
    <row r="5" spans="1:10" ht="28.8" customHeight="1">
      <c r="A5" s="93" t="s">
        <v>65</v>
      </c>
      <c r="B5" s="146" t="s">
        <v>66</v>
      </c>
      <c r="C5" s="94" t="s">
        <v>133</v>
      </c>
      <c r="D5" s="94" t="s">
        <v>67</v>
      </c>
      <c r="E5" s="94" t="s">
        <v>68</v>
      </c>
      <c r="F5" s="95" t="s">
        <v>69</v>
      </c>
      <c r="G5" s="94" t="s">
        <v>70</v>
      </c>
      <c r="H5" s="94" t="s">
        <v>71</v>
      </c>
      <c r="I5" s="94" t="s">
        <v>72</v>
      </c>
      <c r="J5" s="94" t="s">
        <v>42</v>
      </c>
    </row>
    <row r="6" spans="1:10" ht="19.95" customHeight="1">
      <c r="A6" s="183"/>
      <c r="B6" s="183"/>
      <c r="C6" s="171"/>
      <c r="D6" s="183"/>
      <c r="E6" s="183"/>
      <c r="F6" s="183"/>
      <c r="G6" s="184"/>
      <c r="H6" s="184"/>
      <c r="I6" s="185"/>
      <c r="J6" s="183"/>
    </row>
    <row r="7" spans="1:10" ht="19.95" customHeight="1">
      <c r="A7" s="183"/>
      <c r="B7" s="183"/>
      <c r="C7" s="171"/>
      <c r="D7" s="183"/>
      <c r="E7" s="183"/>
      <c r="F7" s="183"/>
      <c r="G7" s="184"/>
      <c r="H7" s="184"/>
      <c r="I7" s="185"/>
      <c r="J7" s="183"/>
    </row>
    <row r="8" spans="1:10" ht="19.95" customHeight="1">
      <c r="A8" s="183"/>
      <c r="B8" s="183"/>
      <c r="C8" s="171"/>
      <c r="D8" s="183"/>
      <c r="E8" s="183"/>
      <c r="F8" s="183"/>
      <c r="G8" s="184"/>
      <c r="H8" s="184"/>
      <c r="I8" s="185"/>
      <c r="J8" s="183"/>
    </row>
    <row r="9" spans="1:10" ht="19.95" customHeight="1">
      <c r="A9" s="183"/>
      <c r="B9" s="183"/>
      <c r="C9" s="171"/>
      <c r="D9" s="183"/>
      <c r="E9" s="183"/>
      <c r="F9" s="183"/>
      <c r="G9" s="184"/>
      <c r="H9" s="184"/>
      <c r="I9" s="185"/>
      <c r="J9" s="183"/>
    </row>
    <row r="10" spans="1:10" ht="19.95" customHeight="1">
      <c r="A10" s="183"/>
      <c r="B10" s="183"/>
      <c r="C10" s="171"/>
      <c r="D10" s="183"/>
      <c r="E10" s="183"/>
      <c r="F10" s="183"/>
      <c r="G10" s="184"/>
      <c r="H10" s="184"/>
      <c r="I10" s="185"/>
      <c r="J10" s="183"/>
    </row>
    <row r="11" spans="1:10" ht="19.95" customHeight="1">
      <c r="A11" s="183"/>
      <c r="B11" s="183"/>
      <c r="C11" s="171"/>
      <c r="D11" s="183"/>
      <c r="E11" s="183"/>
      <c r="F11" s="183"/>
      <c r="G11" s="184"/>
      <c r="H11" s="184"/>
      <c r="I11" s="185"/>
      <c r="J11" s="183"/>
    </row>
    <row r="12" spans="1:10" ht="19.95" customHeight="1">
      <c r="A12" s="183"/>
      <c r="B12" s="183"/>
      <c r="C12" s="171"/>
      <c r="D12" s="183"/>
      <c r="E12" s="183"/>
      <c r="F12" s="183"/>
      <c r="G12" s="184"/>
      <c r="H12" s="184"/>
      <c r="I12" s="185"/>
      <c r="J12" s="183"/>
    </row>
    <row r="13" spans="1:10" ht="19.95" customHeight="1">
      <c r="A13" s="183"/>
      <c r="B13" s="183"/>
      <c r="C13" s="171"/>
      <c r="D13" s="183"/>
      <c r="E13" s="183"/>
      <c r="F13" s="183"/>
      <c r="G13" s="184"/>
      <c r="H13" s="184"/>
      <c r="I13" s="185"/>
      <c r="J13" s="183"/>
    </row>
    <row r="14" spans="1:10" ht="19.95" customHeight="1">
      <c r="A14" s="183"/>
      <c r="B14" s="183"/>
      <c r="C14" s="171"/>
      <c r="D14" s="183"/>
      <c r="E14" s="183"/>
      <c r="F14" s="183"/>
      <c r="G14" s="184"/>
      <c r="H14" s="184"/>
      <c r="I14" s="185"/>
      <c r="J14" s="183"/>
    </row>
    <row r="15" spans="1:10" ht="19.95" customHeight="1">
      <c r="A15" s="183"/>
      <c r="B15" s="183"/>
      <c r="C15" s="171"/>
      <c r="D15" s="183"/>
      <c r="E15" s="183"/>
      <c r="F15" s="183"/>
      <c r="G15" s="184"/>
      <c r="H15" s="184"/>
      <c r="I15" s="185"/>
      <c r="J15" s="183"/>
    </row>
    <row r="16" spans="1:10" ht="19.95" customHeight="1">
      <c r="A16" s="183"/>
      <c r="B16" s="183"/>
      <c r="C16" s="171"/>
      <c r="D16" s="183"/>
      <c r="E16" s="183"/>
      <c r="F16" s="183"/>
      <c r="G16" s="184"/>
      <c r="H16" s="184"/>
      <c r="I16" s="185"/>
      <c r="J16" s="183"/>
    </row>
    <row r="17" spans="1:10" ht="19.95" customHeight="1">
      <c r="A17" s="183"/>
      <c r="B17" s="183"/>
      <c r="C17" s="171"/>
      <c r="D17" s="183"/>
      <c r="E17" s="183"/>
      <c r="F17" s="183"/>
      <c r="G17" s="184"/>
      <c r="H17" s="184"/>
      <c r="I17" s="185"/>
      <c r="J17" s="183"/>
    </row>
    <row r="18" spans="1:10" ht="19.95" customHeight="1">
      <c r="A18" s="183"/>
      <c r="B18" s="183"/>
      <c r="C18" s="171"/>
      <c r="D18" s="183"/>
      <c r="E18" s="183"/>
      <c r="F18" s="183"/>
      <c r="G18" s="184"/>
      <c r="H18" s="184"/>
      <c r="I18" s="185"/>
      <c r="J18" s="183"/>
    </row>
    <row r="19" spans="1:10" ht="19.95" customHeight="1">
      <c r="A19" s="183"/>
      <c r="B19" s="183"/>
      <c r="C19" s="171"/>
      <c r="D19" s="183"/>
      <c r="E19" s="183"/>
      <c r="F19" s="183"/>
      <c r="G19" s="184"/>
      <c r="H19" s="184"/>
      <c r="I19" s="185"/>
      <c r="J19" s="183"/>
    </row>
    <row r="20" spans="1:10" ht="19.95" customHeight="1">
      <c r="A20" s="183"/>
      <c r="B20" s="183"/>
      <c r="C20" s="171"/>
      <c r="D20" s="183"/>
      <c r="E20" s="183"/>
      <c r="F20" s="183"/>
      <c r="G20" s="184"/>
      <c r="H20" s="184"/>
      <c r="I20" s="185"/>
      <c r="J20" s="183"/>
    </row>
    <row r="21" spans="1:10" ht="37.200000000000003" customHeight="1">
      <c r="A21" s="317" t="s">
        <v>190</v>
      </c>
      <c r="B21" s="318"/>
      <c r="C21" s="318"/>
      <c r="D21" s="318"/>
      <c r="E21" s="318"/>
      <c r="F21" s="318"/>
      <c r="G21" s="318"/>
      <c r="H21" s="318"/>
      <c r="I21" s="318"/>
      <c r="J21" s="318"/>
    </row>
  </sheetData>
  <mergeCells count="3">
    <mergeCell ref="A1:J1"/>
    <mergeCell ref="A2:J2"/>
    <mergeCell ref="A21:J21"/>
  </mergeCells>
  <phoneticPr fontId="53" type="noConversion"/>
  <dataValidations count="1">
    <dataValidation type="list" allowBlank="1" showInputMessage="1" showErrorMessage="1" sqref="B6:B20">
      <formula1>"账项调整,报表调整,其他"</formula1>
    </dataValidation>
  </dataValidations>
  <hyperlinks>
    <hyperlink ref="J3" location="底稿目录!A1" display="底稿目录!A1"/>
  </hyperlinks>
  <pageMargins left="0.70866141732283472" right="0.70866141732283472" top="0.74803149606299213" bottom="0.74803149606299213" header="0.31496062992125984" footer="0.31496062992125984"/>
  <pageSetup paperSize="9" scale="95" orientation="landscape" blackAndWhite="1" r:id="rId1"/>
  <headerFooter>
    <oddFooter>&amp;C&amp;P/&amp;N</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dimension ref="A1:Q46"/>
  <sheetViews>
    <sheetView view="pageBreakPreview" zoomScaleSheetLayoutView="100" workbookViewId="0">
      <selection activeCell="Q3" sqref="Q3"/>
    </sheetView>
  </sheetViews>
  <sheetFormatPr defaultColWidth="9.109375" defaultRowHeight="15.6"/>
  <cols>
    <col min="1" max="1" width="12.44140625" style="27" customWidth="1"/>
    <col min="2" max="2" width="9.33203125" style="27" customWidth="1"/>
    <col min="3" max="3" width="9.77734375" style="27" customWidth="1"/>
    <col min="4" max="4" width="23.77734375" style="27" customWidth="1"/>
    <col min="5" max="5" width="12.6640625" style="27" customWidth="1"/>
    <col min="6" max="6" width="19.109375" style="27" customWidth="1"/>
    <col min="7" max="7" width="11.88671875" style="27" customWidth="1"/>
    <col min="8" max="8" width="13.21875" style="27" customWidth="1"/>
    <col min="9" max="9" width="26.109375" style="27" customWidth="1"/>
    <col min="10" max="14" width="4.6640625" style="27" customWidth="1"/>
    <col min="15" max="15" width="9.5546875" style="27" customWidth="1"/>
    <col min="16" max="16" width="8" style="27" customWidth="1"/>
    <col min="17" max="17" width="16.44140625" style="27" customWidth="1"/>
    <col min="18" max="16384" width="9.109375" style="27"/>
  </cols>
  <sheetData>
    <row r="1" spans="1:17" s="15" customFormat="1" ht="19.95" customHeight="1">
      <c r="A1" s="319" t="s">
        <v>0</v>
      </c>
      <c r="B1" s="319"/>
      <c r="C1" s="319"/>
      <c r="D1" s="319"/>
      <c r="E1" s="319"/>
      <c r="F1" s="319"/>
      <c r="G1" s="319"/>
      <c r="H1" s="319"/>
      <c r="I1" s="319"/>
      <c r="J1" s="319"/>
      <c r="K1" s="319"/>
      <c r="L1" s="319"/>
      <c r="M1" s="319"/>
      <c r="N1" s="319"/>
      <c r="O1" s="319"/>
      <c r="P1" s="319"/>
      <c r="Q1" s="319"/>
    </row>
    <row r="2" spans="1:17" s="15" customFormat="1" ht="19.95" customHeight="1">
      <c r="A2" s="320" t="s">
        <v>221</v>
      </c>
      <c r="B2" s="320"/>
      <c r="C2" s="320"/>
      <c r="D2" s="320"/>
      <c r="E2" s="320"/>
      <c r="F2" s="320"/>
      <c r="G2" s="320"/>
      <c r="H2" s="320"/>
      <c r="I2" s="320"/>
      <c r="J2" s="320"/>
      <c r="K2" s="320"/>
      <c r="L2" s="320"/>
      <c r="M2" s="320"/>
      <c r="N2" s="320"/>
      <c r="O2" s="320"/>
      <c r="P2" s="320"/>
      <c r="Q2" s="320"/>
    </row>
    <row r="3" spans="1:17" s="10" customFormat="1" ht="19.95" customHeight="1">
      <c r="A3" s="2" t="str">
        <f>底稿目录!A2</f>
        <v>被审计单位：</v>
      </c>
      <c r="B3" s="2"/>
      <c r="E3" s="3" t="str">
        <f>底稿目录!A4</f>
        <v>编制人：</v>
      </c>
      <c r="I3" s="2" t="str">
        <f>底稿目录!A5</f>
        <v>编制日期：</v>
      </c>
      <c r="P3" s="2" t="s">
        <v>96</v>
      </c>
      <c r="Q3" s="243" t="str">
        <f>底稿目录!D11</f>
        <v>K4-4</v>
      </c>
    </row>
    <row r="4" spans="1:17" s="10" customFormat="1" ht="19.95" customHeight="1">
      <c r="A4" s="2" t="str">
        <f>底稿目录!A3</f>
        <v>截止日：202X年12月31日</v>
      </c>
      <c r="B4" s="4"/>
      <c r="E4" s="3" t="str">
        <f>底稿目录!A6</f>
        <v>复核人：</v>
      </c>
      <c r="I4" s="2" t="str">
        <f>底稿目录!A7</f>
        <v>复核日期：</v>
      </c>
      <c r="P4" s="2" t="s">
        <v>44</v>
      </c>
      <c r="Q4" s="2"/>
    </row>
    <row r="5" spans="1:17" s="18" customFormat="1" ht="19.95" customHeight="1">
      <c r="A5" s="172" t="s">
        <v>134</v>
      </c>
      <c r="B5" s="173"/>
      <c r="C5" s="173"/>
      <c r="D5" s="173"/>
      <c r="E5" s="173"/>
      <c r="F5" s="173"/>
      <c r="G5" s="173"/>
      <c r="H5" s="173"/>
      <c r="I5" s="173"/>
      <c r="J5" s="173"/>
      <c r="K5" s="173"/>
      <c r="L5" s="173"/>
      <c r="M5" s="173"/>
    </row>
    <row r="6" spans="1:17" s="18" customFormat="1" ht="19.95" customHeight="1">
      <c r="A6" s="174" t="s">
        <v>135</v>
      </c>
      <c r="B6" s="175"/>
      <c r="C6" s="175"/>
      <c r="D6" s="175"/>
      <c r="F6" s="174" t="s">
        <v>136</v>
      </c>
      <c r="G6" s="175"/>
      <c r="I6" s="174"/>
      <c r="K6" s="175"/>
      <c r="L6" s="175"/>
      <c r="M6" s="175"/>
    </row>
    <row r="7" spans="1:17" s="18" customFormat="1" ht="19.95" customHeight="1">
      <c r="A7" s="174" t="s">
        <v>137</v>
      </c>
      <c r="B7" s="175"/>
      <c r="C7" s="175"/>
      <c r="D7" s="175"/>
      <c r="E7" s="174"/>
      <c r="G7" s="175"/>
      <c r="I7" s="174"/>
      <c r="K7" s="175"/>
      <c r="L7" s="175"/>
      <c r="M7" s="175"/>
    </row>
    <row r="8" spans="1:17" s="18" customFormat="1" ht="19.95" customHeight="1">
      <c r="A8" s="17" t="s">
        <v>48</v>
      </c>
      <c r="B8" s="17"/>
      <c r="C8" s="17"/>
      <c r="D8" s="17"/>
      <c r="E8" s="17"/>
      <c r="G8" s="17"/>
      <c r="H8" s="17"/>
      <c r="I8" s="17"/>
      <c r="J8" s="17"/>
    </row>
    <row r="9" spans="1:17" s="18" customFormat="1" ht="19.95" customHeight="1">
      <c r="A9" s="176" t="s">
        <v>155</v>
      </c>
      <c r="B9" s="177" t="s">
        <v>161</v>
      </c>
      <c r="C9" s="71"/>
      <c r="D9" s="71"/>
      <c r="E9" s="71"/>
      <c r="G9" s="176" t="s">
        <v>156</v>
      </c>
      <c r="H9" s="177" t="s">
        <v>164</v>
      </c>
      <c r="I9" s="71"/>
      <c r="L9" s="178"/>
      <c r="M9" s="178"/>
      <c r="N9" s="178"/>
    </row>
    <row r="10" spans="1:17" s="18" customFormat="1" ht="19.95" customHeight="1">
      <c r="A10" s="176" t="s">
        <v>157</v>
      </c>
      <c r="B10" s="177" t="s">
        <v>162</v>
      </c>
      <c r="C10" s="71"/>
      <c r="D10" s="71"/>
      <c r="E10" s="71"/>
      <c r="G10" s="176" t="s">
        <v>158</v>
      </c>
      <c r="I10" s="177" t="s">
        <v>220</v>
      </c>
      <c r="J10" s="177"/>
      <c r="L10" s="178"/>
      <c r="M10" s="176"/>
      <c r="N10" s="179"/>
    </row>
    <row r="11" spans="1:17" s="18" customFormat="1" ht="19.95" customHeight="1">
      <c r="A11" s="176" t="s">
        <v>159</v>
      </c>
      <c r="B11" s="251" t="s">
        <v>242</v>
      </c>
      <c r="C11" s="71"/>
      <c r="D11" s="71"/>
      <c r="E11" s="71"/>
      <c r="G11" s="176" t="s">
        <v>160</v>
      </c>
      <c r="H11" s="177" t="s">
        <v>163</v>
      </c>
      <c r="I11" s="71"/>
      <c r="K11" s="178" t="s">
        <v>140</v>
      </c>
      <c r="L11" s="178"/>
      <c r="M11" s="176"/>
      <c r="N11" s="179"/>
    </row>
    <row r="12" spans="1:17" s="34" customFormat="1" ht="19.95" customHeight="1">
      <c r="A12" s="60" t="s">
        <v>49</v>
      </c>
      <c r="B12" s="19"/>
      <c r="C12" s="19"/>
      <c r="D12" s="20"/>
      <c r="E12" s="21"/>
      <c r="G12" s="18"/>
      <c r="H12" s="18"/>
      <c r="I12" s="18"/>
      <c r="J12" s="18"/>
      <c r="K12" s="18"/>
      <c r="L12" s="18"/>
      <c r="M12" s="18"/>
      <c r="N12" s="18"/>
      <c r="O12" s="18"/>
    </row>
    <row r="13" spans="1:17" s="34" customFormat="1" ht="19.95" customHeight="1">
      <c r="A13" s="223" t="s">
        <v>195</v>
      </c>
      <c r="B13" s="19"/>
      <c r="C13" s="19"/>
      <c r="D13" s="20"/>
      <c r="E13" s="21"/>
      <c r="G13" s="18"/>
      <c r="H13" s="18"/>
      <c r="I13" s="18"/>
      <c r="J13" s="18"/>
      <c r="K13" s="18"/>
      <c r="L13" s="18"/>
      <c r="M13" s="18"/>
      <c r="N13" s="18"/>
      <c r="O13" s="18"/>
    </row>
    <row r="14" spans="1:17" s="10" customFormat="1" ht="19.95" customHeight="1">
      <c r="A14" s="321" t="s">
        <v>208</v>
      </c>
      <c r="B14" s="327" t="s">
        <v>209</v>
      </c>
      <c r="C14" s="327"/>
      <c r="D14" s="327"/>
      <c r="E14" s="327"/>
      <c r="F14" s="327"/>
      <c r="G14" s="327"/>
      <c r="H14" s="327"/>
      <c r="I14" s="328" t="s">
        <v>210</v>
      </c>
      <c r="J14" s="330" t="s">
        <v>211</v>
      </c>
      <c r="K14" s="331"/>
      <c r="L14" s="331"/>
      <c r="M14" s="331"/>
      <c r="N14" s="331"/>
      <c r="O14" s="332" t="s">
        <v>212</v>
      </c>
      <c r="P14" s="325" t="s">
        <v>213</v>
      </c>
      <c r="Q14" s="323" t="s">
        <v>214</v>
      </c>
    </row>
    <row r="15" spans="1:17" s="10" customFormat="1" ht="19.95" customHeight="1">
      <c r="A15" s="322"/>
      <c r="B15" s="245" t="s">
        <v>167</v>
      </c>
      <c r="C15" s="245" t="s">
        <v>168</v>
      </c>
      <c r="D15" s="245" t="s">
        <v>215</v>
      </c>
      <c r="E15" s="245" t="s">
        <v>216</v>
      </c>
      <c r="F15" s="245" t="s">
        <v>217</v>
      </c>
      <c r="G15" s="246" t="s">
        <v>218</v>
      </c>
      <c r="H15" s="246" t="s">
        <v>219</v>
      </c>
      <c r="I15" s="329"/>
      <c r="J15" s="236">
        <v>1</v>
      </c>
      <c r="K15" s="236">
        <v>2</v>
      </c>
      <c r="L15" s="236">
        <v>3</v>
      </c>
      <c r="M15" s="236">
        <v>4</v>
      </c>
      <c r="N15" s="236">
        <v>5</v>
      </c>
      <c r="O15" s="332"/>
      <c r="P15" s="326"/>
      <c r="Q15" s="324"/>
    </row>
    <row r="16" spans="1:17" s="10" customFormat="1" ht="19.95" customHeight="1">
      <c r="A16" s="182"/>
      <c r="B16" s="196"/>
      <c r="C16" s="197"/>
      <c r="D16" s="239"/>
      <c r="E16" s="239"/>
      <c r="F16" s="239"/>
      <c r="G16" s="198"/>
      <c r="H16" s="198"/>
      <c r="I16" s="240"/>
      <c r="J16" s="237"/>
      <c r="K16" s="237"/>
      <c r="L16" s="237"/>
      <c r="M16" s="237"/>
      <c r="N16" s="237"/>
      <c r="O16" s="238"/>
      <c r="P16" s="199"/>
      <c r="Q16" s="199"/>
    </row>
    <row r="17" spans="1:17" s="10" customFormat="1" ht="19.95" customHeight="1">
      <c r="A17" s="182"/>
      <c r="B17" s="196"/>
      <c r="C17" s="197"/>
      <c r="D17" s="239"/>
      <c r="E17" s="239"/>
      <c r="F17" s="239"/>
      <c r="G17" s="198"/>
      <c r="H17" s="198"/>
      <c r="I17" s="240"/>
      <c r="J17" s="237"/>
      <c r="K17" s="237"/>
      <c r="L17" s="237"/>
      <c r="M17" s="237"/>
      <c r="N17" s="237"/>
      <c r="O17" s="238"/>
      <c r="P17" s="199"/>
      <c r="Q17" s="199"/>
    </row>
    <row r="18" spans="1:17" s="10" customFormat="1" ht="19.95" customHeight="1">
      <c r="A18" s="182"/>
      <c r="B18" s="196"/>
      <c r="C18" s="197"/>
      <c r="D18" s="239"/>
      <c r="E18" s="239"/>
      <c r="F18" s="239"/>
      <c r="G18" s="198"/>
      <c r="H18" s="198"/>
      <c r="I18" s="240"/>
      <c r="J18" s="237"/>
      <c r="K18" s="237"/>
      <c r="L18" s="237"/>
      <c r="M18" s="237"/>
      <c r="N18" s="237"/>
      <c r="O18" s="238"/>
      <c r="P18" s="199"/>
      <c r="Q18" s="199"/>
    </row>
    <row r="19" spans="1:17" s="10" customFormat="1" ht="19.95" customHeight="1">
      <c r="A19" s="182"/>
      <c r="B19" s="196"/>
      <c r="C19" s="197"/>
      <c r="D19" s="239"/>
      <c r="E19" s="239"/>
      <c r="F19" s="239"/>
      <c r="G19" s="198"/>
      <c r="H19" s="198"/>
      <c r="I19" s="240"/>
      <c r="J19" s="237"/>
      <c r="K19" s="237"/>
      <c r="L19" s="237"/>
      <c r="M19" s="237"/>
      <c r="N19" s="237"/>
      <c r="O19" s="238"/>
      <c r="P19" s="199"/>
      <c r="Q19" s="199"/>
    </row>
    <row r="20" spans="1:17" s="10" customFormat="1" ht="19.95" customHeight="1">
      <c r="A20" s="182"/>
      <c r="B20" s="196"/>
      <c r="C20" s="197"/>
      <c r="D20" s="239"/>
      <c r="E20" s="239"/>
      <c r="F20" s="239"/>
      <c r="G20" s="198"/>
      <c r="H20" s="198"/>
      <c r="I20" s="240"/>
      <c r="J20" s="237"/>
      <c r="K20" s="237"/>
      <c r="L20" s="237"/>
      <c r="M20" s="237"/>
      <c r="N20" s="237"/>
      <c r="O20" s="238"/>
      <c r="P20" s="199"/>
      <c r="Q20" s="199"/>
    </row>
    <row r="21" spans="1:17" s="10" customFormat="1" ht="19.95" customHeight="1">
      <c r="A21" s="182"/>
      <c r="B21" s="196"/>
      <c r="C21" s="197"/>
      <c r="D21" s="239"/>
      <c r="E21" s="239"/>
      <c r="F21" s="239"/>
      <c r="G21" s="198"/>
      <c r="H21" s="198"/>
      <c r="I21" s="240"/>
      <c r="J21" s="237"/>
      <c r="K21" s="237"/>
      <c r="L21" s="237"/>
      <c r="M21" s="237"/>
      <c r="N21" s="237"/>
      <c r="O21" s="238"/>
      <c r="P21" s="199"/>
      <c r="Q21" s="199"/>
    </row>
    <row r="22" spans="1:17" s="10" customFormat="1" ht="19.95" customHeight="1">
      <c r="A22" s="182"/>
      <c r="B22" s="196"/>
      <c r="C22" s="197"/>
      <c r="D22" s="239"/>
      <c r="E22" s="239"/>
      <c r="F22" s="239"/>
      <c r="G22" s="198"/>
      <c r="H22" s="198"/>
      <c r="I22" s="240"/>
      <c r="J22" s="237"/>
      <c r="K22" s="237"/>
      <c r="L22" s="237"/>
      <c r="M22" s="237"/>
      <c r="N22" s="237"/>
      <c r="O22" s="238"/>
      <c r="P22" s="199"/>
      <c r="Q22" s="199"/>
    </row>
    <row r="23" spans="1:17" s="10" customFormat="1" ht="19.95" customHeight="1">
      <c r="A23" s="182"/>
      <c r="B23" s="196"/>
      <c r="C23" s="197"/>
      <c r="D23" s="239"/>
      <c r="E23" s="239"/>
      <c r="F23" s="239"/>
      <c r="G23" s="198"/>
      <c r="H23" s="198"/>
      <c r="I23" s="240"/>
      <c r="J23" s="237"/>
      <c r="K23" s="237"/>
      <c r="L23" s="237"/>
      <c r="M23" s="237"/>
      <c r="N23" s="237"/>
      <c r="O23" s="238"/>
      <c r="P23" s="199"/>
      <c r="Q23" s="199"/>
    </row>
    <row r="24" spans="1:17" s="10" customFormat="1" ht="19.95" customHeight="1">
      <c r="A24" s="182"/>
      <c r="B24" s="196"/>
      <c r="C24" s="197"/>
      <c r="D24" s="239"/>
      <c r="E24" s="239"/>
      <c r="F24" s="239"/>
      <c r="G24" s="198"/>
      <c r="H24" s="198"/>
      <c r="I24" s="240"/>
      <c r="J24" s="237"/>
      <c r="K24" s="237"/>
      <c r="L24" s="237"/>
      <c r="M24" s="237"/>
      <c r="N24" s="237"/>
      <c r="O24" s="238"/>
      <c r="P24" s="199"/>
      <c r="Q24" s="199"/>
    </row>
    <row r="25" spans="1:17" s="10" customFormat="1" ht="19.95" customHeight="1">
      <c r="A25" s="182"/>
      <c r="B25" s="196"/>
      <c r="C25" s="197"/>
      <c r="D25" s="239"/>
      <c r="E25" s="239"/>
      <c r="F25" s="239"/>
      <c r="G25" s="198"/>
      <c r="H25" s="198"/>
      <c r="I25" s="240"/>
      <c r="J25" s="237"/>
      <c r="K25" s="237"/>
      <c r="L25" s="237"/>
      <c r="M25" s="237"/>
      <c r="N25" s="237"/>
      <c r="O25" s="238"/>
      <c r="P25" s="199"/>
      <c r="Q25" s="199"/>
    </row>
    <row r="26" spans="1:17" s="10" customFormat="1" ht="19.95" customHeight="1">
      <c r="A26" s="182"/>
      <c r="B26" s="196"/>
      <c r="C26" s="197"/>
      <c r="D26" s="239"/>
      <c r="E26" s="239"/>
      <c r="F26" s="239"/>
      <c r="G26" s="198"/>
      <c r="H26" s="198"/>
      <c r="I26" s="240"/>
      <c r="J26" s="237"/>
      <c r="K26" s="237"/>
      <c r="L26" s="237"/>
      <c r="M26" s="237"/>
      <c r="N26" s="237"/>
      <c r="O26" s="238"/>
      <c r="P26" s="199"/>
      <c r="Q26" s="199"/>
    </row>
    <row r="27" spans="1:17" s="10" customFormat="1" ht="19.95" customHeight="1">
      <c r="A27" s="182"/>
      <c r="B27" s="196"/>
      <c r="C27" s="197"/>
      <c r="D27" s="239"/>
      <c r="E27" s="239"/>
      <c r="F27" s="239"/>
      <c r="G27" s="198"/>
      <c r="H27" s="198"/>
      <c r="I27" s="240"/>
      <c r="J27" s="237"/>
      <c r="K27" s="237"/>
      <c r="L27" s="237"/>
      <c r="M27" s="237"/>
      <c r="N27" s="237"/>
      <c r="O27" s="238"/>
      <c r="P27" s="199"/>
      <c r="Q27" s="199"/>
    </row>
    <row r="28" spans="1:17" s="10" customFormat="1" ht="19.95" customHeight="1">
      <c r="A28" s="182"/>
      <c r="B28" s="196"/>
      <c r="C28" s="197"/>
      <c r="D28" s="239"/>
      <c r="E28" s="239"/>
      <c r="F28" s="239"/>
      <c r="G28" s="198"/>
      <c r="H28" s="198"/>
      <c r="I28" s="240"/>
      <c r="J28" s="237"/>
      <c r="K28" s="237"/>
      <c r="L28" s="237"/>
      <c r="M28" s="237"/>
      <c r="N28" s="237"/>
      <c r="O28" s="238"/>
      <c r="P28" s="199"/>
      <c r="Q28" s="199"/>
    </row>
    <row r="29" spans="1:17" s="10" customFormat="1" ht="19.95" customHeight="1">
      <c r="A29" s="195" t="s">
        <v>169</v>
      </c>
      <c r="B29" s="200"/>
      <c r="C29" s="200"/>
      <c r="D29" s="200"/>
      <c r="E29" s="200"/>
      <c r="F29" s="200"/>
      <c r="G29" s="201">
        <f>SUM(G16:G28)</f>
        <v>0</v>
      </c>
      <c r="H29" s="201">
        <f>SUM(H16:H28)</f>
        <v>0</v>
      </c>
      <c r="I29" s="202"/>
      <c r="J29" s="202"/>
      <c r="K29" s="202"/>
      <c r="L29" s="201"/>
      <c r="M29" s="202"/>
      <c r="N29" s="202"/>
      <c r="O29" s="201"/>
      <c r="P29" s="202"/>
      <c r="Q29" s="202"/>
    </row>
    <row r="30" spans="1:17" s="10" customFormat="1" ht="19.95" customHeight="1">
      <c r="A30" s="76" t="s">
        <v>50</v>
      </c>
      <c r="B30" s="13"/>
      <c r="C30" s="13"/>
      <c r="D30" s="13"/>
      <c r="E30" s="13"/>
      <c r="F30" s="13"/>
      <c r="H30" s="77"/>
      <c r="I30" s="194"/>
      <c r="J30" s="194"/>
      <c r="K30" s="22"/>
      <c r="L30" s="22"/>
      <c r="M30" s="22"/>
      <c r="N30" s="61"/>
    </row>
    <row r="31" spans="1:17" s="10" customFormat="1" ht="19.95" customHeight="1">
      <c r="A31" s="10" t="s">
        <v>243</v>
      </c>
      <c r="C31" s="71"/>
      <c r="D31" s="253" t="s">
        <v>244</v>
      </c>
      <c r="E31" s="253" t="s">
        <v>245</v>
      </c>
      <c r="F31" s="253" t="s">
        <v>246</v>
      </c>
      <c r="G31" s="253" t="s">
        <v>247</v>
      </c>
      <c r="H31" s="254" t="s">
        <v>248</v>
      </c>
      <c r="I31" s="194"/>
      <c r="J31" s="194"/>
      <c r="K31" s="248"/>
      <c r="L31" s="248"/>
      <c r="M31" s="248"/>
      <c r="N31" s="252"/>
    </row>
    <row r="32" spans="1:17" s="10" customFormat="1" ht="19.95" customHeight="1">
      <c r="A32" s="24"/>
      <c r="B32" s="24"/>
      <c r="C32" s="71"/>
      <c r="D32" s="253" t="s">
        <v>249</v>
      </c>
      <c r="E32" s="255">
        <f>'明细表 K4-2'!N16</f>
        <v>0</v>
      </c>
      <c r="F32" s="255">
        <f>G29</f>
        <v>0</v>
      </c>
      <c r="G32" s="256" t="e">
        <f>ROUND(F32/E32,4)</f>
        <v>#DIV/0!</v>
      </c>
      <c r="H32" s="186"/>
      <c r="I32" s="194"/>
      <c r="J32" s="194"/>
      <c r="K32" s="248"/>
      <c r="L32" s="248"/>
      <c r="M32" s="248"/>
      <c r="N32" s="252"/>
    </row>
    <row r="33" spans="1:14" s="10" customFormat="1" ht="19.95" customHeight="1">
      <c r="A33" s="24"/>
      <c r="B33" s="24"/>
      <c r="C33" s="71"/>
      <c r="D33" s="253" t="s">
        <v>250</v>
      </c>
      <c r="E33" s="255">
        <f>'明细表 K4-2'!M16</f>
        <v>0</v>
      </c>
      <c r="F33" s="255">
        <f>H29</f>
        <v>0</v>
      </c>
      <c r="G33" s="256" t="e">
        <f>ROUND(F33/E33,2)</f>
        <v>#DIV/0!</v>
      </c>
      <c r="H33" s="186"/>
      <c r="I33" s="194"/>
      <c r="J33" s="194"/>
      <c r="K33" s="248"/>
      <c r="L33" s="248"/>
      <c r="M33" s="248"/>
      <c r="N33" s="252"/>
    </row>
    <row r="34" spans="1:14" s="10" customFormat="1" ht="19.95" customHeight="1">
      <c r="A34" s="231" t="s">
        <v>251</v>
      </c>
      <c r="B34" s="24"/>
      <c r="C34" s="71"/>
      <c r="D34" s="257"/>
      <c r="E34" s="258"/>
      <c r="F34" s="258"/>
      <c r="G34" s="259"/>
      <c r="H34" s="186"/>
      <c r="I34" s="194"/>
      <c r="J34" s="194"/>
      <c r="K34" s="23"/>
      <c r="L34" s="23"/>
      <c r="M34" s="23"/>
      <c r="N34" s="16"/>
    </row>
    <row r="35" spans="1:14" s="24" customFormat="1" ht="19.95" customHeight="1">
      <c r="I35" s="194"/>
      <c r="J35" s="194"/>
      <c r="K35" s="25"/>
      <c r="L35" s="25"/>
      <c r="M35" s="25"/>
      <c r="N35" s="25"/>
    </row>
    <row r="36" spans="1:14" s="10" customFormat="1" ht="19.95" customHeight="1">
      <c r="A36" s="24" t="s">
        <v>51</v>
      </c>
      <c r="G36" s="16"/>
      <c r="H36" s="16"/>
      <c r="I36" s="16"/>
      <c r="J36" s="16"/>
      <c r="K36" s="16"/>
      <c r="L36" s="16"/>
      <c r="M36" s="16"/>
      <c r="N36" s="16"/>
    </row>
    <row r="37" spans="1:14" s="10" customFormat="1" ht="19.95" customHeight="1">
      <c r="G37" s="16"/>
      <c r="H37" s="16"/>
      <c r="I37" s="16"/>
      <c r="J37" s="16"/>
      <c r="K37" s="16"/>
      <c r="L37" s="16"/>
      <c r="M37" s="16"/>
      <c r="N37" s="16"/>
    </row>
    <row r="38" spans="1:14" s="10" customFormat="1" ht="18" customHeight="1">
      <c r="A38" s="23"/>
      <c r="C38" s="16"/>
      <c r="D38" s="16"/>
      <c r="E38" s="16"/>
      <c r="F38" s="16"/>
      <c r="G38" s="16"/>
      <c r="H38" s="16"/>
      <c r="I38" s="16"/>
      <c r="J38" s="16"/>
      <c r="K38" s="16"/>
      <c r="L38" s="16"/>
      <c r="M38" s="16"/>
      <c r="N38" s="16"/>
    </row>
    <row r="39" spans="1:14" s="10" customFormat="1" ht="18" customHeight="1">
      <c r="A39" s="23"/>
      <c r="C39" s="16"/>
      <c r="D39" s="16"/>
      <c r="E39" s="16"/>
      <c r="F39" s="16"/>
      <c r="G39" s="16"/>
      <c r="H39" s="16"/>
      <c r="I39" s="16"/>
      <c r="J39" s="16"/>
      <c r="K39" s="16"/>
      <c r="L39" s="16"/>
      <c r="M39" s="16"/>
      <c r="N39" s="16"/>
    </row>
    <row r="40" spans="1:14" s="10" customFormat="1" ht="18" customHeight="1">
      <c r="A40" s="78"/>
    </row>
    <row r="41" spans="1:14" ht="18" customHeight="1">
      <c r="A41" s="26"/>
      <c r="B41" s="26"/>
      <c r="C41" s="10"/>
      <c r="D41" s="10"/>
      <c r="E41" s="10"/>
    </row>
    <row r="42" spans="1:14" ht="18" customHeight="1">
      <c r="A42" s="28"/>
      <c r="B42" s="28"/>
      <c r="C42" s="10"/>
      <c r="D42" s="10"/>
      <c r="E42" s="10"/>
    </row>
    <row r="43" spans="1:14" ht="18" customHeight="1">
      <c r="A43" s="79"/>
      <c r="B43" s="28"/>
      <c r="C43" s="10"/>
      <c r="D43" s="10"/>
      <c r="E43" s="10"/>
    </row>
    <row r="44" spans="1:14" ht="18" customHeight="1">
      <c r="A44" s="29"/>
      <c r="B44" s="28"/>
    </row>
    <row r="45" spans="1:14" ht="18" customHeight="1">
      <c r="A45" s="29"/>
      <c r="B45" s="28"/>
    </row>
    <row r="46" spans="1:14" ht="18" customHeight="1">
      <c r="A46" s="29"/>
      <c r="B46" s="28"/>
    </row>
  </sheetData>
  <mergeCells count="9">
    <mergeCell ref="A1:Q1"/>
    <mergeCell ref="A2:Q2"/>
    <mergeCell ref="A14:A15"/>
    <mergeCell ref="Q14:Q15"/>
    <mergeCell ref="P14:P15"/>
    <mergeCell ref="B14:H14"/>
    <mergeCell ref="I14:I15"/>
    <mergeCell ref="J14:N14"/>
    <mergeCell ref="O14:O15"/>
  </mergeCells>
  <phoneticPr fontId="5" type="noConversion"/>
  <dataValidations count="1">
    <dataValidation type="list" allowBlank="1" showInputMessage="1" showErrorMessage="1" sqref="J16:N28">
      <formula1>"√,X"</formula1>
    </dataValidation>
  </dataValidations>
  <hyperlinks>
    <hyperlink ref="Q3" location="底稿目录!A1" display="底稿目录!A1"/>
  </hyperlinks>
  <printOptions horizontalCentered="1"/>
  <pageMargins left="0.74803149606299213" right="0.55118110236220474" top="0.98425196850393704" bottom="0.23622047244094491" header="0.51181102362204722" footer="0.19685039370078741"/>
  <pageSetup paperSize="9" scale="63" fitToHeight="100" orientation="landscape" blackAndWhite="1" cellComments="atEnd"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8</vt:i4>
      </vt:variant>
      <vt:variant>
        <vt:lpstr>命名范围</vt:lpstr>
      </vt:variant>
      <vt:variant>
        <vt:i4>8</vt:i4>
      </vt:variant>
    </vt:vector>
  </HeadingPairs>
  <TitlesOfParts>
    <vt:vector size="16" baseType="lpstr">
      <vt:lpstr>底稿目录</vt:lpstr>
      <vt:lpstr>实质性程序表 K4A</vt:lpstr>
      <vt:lpstr>审定表 K4-1</vt:lpstr>
      <vt:lpstr>附注披露信息（上市公司）</vt:lpstr>
      <vt:lpstr>附注披露信息（国企）</vt:lpstr>
      <vt:lpstr>明细表 K4-2</vt:lpstr>
      <vt:lpstr>调整分录汇总 K4-3</vt:lpstr>
      <vt:lpstr>其他流动负债检查表 K4-4</vt:lpstr>
      <vt:lpstr>'调整分录汇总 K4-3'!Print_Area</vt:lpstr>
      <vt:lpstr>'附注披露信息（国企）'!Print_Area</vt:lpstr>
      <vt:lpstr>'附注披露信息（上市公司）'!Print_Area</vt:lpstr>
      <vt:lpstr>'明细表 K4-2'!Print_Area</vt:lpstr>
      <vt:lpstr>'其他流动负债检查表 K4-4'!Print_Area</vt:lpstr>
      <vt:lpstr>'审定表 K4-1'!Print_Area</vt:lpstr>
      <vt:lpstr>'实质性程序表 K4A'!Print_Area</vt:lpstr>
      <vt:lpstr>'实质性程序表 K4A'!Print_Titles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李丽虹</dc:creator>
  <cp:lastModifiedBy>何先琴</cp:lastModifiedBy>
  <cp:lastPrinted>2025-10-22T02:15:12Z</cp:lastPrinted>
  <dcterms:created xsi:type="dcterms:W3CDTF">2013-12-07T13:07:57Z</dcterms:created>
  <dcterms:modified xsi:type="dcterms:W3CDTF">2025-11-05T07:15:19Z</dcterms:modified>
</cp:coreProperties>
</file>