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120" yWindow="-120" windowWidth="29040" windowHeight="15840" tabRatio="795"/>
  </bookViews>
  <sheets>
    <sheet name="底稿目录" sheetId="6" r:id="rId1"/>
    <sheet name="实质性程序表 K11A" sheetId="7" r:id="rId2"/>
    <sheet name="审定表K11-1" sheetId="1" r:id="rId3"/>
    <sheet name="附注披露信息（上市公司）" sheetId="10" r:id="rId4"/>
    <sheet name="附注披露信息（国企）" sheetId="9" r:id="rId5"/>
    <sheet name="明细表K11-2" sheetId="4" r:id="rId6"/>
    <sheet name="调整分录汇总K11-3" sheetId="8" r:id="rId7"/>
  </sheets>
  <definedNames>
    <definedName name="_xlnm._FilterDatabase" localSheetId="1">'实质性程序表 K11A'!$A$15:$I$22</definedName>
    <definedName name="_xlnm.Print_Area" localSheetId="6">'调整分录汇总K11-3'!$A$1:$J$20</definedName>
    <definedName name="_xlnm.Print_Area" localSheetId="4">'附注披露信息（国企）'!$A$1:$E$26</definedName>
    <definedName name="_xlnm.Print_Area" localSheetId="3">'附注披露信息（上市公司）'!$A$1:$E$26</definedName>
    <definedName name="_xlnm.Print_Area" localSheetId="5">'明细表K11-2'!$A$1:$Q$36</definedName>
    <definedName name="_xlnm.Print_Area" localSheetId="2">'审定表K11-1'!$A$1:$J$36</definedName>
    <definedName name="_xlnm.Print_Area" localSheetId="1">'实质性程序表 K11A'!$A$1:$I$22</definedName>
    <definedName name="_xlnm.Print_Titles" localSheetId="1">'实质性程序表 K11A'!$15:$15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4" l="1"/>
  <c r="E3" i="9"/>
  <c r="E3" i="10"/>
  <c r="D30" i="4" l="1"/>
  <c r="F30" i="4"/>
  <c r="G30" i="4"/>
  <c r="C30" i="4"/>
  <c r="O11" i="4" l="1"/>
  <c r="N11" i="4"/>
  <c r="H18" i="4"/>
  <c r="H20" i="4"/>
  <c r="E19" i="4"/>
  <c r="E15" i="4"/>
  <c r="E12" i="4"/>
  <c r="E11" i="4"/>
  <c r="H11" i="4"/>
  <c r="Q11" i="4" l="1"/>
  <c r="J3" i="8"/>
  <c r="C3" i="8"/>
  <c r="B4" i="9"/>
  <c r="B4" i="10"/>
  <c r="J3" i="1"/>
  <c r="I3" i="7"/>
  <c r="C4" i="10" l="1"/>
  <c r="C4" i="9"/>
  <c r="A4" i="9" l="1"/>
  <c r="C3" i="9"/>
  <c r="B3" i="9"/>
  <c r="A3" i="9"/>
  <c r="A4" i="10"/>
  <c r="C3" i="10"/>
  <c r="B3" i="10"/>
  <c r="A3" i="10"/>
  <c r="A8" i="1"/>
  <c r="A8" i="9" s="1"/>
  <c r="A9" i="1"/>
  <c r="A9" i="9" s="1"/>
  <c r="A10" i="1"/>
  <c r="A10" i="9" s="1"/>
  <c r="A11" i="1"/>
  <c r="A11" i="10" s="1"/>
  <c r="A12" i="1"/>
  <c r="A12" i="9" s="1"/>
  <c r="A13" i="1"/>
  <c r="A13" i="10" s="1"/>
  <c r="A14" i="1"/>
  <c r="A14" i="9" s="1"/>
  <c r="A15" i="1"/>
  <c r="A15" i="9" s="1"/>
  <c r="A16" i="1"/>
  <c r="A16" i="9" s="1"/>
  <c r="A17" i="1"/>
  <c r="A17" i="10" s="1"/>
  <c r="A18" i="1"/>
  <c r="A18" i="9" s="1"/>
  <c r="A19" i="1"/>
  <c r="A19" i="9" s="1"/>
  <c r="A20" i="1"/>
  <c r="A20" i="9" s="1"/>
  <c r="A21" i="1"/>
  <c r="A21" i="9" s="1"/>
  <c r="A22" i="1"/>
  <c r="A22" i="9" s="1"/>
  <c r="A23" i="1"/>
  <c r="A23" i="9" s="1"/>
  <c r="A24" i="9"/>
  <c r="A25" i="9"/>
  <c r="B8" i="1"/>
  <c r="C8" i="1"/>
  <c r="E8" i="1"/>
  <c r="F8" i="1"/>
  <c r="B9" i="1"/>
  <c r="C9" i="1"/>
  <c r="E9" i="1"/>
  <c r="F9" i="1"/>
  <c r="B10" i="1"/>
  <c r="C10" i="1"/>
  <c r="E10" i="1"/>
  <c r="F10" i="1"/>
  <c r="B11" i="1"/>
  <c r="C11" i="1"/>
  <c r="E11" i="1"/>
  <c r="F11" i="1"/>
  <c r="B12" i="1"/>
  <c r="C12" i="1"/>
  <c r="E12" i="1"/>
  <c r="F12" i="1"/>
  <c r="B13" i="1"/>
  <c r="C13" i="1"/>
  <c r="E13" i="1"/>
  <c r="F13" i="1"/>
  <c r="B14" i="1"/>
  <c r="C14" i="1"/>
  <c r="E14" i="1"/>
  <c r="F14" i="1"/>
  <c r="B15" i="1"/>
  <c r="C15" i="1"/>
  <c r="E15" i="1"/>
  <c r="F15" i="1"/>
  <c r="B16" i="1"/>
  <c r="C16" i="1"/>
  <c r="E16" i="1"/>
  <c r="F16" i="1"/>
  <c r="B17" i="1"/>
  <c r="C17" i="1"/>
  <c r="E17" i="1"/>
  <c r="F17" i="1"/>
  <c r="B18" i="1"/>
  <c r="C18" i="1"/>
  <c r="E18" i="1"/>
  <c r="F18" i="1"/>
  <c r="B19" i="1"/>
  <c r="C19" i="1"/>
  <c r="E19" i="1"/>
  <c r="F19" i="1"/>
  <c r="B20" i="1"/>
  <c r="C20" i="1"/>
  <c r="E20" i="1"/>
  <c r="F20" i="1"/>
  <c r="B21" i="1"/>
  <c r="C21" i="1"/>
  <c r="E21" i="1"/>
  <c r="F21" i="1"/>
  <c r="B22" i="1"/>
  <c r="C22" i="1"/>
  <c r="E22" i="1"/>
  <c r="F22" i="1"/>
  <c r="B23" i="1"/>
  <c r="C23" i="1"/>
  <c r="E23" i="1"/>
  <c r="F23" i="1"/>
  <c r="B24" i="1"/>
  <c r="C24" i="1"/>
  <c r="E24" i="1"/>
  <c r="F24" i="1"/>
  <c r="B25" i="1"/>
  <c r="C25" i="1"/>
  <c r="E25" i="1"/>
  <c r="F25" i="1"/>
  <c r="F7" i="1"/>
  <c r="E7" i="1"/>
  <c r="C7" i="1"/>
  <c r="B7" i="1"/>
  <c r="A7" i="1"/>
  <c r="A7" i="10" s="1"/>
  <c r="N12" i="4"/>
  <c r="O12" i="4"/>
  <c r="N13" i="4"/>
  <c r="O13" i="4"/>
  <c r="N14" i="4"/>
  <c r="O14" i="4"/>
  <c r="N15" i="4"/>
  <c r="O15" i="4"/>
  <c r="N16" i="4"/>
  <c r="O16" i="4"/>
  <c r="N17" i="4"/>
  <c r="O17" i="4"/>
  <c r="N18" i="4"/>
  <c r="O18" i="4"/>
  <c r="N19" i="4"/>
  <c r="O19" i="4"/>
  <c r="N20" i="4"/>
  <c r="O20" i="4"/>
  <c r="N21" i="4"/>
  <c r="O21" i="4"/>
  <c r="N22" i="4"/>
  <c r="O22" i="4"/>
  <c r="N23" i="4"/>
  <c r="O23" i="4"/>
  <c r="N24" i="4"/>
  <c r="O24" i="4"/>
  <c r="N25" i="4"/>
  <c r="O25" i="4"/>
  <c r="N26" i="4"/>
  <c r="O26" i="4"/>
  <c r="N27" i="4"/>
  <c r="O27" i="4"/>
  <c r="N28" i="4"/>
  <c r="O28" i="4"/>
  <c r="N29" i="4"/>
  <c r="O29" i="4"/>
  <c r="G8" i="1"/>
  <c r="H12" i="4"/>
  <c r="E13" i="4"/>
  <c r="H13" i="4"/>
  <c r="D9" i="1" s="1"/>
  <c r="E14" i="4"/>
  <c r="H14" i="4"/>
  <c r="D10" i="1" s="1"/>
  <c r="C10" i="10" s="1"/>
  <c r="G11" i="1"/>
  <c r="B11" i="10" s="1"/>
  <c r="H15" i="4"/>
  <c r="D11" i="1" s="1"/>
  <c r="E16" i="4"/>
  <c r="H16" i="4"/>
  <c r="E17" i="4"/>
  <c r="G13" i="1" s="1"/>
  <c r="H17" i="4"/>
  <c r="D13" i="1" s="1"/>
  <c r="C13" i="10" s="1"/>
  <c r="E18" i="4"/>
  <c r="G14" i="1" s="1"/>
  <c r="D14" i="1"/>
  <c r="C14" i="9" s="1"/>
  <c r="G15" i="1"/>
  <c r="H19" i="4"/>
  <c r="D15" i="1" s="1"/>
  <c r="C15" i="9" s="1"/>
  <c r="E20" i="4"/>
  <c r="G16" i="1" s="1"/>
  <c r="D16" i="1"/>
  <c r="E21" i="4"/>
  <c r="H21" i="4"/>
  <c r="D17" i="1" s="1"/>
  <c r="E22" i="4"/>
  <c r="H22" i="4"/>
  <c r="D18" i="1" s="1"/>
  <c r="E23" i="4"/>
  <c r="G19" i="1" s="1"/>
  <c r="H23" i="4"/>
  <c r="D19" i="1" s="1"/>
  <c r="E24" i="4"/>
  <c r="G20" i="1" s="1"/>
  <c r="H24" i="4"/>
  <c r="D20" i="1" s="1"/>
  <c r="C20" i="9" s="1"/>
  <c r="E25" i="4"/>
  <c r="G21" i="1" s="1"/>
  <c r="H25" i="4"/>
  <c r="D21" i="1" s="1"/>
  <c r="E26" i="4"/>
  <c r="G22" i="1" s="1"/>
  <c r="B22" i="9" s="1"/>
  <c r="H26" i="4"/>
  <c r="D22" i="1" s="1"/>
  <c r="E27" i="4"/>
  <c r="H27" i="4"/>
  <c r="D23" i="1" s="1"/>
  <c r="E28" i="4"/>
  <c r="H28" i="4"/>
  <c r="D24" i="1" s="1"/>
  <c r="E29" i="4"/>
  <c r="H29" i="4"/>
  <c r="D25" i="1" s="1"/>
  <c r="D7" i="1"/>
  <c r="F4" i="8"/>
  <c r="C4" i="8"/>
  <c r="A4" i="8"/>
  <c r="F3" i="8"/>
  <c r="A3" i="8"/>
  <c r="M30" i="4"/>
  <c r="L30" i="4"/>
  <c r="K30" i="4"/>
  <c r="J30" i="4"/>
  <c r="I4" i="4"/>
  <c r="D4" i="4"/>
  <c r="A4" i="4"/>
  <c r="I3" i="4"/>
  <c r="D3" i="4"/>
  <c r="A3" i="4"/>
  <c r="F4" i="1"/>
  <c r="C4" i="1"/>
  <c r="A4" i="1"/>
  <c r="F3" i="1"/>
  <c r="C3" i="1"/>
  <c r="A3" i="1"/>
  <c r="E4" i="7"/>
  <c r="C4" i="7"/>
  <c r="A4" i="7"/>
  <c r="E3" i="7"/>
  <c r="C3" i="7"/>
  <c r="A3" i="7"/>
  <c r="D8" i="1" l="1"/>
  <c r="C8" i="9" s="1"/>
  <c r="H30" i="4"/>
  <c r="E30" i="4"/>
  <c r="A14" i="10"/>
  <c r="A15" i="10"/>
  <c r="Q13" i="4"/>
  <c r="Q29" i="4"/>
  <c r="Q25" i="4"/>
  <c r="Q16" i="4"/>
  <c r="Q26" i="4"/>
  <c r="Q15" i="4"/>
  <c r="Q19" i="4"/>
  <c r="A20" i="10"/>
  <c r="A24" i="10"/>
  <c r="A25" i="10"/>
  <c r="G9" i="1"/>
  <c r="B9" i="10" s="1"/>
  <c r="Q23" i="4"/>
  <c r="Q14" i="4"/>
  <c r="A7" i="9"/>
  <c r="I15" i="1"/>
  <c r="H15" i="1"/>
  <c r="C24" i="9"/>
  <c r="C24" i="10"/>
  <c r="A18" i="10"/>
  <c r="Q28" i="4"/>
  <c r="Q27" i="4"/>
  <c r="G7" i="1"/>
  <c r="B7" i="9" s="1"/>
  <c r="C10" i="9"/>
  <c r="G25" i="1"/>
  <c r="B25" i="9" s="1"/>
  <c r="N30" i="4"/>
  <c r="A11" i="9"/>
  <c r="A13" i="9"/>
  <c r="Q22" i="4"/>
  <c r="G18" i="1"/>
  <c r="H18" i="1" s="1"/>
  <c r="A17" i="9"/>
  <c r="Q21" i="4"/>
  <c r="Q20" i="4"/>
  <c r="G10" i="1"/>
  <c r="B10" i="10" s="1"/>
  <c r="H16" i="1"/>
  <c r="I16" i="1" s="1"/>
  <c r="B16" i="9"/>
  <c r="B16" i="10"/>
  <c r="C25" i="9"/>
  <c r="C25" i="10"/>
  <c r="H14" i="1"/>
  <c r="I14" i="1" s="1"/>
  <c r="B14" i="9"/>
  <c r="B14" i="10"/>
  <c r="C23" i="9"/>
  <c r="C23" i="10"/>
  <c r="H13" i="1"/>
  <c r="B13" i="10"/>
  <c r="B13" i="9"/>
  <c r="H22" i="1"/>
  <c r="I22" i="1" s="1"/>
  <c r="C22" i="9"/>
  <c r="C22" i="10"/>
  <c r="C21" i="9"/>
  <c r="C21" i="10"/>
  <c r="C11" i="9"/>
  <c r="C11" i="10"/>
  <c r="H21" i="1"/>
  <c r="I21" i="1" s="1"/>
  <c r="B21" i="9"/>
  <c r="B21" i="10"/>
  <c r="H19" i="1"/>
  <c r="I19" i="1" s="1"/>
  <c r="B19" i="10"/>
  <c r="B19" i="9"/>
  <c r="C7" i="9"/>
  <c r="C7" i="10"/>
  <c r="B8" i="9"/>
  <c r="B8" i="10"/>
  <c r="H20" i="1"/>
  <c r="I20" i="1" s="1"/>
  <c r="B20" i="9"/>
  <c r="B20" i="10"/>
  <c r="C17" i="9"/>
  <c r="C17" i="10"/>
  <c r="C19" i="10"/>
  <c r="C19" i="9"/>
  <c r="C9" i="9"/>
  <c r="C9" i="10"/>
  <c r="C20" i="10"/>
  <c r="C13" i="9"/>
  <c r="Q12" i="4"/>
  <c r="A21" i="10"/>
  <c r="O30" i="4"/>
  <c r="G12" i="1"/>
  <c r="A8" i="10"/>
  <c r="C14" i="10"/>
  <c r="Q18" i="4"/>
  <c r="G23" i="1"/>
  <c r="C8" i="10"/>
  <c r="B15" i="10"/>
  <c r="A22" i="10"/>
  <c r="B26" i="1"/>
  <c r="B28" i="1" s="1"/>
  <c r="Q24" i="4"/>
  <c r="D12" i="1"/>
  <c r="A9" i="10"/>
  <c r="C15" i="10"/>
  <c r="B22" i="10"/>
  <c r="B15" i="9"/>
  <c r="Q17" i="4"/>
  <c r="A16" i="10"/>
  <c r="G17" i="1"/>
  <c r="A23" i="10"/>
  <c r="A10" i="10"/>
  <c r="C16" i="10"/>
  <c r="H11" i="1"/>
  <c r="I11" i="1" s="1"/>
  <c r="C16" i="9"/>
  <c r="F26" i="1"/>
  <c r="F28" i="1" s="1"/>
  <c r="E26" i="1"/>
  <c r="E28" i="1" s="1"/>
  <c r="G24" i="1"/>
  <c r="C26" i="1"/>
  <c r="C28" i="1" s="1"/>
  <c r="B11" i="9"/>
  <c r="A12" i="10"/>
  <c r="C18" i="10"/>
  <c r="A19" i="10"/>
  <c r="C18" i="9"/>
  <c r="I13" i="1"/>
  <c r="B9" i="9" l="1"/>
  <c r="H9" i="1"/>
  <c r="D26" i="1"/>
  <c r="D28" i="1" s="1"/>
  <c r="H8" i="1"/>
  <c r="I8" i="1" s="1"/>
  <c r="I18" i="1"/>
  <c r="I9" i="1"/>
  <c r="B10" i="9"/>
  <c r="B7" i="10"/>
  <c r="H10" i="1"/>
  <c r="I10" i="1" s="1"/>
  <c r="B18" i="9"/>
  <c r="B25" i="10"/>
  <c r="H25" i="1"/>
  <c r="I25" i="1" s="1"/>
  <c r="B18" i="10"/>
  <c r="H7" i="1"/>
  <c r="I7" i="1" s="1"/>
  <c r="C12" i="10"/>
  <c r="C26" i="10" s="1"/>
  <c r="C12" i="9"/>
  <c r="C26" i="9" s="1"/>
  <c r="H24" i="1"/>
  <c r="I24" i="1" s="1"/>
  <c r="B24" i="9"/>
  <c r="B24" i="10"/>
  <c r="B17" i="9"/>
  <c r="B17" i="10"/>
  <c r="H17" i="1"/>
  <c r="I17" i="1" s="1"/>
  <c r="B12" i="9"/>
  <c r="B12" i="10"/>
  <c r="H12" i="1"/>
  <c r="I12" i="1" s="1"/>
  <c r="H23" i="1"/>
  <c r="I23" i="1" s="1"/>
  <c r="B23" i="9"/>
  <c r="B23" i="10"/>
  <c r="G26" i="1"/>
  <c r="G28" i="1" s="1"/>
  <c r="H26" i="1" l="1"/>
  <c r="I26" i="1" s="1"/>
  <c r="B26" i="9"/>
  <c r="B26" i="10"/>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<sst xmlns="http://schemas.openxmlformats.org/spreadsheetml/2006/main" count="240" uniqueCount="212">
  <si>
    <r>
      <rPr>
        <b/>
        <sz val="12"/>
        <rFont val="宋体"/>
        <family val="3"/>
        <charset val="134"/>
      </rPr>
      <t>底稿开列时，可先在以下单元格填写有关内容，以便其他底稿引用有关数据：</t>
    </r>
  </si>
  <si>
    <r>
      <rPr>
        <b/>
        <sz val="12"/>
        <color indexed="8"/>
        <rFont val="宋体"/>
        <family val="3"/>
        <charset val="134"/>
      </rPr>
      <t>目录</t>
    </r>
  </si>
  <si>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</si>
  <si>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</si>
  <si>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</si>
  <si>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</si>
  <si>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r>
      <rPr>
        <u/>
        <sz val="10"/>
        <color indexed="12"/>
        <rFont val="宋体"/>
        <family val="3"/>
        <charset val="134"/>
      </rPr>
      <t>审定表</t>
    </r>
  </si>
  <si>
    <r>
      <rPr>
        <u/>
        <sz val="10"/>
        <color indexed="12"/>
        <rFont val="宋体"/>
        <family val="3"/>
        <charset val="134"/>
      </rPr>
      <t>附注披露信息</t>
    </r>
    <r>
      <rPr>
        <u/>
        <sz val="10"/>
        <color indexed="12"/>
        <rFont val="Arial Narrow"/>
        <family val="2"/>
      </rPr>
      <t>(</t>
    </r>
    <r>
      <rPr>
        <u/>
        <sz val="10"/>
        <color indexed="12"/>
        <rFont val="宋体"/>
        <family val="3"/>
        <charset val="134"/>
      </rPr>
      <t>国企）</t>
    </r>
  </si>
  <si>
    <r>
      <rPr>
        <u/>
        <sz val="10"/>
        <color indexed="12"/>
        <rFont val="宋体"/>
        <family val="3"/>
        <charset val="134"/>
      </rPr>
      <t>附注披露信息（上市公司）</t>
    </r>
  </si>
  <si>
    <r>
      <rPr>
        <u/>
        <sz val="10"/>
        <color indexed="12"/>
        <rFont val="宋体"/>
        <family val="3"/>
        <charset val="134"/>
      </rPr>
      <t>明细表</t>
    </r>
  </si>
  <si>
    <t>致同会计师事务所</t>
  </si>
  <si>
    <t>资产减值损失实质性程序</t>
  </si>
  <si>
    <r>
      <rPr>
        <sz val="10"/>
        <rFont val="宋体"/>
        <family val="3"/>
        <charset val="134"/>
      </rPr>
      <t>页次：</t>
    </r>
  </si>
  <si>
    <t>资产减值损失</t>
  </si>
  <si>
    <r>
      <rPr>
        <b/>
        <sz val="10"/>
        <rFont val="宋体"/>
        <family val="3"/>
        <charset val="134"/>
      </rPr>
      <t>财务报表的认定　</t>
    </r>
  </si>
  <si>
    <t>发生</t>
  </si>
  <si>
    <t>准确性</t>
  </si>
  <si>
    <t>截止</t>
  </si>
  <si>
    <t>√</t>
  </si>
  <si>
    <t>三、计划实施的实质性程序</t>
  </si>
  <si>
    <t>序号</t>
  </si>
  <si>
    <t>常规★</t>
  </si>
  <si>
    <t>2</t>
  </si>
  <si>
    <t>3</t>
  </si>
  <si>
    <t>5</t>
  </si>
  <si>
    <t>资产减值损失审定表</t>
  </si>
  <si>
    <r>
      <rPr>
        <b/>
        <sz val="10"/>
        <color indexed="8"/>
        <rFont val="宋体"/>
        <family val="3"/>
        <charset val="134"/>
      </rPr>
      <t>项目</t>
    </r>
  </si>
  <si>
    <t>上期数</t>
  </si>
  <si>
    <t>本期数</t>
  </si>
  <si>
    <t>本期审定数与上期
审定数的比较</t>
  </si>
  <si>
    <t>原因分析</t>
  </si>
  <si>
    <t>未审数</t>
  </si>
  <si>
    <t>账项调整</t>
  </si>
  <si>
    <t>审定数</t>
  </si>
  <si>
    <t>变动额</t>
  </si>
  <si>
    <t>变动率</t>
  </si>
  <si>
    <r>
      <rPr>
        <b/>
        <sz val="10"/>
        <color indexed="8"/>
        <rFont val="宋体"/>
        <family val="3"/>
        <charset val="134"/>
      </rPr>
      <t>合计</t>
    </r>
  </si>
  <si>
    <t>差异：</t>
  </si>
  <si>
    <r>
      <rPr>
        <sz val="10"/>
        <rFont val="宋体"/>
        <family val="3"/>
        <charset val="134"/>
      </rPr>
      <t>（</t>
    </r>
    <r>
      <rPr>
        <sz val="10"/>
        <rFont val="Arial Narrow"/>
        <family val="2"/>
      </rPr>
      <t>1</t>
    </r>
    <r>
      <rPr>
        <sz val="10"/>
        <rFont val="宋体"/>
        <family val="3"/>
        <charset val="134"/>
      </rPr>
      <t>）资产减值损失本期较上期增加（负数为减少）：</t>
    </r>
  </si>
  <si>
    <r>
      <rPr>
        <sz val="10"/>
        <rFont val="宋体"/>
        <family val="3"/>
        <charset val="134"/>
      </rPr>
      <t>主要原因</t>
    </r>
    <r>
      <rPr>
        <sz val="10"/>
        <color indexed="10"/>
        <rFont val="宋体"/>
        <family val="3"/>
        <charset val="134"/>
      </rPr>
      <t>（比例超过30%的）</t>
    </r>
    <r>
      <rPr>
        <sz val="10"/>
        <rFont val="宋体"/>
        <family val="3"/>
        <charset val="134"/>
      </rPr>
      <t>：</t>
    </r>
  </si>
  <si>
    <r>
      <rPr>
        <sz val="10"/>
        <rFont val="宋体"/>
        <family val="3"/>
        <charset val="134"/>
      </rPr>
      <t>（</t>
    </r>
    <r>
      <rPr>
        <sz val="10"/>
        <rFont val="Arial Narrow"/>
        <family val="2"/>
      </rPr>
      <t>2</t>
    </r>
    <r>
      <rPr>
        <sz val="10"/>
        <rFont val="宋体"/>
        <family val="3"/>
        <charset val="134"/>
      </rPr>
      <t>）情况说明。</t>
    </r>
  </si>
  <si>
    <t>本期发生额</t>
  </si>
  <si>
    <t>上期发生额</t>
  </si>
  <si>
    <t>资产减值损失明细表</t>
  </si>
  <si>
    <r>
      <rPr>
        <b/>
        <sz val="10"/>
        <color indexed="8"/>
        <rFont val="宋体"/>
        <family val="3"/>
        <charset val="134"/>
      </rPr>
      <t>一、审计目标</t>
    </r>
    <r>
      <rPr>
        <b/>
        <sz val="10"/>
        <color indexed="8"/>
        <rFont val="Arial Narrow"/>
        <family val="2"/>
      </rPr>
      <t>:</t>
    </r>
  </si>
  <si>
    <r>
      <rPr>
        <b/>
        <sz val="10"/>
        <rFont val="宋体"/>
        <family val="3"/>
        <charset val="134"/>
      </rPr>
      <t>二、审计过程：</t>
    </r>
  </si>
  <si>
    <t>资产减值损失项目内容</t>
  </si>
  <si>
    <t>本期未审合计</t>
  </si>
  <si>
    <t>本期审定金额</t>
  </si>
  <si>
    <t>上期未审合计</t>
  </si>
  <si>
    <t>上期审定金额</t>
  </si>
  <si>
    <t>对应科目</t>
  </si>
  <si>
    <t>对应科目-减值准备发生额</t>
  </si>
  <si>
    <t>核对</t>
  </si>
  <si>
    <t>期初金额</t>
  </si>
  <si>
    <t>本期计提</t>
  </si>
  <si>
    <t>本期转回</t>
  </si>
  <si>
    <t>本期转销</t>
  </si>
  <si>
    <t>期末金额</t>
  </si>
  <si>
    <t>本期计入资产减值损失金额</t>
  </si>
  <si>
    <t>索引号</t>
  </si>
  <si>
    <t>存货跌价准备</t>
  </si>
  <si>
    <t>持有待售资产减值准备</t>
  </si>
  <si>
    <t>长期股权投资减值准备</t>
  </si>
  <si>
    <t>投资性房地产减值准备</t>
  </si>
  <si>
    <t>固定资产减值准备</t>
  </si>
  <si>
    <t>工程物资减值准备</t>
  </si>
  <si>
    <t>在建工程减值准备</t>
  </si>
  <si>
    <t>生产性生物资产减值准备</t>
  </si>
  <si>
    <t>油气资产减值准备</t>
  </si>
  <si>
    <t>使用权资产减值准备</t>
  </si>
  <si>
    <t>无形资产减值准备</t>
  </si>
  <si>
    <t>商誉减值准备</t>
  </si>
  <si>
    <t>合计</t>
  </si>
  <si>
    <r>
      <rPr>
        <b/>
        <sz val="10"/>
        <rFont val="宋体"/>
        <family val="3"/>
        <charset val="134"/>
      </rPr>
      <t>三、审计说明：</t>
    </r>
  </si>
  <si>
    <r>
      <rPr>
        <b/>
        <sz val="10"/>
        <rFont val="宋体"/>
        <family val="3"/>
        <charset val="134"/>
      </rPr>
      <t>四、审计结论：</t>
    </r>
  </si>
  <si>
    <t>资产减值损失调整分录汇总表</t>
  </si>
  <si>
    <r>
      <rPr>
        <sz val="10"/>
        <color indexed="8"/>
        <rFont val="宋体"/>
        <family val="3"/>
        <charset val="134"/>
      </rPr>
      <t>索引号：</t>
    </r>
  </si>
  <si>
    <t>页次：</t>
  </si>
  <si>
    <t>调整事项说明</t>
  </si>
  <si>
    <t>类别（报表调整/账项调整/其他）</t>
  </si>
  <si>
    <t>科目名称</t>
  </si>
  <si>
    <t>附注项目</t>
  </si>
  <si>
    <t>……</t>
  </si>
  <si>
    <t>借方调整金额</t>
  </si>
  <si>
    <t>贷方调整金额</t>
  </si>
  <si>
    <t>索引</t>
  </si>
  <si>
    <t>备注</t>
  </si>
  <si>
    <t>合同资产减值损失</t>
    <phoneticPr fontId="56" type="noConversion"/>
  </si>
  <si>
    <t>存货跌价损失</t>
    <phoneticPr fontId="56" type="noConversion"/>
  </si>
  <si>
    <t>合同取得成本减值损失</t>
    <phoneticPr fontId="56" type="noConversion"/>
  </si>
  <si>
    <t>合同履约成本减值损失</t>
    <phoneticPr fontId="56" type="noConversion"/>
  </si>
  <si>
    <t>持有待售资产减值损失</t>
    <phoneticPr fontId="56" type="noConversion"/>
  </si>
  <si>
    <t>长期股权投资减值损失</t>
    <phoneticPr fontId="56" type="noConversion"/>
  </si>
  <si>
    <t>投资性房地产减值损失</t>
    <phoneticPr fontId="56" type="noConversion"/>
  </si>
  <si>
    <t>固定资产减值损失</t>
    <phoneticPr fontId="56" type="noConversion"/>
  </si>
  <si>
    <t>工程物资减值损失</t>
    <phoneticPr fontId="56" type="noConversion"/>
  </si>
  <si>
    <t>在建工程减值损失</t>
    <phoneticPr fontId="56" type="noConversion"/>
  </si>
  <si>
    <t>生产性生物资产减值损失</t>
    <phoneticPr fontId="56" type="noConversion"/>
  </si>
  <si>
    <t>油气资产减值损失</t>
    <phoneticPr fontId="56" type="noConversion"/>
  </si>
  <si>
    <t>使用权资产减值损失</t>
    <phoneticPr fontId="56" type="noConversion"/>
  </si>
  <si>
    <t>无形资产减值损失</t>
    <phoneticPr fontId="56" type="noConversion"/>
  </si>
  <si>
    <t>商誉减值损失</t>
    <phoneticPr fontId="56" type="noConversion"/>
  </si>
  <si>
    <t>其他</t>
    <phoneticPr fontId="56" type="noConversion"/>
  </si>
  <si>
    <t>附注披露信息（上市公司）</t>
    <phoneticPr fontId="20" type="noConversion"/>
  </si>
  <si>
    <t>说明：</t>
  </si>
  <si>
    <t>注：本科目明细表按照正数填列、披露表按照负数填列。</t>
    <phoneticPr fontId="20" type="noConversion"/>
  </si>
  <si>
    <t>附注披露信息(国企)</t>
    <phoneticPr fontId="20" type="noConversion"/>
  </si>
  <si>
    <t>项  目</t>
  </si>
  <si>
    <t>合  计</t>
  </si>
  <si>
    <r>
      <t>资产减值损失</t>
    </r>
    <r>
      <rPr>
        <sz val="10"/>
        <color indexed="12"/>
        <rFont val="宋体"/>
        <family val="3"/>
        <charset val="134"/>
        <scheme val="minor"/>
      </rPr>
      <t>（注：</t>
    </r>
    <r>
      <rPr>
        <b/>
        <sz val="10"/>
        <color indexed="12"/>
        <rFont val="宋体"/>
        <family val="3"/>
        <charset val="134"/>
        <scheme val="minor"/>
      </rPr>
      <t>损失以“—”号填列</t>
    </r>
    <r>
      <rPr>
        <sz val="10"/>
        <color indexed="12"/>
        <rFont val="宋体"/>
        <family val="3"/>
        <charset val="134"/>
        <scheme val="minor"/>
      </rPr>
      <t>，以下不存在的项目可以删除）</t>
    </r>
    <phoneticPr fontId="56" type="noConversion"/>
  </si>
  <si>
    <r>
      <t xml:space="preserve">      </t>
    </r>
    <r>
      <rPr>
        <b/>
        <sz val="10"/>
        <color indexed="8"/>
        <rFont val="宋体"/>
        <family val="3"/>
        <charset val="134"/>
      </rPr>
      <t>本期发生额</t>
    </r>
  </si>
  <si>
    <r>
      <t xml:space="preserve">     </t>
    </r>
    <r>
      <rPr>
        <b/>
        <sz val="10"/>
        <color indexed="8"/>
        <rFont val="宋体"/>
        <family val="3"/>
        <charset val="134"/>
      </rPr>
      <t>上期发生额</t>
    </r>
  </si>
  <si>
    <t>其他</t>
    <phoneticPr fontId="56" type="noConversion"/>
  </si>
  <si>
    <t xml:space="preserve"> ......</t>
    <phoneticPr fontId="56" type="noConversion"/>
  </si>
  <si>
    <t>索引号：</t>
    <phoneticPr fontId="56" type="noConversion"/>
  </si>
  <si>
    <r>
      <rPr>
        <sz val="10"/>
        <rFont val="宋体"/>
        <family val="3"/>
        <charset val="134"/>
      </rPr>
      <t>页次：</t>
    </r>
    <phoneticPr fontId="56" type="noConversion"/>
  </si>
  <si>
    <t>索引：</t>
    <phoneticPr fontId="56" type="noConversion"/>
  </si>
  <si>
    <t>页次：</t>
    <phoneticPr fontId="56" type="noConversion"/>
  </si>
  <si>
    <t>索引：</t>
    <phoneticPr fontId="20" type="noConversion"/>
  </si>
  <si>
    <t>页次：</t>
    <phoneticPr fontId="56" type="noConversion"/>
  </si>
  <si>
    <t>索引：</t>
    <phoneticPr fontId="20" type="noConversion"/>
  </si>
  <si>
    <t>页次：</t>
    <phoneticPr fontId="56" type="noConversion"/>
  </si>
  <si>
    <t>索引号：</t>
    <phoneticPr fontId="56" type="noConversion"/>
  </si>
  <si>
    <r>
      <rPr>
        <u/>
        <sz val="10"/>
        <color indexed="12"/>
        <rFont val="宋体"/>
        <family val="3"/>
        <charset val="134"/>
      </rPr>
      <t>调整分录汇总</t>
    </r>
  </si>
  <si>
    <t>合同取得成本相关资产减值准备</t>
  </si>
  <si>
    <t>合同履约成本相关资产减值准备</t>
  </si>
  <si>
    <t>其他权益工具投资减值损失</t>
    <phoneticPr fontId="56" type="noConversion"/>
  </si>
  <si>
    <t>其他权益工具投资减值准备</t>
    <phoneticPr fontId="56" type="noConversion"/>
  </si>
  <si>
    <t>其他非流动金融资产减值损失</t>
    <phoneticPr fontId="56" type="noConversion"/>
  </si>
  <si>
    <t>其他非流动金融资产减值准备</t>
    <phoneticPr fontId="56" type="noConversion"/>
  </si>
  <si>
    <t>合同资产坏账准备</t>
    <phoneticPr fontId="56" type="noConversion"/>
  </si>
  <si>
    <t>一、本账户涉及的科目</t>
  </si>
  <si>
    <t>二、审计目标与认定的对应关系</t>
  </si>
  <si>
    <t>发生</t>
    <phoneticPr fontId="20" type="noConversion"/>
  </si>
  <si>
    <t>序号</t>
    <phoneticPr fontId="20" type="noConversion"/>
  </si>
  <si>
    <t>程序分类</t>
    <phoneticPr fontId="20" type="noConversion"/>
  </si>
  <si>
    <t>审计程序</t>
    <phoneticPr fontId="20" type="noConversion"/>
  </si>
  <si>
    <t>完整性</t>
  </si>
  <si>
    <t>1</t>
    <phoneticPr fontId="20" type="noConversion"/>
  </si>
  <si>
    <t>常规★</t>
    <phoneticPr fontId="20" type="noConversion"/>
  </si>
  <si>
    <t>√</t>
    <phoneticPr fontId="20" type="noConversion"/>
  </si>
  <si>
    <r>
      <rPr>
        <sz val="10"/>
        <color theme="1"/>
        <rFont val="宋体"/>
        <family val="3"/>
        <charset val="134"/>
      </rPr>
      <t>常规★</t>
    </r>
    <phoneticPr fontId="20" type="noConversion"/>
  </si>
  <si>
    <t>T1</t>
    <phoneticPr fontId="56" type="noConversion"/>
  </si>
  <si>
    <t>审计目标</t>
    <phoneticPr fontId="20" type="noConversion"/>
  </si>
  <si>
    <t>7</t>
  </si>
  <si>
    <t>8</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</si>
  <si>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</si>
  <si>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关注会计政策、会计估计合理性、一贯性。关注其是否利用会计政策和会计估计及其变更操纵利润。</t>
    <phoneticPr fontId="20" type="noConversion"/>
  </si>
  <si>
    <t>常规★</t>
    <phoneticPr fontId="20" type="noConversion"/>
  </si>
  <si>
    <t>列报</t>
    <phoneticPr fontId="56" type="noConversion"/>
  </si>
  <si>
    <t>报表项目</t>
    <phoneticPr fontId="20" type="noConversion"/>
  </si>
  <si>
    <r>
      <t>3.</t>
    </r>
    <r>
      <rPr>
        <sz val="10"/>
        <rFont val="宋体"/>
        <family val="3"/>
        <charset val="134"/>
      </rPr>
      <t>与资产减值损失有关的金额及其他数据已恰当记录，相关披露已得到恰当计量和描述。</t>
    </r>
    <phoneticPr fontId="56" type="noConversion"/>
  </si>
  <si>
    <r>
      <t>2.</t>
    </r>
    <r>
      <rPr>
        <b/>
        <sz val="10"/>
        <rFont val="宋体"/>
        <family val="3"/>
        <charset val="134"/>
      </rPr>
      <t>审计结论</t>
    </r>
    <phoneticPr fontId="56" type="noConversion"/>
  </si>
  <si>
    <r>
      <t>TB</t>
    </r>
    <r>
      <rPr>
        <b/>
        <sz val="10"/>
        <color indexed="8"/>
        <rFont val="宋体"/>
        <family val="3"/>
        <charset val="134"/>
      </rPr>
      <t>数据：</t>
    </r>
  </si>
  <si>
    <t>无需打印</t>
    <phoneticPr fontId="20" type="noConversion"/>
  </si>
  <si>
    <r>
      <rPr>
        <u/>
        <sz val="10"/>
        <color indexed="12"/>
        <rFont val="宋体"/>
        <family val="3"/>
        <charset val="134"/>
      </rPr>
      <t>实质性程序表</t>
    </r>
  </si>
  <si>
    <t>底稿索引号</t>
    <phoneticPr fontId="20"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</si>
  <si>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63"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</si>
  <si>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63" type="noConversion"/>
  </si>
  <si>
    <r>
      <t>A1-1/</t>
    </r>
    <r>
      <rPr>
        <sz val="10"/>
        <color rgb="FFFF0000"/>
        <rFont val="Arial Narrow"/>
        <family val="2"/>
      </rPr>
      <t>A1-15 /A1-16</t>
    </r>
    <phoneticPr fontId="20" type="noConversion"/>
  </si>
  <si>
    <r>
      <t>1.</t>
    </r>
    <r>
      <rPr>
        <b/>
        <sz val="10"/>
        <rFont val="宋体"/>
        <family val="3"/>
        <charset val="134"/>
      </rPr>
      <t>审计说明</t>
    </r>
    <phoneticPr fontId="56" type="noConversion"/>
  </si>
  <si>
    <r>
      <t>1.</t>
    </r>
    <r>
      <rPr>
        <sz val="10"/>
        <color indexed="10"/>
        <rFont val="宋体"/>
        <family val="3"/>
        <charset val="134"/>
      </rPr>
      <t>明细账、总账、报表数核对一致。</t>
    </r>
    <phoneticPr fontId="56" type="noConversion"/>
  </si>
  <si>
    <t>2……</t>
    <phoneticPr fontId="56" type="noConversion"/>
  </si>
  <si>
    <r>
      <rPr>
        <i/>
        <sz val="10"/>
        <color indexed="12"/>
        <rFont val="宋体"/>
        <family val="3"/>
        <charset val="134"/>
      </rPr>
      <t>编制说明：</t>
    </r>
  </si>
  <si>
    <r>
      <t>1</t>
    </r>
    <r>
      <rPr>
        <sz val="10"/>
        <color indexed="12"/>
        <rFont val="宋体"/>
        <family val="3"/>
        <charset val="134"/>
      </rPr>
      <t>、本科目核算企业计提各项资产减值准备所形成的损失。</t>
    </r>
  </si>
  <si>
    <r>
      <t>3</t>
    </r>
    <r>
      <rPr>
        <sz val="10"/>
        <color indexed="12"/>
        <rFont val="宋体"/>
        <family val="3"/>
        <charset val="134"/>
      </rPr>
      <t>、企业的应收款项、存货、长期股权投资、持有至到期投资、固定资产、无形资产、贷款等资产发生减值的，</t>
    </r>
  </si>
  <si>
    <r>
      <rPr>
        <sz val="10"/>
        <color indexed="12"/>
        <rFont val="宋体"/>
        <family val="3"/>
        <charset val="134"/>
      </rPr>
      <t>按应减记的金额，借记本科目，贷记</t>
    </r>
    <r>
      <rPr>
        <sz val="10"/>
        <color indexed="12"/>
        <rFont val="Arial Narrow"/>
        <family val="2"/>
      </rPr>
      <t>“</t>
    </r>
    <r>
      <rPr>
        <sz val="10"/>
        <color indexed="12"/>
        <rFont val="宋体"/>
        <family val="3"/>
        <charset val="134"/>
      </rPr>
      <t>坏账准备</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存货跌价准备</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长期股权投资减值准备</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持有至到期投资</t>
    </r>
  </si>
  <si>
    <r>
      <rPr>
        <sz val="10"/>
        <color indexed="12"/>
        <rFont val="宋体"/>
        <family val="3"/>
        <charset val="134"/>
      </rPr>
      <t>减值准备</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固定资产减值准备</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无形资产减值准备</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贷款损失准备</t>
    </r>
    <r>
      <rPr>
        <sz val="10"/>
        <color indexed="12"/>
        <rFont val="Arial Narrow"/>
        <family val="2"/>
      </rPr>
      <t>”</t>
    </r>
    <r>
      <rPr>
        <sz val="10"/>
        <color indexed="12"/>
        <rFont val="宋体"/>
        <family val="3"/>
        <charset val="134"/>
      </rPr>
      <t>等科目。</t>
    </r>
  </si>
  <si>
    <r>
      <rPr>
        <sz val="10"/>
        <color indexed="12"/>
        <rFont val="宋体"/>
        <family val="3"/>
        <charset val="134"/>
      </rPr>
      <t>在建工程、工程物资、生产性生物资产、商誉、抵债资产、损余物资、采用成本模式计量的投资性房地产等</t>
    </r>
  </si>
  <si>
    <r>
      <rPr>
        <sz val="10"/>
        <color indexed="12"/>
        <rFont val="宋体"/>
        <family val="3"/>
        <charset val="134"/>
      </rPr>
      <t>资产发生减值的，应当设置相应的减值准备科目，比照上述规定进行处理。</t>
    </r>
  </si>
  <si>
    <r>
      <t>4</t>
    </r>
    <r>
      <rPr>
        <sz val="10"/>
        <color indexed="12"/>
        <rFont val="宋体"/>
        <family val="3"/>
        <charset val="134"/>
      </rPr>
      <t>、企业计提坏账准备、存货跌价准备、持有至到期投资减值准备、贷款损失准备等，相关资产的价值又得以恢复的，</t>
    </r>
  </si>
  <si>
    <r>
      <rPr>
        <sz val="10"/>
        <color indexed="12"/>
        <rFont val="宋体"/>
        <family val="3"/>
        <charset val="134"/>
      </rPr>
      <t>应在原已计提的减值准备金额内，按恢复增加的金额，借记</t>
    </r>
    <r>
      <rPr>
        <sz val="10"/>
        <color indexed="12"/>
        <rFont val="Arial Narrow"/>
        <family val="2"/>
      </rPr>
      <t>“</t>
    </r>
    <r>
      <rPr>
        <sz val="10"/>
        <color indexed="12"/>
        <rFont val="宋体"/>
        <family val="3"/>
        <charset val="134"/>
      </rPr>
      <t>坏账准备</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存货跌价准备</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持有至到期投资减值准备</t>
    </r>
    <r>
      <rPr>
        <sz val="10"/>
        <color indexed="12"/>
        <rFont val="Arial Narrow"/>
        <family val="2"/>
      </rPr>
      <t>”</t>
    </r>
    <r>
      <rPr>
        <sz val="10"/>
        <color indexed="12"/>
        <rFont val="宋体"/>
        <family val="3"/>
        <charset val="134"/>
      </rPr>
      <t>、</t>
    </r>
  </si>
  <si>
    <r>
      <t>“</t>
    </r>
    <r>
      <rPr>
        <sz val="10"/>
        <color indexed="12"/>
        <rFont val="宋体"/>
        <family val="3"/>
        <charset val="134"/>
      </rPr>
      <t>贷款损失准备</t>
    </r>
    <r>
      <rPr>
        <sz val="10"/>
        <color indexed="12"/>
        <rFont val="Arial Narrow"/>
        <family val="2"/>
      </rPr>
      <t>”</t>
    </r>
    <r>
      <rPr>
        <sz val="10"/>
        <color indexed="12"/>
        <rFont val="宋体"/>
        <family val="3"/>
        <charset val="134"/>
      </rPr>
      <t>等科目，贷记本科目。</t>
    </r>
  </si>
  <si>
    <r>
      <t>2</t>
    </r>
    <r>
      <rPr>
        <sz val="10"/>
        <rFont val="宋体"/>
        <family val="3"/>
        <charset val="134"/>
      </rPr>
      <t>、本科目明细表按照正数填列、披露表按照负数填列。</t>
    </r>
  </si>
  <si>
    <t>提示：本底稿适用于调整分录较多、较复杂的项目，且仅列示与本报表项目相关的审计调整。项目组可根据项目实际情况选择是否使用该底稿。</t>
    <phoneticPr fontId="56" type="noConversion"/>
  </si>
  <si>
    <r>
      <t xml:space="preserve">A. </t>
    </r>
    <r>
      <rPr>
        <sz val="10"/>
        <rFont val="宋体"/>
        <family val="3"/>
        <charset val="134"/>
      </rPr>
      <t>利润表中记录的资产减值损失已发生，且与被审计单位有关，已记录于恰当的账户</t>
    </r>
    <phoneticPr fontId="20" type="noConversion"/>
  </si>
  <si>
    <r>
      <t xml:space="preserve">B. </t>
    </r>
    <r>
      <rPr>
        <sz val="10"/>
        <rFont val="宋体"/>
        <family val="3"/>
        <charset val="134"/>
      </rPr>
      <t>所有应当记录的资产减值损失均已记录，所有应当包括在财务报表中的相关披露均已包括</t>
    </r>
    <phoneticPr fontId="20" type="noConversion"/>
  </si>
  <si>
    <r>
      <t xml:space="preserve">C. </t>
    </r>
    <r>
      <rPr>
        <sz val="10"/>
        <rFont val="宋体"/>
        <family val="3"/>
        <charset val="134"/>
      </rPr>
      <t>与资产减值损失有关的金额及其他数据已恰当记录，相关披露已得到恰当计量和描述</t>
    </r>
    <phoneticPr fontId="20" type="noConversion"/>
  </si>
  <si>
    <r>
      <rPr>
        <sz val="10"/>
        <rFont val="宋体"/>
        <family val="3"/>
        <charset val="134"/>
      </rPr>
      <t>完整性</t>
    </r>
    <phoneticPr fontId="20" type="noConversion"/>
  </si>
  <si>
    <t>准确性</t>
    <phoneticPr fontId="20" type="noConversion"/>
  </si>
  <si>
    <t>截止</t>
    <phoneticPr fontId="20" type="noConversion"/>
  </si>
  <si>
    <t>列报</t>
    <phoneticPr fontId="20" type="noConversion"/>
  </si>
  <si>
    <t>获取或编制明细表、执行下列程序，并编制审定表：复核加计正确；将总金额与总账、明细账合计数核对相符；分析两期波动的原因及合理性。</t>
    <phoneticPr fontId="20" type="noConversion"/>
  </si>
  <si>
    <t>将资产减值损失明细发生额与本期存货跌价准备、固定资产减值准备等相关科目进行交叉勾稽。</t>
    <phoneticPr fontId="20" type="noConversion"/>
  </si>
  <si>
    <t>考虑是否存在超出被审计单位正常经营活动的重大、异常交易等，根据评估的舞弊风险等因素增加的审计程序。</t>
    <phoneticPr fontId="20" type="noConversion"/>
  </si>
  <si>
    <t>检查资产减值损失是否已按企业会计准则或其他适用的规定在财务报表中做出恰当列报和披露。</t>
    <phoneticPr fontId="20" type="noConversion"/>
  </si>
  <si>
    <t>IPO/上市/新三板/重组/舞弊应对</t>
    <phoneticPr fontId="63" type="noConversion"/>
  </si>
  <si>
    <t>√</t>
    <phoneticPr fontId="20" type="noConversion"/>
  </si>
  <si>
    <t>√</t>
    <phoneticPr fontId="20" type="noConversion"/>
  </si>
  <si>
    <r>
      <t>1.</t>
    </r>
    <r>
      <rPr>
        <sz val="10"/>
        <rFont val="宋体"/>
        <family val="3"/>
        <charset val="134"/>
      </rPr>
      <t>利润表中记录的资产减值损失已发生，且与被审计单位有关，已记录于恰当的账户</t>
    </r>
    <r>
      <rPr>
        <sz val="10"/>
        <rFont val="Arial Narrow"/>
        <family val="2"/>
      </rPr>
      <t>;</t>
    </r>
    <phoneticPr fontId="56" type="noConversion"/>
  </si>
  <si>
    <r>
      <t>2.</t>
    </r>
    <r>
      <rPr>
        <sz val="10"/>
        <rFont val="宋体"/>
        <family val="3"/>
        <charset val="134"/>
      </rPr>
      <t>所有应当记录的资产减值损失均已记录，所有应当包括在财务报表中的相关披露均已包括</t>
    </r>
    <r>
      <rPr>
        <sz val="10"/>
        <rFont val="Arial Narrow"/>
        <family val="2"/>
      </rPr>
      <t>;</t>
    </r>
    <phoneticPr fontId="56" type="noConversion"/>
  </si>
  <si>
    <t>K11A</t>
    <phoneticPr fontId="56" type="noConversion"/>
  </si>
  <si>
    <t>K11-1</t>
    <phoneticPr fontId="56" type="noConversion"/>
  </si>
  <si>
    <t>K11-2</t>
  </si>
  <si>
    <t>K11-2</t>
    <phoneticPr fontId="56" type="noConversion"/>
  </si>
  <si>
    <t>K11-3</t>
    <phoneticPr fontId="56" type="noConversion"/>
  </si>
  <si>
    <t>K11-1
/K11-2</t>
  </si>
  <si>
    <r>
      <rPr>
        <sz val="10"/>
        <rFont val="宋体"/>
        <family val="3"/>
        <charset val="134"/>
      </rPr>
      <t>被审计单位：</t>
    </r>
    <r>
      <rPr>
        <sz val="10"/>
        <rFont val="Arial Narrow"/>
        <family val="2"/>
      </rPr>
      <t/>
    </r>
    <phoneticPr fontId="20" type="noConversion"/>
  </si>
  <si>
    <t>编制人：</t>
    <phoneticPr fontId="20" type="noConversion"/>
  </si>
  <si>
    <t>编制日期：</t>
    <phoneticPr fontId="20" type="noConversion"/>
  </si>
  <si>
    <t>复核人：</t>
    <phoneticPr fontId="20" type="noConversion"/>
  </si>
  <si>
    <t>复核日期：</t>
    <phoneticPr fontId="20" type="noConversion"/>
  </si>
  <si>
    <r>
      <t xml:space="preserve">D. </t>
    </r>
    <r>
      <rPr>
        <sz val="10"/>
        <rFont val="宋体"/>
        <family val="3"/>
        <charset val="134"/>
      </rPr>
      <t>资产减值损失已记录于正确的会计期间</t>
    </r>
    <phoneticPr fontId="20" type="noConversion"/>
  </si>
  <si>
    <r>
      <t xml:space="preserve">E. </t>
    </r>
    <r>
      <rPr>
        <sz val="10"/>
        <rFont val="宋体"/>
        <family val="3"/>
        <charset val="134"/>
      </rPr>
      <t>已被恰当地汇总或分解且表述清楚，相关披露在按照企业会计准则的编制基础下是相关的、可理解的</t>
    </r>
    <phoneticPr fontId="20" type="noConversion"/>
  </si>
  <si>
    <r>
      <rPr>
        <sz val="10"/>
        <rFont val="宋体"/>
        <family val="3"/>
        <charset val="134"/>
      </rPr>
      <t>会计期间：</t>
    </r>
    <r>
      <rPr>
        <sz val="10"/>
        <rFont val="Arial Narrow"/>
        <family val="2"/>
      </rPr>
      <t>202X</t>
    </r>
    <r>
      <rPr>
        <sz val="10"/>
        <rFont val="宋体"/>
        <family val="3"/>
        <charset val="134"/>
      </rPr>
      <t>年度</t>
    </r>
    <phoneticPr fontId="20" type="noConversion"/>
  </si>
  <si>
    <t>关于工作底稿与审计程序索引号对应的说明</t>
    <phoneticPr fontId="20"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</si>
  <si>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20"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</si>
  <si>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20"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</si>
  <si>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20" type="noConversion"/>
  </si>
  <si>
    <t>根据被审计单位实际情况和风险评估情况裁剪、修改或增加审计程序</t>
    <phoneticPr fontId="20" type="noConversion"/>
  </si>
  <si>
    <t>审计程序</t>
    <phoneticPr fontId="6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</si>
</sst>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1" formatCode="_ * #,##0_ ;_ * \-#,##0_ ;_ * &quot;-&quot;_ ;_ @_ "/>
    <numFmt numFmtId="43" formatCode="_ * #,##0.00_ ;_ * \-#,##0.00_ ;_ * &quot;-&quot;??_ ;_ @_ "/>
    <numFmt numFmtId="176" formatCode="_-#,##0_-;\(#,##0\);_-\ \ &quot;-&quot;_-;_-@_-"/>
    <numFmt numFmtId="177" formatCode="_-#,###,_-;\(#,###,\);_-\ \ &quot;-&quot;_-;_-@_-"/>
    <numFmt numFmtId="178" formatCode="&quot;\&quot;#,##0.00;[Red]&quot;\&quot;&quot;\&quot;\-#,##0.00"/>
    <numFmt numFmtId="179" formatCode="_-&quot;$&quot;* #,##0_-;\-&quot;$&quot;* #,##0_-;_-&quot;$&quot;* &quot;-&quot;_-;_-@_-"/>
    <numFmt numFmtId="180" formatCode="_-#,##0.00_-;\(#,##0.00\);_-\ \ &quot;-&quot;_-;_-@_-"/>
    <numFmt numFmtId="181" formatCode="_-#0&quot;.&quot;0,_-;\(#0&quot;.&quot;0,\);_-\ \ &quot;-&quot;_-;_-@_-"/>
    <numFmt numFmtId="182" formatCode="_-#0&quot;.&quot;0000_-;\(#0&quot;.&quot;0000\);_-\ \ &quot;-&quot;_-;_-@_-"/>
    <numFmt numFmtId="183" formatCode="_-* #,##0.00_-;\-* #,##0.00_-;_-* &quot;-&quot;??_-;_-@_-"/>
    <numFmt numFmtId="184" formatCode="mmm/dd/yyyy;_-\ &quot;N/A&quot;_-;_-\ &quot;-&quot;_-"/>
    <numFmt numFmtId="185" formatCode="_([$€-2]* #,##0.00_);_([$€-2]* \(#,##0.00\);_([$€-2]* &quot;-&quot;??_)"/>
    <numFmt numFmtId="186" formatCode="mmm/yyyy;_-\ &quot;N/A&quot;_-;_-\ &quot;-&quot;_-"/>
    <numFmt numFmtId="187" formatCode="_-* #,##0_-;\-* #,##0_-;_-* &quot;-&quot;_-;_-@_-"/>
    <numFmt numFmtId="188" formatCode="_-#,###.00,_-;\(#,###.00,\);_-\ \ &quot;-&quot;_-;_-@_-"/>
    <numFmt numFmtId="189" formatCode="&quot;\&quot;#,##0;[Red]&quot;\&quot;&quot;\&quot;\-#,##0"/>
    <numFmt numFmtId="190" formatCode="_-#,##0%_-;\(#,##0%\);_-\ &quot;-&quot;_-"/>
    <numFmt numFmtId="191" formatCode="&quot;$&quot;#,##0_);\(&quot;$&quot;#,##0\)"/>
    <numFmt numFmtId="192" formatCode="_-&quot;$&quot;* #,##0.00_-;\-&quot;$&quot;* #,##0.00_-;_-&quot;$&quot;* &quot;-&quot;??_-;_-@_-"/>
    <numFmt numFmtId="193" formatCode="&quot;\&quot;#,##0;&quot;\&quot;&quot;\&quot;\-#,##0"/>
  </numFmts>
  <fonts count="71">
    <font>
      <sz val="10"/>
      <color theme="1"/>
      <name val="宋体"/>
      <charset val="134"/>
      <scheme val="minor"/>
    </font>
    <font>
      <sz val="11"/>
      <color theme="1"/>
      <name val="宋体"/>
      <family val="2"/>
      <charset val="134"/>
      <scheme val="minor"/>
    </font>
    <font>
      <sz val="12"/>
      <name val="宋体"/>
      <family val="3"/>
      <charset val="134"/>
    </font>
    <font>
      <b/>
      <sz val="10"/>
      <name val="Arial Narrow"/>
      <family val="2"/>
    </font>
    <font>
      <b/>
      <sz val="12"/>
      <name val="宋体"/>
      <family val="3"/>
      <charset val="134"/>
    </font>
    <font>
      <b/>
      <sz val="12"/>
      <name val="Arial Narrow"/>
      <family val="2"/>
    </font>
    <font>
      <sz val="10"/>
      <name val="Arial Narrow"/>
      <family val="2"/>
    </font>
    <font>
      <sz val="12"/>
      <name val="仿宋_GB2312"/>
      <family val="3"/>
      <charset val="134"/>
    </font>
    <font>
      <sz val="10"/>
      <color indexed="8"/>
      <name val="Arial Narrow"/>
      <family val="2"/>
    </font>
    <font>
      <b/>
      <sz val="10"/>
      <color indexed="8"/>
      <name val="宋体"/>
      <family val="3"/>
      <charset val="134"/>
    </font>
    <font>
      <b/>
      <sz val="10"/>
      <name val="宋体"/>
      <family val="3"/>
      <charset val="134"/>
    </font>
    <font>
      <b/>
      <sz val="10"/>
      <color rgb="FFE92841"/>
      <name val="Arial Narrow"/>
      <family val="2"/>
    </font>
    <font>
      <sz val="10"/>
      <color indexed="8"/>
      <name val="宋体"/>
      <family val="3"/>
      <charset val="134"/>
    </font>
    <font>
      <sz val="10"/>
      <name val="宋体"/>
      <family val="3"/>
      <charset val="134"/>
    </font>
    <font>
      <b/>
      <sz val="10"/>
      <color indexed="8"/>
      <name val="Arial Narrow"/>
      <family val="2"/>
    </font>
    <font>
      <u/>
      <sz val="10"/>
      <name val="Arial Narrow"/>
      <family val="2"/>
    </font>
    <font>
      <sz val="12"/>
      <color indexed="12"/>
      <name val="仿宋_GB2312"/>
      <family val="3"/>
      <charset val="134"/>
    </font>
    <font>
      <sz val="12"/>
      <name val="Arial Narrow"/>
      <family val="2"/>
    </font>
    <font>
      <b/>
      <sz val="10"/>
      <color indexed="10"/>
      <name val="Arial Narrow"/>
      <family val="2"/>
    </font>
    <font>
      <b/>
      <u/>
      <sz val="10"/>
      <color indexed="10"/>
      <name val="Arial Narrow"/>
      <family val="2"/>
    </font>
    <font>
      <sz val="9"/>
      <name val="宋体"/>
      <family val="3"/>
      <charset val="134"/>
    </font>
    <font>
      <b/>
      <sz val="10"/>
      <name val="宋体"/>
      <family val="3"/>
      <charset val="134"/>
      <scheme val="minor"/>
    </font>
    <font>
      <sz val="10"/>
      <name val="宋体"/>
      <family val="3"/>
      <charset val="134"/>
      <scheme val="minor"/>
    </font>
    <font>
      <sz val="10"/>
      <color indexed="10"/>
      <name val="Arial Narrow"/>
      <family val="2"/>
    </font>
    <font>
      <i/>
      <sz val="10"/>
      <color indexed="12"/>
      <name val="宋体"/>
      <family val="3"/>
      <charset val="134"/>
    </font>
    <font>
      <sz val="10"/>
      <color indexed="12"/>
      <name val="Arial Narrow"/>
      <family val="2"/>
    </font>
    <font>
      <sz val="9"/>
      <color rgb="FFFF0000"/>
      <name val="Arial Narrow"/>
      <family val="2"/>
    </font>
    <font>
      <sz val="10"/>
      <color indexed="8"/>
      <name val="宋体"/>
      <family val="3"/>
      <charset val="134"/>
      <scheme val="minor"/>
    </font>
    <font>
      <i/>
      <u/>
      <sz val="10"/>
      <color indexed="12"/>
      <name val="宋体"/>
      <family val="3"/>
      <charset val="134"/>
    </font>
    <font>
      <b/>
      <sz val="14"/>
      <name val="宋体"/>
      <family val="3"/>
      <charset val="134"/>
    </font>
    <font>
      <sz val="10"/>
      <name val="Arial"/>
      <family val="2"/>
    </font>
    <font>
      <sz val="10"/>
      <color theme="1"/>
      <name val="宋体"/>
      <family val="3"/>
      <charset val="134"/>
    </font>
    <font>
      <b/>
      <sz val="12"/>
      <color indexed="8"/>
      <name val="Arial Narrow"/>
      <family val="2"/>
    </font>
    <font>
      <u/>
      <sz val="10"/>
      <color indexed="12"/>
      <name val="宋体"/>
      <family val="3"/>
      <charset val="134"/>
    </font>
    <font>
      <u/>
      <sz val="10"/>
      <color indexed="12"/>
      <name val="Arial Narrow"/>
      <family val="2"/>
    </font>
    <font>
      <sz val="10"/>
      <color rgb="FF000000"/>
      <name val="宋体"/>
      <family val="3"/>
      <charset val="134"/>
    </font>
    <font>
      <sz val="11"/>
      <color theme="1"/>
      <name val="宋体"/>
      <family val="3"/>
      <charset val="134"/>
      <scheme val="minor"/>
    </font>
    <font>
      <u/>
      <sz val="12"/>
      <color indexed="12"/>
      <name val="宋体"/>
      <family val="3"/>
      <charset val="134"/>
    </font>
    <font>
      <sz val="10"/>
      <name val="Times New Roman"/>
      <family val="1"/>
    </font>
    <font>
      <u val="singleAccounting"/>
      <vertAlign val="subscript"/>
      <sz val="10"/>
      <name val="Times New Roman"/>
      <family val="1"/>
    </font>
    <font>
      <sz val="7"/>
      <name val="Helv"/>
      <family val="2"/>
    </font>
    <font>
      <sz val="12"/>
      <name val="楷体_GB2312"/>
      <charset val="134"/>
    </font>
    <font>
      <u/>
      <sz val="7.5"/>
      <color indexed="12"/>
      <name val="Arial"/>
      <family val="2"/>
    </font>
    <font>
      <i/>
      <sz val="9"/>
      <name val="Times New Roman"/>
      <family val="1"/>
    </font>
    <font>
      <b/>
      <sz val="10"/>
      <name val="MS Sans Serif"/>
      <family val="2"/>
    </font>
    <font>
      <u/>
      <sz val="7.5"/>
      <color indexed="36"/>
      <name val="Arial"/>
      <family val="2"/>
    </font>
    <font>
      <sz val="8"/>
      <name val="Arial"/>
      <family val="2"/>
    </font>
    <font>
      <sz val="10"/>
      <name val="Courier"/>
      <family val="3"/>
    </font>
    <font>
      <sz val="12"/>
      <name val="Garamond"/>
      <family val="1"/>
    </font>
    <font>
      <sz val="7"/>
      <color indexed="10"/>
      <name val="Helv"/>
      <family val="2"/>
    </font>
    <font>
      <sz val="12"/>
      <name val="Times New Roman"/>
      <family val="1"/>
    </font>
    <font>
      <sz val="12"/>
      <name val="楷体"/>
      <family val="3"/>
      <charset val="134"/>
    </font>
    <font>
      <sz val="10"/>
      <color indexed="10"/>
      <name val="宋体"/>
      <family val="3"/>
      <charset val="134"/>
    </font>
    <font>
      <sz val="10"/>
      <color indexed="12"/>
      <name val="宋体"/>
      <family val="3"/>
      <charset val="134"/>
    </font>
    <font>
      <b/>
      <sz val="12"/>
      <color indexed="8"/>
      <name val="宋体"/>
      <family val="3"/>
      <charset val="134"/>
    </font>
    <font>
      <sz val="10"/>
      <color theme="1"/>
      <name val="宋体"/>
      <family val="3"/>
      <charset val="134"/>
      <scheme val="minor"/>
    </font>
    <font>
      <sz val="9"/>
      <name val="宋体"/>
      <family val="3"/>
      <charset val="134"/>
      <scheme val="minor"/>
    </font>
    <font>
      <sz val="12"/>
      <color theme="1"/>
      <name val="宋体"/>
      <family val="3"/>
      <charset val="134"/>
      <scheme val="minor"/>
    </font>
    <font>
      <sz val="10"/>
      <color indexed="12"/>
      <name val="宋体"/>
      <family val="3"/>
      <charset val="134"/>
      <scheme val="minor"/>
    </font>
    <font>
      <b/>
      <sz val="10"/>
      <color indexed="12"/>
      <name val="宋体"/>
      <family val="3"/>
      <charset val="134"/>
      <scheme val="minor"/>
    </font>
    <font>
      <b/>
      <sz val="10"/>
      <color theme="1"/>
      <name val="宋体"/>
      <family val="3"/>
      <charset val="134"/>
    </font>
    <font>
      <sz val="9"/>
      <color rgb="FF0000FF"/>
      <name val="Arial Narrow"/>
      <family val="2"/>
    </font>
    <font>
      <sz val="9"/>
      <color rgb="FF0000FF"/>
      <name val="宋体"/>
      <family val="3"/>
      <charset val="134"/>
    </font>
    <font>
      <sz val="9"/>
      <name val="宋体"/>
      <family val="2"/>
      <charset val="134"/>
      <scheme val="minor"/>
    </font>
    <font>
      <sz val="10"/>
      <color rgb="FFFF0000"/>
      <name val="Arial Narrow"/>
      <family val="2"/>
    </font>
    <font>
      <b/>
      <sz val="12"/>
      <name val="宋体"/>
      <family val="3"/>
      <charset val="134"/>
      <scheme val="minor"/>
    </font>
    <font>
      <b/>
      <sz val="14"/>
      <name val="Arial Narrow"/>
      <family val="2"/>
    </font>
    <font>
      <i/>
      <sz val="10"/>
      <color indexed="12"/>
      <name val="Arial Narrow"/>
      <family val="2"/>
    </font>
    <font>
      <sz val="10"/>
      <color rgb="FF0000FF"/>
      <name val="宋体"/>
      <family val="3"/>
      <charset val="134"/>
    </font>
    <font>
      <b/>
      <sz val="9"/>
      <color indexed="81"/>
      <name val="宋体"/>
      <family val="3"/>
      <charset val="134"/>
    </font>
    <font>
      <sz val="9"/>
      <color indexed="81"/>
      <name val="宋体"/>
      <family val="3"/>
      <charset val="134"/>
    </font>
  </fonts>
  <fills count="9">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theme="0" tint="-0.14999847407452621"/>
        <bgColor indexed="64"/>
      </patternFill>
    </fill>
  </fills>
  <borders count="12">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style="hair">
        <color auto="1"/>
      </left>
      <right/>
      <top/>
      <bottom/>
      <diagonal/>
    </border>
  </borders>
  <cellStyleXfs count="59">
    <xf numFmtId="0" fontId="0" fillId="0" borderId="0">
      <alignment vertical="center"/>
    </xf>
    <xf numFmtId="41" fontId="2" fillId="0" borderId="0" applyFont="0" applyFill="0" applyBorder="0" applyAlignment="0" applyProtection="0"/>
    <xf numFmtId="43" fontId="2" fillId="0" borderId="0" applyFont="0" applyFill="0" applyBorder="0" applyAlignment="0" applyProtection="0"/>
    <xf numFmtId="0" fontId="37" fillId="0" borderId="0" applyNumberFormat="0" applyFill="0" applyBorder="0" applyAlignment="0" applyProtection="0">
      <alignment vertical="top"/>
      <protection locked="0"/>
    </xf>
    <xf numFmtId="9" fontId="55" fillId="0" borderId="0" applyFont="0" applyFill="0" applyBorder="0" applyAlignment="0" applyProtection="0">
      <alignment vertical="center"/>
    </xf>
    <xf numFmtId="181" fontId="38" fillId="0" borderId="0" applyFill="0" applyBorder="0" applyProtection="0">
      <alignment horizontal="right"/>
    </xf>
    <xf numFmtId="49" fontId="38" fillId="0" borderId="0" applyProtection="0">
      <alignment horizontal="left"/>
    </xf>
    <xf numFmtId="184" fontId="39" fillId="0" borderId="0" applyFill="0" applyBorder="0" applyProtection="0">
      <alignment horizontal="center"/>
    </xf>
    <xf numFmtId="183" fontId="30" fillId="0" borderId="0" applyFont="0" applyFill="0" applyBorder="0" applyAlignment="0" applyProtection="0"/>
    <xf numFmtId="187" fontId="30" fillId="0" borderId="0" applyFont="0" applyFill="0" applyBorder="0" applyAlignment="0" applyProtection="0"/>
    <xf numFmtId="176" fontId="38" fillId="0" borderId="0" applyFill="0" applyBorder="0" applyProtection="0">
      <alignment horizontal="right"/>
    </xf>
    <xf numFmtId="3" fontId="40" fillId="0" borderId="0"/>
    <xf numFmtId="180" fontId="38" fillId="0" borderId="0" applyFill="0" applyBorder="0" applyProtection="0">
      <alignment horizontal="right"/>
    </xf>
    <xf numFmtId="179" fontId="30" fillId="0" borderId="0" applyFont="0" applyFill="0" applyBorder="0" applyAlignment="0" applyProtection="0"/>
    <xf numFmtId="41" fontId="41" fillId="0" borderId="0" applyFont="0" applyFill="0" applyBorder="0" applyAlignment="0" applyProtection="0"/>
    <xf numFmtId="182" fontId="38" fillId="0" borderId="0" applyFill="0" applyBorder="0" applyProtection="0">
      <alignment horizontal="right"/>
    </xf>
    <xf numFmtId="188" fontId="38" fillId="0" borderId="0" applyFill="0" applyBorder="0" applyProtection="0">
      <alignment horizontal="right"/>
    </xf>
    <xf numFmtId="177" fontId="38" fillId="0" borderId="0" applyFill="0" applyBorder="0" applyProtection="0">
      <alignment horizontal="right"/>
    </xf>
    <xf numFmtId="0" fontId="42" fillId="0" borderId="0" applyNumberFormat="0" applyFill="0" applyBorder="0" applyAlignment="0" applyProtection="0">
      <alignment vertical="top"/>
      <protection locked="0"/>
    </xf>
    <xf numFmtId="186" fontId="39" fillId="0" borderId="0" applyFill="0" applyBorder="0" applyProtection="0">
      <alignment horizontal="center"/>
    </xf>
    <xf numFmtId="190" fontId="43" fillId="0" borderId="0" applyFill="0" applyBorder="0" applyProtection="0">
      <alignment horizontal="right"/>
    </xf>
    <xf numFmtId="191" fontId="44" fillId="0" borderId="10" applyAlignment="0" applyProtection="0"/>
    <xf numFmtId="192" fontId="30" fillId="0" borderId="0" applyFont="0" applyFill="0" applyBorder="0" applyAlignment="0" applyProtection="0"/>
    <xf numFmtId="41" fontId="30" fillId="0" borderId="0" applyFont="0" applyFill="0" applyBorder="0" applyAlignment="0" applyProtection="0"/>
    <xf numFmtId="43" fontId="30" fillId="0" borderId="0" applyFont="0" applyFill="0" applyBorder="0" applyAlignment="0" applyProtection="0"/>
    <xf numFmtId="185" fontId="38" fillId="0" borderId="0" applyFont="0" applyFill="0" applyBorder="0" applyAlignment="0" applyProtection="0"/>
    <xf numFmtId="0" fontId="45" fillId="0" borderId="0" applyNumberFormat="0" applyFill="0" applyBorder="0" applyAlignment="0" applyProtection="0">
      <alignment vertical="top"/>
      <protection locked="0"/>
    </xf>
    <xf numFmtId="38" fontId="46" fillId="5" borderId="0" applyNumberFormat="0" applyBorder="0" applyAlignment="0" applyProtection="0"/>
    <xf numFmtId="10" fontId="46" fillId="6" borderId="9" applyNumberFormat="0" applyBorder="0" applyAlignment="0" applyProtection="0"/>
    <xf numFmtId="189" fontId="2" fillId="0" borderId="0" applyFont="0" applyFill="0" applyBorder="0" applyAlignment="0" applyProtection="0"/>
    <xf numFmtId="178" fontId="2" fillId="0" borderId="0" applyFont="0" applyFill="0" applyBorder="0" applyAlignment="0" applyProtection="0"/>
    <xf numFmtId="0" fontId="47" fillId="0" borderId="0"/>
    <xf numFmtId="193" fontId="2" fillId="0" borderId="0"/>
    <xf numFmtId="0" fontId="48" fillId="0" borderId="0"/>
    <xf numFmtId="10" fontId="30" fillId="0" borderId="0" applyFont="0" applyFill="0" applyBorder="0" applyAlignment="0" applyProtection="0"/>
    <xf numFmtId="3" fontId="49" fillId="0" borderId="0"/>
    <xf numFmtId="9" fontId="2" fillId="0" borderId="0" applyFont="0" applyFill="0" applyBorder="0" applyAlignment="0" applyProtection="0"/>
    <xf numFmtId="0" fontId="2" fillId="0" borderId="0">
      <protection locked="0"/>
    </xf>
    <xf numFmtId="0" fontId="36" fillId="0" borderId="0"/>
    <xf numFmtId="0" fontId="2" fillId="0" borderId="0">
      <protection locked="0"/>
    </xf>
    <xf numFmtId="185" fontId="2" fillId="0" borderId="0">
      <protection locked="0"/>
    </xf>
    <xf numFmtId="0" fontId="13" fillId="0" borderId="0"/>
    <xf numFmtId="0" fontId="2" fillId="0" borderId="0"/>
    <xf numFmtId="185" fontId="36" fillId="0" borderId="0">
      <alignment vertical="center"/>
    </xf>
    <xf numFmtId="185" fontId="2" fillId="0" borderId="0"/>
    <xf numFmtId="0" fontId="36" fillId="0" borderId="0">
      <alignment vertical="center"/>
    </xf>
    <xf numFmtId="0" fontId="2" fillId="0" borderId="0">
      <alignment vertical="center"/>
    </xf>
    <xf numFmtId="0" fontId="50" fillId="0" borderId="0"/>
    <xf numFmtId="0" fontId="2" fillId="0" borderId="0" applyFill="0" applyBorder="0"/>
    <xf numFmtId="0" fontId="2" fillId="0" borderId="0">
      <alignment vertical="center"/>
    </xf>
    <xf numFmtId="0" fontId="37" fillId="0" borderId="0" applyNumberFormat="0" applyFill="0" applyBorder="0" applyAlignment="0" applyProtection="0">
      <alignment vertical="top"/>
      <protection locked="0"/>
    </xf>
    <xf numFmtId="0" fontId="51" fillId="0" borderId="0"/>
    <xf numFmtId="43" fontId="2" fillId="0" borderId="0" applyFont="0" applyFill="0" applyBorder="0" applyAlignment="0" applyProtection="0"/>
    <xf numFmtId="43" fontId="41" fillId="0" borderId="0" applyFont="0" applyFill="0" applyBorder="0" applyAlignment="0" applyProtection="0"/>
    <xf numFmtId="185" fontId="36" fillId="0" borderId="0">
      <alignment vertical="center"/>
    </xf>
    <xf numFmtId="185" fontId="2" fillId="0" borderId="0">
      <alignment vertical="center"/>
      <protection locked="0"/>
    </xf>
    <xf numFmtId="185" fontId="2" fillId="0" borderId="0">
      <protection locked="0"/>
    </xf>
    <xf numFmtId="0" fontId="2" fillId="0" borderId="0">
      <protection locked="0"/>
    </xf>
    <xf numFmtId="185" fontId="1" fillId="0" borderId="0">
      <alignment vertical="center"/>
    </xf>
  </cellStyleXfs>
  <cellXfs count="200">
    <xf numFmtId="0" fontId="0" fillId="0" borderId="0" xfId="0">
      <alignment vertical="center"/>
    </xf>
    <xf numFmtId="0" fontId="2" fillId="0" borderId="0" xfId="39">
      <protection locked="0"/>
    </xf>
    <xf numFmtId="43" fontId="6" fillId="0" borderId="0" xfId="48" applyNumberFormat="1" applyFont="1" applyFill="1" applyBorder="1" applyAlignment="1">
      <alignment vertical="center"/>
    </xf>
    <xf numFmtId="43" fontId="7" fillId="0" borderId="0" xfId="48" applyNumberFormat="1" applyFont="1" applyFill="1" applyBorder="1" applyAlignment="1">
      <alignment vertical="center"/>
    </xf>
    <xf numFmtId="0" fontId="9" fillId="2" borderId="1" xfId="39" applyFont="1" applyFill="1" applyBorder="1" applyAlignment="1" applyProtection="1">
      <alignment vertical="center"/>
    </xf>
    <xf numFmtId="185" fontId="10" fillId="2" borderId="1" xfId="44" applyFont="1" applyFill="1" applyBorder="1" applyAlignment="1" applyProtection="1">
      <alignment horizontal="center" vertical="center" wrapText="1"/>
      <protection locked="0"/>
    </xf>
    <xf numFmtId="185" fontId="11" fillId="2" borderId="1" xfId="44" applyFont="1" applyFill="1" applyBorder="1" applyAlignment="1" applyProtection="1">
      <alignment horizontal="center" vertical="center" wrapText="1"/>
      <protection locked="0"/>
    </xf>
    <xf numFmtId="43" fontId="6" fillId="0" borderId="2" xfId="48" applyNumberFormat="1" applyFont="1" applyBorder="1" applyAlignment="1">
      <alignment horizontal="left" vertical="center"/>
    </xf>
    <xf numFmtId="0" fontId="6" fillId="0" borderId="0" xfId="47" applyFont="1" applyAlignment="1">
      <alignment vertical="center"/>
    </xf>
    <xf numFmtId="0" fontId="6" fillId="0" borderId="0" xfId="47" applyFont="1" applyAlignment="1">
      <alignment horizontal="left" vertical="center"/>
    </xf>
    <xf numFmtId="185" fontId="18" fillId="0" borderId="0" xfId="43" applyFont="1">
      <alignment vertical="center"/>
    </xf>
    <xf numFmtId="0" fontId="17" fillId="0" borderId="0" xfId="46" applyFont="1">
      <alignment vertical="center"/>
    </xf>
    <xf numFmtId="0" fontId="6" fillId="0" borderId="0" xfId="37" applyFont="1" applyAlignment="1">
      <alignment vertical="center"/>
      <protection locked="0"/>
    </xf>
    <xf numFmtId="0" fontId="3" fillId="0" borderId="0" xfId="37" applyFont="1" applyAlignment="1">
      <alignment horizontal="center" vertical="center" wrapText="1"/>
      <protection locked="0"/>
    </xf>
    <xf numFmtId="0" fontId="3" fillId="0" borderId="0" xfId="37" applyFont="1" applyAlignment="1">
      <alignment vertical="center"/>
      <protection locked="0"/>
    </xf>
    <xf numFmtId="0" fontId="17" fillId="0" borderId="0" xfId="37" applyFont="1" applyAlignment="1">
      <alignment vertical="center"/>
      <protection locked="0"/>
    </xf>
    <xf numFmtId="43" fontId="6" fillId="0" borderId="0" xfId="48" applyNumberFormat="1" applyFont="1" applyBorder="1" applyAlignment="1">
      <alignment vertical="center"/>
    </xf>
    <xf numFmtId="0" fontId="14" fillId="0" borderId="0" xfId="37" applyFont="1" applyAlignment="1" applyProtection="1">
      <alignment vertical="center"/>
    </xf>
    <xf numFmtId="0" fontId="19" fillId="0" borderId="0" xfId="37" applyFont="1" applyAlignment="1" applyProtection="1">
      <alignment horizontal="center"/>
    </xf>
    <xf numFmtId="0" fontId="20" fillId="0" borderId="0" xfId="42" applyFont="1" applyAlignment="1">
      <alignment horizontal="left" vertical="center"/>
    </xf>
    <xf numFmtId="0" fontId="3" fillId="0" borderId="0" xfId="37" applyFont="1" applyAlignment="1" applyProtection="1">
      <alignment horizontal="left" vertical="center"/>
    </xf>
    <xf numFmtId="0" fontId="22" fillId="0" borderId="1" xfId="0" applyFont="1" applyBorder="1" applyAlignment="1">
      <alignment horizontal="left" vertical="center"/>
    </xf>
    <xf numFmtId="43" fontId="8" fillId="0" borderId="1" xfId="2" applyFont="1" applyFill="1" applyBorder="1" applyAlignment="1">
      <alignment horizontal="right" vertical="center"/>
    </xf>
    <xf numFmtId="0" fontId="13" fillId="0" borderId="0" xfId="37" applyFont="1" applyAlignment="1">
      <alignment vertical="center"/>
      <protection locked="0"/>
    </xf>
    <xf numFmtId="0" fontId="3" fillId="0" borderId="2" xfId="37" applyFont="1" applyBorder="1" applyAlignment="1">
      <alignment vertical="center"/>
      <protection locked="0"/>
    </xf>
    <xf numFmtId="0" fontId="6" fillId="0" borderId="2" xfId="37" applyFont="1" applyBorder="1" applyAlignment="1">
      <alignment vertical="center"/>
      <protection locked="0"/>
    </xf>
    <xf numFmtId="43" fontId="25" fillId="0" borderId="0" xfId="48" applyNumberFormat="1" applyFont="1" applyBorder="1" applyAlignment="1">
      <alignment vertical="center"/>
    </xf>
    <xf numFmtId="14" fontId="6" fillId="0" borderId="0" xfId="48" applyNumberFormat="1" applyFont="1" applyBorder="1" applyAlignment="1">
      <alignment vertical="center"/>
    </xf>
    <xf numFmtId="14" fontId="6" fillId="0" borderId="0" xfId="37" applyNumberFormat="1" applyFont="1" applyAlignment="1">
      <alignment vertical="center"/>
      <protection locked="0"/>
    </xf>
    <xf numFmtId="0" fontId="6" fillId="0" borderId="0" xfId="37" applyFont="1" applyAlignment="1">
      <alignment horizontal="right" vertical="center"/>
      <protection locked="0"/>
    </xf>
    <xf numFmtId="0" fontId="6" fillId="0" borderId="0" xfId="49" applyFont="1">
      <alignment vertical="center"/>
    </xf>
    <xf numFmtId="0" fontId="21" fillId="2" borderId="1" xfId="0" applyFont="1" applyFill="1" applyBorder="1" applyAlignment="1">
      <alignment horizontal="center" vertical="center"/>
    </xf>
    <xf numFmtId="0" fontId="21" fillId="2" borderId="1" xfId="0" applyFont="1" applyFill="1" applyBorder="1" applyAlignment="1">
      <alignment horizontal="center" vertical="center" wrapText="1"/>
    </xf>
    <xf numFmtId="0" fontId="22" fillId="0" borderId="1" xfId="0" applyFont="1" applyBorder="1">
      <alignment vertical="center"/>
    </xf>
    <xf numFmtId="0" fontId="6" fillId="0" borderId="0" xfId="37" applyFont="1" applyAlignment="1">
      <alignment horizontal="justify" vertical="center" wrapText="1"/>
      <protection locked="0"/>
    </xf>
    <xf numFmtId="43" fontId="10" fillId="0" borderId="0" xfId="0" applyNumberFormat="1" applyFont="1">
      <alignment vertical="center"/>
    </xf>
    <xf numFmtId="43" fontId="13" fillId="0" borderId="0" xfId="0" applyNumberFormat="1" applyFont="1">
      <alignment vertical="center"/>
    </xf>
    <xf numFmtId="43" fontId="4" fillId="0" borderId="0" xfId="0" applyNumberFormat="1" applyFont="1">
      <alignment vertical="center"/>
    </xf>
    <xf numFmtId="43" fontId="17" fillId="0" borderId="0" xfId="48" applyNumberFormat="1" applyFont="1" applyBorder="1" applyAlignment="1">
      <alignment vertical="center"/>
    </xf>
    <xf numFmtId="43" fontId="3" fillId="0" borderId="0" xfId="48" applyNumberFormat="1" applyFont="1" applyBorder="1" applyAlignment="1">
      <alignment vertical="center"/>
    </xf>
    <xf numFmtId="43" fontId="3" fillId="0" borderId="0" xfId="48" applyNumberFormat="1" applyFont="1" applyFill="1" applyBorder="1" applyAlignment="1">
      <alignment vertical="center"/>
    </xf>
    <xf numFmtId="43" fontId="6" fillId="0" borderId="0" xfId="48" applyNumberFormat="1" applyFont="1" applyBorder="1" applyAlignment="1">
      <alignment horizontal="left" vertical="center"/>
    </xf>
    <xf numFmtId="14" fontId="6" fillId="0" borderId="0" xfId="48" applyNumberFormat="1" applyFont="1" applyBorder="1" applyAlignment="1">
      <alignment horizontal="left" vertical="center"/>
    </xf>
    <xf numFmtId="49" fontId="6" fillId="0" borderId="0" xfId="48" applyNumberFormat="1" applyFont="1" applyBorder="1" applyAlignment="1">
      <alignment vertical="center"/>
    </xf>
    <xf numFmtId="185" fontId="9" fillId="2" borderId="1" xfId="40" applyFont="1" applyFill="1" applyBorder="1" applyAlignment="1">
      <alignment horizontal="center" vertical="center" wrapText="1"/>
      <protection locked="0"/>
    </xf>
    <xf numFmtId="0" fontId="10" fillId="2" borderId="1" xfId="42" applyFont="1" applyFill="1" applyBorder="1" applyAlignment="1" applyProtection="1">
      <alignment horizontal="center" vertical="center" wrapText="1"/>
      <protection locked="0"/>
    </xf>
    <xf numFmtId="185" fontId="10" fillId="2" borderId="1" xfId="40" applyFont="1" applyFill="1" applyBorder="1" applyAlignment="1">
      <alignment horizontal="center" vertical="center"/>
      <protection locked="0"/>
    </xf>
    <xf numFmtId="0" fontId="27" fillId="0" borderId="1" xfId="0" applyFont="1" applyBorder="1">
      <alignment vertical="center"/>
    </xf>
    <xf numFmtId="0" fontId="14" fillId="0" borderId="1" xfId="0" applyFont="1" applyBorder="1" applyAlignment="1">
      <alignment horizontal="center" vertical="center"/>
    </xf>
    <xf numFmtId="43" fontId="28" fillId="0" borderId="2" xfId="3" applyNumberFormat="1" applyFont="1" applyBorder="1" applyAlignment="1" applyProtection="1">
      <alignment horizontal="center" vertical="center"/>
    </xf>
    <xf numFmtId="43" fontId="6" fillId="0" borderId="2" xfId="48" applyNumberFormat="1" applyFont="1" applyBorder="1" applyAlignment="1">
      <alignment vertical="center"/>
    </xf>
    <xf numFmtId="0" fontId="13" fillId="0" borderId="0" xfId="47" applyFont="1" applyAlignment="1">
      <alignment vertical="center"/>
    </xf>
    <xf numFmtId="9" fontId="15" fillId="0" borderId="0" xfId="4" applyFont="1" applyBorder="1" applyAlignment="1">
      <alignment horizontal="left" vertical="center"/>
    </xf>
    <xf numFmtId="0" fontId="13" fillId="0" borderId="0" xfId="47" applyFont="1" applyAlignment="1">
      <alignment horizontal="left" vertical="center"/>
    </xf>
    <xf numFmtId="0" fontId="10" fillId="0" borderId="0" xfId="47" applyFont="1" applyAlignment="1">
      <alignment vertical="center"/>
    </xf>
    <xf numFmtId="43" fontId="28" fillId="0" borderId="0" xfId="3" applyNumberFormat="1" applyFont="1" applyBorder="1" applyAlignment="1" applyProtection="1">
      <alignment horizontal="center" vertical="center"/>
    </xf>
    <xf numFmtId="43" fontId="6" fillId="0" borderId="1" xfId="2" applyFont="1" applyFill="1" applyBorder="1" applyAlignment="1">
      <alignment horizontal="right" vertical="center" wrapText="1"/>
    </xf>
    <xf numFmtId="49" fontId="6" fillId="0" borderId="0" xfId="49" applyNumberFormat="1" applyFont="1" applyAlignment="1">
      <alignment horizontal="left" vertical="center"/>
    </xf>
    <xf numFmtId="0" fontId="6" fillId="0" borderId="0" xfId="37" applyFont="1" applyAlignment="1">
      <alignment horizontal="left" vertical="center"/>
      <protection locked="0"/>
    </xf>
    <xf numFmtId="0" fontId="3" fillId="0" borderId="0" xfId="37" applyFont="1" applyAlignment="1">
      <alignment horizontal="justify" vertical="center"/>
      <protection locked="0"/>
    </xf>
    <xf numFmtId="0" fontId="13" fillId="0" borderId="1" xfId="37" applyFont="1" applyBorder="1" applyAlignment="1">
      <alignment horizontal="center" vertical="center" wrapText="1"/>
      <protection locked="0"/>
    </xf>
    <xf numFmtId="0" fontId="13" fillId="0" borderId="1" xfId="37" applyFont="1" applyBorder="1" applyAlignment="1">
      <alignment horizontal="left" vertical="center" wrapText="1"/>
      <protection locked="0"/>
    </xf>
    <xf numFmtId="49" fontId="3" fillId="0" borderId="0" xfId="49" applyNumberFormat="1" applyFont="1" applyAlignment="1">
      <alignment horizontal="left" vertical="center"/>
    </xf>
    <xf numFmtId="0" fontId="3" fillId="0" borderId="0" xfId="37" applyFont="1" applyAlignment="1">
      <alignment horizontal="left" vertical="center" wrapText="1"/>
      <protection locked="0"/>
    </xf>
    <xf numFmtId="0" fontId="31" fillId="0" borderId="0" xfId="37" applyFont="1" applyAlignment="1" applyProtection="1">
      <alignment horizontal="center" vertical="center" wrapText="1"/>
    </xf>
    <xf numFmtId="0" fontId="6" fillId="0" borderId="0" xfId="37" applyFont="1" applyAlignment="1">
      <alignment horizontal="center" vertical="center" wrapText="1"/>
      <protection locked="0"/>
    </xf>
    <xf numFmtId="0" fontId="32" fillId="0" borderId="0" xfId="0" applyFont="1" applyAlignment="1">
      <alignment horizontal="left" vertical="center"/>
    </xf>
    <xf numFmtId="0" fontId="14" fillId="0" borderId="0" xfId="0" applyFont="1" applyAlignment="1">
      <alignment horizontal="left" vertical="center"/>
    </xf>
    <xf numFmtId="0" fontId="14" fillId="0" borderId="0" xfId="0" applyFont="1" applyAlignment="1">
      <alignment horizontal="center" vertical="center"/>
    </xf>
    <xf numFmtId="0" fontId="8" fillId="0" borderId="0" xfId="0" applyFont="1">
      <alignment vertical="center"/>
    </xf>
    <xf numFmtId="0" fontId="8" fillId="0" borderId="0" xfId="0" applyFont="1" applyAlignment="1">
      <alignment horizontal="center" vertical="center"/>
    </xf>
    <xf numFmtId="0" fontId="5" fillId="0" borderId="0" xfId="0" applyFont="1" applyProtection="1">
      <alignment vertical="center"/>
      <protection locked="0"/>
    </xf>
    <xf numFmtId="0" fontId="14" fillId="0" borderId="9" xfId="0" applyFont="1" applyBorder="1" applyAlignment="1">
      <alignment horizontal="center" vertical="center"/>
    </xf>
    <xf numFmtId="0" fontId="8" fillId="0" borderId="9" xfId="0" applyFont="1" applyBorder="1" applyAlignment="1">
      <alignment horizontal="center" vertical="center"/>
    </xf>
    <xf numFmtId="0" fontId="8" fillId="0" borderId="9" xfId="0" applyFont="1" applyBorder="1">
      <alignment vertical="center"/>
    </xf>
    <xf numFmtId="0" fontId="34" fillId="0" borderId="9" xfId="3" applyFont="1" applyBorder="1" applyAlignment="1" applyProtection="1">
      <alignment vertical="center"/>
    </xf>
    <xf numFmtId="0" fontId="14" fillId="0" borderId="9" xfId="0" applyFont="1" applyBorder="1">
      <alignment vertical="center"/>
    </xf>
    <xf numFmtId="0" fontId="35" fillId="0" borderId="9" xfId="0" applyFont="1" applyBorder="1">
      <alignment vertical="center"/>
    </xf>
    <xf numFmtId="0" fontId="34" fillId="0" borderId="9" xfId="3" quotePrefix="1" applyFont="1" applyBorder="1" applyAlignment="1" applyProtection="1">
      <alignment vertical="center"/>
    </xf>
    <xf numFmtId="14" fontId="6" fillId="0" borderId="0" xfId="48" applyNumberFormat="1" applyFont="1" applyFill="1" applyBorder="1" applyAlignment="1">
      <alignment vertical="center"/>
    </xf>
    <xf numFmtId="0" fontId="2" fillId="0" borderId="0" xfId="0" applyFont="1" applyProtection="1">
      <alignment vertical="center"/>
      <protection locked="0"/>
    </xf>
    <xf numFmtId="0" fontId="57" fillId="0" borderId="0" xfId="0" applyFont="1" applyProtection="1">
      <alignment vertical="center"/>
      <protection locked="0"/>
    </xf>
    <xf numFmtId="0" fontId="7" fillId="0" borderId="0" xfId="0" applyFont="1" applyAlignment="1" applyProtection="1">
      <alignment horizontal="justify" vertical="center"/>
      <protection locked="0"/>
    </xf>
    <xf numFmtId="0" fontId="0" fillId="0" borderId="0" xfId="0" applyAlignment="1" applyProtection="1">
      <protection locked="0"/>
    </xf>
    <xf numFmtId="0" fontId="2" fillId="0" borderId="0" xfId="37">
      <protection locked="0"/>
    </xf>
    <xf numFmtId="0" fontId="22" fillId="0" borderId="0" xfId="0" applyFont="1" applyProtection="1">
      <alignment vertical="center"/>
      <protection locked="0"/>
    </xf>
    <xf numFmtId="0" fontId="21" fillId="0" borderId="8" xfId="0" applyFont="1" applyBorder="1" applyAlignment="1" applyProtection="1">
      <alignment horizontal="center" vertical="center" wrapText="1"/>
      <protection locked="0"/>
    </xf>
    <xf numFmtId="0" fontId="22" fillId="0" borderId="0" xfId="0" applyFont="1" applyAlignment="1" applyProtection="1">
      <alignment horizontal="justify" vertical="center" wrapText="1"/>
      <protection locked="0"/>
    </xf>
    <xf numFmtId="0" fontId="21" fillId="0" borderId="8" xfId="0" applyFont="1" applyBorder="1" applyAlignment="1" applyProtection="1">
      <alignment horizontal="justify" vertical="center" wrapText="1"/>
      <protection locked="0"/>
    </xf>
    <xf numFmtId="43" fontId="6" fillId="0" borderId="0" xfId="0" applyNumberFormat="1" applyFont="1" applyAlignment="1" applyProtection="1">
      <alignment horizontal="right" vertical="center" wrapText="1"/>
      <protection locked="0"/>
    </xf>
    <xf numFmtId="43" fontId="3" fillId="0" borderId="8" xfId="2" applyFont="1" applyFill="1" applyBorder="1" applyAlignment="1" applyProtection="1">
      <alignment horizontal="right" vertical="center" wrapText="1" shrinkToFit="1"/>
      <protection locked="0"/>
    </xf>
    <xf numFmtId="0" fontId="55" fillId="0" borderId="0" xfId="0" applyFont="1" applyProtection="1">
      <alignment vertical="center"/>
      <protection locked="0"/>
    </xf>
    <xf numFmtId="14" fontId="6" fillId="0" borderId="0" xfId="48" applyNumberFormat="1" applyFont="1" applyBorder="1" applyAlignment="1">
      <alignment horizontal="right" vertical="center"/>
    </xf>
    <xf numFmtId="49" fontId="6" fillId="0" borderId="0" xfId="48" applyNumberFormat="1" applyFont="1" applyBorder="1" applyAlignment="1">
      <alignment horizontal="left" vertical="center"/>
    </xf>
    <xf numFmtId="43" fontId="8" fillId="3" borderId="1" xfId="2" applyFont="1" applyFill="1" applyBorder="1" applyAlignment="1">
      <alignment horizontal="right" vertical="center"/>
    </xf>
    <xf numFmtId="43" fontId="6" fillId="3" borderId="1" xfId="2" applyFont="1" applyFill="1" applyBorder="1" applyAlignment="1">
      <alignment horizontal="right" vertical="center" wrapText="1"/>
    </xf>
    <xf numFmtId="10" fontId="6" fillId="3" borderId="1" xfId="4" applyNumberFormat="1" applyFont="1" applyFill="1" applyBorder="1" applyAlignment="1">
      <alignment horizontal="right" vertical="center" wrapText="1"/>
    </xf>
    <xf numFmtId="0" fontId="21" fillId="0" borderId="0" xfId="0" applyFont="1" applyBorder="1" applyAlignment="1" applyProtection="1">
      <alignment horizontal="center" vertical="center" wrapText="1"/>
      <protection locked="0"/>
    </xf>
    <xf numFmtId="43" fontId="3" fillId="0" borderId="0" xfId="2" applyFont="1" applyFill="1" applyBorder="1" applyAlignment="1" applyProtection="1">
      <alignment horizontal="right" vertical="center" wrapText="1" shrinkToFit="1"/>
      <protection locked="0"/>
    </xf>
    <xf numFmtId="49" fontId="6" fillId="0" borderId="0" xfId="48" applyNumberFormat="1" applyFont="1" applyFill="1" applyBorder="1" applyAlignment="1">
      <alignment vertical="center"/>
    </xf>
    <xf numFmtId="0" fontId="6" fillId="0" borderId="1" xfId="0" applyFont="1" applyBorder="1" applyAlignment="1">
      <alignment horizontal="center" vertical="center"/>
    </xf>
    <xf numFmtId="43" fontId="6" fillId="0" borderId="1" xfId="2" applyFont="1" applyBorder="1" applyAlignment="1">
      <alignment horizontal="left" vertical="center"/>
    </xf>
    <xf numFmtId="0" fontId="9" fillId="2" borderId="1" xfId="39" applyFont="1" applyFill="1" applyBorder="1" applyAlignment="1" applyProtection="1">
      <alignment vertical="center" wrapText="1"/>
    </xf>
    <xf numFmtId="0" fontId="3" fillId="0" borderId="0" xfId="37" applyFont="1" applyAlignment="1">
      <alignment horizontal="left" vertical="center"/>
      <protection locked="0"/>
    </xf>
    <xf numFmtId="49" fontId="10" fillId="0" borderId="0" xfId="39" applyNumberFormat="1" applyFont="1" applyAlignment="1">
      <alignment horizontal="left" vertical="center"/>
      <protection locked="0"/>
    </xf>
    <xf numFmtId="0" fontId="6" fillId="0" borderId="0" xfId="37" applyFont="1" applyBorder="1" applyAlignment="1">
      <alignment vertical="center" wrapText="1"/>
      <protection locked="0"/>
    </xf>
    <xf numFmtId="0" fontId="6" fillId="0" borderId="0" xfId="37" applyFont="1" applyBorder="1" applyAlignment="1">
      <alignment horizontal="left" vertical="center" wrapText="1"/>
      <protection locked="0"/>
    </xf>
    <xf numFmtId="0" fontId="6" fillId="0" borderId="1" xfId="37" applyFont="1" applyFill="1" applyBorder="1" applyAlignment="1">
      <alignment horizontal="center" vertical="center" wrapText="1"/>
      <protection locked="0"/>
    </xf>
    <xf numFmtId="0" fontId="13" fillId="0" borderId="5" xfId="37" applyFont="1" applyFill="1" applyBorder="1" applyAlignment="1">
      <alignment horizontal="center" vertical="center" wrapText="1"/>
      <protection locked="0"/>
    </xf>
    <xf numFmtId="49" fontId="6" fillId="0" borderId="1" xfId="49" applyNumberFormat="1" applyFont="1" applyBorder="1" applyAlignment="1">
      <alignment horizontal="center" vertical="center"/>
    </xf>
    <xf numFmtId="0" fontId="13" fillId="0" borderId="1" xfId="39" applyFont="1" applyFill="1" applyBorder="1" applyAlignment="1">
      <alignment horizontal="left" vertical="center" wrapText="1"/>
      <protection locked="0"/>
    </xf>
    <xf numFmtId="0" fontId="13" fillId="0" borderId="5" xfId="39" applyFont="1" applyFill="1" applyBorder="1" applyAlignment="1">
      <alignment horizontal="center" vertical="center" wrapText="1" shrinkToFit="1"/>
      <protection locked="0"/>
    </xf>
    <xf numFmtId="0" fontId="31" fillId="0" borderId="1" xfId="45" applyFont="1" applyFill="1" applyBorder="1" applyAlignment="1">
      <alignment horizontal="center" vertical="center" wrapText="1"/>
    </xf>
    <xf numFmtId="0" fontId="13" fillId="0" borderId="1" xfId="37" applyFont="1" applyBorder="1" applyAlignment="1">
      <alignment horizontal="left" vertical="center" wrapText="1"/>
      <protection locked="0"/>
    </xf>
    <xf numFmtId="0" fontId="13" fillId="0" borderId="1" xfId="37" applyFont="1" applyFill="1" applyBorder="1" applyAlignment="1">
      <alignment vertical="center" wrapText="1"/>
      <protection locked="0"/>
    </xf>
    <xf numFmtId="0" fontId="6" fillId="0" borderId="0" xfId="42" applyFont="1" applyAlignment="1">
      <alignment horizontal="left" vertical="center"/>
    </xf>
    <xf numFmtId="0" fontId="6" fillId="0" borderId="0" xfId="37" applyFont="1" applyBorder="1" applyAlignment="1">
      <alignment vertical="center"/>
      <protection locked="0"/>
    </xf>
    <xf numFmtId="0" fontId="6" fillId="0" borderId="0" xfId="37" applyFont="1" applyFill="1" applyBorder="1" applyAlignment="1">
      <alignment horizontal="left" vertical="center" wrapText="1"/>
      <protection locked="0"/>
    </xf>
    <xf numFmtId="43" fontId="26" fillId="0" borderId="1" xfId="42" applyNumberFormat="1" applyFont="1" applyBorder="1" applyAlignment="1">
      <alignment horizontal="center" vertical="center" shrinkToFit="1"/>
    </xf>
    <xf numFmtId="0" fontId="23" fillId="0" borderId="0" xfId="37" applyFont="1" applyAlignment="1">
      <alignment horizontal="center" vertical="center"/>
      <protection locked="0"/>
    </xf>
    <xf numFmtId="0" fontId="14" fillId="2" borderId="1" xfId="0" applyFont="1" applyFill="1" applyBorder="1" applyAlignment="1">
      <alignment horizontal="center" vertical="center"/>
    </xf>
    <xf numFmtId="0" fontId="3" fillId="0" borderId="0" xfId="47" applyFont="1" applyAlignment="1">
      <alignment vertical="center"/>
    </xf>
    <xf numFmtId="0" fontId="6" fillId="4" borderId="0" xfId="0" applyFont="1" applyFill="1" applyBorder="1" applyAlignment="1" applyProtection="1">
      <alignment horizontal="justify" vertical="center" wrapText="1"/>
      <protection locked="0"/>
    </xf>
    <xf numFmtId="0" fontId="6" fillId="4" borderId="0" xfId="0" applyFont="1" applyFill="1" applyAlignment="1" applyProtection="1">
      <alignment horizontal="justify" vertical="center" wrapText="1"/>
      <protection locked="0"/>
    </xf>
    <xf numFmtId="185" fontId="8" fillId="0" borderId="1" xfId="55" applyFont="1" applyFill="1" applyBorder="1" applyAlignment="1" applyProtection="1">
      <alignment vertical="center"/>
    </xf>
    <xf numFmtId="0" fontId="8" fillId="0" borderId="1" xfId="39" applyFont="1" applyBorder="1" applyAlignment="1" applyProtection="1">
      <alignment vertical="center"/>
    </xf>
    <xf numFmtId="43" fontId="8" fillId="0" borderId="1" xfId="2" applyFont="1" applyFill="1" applyBorder="1" applyAlignment="1" applyProtection="1">
      <alignment vertical="center"/>
    </xf>
    <xf numFmtId="185" fontId="8" fillId="0" borderId="1" xfId="55" applyFont="1" applyFill="1" applyBorder="1" applyAlignment="1" applyProtection="1">
      <alignment horizontal="center" vertical="center"/>
    </xf>
    <xf numFmtId="0" fontId="13" fillId="0" borderId="0" xfId="0" applyFont="1" applyAlignment="1" applyProtection="1">
      <alignment vertical="center"/>
      <protection locked="0"/>
    </xf>
    <xf numFmtId="43" fontId="6" fillId="0" borderId="0" xfId="2" applyFont="1" applyFill="1" applyBorder="1" applyAlignment="1">
      <alignment vertical="center"/>
    </xf>
    <xf numFmtId="0" fontId="61" fillId="8" borderId="0" xfId="45" applyFont="1" applyFill="1" applyAlignment="1" applyProtection="1">
      <alignment horizontal="left" vertical="top" wrapText="1"/>
      <protection locked="0"/>
    </xf>
    <xf numFmtId="0" fontId="61" fillId="8" borderId="0" xfId="45" applyFont="1" applyFill="1" applyAlignment="1" applyProtection="1">
      <alignment horizontal="left" vertical="center" wrapText="1"/>
      <protection locked="0"/>
    </xf>
    <xf numFmtId="0" fontId="6" fillId="0" borderId="1" xfId="39" applyFont="1" applyBorder="1" applyAlignment="1">
      <alignment horizontal="center" vertical="center" wrapText="1"/>
      <protection locked="0"/>
    </xf>
    <xf numFmtId="0" fontId="23" fillId="0" borderId="0" xfId="37" applyFont="1" applyAlignment="1">
      <alignment horizontal="left" vertical="center"/>
      <protection locked="0"/>
    </xf>
    <xf numFmtId="43" fontId="67" fillId="0" borderId="0" xfId="48" applyNumberFormat="1" applyFont="1" applyBorder="1" applyAlignment="1">
      <alignment vertical="center"/>
    </xf>
    <xf numFmtId="0" fontId="32" fillId="0" borderId="0" xfId="0" applyFont="1" applyAlignment="1">
      <alignment horizontal="center" vertical="center"/>
    </xf>
    <xf numFmtId="0" fontId="6" fillId="0" borderId="11" xfId="37" applyFont="1" applyBorder="1" applyAlignment="1">
      <alignment horizontal="left" vertical="center" wrapText="1"/>
      <protection locked="0"/>
    </xf>
    <xf numFmtId="185" fontId="13" fillId="0" borderId="1" xfId="56" applyFont="1" applyBorder="1" applyAlignment="1">
      <alignment horizontal="left" vertical="center" wrapText="1"/>
      <protection locked="0"/>
    </xf>
    <xf numFmtId="185" fontId="31" fillId="0" borderId="1" xfId="54" applyFont="1" applyFill="1" applyBorder="1" applyAlignment="1">
      <alignment horizontal="center" vertical="center" wrapText="1"/>
    </xf>
    <xf numFmtId="0" fontId="13" fillId="0" borderId="1" xfId="57" applyFont="1" applyBorder="1" applyAlignment="1">
      <alignment horizontal="center" vertical="center" wrapText="1"/>
      <protection locked="0"/>
    </xf>
    <xf numFmtId="0" fontId="10" fillId="0" borderId="1" xfId="57" applyFont="1" applyBorder="1" applyAlignment="1">
      <alignment horizontal="center" vertical="center" wrapText="1"/>
      <protection locked="0"/>
    </xf>
    <xf numFmtId="185" fontId="30" fillId="0" borderId="1" xfId="55" applyFont="1" applyFill="1" applyBorder="1" applyAlignment="1">
      <alignment vertical="center" wrapText="1"/>
      <protection locked="0"/>
    </xf>
    <xf numFmtId="0" fontId="13" fillId="0" borderId="0" xfId="37" applyFont="1" applyBorder="1" applyAlignment="1">
      <alignment vertical="center"/>
      <protection locked="0"/>
    </xf>
    <xf numFmtId="0" fontId="10" fillId="3" borderId="1" xfId="37" applyFont="1" applyFill="1" applyBorder="1" applyAlignment="1">
      <alignment horizontal="center" vertical="center" wrapText="1"/>
      <protection locked="0"/>
    </xf>
    <xf numFmtId="0" fontId="9" fillId="7" borderId="1" xfId="0" applyFont="1" applyFill="1" applyBorder="1" applyAlignment="1">
      <alignment horizontal="center" vertical="center"/>
    </xf>
    <xf numFmtId="43" fontId="8" fillId="7" borderId="1" xfId="2" applyFont="1" applyFill="1" applyBorder="1" applyAlignment="1">
      <alignment horizontal="right" vertical="center"/>
    </xf>
    <xf numFmtId="0" fontId="25" fillId="0" borderId="0" xfId="3" applyFont="1" applyAlignment="1">
      <alignment vertical="center"/>
      <protection locked="0"/>
    </xf>
    <xf numFmtId="0" fontId="13" fillId="4" borderId="0" xfId="0" applyFont="1" applyFill="1" applyBorder="1" applyAlignment="1" applyProtection="1">
      <alignment horizontal="justify" vertical="center" wrapText="1"/>
      <protection locked="0"/>
    </xf>
    <xf numFmtId="0" fontId="22" fillId="0" borderId="1" xfId="0" applyFont="1" applyFill="1" applyBorder="1" applyAlignment="1">
      <alignment horizontal="left" vertical="center"/>
    </xf>
    <xf numFmtId="0" fontId="22" fillId="0" borderId="1" xfId="0" applyFont="1" applyFill="1" applyBorder="1">
      <alignment vertical="center"/>
    </xf>
    <xf numFmtId="0" fontId="21" fillId="7" borderId="1" xfId="0" applyFont="1" applyFill="1" applyBorder="1" applyAlignment="1">
      <alignment horizontal="center" vertical="center"/>
    </xf>
    <xf numFmtId="0" fontId="21" fillId="7" borderId="1" xfId="0" applyFont="1" applyFill="1" applyBorder="1">
      <alignment vertical="center"/>
    </xf>
    <xf numFmtId="0" fontId="3" fillId="7" borderId="0" xfId="37" applyFont="1" applyFill="1" applyAlignment="1">
      <alignment vertical="center"/>
      <protection locked="0"/>
    </xf>
    <xf numFmtId="185" fontId="10" fillId="7" borderId="1" xfId="44" applyFont="1" applyFill="1" applyBorder="1" applyAlignment="1" applyProtection="1">
      <alignment horizontal="center" vertical="center" wrapText="1"/>
      <protection locked="0"/>
    </xf>
    <xf numFmtId="0" fontId="64" fillId="0" borderId="1" xfId="37" applyFont="1" applyBorder="1" applyAlignment="1">
      <alignment horizontal="center" vertical="center" wrapText="1"/>
      <protection locked="0"/>
    </xf>
    <xf numFmtId="0" fontId="29" fillId="0" borderId="0" xfId="0" applyFont="1" applyAlignment="1" applyProtection="1">
      <alignment horizontal="center" vertical="center"/>
      <protection locked="0"/>
    </xf>
    <xf numFmtId="185" fontId="68" fillId="0" borderId="0" xfId="58" applyFont="1" applyFill="1" applyAlignment="1">
      <alignment horizontal="left" vertical="center"/>
    </xf>
    <xf numFmtId="0" fontId="32" fillId="0" borderId="0" xfId="0" applyFont="1" applyAlignment="1">
      <alignment horizontal="center" vertical="center"/>
    </xf>
    <xf numFmtId="0" fontId="5" fillId="0" borderId="0" xfId="0" applyFont="1" applyAlignment="1" applyProtection="1">
      <alignment horizontal="left" vertical="center" wrapText="1"/>
      <protection locked="0"/>
    </xf>
    <xf numFmtId="0" fontId="17" fillId="0" borderId="0" xfId="0" applyFont="1" applyAlignment="1" applyProtection="1">
      <alignment horizontal="left" vertical="center" wrapText="1"/>
      <protection locked="0"/>
    </xf>
    <xf numFmtId="0" fontId="10" fillId="7" borderId="1" xfId="39" applyFont="1" applyFill="1" applyBorder="1" applyAlignment="1">
      <alignment horizontal="center" vertical="center" wrapText="1"/>
      <protection locked="0"/>
    </xf>
    <xf numFmtId="0" fontId="4" fillId="0" borderId="0" xfId="46" applyFont="1" applyAlignment="1">
      <alignment horizontal="center" vertical="center"/>
    </xf>
    <xf numFmtId="0" fontId="29" fillId="0" borderId="0" xfId="46" applyFont="1" applyAlignment="1">
      <alignment horizontal="center" vertical="center"/>
    </xf>
    <xf numFmtId="0" fontId="10" fillId="0" borderId="0" xfId="39" applyFont="1" applyAlignment="1">
      <alignment horizontal="left" vertical="center"/>
      <protection locked="0"/>
    </xf>
    <xf numFmtId="0" fontId="10" fillId="0" borderId="0" xfId="37" applyFont="1" applyAlignment="1">
      <alignment horizontal="left" vertical="center"/>
      <protection locked="0"/>
    </xf>
    <xf numFmtId="0" fontId="3" fillId="0" borderId="0" xfId="37" applyFont="1" applyAlignment="1">
      <alignment horizontal="left" vertical="center"/>
      <protection locked="0"/>
    </xf>
    <xf numFmtId="0" fontId="60" fillId="7" borderId="1" xfId="37" applyFont="1" applyFill="1" applyBorder="1" applyAlignment="1">
      <alignment horizontal="center" vertical="center"/>
      <protection locked="0"/>
    </xf>
    <xf numFmtId="49" fontId="10" fillId="7" borderId="1" xfId="37" applyNumberFormat="1" applyFont="1" applyFill="1" applyBorder="1" applyAlignment="1">
      <alignment horizontal="center" vertical="center"/>
      <protection locked="0"/>
    </xf>
    <xf numFmtId="185" fontId="10" fillId="7" borderId="1" xfId="54" applyFont="1" applyFill="1" applyBorder="1" applyAlignment="1" applyProtection="1">
      <alignment horizontal="center" vertical="center" wrapText="1"/>
      <protection locked="0"/>
    </xf>
    <xf numFmtId="0" fontId="10" fillId="7" borderId="1" xfId="37" applyFont="1" applyFill="1" applyBorder="1" applyAlignment="1">
      <alignment horizontal="center" vertical="center" wrapText="1"/>
      <protection locked="0"/>
    </xf>
    <xf numFmtId="0" fontId="6" fillId="0" borderId="1" xfId="37" applyFont="1" applyBorder="1" applyAlignment="1">
      <alignment horizontal="left" vertical="center" wrapText="1"/>
      <protection locked="0"/>
    </xf>
    <xf numFmtId="0" fontId="3" fillId="7" borderId="1" xfId="37" applyFont="1" applyFill="1" applyBorder="1" applyAlignment="1">
      <alignment horizontal="center" vertical="center" wrapText="1"/>
      <protection locked="0"/>
    </xf>
    <xf numFmtId="0" fontId="13" fillId="0" borderId="1" xfId="37" applyFont="1" applyBorder="1" applyAlignment="1">
      <alignment horizontal="center" vertical="center" wrapText="1"/>
      <protection locked="0"/>
    </xf>
    <xf numFmtId="10" fontId="15" fillId="0" borderId="0" xfId="4" applyNumberFormat="1" applyFont="1" applyBorder="1" applyAlignment="1">
      <alignment horizontal="left" vertical="center"/>
    </xf>
    <xf numFmtId="0" fontId="14" fillId="2" borderId="1" xfId="0" applyFont="1" applyFill="1" applyBorder="1" applyAlignment="1">
      <alignment horizontal="center" vertical="center"/>
    </xf>
    <xf numFmtId="0" fontId="14" fillId="2" borderId="1" xfId="0" applyFont="1" applyFill="1" applyBorder="1">
      <alignment vertical="center"/>
    </xf>
    <xf numFmtId="0" fontId="9" fillId="2" borderId="1" xfId="0" applyFont="1" applyFill="1" applyBorder="1" applyAlignment="1">
      <alignment horizontal="center" vertical="center"/>
    </xf>
    <xf numFmtId="0" fontId="8" fillId="2" borderId="1" xfId="0" applyFont="1" applyFill="1" applyBorder="1">
      <alignment vertical="center"/>
    </xf>
    <xf numFmtId="43" fontId="4" fillId="0" borderId="0" xfId="48" applyNumberFormat="1" applyFont="1" applyBorder="1" applyAlignment="1">
      <alignment horizontal="center" vertical="center"/>
    </xf>
    <xf numFmtId="43" fontId="29" fillId="0" borderId="0" xfId="48" applyNumberFormat="1" applyFont="1" applyBorder="1" applyAlignment="1">
      <alignment horizontal="center" vertical="center"/>
    </xf>
    <xf numFmtId="0" fontId="10" fillId="2" borderId="5" xfId="42" applyFont="1" applyFill="1" applyBorder="1" applyAlignment="1" applyProtection="1">
      <alignment horizontal="center" vertical="center" wrapText="1"/>
      <protection locked="0"/>
    </xf>
    <xf numFmtId="0" fontId="3" fillId="2" borderId="6" xfId="42" applyFont="1" applyFill="1" applyBorder="1" applyAlignment="1" applyProtection="1">
      <alignment horizontal="center" vertical="center" wrapText="1"/>
      <protection locked="0"/>
    </xf>
    <xf numFmtId="0" fontId="3" fillId="2" borderId="7" xfId="42" applyFont="1" applyFill="1" applyBorder="1" applyAlignment="1" applyProtection="1">
      <alignment horizontal="center" vertical="center" wrapText="1"/>
      <protection locked="0"/>
    </xf>
    <xf numFmtId="185" fontId="9" fillId="2" borderId="1" xfId="40" applyFont="1" applyFill="1" applyBorder="1" applyAlignment="1">
      <alignment horizontal="center" vertical="center" wrapText="1"/>
      <protection locked="0"/>
    </xf>
    <xf numFmtId="185" fontId="10" fillId="2" borderId="1" xfId="40" applyFont="1" applyFill="1" applyBorder="1" applyAlignment="1">
      <alignment horizontal="center" vertical="center" wrapText="1"/>
      <protection locked="0"/>
    </xf>
    <xf numFmtId="0" fontId="4" fillId="0" borderId="0" xfId="47" applyFont="1" applyAlignment="1">
      <alignment horizontal="center" vertical="center"/>
    </xf>
    <xf numFmtId="43" fontId="29" fillId="0" borderId="0" xfId="48" applyNumberFormat="1" applyFont="1" applyFill="1" applyBorder="1" applyAlignment="1">
      <alignment horizontal="center" vertical="center"/>
    </xf>
    <xf numFmtId="0" fontId="21" fillId="2" borderId="5" xfId="0" applyFont="1" applyFill="1" applyBorder="1" applyAlignment="1">
      <alignment horizontal="center" vertical="center"/>
    </xf>
    <xf numFmtId="0" fontId="21" fillId="2" borderId="6" xfId="0" applyFont="1" applyFill="1" applyBorder="1" applyAlignment="1">
      <alignment horizontal="center" vertical="center"/>
    </xf>
    <xf numFmtId="0" fontId="21" fillId="2" borderId="7" xfId="0" applyFont="1" applyFill="1" applyBorder="1" applyAlignment="1">
      <alignment horizontal="center" vertical="center"/>
    </xf>
    <xf numFmtId="0" fontId="21" fillId="7" borderId="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4" xfId="0" applyFont="1" applyFill="1" applyBorder="1" applyAlignment="1">
      <alignment horizontal="center" vertical="center"/>
    </xf>
    <xf numFmtId="0" fontId="10" fillId="2" borderId="3" xfId="37" applyFont="1" applyFill="1" applyBorder="1" applyAlignment="1">
      <alignment horizontal="center" vertical="center" wrapText="1"/>
      <protection locked="0"/>
    </xf>
    <xf numFmtId="0" fontId="10" fillId="2" borderId="4" xfId="37" applyFont="1" applyFill="1" applyBorder="1" applyAlignment="1">
      <alignment horizontal="center" vertical="center" wrapText="1"/>
      <protection locked="0"/>
    </xf>
    <xf numFmtId="0" fontId="21" fillId="2" borderId="1" xfId="0" applyFont="1" applyFill="1" applyBorder="1" applyAlignment="1">
      <alignment horizontal="center" vertical="center"/>
    </xf>
    <xf numFmtId="43" fontId="65" fillId="0" borderId="0" xfId="48" applyNumberFormat="1" applyFont="1" applyBorder="1" applyAlignment="1">
      <alignment horizontal="center" vertical="center"/>
    </xf>
    <xf numFmtId="43" fontId="66" fillId="0" borderId="0" xfId="48" applyNumberFormat="1" applyFont="1" applyBorder="1" applyAlignment="1">
      <alignment horizontal="center" vertical="center"/>
    </xf>
    <xf numFmtId="0" fontId="16" fillId="0" borderId="0" xfId="39" applyFont="1" applyAlignment="1">
      <alignment horizontal="left" vertical="center" wrapText="1"/>
      <protection locked="0"/>
    </xf>
    <xf numFmtId="0" fontId="17" fillId="0" borderId="0" xfId="39" applyFont="1" applyAlignment="1">
      <alignment horizontal="left" vertical="center" wrapText="1"/>
      <protection locked="0"/>
    </xf>
  </cellXfs>
  <cellStyles count="59">
    <cellStyle name="@_text" xfId="6"/>
    <cellStyle name="{Comma [0]}" xfId="10"/>
    <cellStyle name="{Comma}" xfId="12"/>
    <cellStyle name="{Date}" xfId="7"/>
    <cellStyle name="{Month}" xfId="19"/>
    <cellStyle name="{Percent}" xfId="20"/>
    <cellStyle name="{Thousand [0]}" xfId="17"/>
    <cellStyle name="{Thousand}" xfId="16"/>
    <cellStyle name="{Z'0000(1 dec)}" xfId="5"/>
    <cellStyle name="{Z'0000(4 dec)}" xfId="15"/>
    <cellStyle name="Black" xfId="11"/>
    <cellStyle name="Border" xfId="21"/>
    <cellStyle name="Comma [0]_1995" xfId="9"/>
    <cellStyle name="Comma_1995" xfId="8"/>
    <cellStyle name="Currency [0]_1995" xfId="13"/>
    <cellStyle name="Currency_1995" xfId="22"/>
    <cellStyle name="Dezimal [0]_laroux" xfId="23"/>
    <cellStyle name="Dezimal_laroux" xfId="24"/>
    <cellStyle name="Euro" xfId="25"/>
    <cellStyle name="Followed Hyperlink_AheadBehind.xls Chart 23" xfId="26"/>
    <cellStyle name="Grey" xfId="27"/>
    <cellStyle name="Hyperlink_AheadBehind.xls Chart 23" xfId="18"/>
    <cellStyle name="Input [yellow]" xfId="28"/>
    <cellStyle name="Milliers [0]_laroux" xfId="29"/>
    <cellStyle name="Milliers_laroux" xfId="30"/>
    <cellStyle name="Non défini" xfId="31"/>
    <cellStyle name="Normal - Style1" xfId="32"/>
    <cellStyle name="Normal_22-Jun EUS Forecasts" xfId="33"/>
    <cellStyle name="Percent [2]" xfId="34"/>
    <cellStyle name="Red" xfId="35"/>
    <cellStyle name="百分比" xfId="4" builtinId="5"/>
    <cellStyle name="百分比 2" xfId="36"/>
    <cellStyle name="常规" xfId="0" builtinId="0"/>
    <cellStyle name="常规 11 5" xfId="58"/>
    <cellStyle name="常规 2" xfId="37"/>
    <cellStyle name="常规 2 2" xfId="55"/>
    <cellStyle name="常规 2 2 4" xfId="57"/>
    <cellStyle name="常规 2 3" xfId="38"/>
    <cellStyle name="常规 2 8" xfId="39"/>
    <cellStyle name="常规 2 8 2" xfId="56"/>
    <cellStyle name="常规 3" xfId="40"/>
    <cellStyle name="常规 3 2" xfId="41"/>
    <cellStyle name="常规 4" xfId="42"/>
    <cellStyle name="常规 4 2" xfId="43"/>
    <cellStyle name="常规 4 2 2" xfId="44"/>
    <cellStyle name="常规 7" xfId="45"/>
    <cellStyle name="常规 7 2" xfId="54"/>
    <cellStyle name="常规_Book1" xfId="46"/>
    <cellStyle name="常规_c-资产类" xfId="47"/>
    <cellStyle name="常规_新审定表" xfId="48"/>
    <cellStyle name="常规_制造费用" xfId="49"/>
    <cellStyle name="超链接" xfId="3" builtinId="8"/>
    <cellStyle name="超链接 3 2" xfId="50"/>
    <cellStyle name="普通_ 外G9(3)" xfId="51"/>
    <cellStyle name="千分位[0]_宁波" xfId="1"/>
    <cellStyle name="千分位_宁波" xfId="52"/>
    <cellStyle name="千位[0]_laroux" xfId="14"/>
    <cellStyle name="千位_laroux" xfId="53"/>
    <cellStyle name="千位分隔" xfId="2" builtinId="3"/>
  </cellStyles>
  <dxfs count="0"/>
  <tableStyles count="0" defaultTableStyle="TableStyleMedium9"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9"/>
  <sheetViews>
    <sheetView tabSelected="1" workbookViewId="0"/>
  </sheetViews>
  <sheetFormatPr defaultColWidth="9.109375" defaultRowHeight="13.8"/>
  <cols>
    <col min="1" max="1" width="93.88671875" style="69" customWidth="1"/>
    <col min="2" max="2" width="5.6640625" style="70" customWidth="1"/>
    <col min="3" max="3" width="32.44140625" style="69" customWidth="1"/>
    <col min="4" max="4" width="9.44140625" style="70" customWidth="1"/>
    <col min="5" max="5" width="9.5546875" style="69" customWidth="1"/>
    <col min="6" max="16384" width="9.109375" style="69"/>
  </cols>
  <sheetData>
    <row r="1" spans="1:6" s="66" customFormat="1" ht="22.5" customHeight="1">
      <c r="A1" s="71" t="s">
        <v>0</v>
      </c>
      <c r="D1" s="135"/>
    </row>
    <row r="2" spans="1:6" s="67" customFormat="1" ht="22.5" customHeight="1">
      <c r="A2" s="122" t="s">
        <v>198</v>
      </c>
      <c r="B2" s="157" t="s">
        <v>1</v>
      </c>
      <c r="C2" s="157"/>
      <c r="D2" s="157"/>
      <c r="E2" s="157"/>
    </row>
    <row r="3" spans="1:6" s="68" customFormat="1" ht="22.5" customHeight="1">
      <c r="A3" s="123" t="s">
        <v>205</v>
      </c>
    </row>
    <row r="4" spans="1:6" ht="16.5" customHeight="1">
      <c r="A4" s="147" t="s">
        <v>199</v>
      </c>
      <c r="B4" s="72" t="s">
        <v>2</v>
      </c>
      <c r="C4" s="72" t="s">
        <v>3</v>
      </c>
      <c r="D4" s="72" t="s">
        <v>4</v>
      </c>
      <c r="E4" s="72" t="s">
        <v>5</v>
      </c>
    </row>
    <row r="5" spans="1:6" ht="17.399999999999999" customHeight="1">
      <c r="A5" s="147" t="s">
        <v>200</v>
      </c>
      <c r="B5" s="73">
        <v>1</v>
      </c>
      <c r="C5" s="75" t="s">
        <v>156</v>
      </c>
      <c r="D5" s="73" t="s">
        <v>192</v>
      </c>
      <c r="E5" s="74"/>
    </row>
    <row r="6" spans="1:6" ht="17.399999999999999" customHeight="1">
      <c r="A6" s="147" t="s">
        <v>201</v>
      </c>
      <c r="B6" s="73">
        <v>2</v>
      </c>
      <c r="C6" s="75" t="s">
        <v>6</v>
      </c>
      <c r="D6" s="73" t="s">
        <v>193</v>
      </c>
      <c r="E6" s="76"/>
    </row>
    <row r="7" spans="1:6" ht="17.399999999999999" customHeight="1">
      <c r="A7" s="147" t="s">
        <v>202</v>
      </c>
      <c r="B7" s="73">
        <v>3</v>
      </c>
      <c r="C7" s="78" t="s">
        <v>8</v>
      </c>
      <c r="D7" s="73"/>
      <c r="E7" s="74"/>
      <c r="F7" s="128" t="s">
        <v>155</v>
      </c>
    </row>
    <row r="8" spans="1:6" ht="17.399999999999999" customHeight="1">
      <c r="B8" s="73">
        <v>4</v>
      </c>
      <c r="C8" s="78" t="s">
        <v>7</v>
      </c>
      <c r="D8" s="73"/>
      <c r="E8" s="74"/>
      <c r="F8" s="128" t="s">
        <v>155</v>
      </c>
    </row>
    <row r="9" spans="1:6" ht="17.399999999999999" customHeight="1">
      <c r="A9" s="155" t="s">
        <v>206</v>
      </c>
      <c r="B9" s="73">
        <v>5</v>
      </c>
      <c r="C9" s="78" t="s">
        <v>9</v>
      </c>
      <c r="D9" s="73" t="s">
        <v>195</v>
      </c>
      <c r="E9" s="74"/>
    </row>
    <row r="10" spans="1:6" ht="17.399999999999999" customHeight="1">
      <c r="A10" s="158" t="s">
        <v>207</v>
      </c>
      <c r="B10" s="73">
        <v>6</v>
      </c>
      <c r="C10" s="78" t="s">
        <v>124</v>
      </c>
      <c r="D10" s="73" t="s">
        <v>196</v>
      </c>
      <c r="E10" s="77"/>
    </row>
    <row r="11" spans="1:6">
      <c r="A11" s="158"/>
    </row>
    <row r="12" spans="1:6">
      <c r="A12" s="158"/>
    </row>
    <row r="13" spans="1:6">
      <c r="A13" s="158"/>
    </row>
    <row r="14" spans="1:6">
      <c r="A14" s="158" t="s">
        <v>208</v>
      </c>
    </row>
    <row r="15" spans="1:6">
      <c r="A15" s="158"/>
    </row>
    <row r="16" spans="1:6">
      <c r="A16" s="158"/>
    </row>
    <row r="17" spans="1:1">
      <c r="A17" s="159" t="s">
        <v>209</v>
      </c>
    </row>
    <row r="18" spans="1:1">
      <c r="A18" s="159"/>
    </row>
    <row r="19" spans="1:1">
      <c r="A19" s="159"/>
    </row>
  </sheetData>
  <mergeCells count="4">
    <mergeCell ref="B2:E2"/>
    <mergeCell ref="A10:A13"/>
    <mergeCell ref="A14:A16"/>
    <mergeCell ref="A17:A19"/>
  </mergeCells>
  <phoneticPr fontId="56" type="noConversion"/>
  <hyperlinks>
    <hyperlink ref="C6" location="'审定表K12-1'!Print_Area" display="审定表"/>
    <hyperlink ref="C9" location="'明细表K12-2'!Print_Area" display="明细表"/>
    <hyperlink ref="C5" location="'实质性程序表 K12A'!Print_Area" display="实质性程序表"/>
    <hyperlink ref="C10" location="'调整分录汇总K12-3'!Print_Area" display="调整分录汇总"/>
    <hyperlink ref="C8" location="'附注披露信息（国企）'!Print_Area" display="附注披露信息(国企）"/>
    <hyperlink ref="C7" location="'附注披露信息（上市公司）'!Print_Area" display="附注披露信息（上市公司）"/>
  </hyperlinks>
  <pageMargins left="0.70866141732283472" right="0.70866141732283472" top="0.74803149606299213" bottom="0.74803149606299213" header="0.31496062992125984" footer="0.31496062992125984"/>
  <pageSetup paperSize="9" orientation="portrait" blackAndWhite="1"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WVC24"/>
  <sheetViews>
    <sheetView view="pageBreakPreview" zoomScaleNormal="100" workbookViewId="0">
      <selection sqref="A1:I1"/>
    </sheetView>
  </sheetViews>
  <sheetFormatPr defaultColWidth="9" defaultRowHeight="13.8"/>
  <cols>
    <col min="1" max="1" width="5.33203125" style="57" customWidth="1"/>
    <col min="2" max="2" width="73.44140625" style="30" customWidth="1"/>
    <col min="3" max="3" width="12.44140625" style="30" customWidth="1"/>
    <col min="4" max="4" width="7.44140625" style="30" customWidth="1"/>
    <col min="5" max="6" width="7.6640625" style="30" customWidth="1"/>
    <col min="7" max="7" width="6.33203125" style="30" customWidth="1"/>
    <col min="8" max="8" width="7.5546875" style="30" customWidth="1"/>
    <col min="9" max="9" width="9.21875" style="30" customWidth="1"/>
    <col min="10" max="10" width="59.44140625" style="30" customWidth="1"/>
    <col min="11" max="248" width="9.109375" style="30"/>
    <col min="249" max="249" width="9.44140625" style="30" customWidth="1"/>
    <col min="250" max="250" width="102" style="30" customWidth="1"/>
    <col min="251" max="251" width="9" style="30" hidden="1" customWidth="1"/>
    <col min="252" max="252" width="6.109375" style="30" customWidth="1"/>
    <col min="253" max="253" width="15.5546875" style="30" customWidth="1"/>
    <col min="254" max="254" width="7.44140625" style="30" customWidth="1"/>
    <col min="255" max="255" width="7.6640625" style="30" customWidth="1"/>
    <col min="256" max="256" width="6.33203125" style="30" customWidth="1"/>
    <col min="257" max="257" width="7.5546875" style="30" customWidth="1"/>
    <col min="258" max="258" width="11" style="30" customWidth="1"/>
    <col min="259" max="259" width="11.5546875" style="30" customWidth="1"/>
    <col min="260" max="260" width="26" style="30" customWidth="1"/>
    <col min="261" max="504" width="9.109375" style="30"/>
    <col min="505" max="505" width="9.44140625" style="30" customWidth="1"/>
    <col min="506" max="506" width="102" style="30" customWidth="1"/>
    <col min="507" max="507" width="9" style="30" hidden="1" customWidth="1"/>
    <col min="508" max="508" width="6.109375" style="30" customWidth="1"/>
    <col min="509" max="509" width="15.5546875" style="30" customWidth="1"/>
    <col min="510" max="510" width="7.44140625" style="30" customWidth="1"/>
    <col min="511" max="511" width="7.6640625" style="30" customWidth="1"/>
    <col min="512" max="512" width="6.33203125" style="30" customWidth="1"/>
    <col min="513" max="513" width="7.5546875" style="30" customWidth="1"/>
    <col min="514" max="514" width="11" style="30" customWidth="1"/>
    <col min="515" max="515" width="11.5546875" style="30" customWidth="1"/>
    <col min="516" max="516" width="26" style="30" customWidth="1"/>
    <col min="517" max="760" width="9.109375" style="30"/>
    <col min="761" max="761" width="9.44140625" style="30" customWidth="1"/>
    <col min="762" max="762" width="102" style="30" customWidth="1"/>
    <col min="763" max="763" width="9" style="30" hidden="1" customWidth="1"/>
    <col min="764" max="764" width="6.109375" style="30" customWidth="1"/>
    <col min="765" max="765" width="15.5546875" style="30" customWidth="1"/>
    <col min="766" max="766" width="7.44140625" style="30" customWidth="1"/>
    <col min="767" max="767" width="7.6640625" style="30" customWidth="1"/>
    <col min="768" max="768" width="6.33203125" style="30" customWidth="1"/>
    <col min="769" max="769" width="7.5546875" style="30" customWidth="1"/>
    <col min="770" max="770" width="11" style="30" customWidth="1"/>
    <col min="771" max="771" width="11.5546875" style="30" customWidth="1"/>
    <col min="772" max="772" width="26" style="30" customWidth="1"/>
    <col min="773" max="1016" width="9.109375" style="30"/>
    <col min="1017" max="1017" width="9.44140625" style="30" customWidth="1"/>
    <col min="1018" max="1018" width="102" style="30" customWidth="1"/>
    <col min="1019" max="1019" width="9" style="30" hidden="1" customWidth="1"/>
    <col min="1020" max="1020" width="6.109375" style="30" customWidth="1"/>
    <col min="1021" max="1021" width="15.5546875" style="30" customWidth="1"/>
    <col min="1022" max="1022" width="7.44140625" style="30" customWidth="1"/>
    <col min="1023" max="1023" width="7.6640625" style="30" customWidth="1"/>
    <col min="1024" max="1024" width="6.33203125" style="30" customWidth="1"/>
    <col min="1025" max="1025" width="7.5546875" style="30" customWidth="1"/>
    <col min="1026" max="1026" width="11" style="30" customWidth="1"/>
    <col min="1027" max="1027" width="11.5546875" style="30" customWidth="1"/>
    <col min="1028" max="1028" width="26" style="30" customWidth="1"/>
    <col min="1029" max="1272" width="9.109375" style="30"/>
    <col min="1273" max="1273" width="9.44140625" style="30" customWidth="1"/>
    <col min="1274" max="1274" width="102" style="30" customWidth="1"/>
    <col min="1275" max="1275" width="9" style="30" hidden="1" customWidth="1"/>
    <col min="1276" max="1276" width="6.109375" style="30" customWidth="1"/>
    <col min="1277" max="1277" width="15.5546875" style="30" customWidth="1"/>
    <col min="1278" max="1278" width="7.44140625" style="30" customWidth="1"/>
    <col min="1279" max="1279" width="7.6640625" style="30" customWidth="1"/>
    <col min="1280" max="1280" width="6.33203125" style="30" customWidth="1"/>
    <col min="1281" max="1281" width="7.5546875" style="30" customWidth="1"/>
    <col min="1282" max="1282" width="11" style="30" customWidth="1"/>
    <col min="1283" max="1283" width="11.5546875" style="30" customWidth="1"/>
    <col min="1284" max="1284" width="26" style="30" customWidth="1"/>
    <col min="1285" max="1528" width="9.109375" style="30"/>
    <col min="1529" max="1529" width="9.44140625" style="30" customWidth="1"/>
    <col min="1530" max="1530" width="102" style="30" customWidth="1"/>
    <col min="1531" max="1531" width="9" style="30" hidden="1" customWidth="1"/>
    <col min="1532" max="1532" width="6.109375" style="30" customWidth="1"/>
    <col min="1533" max="1533" width="15.5546875" style="30" customWidth="1"/>
    <col min="1534" max="1534" width="7.44140625" style="30" customWidth="1"/>
    <col min="1535" max="1535" width="7.6640625" style="30" customWidth="1"/>
    <col min="1536" max="1536" width="6.33203125" style="30" customWidth="1"/>
    <col min="1537" max="1537" width="7.5546875" style="30" customWidth="1"/>
    <col min="1538" max="1538" width="11" style="30" customWidth="1"/>
    <col min="1539" max="1539" width="11.5546875" style="30" customWidth="1"/>
    <col min="1540" max="1540" width="26" style="30" customWidth="1"/>
    <col min="1541" max="1784" width="9.109375" style="30"/>
    <col min="1785" max="1785" width="9.44140625" style="30" customWidth="1"/>
    <col min="1786" max="1786" width="102" style="30" customWidth="1"/>
    <col min="1787" max="1787" width="9" style="30" hidden="1" customWidth="1"/>
    <col min="1788" max="1788" width="6.109375" style="30" customWidth="1"/>
    <col min="1789" max="1789" width="15.5546875" style="30" customWidth="1"/>
    <col min="1790" max="1790" width="7.44140625" style="30" customWidth="1"/>
    <col min="1791" max="1791" width="7.6640625" style="30" customWidth="1"/>
    <col min="1792" max="1792" width="6.33203125" style="30" customWidth="1"/>
    <col min="1793" max="1793" width="7.5546875" style="30" customWidth="1"/>
    <col min="1794" max="1794" width="11" style="30" customWidth="1"/>
    <col min="1795" max="1795" width="11.5546875" style="30" customWidth="1"/>
    <col min="1796" max="1796" width="26" style="30" customWidth="1"/>
    <col min="1797" max="2040" width="9.109375" style="30"/>
    <col min="2041" max="2041" width="9.44140625" style="30" customWidth="1"/>
    <col min="2042" max="2042" width="102" style="30" customWidth="1"/>
    <col min="2043" max="2043" width="9" style="30" hidden="1" customWidth="1"/>
    <col min="2044" max="2044" width="6.109375" style="30" customWidth="1"/>
    <col min="2045" max="2045" width="15.5546875" style="30" customWidth="1"/>
    <col min="2046" max="2046" width="7.44140625" style="30" customWidth="1"/>
    <col min="2047" max="2047" width="7.6640625" style="30" customWidth="1"/>
    <col min="2048" max="2048" width="6.33203125" style="30" customWidth="1"/>
    <col min="2049" max="2049" width="7.5546875" style="30" customWidth="1"/>
    <col min="2050" max="2050" width="11" style="30" customWidth="1"/>
    <col min="2051" max="2051" width="11.5546875" style="30" customWidth="1"/>
    <col min="2052" max="2052" width="26" style="30" customWidth="1"/>
    <col min="2053" max="2296" width="9.109375" style="30"/>
    <col min="2297" max="2297" width="9.44140625" style="30" customWidth="1"/>
    <col min="2298" max="2298" width="102" style="30" customWidth="1"/>
    <col min="2299" max="2299" width="9" style="30" hidden="1" customWidth="1"/>
    <col min="2300" max="2300" width="6.109375" style="30" customWidth="1"/>
    <col min="2301" max="2301" width="15.5546875" style="30" customWidth="1"/>
    <col min="2302" max="2302" width="7.44140625" style="30" customWidth="1"/>
    <col min="2303" max="2303" width="7.6640625" style="30" customWidth="1"/>
    <col min="2304" max="2304" width="6.33203125" style="30" customWidth="1"/>
    <col min="2305" max="2305" width="7.5546875" style="30" customWidth="1"/>
    <col min="2306" max="2306" width="11" style="30" customWidth="1"/>
    <col min="2307" max="2307" width="11.5546875" style="30" customWidth="1"/>
    <col min="2308" max="2308" width="26" style="30" customWidth="1"/>
    <col min="2309" max="2552" width="9.109375" style="30"/>
    <col min="2553" max="2553" width="9.44140625" style="30" customWidth="1"/>
    <col min="2554" max="2554" width="102" style="30" customWidth="1"/>
    <col min="2555" max="2555" width="9" style="30" hidden="1" customWidth="1"/>
    <col min="2556" max="2556" width="6.109375" style="30" customWidth="1"/>
    <col min="2557" max="2557" width="15.5546875" style="30" customWidth="1"/>
    <col min="2558" max="2558" width="7.44140625" style="30" customWidth="1"/>
    <col min="2559" max="2559" width="7.6640625" style="30" customWidth="1"/>
    <col min="2560" max="2560" width="6.33203125" style="30" customWidth="1"/>
    <col min="2561" max="2561" width="7.5546875" style="30" customWidth="1"/>
    <col min="2562" max="2562" width="11" style="30" customWidth="1"/>
    <col min="2563" max="2563" width="11.5546875" style="30" customWidth="1"/>
    <col min="2564" max="2564" width="26" style="30" customWidth="1"/>
    <col min="2565" max="2808" width="9.109375" style="30"/>
    <col min="2809" max="2809" width="9.44140625" style="30" customWidth="1"/>
    <col min="2810" max="2810" width="102" style="30" customWidth="1"/>
    <col min="2811" max="2811" width="9" style="30" hidden="1" customWidth="1"/>
    <col min="2812" max="2812" width="6.109375" style="30" customWidth="1"/>
    <col min="2813" max="2813" width="15.5546875" style="30" customWidth="1"/>
    <col min="2814" max="2814" width="7.44140625" style="30" customWidth="1"/>
    <col min="2815" max="2815" width="7.6640625" style="30" customWidth="1"/>
    <col min="2816" max="2816" width="6.33203125" style="30" customWidth="1"/>
    <col min="2817" max="2817" width="7.5546875" style="30" customWidth="1"/>
    <col min="2818" max="2818" width="11" style="30" customWidth="1"/>
    <col min="2819" max="2819" width="11.5546875" style="30" customWidth="1"/>
    <col min="2820" max="2820" width="26" style="30" customWidth="1"/>
    <col min="2821" max="3064" width="9.109375" style="30"/>
    <col min="3065" max="3065" width="9.44140625" style="30" customWidth="1"/>
    <col min="3066" max="3066" width="102" style="30" customWidth="1"/>
    <col min="3067" max="3067" width="9" style="30" hidden="1" customWidth="1"/>
    <col min="3068" max="3068" width="6.109375" style="30" customWidth="1"/>
    <col min="3069" max="3069" width="15.5546875" style="30" customWidth="1"/>
    <col min="3070" max="3070" width="7.44140625" style="30" customWidth="1"/>
    <col min="3071" max="3071" width="7.6640625" style="30" customWidth="1"/>
    <col min="3072" max="3072" width="6.33203125" style="30" customWidth="1"/>
    <col min="3073" max="3073" width="7.5546875" style="30" customWidth="1"/>
    <col min="3074" max="3074" width="11" style="30" customWidth="1"/>
    <col min="3075" max="3075" width="11.5546875" style="30" customWidth="1"/>
    <col min="3076" max="3076" width="26" style="30" customWidth="1"/>
    <col min="3077" max="3320" width="9.109375" style="30"/>
    <col min="3321" max="3321" width="9.44140625" style="30" customWidth="1"/>
    <col min="3322" max="3322" width="102" style="30" customWidth="1"/>
    <col min="3323" max="3323" width="9" style="30" hidden="1" customWidth="1"/>
    <col min="3324" max="3324" width="6.109375" style="30" customWidth="1"/>
    <col min="3325" max="3325" width="15.5546875" style="30" customWidth="1"/>
    <col min="3326" max="3326" width="7.44140625" style="30" customWidth="1"/>
    <col min="3327" max="3327" width="7.6640625" style="30" customWidth="1"/>
    <col min="3328" max="3328" width="6.33203125" style="30" customWidth="1"/>
    <col min="3329" max="3329" width="7.5546875" style="30" customWidth="1"/>
    <col min="3330" max="3330" width="11" style="30" customWidth="1"/>
    <col min="3331" max="3331" width="11.5546875" style="30" customWidth="1"/>
    <col min="3332" max="3332" width="26" style="30" customWidth="1"/>
    <col min="3333" max="3576" width="9.109375" style="30"/>
    <col min="3577" max="3577" width="9.44140625" style="30" customWidth="1"/>
    <col min="3578" max="3578" width="102" style="30" customWidth="1"/>
    <col min="3579" max="3579" width="9" style="30" hidden="1" customWidth="1"/>
    <col min="3580" max="3580" width="6.109375" style="30" customWidth="1"/>
    <col min="3581" max="3581" width="15.5546875" style="30" customWidth="1"/>
    <col min="3582" max="3582" width="7.44140625" style="30" customWidth="1"/>
    <col min="3583" max="3583" width="7.6640625" style="30" customWidth="1"/>
    <col min="3584" max="3584" width="6.33203125" style="30" customWidth="1"/>
    <col min="3585" max="3585" width="7.5546875" style="30" customWidth="1"/>
    <col min="3586" max="3586" width="11" style="30" customWidth="1"/>
    <col min="3587" max="3587" width="11.5546875" style="30" customWidth="1"/>
    <col min="3588" max="3588" width="26" style="30" customWidth="1"/>
    <col min="3589" max="3832" width="9.109375" style="30"/>
    <col min="3833" max="3833" width="9.44140625" style="30" customWidth="1"/>
    <col min="3834" max="3834" width="102" style="30" customWidth="1"/>
    <col min="3835" max="3835" width="9" style="30" hidden="1" customWidth="1"/>
    <col min="3836" max="3836" width="6.109375" style="30" customWidth="1"/>
    <col min="3837" max="3837" width="15.5546875" style="30" customWidth="1"/>
    <col min="3838" max="3838" width="7.44140625" style="30" customWidth="1"/>
    <col min="3839" max="3839" width="7.6640625" style="30" customWidth="1"/>
    <col min="3840" max="3840" width="6.33203125" style="30" customWidth="1"/>
    <col min="3841" max="3841" width="7.5546875" style="30" customWidth="1"/>
    <col min="3842" max="3842" width="11" style="30" customWidth="1"/>
    <col min="3843" max="3843" width="11.5546875" style="30" customWidth="1"/>
    <col min="3844" max="3844" width="26" style="30" customWidth="1"/>
    <col min="3845" max="4088" width="9.109375" style="30"/>
    <col min="4089" max="4089" width="9.44140625" style="30" customWidth="1"/>
    <col min="4090" max="4090" width="102" style="30" customWidth="1"/>
    <col min="4091" max="4091" width="9" style="30" hidden="1" customWidth="1"/>
    <col min="4092" max="4092" width="6.109375" style="30" customWidth="1"/>
    <col min="4093" max="4093" width="15.5546875" style="30" customWidth="1"/>
    <col min="4094" max="4094" width="7.44140625" style="30" customWidth="1"/>
    <col min="4095" max="4095" width="7.6640625" style="30" customWidth="1"/>
    <col min="4096" max="4096" width="6.33203125" style="30" customWidth="1"/>
    <col min="4097" max="4097" width="7.5546875" style="30" customWidth="1"/>
    <col min="4098" max="4098" width="11" style="30" customWidth="1"/>
    <col min="4099" max="4099" width="11.5546875" style="30" customWidth="1"/>
    <col min="4100" max="4100" width="26" style="30" customWidth="1"/>
    <col min="4101" max="4344" width="9.109375" style="30"/>
    <col min="4345" max="4345" width="9.44140625" style="30" customWidth="1"/>
    <col min="4346" max="4346" width="102" style="30" customWidth="1"/>
    <col min="4347" max="4347" width="9" style="30" hidden="1" customWidth="1"/>
    <col min="4348" max="4348" width="6.109375" style="30" customWidth="1"/>
    <col min="4349" max="4349" width="15.5546875" style="30" customWidth="1"/>
    <col min="4350" max="4350" width="7.44140625" style="30" customWidth="1"/>
    <col min="4351" max="4351" width="7.6640625" style="30" customWidth="1"/>
    <col min="4352" max="4352" width="6.33203125" style="30" customWidth="1"/>
    <col min="4353" max="4353" width="7.5546875" style="30" customWidth="1"/>
    <col min="4354" max="4354" width="11" style="30" customWidth="1"/>
    <col min="4355" max="4355" width="11.5546875" style="30" customWidth="1"/>
    <col min="4356" max="4356" width="26" style="30" customWidth="1"/>
    <col min="4357" max="4600" width="9.109375" style="30"/>
    <col min="4601" max="4601" width="9.44140625" style="30" customWidth="1"/>
    <col min="4602" max="4602" width="102" style="30" customWidth="1"/>
    <col min="4603" max="4603" width="9" style="30" hidden="1" customWidth="1"/>
    <col min="4604" max="4604" width="6.109375" style="30" customWidth="1"/>
    <col min="4605" max="4605" width="15.5546875" style="30" customWidth="1"/>
    <col min="4606" max="4606" width="7.44140625" style="30" customWidth="1"/>
    <col min="4607" max="4607" width="7.6640625" style="30" customWidth="1"/>
    <col min="4608" max="4608" width="6.33203125" style="30" customWidth="1"/>
    <col min="4609" max="4609" width="7.5546875" style="30" customWidth="1"/>
    <col min="4610" max="4610" width="11" style="30" customWidth="1"/>
    <col min="4611" max="4611" width="11.5546875" style="30" customWidth="1"/>
    <col min="4612" max="4612" width="26" style="30" customWidth="1"/>
    <col min="4613" max="4856" width="9.109375" style="30"/>
    <col min="4857" max="4857" width="9.44140625" style="30" customWidth="1"/>
    <col min="4858" max="4858" width="102" style="30" customWidth="1"/>
    <col min="4859" max="4859" width="9" style="30" hidden="1" customWidth="1"/>
    <col min="4860" max="4860" width="6.109375" style="30" customWidth="1"/>
    <col min="4861" max="4861" width="15.5546875" style="30" customWidth="1"/>
    <col min="4862" max="4862" width="7.44140625" style="30" customWidth="1"/>
    <col min="4863" max="4863" width="7.6640625" style="30" customWidth="1"/>
    <col min="4864" max="4864" width="6.33203125" style="30" customWidth="1"/>
    <col min="4865" max="4865" width="7.5546875" style="30" customWidth="1"/>
    <col min="4866" max="4866" width="11" style="30" customWidth="1"/>
    <col min="4867" max="4867" width="11.5546875" style="30" customWidth="1"/>
    <col min="4868" max="4868" width="26" style="30" customWidth="1"/>
    <col min="4869" max="5112" width="9.109375" style="30"/>
    <col min="5113" max="5113" width="9.44140625" style="30" customWidth="1"/>
    <col min="5114" max="5114" width="102" style="30" customWidth="1"/>
    <col min="5115" max="5115" width="9" style="30" hidden="1" customWidth="1"/>
    <col min="5116" max="5116" width="6.109375" style="30" customWidth="1"/>
    <col min="5117" max="5117" width="15.5546875" style="30" customWidth="1"/>
    <col min="5118" max="5118" width="7.44140625" style="30" customWidth="1"/>
    <col min="5119" max="5119" width="7.6640625" style="30" customWidth="1"/>
    <col min="5120" max="5120" width="6.33203125" style="30" customWidth="1"/>
    <col min="5121" max="5121" width="7.5546875" style="30" customWidth="1"/>
    <col min="5122" max="5122" width="11" style="30" customWidth="1"/>
    <col min="5123" max="5123" width="11.5546875" style="30" customWidth="1"/>
    <col min="5124" max="5124" width="26" style="30" customWidth="1"/>
    <col min="5125" max="5368" width="9.109375" style="30"/>
    <col min="5369" max="5369" width="9.44140625" style="30" customWidth="1"/>
    <col min="5370" max="5370" width="102" style="30" customWidth="1"/>
    <col min="5371" max="5371" width="9" style="30" hidden="1" customWidth="1"/>
    <col min="5372" max="5372" width="6.109375" style="30" customWidth="1"/>
    <col min="5373" max="5373" width="15.5546875" style="30" customWidth="1"/>
    <col min="5374" max="5374" width="7.44140625" style="30" customWidth="1"/>
    <col min="5375" max="5375" width="7.6640625" style="30" customWidth="1"/>
    <col min="5376" max="5376" width="6.33203125" style="30" customWidth="1"/>
    <col min="5377" max="5377" width="7.5546875" style="30" customWidth="1"/>
    <col min="5378" max="5378" width="11" style="30" customWidth="1"/>
    <col min="5379" max="5379" width="11.5546875" style="30" customWidth="1"/>
    <col min="5380" max="5380" width="26" style="30" customWidth="1"/>
    <col min="5381" max="5624" width="9.109375" style="30"/>
    <col min="5625" max="5625" width="9.44140625" style="30" customWidth="1"/>
    <col min="5626" max="5626" width="102" style="30" customWidth="1"/>
    <col min="5627" max="5627" width="9" style="30" hidden="1" customWidth="1"/>
    <col min="5628" max="5628" width="6.109375" style="30" customWidth="1"/>
    <col min="5629" max="5629" width="15.5546875" style="30" customWidth="1"/>
    <col min="5630" max="5630" width="7.44140625" style="30" customWidth="1"/>
    <col min="5631" max="5631" width="7.6640625" style="30" customWidth="1"/>
    <col min="5632" max="5632" width="6.33203125" style="30" customWidth="1"/>
    <col min="5633" max="5633" width="7.5546875" style="30" customWidth="1"/>
    <col min="5634" max="5634" width="11" style="30" customWidth="1"/>
    <col min="5635" max="5635" width="11.5546875" style="30" customWidth="1"/>
    <col min="5636" max="5636" width="26" style="30" customWidth="1"/>
    <col min="5637" max="5880" width="9.109375" style="30"/>
    <col min="5881" max="5881" width="9.44140625" style="30" customWidth="1"/>
    <col min="5882" max="5882" width="102" style="30" customWidth="1"/>
    <col min="5883" max="5883" width="9" style="30" hidden="1" customWidth="1"/>
    <col min="5884" max="5884" width="6.109375" style="30" customWidth="1"/>
    <col min="5885" max="5885" width="15.5546875" style="30" customWidth="1"/>
    <col min="5886" max="5886" width="7.44140625" style="30" customWidth="1"/>
    <col min="5887" max="5887" width="7.6640625" style="30" customWidth="1"/>
    <col min="5888" max="5888" width="6.33203125" style="30" customWidth="1"/>
    <col min="5889" max="5889" width="7.5546875" style="30" customWidth="1"/>
    <col min="5890" max="5890" width="11" style="30" customWidth="1"/>
    <col min="5891" max="5891" width="11.5546875" style="30" customWidth="1"/>
    <col min="5892" max="5892" width="26" style="30" customWidth="1"/>
    <col min="5893" max="6136" width="9.109375" style="30"/>
    <col min="6137" max="6137" width="9.44140625" style="30" customWidth="1"/>
    <col min="6138" max="6138" width="102" style="30" customWidth="1"/>
    <col min="6139" max="6139" width="9" style="30" hidden="1" customWidth="1"/>
    <col min="6140" max="6140" width="6.109375" style="30" customWidth="1"/>
    <col min="6141" max="6141" width="15.5546875" style="30" customWidth="1"/>
    <col min="6142" max="6142" width="7.44140625" style="30" customWidth="1"/>
    <col min="6143" max="6143" width="7.6640625" style="30" customWidth="1"/>
    <col min="6144" max="6144" width="6.33203125" style="30" customWidth="1"/>
    <col min="6145" max="6145" width="7.5546875" style="30" customWidth="1"/>
    <col min="6146" max="6146" width="11" style="30" customWidth="1"/>
    <col min="6147" max="6147" width="11.5546875" style="30" customWidth="1"/>
    <col min="6148" max="6148" width="26" style="30" customWidth="1"/>
    <col min="6149" max="6392" width="9.109375" style="30"/>
    <col min="6393" max="6393" width="9.44140625" style="30" customWidth="1"/>
    <col min="6394" max="6394" width="102" style="30" customWidth="1"/>
    <col min="6395" max="6395" width="9" style="30" hidden="1" customWidth="1"/>
    <col min="6396" max="6396" width="6.109375" style="30" customWidth="1"/>
    <col min="6397" max="6397" width="15.5546875" style="30" customWidth="1"/>
    <col min="6398" max="6398" width="7.44140625" style="30" customWidth="1"/>
    <col min="6399" max="6399" width="7.6640625" style="30" customWidth="1"/>
    <col min="6400" max="6400" width="6.33203125" style="30" customWidth="1"/>
    <col min="6401" max="6401" width="7.5546875" style="30" customWidth="1"/>
    <col min="6402" max="6402" width="11" style="30" customWidth="1"/>
    <col min="6403" max="6403" width="11.5546875" style="30" customWidth="1"/>
    <col min="6404" max="6404" width="26" style="30" customWidth="1"/>
    <col min="6405" max="6648" width="9.109375" style="30"/>
    <col min="6649" max="6649" width="9.44140625" style="30" customWidth="1"/>
    <col min="6650" max="6650" width="102" style="30" customWidth="1"/>
    <col min="6651" max="6651" width="9" style="30" hidden="1" customWidth="1"/>
    <col min="6652" max="6652" width="6.109375" style="30" customWidth="1"/>
    <col min="6653" max="6653" width="15.5546875" style="30" customWidth="1"/>
    <col min="6654" max="6654" width="7.44140625" style="30" customWidth="1"/>
    <col min="6655" max="6655" width="7.6640625" style="30" customWidth="1"/>
    <col min="6656" max="6656" width="6.33203125" style="30" customWidth="1"/>
    <col min="6657" max="6657" width="7.5546875" style="30" customWidth="1"/>
    <col min="6658" max="6658" width="11" style="30" customWidth="1"/>
    <col min="6659" max="6659" width="11.5546875" style="30" customWidth="1"/>
    <col min="6660" max="6660" width="26" style="30" customWidth="1"/>
    <col min="6661" max="6904" width="9.109375" style="30"/>
    <col min="6905" max="6905" width="9.44140625" style="30" customWidth="1"/>
    <col min="6906" max="6906" width="102" style="30" customWidth="1"/>
    <col min="6907" max="6907" width="9" style="30" hidden="1" customWidth="1"/>
    <col min="6908" max="6908" width="6.109375" style="30" customWidth="1"/>
    <col min="6909" max="6909" width="15.5546875" style="30" customWidth="1"/>
    <col min="6910" max="6910" width="7.44140625" style="30" customWidth="1"/>
    <col min="6911" max="6911" width="7.6640625" style="30" customWidth="1"/>
    <col min="6912" max="6912" width="6.33203125" style="30" customWidth="1"/>
    <col min="6913" max="6913" width="7.5546875" style="30" customWidth="1"/>
    <col min="6914" max="6914" width="11" style="30" customWidth="1"/>
    <col min="6915" max="6915" width="11.5546875" style="30" customWidth="1"/>
    <col min="6916" max="6916" width="26" style="30" customWidth="1"/>
    <col min="6917" max="7160" width="9.109375" style="30"/>
    <col min="7161" max="7161" width="9.44140625" style="30" customWidth="1"/>
    <col min="7162" max="7162" width="102" style="30" customWidth="1"/>
    <col min="7163" max="7163" width="9" style="30" hidden="1" customWidth="1"/>
    <col min="7164" max="7164" width="6.109375" style="30" customWidth="1"/>
    <col min="7165" max="7165" width="15.5546875" style="30" customWidth="1"/>
    <col min="7166" max="7166" width="7.44140625" style="30" customWidth="1"/>
    <col min="7167" max="7167" width="7.6640625" style="30" customWidth="1"/>
    <col min="7168" max="7168" width="6.33203125" style="30" customWidth="1"/>
    <col min="7169" max="7169" width="7.5546875" style="30" customWidth="1"/>
    <col min="7170" max="7170" width="11" style="30" customWidth="1"/>
    <col min="7171" max="7171" width="11.5546875" style="30" customWidth="1"/>
    <col min="7172" max="7172" width="26" style="30" customWidth="1"/>
    <col min="7173" max="7416" width="9.109375" style="30"/>
    <col min="7417" max="7417" width="9.44140625" style="30" customWidth="1"/>
    <col min="7418" max="7418" width="102" style="30" customWidth="1"/>
    <col min="7419" max="7419" width="9" style="30" hidden="1" customWidth="1"/>
    <col min="7420" max="7420" width="6.109375" style="30" customWidth="1"/>
    <col min="7421" max="7421" width="15.5546875" style="30" customWidth="1"/>
    <col min="7422" max="7422" width="7.44140625" style="30" customWidth="1"/>
    <col min="7423" max="7423" width="7.6640625" style="30" customWidth="1"/>
    <col min="7424" max="7424" width="6.33203125" style="30" customWidth="1"/>
    <col min="7425" max="7425" width="7.5546875" style="30" customWidth="1"/>
    <col min="7426" max="7426" width="11" style="30" customWidth="1"/>
    <col min="7427" max="7427" width="11.5546875" style="30" customWidth="1"/>
    <col min="7428" max="7428" width="26" style="30" customWidth="1"/>
    <col min="7429" max="7672" width="9.109375" style="30"/>
    <col min="7673" max="7673" width="9.44140625" style="30" customWidth="1"/>
    <col min="7674" max="7674" width="102" style="30" customWidth="1"/>
    <col min="7675" max="7675" width="9" style="30" hidden="1" customWidth="1"/>
    <col min="7676" max="7676" width="6.109375" style="30" customWidth="1"/>
    <col min="7677" max="7677" width="15.5546875" style="30" customWidth="1"/>
    <col min="7678" max="7678" width="7.44140625" style="30" customWidth="1"/>
    <col min="7679" max="7679" width="7.6640625" style="30" customWidth="1"/>
    <col min="7680" max="7680" width="6.33203125" style="30" customWidth="1"/>
    <col min="7681" max="7681" width="7.5546875" style="30" customWidth="1"/>
    <col min="7682" max="7682" width="11" style="30" customWidth="1"/>
    <col min="7683" max="7683" width="11.5546875" style="30" customWidth="1"/>
    <col min="7684" max="7684" width="26" style="30" customWidth="1"/>
    <col min="7685" max="7928" width="9.109375" style="30"/>
    <col min="7929" max="7929" width="9.44140625" style="30" customWidth="1"/>
    <col min="7930" max="7930" width="102" style="30" customWidth="1"/>
    <col min="7931" max="7931" width="9" style="30" hidden="1" customWidth="1"/>
    <col min="7932" max="7932" width="6.109375" style="30" customWidth="1"/>
    <col min="7933" max="7933" width="15.5546875" style="30" customWidth="1"/>
    <col min="7934" max="7934" width="7.44140625" style="30" customWidth="1"/>
    <col min="7935" max="7935" width="7.6640625" style="30" customWidth="1"/>
    <col min="7936" max="7936" width="6.33203125" style="30" customWidth="1"/>
    <col min="7937" max="7937" width="7.5546875" style="30" customWidth="1"/>
    <col min="7938" max="7938" width="11" style="30" customWidth="1"/>
    <col min="7939" max="7939" width="11.5546875" style="30" customWidth="1"/>
    <col min="7940" max="7940" width="26" style="30" customWidth="1"/>
    <col min="7941" max="8184" width="9.109375" style="30"/>
    <col min="8185" max="8185" width="9.44140625" style="30" customWidth="1"/>
    <col min="8186" max="8186" width="102" style="30" customWidth="1"/>
    <col min="8187" max="8187" width="9" style="30" hidden="1" customWidth="1"/>
    <col min="8188" max="8188" width="6.109375" style="30" customWidth="1"/>
    <col min="8189" max="8189" width="15.5546875" style="30" customWidth="1"/>
    <col min="8190" max="8190" width="7.44140625" style="30" customWidth="1"/>
    <col min="8191" max="8191" width="7.6640625" style="30" customWidth="1"/>
    <col min="8192" max="8192" width="6.33203125" style="30" customWidth="1"/>
    <col min="8193" max="8193" width="7.5546875" style="30" customWidth="1"/>
    <col min="8194" max="8194" width="11" style="30" customWidth="1"/>
    <col min="8195" max="8195" width="11.5546875" style="30" customWidth="1"/>
    <col min="8196" max="8196" width="26" style="30" customWidth="1"/>
    <col min="8197" max="8440" width="9.109375" style="30"/>
    <col min="8441" max="8441" width="9.44140625" style="30" customWidth="1"/>
    <col min="8442" max="8442" width="102" style="30" customWidth="1"/>
    <col min="8443" max="8443" width="9" style="30" hidden="1" customWidth="1"/>
    <col min="8444" max="8444" width="6.109375" style="30" customWidth="1"/>
    <col min="8445" max="8445" width="15.5546875" style="30" customWidth="1"/>
    <col min="8446" max="8446" width="7.44140625" style="30" customWidth="1"/>
    <col min="8447" max="8447" width="7.6640625" style="30" customWidth="1"/>
    <col min="8448" max="8448" width="6.33203125" style="30" customWidth="1"/>
    <col min="8449" max="8449" width="7.5546875" style="30" customWidth="1"/>
    <col min="8450" max="8450" width="11" style="30" customWidth="1"/>
    <col min="8451" max="8451" width="11.5546875" style="30" customWidth="1"/>
    <col min="8452" max="8452" width="26" style="30" customWidth="1"/>
    <col min="8453" max="8696" width="9.109375" style="30"/>
    <col min="8697" max="8697" width="9.44140625" style="30" customWidth="1"/>
    <col min="8698" max="8698" width="102" style="30" customWidth="1"/>
    <col min="8699" max="8699" width="9" style="30" hidden="1" customWidth="1"/>
    <col min="8700" max="8700" width="6.109375" style="30" customWidth="1"/>
    <col min="8701" max="8701" width="15.5546875" style="30" customWidth="1"/>
    <col min="8702" max="8702" width="7.44140625" style="30" customWidth="1"/>
    <col min="8703" max="8703" width="7.6640625" style="30" customWidth="1"/>
    <col min="8704" max="8704" width="6.33203125" style="30" customWidth="1"/>
    <col min="8705" max="8705" width="7.5546875" style="30" customWidth="1"/>
    <col min="8706" max="8706" width="11" style="30" customWidth="1"/>
    <col min="8707" max="8707" width="11.5546875" style="30" customWidth="1"/>
    <col min="8708" max="8708" width="26" style="30" customWidth="1"/>
    <col min="8709" max="8952" width="9.109375" style="30"/>
    <col min="8953" max="8953" width="9.44140625" style="30" customWidth="1"/>
    <col min="8954" max="8954" width="102" style="30" customWidth="1"/>
    <col min="8955" max="8955" width="9" style="30" hidden="1" customWidth="1"/>
    <col min="8956" max="8956" width="6.109375" style="30" customWidth="1"/>
    <col min="8957" max="8957" width="15.5546875" style="30" customWidth="1"/>
    <col min="8958" max="8958" width="7.44140625" style="30" customWidth="1"/>
    <col min="8959" max="8959" width="7.6640625" style="30" customWidth="1"/>
    <col min="8960" max="8960" width="6.33203125" style="30" customWidth="1"/>
    <col min="8961" max="8961" width="7.5546875" style="30" customWidth="1"/>
    <col min="8962" max="8962" width="11" style="30" customWidth="1"/>
    <col min="8963" max="8963" width="11.5546875" style="30" customWidth="1"/>
    <col min="8964" max="8964" width="26" style="30" customWidth="1"/>
    <col min="8965" max="9208" width="9.109375" style="30"/>
    <col min="9209" max="9209" width="9.44140625" style="30" customWidth="1"/>
    <col min="9210" max="9210" width="102" style="30" customWidth="1"/>
    <col min="9211" max="9211" width="9" style="30" hidden="1" customWidth="1"/>
    <col min="9212" max="9212" width="6.109375" style="30" customWidth="1"/>
    <col min="9213" max="9213" width="15.5546875" style="30" customWidth="1"/>
    <col min="9214" max="9214" width="7.44140625" style="30" customWidth="1"/>
    <col min="9215" max="9215" width="7.6640625" style="30" customWidth="1"/>
    <col min="9216" max="9216" width="6.33203125" style="30" customWidth="1"/>
    <col min="9217" max="9217" width="7.5546875" style="30" customWidth="1"/>
    <col min="9218" max="9218" width="11" style="30" customWidth="1"/>
    <col min="9219" max="9219" width="11.5546875" style="30" customWidth="1"/>
    <col min="9220" max="9220" width="26" style="30" customWidth="1"/>
    <col min="9221" max="9464" width="9.109375" style="30"/>
    <col min="9465" max="9465" width="9.44140625" style="30" customWidth="1"/>
    <col min="9466" max="9466" width="102" style="30" customWidth="1"/>
    <col min="9467" max="9467" width="9" style="30" hidden="1" customWidth="1"/>
    <col min="9468" max="9468" width="6.109375" style="30" customWidth="1"/>
    <col min="9469" max="9469" width="15.5546875" style="30" customWidth="1"/>
    <col min="9470" max="9470" width="7.44140625" style="30" customWidth="1"/>
    <col min="9471" max="9471" width="7.6640625" style="30" customWidth="1"/>
    <col min="9472" max="9472" width="6.33203125" style="30" customWidth="1"/>
    <col min="9473" max="9473" width="7.5546875" style="30" customWidth="1"/>
    <col min="9474" max="9474" width="11" style="30" customWidth="1"/>
    <col min="9475" max="9475" width="11.5546875" style="30" customWidth="1"/>
    <col min="9476" max="9476" width="26" style="30" customWidth="1"/>
    <col min="9477" max="9720" width="9.109375" style="30"/>
    <col min="9721" max="9721" width="9.44140625" style="30" customWidth="1"/>
    <col min="9722" max="9722" width="102" style="30" customWidth="1"/>
    <col min="9723" max="9723" width="9" style="30" hidden="1" customWidth="1"/>
    <col min="9724" max="9724" width="6.109375" style="30" customWidth="1"/>
    <col min="9725" max="9725" width="15.5546875" style="30" customWidth="1"/>
    <col min="9726" max="9726" width="7.44140625" style="30" customWidth="1"/>
    <col min="9727" max="9727" width="7.6640625" style="30" customWidth="1"/>
    <col min="9728" max="9728" width="6.33203125" style="30" customWidth="1"/>
    <col min="9729" max="9729" width="7.5546875" style="30" customWidth="1"/>
    <col min="9730" max="9730" width="11" style="30" customWidth="1"/>
    <col min="9731" max="9731" width="11.5546875" style="30" customWidth="1"/>
    <col min="9732" max="9732" width="26" style="30" customWidth="1"/>
    <col min="9733" max="9976" width="9.109375" style="30"/>
    <col min="9977" max="9977" width="9.44140625" style="30" customWidth="1"/>
    <col min="9978" max="9978" width="102" style="30" customWidth="1"/>
    <col min="9979" max="9979" width="9" style="30" hidden="1" customWidth="1"/>
    <col min="9980" max="9980" width="6.109375" style="30" customWidth="1"/>
    <col min="9981" max="9981" width="15.5546875" style="30" customWidth="1"/>
    <col min="9982" max="9982" width="7.44140625" style="30" customWidth="1"/>
    <col min="9983" max="9983" width="7.6640625" style="30" customWidth="1"/>
    <col min="9984" max="9984" width="6.33203125" style="30" customWidth="1"/>
    <col min="9985" max="9985" width="7.5546875" style="30" customWidth="1"/>
    <col min="9986" max="9986" width="11" style="30" customWidth="1"/>
    <col min="9987" max="9987" width="11.5546875" style="30" customWidth="1"/>
    <col min="9988" max="9988" width="26" style="30" customWidth="1"/>
    <col min="9989" max="10232" width="9.109375" style="30"/>
    <col min="10233" max="10233" width="9.44140625" style="30" customWidth="1"/>
    <col min="10234" max="10234" width="102" style="30" customWidth="1"/>
    <col min="10235" max="10235" width="9" style="30" hidden="1" customWidth="1"/>
    <col min="10236" max="10236" width="6.109375" style="30" customWidth="1"/>
    <col min="10237" max="10237" width="15.5546875" style="30" customWidth="1"/>
    <col min="10238" max="10238" width="7.44140625" style="30" customWidth="1"/>
    <col min="10239" max="10239" width="7.6640625" style="30" customWidth="1"/>
    <col min="10240" max="10240" width="6.33203125" style="30" customWidth="1"/>
    <col min="10241" max="10241" width="7.5546875" style="30" customWidth="1"/>
    <col min="10242" max="10242" width="11" style="30" customWidth="1"/>
    <col min="10243" max="10243" width="11.5546875" style="30" customWidth="1"/>
    <col min="10244" max="10244" width="26" style="30" customWidth="1"/>
    <col min="10245" max="10488" width="9.109375" style="30"/>
    <col min="10489" max="10489" width="9.44140625" style="30" customWidth="1"/>
    <col min="10490" max="10490" width="102" style="30" customWidth="1"/>
    <col min="10491" max="10491" width="9" style="30" hidden="1" customWidth="1"/>
    <col min="10492" max="10492" width="6.109375" style="30" customWidth="1"/>
    <col min="10493" max="10493" width="15.5546875" style="30" customWidth="1"/>
    <col min="10494" max="10494" width="7.44140625" style="30" customWidth="1"/>
    <col min="10495" max="10495" width="7.6640625" style="30" customWidth="1"/>
    <col min="10496" max="10496" width="6.33203125" style="30" customWidth="1"/>
    <col min="10497" max="10497" width="7.5546875" style="30" customWidth="1"/>
    <col min="10498" max="10498" width="11" style="30" customWidth="1"/>
    <col min="10499" max="10499" width="11.5546875" style="30" customWidth="1"/>
    <col min="10500" max="10500" width="26" style="30" customWidth="1"/>
    <col min="10501" max="10744" width="9.109375" style="30"/>
    <col min="10745" max="10745" width="9.44140625" style="30" customWidth="1"/>
    <col min="10746" max="10746" width="102" style="30" customWidth="1"/>
    <col min="10747" max="10747" width="9" style="30" hidden="1" customWidth="1"/>
    <col min="10748" max="10748" width="6.109375" style="30" customWidth="1"/>
    <col min="10749" max="10749" width="15.5546875" style="30" customWidth="1"/>
    <col min="10750" max="10750" width="7.44140625" style="30" customWidth="1"/>
    <col min="10751" max="10751" width="7.6640625" style="30" customWidth="1"/>
    <col min="10752" max="10752" width="6.33203125" style="30" customWidth="1"/>
    <col min="10753" max="10753" width="7.5546875" style="30" customWidth="1"/>
    <col min="10754" max="10754" width="11" style="30" customWidth="1"/>
    <col min="10755" max="10755" width="11.5546875" style="30" customWidth="1"/>
    <col min="10756" max="10756" width="26" style="30" customWidth="1"/>
    <col min="10757" max="11000" width="9.109375" style="30"/>
    <col min="11001" max="11001" width="9.44140625" style="30" customWidth="1"/>
    <col min="11002" max="11002" width="102" style="30" customWidth="1"/>
    <col min="11003" max="11003" width="9" style="30" hidden="1" customWidth="1"/>
    <col min="11004" max="11004" width="6.109375" style="30" customWidth="1"/>
    <col min="11005" max="11005" width="15.5546875" style="30" customWidth="1"/>
    <col min="11006" max="11006" width="7.44140625" style="30" customWidth="1"/>
    <col min="11007" max="11007" width="7.6640625" style="30" customWidth="1"/>
    <col min="11008" max="11008" width="6.33203125" style="30" customWidth="1"/>
    <col min="11009" max="11009" width="7.5546875" style="30" customWidth="1"/>
    <col min="11010" max="11010" width="11" style="30" customWidth="1"/>
    <col min="11011" max="11011" width="11.5546875" style="30" customWidth="1"/>
    <col min="11012" max="11012" width="26" style="30" customWidth="1"/>
    <col min="11013" max="11256" width="9.109375" style="30"/>
    <col min="11257" max="11257" width="9.44140625" style="30" customWidth="1"/>
    <col min="11258" max="11258" width="102" style="30" customWidth="1"/>
    <col min="11259" max="11259" width="9" style="30" hidden="1" customWidth="1"/>
    <col min="11260" max="11260" width="6.109375" style="30" customWidth="1"/>
    <col min="11261" max="11261" width="15.5546875" style="30" customWidth="1"/>
    <col min="11262" max="11262" width="7.44140625" style="30" customWidth="1"/>
    <col min="11263" max="11263" width="7.6640625" style="30" customWidth="1"/>
    <col min="11264" max="11264" width="6.33203125" style="30" customWidth="1"/>
    <col min="11265" max="11265" width="7.5546875" style="30" customWidth="1"/>
    <col min="11266" max="11266" width="11" style="30" customWidth="1"/>
    <col min="11267" max="11267" width="11.5546875" style="30" customWidth="1"/>
    <col min="11268" max="11268" width="26" style="30" customWidth="1"/>
    <col min="11269" max="11512" width="9.109375" style="30"/>
    <col min="11513" max="11513" width="9.44140625" style="30" customWidth="1"/>
    <col min="11514" max="11514" width="102" style="30" customWidth="1"/>
    <col min="11515" max="11515" width="9" style="30" hidden="1" customWidth="1"/>
    <col min="11516" max="11516" width="6.109375" style="30" customWidth="1"/>
    <col min="11517" max="11517" width="15.5546875" style="30" customWidth="1"/>
    <col min="11518" max="11518" width="7.44140625" style="30" customWidth="1"/>
    <col min="11519" max="11519" width="7.6640625" style="30" customWidth="1"/>
    <col min="11520" max="11520" width="6.33203125" style="30" customWidth="1"/>
    <col min="11521" max="11521" width="7.5546875" style="30" customWidth="1"/>
    <col min="11522" max="11522" width="11" style="30" customWidth="1"/>
    <col min="11523" max="11523" width="11.5546875" style="30" customWidth="1"/>
    <col min="11524" max="11524" width="26" style="30" customWidth="1"/>
    <col min="11525" max="11768" width="9.109375" style="30"/>
    <col min="11769" max="11769" width="9.44140625" style="30" customWidth="1"/>
    <col min="11770" max="11770" width="102" style="30" customWidth="1"/>
    <col min="11771" max="11771" width="9" style="30" hidden="1" customWidth="1"/>
    <col min="11772" max="11772" width="6.109375" style="30" customWidth="1"/>
    <col min="11773" max="11773" width="15.5546875" style="30" customWidth="1"/>
    <col min="11774" max="11774" width="7.44140625" style="30" customWidth="1"/>
    <col min="11775" max="11775" width="7.6640625" style="30" customWidth="1"/>
    <col min="11776" max="11776" width="6.33203125" style="30" customWidth="1"/>
    <col min="11777" max="11777" width="7.5546875" style="30" customWidth="1"/>
    <col min="11778" max="11778" width="11" style="30" customWidth="1"/>
    <col min="11779" max="11779" width="11.5546875" style="30" customWidth="1"/>
    <col min="11780" max="11780" width="26" style="30" customWidth="1"/>
    <col min="11781" max="12024" width="9.109375" style="30"/>
    <col min="12025" max="12025" width="9.44140625" style="30" customWidth="1"/>
    <col min="12026" max="12026" width="102" style="30" customWidth="1"/>
    <col min="12027" max="12027" width="9" style="30" hidden="1" customWidth="1"/>
    <col min="12028" max="12028" width="6.109375" style="30" customWidth="1"/>
    <col min="12029" max="12029" width="15.5546875" style="30" customWidth="1"/>
    <col min="12030" max="12030" width="7.44140625" style="30" customWidth="1"/>
    <col min="12031" max="12031" width="7.6640625" style="30" customWidth="1"/>
    <col min="12032" max="12032" width="6.33203125" style="30" customWidth="1"/>
    <col min="12033" max="12033" width="7.5546875" style="30" customWidth="1"/>
    <col min="12034" max="12034" width="11" style="30" customWidth="1"/>
    <col min="12035" max="12035" width="11.5546875" style="30" customWidth="1"/>
    <col min="12036" max="12036" width="26" style="30" customWidth="1"/>
    <col min="12037" max="12280" width="9.109375" style="30"/>
    <col min="12281" max="12281" width="9.44140625" style="30" customWidth="1"/>
    <col min="12282" max="12282" width="102" style="30" customWidth="1"/>
    <col min="12283" max="12283" width="9" style="30" hidden="1" customWidth="1"/>
    <col min="12284" max="12284" width="6.109375" style="30" customWidth="1"/>
    <col min="12285" max="12285" width="15.5546875" style="30" customWidth="1"/>
    <col min="12286" max="12286" width="7.44140625" style="30" customWidth="1"/>
    <col min="12287" max="12287" width="7.6640625" style="30" customWidth="1"/>
    <col min="12288" max="12288" width="6.33203125" style="30" customWidth="1"/>
    <col min="12289" max="12289" width="7.5546875" style="30" customWidth="1"/>
    <col min="12290" max="12290" width="11" style="30" customWidth="1"/>
    <col min="12291" max="12291" width="11.5546875" style="30" customWidth="1"/>
    <col min="12292" max="12292" width="26" style="30" customWidth="1"/>
    <col min="12293" max="12536" width="9.109375" style="30"/>
    <col min="12537" max="12537" width="9.44140625" style="30" customWidth="1"/>
    <col min="12538" max="12538" width="102" style="30" customWidth="1"/>
    <col min="12539" max="12539" width="9" style="30" hidden="1" customWidth="1"/>
    <col min="12540" max="12540" width="6.109375" style="30" customWidth="1"/>
    <col min="12541" max="12541" width="15.5546875" style="30" customWidth="1"/>
    <col min="12542" max="12542" width="7.44140625" style="30" customWidth="1"/>
    <col min="12543" max="12543" width="7.6640625" style="30" customWidth="1"/>
    <col min="12544" max="12544" width="6.33203125" style="30" customWidth="1"/>
    <col min="12545" max="12545" width="7.5546875" style="30" customWidth="1"/>
    <col min="12546" max="12546" width="11" style="30" customWidth="1"/>
    <col min="12547" max="12547" width="11.5546875" style="30" customWidth="1"/>
    <col min="12548" max="12548" width="26" style="30" customWidth="1"/>
    <col min="12549" max="12792" width="9.109375" style="30"/>
    <col min="12793" max="12793" width="9.44140625" style="30" customWidth="1"/>
    <col min="12794" max="12794" width="102" style="30" customWidth="1"/>
    <col min="12795" max="12795" width="9" style="30" hidden="1" customWidth="1"/>
    <col min="12796" max="12796" width="6.109375" style="30" customWidth="1"/>
    <col min="12797" max="12797" width="15.5546875" style="30" customWidth="1"/>
    <col min="12798" max="12798" width="7.44140625" style="30" customWidth="1"/>
    <col min="12799" max="12799" width="7.6640625" style="30" customWidth="1"/>
    <col min="12800" max="12800" width="6.33203125" style="30" customWidth="1"/>
    <col min="12801" max="12801" width="7.5546875" style="30" customWidth="1"/>
    <col min="12802" max="12802" width="11" style="30" customWidth="1"/>
    <col min="12803" max="12803" width="11.5546875" style="30" customWidth="1"/>
    <col min="12804" max="12804" width="26" style="30" customWidth="1"/>
    <col min="12805" max="13048" width="9.109375" style="30"/>
    <col min="13049" max="13049" width="9.44140625" style="30" customWidth="1"/>
    <col min="13050" max="13050" width="102" style="30" customWidth="1"/>
    <col min="13051" max="13051" width="9" style="30" hidden="1" customWidth="1"/>
    <col min="13052" max="13052" width="6.109375" style="30" customWidth="1"/>
    <col min="13053" max="13053" width="15.5546875" style="30" customWidth="1"/>
    <col min="13054" max="13054" width="7.44140625" style="30" customWidth="1"/>
    <col min="13055" max="13055" width="7.6640625" style="30" customWidth="1"/>
    <col min="13056" max="13056" width="6.33203125" style="30" customWidth="1"/>
    <col min="13057" max="13057" width="7.5546875" style="30" customWidth="1"/>
    <col min="13058" max="13058" width="11" style="30" customWidth="1"/>
    <col min="13059" max="13059" width="11.5546875" style="30" customWidth="1"/>
    <col min="13060" max="13060" width="26" style="30" customWidth="1"/>
    <col min="13061" max="13304" width="9.109375" style="30"/>
    <col min="13305" max="13305" width="9.44140625" style="30" customWidth="1"/>
    <col min="13306" max="13306" width="102" style="30" customWidth="1"/>
    <col min="13307" max="13307" width="9" style="30" hidden="1" customWidth="1"/>
    <col min="13308" max="13308" width="6.109375" style="30" customWidth="1"/>
    <col min="13309" max="13309" width="15.5546875" style="30" customWidth="1"/>
    <col min="13310" max="13310" width="7.44140625" style="30" customWidth="1"/>
    <col min="13311" max="13311" width="7.6640625" style="30" customWidth="1"/>
    <col min="13312" max="13312" width="6.33203125" style="30" customWidth="1"/>
    <col min="13313" max="13313" width="7.5546875" style="30" customWidth="1"/>
    <col min="13314" max="13314" width="11" style="30" customWidth="1"/>
    <col min="13315" max="13315" width="11.5546875" style="30" customWidth="1"/>
    <col min="13316" max="13316" width="26" style="30" customWidth="1"/>
    <col min="13317" max="13560" width="9.109375" style="30"/>
    <col min="13561" max="13561" width="9.44140625" style="30" customWidth="1"/>
    <col min="13562" max="13562" width="102" style="30" customWidth="1"/>
    <col min="13563" max="13563" width="9" style="30" hidden="1" customWidth="1"/>
    <col min="13564" max="13564" width="6.109375" style="30" customWidth="1"/>
    <col min="13565" max="13565" width="15.5546875" style="30" customWidth="1"/>
    <col min="13566" max="13566" width="7.44140625" style="30" customWidth="1"/>
    <col min="13567" max="13567" width="7.6640625" style="30" customWidth="1"/>
    <col min="13568" max="13568" width="6.33203125" style="30" customWidth="1"/>
    <col min="13569" max="13569" width="7.5546875" style="30" customWidth="1"/>
    <col min="13570" max="13570" width="11" style="30" customWidth="1"/>
    <col min="13571" max="13571" width="11.5546875" style="30" customWidth="1"/>
    <col min="13572" max="13572" width="26" style="30" customWidth="1"/>
    <col min="13573" max="13816" width="9.109375" style="30"/>
    <col min="13817" max="13817" width="9.44140625" style="30" customWidth="1"/>
    <col min="13818" max="13818" width="102" style="30" customWidth="1"/>
    <col min="13819" max="13819" width="9" style="30" hidden="1" customWidth="1"/>
    <col min="13820" max="13820" width="6.109375" style="30" customWidth="1"/>
    <col min="13821" max="13821" width="15.5546875" style="30" customWidth="1"/>
    <col min="13822" max="13822" width="7.44140625" style="30" customWidth="1"/>
    <col min="13823" max="13823" width="7.6640625" style="30" customWidth="1"/>
    <col min="13824" max="13824" width="6.33203125" style="30" customWidth="1"/>
    <col min="13825" max="13825" width="7.5546875" style="30" customWidth="1"/>
    <col min="13826" max="13826" width="11" style="30" customWidth="1"/>
    <col min="13827" max="13827" width="11.5546875" style="30" customWidth="1"/>
    <col min="13828" max="13828" width="26" style="30" customWidth="1"/>
    <col min="13829" max="14072" width="9.109375" style="30"/>
    <col min="14073" max="14073" width="9.44140625" style="30" customWidth="1"/>
    <col min="14074" max="14074" width="102" style="30" customWidth="1"/>
    <col min="14075" max="14075" width="9" style="30" hidden="1" customWidth="1"/>
    <col min="14076" max="14076" width="6.109375" style="30" customWidth="1"/>
    <col min="14077" max="14077" width="15.5546875" style="30" customWidth="1"/>
    <col min="14078" max="14078" width="7.44140625" style="30" customWidth="1"/>
    <col min="14079" max="14079" width="7.6640625" style="30" customWidth="1"/>
    <col min="14080" max="14080" width="6.33203125" style="30" customWidth="1"/>
    <col min="14081" max="14081" width="7.5546875" style="30" customWidth="1"/>
    <col min="14082" max="14082" width="11" style="30" customWidth="1"/>
    <col min="14083" max="14083" width="11.5546875" style="30" customWidth="1"/>
    <col min="14084" max="14084" width="26" style="30" customWidth="1"/>
    <col min="14085" max="14328" width="9.109375" style="30"/>
    <col min="14329" max="14329" width="9.44140625" style="30" customWidth="1"/>
    <col min="14330" max="14330" width="102" style="30" customWidth="1"/>
    <col min="14331" max="14331" width="9" style="30" hidden="1" customWidth="1"/>
    <col min="14332" max="14332" width="6.109375" style="30" customWidth="1"/>
    <col min="14333" max="14333" width="15.5546875" style="30" customWidth="1"/>
    <col min="14334" max="14334" width="7.44140625" style="30" customWidth="1"/>
    <col min="14335" max="14335" width="7.6640625" style="30" customWidth="1"/>
    <col min="14336" max="14336" width="6.33203125" style="30" customWidth="1"/>
    <col min="14337" max="14337" width="7.5546875" style="30" customWidth="1"/>
    <col min="14338" max="14338" width="11" style="30" customWidth="1"/>
    <col min="14339" max="14339" width="11.5546875" style="30" customWidth="1"/>
    <col min="14340" max="14340" width="26" style="30" customWidth="1"/>
    <col min="14341" max="14584" width="9.109375" style="30"/>
    <col min="14585" max="14585" width="9.44140625" style="30" customWidth="1"/>
    <col min="14586" max="14586" width="102" style="30" customWidth="1"/>
    <col min="14587" max="14587" width="9" style="30" hidden="1" customWidth="1"/>
    <col min="14588" max="14588" width="6.109375" style="30" customWidth="1"/>
    <col min="14589" max="14589" width="15.5546875" style="30" customWidth="1"/>
    <col min="14590" max="14590" width="7.44140625" style="30" customWidth="1"/>
    <col min="14591" max="14591" width="7.6640625" style="30" customWidth="1"/>
    <col min="14592" max="14592" width="6.33203125" style="30" customWidth="1"/>
    <col min="14593" max="14593" width="7.5546875" style="30" customWidth="1"/>
    <col min="14594" max="14594" width="11" style="30" customWidth="1"/>
    <col min="14595" max="14595" width="11.5546875" style="30" customWidth="1"/>
    <col min="14596" max="14596" width="26" style="30" customWidth="1"/>
    <col min="14597" max="14840" width="9.109375" style="30"/>
    <col min="14841" max="14841" width="9.44140625" style="30" customWidth="1"/>
    <col min="14842" max="14842" width="102" style="30" customWidth="1"/>
    <col min="14843" max="14843" width="9" style="30" hidden="1" customWidth="1"/>
    <col min="14844" max="14844" width="6.109375" style="30" customWidth="1"/>
    <col min="14845" max="14845" width="15.5546875" style="30" customWidth="1"/>
    <col min="14846" max="14846" width="7.44140625" style="30" customWidth="1"/>
    <col min="14847" max="14847" width="7.6640625" style="30" customWidth="1"/>
    <col min="14848" max="14848" width="6.33203125" style="30" customWidth="1"/>
    <col min="14849" max="14849" width="7.5546875" style="30" customWidth="1"/>
    <col min="14850" max="14850" width="11" style="30" customWidth="1"/>
    <col min="14851" max="14851" width="11.5546875" style="30" customWidth="1"/>
    <col min="14852" max="14852" width="26" style="30" customWidth="1"/>
    <col min="14853" max="15096" width="9.109375" style="30"/>
    <col min="15097" max="15097" width="9.44140625" style="30" customWidth="1"/>
    <col min="15098" max="15098" width="102" style="30" customWidth="1"/>
    <col min="15099" max="15099" width="9" style="30" hidden="1" customWidth="1"/>
    <col min="15100" max="15100" width="6.109375" style="30" customWidth="1"/>
    <col min="15101" max="15101" width="15.5546875" style="30" customWidth="1"/>
    <col min="15102" max="15102" width="7.44140625" style="30" customWidth="1"/>
    <col min="15103" max="15103" width="7.6640625" style="30" customWidth="1"/>
    <col min="15104" max="15104" width="6.33203125" style="30" customWidth="1"/>
    <col min="15105" max="15105" width="7.5546875" style="30" customWidth="1"/>
    <col min="15106" max="15106" width="11" style="30" customWidth="1"/>
    <col min="15107" max="15107" width="11.5546875" style="30" customWidth="1"/>
    <col min="15108" max="15108" width="26" style="30" customWidth="1"/>
    <col min="15109" max="15352" width="9.109375" style="30"/>
    <col min="15353" max="15353" width="9.44140625" style="30" customWidth="1"/>
    <col min="15354" max="15354" width="102" style="30" customWidth="1"/>
    <col min="15355" max="15355" width="9" style="30" hidden="1" customWidth="1"/>
    <col min="15356" max="15356" width="6.109375" style="30" customWidth="1"/>
    <col min="15357" max="15357" width="15.5546875" style="30" customWidth="1"/>
    <col min="15358" max="15358" width="7.44140625" style="30" customWidth="1"/>
    <col min="15359" max="15359" width="7.6640625" style="30" customWidth="1"/>
    <col min="15360" max="15360" width="6.33203125" style="30" customWidth="1"/>
    <col min="15361" max="15361" width="7.5546875" style="30" customWidth="1"/>
    <col min="15362" max="15362" width="11" style="30" customWidth="1"/>
    <col min="15363" max="15363" width="11.5546875" style="30" customWidth="1"/>
    <col min="15364" max="15364" width="26" style="30" customWidth="1"/>
    <col min="15365" max="15608" width="9.109375" style="30"/>
    <col min="15609" max="15609" width="9.44140625" style="30" customWidth="1"/>
    <col min="15610" max="15610" width="102" style="30" customWidth="1"/>
    <col min="15611" max="15611" width="9" style="30" hidden="1" customWidth="1"/>
    <col min="15612" max="15612" width="6.109375" style="30" customWidth="1"/>
    <col min="15613" max="15613" width="15.5546875" style="30" customWidth="1"/>
    <col min="15614" max="15614" width="7.44140625" style="30" customWidth="1"/>
    <col min="15615" max="15615" width="7.6640625" style="30" customWidth="1"/>
    <col min="15616" max="15616" width="6.33203125" style="30" customWidth="1"/>
    <col min="15617" max="15617" width="7.5546875" style="30" customWidth="1"/>
    <col min="15618" max="15618" width="11" style="30" customWidth="1"/>
    <col min="15619" max="15619" width="11.5546875" style="30" customWidth="1"/>
    <col min="15620" max="15620" width="26" style="30" customWidth="1"/>
    <col min="15621" max="15864" width="9.109375" style="30"/>
    <col min="15865" max="15865" width="9.44140625" style="30" customWidth="1"/>
    <col min="15866" max="15866" width="102" style="30" customWidth="1"/>
    <col min="15867" max="15867" width="9" style="30" hidden="1" customWidth="1"/>
    <col min="15868" max="15868" width="6.109375" style="30" customWidth="1"/>
    <col min="15869" max="15869" width="15.5546875" style="30" customWidth="1"/>
    <col min="15870" max="15870" width="7.44140625" style="30" customWidth="1"/>
    <col min="15871" max="15871" width="7.6640625" style="30" customWidth="1"/>
    <col min="15872" max="15872" width="6.33203125" style="30" customWidth="1"/>
    <col min="15873" max="15873" width="7.5546875" style="30" customWidth="1"/>
    <col min="15874" max="15874" width="11" style="30" customWidth="1"/>
    <col min="15875" max="15875" width="11.5546875" style="30" customWidth="1"/>
    <col min="15876" max="15876" width="26" style="30" customWidth="1"/>
    <col min="15877" max="16120" width="9.109375" style="30"/>
    <col min="16121" max="16121" width="9.44140625" style="30" customWidth="1"/>
    <col min="16122" max="16122" width="102" style="30" customWidth="1"/>
    <col min="16123" max="16123" width="9" style="30" hidden="1" customWidth="1"/>
    <col min="16124" max="16124" width="6.109375" style="30" customWidth="1"/>
    <col min="16125" max="16125" width="15.5546875" style="30" customWidth="1"/>
    <col min="16126" max="16126" width="7.44140625" style="30" customWidth="1"/>
    <col min="16127" max="16127" width="7.6640625" style="30" customWidth="1"/>
    <col min="16128" max="16128" width="6.33203125" style="30" customWidth="1"/>
    <col min="16129" max="16129" width="7.5546875" style="30" customWidth="1"/>
    <col min="16130" max="16130" width="11" style="30" customWidth="1"/>
    <col min="16131" max="16131" width="11.5546875" style="30" customWidth="1"/>
    <col min="16132" max="16132" width="26" style="30" customWidth="1"/>
    <col min="16133" max="16377" width="9.109375" style="30"/>
    <col min="16378" max="16384" width="9.109375" style="30" customWidth="1"/>
  </cols>
  <sheetData>
    <row r="1" spans="1:10" s="11" customFormat="1" ht="19.95" customHeight="1">
      <c r="A1" s="161" t="s">
        <v>10</v>
      </c>
      <c r="B1" s="161"/>
      <c r="C1" s="161"/>
      <c r="D1" s="161"/>
      <c r="E1" s="161"/>
      <c r="F1" s="161"/>
      <c r="G1" s="161"/>
      <c r="H1" s="161"/>
      <c r="I1" s="161"/>
    </row>
    <row r="2" spans="1:10" s="11" customFormat="1" ht="19.95" customHeight="1">
      <c r="A2" s="162" t="s">
        <v>11</v>
      </c>
      <c r="B2" s="162"/>
      <c r="C2" s="162"/>
      <c r="D2" s="162"/>
      <c r="E2" s="162"/>
      <c r="F2" s="162"/>
      <c r="G2" s="162"/>
      <c r="H2" s="162"/>
      <c r="I2" s="162"/>
    </row>
    <row r="3" spans="1:10" s="12" customFormat="1" ht="19.95" customHeight="1">
      <c r="A3" s="12" t="str">
        <f>底稿目录!A2</f>
        <v>被审计单位：</v>
      </c>
      <c r="C3" s="12" t="str">
        <f>底稿目录!A4</f>
        <v>编制人：</v>
      </c>
      <c r="E3" s="12" t="str">
        <f>底稿目录!A5</f>
        <v>编制日期：</v>
      </c>
      <c r="H3" s="12" t="s">
        <v>115</v>
      </c>
      <c r="I3" s="146" t="str">
        <f>底稿目录!D5</f>
        <v>K11A</v>
      </c>
    </row>
    <row r="4" spans="1:10" s="12" customFormat="1" ht="19.95" customHeight="1">
      <c r="A4" s="12" t="str">
        <f>底稿目录!A3</f>
        <v>会计期间：202X年度</v>
      </c>
      <c r="C4" s="12" t="str">
        <f>底稿目录!A6</f>
        <v>复核人：</v>
      </c>
      <c r="E4" s="12" t="str">
        <f>底稿目录!A7</f>
        <v>复核日期：</v>
      </c>
      <c r="H4" s="12" t="s">
        <v>116</v>
      </c>
      <c r="I4" s="58"/>
    </row>
    <row r="5" spans="1:10" ht="19.95" customHeight="1">
      <c r="A5" s="163" t="s">
        <v>132</v>
      </c>
      <c r="B5" s="163"/>
    </row>
    <row r="6" spans="1:10" ht="19.95" customHeight="1">
      <c r="A6" s="142" t="s">
        <v>13</v>
      </c>
      <c r="B6" s="105"/>
      <c r="C6" s="105"/>
      <c r="D6" s="105"/>
      <c r="E6" s="105"/>
      <c r="F6" s="105"/>
      <c r="G6" s="105"/>
      <c r="H6" s="105"/>
      <c r="I6" s="105"/>
    </row>
    <row r="7" spans="1:10" s="12" customFormat="1" ht="19.95" customHeight="1">
      <c r="A7" s="104" t="s">
        <v>133</v>
      </c>
      <c r="B7" s="103"/>
      <c r="C7" s="59"/>
    </row>
    <row r="8" spans="1:10" s="12" customFormat="1" ht="19.95" customHeight="1">
      <c r="A8" s="160" t="s">
        <v>144</v>
      </c>
      <c r="B8" s="160"/>
      <c r="C8" s="160"/>
      <c r="D8" s="160"/>
      <c r="E8" s="160"/>
      <c r="F8" s="160"/>
      <c r="G8" s="171" t="s">
        <v>14</v>
      </c>
      <c r="H8" s="171"/>
      <c r="I8" s="171"/>
    </row>
    <row r="9" spans="1:10" s="12" customFormat="1" ht="19.95" customHeight="1">
      <c r="A9" s="170" t="s">
        <v>176</v>
      </c>
      <c r="B9" s="170"/>
      <c r="C9" s="170"/>
      <c r="D9" s="170"/>
      <c r="E9" s="170"/>
      <c r="F9" s="170"/>
      <c r="G9" s="172" t="s">
        <v>134</v>
      </c>
      <c r="H9" s="172"/>
      <c r="I9" s="172"/>
    </row>
    <row r="10" spans="1:10" s="12" customFormat="1" ht="19.95" customHeight="1">
      <c r="A10" s="170" t="s">
        <v>177</v>
      </c>
      <c r="B10" s="170"/>
      <c r="C10" s="170"/>
      <c r="D10" s="170"/>
      <c r="E10" s="170"/>
      <c r="F10" s="170"/>
      <c r="G10" s="172" t="s">
        <v>179</v>
      </c>
      <c r="H10" s="172"/>
      <c r="I10" s="172"/>
    </row>
    <row r="11" spans="1:10" s="12" customFormat="1" ht="19.95" customHeight="1">
      <c r="A11" s="170" t="s">
        <v>178</v>
      </c>
      <c r="B11" s="170"/>
      <c r="C11" s="170"/>
      <c r="D11" s="170"/>
      <c r="E11" s="170"/>
      <c r="F11" s="170"/>
      <c r="G11" s="172" t="s">
        <v>180</v>
      </c>
      <c r="H11" s="172"/>
      <c r="I11" s="172"/>
    </row>
    <row r="12" spans="1:10" s="12" customFormat="1" ht="19.95" customHeight="1">
      <c r="A12" s="170" t="s">
        <v>203</v>
      </c>
      <c r="B12" s="170"/>
      <c r="C12" s="170"/>
      <c r="D12" s="170"/>
      <c r="E12" s="170"/>
      <c r="F12" s="170"/>
      <c r="G12" s="172" t="s">
        <v>181</v>
      </c>
      <c r="H12" s="172"/>
      <c r="I12" s="172"/>
    </row>
    <row r="13" spans="1:10" s="12" customFormat="1" ht="19.95" customHeight="1">
      <c r="A13" s="170" t="s">
        <v>204</v>
      </c>
      <c r="B13" s="170"/>
      <c r="C13" s="170"/>
      <c r="D13" s="170"/>
      <c r="E13" s="170"/>
      <c r="F13" s="170"/>
      <c r="G13" s="172" t="s">
        <v>182</v>
      </c>
      <c r="H13" s="172"/>
      <c r="I13" s="172"/>
    </row>
    <row r="14" spans="1:10" s="12" customFormat="1" ht="19.95" customHeight="1">
      <c r="A14" s="164" t="s">
        <v>19</v>
      </c>
      <c r="B14" s="165"/>
      <c r="C14" s="136"/>
      <c r="D14" s="106"/>
      <c r="E14" s="106"/>
      <c r="F14" s="106"/>
      <c r="G14" s="106"/>
      <c r="H14" s="106"/>
      <c r="I14" s="106"/>
    </row>
    <row r="15" spans="1:10" s="12" customFormat="1" ht="19.95" customHeight="1">
      <c r="A15" s="167" t="s">
        <v>135</v>
      </c>
      <c r="B15" s="168" t="s">
        <v>211</v>
      </c>
      <c r="C15" s="169" t="s">
        <v>136</v>
      </c>
      <c r="D15" s="166" t="s">
        <v>137</v>
      </c>
      <c r="E15" s="166"/>
      <c r="F15" s="166"/>
      <c r="G15" s="166"/>
      <c r="H15" s="166"/>
      <c r="I15" s="160" t="s">
        <v>157</v>
      </c>
    </row>
    <row r="16" spans="1:10" s="14" customFormat="1" ht="19.95" customHeight="1">
      <c r="A16" s="167"/>
      <c r="B16" s="168"/>
      <c r="C16" s="169"/>
      <c r="D16" s="143" t="s">
        <v>15</v>
      </c>
      <c r="E16" s="143" t="s">
        <v>138</v>
      </c>
      <c r="F16" s="143" t="s">
        <v>16</v>
      </c>
      <c r="G16" s="143" t="s">
        <v>17</v>
      </c>
      <c r="H16" s="143" t="s">
        <v>150</v>
      </c>
      <c r="I16" s="160"/>
      <c r="J16" s="156" t="s">
        <v>210</v>
      </c>
    </row>
    <row r="17" spans="1:10" s="14" customFormat="1" ht="42" customHeight="1">
      <c r="A17" s="109" t="s">
        <v>139</v>
      </c>
      <c r="B17" s="113" t="s">
        <v>183</v>
      </c>
      <c r="C17" s="60" t="s">
        <v>140</v>
      </c>
      <c r="D17" s="139" t="s">
        <v>188</v>
      </c>
      <c r="E17" s="139" t="s">
        <v>188</v>
      </c>
      <c r="F17" s="140" t="s">
        <v>188</v>
      </c>
      <c r="G17" s="60"/>
      <c r="H17" s="60"/>
      <c r="I17" s="107" t="s">
        <v>197</v>
      </c>
    </row>
    <row r="18" spans="1:10" s="14" customFormat="1" ht="49.8" customHeight="1">
      <c r="A18" s="109" t="s">
        <v>22</v>
      </c>
      <c r="B18" s="110" t="s">
        <v>147</v>
      </c>
      <c r="C18" s="60" t="s">
        <v>142</v>
      </c>
      <c r="D18" s="141"/>
      <c r="E18" s="140" t="s">
        <v>188</v>
      </c>
      <c r="F18" s="139" t="s">
        <v>188</v>
      </c>
      <c r="G18" s="60"/>
      <c r="H18" s="60"/>
      <c r="I18" s="154" t="s">
        <v>143</v>
      </c>
      <c r="J18" s="130" t="s">
        <v>158</v>
      </c>
    </row>
    <row r="19" spans="1:10" s="14" customFormat="1" ht="32.4" customHeight="1">
      <c r="A19" s="109" t="s">
        <v>23</v>
      </c>
      <c r="B19" s="110" t="s">
        <v>148</v>
      </c>
      <c r="C19" s="111" t="s">
        <v>149</v>
      </c>
      <c r="D19" s="138" t="s">
        <v>188</v>
      </c>
      <c r="E19" s="138" t="s">
        <v>189</v>
      </c>
      <c r="F19" s="138" t="s">
        <v>188</v>
      </c>
      <c r="G19" s="112"/>
      <c r="H19" s="112"/>
      <c r="I19" s="107" t="s">
        <v>197</v>
      </c>
      <c r="J19" s="131" t="s">
        <v>159</v>
      </c>
    </row>
    <row r="20" spans="1:10" s="14" customFormat="1" ht="45.6" customHeight="1">
      <c r="A20" s="109" t="s">
        <v>24</v>
      </c>
      <c r="B20" s="61" t="s">
        <v>184</v>
      </c>
      <c r="C20" s="108" t="s">
        <v>21</v>
      </c>
      <c r="D20" s="60" t="s">
        <v>141</v>
      </c>
      <c r="E20" s="60" t="s">
        <v>141</v>
      </c>
      <c r="F20" s="60" t="s">
        <v>141</v>
      </c>
      <c r="G20" s="60" t="s">
        <v>141</v>
      </c>
      <c r="H20" s="114"/>
      <c r="I20" s="107" t="s">
        <v>194</v>
      </c>
    </row>
    <row r="21" spans="1:10" s="12" customFormat="1" ht="35.4" customHeight="1">
      <c r="A21" s="109" t="s">
        <v>145</v>
      </c>
      <c r="B21" s="137" t="s">
        <v>185</v>
      </c>
      <c r="C21" s="138" t="s">
        <v>187</v>
      </c>
      <c r="D21" s="60"/>
      <c r="E21" s="60"/>
      <c r="F21" s="60"/>
      <c r="G21" s="60"/>
      <c r="H21" s="114"/>
      <c r="I21" s="107"/>
    </row>
    <row r="22" spans="1:10" s="12" customFormat="1" ht="31.8" customHeight="1">
      <c r="A22" s="109" t="s">
        <v>146</v>
      </c>
      <c r="B22" s="137" t="s">
        <v>186</v>
      </c>
      <c r="C22" s="108" t="s">
        <v>21</v>
      </c>
      <c r="D22" s="114"/>
      <c r="E22" s="114"/>
      <c r="F22" s="114"/>
      <c r="G22" s="114"/>
      <c r="H22" s="60" t="s">
        <v>18</v>
      </c>
      <c r="I22" s="132" t="s">
        <v>160</v>
      </c>
    </row>
    <row r="23" spans="1:10" s="12" customFormat="1" ht="27.75" customHeight="1">
      <c r="A23" s="62"/>
      <c r="B23" s="63"/>
      <c r="C23" s="64"/>
      <c r="D23" s="65"/>
      <c r="E23" s="65"/>
      <c r="F23" s="65"/>
      <c r="G23" s="65"/>
      <c r="H23" s="65"/>
      <c r="I23" s="65"/>
    </row>
    <row r="24" spans="1:10" ht="24" customHeight="1"/>
  </sheetData>
  <mergeCells count="21">
    <mergeCell ref="A8:F8"/>
    <mergeCell ref="A9:F9"/>
    <mergeCell ref="A10:F10"/>
    <mergeCell ref="A11:F11"/>
    <mergeCell ref="A12:F12"/>
    <mergeCell ref="I15:I16"/>
    <mergeCell ref="A1:I1"/>
    <mergeCell ref="A2:I2"/>
    <mergeCell ref="A5:B5"/>
    <mergeCell ref="A14:B14"/>
    <mergeCell ref="D15:H15"/>
    <mergeCell ref="A15:A16"/>
    <mergeCell ref="B15:B16"/>
    <mergeCell ref="C15:C16"/>
    <mergeCell ref="A13:F13"/>
    <mergeCell ref="G8:I8"/>
    <mergeCell ref="G9:I9"/>
    <mergeCell ref="G10:I10"/>
    <mergeCell ref="G11:I11"/>
    <mergeCell ref="G12:I12"/>
    <mergeCell ref="G13:I13"/>
  </mergeCells>
  <phoneticPr fontId="56"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20" orientation="portrait" blackAndWhite="1" r:id="rId1"/>
  <headerFooter alignWithMargins="0">
    <oddFooter xml:space="preserve">&amp;C&amp;P/&amp;N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L37"/>
  <sheetViews>
    <sheetView view="pageBreakPreview" zoomScaleNormal="100" workbookViewId="0">
      <selection sqref="A1:J1"/>
    </sheetView>
  </sheetViews>
  <sheetFormatPr defaultColWidth="9.109375" defaultRowHeight="23.25" customHeight="1"/>
  <cols>
    <col min="1" max="1" width="30.5546875" style="16" customWidth="1"/>
    <col min="2" max="7" width="11.33203125" style="16" customWidth="1"/>
    <col min="8" max="9" width="12" style="16" customWidth="1"/>
    <col min="10" max="11" width="13.33203125" style="16" customWidth="1"/>
    <col min="12" max="12" width="8.33203125" style="16" customWidth="1"/>
    <col min="13" max="13" width="6.5546875" style="16" customWidth="1"/>
    <col min="14" max="14" width="11.33203125" style="16" customWidth="1"/>
    <col min="15" max="15" width="7.44140625" style="16" customWidth="1"/>
    <col min="16" max="16" width="5.6640625" style="16" customWidth="1"/>
    <col min="17" max="16384" width="9.109375" style="16"/>
  </cols>
  <sheetData>
    <row r="1" spans="1:10" s="38" customFormat="1" ht="19.95" customHeight="1">
      <c r="A1" s="178" t="s">
        <v>10</v>
      </c>
      <c r="B1" s="178"/>
      <c r="C1" s="178"/>
      <c r="D1" s="178"/>
      <c r="E1" s="178"/>
      <c r="F1" s="178"/>
      <c r="G1" s="178"/>
      <c r="H1" s="178"/>
      <c r="I1" s="178"/>
      <c r="J1" s="178"/>
    </row>
    <row r="2" spans="1:10" s="38" customFormat="1" ht="19.95" customHeight="1">
      <c r="A2" s="179" t="s">
        <v>25</v>
      </c>
      <c r="B2" s="179"/>
      <c r="C2" s="179"/>
      <c r="D2" s="179"/>
      <c r="E2" s="179"/>
      <c r="F2" s="179"/>
      <c r="G2" s="179"/>
      <c r="H2" s="179"/>
      <c r="I2" s="179"/>
      <c r="J2" s="179"/>
    </row>
    <row r="3" spans="1:10" ht="19.95" customHeight="1">
      <c r="A3" s="16" t="str">
        <f>底稿目录!A2</f>
        <v>被审计单位：</v>
      </c>
      <c r="C3" s="41" t="str">
        <f>底稿目录!A4</f>
        <v>编制人：</v>
      </c>
      <c r="F3" s="42" t="str">
        <f>底稿目录!A5</f>
        <v>编制日期：</v>
      </c>
      <c r="I3" s="92" t="s">
        <v>117</v>
      </c>
      <c r="J3" s="146" t="str">
        <f>底稿目录!D6</f>
        <v>K11-1</v>
      </c>
    </row>
    <row r="4" spans="1:10" ht="19.95" customHeight="1">
      <c r="A4" s="16" t="str">
        <f>底稿目录!A3</f>
        <v>会计期间：202X年度</v>
      </c>
      <c r="B4" s="43"/>
      <c r="C4" s="41" t="str">
        <f>底稿目录!A6</f>
        <v>复核人：</v>
      </c>
      <c r="F4" s="42" t="str">
        <f>底稿目录!A7</f>
        <v>复核日期：</v>
      </c>
      <c r="I4" s="92" t="s">
        <v>118</v>
      </c>
      <c r="J4" s="93">
        <v>1</v>
      </c>
    </row>
    <row r="5" spans="1:10" ht="19.95" customHeight="1">
      <c r="A5" s="174" t="s">
        <v>26</v>
      </c>
      <c r="B5" s="180" t="s">
        <v>27</v>
      </c>
      <c r="C5" s="181"/>
      <c r="D5" s="182"/>
      <c r="E5" s="180" t="s">
        <v>28</v>
      </c>
      <c r="F5" s="181"/>
      <c r="G5" s="182"/>
      <c r="H5" s="183" t="s">
        <v>29</v>
      </c>
      <c r="I5" s="184"/>
      <c r="J5" s="176" t="s">
        <v>30</v>
      </c>
    </row>
    <row r="6" spans="1:10" ht="19.95" customHeight="1">
      <c r="A6" s="175"/>
      <c r="B6" s="45" t="s">
        <v>31</v>
      </c>
      <c r="C6" s="45" t="s">
        <v>32</v>
      </c>
      <c r="D6" s="45" t="s">
        <v>33</v>
      </c>
      <c r="E6" s="45" t="s">
        <v>31</v>
      </c>
      <c r="F6" s="45" t="s">
        <v>32</v>
      </c>
      <c r="G6" s="45" t="s">
        <v>33</v>
      </c>
      <c r="H6" s="46" t="s">
        <v>34</v>
      </c>
      <c r="I6" s="44" t="s">
        <v>35</v>
      </c>
      <c r="J6" s="177"/>
    </row>
    <row r="7" spans="1:10" s="39" customFormat="1" ht="19.95" customHeight="1">
      <c r="A7" s="47" t="str">
        <f>'明细表K11-2'!B11</f>
        <v>合同资产减值损失</v>
      </c>
      <c r="B7" s="94">
        <f>'明细表K11-2'!F11</f>
        <v>0</v>
      </c>
      <c r="C7" s="94">
        <f>'明细表K11-2'!G11</f>
        <v>0</v>
      </c>
      <c r="D7" s="94">
        <f>'明细表K11-2'!H11</f>
        <v>0</v>
      </c>
      <c r="E7" s="94">
        <f>'明细表K11-2'!C11</f>
        <v>0</v>
      </c>
      <c r="F7" s="94">
        <f>'明细表K11-2'!D11</f>
        <v>0</v>
      </c>
      <c r="G7" s="94">
        <f>'明细表K11-2'!E11</f>
        <v>0</v>
      </c>
      <c r="H7" s="95">
        <f>G7-D7</f>
        <v>0</v>
      </c>
      <c r="I7" s="96">
        <f t="shared" ref="I7:I26" si="0">IF(AND(D7=0,G7=0),0,IF(AND(D7=0,G7&gt;0),1,H7/D7))</f>
        <v>0</v>
      </c>
      <c r="J7" s="56"/>
    </row>
    <row r="8" spans="1:10" s="39" customFormat="1" ht="19.95" customHeight="1">
      <c r="A8" s="47" t="str">
        <f>'明细表K11-2'!B12</f>
        <v>存货跌价损失</v>
      </c>
      <c r="B8" s="94">
        <f>'明细表K11-2'!F12</f>
        <v>0</v>
      </c>
      <c r="C8" s="94">
        <f>'明细表K11-2'!G12</f>
        <v>0</v>
      </c>
      <c r="D8" s="94">
        <f>'明细表K11-2'!H12</f>
        <v>0</v>
      </c>
      <c r="E8" s="94">
        <f>'明细表K11-2'!C12</f>
        <v>0</v>
      </c>
      <c r="F8" s="94">
        <f>'明细表K11-2'!D12</f>
        <v>0</v>
      </c>
      <c r="G8" s="94">
        <f>'明细表K11-2'!E12</f>
        <v>0</v>
      </c>
      <c r="H8" s="95">
        <f t="shared" ref="H8:H25" si="1">G8-D8</f>
        <v>0</v>
      </c>
      <c r="I8" s="96">
        <f t="shared" ref="I8:I25" si="2">IF(AND(D8=0,G8=0),0,IF(AND(D8=0,G8&gt;0),1,H8/D8))</f>
        <v>0</v>
      </c>
      <c r="J8" s="56"/>
    </row>
    <row r="9" spans="1:10" s="39" customFormat="1" ht="19.95" customHeight="1">
      <c r="A9" s="47" t="str">
        <f>'明细表K11-2'!B13</f>
        <v>合同取得成本减值损失</v>
      </c>
      <c r="B9" s="94">
        <f>'明细表K11-2'!F13</f>
        <v>0</v>
      </c>
      <c r="C9" s="94">
        <f>'明细表K11-2'!G13</f>
        <v>0</v>
      </c>
      <c r="D9" s="94">
        <f>'明细表K11-2'!H13</f>
        <v>0</v>
      </c>
      <c r="E9" s="94">
        <f>'明细表K11-2'!C13</f>
        <v>0</v>
      </c>
      <c r="F9" s="94">
        <f>'明细表K11-2'!D13</f>
        <v>0</v>
      </c>
      <c r="G9" s="94">
        <f>'明细表K11-2'!E13</f>
        <v>0</v>
      </c>
      <c r="H9" s="95">
        <f t="shared" si="1"/>
        <v>0</v>
      </c>
      <c r="I9" s="96">
        <f t="shared" si="2"/>
        <v>0</v>
      </c>
      <c r="J9" s="56"/>
    </row>
    <row r="10" spans="1:10" s="39" customFormat="1" ht="19.95" customHeight="1">
      <c r="A10" s="47" t="str">
        <f>'明细表K11-2'!B14</f>
        <v>合同履约成本减值损失</v>
      </c>
      <c r="B10" s="94">
        <f>'明细表K11-2'!F14</f>
        <v>0</v>
      </c>
      <c r="C10" s="94">
        <f>'明细表K11-2'!G14</f>
        <v>0</v>
      </c>
      <c r="D10" s="94">
        <f>'明细表K11-2'!H14</f>
        <v>0</v>
      </c>
      <c r="E10" s="94">
        <f>'明细表K11-2'!C14</f>
        <v>0</v>
      </c>
      <c r="F10" s="94">
        <f>'明细表K11-2'!D14</f>
        <v>0</v>
      </c>
      <c r="G10" s="94">
        <f>'明细表K11-2'!E14</f>
        <v>0</v>
      </c>
      <c r="H10" s="95">
        <f t="shared" si="1"/>
        <v>0</v>
      </c>
      <c r="I10" s="96">
        <f t="shared" si="2"/>
        <v>0</v>
      </c>
      <c r="J10" s="56"/>
    </row>
    <row r="11" spans="1:10" s="39" customFormat="1" ht="19.95" customHeight="1">
      <c r="A11" s="47" t="str">
        <f>'明细表K11-2'!B15</f>
        <v>持有待售资产减值损失</v>
      </c>
      <c r="B11" s="94">
        <f>'明细表K11-2'!F15</f>
        <v>0</v>
      </c>
      <c r="C11" s="94">
        <f>'明细表K11-2'!G15</f>
        <v>0</v>
      </c>
      <c r="D11" s="94">
        <f>'明细表K11-2'!H15</f>
        <v>0</v>
      </c>
      <c r="E11" s="94">
        <f>'明细表K11-2'!C15</f>
        <v>0</v>
      </c>
      <c r="F11" s="94">
        <f>'明细表K11-2'!D15</f>
        <v>0</v>
      </c>
      <c r="G11" s="94">
        <f>'明细表K11-2'!E15</f>
        <v>0</v>
      </c>
      <c r="H11" s="95">
        <f t="shared" si="1"/>
        <v>0</v>
      </c>
      <c r="I11" s="96">
        <f t="shared" si="2"/>
        <v>0</v>
      </c>
      <c r="J11" s="56"/>
    </row>
    <row r="12" spans="1:10" s="39" customFormat="1" ht="19.95" customHeight="1">
      <c r="A12" s="47" t="str">
        <f>'明细表K11-2'!B16</f>
        <v>其他权益工具投资减值损失</v>
      </c>
      <c r="B12" s="94">
        <f>'明细表K11-2'!F16</f>
        <v>0</v>
      </c>
      <c r="C12" s="94">
        <f>'明细表K11-2'!G16</f>
        <v>0</v>
      </c>
      <c r="D12" s="94">
        <f>'明细表K11-2'!H16</f>
        <v>0</v>
      </c>
      <c r="E12" s="94">
        <f>'明细表K11-2'!C16</f>
        <v>0</v>
      </c>
      <c r="F12" s="94">
        <f>'明细表K11-2'!D16</f>
        <v>0</v>
      </c>
      <c r="G12" s="94">
        <f>'明细表K11-2'!E16</f>
        <v>0</v>
      </c>
      <c r="H12" s="95">
        <f t="shared" si="1"/>
        <v>0</v>
      </c>
      <c r="I12" s="96">
        <f t="shared" si="2"/>
        <v>0</v>
      </c>
      <c r="J12" s="56"/>
    </row>
    <row r="13" spans="1:10" s="39" customFormat="1" ht="19.95" customHeight="1">
      <c r="A13" s="47" t="str">
        <f>'明细表K11-2'!B17</f>
        <v>其他非流动金融资产减值损失</v>
      </c>
      <c r="B13" s="94">
        <f>'明细表K11-2'!F17</f>
        <v>0</v>
      </c>
      <c r="C13" s="94">
        <f>'明细表K11-2'!G17</f>
        <v>0</v>
      </c>
      <c r="D13" s="94">
        <f>'明细表K11-2'!H17</f>
        <v>0</v>
      </c>
      <c r="E13" s="94">
        <f>'明细表K11-2'!C17</f>
        <v>0</v>
      </c>
      <c r="F13" s="94">
        <f>'明细表K11-2'!D17</f>
        <v>0</v>
      </c>
      <c r="G13" s="94">
        <f>'明细表K11-2'!E17</f>
        <v>0</v>
      </c>
      <c r="H13" s="95">
        <f t="shared" si="1"/>
        <v>0</v>
      </c>
      <c r="I13" s="96">
        <f t="shared" si="2"/>
        <v>0</v>
      </c>
      <c r="J13" s="56"/>
    </row>
    <row r="14" spans="1:10" s="39" customFormat="1" ht="19.95" customHeight="1">
      <c r="A14" s="47" t="str">
        <f>'明细表K11-2'!B18</f>
        <v>长期股权投资减值损失</v>
      </c>
      <c r="B14" s="94">
        <f>'明细表K11-2'!F18</f>
        <v>0</v>
      </c>
      <c r="C14" s="94">
        <f>'明细表K11-2'!G18</f>
        <v>0</v>
      </c>
      <c r="D14" s="94">
        <f>'明细表K11-2'!H18</f>
        <v>0</v>
      </c>
      <c r="E14" s="94">
        <f>'明细表K11-2'!C18</f>
        <v>0</v>
      </c>
      <c r="F14" s="94">
        <f>'明细表K11-2'!D18</f>
        <v>0</v>
      </c>
      <c r="G14" s="94">
        <f>'明细表K11-2'!E18</f>
        <v>0</v>
      </c>
      <c r="H14" s="95">
        <f t="shared" si="1"/>
        <v>0</v>
      </c>
      <c r="I14" s="96">
        <f t="shared" si="2"/>
        <v>0</v>
      </c>
      <c r="J14" s="56"/>
    </row>
    <row r="15" spans="1:10" s="39" customFormat="1" ht="19.95" customHeight="1">
      <c r="A15" s="47" t="str">
        <f>'明细表K11-2'!B19</f>
        <v>投资性房地产减值损失</v>
      </c>
      <c r="B15" s="94">
        <f>'明细表K11-2'!F19</f>
        <v>0</v>
      </c>
      <c r="C15" s="94">
        <f>'明细表K11-2'!G19</f>
        <v>0</v>
      </c>
      <c r="D15" s="94">
        <f>'明细表K11-2'!H19</f>
        <v>0</v>
      </c>
      <c r="E15" s="94">
        <f>'明细表K11-2'!C19</f>
        <v>0</v>
      </c>
      <c r="F15" s="94">
        <f>'明细表K11-2'!D19</f>
        <v>0</v>
      </c>
      <c r="G15" s="94">
        <f>'明细表K11-2'!E19</f>
        <v>0</v>
      </c>
      <c r="H15" s="95">
        <f t="shared" si="1"/>
        <v>0</v>
      </c>
      <c r="I15" s="96">
        <f t="shared" si="2"/>
        <v>0</v>
      </c>
      <c r="J15" s="56"/>
    </row>
    <row r="16" spans="1:10" s="39" customFormat="1" ht="19.95" customHeight="1">
      <c r="A16" s="47" t="str">
        <f>'明细表K11-2'!B20</f>
        <v>固定资产减值损失</v>
      </c>
      <c r="B16" s="94">
        <f>'明细表K11-2'!F20</f>
        <v>0</v>
      </c>
      <c r="C16" s="94">
        <f>'明细表K11-2'!G20</f>
        <v>0</v>
      </c>
      <c r="D16" s="94">
        <f>'明细表K11-2'!H20</f>
        <v>0</v>
      </c>
      <c r="E16" s="94">
        <f>'明细表K11-2'!C20</f>
        <v>0</v>
      </c>
      <c r="F16" s="94">
        <f>'明细表K11-2'!D20</f>
        <v>0</v>
      </c>
      <c r="G16" s="94">
        <f>'明细表K11-2'!E20</f>
        <v>0</v>
      </c>
      <c r="H16" s="95">
        <f t="shared" si="1"/>
        <v>0</v>
      </c>
      <c r="I16" s="96">
        <f t="shared" si="2"/>
        <v>0</v>
      </c>
      <c r="J16" s="56"/>
    </row>
    <row r="17" spans="1:12" s="39" customFormat="1" ht="19.95" customHeight="1">
      <c r="A17" s="47" t="str">
        <f>'明细表K11-2'!B21</f>
        <v>工程物资减值损失</v>
      </c>
      <c r="B17" s="94">
        <f>'明细表K11-2'!F21</f>
        <v>0</v>
      </c>
      <c r="C17" s="94">
        <f>'明细表K11-2'!G21</f>
        <v>0</v>
      </c>
      <c r="D17" s="94">
        <f>'明细表K11-2'!H21</f>
        <v>0</v>
      </c>
      <c r="E17" s="94">
        <f>'明细表K11-2'!C21</f>
        <v>0</v>
      </c>
      <c r="F17" s="94">
        <f>'明细表K11-2'!D21</f>
        <v>0</v>
      </c>
      <c r="G17" s="94">
        <f>'明细表K11-2'!E21</f>
        <v>0</v>
      </c>
      <c r="H17" s="95">
        <f t="shared" si="1"/>
        <v>0</v>
      </c>
      <c r="I17" s="96">
        <f t="shared" si="2"/>
        <v>0</v>
      </c>
      <c r="J17" s="56"/>
    </row>
    <row r="18" spans="1:12" s="39" customFormat="1" ht="19.95" customHeight="1">
      <c r="A18" s="47" t="str">
        <f>'明细表K11-2'!B22</f>
        <v>在建工程减值损失</v>
      </c>
      <c r="B18" s="94">
        <f>'明细表K11-2'!F22</f>
        <v>0</v>
      </c>
      <c r="C18" s="94">
        <f>'明细表K11-2'!G22</f>
        <v>0</v>
      </c>
      <c r="D18" s="94">
        <f>'明细表K11-2'!H22</f>
        <v>0</v>
      </c>
      <c r="E18" s="94">
        <f>'明细表K11-2'!C22</f>
        <v>0</v>
      </c>
      <c r="F18" s="94">
        <f>'明细表K11-2'!D22</f>
        <v>0</v>
      </c>
      <c r="G18" s="94">
        <f>'明细表K11-2'!E22</f>
        <v>0</v>
      </c>
      <c r="H18" s="95">
        <f t="shared" si="1"/>
        <v>0</v>
      </c>
      <c r="I18" s="96">
        <f t="shared" si="2"/>
        <v>0</v>
      </c>
      <c r="J18" s="56"/>
    </row>
    <row r="19" spans="1:12" s="39" customFormat="1" ht="19.95" customHeight="1">
      <c r="A19" s="47" t="str">
        <f>'明细表K11-2'!B23</f>
        <v>生产性生物资产减值损失</v>
      </c>
      <c r="B19" s="94">
        <f>'明细表K11-2'!F23</f>
        <v>0</v>
      </c>
      <c r="C19" s="94">
        <f>'明细表K11-2'!G23</f>
        <v>0</v>
      </c>
      <c r="D19" s="94">
        <f>'明细表K11-2'!H23</f>
        <v>0</v>
      </c>
      <c r="E19" s="94">
        <f>'明细表K11-2'!C23</f>
        <v>0</v>
      </c>
      <c r="F19" s="94">
        <f>'明细表K11-2'!D23</f>
        <v>0</v>
      </c>
      <c r="G19" s="94">
        <f>'明细表K11-2'!E23</f>
        <v>0</v>
      </c>
      <c r="H19" s="95">
        <f t="shared" si="1"/>
        <v>0</v>
      </c>
      <c r="I19" s="96">
        <f t="shared" si="2"/>
        <v>0</v>
      </c>
      <c r="J19" s="56"/>
    </row>
    <row r="20" spans="1:12" s="39" customFormat="1" ht="19.95" customHeight="1">
      <c r="A20" s="47" t="str">
        <f>'明细表K11-2'!B24</f>
        <v>油气资产减值损失</v>
      </c>
      <c r="B20" s="94">
        <f>'明细表K11-2'!F24</f>
        <v>0</v>
      </c>
      <c r="C20" s="94">
        <f>'明细表K11-2'!G24</f>
        <v>0</v>
      </c>
      <c r="D20" s="94">
        <f>'明细表K11-2'!H24</f>
        <v>0</v>
      </c>
      <c r="E20" s="94">
        <f>'明细表K11-2'!C24</f>
        <v>0</v>
      </c>
      <c r="F20" s="94">
        <f>'明细表K11-2'!D24</f>
        <v>0</v>
      </c>
      <c r="G20" s="94">
        <f>'明细表K11-2'!E24</f>
        <v>0</v>
      </c>
      <c r="H20" s="95">
        <f t="shared" si="1"/>
        <v>0</v>
      </c>
      <c r="I20" s="96">
        <f t="shared" si="2"/>
        <v>0</v>
      </c>
      <c r="J20" s="56"/>
    </row>
    <row r="21" spans="1:12" s="39" customFormat="1" ht="19.95" customHeight="1">
      <c r="A21" s="47" t="str">
        <f>'明细表K11-2'!B25</f>
        <v>使用权资产减值损失</v>
      </c>
      <c r="B21" s="94">
        <f>'明细表K11-2'!F25</f>
        <v>0</v>
      </c>
      <c r="C21" s="94">
        <f>'明细表K11-2'!G25</f>
        <v>0</v>
      </c>
      <c r="D21" s="94">
        <f>'明细表K11-2'!H25</f>
        <v>0</v>
      </c>
      <c r="E21" s="94">
        <f>'明细表K11-2'!C25</f>
        <v>0</v>
      </c>
      <c r="F21" s="94">
        <f>'明细表K11-2'!D25</f>
        <v>0</v>
      </c>
      <c r="G21" s="94">
        <f>'明细表K11-2'!E25</f>
        <v>0</v>
      </c>
      <c r="H21" s="95">
        <f t="shared" si="1"/>
        <v>0</v>
      </c>
      <c r="I21" s="96">
        <f t="shared" si="2"/>
        <v>0</v>
      </c>
      <c r="J21" s="56"/>
    </row>
    <row r="22" spans="1:12" s="39" customFormat="1" ht="19.95" customHeight="1">
      <c r="A22" s="47" t="str">
        <f>'明细表K11-2'!B26</f>
        <v>无形资产减值损失</v>
      </c>
      <c r="B22" s="94">
        <f>'明细表K11-2'!F26</f>
        <v>0</v>
      </c>
      <c r="C22" s="94">
        <f>'明细表K11-2'!G26</f>
        <v>0</v>
      </c>
      <c r="D22" s="94">
        <f>'明细表K11-2'!H26</f>
        <v>0</v>
      </c>
      <c r="E22" s="94">
        <f>'明细表K11-2'!C26</f>
        <v>0</v>
      </c>
      <c r="F22" s="94">
        <f>'明细表K11-2'!D26</f>
        <v>0</v>
      </c>
      <c r="G22" s="94">
        <f>'明细表K11-2'!E26</f>
        <v>0</v>
      </c>
      <c r="H22" s="95">
        <f t="shared" si="1"/>
        <v>0</v>
      </c>
      <c r="I22" s="96">
        <f t="shared" si="2"/>
        <v>0</v>
      </c>
      <c r="J22" s="56"/>
    </row>
    <row r="23" spans="1:12" s="39" customFormat="1" ht="19.95" customHeight="1">
      <c r="A23" s="47" t="str">
        <f>'明细表K11-2'!B27</f>
        <v>商誉减值损失</v>
      </c>
      <c r="B23" s="94">
        <f>'明细表K11-2'!F27</f>
        <v>0</v>
      </c>
      <c r="C23" s="94">
        <f>'明细表K11-2'!G27</f>
        <v>0</v>
      </c>
      <c r="D23" s="94">
        <f>'明细表K11-2'!H27</f>
        <v>0</v>
      </c>
      <c r="E23" s="94">
        <f>'明细表K11-2'!C27</f>
        <v>0</v>
      </c>
      <c r="F23" s="94">
        <f>'明细表K11-2'!D27</f>
        <v>0</v>
      </c>
      <c r="G23" s="94">
        <f>'明细表K11-2'!E27</f>
        <v>0</v>
      </c>
      <c r="H23" s="95">
        <f t="shared" si="1"/>
        <v>0</v>
      </c>
      <c r="I23" s="96">
        <f t="shared" si="2"/>
        <v>0</v>
      </c>
      <c r="J23" s="56"/>
    </row>
    <row r="24" spans="1:12" s="39" customFormat="1" ht="19.95" customHeight="1">
      <c r="A24" s="47" t="s">
        <v>113</v>
      </c>
      <c r="B24" s="94">
        <f>'明细表K11-2'!F28</f>
        <v>0</v>
      </c>
      <c r="C24" s="94">
        <f>'明细表K11-2'!G28</f>
        <v>0</v>
      </c>
      <c r="D24" s="94">
        <f>'明细表K11-2'!H28</f>
        <v>0</v>
      </c>
      <c r="E24" s="94">
        <f>'明细表K11-2'!C28</f>
        <v>0</v>
      </c>
      <c r="F24" s="94">
        <f>'明细表K11-2'!D28</f>
        <v>0</v>
      </c>
      <c r="G24" s="94">
        <f>'明细表K11-2'!E28</f>
        <v>0</v>
      </c>
      <c r="H24" s="95">
        <f t="shared" si="1"/>
        <v>0</v>
      </c>
      <c r="I24" s="96">
        <f t="shared" si="2"/>
        <v>0</v>
      </c>
      <c r="J24" s="56"/>
    </row>
    <row r="25" spans="1:12" s="39" customFormat="1" ht="19.95" customHeight="1">
      <c r="A25" s="47" t="s">
        <v>114</v>
      </c>
      <c r="B25" s="94">
        <f>'明细表K11-2'!F29</f>
        <v>0</v>
      </c>
      <c r="C25" s="94">
        <f>'明细表K11-2'!G29</f>
        <v>0</v>
      </c>
      <c r="D25" s="94">
        <f>'明细表K11-2'!H29</f>
        <v>0</v>
      </c>
      <c r="E25" s="94">
        <f>'明细表K11-2'!C29</f>
        <v>0</v>
      </c>
      <c r="F25" s="94">
        <f>'明细表K11-2'!D29</f>
        <v>0</v>
      </c>
      <c r="G25" s="94">
        <f>'明细表K11-2'!E29</f>
        <v>0</v>
      </c>
      <c r="H25" s="95">
        <f t="shared" si="1"/>
        <v>0</v>
      </c>
      <c r="I25" s="96">
        <f t="shared" si="2"/>
        <v>0</v>
      </c>
      <c r="J25" s="56"/>
    </row>
    <row r="26" spans="1:12" s="39" customFormat="1" ht="19.95" customHeight="1">
      <c r="A26" s="48" t="s">
        <v>36</v>
      </c>
      <c r="B26" s="94">
        <f t="shared" ref="B26:G26" si="3">SUM(B7:B25)</f>
        <v>0</v>
      </c>
      <c r="C26" s="94">
        <f t="shared" si="3"/>
        <v>0</v>
      </c>
      <c r="D26" s="94">
        <f t="shared" si="3"/>
        <v>0</v>
      </c>
      <c r="E26" s="94">
        <f t="shared" si="3"/>
        <v>0</v>
      </c>
      <c r="F26" s="94">
        <f t="shared" si="3"/>
        <v>0</v>
      </c>
      <c r="G26" s="94">
        <f t="shared" si="3"/>
        <v>0</v>
      </c>
      <c r="H26" s="95">
        <f t="shared" ref="H26" si="4">G26-D26</f>
        <v>0</v>
      </c>
      <c r="I26" s="96">
        <f t="shared" si="0"/>
        <v>0</v>
      </c>
      <c r="J26" s="56"/>
    </row>
    <row r="27" spans="1:12" s="39" customFormat="1" ht="19.95" customHeight="1">
      <c r="A27" s="120" t="s">
        <v>154</v>
      </c>
      <c r="B27" s="22"/>
      <c r="C27" s="22"/>
      <c r="D27" s="22"/>
      <c r="E27" s="22"/>
      <c r="F27" s="22"/>
      <c r="G27" s="22"/>
      <c r="H27" s="22"/>
      <c r="I27" s="22"/>
      <c r="J27" s="22"/>
    </row>
    <row r="28" spans="1:12" s="39" customFormat="1" ht="19.95" customHeight="1">
      <c r="A28" s="144" t="s">
        <v>37</v>
      </c>
      <c r="B28" s="145">
        <f>B26-B27</f>
        <v>0</v>
      </c>
      <c r="C28" s="145">
        <f t="shared" ref="C28:G28" si="5">C26-C27</f>
        <v>0</v>
      </c>
      <c r="D28" s="145">
        <f t="shared" si="5"/>
        <v>0</v>
      </c>
      <c r="E28" s="145">
        <f t="shared" si="5"/>
        <v>0</v>
      </c>
      <c r="F28" s="145">
        <f t="shared" si="5"/>
        <v>0</v>
      </c>
      <c r="G28" s="145">
        <f t="shared" si="5"/>
        <v>0</v>
      </c>
      <c r="H28" s="145"/>
      <c r="I28" s="145"/>
      <c r="J28" s="145"/>
    </row>
    <row r="29" spans="1:12" s="40" customFormat="1" ht="19.95" customHeight="1">
      <c r="A29" s="121" t="s">
        <v>161</v>
      </c>
      <c r="B29" s="7"/>
      <c r="C29" s="7"/>
      <c r="D29" s="7"/>
      <c r="E29" s="49"/>
      <c r="F29" s="49"/>
      <c r="G29" s="50"/>
      <c r="H29" s="50"/>
      <c r="I29" s="16"/>
      <c r="J29" s="16"/>
      <c r="K29" s="16"/>
      <c r="L29" s="16"/>
    </row>
    <row r="30" spans="1:12" s="2" customFormat="1" ht="19.95" customHeight="1">
      <c r="A30" s="51" t="s">
        <v>38</v>
      </c>
      <c r="B30" s="8"/>
      <c r="C30" s="8"/>
      <c r="D30" s="52"/>
      <c r="E30" s="173"/>
      <c r="F30" s="173"/>
      <c r="G30" s="16"/>
      <c r="H30" s="16"/>
      <c r="I30" s="16"/>
      <c r="J30" s="16"/>
      <c r="K30" s="16"/>
      <c r="L30" s="16"/>
    </row>
    <row r="31" spans="1:12" s="40" customFormat="1" ht="19.95" customHeight="1">
      <c r="A31" s="51" t="s">
        <v>39</v>
      </c>
      <c r="B31" s="8"/>
      <c r="C31" s="8"/>
      <c r="D31" s="8"/>
      <c r="E31" s="8"/>
      <c r="F31" s="8"/>
      <c r="G31" s="16"/>
      <c r="H31" s="16"/>
      <c r="I31" s="16"/>
      <c r="J31" s="16"/>
      <c r="K31" s="16"/>
      <c r="L31" s="16"/>
    </row>
    <row r="32" spans="1:12" s="2" customFormat="1" ht="19.95" customHeight="1">
      <c r="A32" s="51"/>
      <c r="B32" s="8"/>
      <c r="C32" s="8"/>
      <c r="D32" s="8"/>
      <c r="E32" s="8"/>
      <c r="F32" s="8"/>
      <c r="G32" s="16"/>
      <c r="H32" s="16"/>
      <c r="I32" s="16"/>
      <c r="J32" s="16"/>
      <c r="K32" s="16"/>
      <c r="L32" s="16"/>
    </row>
    <row r="33" spans="1:12" s="2" customFormat="1" ht="19.95" customHeight="1">
      <c r="A33" s="53" t="s">
        <v>40</v>
      </c>
      <c r="B33" s="9"/>
      <c r="C33" s="9"/>
      <c r="D33" s="9"/>
      <c r="E33" s="9"/>
      <c r="F33" s="9"/>
      <c r="G33" s="16"/>
      <c r="H33" s="16"/>
      <c r="I33" s="16"/>
      <c r="J33" s="16"/>
      <c r="K33" s="16"/>
      <c r="L33" s="16"/>
    </row>
    <row r="34" spans="1:12" ht="19.95" customHeight="1">
      <c r="A34" s="53"/>
      <c r="B34" s="9"/>
      <c r="C34" s="9"/>
      <c r="D34" s="9"/>
      <c r="E34" s="9"/>
      <c r="F34" s="9"/>
    </row>
    <row r="35" spans="1:12" ht="19.95" customHeight="1">
      <c r="A35" s="121" t="s">
        <v>153</v>
      </c>
      <c r="B35" s="8"/>
      <c r="C35" s="8"/>
      <c r="D35" s="8"/>
      <c r="E35" s="55"/>
      <c r="F35" s="55"/>
    </row>
    <row r="36" spans="1:12" ht="19.95" customHeight="1">
      <c r="A36" s="54"/>
      <c r="B36" s="8"/>
      <c r="C36" s="8"/>
      <c r="D36" s="8"/>
      <c r="E36" s="8"/>
      <c r="F36" s="8"/>
    </row>
    <row r="37" spans="1:12" ht="20.100000000000001" customHeight="1">
      <c r="A37" s="54"/>
      <c r="B37" s="8"/>
      <c r="C37" s="8"/>
      <c r="D37" s="8"/>
      <c r="E37" s="8"/>
      <c r="F37" s="8"/>
    </row>
  </sheetData>
  <mergeCells count="8">
    <mergeCell ref="E30:F30"/>
    <mergeCell ref="A5:A6"/>
    <mergeCell ref="J5:J6"/>
    <mergeCell ref="A1:J1"/>
    <mergeCell ref="A2:J2"/>
    <mergeCell ref="B5:D5"/>
    <mergeCell ref="E5:G5"/>
    <mergeCell ref="H5:I5"/>
  </mergeCells>
  <phoneticPr fontId="56" type="noConversion"/>
  <hyperlinks>
    <hyperlink ref="J3" location="底稿目录!A1" display="底稿目录!A1"/>
  </hyperlinks>
  <printOptions horizontalCentered="1"/>
  <pageMargins left="0.74803149606299202" right="0.35433070866141703" top="0.59055118110236204" bottom="0.27559055118110198" header="0.511811023622047" footer="0.196850393700787"/>
  <pageSetup paperSize="9" scale="75" fitToHeight="0" orientation="portrait" blackAndWhite="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A30"/>
  <sheetViews>
    <sheetView showGridLines="0" view="pageBreakPreview" zoomScale="115" zoomScaleNormal="100" zoomScaleSheetLayoutView="115" workbookViewId="0">
      <pane xSplit="1" ySplit="1" topLeftCell="B2" activePane="bottomRight" state="frozen"/>
      <selection pane="topRight"/>
      <selection pane="bottomLeft"/>
      <selection pane="bottomRight" activeCell="C17" sqref="C17"/>
    </sheetView>
  </sheetViews>
  <sheetFormatPr defaultColWidth="11.33203125" defaultRowHeight="20.25" customHeight="1"/>
  <cols>
    <col min="1" max="1" width="34" style="84" customWidth="1"/>
    <col min="2" max="3" width="20.6640625" style="84" customWidth="1"/>
    <col min="4" max="4" width="6.21875" style="84" customWidth="1"/>
    <col min="5" max="5" width="7.6640625" style="84" customWidth="1"/>
    <col min="6" max="11" width="18.5546875" style="36" customWidth="1"/>
    <col min="12" max="12" width="20" style="36" customWidth="1"/>
    <col min="13" max="13" width="18" style="36" customWidth="1"/>
    <col min="14" max="14" width="19.5546875" style="36" customWidth="1"/>
    <col min="15" max="16" width="14.5546875" style="36" customWidth="1"/>
    <col min="17" max="17" width="17" style="36" customWidth="1"/>
    <col min="18" max="19" width="14.5546875" style="36" customWidth="1"/>
    <col min="20" max="20" width="15.6640625" style="36" customWidth="1"/>
    <col min="21" max="26" width="14.5546875" style="36" customWidth="1"/>
    <col min="27" max="27" width="16.5546875" style="36" customWidth="1"/>
    <col min="28" max="28" width="11.33203125" style="36" customWidth="1"/>
    <col min="29" max="16384" width="11.33203125" style="36"/>
  </cols>
  <sheetData>
    <row r="1" spans="1:27" s="35" customFormat="1" ht="19.95" customHeight="1">
      <c r="A1" s="185" t="s">
        <v>10</v>
      </c>
      <c r="B1" s="185"/>
      <c r="C1" s="185"/>
      <c r="D1" s="185"/>
      <c r="E1" s="185"/>
      <c r="F1" s="37"/>
      <c r="G1" s="37"/>
      <c r="H1" s="37"/>
      <c r="I1" s="37"/>
      <c r="J1" s="37"/>
      <c r="K1" s="37"/>
      <c r="L1" s="37"/>
      <c r="M1" s="37"/>
      <c r="N1" s="37"/>
      <c r="O1" s="37"/>
      <c r="P1" s="37"/>
      <c r="Q1" s="37"/>
      <c r="R1" s="37"/>
      <c r="S1" s="37"/>
      <c r="T1" s="37"/>
      <c r="U1" s="37"/>
      <c r="V1" s="37"/>
      <c r="W1" s="37"/>
      <c r="X1" s="37"/>
      <c r="Y1" s="37"/>
      <c r="Z1" s="37"/>
      <c r="AA1" s="37"/>
    </row>
    <row r="2" spans="1:27" ht="19.95" customHeight="1">
      <c r="A2" s="186" t="s">
        <v>104</v>
      </c>
      <c r="B2" s="186"/>
      <c r="C2" s="186"/>
      <c r="D2" s="186"/>
      <c r="E2" s="186"/>
    </row>
    <row r="3" spans="1:27" ht="19.95" customHeight="1">
      <c r="A3" s="2" t="str">
        <f>底稿目录!A2</f>
        <v>被审计单位：</v>
      </c>
      <c r="B3" s="2" t="str">
        <f>底稿目录!A4</f>
        <v>编制人：</v>
      </c>
      <c r="C3" s="79" t="str">
        <f>底稿目录!A5</f>
        <v>编制日期：</v>
      </c>
      <c r="D3" s="79" t="s">
        <v>119</v>
      </c>
      <c r="E3" s="129">
        <f>底稿目录!D7</f>
        <v>0</v>
      </c>
    </row>
    <row r="4" spans="1:27" ht="19.95" customHeight="1">
      <c r="A4" s="2" t="str">
        <f>底稿目录!A3</f>
        <v>会计期间：202X年度</v>
      </c>
      <c r="B4" s="2" t="str">
        <f>底稿目录!A6</f>
        <v>复核人：</v>
      </c>
      <c r="C4" s="79" t="str">
        <f>底稿目录!A7</f>
        <v>复核日期：</v>
      </c>
      <c r="D4" s="79" t="s">
        <v>120</v>
      </c>
      <c r="E4" s="99">
        <v>1</v>
      </c>
    </row>
    <row r="5" spans="1:27" ht="19.95" customHeight="1" thickBot="1">
      <c r="A5" s="85" t="s">
        <v>110</v>
      </c>
      <c r="B5" s="85"/>
      <c r="C5" s="85"/>
      <c r="D5" s="85"/>
      <c r="E5" s="81"/>
    </row>
    <row r="6" spans="1:27" ht="19.95" customHeight="1" thickBot="1">
      <c r="A6" s="86" t="s">
        <v>108</v>
      </c>
      <c r="B6" s="86" t="s">
        <v>111</v>
      </c>
      <c r="C6" s="86" t="s">
        <v>112</v>
      </c>
      <c r="D6" s="97"/>
      <c r="E6" s="81"/>
    </row>
    <row r="7" spans="1:27" ht="19.95" customHeight="1">
      <c r="A7" s="87" t="str">
        <f>'审定表K11-1'!A7</f>
        <v>合同资产减值损失</v>
      </c>
      <c r="B7" s="89">
        <f>'审定表K11-1'!G7</f>
        <v>0</v>
      </c>
      <c r="C7" s="89">
        <f>'审定表K11-1'!D7</f>
        <v>0</v>
      </c>
      <c r="D7" s="89"/>
      <c r="E7" s="81"/>
    </row>
    <row r="8" spans="1:27" ht="19.95" customHeight="1">
      <c r="A8" s="87" t="str">
        <f>'审定表K11-1'!A8</f>
        <v>存货跌价损失</v>
      </c>
      <c r="B8" s="89">
        <f>'审定表K11-1'!G8</f>
        <v>0</v>
      </c>
      <c r="C8" s="89">
        <f>'审定表K11-1'!D8</f>
        <v>0</v>
      </c>
      <c r="D8" s="89"/>
      <c r="E8" s="81"/>
    </row>
    <row r="9" spans="1:27" ht="19.95" customHeight="1">
      <c r="A9" s="87" t="str">
        <f>'审定表K11-1'!A9</f>
        <v>合同取得成本减值损失</v>
      </c>
      <c r="B9" s="89">
        <f>'审定表K11-1'!G9</f>
        <v>0</v>
      </c>
      <c r="C9" s="89">
        <f>'审定表K11-1'!D9</f>
        <v>0</v>
      </c>
      <c r="D9" s="89"/>
      <c r="E9" s="81"/>
    </row>
    <row r="10" spans="1:27" ht="19.95" customHeight="1">
      <c r="A10" s="87" t="str">
        <f>'审定表K11-1'!A10</f>
        <v>合同履约成本减值损失</v>
      </c>
      <c r="B10" s="89">
        <f>'审定表K11-1'!G10</f>
        <v>0</v>
      </c>
      <c r="C10" s="89">
        <f>'审定表K11-1'!D10</f>
        <v>0</v>
      </c>
      <c r="D10" s="89"/>
      <c r="E10" s="81"/>
    </row>
    <row r="11" spans="1:27" ht="19.95" customHeight="1">
      <c r="A11" s="87" t="str">
        <f>'审定表K11-1'!A11</f>
        <v>持有待售资产减值损失</v>
      </c>
      <c r="B11" s="89">
        <f>'审定表K11-1'!G11</f>
        <v>0</v>
      </c>
      <c r="C11" s="89">
        <f>'审定表K11-1'!D11</f>
        <v>0</v>
      </c>
      <c r="D11" s="89"/>
      <c r="E11" s="81"/>
    </row>
    <row r="12" spans="1:27" ht="19.95" customHeight="1">
      <c r="A12" s="87" t="str">
        <f>'审定表K11-1'!A12</f>
        <v>其他权益工具投资减值损失</v>
      </c>
      <c r="B12" s="89">
        <f>'审定表K11-1'!G12</f>
        <v>0</v>
      </c>
      <c r="C12" s="89">
        <f>'审定表K11-1'!D12</f>
        <v>0</v>
      </c>
      <c r="D12" s="89"/>
      <c r="E12" s="81"/>
    </row>
    <row r="13" spans="1:27" ht="19.95" customHeight="1">
      <c r="A13" s="87" t="str">
        <f>'审定表K11-1'!A13</f>
        <v>其他非流动金融资产减值损失</v>
      </c>
      <c r="B13" s="89">
        <f>'审定表K11-1'!G13</f>
        <v>0</v>
      </c>
      <c r="C13" s="89">
        <f>'审定表K11-1'!D13</f>
        <v>0</v>
      </c>
      <c r="D13" s="89"/>
      <c r="E13" s="81"/>
    </row>
    <row r="14" spans="1:27" ht="19.95" customHeight="1">
      <c r="A14" s="87" t="str">
        <f>'审定表K11-1'!A14</f>
        <v>长期股权投资减值损失</v>
      </c>
      <c r="B14" s="89">
        <f>'审定表K11-1'!G14</f>
        <v>0</v>
      </c>
      <c r="C14" s="89">
        <f>'审定表K11-1'!D14</f>
        <v>0</v>
      </c>
      <c r="D14" s="89"/>
      <c r="E14" s="81"/>
    </row>
    <row r="15" spans="1:27" ht="19.95" customHeight="1">
      <c r="A15" s="87" t="str">
        <f>'审定表K11-1'!A15</f>
        <v>投资性房地产减值损失</v>
      </c>
      <c r="B15" s="89">
        <f>'审定表K11-1'!G15</f>
        <v>0</v>
      </c>
      <c r="C15" s="89">
        <f>'审定表K11-1'!D15</f>
        <v>0</v>
      </c>
      <c r="D15" s="89"/>
      <c r="E15" s="81"/>
    </row>
    <row r="16" spans="1:27" ht="19.95" customHeight="1">
      <c r="A16" s="87" t="str">
        <f>'审定表K11-1'!A16</f>
        <v>固定资产减值损失</v>
      </c>
      <c r="B16" s="89">
        <f>'审定表K11-1'!G16</f>
        <v>0</v>
      </c>
      <c r="C16" s="89">
        <f>'审定表K11-1'!D16</f>
        <v>0</v>
      </c>
      <c r="D16" s="89"/>
      <c r="E16" s="81"/>
    </row>
    <row r="17" spans="1:5" ht="19.95" customHeight="1">
      <c r="A17" s="87" t="str">
        <f>'审定表K11-1'!A17</f>
        <v>工程物资减值损失</v>
      </c>
      <c r="B17" s="89">
        <f>'审定表K11-1'!G17</f>
        <v>0</v>
      </c>
      <c r="C17" s="89">
        <f>'审定表K11-1'!D17</f>
        <v>0</v>
      </c>
      <c r="D17" s="89"/>
      <c r="E17" s="81"/>
    </row>
    <row r="18" spans="1:5" ht="19.95" customHeight="1">
      <c r="A18" s="87" t="str">
        <f>'审定表K11-1'!A18</f>
        <v>在建工程减值损失</v>
      </c>
      <c r="B18" s="89">
        <f>'审定表K11-1'!G18</f>
        <v>0</v>
      </c>
      <c r="C18" s="89">
        <f>'审定表K11-1'!D18</f>
        <v>0</v>
      </c>
      <c r="D18" s="89"/>
      <c r="E18" s="81"/>
    </row>
    <row r="19" spans="1:5" ht="19.95" customHeight="1">
      <c r="A19" s="87" t="str">
        <f>'审定表K11-1'!A19</f>
        <v>生产性生物资产减值损失</v>
      </c>
      <c r="B19" s="89">
        <f>'审定表K11-1'!G19</f>
        <v>0</v>
      </c>
      <c r="C19" s="89">
        <f>'审定表K11-1'!D19</f>
        <v>0</v>
      </c>
      <c r="D19" s="89"/>
      <c r="E19" s="81"/>
    </row>
    <row r="20" spans="1:5" ht="19.95" customHeight="1">
      <c r="A20" s="87" t="str">
        <f>'审定表K11-1'!A20</f>
        <v>油气资产减值损失</v>
      </c>
      <c r="B20" s="89">
        <f>'审定表K11-1'!G20</f>
        <v>0</v>
      </c>
      <c r="C20" s="89">
        <f>'审定表K11-1'!D20</f>
        <v>0</v>
      </c>
      <c r="D20" s="89"/>
      <c r="E20" s="81"/>
    </row>
    <row r="21" spans="1:5" ht="19.95" customHeight="1">
      <c r="A21" s="87" t="str">
        <f>'审定表K11-1'!A21</f>
        <v>使用权资产减值损失</v>
      </c>
      <c r="B21" s="89">
        <f>'审定表K11-1'!G21</f>
        <v>0</v>
      </c>
      <c r="C21" s="89">
        <f>'审定表K11-1'!D21</f>
        <v>0</v>
      </c>
      <c r="D21" s="89"/>
      <c r="E21" s="81"/>
    </row>
    <row r="22" spans="1:5" ht="19.95" customHeight="1">
      <c r="A22" s="87" t="str">
        <f>'审定表K11-1'!A22</f>
        <v>无形资产减值损失</v>
      </c>
      <c r="B22" s="89">
        <f>'审定表K11-1'!G22</f>
        <v>0</v>
      </c>
      <c r="C22" s="89">
        <f>'审定表K11-1'!D22</f>
        <v>0</v>
      </c>
      <c r="D22" s="89"/>
      <c r="E22" s="81"/>
    </row>
    <row r="23" spans="1:5" ht="19.95" customHeight="1">
      <c r="A23" s="87" t="str">
        <f>'审定表K11-1'!A23</f>
        <v>商誉减值损失</v>
      </c>
      <c r="B23" s="89">
        <f>'审定表K11-1'!G23</f>
        <v>0</v>
      </c>
      <c r="C23" s="89">
        <f>'审定表K11-1'!D23</f>
        <v>0</v>
      </c>
      <c r="D23" s="89"/>
      <c r="E23" s="81"/>
    </row>
    <row r="24" spans="1:5" ht="19.95" customHeight="1">
      <c r="A24" s="87" t="str">
        <f>'审定表K11-1'!A24</f>
        <v>其他</v>
      </c>
      <c r="B24" s="89">
        <f>'审定表K11-1'!G24</f>
        <v>0</v>
      </c>
      <c r="C24" s="89">
        <f>'审定表K11-1'!D24</f>
        <v>0</v>
      </c>
      <c r="D24" s="89"/>
      <c r="E24" s="81"/>
    </row>
    <row r="25" spans="1:5" ht="19.95" customHeight="1" thickBot="1">
      <c r="A25" s="87" t="str">
        <f>'审定表K11-1'!A25</f>
        <v xml:space="preserve"> ......</v>
      </c>
      <c r="B25" s="89">
        <f>'审定表K11-1'!G25</f>
        <v>0</v>
      </c>
      <c r="C25" s="89">
        <f>'审定表K11-1'!D25</f>
        <v>0</v>
      </c>
      <c r="D25" s="89"/>
      <c r="E25" s="81"/>
    </row>
    <row r="26" spans="1:5" ht="19.95" customHeight="1" thickBot="1">
      <c r="A26" s="88" t="s">
        <v>109</v>
      </c>
      <c r="B26" s="90">
        <f>SUM(B7:B25)</f>
        <v>0</v>
      </c>
      <c r="C26" s="90">
        <f>SUM(C7:C25)</f>
        <v>0</v>
      </c>
      <c r="D26" s="98"/>
      <c r="E26" s="81"/>
    </row>
    <row r="27" spans="1:5" ht="20.25" customHeight="1">
      <c r="A27" s="82" t="s">
        <v>105</v>
      </c>
      <c r="B27" s="80"/>
      <c r="C27" s="80"/>
      <c r="D27" s="80"/>
      <c r="E27" s="81"/>
    </row>
    <row r="28" spans="1:5" ht="20.25" customHeight="1">
      <c r="A28" s="83"/>
      <c r="B28" s="83"/>
      <c r="C28" s="83"/>
      <c r="D28" s="83"/>
      <c r="E28" s="83"/>
    </row>
    <row r="30" spans="1:5" ht="20.25" customHeight="1">
      <c r="A30" s="26" t="s">
        <v>106</v>
      </c>
    </row>
  </sheetData>
  <mergeCells count="2">
    <mergeCell ref="A1:E1"/>
    <mergeCell ref="A2:E2"/>
  </mergeCells>
  <phoneticPr fontId="56"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A29"/>
  <sheetViews>
    <sheetView showGridLines="0" view="pageBreakPreview" zoomScale="115" zoomScaleNormal="100" zoomScaleSheetLayoutView="115" workbookViewId="0">
      <pane xSplit="1" ySplit="1" topLeftCell="B17" activePane="bottomRight" state="frozen"/>
      <selection pane="topRight"/>
      <selection pane="bottomLeft"/>
      <selection pane="bottomRight" activeCell="B14" sqref="B14"/>
    </sheetView>
  </sheetViews>
  <sheetFormatPr defaultColWidth="11.33203125" defaultRowHeight="20.25" customHeight="1"/>
  <cols>
    <col min="1" max="1" width="30.5546875" style="84" customWidth="1"/>
    <col min="2" max="3" width="24.109375" style="84" customWidth="1"/>
    <col min="4" max="5" width="6.6640625" style="84" customWidth="1"/>
    <col min="6" max="11" width="18.5546875" style="36" customWidth="1"/>
    <col min="12" max="12" width="20" style="36" customWidth="1"/>
    <col min="13" max="13" width="18" style="36" customWidth="1"/>
    <col min="14" max="14" width="19.5546875" style="36" customWidth="1"/>
    <col min="15" max="16" width="14.5546875" style="36" customWidth="1"/>
    <col min="17" max="17" width="17" style="36" customWidth="1"/>
    <col min="18" max="19" width="14.5546875" style="36" customWidth="1"/>
    <col min="20" max="20" width="15.6640625" style="36" customWidth="1"/>
    <col min="21" max="26" width="14.5546875" style="36" customWidth="1"/>
    <col min="27" max="27" width="16.5546875" style="36" customWidth="1"/>
    <col min="28" max="28" width="11.33203125" style="36" customWidth="1"/>
    <col min="29" max="16384" width="11.33203125" style="36"/>
  </cols>
  <sheetData>
    <row r="1" spans="1:27" s="35" customFormat="1" ht="19.95" customHeight="1">
      <c r="A1" s="185" t="s">
        <v>10</v>
      </c>
      <c r="B1" s="185"/>
      <c r="C1" s="185"/>
      <c r="D1" s="185"/>
      <c r="E1" s="185"/>
      <c r="F1" s="37"/>
      <c r="G1" s="37"/>
      <c r="H1" s="37"/>
      <c r="I1" s="37"/>
      <c r="J1" s="37"/>
      <c r="K1" s="37"/>
      <c r="L1" s="37"/>
      <c r="M1" s="37"/>
      <c r="N1" s="37"/>
      <c r="O1" s="37"/>
      <c r="P1" s="37"/>
      <c r="Q1" s="37"/>
      <c r="R1" s="37"/>
      <c r="S1" s="37"/>
      <c r="T1" s="37"/>
      <c r="U1" s="37"/>
      <c r="V1" s="37"/>
      <c r="W1" s="37"/>
      <c r="X1" s="37"/>
      <c r="Y1" s="37"/>
      <c r="Z1" s="37"/>
      <c r="AA1" s="37"/>
    </row>
    <row r="2" spans="1:27" ht="19.95" customHeight="1">
      <c r="A2" s="186" t="s">
        <v>107</v>
      </c>
      <c r="B2" s="186"/>
      <c r="C2" s="186"/>
      <c r="D2" s="186"/>
      <c r="E2" s="186"/>
    </row>
    <row r="3" spans="1:27" ht="19.95" customHeight="1">
      <c r="A3" s="2" t="str">
        <f>底稿目录!A2</f>
        <v>被审计单位：</v>
      </c>
      <c r="B3" s="2" t="str">
        <f>底稿目录!A4</f>
        <v>编制人：</v>
      </c>
      <c r="C3" s="2" t="str">
        <f>底稿目录!A5</f>
        <v>编制日期：</v>
      </c>
      <c r="D3" s="2" t="s">
        <v>121</v>
      </c>
      <c r="E3" s="2">
        <f>底稿目录!D8</f>
        <v>0</v>
      </c>
    </row>
    <row r="4" spans="1:27" ht="19.95" customHeight="1">
      <c r="A4" s="2" t="str">
        <f>底稿目录!A3</f>
        <v>会计期间：202X年度</v>
      </c>
      <c r="B4" s="2" t="str">
        <f>底稿目录!A6</f>
        <v>复核人：</v>
      </c>
      <c r="C4" s="2" t="str">
        <f>底稿目录!A7</f>
        <v>复核日期：</v>
      </c>
      <c r="D4" s="2" t="s">
        <v>122</v>
      </c>
      <c r="E4" s="99">
        <v>1</v>
      </c>
    </row>
    <row r="5" spans="1:27" ht="19.95" customHeight="1" thickBot="1">
      <c r="A5" s="85" t="s">
        <v>110</v>
      </c>
      <c r="B5" s="85"/>
      <c r="C5" s="85"/>
      <c r="D5" s="85"/>
      <c r="E5" s="91"/>
    </row>
    <row r="6" spans="1:27" ht="19.95" customHeight="1" thickBot="1">
      <c r="A6" s="86" t="s">
        <v>108</v>
      </c>
      <c r="B6" s="86" t="s">
        <v>41</v>
      </c>
      <c r="C6" s="86" t="s">
        <v>42</v>
      </c>
      <c r="D6" s="97"/>
      <c r="E6" s="91"/>
    </row>
    <row r="7" spans="1:27" ht="19.95" customHeight="1">
      <c r="A7" s="87" t="str">
        <f>'审定表K11-1'!A7</f>
        <v>合同资产减值损失</v>
      </c>
      <c r="B7" s="89">
        <f>'审定表K11-1'!G7</f>
        <v>0</v>
      </c>
      <c r="C7" s="89">
        <f>'审定表K11-1'!D7</f>
        <v>0</v>
      </c>
      <c r="D7" s="89"/>
      <c r="E7" s="91"/>
    </row>
    <row r="8" spans="1:27" ht="19.95" customHeight="1">
      <c r="A8" s="87" t="str">
        <f>'审定表K11-1'!A8</f>
        <v>存货跌价损失</v>
      </c>
      <c r="B8" s="89">
        <f>'审定表K11-1'!G8</f>
        <v>0</v>
      </c>
      <c r="C8" s="89">
        <f>'审定表K11-1'!D8</f>
        <v>0</v>
      </c>
      <c r="D8" s="89"/>
      <c r="E8" s="91"/>
    </row>
    <row r="9" spans="1:27" ht="19.95" customHeight="1">
      <c r="A9" s="87" t="str">
        <f>'审定表K11-1'!A9</f>
        <v>合同取得成本减值损失</v>
      </c>
      <c r="B9" s="89">
        <f>'审定表K11-1'!G9</f>
        <v>0</v>
      </c>
      <c r="C9" s="89">
        <f>'审定表K11-1'!D9</f>
        <v>0</v>
      </c>
      <c r="D9" s="89"/>
      <c r="E9" s="91"/>
    </row>
    <row r="10" spans="1:27" ht="19.95" customHeight="1">
      <c r="A10" s="87" t="str">
        <f>'审定表K11-1'!A10</f>
        <v>合同履约成本减值损失</v>
      </c>
      <c r="B10" s="89">
        <f>'审定表K11-1'!G10</f>
        <v>0</v>
      </c>
      <c r="C10" s="89">
        <f>'审定表K11-1'!D10</f>
        <v>0</v>
      </c>
      <c r="D10" s="89"/>
      <c r="E10" s="91"/>
    </row>
    <row r="11" spans="1:27" ht="19.95" customHeight="1">
      <c r="A11" s="87" t="str">
        <f>'审定表K11-1'!A11</f>
        <v>持有待售资产减值损失</v>
      </c>
      <c r="B11" s="89">
        <f>'审定表K11-1'!G11</f>
        <v>0</v>
      </c>
      <c r="C11" s="89">
        <f>'审定表K11-1'!D11</f>
        <v>0</v>
      </c>
      <c r="D11" s="89"/>
      <c r="E11" s="91"/>
    </row>
    <row r="12" spans="1:27" ht="19.95" customHeight="1">
      <c r="A12" s="87" t="str">
        <f>'审定表K11-1'!A12</f>
        <v>其他权益工具投资减值损失</v>
      </c>
      <c r="B12" s="89">
        <f>'审定表K11-1'!G12</f>
        <v>0</v>
      </c>
      <c r="C12" s="89">
        <f>'审定表K11-1'!D12</f>
        <v>0</v>
      </c>
      <c r="D12" s="89"/>
      <c r="E12" s="91"/>
    </row>
    <row r="13" spans="1:27" ht="19.95" customHeight="1">
      <c r="A13" s="87" t="str">
        <f>'审定表K11-1'!A13</f>
        <v>其他非流动金融资产减值损失</v>
      </c>
      <c r="B13" s="89">
        <f>'审定表K11-1'!G13</f>
        <v>0</v>
      </c>
      <c r="C13" s="89">
        <f>'审定表K11-1'!D13</f>
        <v>0</v>
      </c>
      <c r="D13" s="89"/>
      <c r="E13" s="91"/>
    </row>
    <row r="14" spans="1:27" ht="19.95" customHeight="1">
      <c r="A14" s="87" t="str">
        <f>'审定表K11-1'!A14</f>
        <v>长期股权投资减值损失</v>
      </c>
      <c r="B14" s="89">
        <f>'审定表K11-1'!G14</f>
        <v>0</v>
      </c>
      <c r="C14" s="89">
        <f>'审定表K11-1'!D14</f>
        <v>0</v>
      </c>
      <c r="D14" s="89"/>
      <c r="E14" s="91"/>
    </row>
    <row r="15" spans="1:27" ht="19.95" customHeight="1">
      <c r="A15" s="87" t="str">
        <f>'审定表K11-1'!A15</f>
        <v>投资性房地产减值损失</v>
      </c>
      <c r="B15" s="89">
        <f>'审定表K11-1'!G15</f>
        <v>0</v>
      </c>
      <c r="C15" s="89">
        <f>'审定表K11-1'!D15</f>
        <v>0</v>
      </c>
      <c r="D15" s="89"/>
      <c r="E15" s="91"/>
    </row>
    <row r="16" spans="1:27" ht="19.95" customHeight="1">
      <c r="A16" s="87" t="str">
        <f>'审定表K11-1'!A16</f>
        <v>固定资产减值损失</v>
      </c>
      <c r="B16" s="89">
        <f>'审定表K11-1'!G16</f>
        <v>0</v>
      </c>
      <c r="C16" s="89">
        <f>'审定表K11-1'!D16</f>
        <v>0</v>
      </c>
      <c r="D16" s="89"/>
      <c r="E16" s="91"/>
    </row>
    <row r="17" spans="1:5" ht="19.95" customHeight="1">
      <c r="A17" s="87" t="str">
        <f>'审定表K11-1'!A17</f>
        <v>工程物资减值损失</v>
      </c>
      <c r="B17" s="89">
        <f>'审定表K11-1'!G17</f>
        <v>0</v>
      </c>
      <c r="C17" s="89">
        <f>'审定表K11-1'!D17</f>
        <v>0</v>
      </c>
      <c r="D17" s="89"/>
      <c r="E17" s="91"/>
    </row>
    <row r="18" spans="1:5" ht="19.95" customHeight="1">
      <c r="A18" s="87" t="str">
        <f>'审定表K11-1'!A18</f>
        <v>在建工程减值损失</v>
      </c>
      <c r="B18" s="89">
        <f>'审定表K11-1'!G18</f>
        <v>0</v>
      </c>
      <c r="C18" s="89">
        <f>'审定表K11-1'!D18</f>
        <v>0</v>
      </c>
      <c r="D18" s="89"/>
      <c r="E18" s="91"/>
    </row>
    <row r="19" spans="1:5" ht="19.95" customHeight="1">
      <c r="A19" s="87" t="str">
        <f>'审定表K11-1'!A19</f>
        <v>生产性生物资产减值损失</v>
      </c>
      <c r="B19" s="89">
        <f>'审定表K11-1'!G19</f>
        <v>0</v>
      </c>
      <c r="C19" s="89">
        <f>'审定表K11-1'!D19</f>
        <v>0</v>
      </c>
      <c r="D19" s="89"/>
      <c r="E19" s="91"/>
    </row>
    <row r="20" spans="1:5" ht="19.95" customHeight="1">
      <c r="A20" s="87" t="str">
        <f>'审定表K11-1'!A20</f>
        <v>油气资产减值损失</v>
      </c>
      <c r="B20" s="89">
        <f>'审定表K11-1'!G20</f>
        <v>0</v>
      </c>
      <c r="C20" s="89">
        <f>'审定表K11-1'!D20</f>
        <v>0</v>
      </c>
      <c r="D20" s="89"/>
      <c r="E20" s="91"/>
    </row>
    <row r="21" spans="1:5" ht="19.95" customHeight="1">
      <c r="A21" s="87" t="str">
        <f>'审定表K11-1'!A21</f>
        <v>使用权资产减值损失</v>
      </c>
      <c r="B21" s="89">
        <f>'审定表K11-1'!G21</f>
        <v>0</v>
      </c>
      <c r="C21" s="89">
        <f>'审定表K11-1'!D21</f>
        <v>0</v>
      </c>
      <c r="D21" s="89"/>
      <c r="E21" s="91"/>
    </row>
    <row r="22" spans="1:5" ht="19.95" customHeight="1">
      <c r="A22" s="87" t="str">
        <f>'审定表K11-1'!A22</f>
        <v>无形资产减值损失</v>
      </c>
      <c r="B22" s="89">
        <f>'审定表K11-1'!G22</f>
        <v>0</v>
      </c>
      <c r="C22" s="89">
        <f>'审定表K11-1'!D22</f>
        <v>0</v>
      </c>
      <c r="D22" s="89"/>
      <c r="E22" s="91"/>
    </row>
    <row r="23" spans="1:5" ht="19.95" customHeight="1">
      <c r="A23" s="87" t="str">
        <f>'审定表K11-1'!A23</f>
        <v>商誉减值损失</v>
      </c>
      <c r="B23" s="89">
        <f>'审定表K11-1'!G23</f>
        <v>0</v>
      </c>
      <c r="C23" s="89">
        <f>'审定表K11-1'!D23</f>
        <v>0</v>
      </c>
      <c r="D23" s="89"/>
      <c r="E23" s="91"/>
    </row>
    <row r="24" spans="1:5" ht="19.95" customHeight="1">
      <c r="A24" s="87" t="str">
        <f>'审定表K11-1'!A24</f>
        <v>其他</v>
      </c>
      <c r="B24" s="89">
        <f>'审定表K11-1'!G24</f>
        <v>0</v>
      </c>
      <c r="C24" s="89">
        <f>'审定表K11-1'!D24</f>
        <v>0</v>
      </c>
      <c r="D24" s="89"/>
      <c r="E24" s="91"/>
    </row>
    <row r="25" spans="1:5" ht="19.95" customHeight="1" thickBot="1">
      <c r="A25" s="87" t="str">
        <f>'审定表K11-1'!A25</f>
        <v xml:space="preserve"> ......</v>
      </c>
      <c r="B25" s="89">
        <f>'审定表K11-1'!G25</f>
        <v>0</v>
      </c>
      <c r="C25" s="89">
        <f>'审定表K11-1'!D25</f>
        <v>0</v>
      </c>
      <c r="D25" s="89"/>
      <c r="E25" s="91"/>
    </row>
    <row r="26" spans="1:5" ht="19.95" customHeight="1" thickBot="1">
      <c r="A26" s="88" t="s">
        <v>109</v>
      </c>
      <c r="B26" s="90">
        <f>SUM(B7:B25)</f>
        <v>0</v>
      </c>
      <c r="C26" s="90">
        <f>SUM(C7:C25)</f>
        <v>0</v>
      </c>
      <c r="D26" s="98"/>
      <c r="E26" s="91"/>
    </row>
    <row r="27" spans="1:5" ht="20.25" customHeight="1">
      <c r="A27" s="83"/>
      <c r="B27" s="83"/>
      <c r="C27" s="83"/>
      <c r="D27" s="83"/>
      <c r="E27" s="83"/>
    </row>
    <row r="28" spans="1:5" ht="20.25" customHeight="1">
      <c r="A28" s="83"/>
      <c r="B28" s="83"/>
      <c r="C28" s="83"/>
      <c r="D28" s="83"/>
      <c r="E28" s="83"/>
    </row>
    <row r="29" spans="1:5" ht="20.25" customHeight="1">
      <c r="A29" s="26" t="s">
        <v>106</v>
      </c>
    </row>
  </sheetData>
  <mergeCells count="2">
    <mergeCell ref="A1:E1"/>
    <mergeCell ref="A2:E2"/>
  </mergeCells>
  <phoneticPr fontId="56" type="noConversion"/>
  <pageMargins left="0.75" right="0.75" top="1" bottom="1" header="0.5" footer="0.5"/>
  <pageSetup paperSize="9" scale="9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R50"/>
  <sheetViews>
    <sheetView showZeros="0" view="pageBreakPreview" zoomScaleNormal="115" workbookViewId="0">
      <selection sqref="A1:Q1"/>
    </sheetView>
  </sheetViews>
  <sheetFormatPr defaultColWidth="9.109375" defaultRowHeight="15.6"/>
  <cols>
    <col min="1" max="1" width="8.5546875" style="15" customWidth="1"/>
    <col min="2" max="2" width="24.109375" style="15" customWidth="1"/>
    <col min="3" max="3" width="13.5546875" style="15" customWidth="1"/>
    <col min="4" max="4" width="13" style="15" customWidth="1"/>
    <col min="5" max="5" width="14.44140625" style="15" customWidth="1"/>
    <col min="6" max="6" width="13.6640625" style="15" customWidth="1"/>
    <col min="7" max="7" width="11.109375" style="15" customWidth="1"/>
    <col min="8" max="8" width="13.109375" style="15" customWidth="1"/>
    <col min="9" max="9" width="23.44140625" style="15" customWidth="1"/>
    <col min="10" max="11" width="10.109375" style="15" customWidth="1"/>
    <col min="12" max="12" width="9.109375" style="15"/>
    <col min="13" max="13" width="9.6640625" style="15" customWidth="1"/>
    <col min="14" max="14" width="10.109375" style="15" customWidth="1"/>
    <col min="15" max="15" width="13.5546875" style="15" customWidth="1"/>
    <col min="16" max="16" width="9.109375" style="15"/>
    <col min="17" max="17" width="10.88671875" style="15" customWidth="1"/>
    <col min="18" max="16384" width="9.109375" style="15"/>
  </cols>
  <sheetData>
    <row r="1" spans="1:18" s="11" customFormat="1" ht="19.95" customHeight="1">
      <c r="A1" s="161" t="s">
        <v>10</v>
      </c>
      <c r="B1" s="161"/>
      <c r="C1" s="161"/>
      <c r="D1" s="161"/>
      <c r="E1" s="161"/>
      <c r="F1" s="161"/>
      <c r="G1" s="161"/>
      <c r="H1" s="161"/>
      <c r="I1" s="161"/>
      <c r="J1" s="161"/>
      <c r="K1" s="161"/>
      <c r="L1" s="161"/>
      <c r="M1" s="161"/>
      <c r="N1" s="161"/>
      <c r="O1" s="161"/>
      <c r="P1" s="161"/>
      <c r="Q1" s="161"/>
    </row>
    <row r="2" spans="1:18" s="11" customFormat="1" ht="19.95" customHeight="1">
      <c r="A2" s="162" t="s">
        <v>43</v>
      </c>
      <c r="B2" s="162"/>
      <c r="C2" s="162"/>
      <c r="D2" s="162"/>
      <c r="E2" s="162"/>
      <c r="F2" s="162"/>
      <c r="G2" s="162"/>
      <c r="H2" s="162"/>
      <c r="I2" s="162"/>
      <c r="J2" s="162"/>
      <c r="K2" s="162"/>
      <c r="L2" s="162"/>
      <c r="M2" s="162"/>
      <c r="N2" s="162"/>
      <c r="O2" s="162"/>
      <c r="P2" s="162"/>
      <c r="Q2" s="162"/>
    </row>
    <row r="3" spans="1:18" s="12" customFormat="1" ht="19.95" customHeight="1">
      <c r="A3" s="16" t="str">
        <f>底稿目录!A2</f>
        <v>被审计单位：</v>
      </c>
      <c r="D3" s="16" t="str">
        <f>底稿目录!A4</f>
        <v>编制人：</v>
      </c>
      <c r="I3" s="27" t="str">
        <f>底稿目录!A5</f>
        <v>编制日期：</v>
      </c>
      <c r="J3" s="28"/>
      <c r="K3" s="16"/>
      <c r="P3" s="23" t="s">
        <v>123</v>
      </c>
      <c r="Q3" s="146" t="str">
        <f>底稿目录!D9</f>
        <v>K11-2</v>
      </c>
    </row>
    <row r="4" spans="1:18" s="12" customFormat="1" ht="19.95" customHeight="1">
      <c r="A4" s="16" t="str">
        <f>底稿目录!A3</f>
        <v>会计期间：202X年度</v>
      </c>
      <c r="D4" s="16" t="str">
        <f>底稿目录!A6</f>
        <v>复核人：</v>
      </c>
      <c r="I4" s="27" t="str">
        <f>底稿目录!A7</f>
        <v>复核日期：</v>
      </c>
      <c r="J4" s="28"/>
      <c r="K4" s="16"/>
      <c r="P4" s="12" t="s">
        <v>12</v>
      </c>
    </row>
    <row r="5" spans="1:18" s="12" customFormat="1" ht="19.95" customHeight="1">
      <c r="A5" s="17" t="s">
        <v>44</v>
      </c>
      <c r="B5" s="18"/>
      <c r="P5" s="29"/>
      <c r="R5" s="34"/>
    </row>
    <row r="6" spans="1:18" s="12" customFormat="1" ht="19.95" customHeight="1">
      <c r="A6" s="115" t="s">
        <v>190</v>
      </c>
      <c r="B6" s="19"/>
      <c r="H6" s="12" t="s">
        <v>191</v>
      </c>
      <c r="P6" s="29"/>
      <c r="R6" s="34"/>
    </row>
    <row r="7" spans="1:18" s="12" customFormat="1" ht="19.95" customHeight="1">
      <c r="A7" s="115" t="s">
        <v>152</v>
      </c>
      <c r="B7" s="19"/>
      <c r="P7" s="29"/>
      <c r="R7" s="34"/>
    </row>
    <row r="8" spans="1:18" s="12" customFormat="1" ht="19.95" customHeight="1">
      <c r="A8" s="20" t="s">
        <v>45</v>
      </c>
      <c r="P8" s="29"/>
      <c r="R8" s="34"/>
    </row>
    <row r="9" spans="1:18" s="13" customFormat="1" ht="19.95" customHeight="1">
      <c r="A9" s="191" t="s">
        <v>20</v>
      </c>
      <c r="B9" s="191" t="s">
        <v>46</v>
      </c>
      <c r="C9" s="193" t="s">
        <v>47</v>
      </c>
      <c r="D9" s="193" t="s">
        <v>32</v>
      </c>
      <c r="E9" s="193" t="s">
        <v>48</v>
      </c>
      <c r="F9" s="193" t="s">
        <v>49</v>
      </c>
      <c r="G9" s="193" t="s">
        <v>32</v>
      </c>
      <c r="H9" s="193" t="s">
        <v>50</v>
      </c>
      <c r="I9" s="195" t="s">
        <v>51</v>
      </c>
      <c r="J9" s="187" t="s">
        <v>52</v>
      </c>
      <c r="K9" s="188"/>
      <c r="L9" s="188"/>
      <c r="M9" s="188"/>
      <c r="N9" s="188"/>
      <c r="O9" s="188"/>
      <c r="P9" s="189"/>
      <c r="Q9" s="195" t="s">
        <v>53</v>
      </c>
    </row>
    <row r="10" spans="1:18" s="12" customFormat="1" ht="19.95" customHeight="1">
      <c r="A10" s="192"/>
      <c r="B10" s="192"/>
      <c r="C10" s="194"/>
      <c r="D10" s="194"/>
      <c r="E10" s="194"/>
      <c r="F10" s="194"/>
      <c r="G10" s="194"/>
      <c r="H10" s="194"/>
      <c r="I10" s="195"/>
      <c r="J10" s="31" t="s">
        <v>54</v>
      </c>
      <c r="K10" s="31" t="s">
        <v>55</v>
      </c>
      <c r="L10" s="31" t="s">
        <v>56</v>
      </c>
      <c r="M10" s="31" t="s">
        <v>57</v>
      </c>
      <c r="N10" s="31" t="s">
        <v>58</v>
      </c>
      <c r="O10" s="32" t="s">
        <v>59</v>
      </c>
      <c r="P10" s="31" t="s">
        <v>60</v>
      </c>
      <c r="Q10" s="195"/>
    </row>
    <row r="11" spans="1:18" s="12" customFormat="1" ht="19.95" customHeight="1">
      <c r="A11" s="100">
        <v>1</v>
      </c>
      <c r="B11" s="21" t="s">
        <v>88</v>
      </c>
      <c r="C11" s="101"/>
      <c r="D11" s="101"/>
      <c r="E11" s="94">
        <f>C11+D11</f>
        <v>0</v>
      </c>
      <c r="F11" s="22"/>
      <c r="G11" s="22"/>
      <c r="H11" s="94">
        <f>F11+G11</f>
        <v>0</v>
      </c>
      <c r="I11" s="33" t="s">
        <v>131</v>
      </c>
      <c r="J11" s="22"/>
      <c r="K11" s="22"/>
      <c r="L11" s="22"/>
      <c r="M11" s="22"/>
      <c r="N11" s="94">
        <f>J11+K11-L11-M11</f>
        <v>0</v>
      </c>
      <c r="O11" s="94">
        <f>K11-L11</f>
        <v>0</v>
      </c>
      <c r="P11" s="100"/>
      <c r="Q11" s="118" t="str">
        <f>IF((E11-O11)=0,"OK",(E11-O11))</f>
        <v>OK</v>
      </c>
    </row>
    <row r="12" spans="1:18" s="12" customFormat="1" ht="19.95" customHeight="1">
      <c r="A12" s="100">
        <v>2</v>
      </c>
      <c r="B12" s="21" t="s">
        <v>89</v>
      </c>
      <c r="C12" s="101"/>
      <c r="D12" s="101"/>
      <c r="E12" s="94">
        <f>C12+D12</f>
        <v>0</v>
      </c>
      <c r="F12" s="22"/>
      <c r="G12" s="22"/>
      <c r="H12" s="94">
        <f t="shared" ref="H12:H29" si="0">F12+G12</f>
        <v>0</v>
      </c>
      <c r="I12" s="33" t="s">
        <v>61</v>
      </c>
      <c r="J12" s="22"/>
      <c r="K12" s="22"/>
      <c r="L12" s="22"/>
      <c r="M12" s="22"/>
      <c r="N12" s="94">
        <f t="shared" ref="N12:N29" si="1">J12+K12-L12-M12</f>
        <v>0</v>
      </c>
      <c r="O12" s="94">
        <f t="shared" ref="O12:O29" si="2">K12-L12</f>
        <v>0</v>
      </c>
      <c r="P12" s="100"/>
      <c r="Q12" s="118" t="str">
        <f t="shared" ref="Q12:Q29" si="3">IF((E12-O12)=0,"OK",(E12-O12))</f>
        <v>OK</v>
      </c>
    </row>
    <row r="13" spans="1:18" s="12" customFormat="1" ht="19.95" customHeight="1">
      <c r="A13" s="100">
        <v>3</v>
      </c>
      <c r="B13" s="21" t="s">
        <v>90</v>
      </c>
      <c r="C13" s="101"/>
      <c r="D13" s="101"/>
      <c r="E13" s="94">
        <f t="shared" ref="E13:E29" si="4">C13+D13</f>
        <v>0</v>
      </c>
      <c r="F13" s="22"/>
      <c r="G13" s="22"/>
      <c r="H13" s="94">
        <f t="shared" si="0"/>
        <v>0</v>
      </c>
      <c r="I13" s="149" t="s">
        <v>125</v>
      </c>
      <c r="J13" s="22"/>
      <c r="K13" s="22"/>
      <c r="L13" s="22"/>
      <c r="M13" s="22"/>
      <c r="N13" s="94">
        <f t="shared" si="1"/>
        <v>0</v>
      </c>
      <c r="O13" s="94">
        <f t="shared" si="2"/>
        <v>0</v>
      </c>
      <c r="P13" s="100"/>
      <c r="Q13" s="118" t="str">
        <f t="shared" si="3"/>
        <v>OK</v>
      </c>
    </row>
    <row r="14" spans="1:18" s="12" customFormat="1" ht="19.95" customHeight="1">
      <c r="A14" s="100">
        <v>4</v>
      </c>
      <c r="B14" s="21" t="s">
        <v>91</v>
      </c>
      <c r="C14" s="101"/>
      <c r="D14" s="101"/>
      <c r="E14" s="94">
        <f t="shared" si="4"/>
        <v>0</v>
      </c>
      <c r="F14" s="22"/>
      <c r="G14" s="22"/>
      <c r="H14" s="94">
        <f t="shared" si="0"/>
        <v>0</v>
      </c>
      <c r="I14" s="149" t="s">
        <v>126</v>
      </c>
      <c r="J14" s="22"/>
      <c r="K14" s="22"/>
      <c r="L14" s="22"/>
      <c r="M14" s="22"/>
      <c r="N14" s="94">
        <f t="shared" si="1"/>
        <v>0</v>
      </c>
      <c r="O14" s="94">
        <f t="shared" si="2"/>
        <v>0</v>
      </c>
      <c r="P14" s="100"/>
      <c r="Q14" s="118" t="str">
        <f t="shared" si="3"/>
        <v>OK</v>
      </c>
    </row>
    <row r="15" spans="1:18" s="12" customFormat="1" ht="19.95" customHeight="1">
      <c r="A15" s="100">
        <v>5</v>
      </c>
      <c r="B15" s="21" t="s">
        <v>92</v>
      </c>
      <c r="C15" s="101"/>
      <c r="D15" s="101"/>
      <c r="E15" s="94">
        <f>C15+D15</f>
        <v>0</v>
      </c>
      <c r="F15" s="22"/>
      <c r="G15" s="22"/>
      <c r="H15" s="94">
        <f t="shared" si="0"/>
        <v>0</v>
      </c>
      <c r="I15" s="149" t="s">
        <v>62</v>
      </c>
      <c r="J15" s="22"/>
      <c r="K15" s="22"/>
      <c r="L15" s="22"/>
      <c r="M15" s="22"/>
      <c r="N15" s="94">
        <f t="shared" si="1"/>
        <v>0</v>
      </c>
      <c r="O15" s="94">
        <f t="shared" si="2"/>
        <v>0</v>
      </c>
      <c r="P15" s="100"/>
      <c r="Q15" s="118" t="str">
        <f t="shared" si="3"/>
        <v>OK</v>
      </c>
    </row>
    <row r="16" spans="1:18" s="12" customFormat="1" ht="19.95" customHeight="1">
      <c r="A16" s="100">
        <v>6</v>
      </c>
      <c r="B16" s="148" t="s">
        <v>127</v>
      </c>
      <c r="C16" s="101"/>
      <c r="D16" s="101"/>
      <c r="E16" s="94">
        <f t="shared" si="4"/>
        <v>0</v>
      </c>
      <c r="F16" s="22"/>
      <c r="G16" s="22"/>
      <c r="H16" s="94">
        <f t="shared" si="0"/>
        <v>0</v>
      </c>
      <c r="I16" s="149" t="s">
        <v>128</v>
      </c>
      <c r="J16" s="22"/>
      <c r="K16" s="22"/>
      <c r="L16" s="22"/>
      <c r="M16" s="22"/>
      <c r="N16" s="94">
        <f t="shared" si="1"/>
        <v>0</v>
      </c>
      <c r="O16" s="94">
        <f t="shared" si="2"/>
        <v>0</v>
      </c>
      <c r="P16" s="100"/>
      <c r="Q16" s="118" t="str">
        <f t="shared" si="3"/>
        <v>OK</v>
      </c>
    </row>
    <row r="17" spans="1:17" s="12" customFormat="1" ht="19.95" customHeight="1">
      <c r="A17" s="100">
        <v>7</v>
      </c>
      <c r="B17" s="148" t="s">
        <v>129</v>
      </c>
      <c r="C17" s="101"/>
      <c r="D17" s="101"/>
      <c r="E17" s="94">
        <f t="shared" si="4"/>
        <v>0</v>
      </c>
      <c r="F17" s="22"/>
      <c r="G17" s="22"/>
      <c r="H17" s="94">
        <f t="shared" si="0"/>
        <v>0</v>
      </c>
      <c r="I17" s="148" t="s">
        <v>130</v>
      </c>
      <c r="J17" s="22"/>
      <c r="K17" s="22"/>
      <c r="L17" s="22"/>
      <c r="M17" s="22"/>
      <c r="N17" s="94">
        <f t="shared" si="1"/>
        <v>0</v>
      </c>
      <c r="O17" s="94">
        <f t="shared" si="2"/>
        <v>0</v>
      </c>
      <c r="P17" s="100"/>
      <c r="Q17" s="118" t="str">
        <f t="shared" si="3"/>
        <v>OK</v>
      </c>
    </row>
    <row r="18" spans="1:17" s="12" customFormat="1" ht="19.95" customHeight="1">
      <c r="A18" s="100">
        <v>8</v>
      </c>
      <c r="B18" s="148" t="s">
        <v>93</v>
      </c>
      <c r="C18" s="101"/>
      <c r="D18" s="101"/>
      <c r="E18" s="94">
        <f t="shared" si="4"/>
        <v>0</v>
      </c>
      <c r="F18" s="22"/>
      <c r="G18" s="22"/>
      <c r="H18" s="94">
        <f>F18+G18</f>
        <v>0</v>
      </c>
      <c r="I18" s="149" t="s">
        <v>63</v>
      </c>
      <c r="J18" s="22"/>
      <c r="K18" s="22"/>
      <c r="L18" s="22"/>
      <c r="M18" s="22"/>
      <c r="N18" s="94">
        <f t="shared" si="1"/>
        <v>0</v>
      </c>
      <c r="O18" s="94">
        <f t="shared" si="2"/>
        <v>0</v>
      </c>
      <c r="P18" s="100"/>
      <c r="Q18" s="118" t="str">
        <f t="shared" si="3"/>
        <v>OK</v>
      </c>
    </row>
    <row r="19" spans="1:17" s="12" customFormat="1" ht="19.95" customHeight="1">
      <c r="A19" s="100">
        <v>9</v>
      </c>
      <c r="B19" s="21" t="s">
        <v>94</v>
      </c>
      <c r="C19" s="101"/>
      <c r="D19" s="101"/>
      <c r="E19" s="94">
        <f>C19+D19</f>
        <v>0</v>
      </c>
      <c r="F19" s="22"/>
      <c r="G19" s="22"/>
      <c r="H19" s="94">
        <f t="shared" si="0"/>
        <v>0</v>
      </c>
      <c r="I19" s="149" t="s">
        <v>64</v>
      </c>
      <c r="J19" s="22"/>
      <c r="K19" s="22"/>
      <c r="L19" s="22"/>
      <c r="M19" s="22"/>
      <c r="N19" s="94">
        <f t="shared" si="1"/>
        <v>0</v>
      </c>
      <c r="O19" s="94">
        <f t="shared" si="2"/>
        <v>0</v>
      </c>
      <c r="P19" s="100"/>
      <c r="Q19" s="118" t="str">
        <f t="shared" si="3"/>
        <v>OK</v>
      </c>
    </row>
    <row r="20" spans="1:17" s="12" customFormat="1" ht="19.95" customHeight="1">
      <c r="A20" s="100">
        <v>10</v>
      </c>
      <c r="B20" s="21" t="s">
        <v>95</v>
      </c>
      <c r="C20" s="101"/>
      <c r="D20" s="101"/>
      <c r="E20" s="94">
        <f t="shared" si="4"/>
        <v>0</v>
      </c>
      <c r="F20" s="22"/>
      <c r="G20" s="22"/>
      <c r="H20" s="94">
        <f>F20+G20</f>
        <v>0</v>
      </c>
      <c r="I20" s="33" t="s">
        <v>65</v>
      </c>
      <c r="J20" s="22"/>
      <c r="K20" s="22"/>
      <c r="L20" s="22"/>
      <c r="M20" s="22"/>
      <c r="N20" s="94">
        <f t="shared" si="1"/>
        <v>0</v>
      </c>
      <c r="O20" s="94">
        <f t="shared" si="2"/>
        <v>0</v>
      </c>
      <c r="P20" s="100"/>
      <c r="Q20" s="118" t="str">
        <f t="shared" si="3"/>
        <v>OK</v>
      </c>
    </row>
    <row r="21" spans="1:17" s="12" customFormat="1" ht="19.95" customHeight="1">
      <c r="A21" s="100">
        <v>11</v>
      </c>
      <c r="B21" s="21" t="s">
        <v>96</v>
      </c>
      <c r="C21" s="101"/>
      <c r="D21" s="101"/>
      <c r="E21" s="94">
        <f t="shared" si="4"/>
        <v>0</v>
      </c>
      <c r="F21" s="22"/>
      <c r="G21" s="22"/>
      <c r="H21" s="94">
        <f t="shared" si="0"/>
        <v>0</v>
      </c>
      <c r="I21" s="33" t="s">
        <v>66</v>
      </c>
      <c r="J21" s="22"/>
      <c r="K21" s="22"/>
      <c r="L21" s="22"/>
      <c r="M21" s="22"/>
      <c r="N21" s="94">
        <f t="shared" si="1"/>
        <v>0</v>
      </c>
      <c r="O21" s="94">
        <f t="shared" si="2"/>
        <v>0</v>
      </c>
      <c r="P21" s="100"/>
      <c r="Q21" s="118" t="str">
        <f t="shared" si="3"/>
        <v>OK</v>
      </c>
    </row>
    <row r="22" spans="1:17" s="12" customFormat="1" ht="19.95" customHeight="1">
      <c r="A22" s="100">
        <v>12</v>
      </c>
      <c r="B22" s="21" t="s">
        <v>97</v>
      </c>
      <c r="C22" s="101"/>
      <c r="D22" s="101"/>
      <c r="E22" s="94">
        <f t="shared" si="4"/>
        <v>0</v>
      </c>
      <c r="F22" s="22"/>
      <c r="G22" s="22"/>
      <c r="H22" s="94">
        <f t="shared" si="0"/>
        <v>0</v>
      </c>
      <c r="I22" s="33" t="s">
        <v>67</v>
      </c>
      <c r="J22" s="22"/>
      <c r="K22" s="22"/>
      <c r="L22" s="22"/>
      <c r="M22" s="22"/>
      <c r="N22" s="94">
        <f t="shared" si="1"/>
        <v>0</v>
      </c>
      <c r="O22" s="94">
        <f t="shared" si="2"/>
        <v>0</v>
      </c>
      <c r="P22" s="100"/>
      <c r="Q22" s="118" t="str">
        <f t="shared" si="3"/>
        <v>OK</v>
      </c>
    </row>
    <row r="23" spans="1:17" s="12" customFormat="1" ht="19.95" customHeight="1">
      <c r="A23" s="100">
        <v>13</v>
      </c>
      <c r="B23" s="21" t="s">
        <v>98</v>
      </c>
      <c r="C23" s="101"/>
      <c r="D23" s="101"/>
      <c r="E23" s="94">
        <f t="shared" si="4"/>
        <v>0</v>
      </c>
      <c r="F23" s="22"/>
      <c r="G23" s="22"/>
      <c r="H23" s="94">
        <f t="shared" si="0"/>
        <v>0</v>
      </c>
      <c r="I23" s="33" t="s">
        <v>68</v>
      </c>
      <c r="J23" s="22"/>
      <c r="K23" s="22"/>
      <c r="L23" s="22"/>
      <c r="M23" s="22"/>
      <c r="N23" s="94">
        <f t="shared" si="1"/>
        <v>0</v>
      </c>
      <c r="O23" s="94">
        <f t="shared" si="2"/>
        <v>0</v>
      </c>
      <c r="P23" s="100"/>
      <c r="Q23" s="118" t="str">
        <f t="shared" si="3"/>
        <v>OK</v>
      </c>
    </row>
    <row r="24" spans="1:17" s="12" customFormat="1" ht="19.95" customHeight="1">
      <c r="A24" s="100">
        <v>14</v>
      </c>
      <c r="B24" s="21" t="s">
        <v>99</v>
      </c>
      <c r="C24" s="101"/>
      <c r="D24" s="101"/>
      <c r="E24" s="94">
        <f t="shared" si="4"/>
        <v>0</v>
      </c>
      <c r="F24" s="22"/>
      <c r="G24" s="22"/>
      <c r="H24" s="94">
        <f t="shared" si="0"/>
        <v>0</v>
      </c>
      <c r="I24" s="33" t="s">
        <v>69</v>
      </c>
      <c r="J24" s="22"/>
      <c r="K24" s="22"/>
      <c r="L24" s="22"/>
      <c r="M24" s="22"/>
      <c r="N24" s="94">
        <f t="shared" si="1"/>
        <v>0</v>
      </c>
      <c r="O24" s="94">
        <f t="shared" si="2"/>
        <v>0</v>
      </c>
      <c r="P24" s="100"/>
      <c r="Q24" s="118" t="str">
        <f t="shared" si="3"/>
        <v>OK</v>
      </c>
    </row>
    <row r="25" spans="1:17" s="12" customFormat="1" ht="19.95" customHeight="1">
      <c r="A25" s="100">
        <v>15</v>
      </c>
      <c r="B25" s="21" t="s">
        <v>100</v>
      </c>
      <c r="C25" s="101"/>
      <c r="D25" s="101"/>
      <c r="E25" s="94">
        <f t="shared" si="4"/>
        <v>0</v>
      </c>
      <c r="F25" s="22"/>
      <c r="G25" s="22"/>
      <c r="H25" s="94">
        <f t="shared" si="0"/>
        <v>0</v>
      </c>
      <c r="I25" s="23" t="s">
        <v>70</v>
      </c>
      <c r="J25" s="22"/>
      <c r="K25" s="22"/>
      <c r="L25" s="22"/>
      <c r="M25" s="22"/>
      <c r="N25" s="94">
        <f t="shared" si="1"/>
        <v>0</v>
      </c>
      <c r="O25" s="94">
        <f t="shared" si="2"/>
        <v>0</v>
      </c>
      <c r="P25" s="100"/>
      <c r="Q25" s="118" t="str">
        <f t="shared" si="3"/>
        <v>OK</v>
      </c>
    </row>
    <row r="26" spans="1:17" s="12" customFormat="1" ht="19.95" customHeight="1">
      <c r="A26" s="100">
        <v>16</v>
      </c>
      <c r="B26" s="21" t="s">
        <v>101</v>
      </c>
      <c r="C26" s="101"/>
      <c r="D26" s="101"/>
      <c r="E26" s="94">
        <f t="shared" si="4"/>
        <v>0</v>
      </c>
      <c r="F26" s="22"/>
      <c r="G26" s="22"/>
      <c r="H26" s="94">
        <f t="shared" si="0"/>
        <v>0</v>
      </c>
      <c r="I26" s="33" t="s">
        <v>71</v>
      </c>
      <c r="J26" s="22"/>
      <c r="K26" s="22"/>
      <c r="L26" s="22"/>
      <c r="M26" s="22"/>
      <c r="N26" s="94">
        <f t="shared" si="1"/>
        <v>0</v>
      </c>
      <c r="O26" s="94">
        <f t="shared" si="2"/>
        <v>0</v>
      </c>
      <c r="P26" s="100"/>
      <c r="Q26" s="118" t="str">
        <f t="shared" si="3"/>
        <v>OK</v>
      </c>
    </row>
    <row r="27" spans="1:17" s="12" customFormat="1" ht="19.95" customHeight="1">
      <c r="A27" s="100">
        <v>17</v>
      </c>
      <c r="B27" s="21" t="s">
        <v>102</v>
      </c>
      <c r="C27" s="101"/>
      <c r="D27" s="101"/>
      <c r="E27" s="94">
        <f t="shared" si="4"/>
        <v>0</v>
      </c>
      <c r="F27" s="22"/>
      <c r="G27" s="22"/>
      <c r="H27" s="94">
        <f t="shared" si="0"/>
        <v>0</v>
      </c>
      <c r="I27" s="33" t="s">
        <v>72</v>
      </c>
      <c r="J27" s="22"/>
      <c r="K27" s="22"/>
      <c r="L27" s="22"/>
      <c r="M27" s="22"/>
      <c r="N27" s="94">
        <f t="shared" si="1"/>
        <v>0</v>
      </c>
      <c r="O27" s="94">
        <f t="shared" si="2"/>
        <v>0</v>
      </c>
      <c r="P27" s="100"/>
      <c r="Q27" s="118" t="str">
        <f t="shared" si="3"/>
        <v>OK</v>
      </c>
    </row>
    <row r="28" spans="1:17" s="12" customFormat="1" ht="19.95" customHeight="1">
      <c r="A28" s="100">
        <v>18</v>
      </c>
      <c r="B28" s="21" t="s">
        <v>103</v>
      </c>
      <c r="C28" s="101"/>
      <c r="D28" s="101"/>
      <c r="E28" s="94">
        <f t="shared" si="4"/>
        <v>0</v>
      </c>
      <c r="F28" s="22"/>
      <c r="G28" s="22"/>
      <c r="H28" s="94">
        <f t="shared" si="0"/>
        <v>0</v>
      </c>
      <c r="I28" s="33"/>
      <c r="J28" s="22"/>
      <c r="K28" s="22"/>
      <c r="L28" s="22"/>
      <c r="M28" s="22"/>
      <c r="N28" s="94">
        <f t="shared" si="1"/>
        <v>0</v>
      </c>
      <c r="O28" s="94">
        <f t="shared" si="2"/>
        <v>0</v>
      </c>
      <c r="P28" s="100"/>
      <c r="Q28" s="118" t="str">
        <f t="shared" si="3"/>
        <v>OK</v>
      </c>
    </row>
    <row r="29" spans="1:17" s="12" customFormat="1" ht="19.95" customHeight="1">
      <c r="A29" s="100">
        <v>19</v>
      </c>
      <c r="B29" s="47" t="s">
        <v>114</v>
      </c>
      <c r="C29" s="101"/>
      <c r="D29" s="101"/>
      <c r="E29" s="94">
        <f t="shared" si="4"/>
        <v>0</v>
      </c>
      <c r="F29" s="22"/>
      <c r="G29" s="22"/>
      <c r="H29" s="94">
        <f t="shared" si="0"/>
        <v>0</v>
      </c>
      <c r="I29" s="33"/>
      <c r="J29" s="22"/>
      <c r="K29" s="22"/>
      <c r="L29" s="22"/>
      <c r="M29" s="22"/>
      <c r="N29" s="94">
        <f t="shared" si="1"/>
        <v>0</v>
      </c>
      <c r="O29" s="94">
        <f t="shared" si="2"/>
        <v>0</v>
      </c>
      <c r="P29" s="100"/>
      <c r="Q29" s="118" t="str">
        <f t="shared" si="3"/>
        <v>OK</v>
      </c>
    </row>
    <row r="30" spans="1:17" s="152" customFormat="1" ht="19.95" customHeight="1">
      <c r="A30" s="190" t="s">
        <v>73</v>
      </c>
      <c r="B30" s="190"/>
      <c r="C30" s="145">
        <f>SUM(C11:C29)</f>
        <v>0</v>
      </c>
      <c r="D30" s="145">
        <f t="shared" ref="D30:H30" si="5">SUM(D11:D29)</f>
        <v>0</v>
      </c>
      <c r="E30" s="145">
        <f t="shared" si="5"/>
        <v>0</v>
      </c>
      <c r="F30" s="145">
        <f t="shared" si="5"/>
        <v>0</v>
      </c>
      <c r="G30" s="145">
        <f t="shared" si="5"/>
        <v>0</v>
      </c>
      <c r="H30" s="145">
        <f t="shared" si="5"/>
        <v>0</v>
      </c>
      <c r="I30" s="150" t="s">
        <v>73</v>
      </c>
      <c r="J30" s="145">
        <f t="shared" ref="J30:O30" si="6">SUM(J16:J29)</f>
        <v>0</v>
      </c>
      <c r="K30" s="145">
        <f t="shared" si="6"/>
        <v>0</v>
      </c>
      <c r="L30" s="145">
        <f t="shared" si="6"/>
        <v>0</v>
      </c>
      <c r="M30" s="145">
        <f t="shared" si="6"/>
        <v>0</v>
      </c>
      <c r="N30" s="145">
        <f t="shared" si="6"/>
        <v>0</v>
      </c>
      <c r="O30" s="145">
        <f t="shared" si="6"/>
        <v>0</v>
      </c>
      <c r="P30" s="151"/>
      <c r="Q30" s="150"/>
    </row>
    <row r="31" spans="1:17" s="12" customFormat="1" ht="19.95" customHeight="1">
      <c r="A31" s="24" t="s">
        <v>74</v>
      </c>
      <c r="B31" s="25"/>
      <c r="C31" s="25"/>
      <c r="D31" s="25"/>
      <c r="E31" s="25"/>
      <c r="F31" s="25"/>
      <c r="G31" s="25"/>
      <c r="H31" s="25"/>
      <c r="I31" s="25"/>
      <c r="J31" s="25"/>
      <c r="K31" s="25"/>
      <c r="L31" s="25"/>
      <c r="M31" s="25"/>
      <c r="N31" s="25"/>
      <c r="O31" s="25"/>
      <c r="P31" s="25"/>
      <c r="Q31" s="25"/>
    </row>
    <row r="32" spans="1:17" s="12" customFormat="1" ht="19.95" customHeight="1">
      <c r="A32" s="133" t="s">
        <v>162</v>
      </c>
      <c r="C32" s="117"/>
      <c r="D32" s="116"/>
      <c r="E32" s="117"/>
    </row>
    <row r="33" spans="1:8" s="12" customFormat="1" ht="19.95" customHeight="1">
      <c r="A33" s="133" t="s">
        <v>163</v>
      </c>
      <c r="C33" s="116"/>
      <c r="D33" s="116"/>
      <c r="E33" s="117"/>
    </row>
    <row r="34" spans="1:8" s="12" customFormat="1" ht="19.95" customHeight="1">
      <c r="A34" s="119"/>
      <c r="C34" s="116"/>
      <c r="D34" s="116"/>
      <c r="E34" s="117"/>
    </row>
    <row r="35" spans="1:8" s="12" customFormat="1" ht="19.95" customHeight="1">
      <c r="A35" s="14" t="s">
        <v>75</v>
      </c>
    </row>
    <row r="36" spans="1:8" s="12" customFormat="1" ht="19.95" customHeight="1"/>
    <row r="37" spans="1:8" s="12" customFormat="1" ht="20.100000000000001" customHeight="1"/>
    <row r="38" spans="1:8" s="12" customFormat="1" ht="13.8"/>
    <row r="39" spans="1:8" s="12" customFormat="1" ht="13.8"/>
    <row r="40" spans="1:8" s="12" customFormat="1" ht="13.8">
      <c r="A40" s="134" t="s">
        <v>164</v>
      </c>
    </row>
    <row r="41" spans="1:8" s="12" customFormat="1" ht="13.8">
      <c r="A41" s="26" t="s">
        <v>165</v>
      </c>
    </row>
    <row r="42" spans="1:8" s="12" customFormat="1" ht="13.8">
      <c r="A42" s="26" t="s">
        <v>174</v>
      </c>
    </row>
    <row r="43" spans="1:8" s="12" customFormat="1" ht="13.8">
      <c r="A43" s="26" t="s">
        <v>166</v>
      </c>
    </row>
    <row r="44" spans="1:8" s="12" customFormat="1" ht="13.8">
      <c r="A44" s="26" t="s">
        <v>167</v>
      </c>
    </row>
    <row r="45" spans="1:8" s="12" customFormat="1" ht="13.8">
      <c r="A45" s="26" t="s">
        <v>168</v>
      </c>
    </row>
    <row r="46" spans="1:8">
      <c r="A46" s="26" t="s">
        <v>169</v>
      </c>
      <c r="B46" s="12"/>
      <c r="C46" s="12"/>
      <c r="D46" s="12"/>
      <c r="E46" s="12"/>
      <c r="F46" s="12"/>
      <c r="G46" s="12"/>
      <c r="H46" s="12"/>
    </row>
    <row r="47" spans="1:8">
      <c r="A47" s="26" t="s">
        <v>170</v>
      </c>
      <c r="B47" s="12"/>
      <c r="C47" s="12"/>
      <c r="D47" s="12"/>
      <c r="E47" s="12"/>
      <c r="F47" s="12"/>
      <c r="G47" s="12"/>
      <c r="H47" s="12"/>
    </row>
    <row r="48" spans="1:8">
      <c r="A48" s="26" t="s">
        <v>171</v>
      </c>
      <c r="B48" s="12"/>
      <c r="C48" s="12"/>
      <c r="D48" s="12"/>
      <c r="E48" s="12"/>
      <c r="F48" s="12"/>
      <c r="G48" s="12"/>
      <c r="H48" s="12"/>
    </row>
    <row r="49" spans="1:8">
      <c r="A49" s="26" t="s">
        <v>172</v>
      </c>
      <c r="B49" s="12"/>
      <c r="C49" s="12"/>
      <c r="D49" s="12"/>
      <c r="E49" s="12"/>
      <c r="F49" s="12"/>
      <c r="G49" s="12"/>
      <c r="H49" s="12"/>
    </row>
    <row r="50" spans="1:8">
      <c r="A50" s="26" t="s">
        <v>173</v>
      </c>
      <c r="B50" s="12"/>
      <c r="C50" s="12"/>
      <c r="D50" s="12"/>
      <c r="E50" s="12"/>
      <c r="F50" s="12"/>
      <c r="G50" s="12"/>
      <c r="H50" s="12"/>
    </row>
  </sheetData>
  <mergeCells count="14">
    <mergeCell ref="A1:Q1"/>
    <mergeCell ref="A2:Q2"/>
    <mergeCell ref="J9:P9"/>
    <mergeCell ref="A30:B30"/>
    <mergeCell ref="A9:A10"/>
    <mergeCell ref="B9:B10"/>
    <mergeCell ref="C9:C10"/>
    <mergeCell ref="D9:D10"/>
    <mergeCell ref="E9:E10"/>
    <mergeCell ref="F9:F10"/>
    <mergeCell ref="G9:G10"/>
    <mergeCell ref="H9:H10"/>
    <mergeCell ref="I9:I10"/>
    <mergeCell ref="Q9:Q10"/>
  </mergeCells>
  <phoneticPr fontId="56" type="noConversion"/>
  <hyperlinks>
    <hyperlink ref="Q3" location="底稿目录!A1" display="底稿目录!A1"/>
  </hyperlinks>
  <printOptions horizontalCentered="1"/>
  <pageMargins left="0.39370078740157483" right="0.31496062992125984" top="0.74803149606299213" bottom="0.31496062992125984" header="0.51181102362204722" footer="0.19685039370078741"/>
  <pageSetup paperSize="9" scale="65"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2"/>
  <sheetViews>
    <sheetView view="pageBreakPreview" zoomScaleNormal="100" workbookViewId="0">
      <selection sqref="A1:J1"/>
    </sheetView>
  </sheetViews>
  <sheetFormatPr defaultColWidth="8.88671875" defaultRowHeight="15.6"/>
  <cols>
    <col min="1" max="1" width="26.109375" style="1" customWidth="1"/>
    <col min="2" max="2" width="17.6640625" style="1" customWidth="1"/>
    <col min="3" max="3" width="14.33203125" style="1" customWidth="1"/>
    <col min="4" max="4" width="16.5546875" style="1" customWidth="1"/>
    <col min="5" max="5" width="16.6640625" style="1" customWidth="1"/>
    <col min="6" max="6" width="10.5546875" style="1" customWidth="1"/>
    <col min="7" max="7" width="11.109375" style="1" customWidth="1"/>
    <col min="8" max="8" width="10.77734375" style="1" customWidth="1"/>
    <col min="9" max="9" width="10" style="1" customWidth="1"/>
    <col min="10" max="10" width="12.5546875" style="1" customWidth="1"/>
    <col min="11" max="16384" width="8.88671875" style="1"/>
  </cols>
  <sheetData>
    <row r="1" spans="1:10" ht="19.95" customHeight="1">
      <c r="A1" s="196" t="s">
        <v>10</v>
      </c>
      <c r="B1" s="196"/>
      <c r="C1" s="196"/>
      <c r="D1" s="196"/>
      <c r="E1" s="196"/>
      <c r="F1" s="196"/>
      <c r="G1" s="196"/>
      <c r="H1" s="196"/>
      <c r="I1" s="196"/>
      <c r="J1" s="196"/>
    </row>
    <row r="2" spans="1:10" ht="19.95" customHeight="1">
      <c r="A2" s="179" t="s">
        <v>76</v>
      </c>
      <c r="B2" s="179"/>
      <c r="C2" s="179"/>
      <c r="D2" s="197"/>
      <c r="E2" s="197"/>
      <c r="F2" s="197"/>
      <c r="G2" s="197"/>
      <c r="H2" s="197"/>
      <c r="I2" s="197"/>
      <c r="J2" s="197"/>
    </row>
    <row r="3" spans="1:10" ht="19.95" customHeight="1">
      <c r="A3" s="2" t="str">
        <f>底稿目录!A2</f>
        <v>被审计单位：</v>
      </c>
      <c r="C3" s="2" t="str">
        <f>底稿目录!A4</f>
        <v>编制人：</v>
      </c>
      <c r="E3" s="2"/>
      <c r="F3" s="2" t="str">
        <f>底稿目录!A5</f>
        <v>编制日期：</v>
      </c>
      <c r="G3" s="2"/>
      <c r="H3" s="3"/>
      <c r="I3" s="2" t="s">
        <v>77</v>
      </c>
      <c r="J3" s="146" t="str">
        <f>底稿目录!D10</f>
        <v>K11-3</v>
      </c>
    </row>
    <row r="4" spans="1:10" ht="19.95" customHeight="1">
      <c r="A4" s="2" t="str">
        <f>底稿目录!A3</f>
        <v>会计期间：202X年度</v>
      </c>
      <c r="C4" s="2" t="str">
        <f>底稿目录!A6</f>
        <v>复核人：</v>
      </c>
      <c r="E4" s="2"/>
      <c r="F4" s="2" t="str">
        <f>底稿目录!A7</f>
        <v>复核日期：</v>
      </c>
      <c r="G4" s="2"/>
      <c r="H4" s="2"/>
      <c r="I4" s="2" t="s">
        <v>78</v>
      </c>
      <c r="J4" s="10"/>
    </row>
    <row r="5" spans="1:10" ht="38.4" customHeight="1">
      <c r="A5" s="4" t="s">
        <v>79</v>
      </c>
      <c r="B5" s="102" t="s">
        <v>80</v>
      </c>
      <c r="C5" s="153" t="s">
        <v>151</v>
      </c>
      <c r="D5" s="5" t="s">
        <v>81</v>
      </c>
      <c r="E5" s="5" t="s">
        <v>82</v>
      </c>
      <c r="F5" s="6" t="s">
        <v>83</v>
      </c>
      <c r="G5" s="5" t="s">
        <v>84</v>
      </c>
      <c r="H5" s="5" t="s">
        <v>85</v>
      </c>
      <c r="I5" s="5" t="s">
        <v>86</v>
      </c>
      <c r="J5" s="5" t="s">
        <v>87</v>
      </c>
    </row>
    <row r="6" spans="1:10" ht="19.95" customHeight="1">
      <c r="A6" s="124"/>
      <c r="B6" s="124"/>
      <c r="C6" s="125"/>
      <c r="D6" s="124"/>
      <c r="E6" s="124"/>
      <c r="F6" s="124"/>
      <c r="G6" s="126"/>
      <c r="H6" s="126"/>
      <c r="I6" s="127"/>
      <c r="J6" s="124"/>
    </row>
    <row r="7" spans="1:10" ht="19.95" customHeight="1">
      <c r="A7" s="124"/>
      <c r="B7" s="124"/>
      <c r="C7" s="125"/>
      <c r="D7" s="124"/>
      <c r="E7" s="124"/>
      <c r="F7" s="124"/>
      <c r="G7" s="126"/>
      <c r="H7" s="126"/>
      <c r="I7" s="127"/>
      <c r="J7" s="124"/>
    </row>
    <row r="8" spans="1:10" ht="19.95" customHeight="1">
      <c r="A8" s="124"/>
      <c r="B8" s="124"/>
      <c r="C8" s="125"/>
      <c r="D8" s="124"/>
      <c r="E8" s="124"/>
      <c r="F8" s="124"/>
      <c r="G8" s="126"/>
      <c r="H8" s="126"/>
      <c r="I8" s="127"/>
      <c r="J8" s="124"/>
    </row>
    <row r="9" spans="1:10" ht="19.95" customHeight="1">
      <c r="A9" s="124"/>
      <c r="B9" s="124"/>
      <c r="C9" s="125"/>
      <c r="D9" s="124"/>
      <c r="E9" s="124"/>
      <c r="F9" s="124"/>
      <c r="G9" s="126"/>
      <c r="H9" s="126"/>
      <c r="I9" s="127"/>
      <c r="J9" s="124"/>
    </row>
    <row r="10" spans="1:10" ht="19.95" customHeight="1">
      <c r="A10" s="124"/>
      <c r="B10" s="124"/>
      <c r="C10" s="125"/>
      <c r="D10" s="124"/>
      <c r="E10" s="124"/>
      <c r="F10" s="124"/>
      <c r="G10" s="126"/>
      <c r="H10" s="126"/>
      <c r="I10" s="127"/>
      <c r="J10" s="124"/>
    </row>
    <row r="11" spans="1:10" ht="19.95" customHeight="1">
      <c r="A11" s="124"/>
      <c r="B11" s="124"/>
      <c r="C11" s="125"/>
      <c r="D11" s="124"/>
      <c r="E11" s="124"/>
      <c r="F11" s="124"/>
      <c r="G11" s="126"/>
      <c r="H11" s="126"/>
      <c r="I11" s="127"/>
      <c r="J11" s="124"/>
    </row>
    <row r="12" spans="1:10" ht="19.95" customHeight="1">
      <c r="A12" s="124"/>
      <c r="B12" s="124"/>
      <c r="C12" s="125"/>
      <c r="D12" s="124"/>
      <c r="E12" s="124"/>
      <c r="F12" s="124"/>
      <c r="G12" s="126"/>
      <c r="H12" s="126"/>
      <c r="I12" s="127"/>
      <c r="J12" s="124"/>
    </row>
    <row r="13" spans="1:10" ht="19.95" customHeight="1">
      <c r="A13" s="124"/>
      <c r="B13" s="124"/>
      <c r="C13" s="125"/>
      <c r="D13" s="124"/>
      <c r="E13" s="124"/>
      <c r="F13" s="124"/>
      <c r="G13" s="126"/>
      <c r="H13" s="126"/>
      <c r="I13" s="127"/>
      <c r="J13" s="124"/>
    </row>
    <row r="14" spans="1:10" ht="19.95" customHeight="1">
      <c r="A14" s="124"/>
      <c r="B14" s="124"/>
      <c r="C14" s="125"/>
      <c r="D14" s="124"/>
      <c r="E14" s="124"/>
      <c r="F14" s="124"/>
      <c r="G14" s="126"/>
      <c r="H14" s="126"/>
      <c r="I14" s="127"/>
      <c r="J14" s="124"/>
    </row>
    <row r="15" spans="1:10" ht="19.95" customHeight="1">
      <c r="A15" s="124"/>
      <c r="B15" s="124"/>
      <c r="C15" s="125"/>
      <c r="D15" s="124"/>
      <c r="E15" s="124"/>
      <c r="F15" s="124"/>
      <c r="G15" s="126"/>
      <c r="H15" s="126"/>
      <c r="I15" s="127"/>
      <c r="J15" s="124"/>
    </row>
    <row r="16" spans="1:10" ht="19.95" customHeight="1">
      <c r="A16" s="124"/>
      <c r="B16" s="124"/>
      <c r="C16" s="125"/>
      <c r="D16" s="124"/>
      <c r="E16" s="124"/>
      <c r="F16" s="124"/>
      <c r="G16" s="126"/>
      <c r="H16" s="126"/>
      <c r="I16" s="127"/>
      <c r="J16" s="124"/>
    </row>
    <row r="17" spans="1:10" ht="19.95" customHeight="1">
      <c r="A17" s="124"/>
      <c r="B17" s="124"/>
      <c r="C17" s="125"/>
      <c r="D17" s="124"/>
      <c r="E17" s="124"/>
      <c r="F17" s="124"/>
      <c r="G17" s="126"/>
      <c r="H17" s="126"/>
      <c r="I17" s="127"/>
      <c r="J17" s="124"/>
    </row>
    <row r="18" spans="1:10" ht="19.95" customHeight="1">
      <c r="A18" s="124"/>
      <c r="B18" s="124"/>
      <c r="C18" s="125"/>
      <c r="D18" s="124"/>
      <c r="E18" s="124"/>
      <c r="F18" s="124"/>
      <c r="G18" s="126"/>
      <c r="H18" s="126"/>
      <c r="I18" s="127"/>
      <c r="J18" s="124"/>
    </row>
    <row r="19" spans="1:10" ht="19.95" customHeight="1">
      <c r="A19" s="124"/>
      <c r="B19" s="124"/>
      <c r="C19" s="125"/>
      <c r="D19" s="124"/>
      <c r="E19" s="124"/>
      <c r="F19" s="124"/>
      <c r="G19" s="126"/>
      <c r="H19" s="126"/>
      <c r="I19" s="127"/>
      <c r="J19" s="124"/>
    </row>
    <row r="20" spans="1:10" ht="19.95" customHeight="1">
      <c r="A20" s="124"/>
      <c r="B20" s="124"/>
      <c r="C20" s="125"/>
      <c r="D20" s="124"/>
      <c r="E20" s="124"/>
      <c r="F20" s="124"/>
      <c r="G20" s="126"/>
      <c r="H20" s="126"/>
      <c r="I20" s="127"/>
      <c r="J20" s="124"/>
    </row>
    <row r="22" spans="1:10" ht="32.4" customHeight="1">
      <c r="A22" s="198" t="s">
        <v>175</v>
      </c>
      <c r="B22" s="199"/>
      <c r="C22" s="199"/>
      <c r="D22" s="199"/>
      <c r="E22" s="199"/>
      <c r="F22" s="199"/>
      <c r="G22" s="199"/>
      <c r="H22" s="199"/>
      <c r="I22" s="199"/>
      <c r="J22" s="199"/>
    </row>
  </sheetData>
  <mergeCells count="3">
    <mergeCell ref="A1:J1"/>
    <mergeCell ref="A2:J2"/>
    <mergeCell ref="A22:J22"/>
  </mergeCells>
  <phoneticPr fontId="56"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0">
    <comment s:ref="B4" rgbClr="5C9ABC"/>
    <comment s:ref="C4" rgbClr="5CC744"/>
  </commentList>
  <commentList sheetStid="9">
    <comment s:ref="C4" rgbClr="5CC744"/>
  </commentList>
  <commentList sheetStid="4">
    <comment s:ref="H12" rgbClr="5CC744"/>
    <comment s:ref="B13" rgbClr="5CC744"/>
    <comment s:ref="E13" rgbClr="5CC744"/>
    <comment s:ref="H13" rgbClr="5CC744"/>
    <comment s:ref="I13" rgbClr="5CC744"/>
    <comment s:ref="N13" rgbClr="5CC744"/>
    <comment s:ref="O13" rgbClr="5CC744"/>
    <comment s:ref="Q13" rgbClr="5CC744"/>
    <comment s:ref="B14" rgbClr="5CC744"/>
    <comment s:ref="E14" rgbClr="5CC744"/>
    <comment s:ref="H14" rgbClr="5CC744"/>
    <comment s:ref="I14" rgbClr="5CC744"/>
    <comment s:ref="N14" rgbClr="5CC744"/>
    <comment s:ref="O14" rgbClr="5CC744"/>
    <comment s:ref="Q14" rgbClr="5CC744"/>
    <comment s:ref="B15" rgbClr="5CC744"/>
    <comment s:ref="E15" rgbClr="5CC744"/>
    <comment s:ref="H15" rgbClr="5CC744"/>
    <comment s:ref="I15" rgbClr="5CC744"/>
    <comment s:ref="N15" rgbClr="5CC744"/>
    <comment s:ref="O15" rgbClr="5CC744"/>
    <comment s:ref="Q15" rgbClr="5CC744"/>
    <comment s:ref="A19" rgbClr="5CC744"/>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8</vt:i4>
      </vt:variant>
    </vt:vector>
  </HeadingPairs>
  <TitlesOfParts>
    <vt:vector size="15" baseType="lpstr">
      <vt:lpstr>底稿目录</vt:lpstr>
      <vt:lpstr>实质性程序表 K11A</vt:lpstr>
      <vt:lpstr>审定表K11-1</vt:lpstr>
      <vt:lpstr>附注披露信息（上市公司）</vt:lpstr>
      <vt:lpstr>附注披露信息（国企）</vt:lpstr>
      <vt:lpstr>明细表K11-2</vt:lpstr>
      <vt:lpstr>调整分录汇总K11-3</vt:lpstr>
      <vt:lpstr>'实质性程序表 K11A'!_FilterDatabase</vt:lpstr>
      <vt:lpstr>'调整分录汇总K11-3'!Print_Area</vt:lpstr>
      <vt:lpstr>'附注披露信息（国企）'!Print_Area</vt:lpstr>
      <vt:lpstr>'附注披露信息（上市公司）'!Print_Area</vt:lpstr>
      <vt:lpstr>'明细表K11-2'!Print_Area</vt:lpstr>
      <vt:lpstr>'审定表K11-1'!Print_Area</vt:lpstr>
      <vt:lpstr>'实质性程序表 K11A'!Print_Area</vt:lpstr>
      <vt:lpstr>'实质性程序表 K11A'!Print_Titles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何先琴</cp:lastModifiedBy>
  <cp:lastPrinted>2025-10-22T03:18:39Z</cp:lastPrinted>
  <dcterms:created xsi:type="dcterms:W3CDTF">2013-12-07T13:18:00Z</dcterms:created>
  <dcterms:modified xsi:type="dcterms:W3CDTF">2025-11-05T07:32:55Z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2052-11.1.0.12302</vt:lpwstr>
  </property>
  <property fmtid="{D5CDD505-2E9C-101B-9397-08002B2CF9AE}" pid="3" name="ICV">
    <vt:lpwstr>B993DC6606C449CD892742EBD168A86C</vt:lpwstr>
  </property>
</Properties>
</file>