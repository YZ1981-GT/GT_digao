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K 管理循环\"/>
    </mc:Choice>
  </mc:AlternateContent>
  <bookViews>
    <workbookView xWindow="-108" yWindow="-108" windowWidth="23256" windowHeight="12576" tabRatio="791"/>
  </bookViews>
  <sheets>
    <sheet name="底稿目录" sheetId="8" r:id="rId1"/>
    <sheet name="实质性程序表K8A" sheetId="11" r:id="rId2"/>
    <sheet name="审定表K8-1" sheetId="1" r:id="rId3"/>
    <sheet name="附注披露信息（上市公司）" sheetId="13" r:id="rId4"/>
    <sheet name="附注披露信息（国企）" sheetId="14" r:id="rId5"/>
    <sheet name="明细表K8-2" sheetId="4" r:id="rId6"/>
    <sheet name="调整分录汇总K8-3" sheetId="12" r:id="rId7"/>
    <sheet name="实质性分析K8-4" sheetId="5" r:id="rId8"/>
    <sheet name="合同检查表K8-5" sheetId="9" r:id="rId9"/>
    <sheet name="截止性测试(从记账凭证至原始凭证）K8-6" sheetId="6" r:id="rId10"/>
    <sheet name="截止性测试（从原始凭证至记账凭证）K8-7" sheetId="16" r:id="rId11"/>
    <sheet name="销售费用检查表K8-8" sheetId="7" r:id="rId12"/>
  </sheets>
  <definedNames>
    <definedName name="_xlnm.Print_Area" localSheetId="6">'调整分录汇总K8-3'!$A$1:$J$20</definedName>
    <definedName name="_xlnm.Print_Area" localSheetId="8">'合同检查表K8-5'!$A$1:$Q$28</definedName>
    <definedName name="_xlnm.Print_Area" localSheetId="9">'截止性测试(从记账凭证至原始凭证）K8-6'!$A$1:$K$41</definedName>
    <definedName name="_xlnm.Print_Area" localSheetId="10">'截止性测试（从原始凭证至记账凭证）K8-7'!$A$1:$K$41</definedName>
    <definedName name="_xlnm.Print_Area" localSheetId="5">'明细表K8-2'!$A$1:$AA$36</definedName>
    <definedName name="_xlnm.Print_Area" localSheetId="2">'审定表K8-1'!$A$1:$L$28</definedName>
    <definedName name="_xlnm.Print_Area" localSheetId="1">实质性程序表K8A!$A$1:$I$30</definedName>
    <definedName name="_xlnm.Print_Area" localSheetId="7">'实质性分析K8-4'!$A$1:$J$39</definedName>
    <definedName name="_xlnm.Print_Area" localSheetId="11">'销售费用检查表K8-8'!$A$1:$Q$41</definedName>
    <definedName name="_xlnm.Print_Titles" localSheetId="1">实质性程序表K8A!$15:$16</definedName>
    <definedName name="_xlnm.Print_Titles" localSheetId="7">'实质性分析K8-4'!$1:$4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7" l="1"/>
  <c r="K11" i="9" l="1"/>
  <c r="D33" i="4"/>
  <c r="F33" i="4" s="1"/>
  <c r="D32" i="4"/>
  <c r="F32" i="4" s="1"/>
  <c r="H22" i="5" l="1"/>
  <c r="H4" i="16" l="1"/>
  <c r="E4" i="16"/>
  <c r="A4" i="16"/>
  <c r="K3" i="16"/>
  <c r="H3" i="16"/>
  <c r="E3" i="16"/>
  <c r="A3" i="16"/>
  <c r="N13" i="4" l="1"/>
  <c r="J12" i="9" l="1"/>
  <c r="J13" i="9"/>
  <c r="J14" i="9"/>
  <c r="J15" i="9"/>
  <c r="J16" i="9"/>
  <c r="J17" i="9"/>
  <c r="J18" i="9"/>
  <c r="J19" i="9"/>
  <c r="J20" i="9"/>
  <c r="J11" i="9"/>
  <c r="L11" i="9" s="1"/>
  <c r="U25" i="4"/>
  <c r="V25" i="4"/>
  <c r="C25" i="4"/>
  <c r="D25" i="4"/>
  <c r="E25" i="4"/>
  <c r="F25" i="4"/>
  <c r="G25" i="4"/>
  <c r="H25" i="4"/>
  <c r="I25" i="4"/>
  <c r="J25" i="4"/>
  <c r="K25" i="4"/>
  <c r="L25" i="4"/>
  <c r="M25" i="4"/>
  <c r="O25" i="4"/>
  <c r="P25" i="4"/>
  <c r="A12" i="5" l="1"/>
  <c r="A13" i="5"/>
  <c r="A14" i="5"/>
  <c r="A15" i="5"/>
  <c r="A16" i="5"/>
  <c r="A17" i="5"/>
  <c r="A18" i="5"/>
  <c r="A19" i="5"/>
  <c r="A20" i="5"/>
  <c r="A8" i="1" l="1"/>
  <c r="A8" i="14" s="1"/>
  <c r="A9" i="1"/>
  <c r="A9" i="14" s="1"/>
  <c r="A10" i="1"/>
  <c r="A10" i="14" s="1"/>
  <c r="A11" i="1"/>
  <c r="A11" i="14" s="1"/>
  <c r="A12" i="1"/>
  <c r="A12" i="14" s="1"/>
  <c r="A13" i="1"/>
  <c r="A13" i="14" s="1"/>
  <c r="A14" i="1"/>
  <c r="A14" i="14" s="1"/>
  <c r="A15" i="1"/>
  <c r="A16" i="1"/>
  <c r="A16" i="14" s="1"/>
  <c r="A15" i="14" l="1"/>
  <c r="A15" i="13"/>
  <c r="Q3" i="7"/>
  <c r="Q3" i="9"/>
  <c r="K3" i="6"/>
  <c r="J3" i="5"/>
  <c r="J3" i="12"/>
  <c r="C3" i="12"/>
  <c r="AA3" i="4"/>
  <c r="E3" i="14"/>
  <c r="E3" i="13"/>
  <c r="L3" i="1"/>
  <c r="I3" i="11"/>
  <c r="A4" i="11"/>
  <c r="C30" i="14" l="1"/>
  <c r="B30" i="14"/>
  <c r="C4" i="14"/>
  <c r="B4" i="14"/>
  <c r="A4" i="14"/>
  <c r="C3" i="14"/>
  <c r="B3" i="14"/>
  <c r="A3" i="14"/>
  <c r="C30" i="13"/>
  <c r="B30" i="13"/>
  <c r="C4" i="13"/>
  <c r="B4" i="13"/>
  <c r="A4" i="13"/>
  <c r="C3" i="13"/>
  <c r="B3" i="13"/>
  <c r="A3" i="13"/>
  <c r="H15" i="1"/>
  <c r="C16" i="1"/>
  <c r="F8" i="1"/>
  <c r="B9" i="1"/>
  <c r="H10" i="1"/>
  <c r="B11" i="1"/>
  <c r="F12" i="1"/>
  <c r="G13" i="1"/>
  <c r="H14" i="1"/>
  <c r="A7" i="1"/>
  <c r="N12" i="4"/>
  <c r="Q12" i="4" s="1"/>
  <c r="Q13" i="4"/>
  <c r="F4" i="12"/>
  <c r="C4" i="12"/>
  <c r="A4" i="12"/>
  <c r="F3" i="12"/>
  <c r="A3" i="12"/>
  <c r="K17" i="9"/>
  <c r="L17" i="9" s="1"/>
  <c r="K12" i="9"/>
  <c r="L12" i="9" s="1"/>
  <c r="K13" i="9"/>
  <c r="L13" i="9" s="1"/>
  <c r="K14" i="9"/>
  <c r="L14" i="9" s="1"/>
  <c r="K15" i="9"/>
  <c r="L15" i="9" s="1"/>
  <c r="K16" i="9"/>
  <c r="L16" i="9" s="1"/>
  <c r="K18" i="9"/>
  <c r="L18" i="9" s="1"/>
  <c r="K19" i="9"/>
  <c r="L19" i="9" s="1"/>
  <c r="K20" i="9"/>
  <c r="L20" i="9" s="1"/>
  <c r="M4" i="9"/>
  <c r="G4" i="6"/>
  <c r="F4" i="5"/>
  <c r="Q4" i="4"/>
  <c r="I4" i="1"/>
  <c r="E4" i="11"/>
  <c r="I4" i="7"/>
  <c r="F4" i="7"/>
  <c r="H4" i="9"/>
  <c r="C4" i="6"/>
  <c r="C4" i="5"/>
  <c r="G4" i="4"/>
  <c r="D4" i="1"/>
  <c r="C4" i="11"/>
  <c r="E3" i="11"/>
  <c r="C3" i="11"/>
  <c r="A3" i="11"/>
  <c r="I3" i="1"/>
  <c r="D3" i="1"/>
  <c r="A4" i="1"/>
  <c r="A3" i="1"/>
  <c r="M3" i="9"/>
  <c r="H3" i="9"/>
  <c r="A4" i="9"/>
  <c r="A3" i="9"/>
  <c r="T25" i="4"/>
  <c r="W13" i="4"/>
  <c r="W12" i="4"/>
  <c r="W14" i="4"/>
  <c r="E13" i="5" s="1"/>
  <c r="G13" i="5" s="1"/>
  <c r="W15" i="4"/>
  <c r="E14" i="5" s="1"/>
  <c r="G14" i="5" s="1"/>
  <c r="W16" i="4"/>
  <c r="E15" i="5" s="1"/>
  <c r="W17" i="4"/>
  <c r="E16" i="5" s="1"/>
  <c r="G16" i="5" s="1"/>
  <c r="W18" i="4"/>
  <c r="E17" i="5" s="1"/>
  <c r="G17" i="5" s="1"/>
  <c r="W19" i="4"/>
  <c r="E18" i="5" s="1"/>
  <c r="G18" i="5" s="1"/>
  <c r="W20" i="4"/>
  <c r="E19" i="5" s="1"/>
  <c r="G19" i="5" s="1"/>
  <c r="W21" i="4"/>
  <c r="E20" i="5" s="1"/>
  <c r="G20" i="5" s="1"/>
  <c r="W22" i="4"/>
  <c r="W23" i="4"/>
  <c r="W24" i="4"/>
  <c r="N14" i="4"/>
  <c r="Q14" i="4" s="1"/>
  <c r="B13" i="5" s="1"/>
  <c r="D13" i="5" s="1"/>
  <c r="N19" i="4"/>
  <c r="Q19" i="4" s="1"/>
  <c r="B18" i="5" s="1"/>
  <c r="A11" i="5"/>
  <c r="B25" i="4"/>
  <c r="N24" i="4"/>
  <c r="Q24" i="4" s="1"/>
  <c r="N23" i="4"/>
  <c r="Q23" i="4" s="1"/>
  <c r="N22" i="4"/>
  <c r="Q22" i="4" s="1"/>
  <c r="N21" i="4"/>
  <c r="Q21" i="4" s="1"/>
  <c r="N20" i="4"/>
  <c r="Q20" i="4" s="1"/>
  <c r="B19" i="5" s="1"/>
  <c r="N18" i="4"/>
  <c r="Q18" i="4" s="1"/>
  <c r="B17" i="5" s="1"/>
  <c r="N17" i="4"/>
  <c r="Q17" i="4" s="1"/>
  <c r="B16" i="5" s="1"/>
  <c r="N16" i="4"/>
  <c r="Q16" i="4" s="1"/>
  <c r="N15" i="4"/>
  <c r="Q15" i="4" s="1"/>
  <c r="A4" i="7"/>
  <c r="I3" i="7"/>
  <c r="F3" i="7"/>
  <c r="A3" i="7"/>
  <c r="A4" i="6"/>
  <c r="G3" i="6"/>
  <c r="C3" i="6"/>
  <c r="A3" i="6"/>
  <c r="A4" i="5"/>
  <c r="F3" i="5"/>
  <c r="C3" i="5"/>
  <c r="A3" i="5"/>
  <c r="A4" i="4"/>
  <c r="Q3" i="4"/>
  <c r="G3" i="4"/>
  <c r="A3" i="4"/>
  <c r="B7" i="1" l="1"/>
  <c r="A7" i="14"/>
  <c r="Y12" i="4"/>
  <c r="N15" i="9"/>
  <c r="N14" i="9"/>
  <c r="N16" i="9"/>
  <c r="N13" i="9"/>
  <c r="N11" i="9"/>
  <c r="N12" i="9"/>
  <c r="N20" i="9"/>
  <c r="N17" i="9"/>
  <c r="N19" i="9"/>
  <c r="N18" i="9"/>
  <c r="D19" i="5"/>
  <c r="I19" i="5" s="1"/>
  <c r="Y21" i="4"/>
  <c r="B20" i="5"/>
  <c r="D17" i="5"/>
  <c r="I17" i="5" s="1"/>
  <c r="D18" i="5"/>
  <c r="I18" i="5" s="1"/>
  <c r="D16" i="5"/>
  <c r="I16" i="5" s="1"/>
  <c r="I13" i="5"/>
  <c r="G15" i="5"/>
  <c r="H13" i="5"/>
  <c r="H19" i="5"/>
  <c r="H18" i="5"/>
  <c r="H17" i="5"/>
  <c r="H16" i="5"/>
  <c r="E11" i="5"/>
  <c r="G11" i="5" s="1"/>
  <c r="W25" i="4"/>
  <c r="X12" i="4" s="1"/>
  <c r="E12" i="5"/>
  <c r="G12" i="5" s="1"/>
  <c r="Y16" i="4"/>
  <c r="B15" i="5"/>
  <c r="D15" i="5" s="1"/>
  <c r="B12" i="5"/>
  <c r="D12" i="5" s="1"/>
  <c r="N25" i="4"/>
  <c r="B14" i="5"/>
  <c r="Y23" i="4"/>
  <c r="G15" i="1"/>
  <c r="C7" i="1"/>
  <c r="H7" i="1"/>
  <c r="F15" i="1"/>
  <c r="F7" i="1"/>
  <c r="A16" i="13"/>
  <c r="A7" i="13"/>
  <c r="G7" i="1"/>
  <c r="D7" i="1"/>
  <c r="A14" i="13"/>
  <c r="A13" i="13"/>
  <c r="B16" i="1"/>
  <c r="Y20" i="4"/>
  <c r="Y14" i="4"/>
  <c r="Y17" i="4"/>
  <c r="Y24" i="4"/>
  <c r="Y18" i="4"/>
  <c r="G14" i="1"/>
  <c r="F14" i="1"/>
  <c r="F13" i="1"/>
  <c r="H13" i="1"/>
  <c r="C14" i="1"/>
  <c r="B14" i="1"/>
  <c r="D15" i="1"/>
  <c r="D14" i="1"/>
  <c r="C8" i="1"/>
  <c r="D13" i="1"/>
  <c r="D8" i="1"/>
  <c r="C13" i="1"/>
  <c r="B8" i="1"/>
  <c r="B13" i="1"/>
  <c r="G8" i="1"/>
  <c r="H8" i="1"/>
  <c r="Y13" i="4"/>
  <c r="Y15" i="4"/>
  <c r="Y22" i="4"/>
  <c r="C10" i="1"/>
  <c r="A12" i="13"/>
  <c r="D10" i="1"/>
  <c r="A11" i="13"/>
  <c r="X23" i="4"/>
  <c r="Y19" i="4"/>
  <c r="A10" i="13"/>
  <c r="A9" i="13"/>
  <c r="A8" i="13"/>
  <c r="X16" i="4"/>
  <c r="G12" i="1"/>
  <c r="C15" i="1"/>
  <c r="H12" i="1"/>
  <c r="B15" i="1"/>
  <c r="D12" i="1"/>
  <c r="G9" i="1"/>
  <c r="F10" i="1"/>
  <c r="D9" i="1"/>
  <c r="C12" i="1"/>
  <c r="H9" i="1"/>
  <c r="B12" i="1"/>
  <c r="C9" i="1"/>
  <c r="H16" i="1"/>
  <c r="B10" i="1"/>
  <c r="G11" i="1"/>
  <c r="G16" i="1"/>
  <c r="C11" i="1"/>
  <c r="F16" i="1"/>
  <c r="D11" i="1"/>
  <c r="F11" i="1"/>
  <c r="H11" i="1"/>
  <c r="D16" i="1"/>
  <c r="F9" i="1"/>
  <c r="G10" i="1"/>
  <c r="X20" i="4" l="1"/>
  <c r="E7" i="1"/>
  <c r="X22" i="4"/>
  <c r="X17" i="4"/>
  <c r="D20" i="5"/>
  <c r="I20" i="5" s="1"/>
  <c r="H20" i="5"/>
  <c r="I15" i="5"/>
  <c r="H14" i="5"/>
  <c r="D14" i="5"/>
  <c r="I14" i="5" s="1"/>
  <c r="I12" i="5"/>
  <c r="E21" i="5"/>
  <c r="B17" i="1"/>
  <c r="B19" i="1" s="1"/>
  <c r="H12" i="5"/>
  <c r="B11" i="5"/>
  <c r="H15" i="5"/>
  <c r="Q25" i="4"/>
  <c r="G35" i="7" s="1"/>
  <c r="G36" i="7" s="1"/>
  <c r="F12" i="5"/>
  <c r="F14" i="5"/>
  <c r="F13" i="5"/>
  <c r="H17" i="1"/>
  <c r="H19" i="1" s="1"/>
  <c r="C17" i="1"/>
  <c r="C19" i="1" s="1"/>
  <c r="D17" i="1"/>
  <c r="D19" i="1" s="1"/>
  <c r="G17" i="1"/>
  <c r="G19" i="1" s="1"/>
  <c r="F17" i="1"/>
  <c r="F19" i="1" s="1"/>
  <c r="E16" i="1"/>
  <c r="X19" i="4"/>
  <c r="X14" i="4"/>
  <c r="X21" i="4"/>
  <c r="X24" i="4"/>
  <c r="X18" i="4"/>
  <c r="X13" i="4"/>
  <c r="I15" i="1"/>
  <c r="X15" i="4"/>
  <c r="E14" i="1"/>
  <c r="I14" i="1"/>
  <c r="I7" i="1"/>
  <c r="I8" i="1"/>
  <c r="E13" i="1"/>
  <c r="I13" i="1"/>
  <c r="E8" i="1"/>
  <c r="E10" i="1"/>
  <c r="E9" i="1"/>
  <c r="I12" i="1"/>
  <c r="L26" i="4"/>
  <c r="K26" i="4"/>
  <c r="J26" i="4"/>
  <c r="C26" i="4"/>
  <c r="H26" i="4"/>
  <c r="F26" i="4"/>
  <c r="G26" i="4"/>
  <c r="E26" i="4"/>
  <c r="M26" i="4"/>
  <c r="B26" i="4"/>
  <c r="D26" i="4"/>
  <c r="I26" i="4"/>
  <c r="I16" i="1"/>
  <c r="E11" i="1"/>
  <c r="I11" i="1"/>
  <c r="E12" i="1"/>
  <c r="I10" i="1"/>
  <c r="I9" i="1"/>
  <c r="E15" i="1"/>
  <c r="C13" i="14" l="1"/>
  <c r="C13" i="13"/>
  <c r="C9" i="14"/>
  <c r="C9" i="13"/>
  <c r="B10" i="14"/>
  <c r="B10" i="13"/>
  <c r="C12" i="14"/>
  <c r="C12" i="13"/>
  <c r="B12" i="14"/>
  <c r="B12" i="13"/>
  <c r="B11" i="14"/>
  <c r="B11" i="13"/>
  <c r="B7" i="14"/>
  <c r="B7" i="13"/>
  <c r="C11" i="14"/>
  <c r="C11" i="13"/>
  <c r="C10" i="14"/>
  <c r="C10" i="13"/>
  <c r="B14" i="14"/>
  <c r="B14" i="13"/>
  <c r="C7" i="14"/>
  <c r="C7" i="13"/>
  <c r="C8" i="14"/>
  <c r="C8" i="13"/>
  <c r="C14" i="14"/>
  <c r="C14" i="13"/>
  <c r="B8" i="14"/>
  <c r="B8" i="13"/>
  <c r="B9" i="14"/>
  <c r="B9" i="13"/>
  <c r="B16" i="14"/>
  <c r="B16" i="13"/>
  <c r="B13" i="14"/>
  <c r="B13" i="13"/>
  <c r="C16" i="14"/>
  <c r="C16" i="13"/>
  <c r="C15" i="14"/>
  <c r="C15" i="13"/>
  <c r="B15" i="14"/>
  <c r="B15" i="13"/>
  <c r="F11" i="5"/>
  <c r="F17" i="5"/>
  <c r="F18" i="5"/>
  <c r="F16" i="5"/>
  <c r="F19" i="5"/>
  <c r="F15" i="5"/>
  <c r="F20" i="5"/>
  <c r="R16" i="4"/>
  <c r="R24" i="4"/>
  <c r="R23" i="4"/>
  <c r="R19" i="4"/>
  <c r="R18" i="4"/>
  <c r="R20" i="4"/>
  <c r="R22" i="4"/>
  <c r="R17" i="4"/>
  <c r="R21" i="4"/>
  <c r="R25" i="4"/>
  <c r="R12" i="4"/>
  <c r="E23" i="5"/>
  <c r="G21" i="5"/>
  <c r="B21" i="5"/>
  <c r="B26" i="5" s="1"/>
  <c r="E26" i="5" s="1"/>
  <c r="D11" i="5"/>
  <c r="I11" i="5" s="1"/>
  <c r="F21" i="5"/>
  <c r="E17" i="1"/>
  <c r="E19" i="1" s="1"/>
  <c r="H11" i="5"/>
  <c r="R15" i="4"/>
  <c r="R14" i="4"/>
  <c r="R13" i="4"/>
  <c r="I17" i="1"/>
  <c r="J7" i="1"/>
  <c r="J16" i="1"/>
  <c r="X25" i="4"/>
  <c r="J14" i="1"/>
  <c r="K14" i="1" s="1"/>
  <c r="J8" i="1"/>
  <c r="K8" i="1" s="1"/>
  <c r="J13" i="1"/>
  <c r="K13" i="1" s="1"/>
  <c r="K16" i="1"/>
  <c r="J10" i="1"/>
  <c r="K10" i="1" s="1"/>
  <c r="J11" i="1"/>
  <c r="K11" i="1" s="1"/>
  <c r="J15" i="1"/>
  <c r="K15" i="1" s="1"/>
  <c r="J9" i="1"/>
  <c r="K9" i="1" s="1"/>
  <c r="J12" i="1"/>
  <c r="K12" i="1" s="1"/>
  <c r="H21" i="5" l="1"/>
  <c r="C17" i="5"/>
  <c r="C18" i="5"/>
  <c r="C19" i="5"/>
  <c r="C16" i="5"/>
  <c r="C20" i="5"/>
  <c r="C15" i="5"/>
  <c r="C14" i="5"/>
  <c r="C12" i="5"/>
  <c r="C13" i="5"/>
  <c r="C11" i="5"/>
  <c r="C21" i="5"/>
  <c r="B23" i="5"/>
  <c r="B29" i="5" s="1"/>
  <c r="D21" i="5"/>
  <c r="I21" i="5" s="1"/>
  <c r="K7" i="1"/>
  <c r="J17" i="1"/>
  <c r="K17" i="1" s="1"/>
  <c r="B17" i="14"/>
  <c r="B17" i="13"/>
  <c r="C17" i="14"/>
  <c r="C17" i="13"/>
  <c r="I19" i="1"/>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sharedStrings.xml><?xml version="1.0" encoding="utf-8"?>
<sst xmlns="http://schemas.openxmlformats.org/spreadsheetml/2006/main" count="502" uniqueCount="389">
  <si>
    <t>致同会计师事务所</t>
  </si>
  <si>
    <t>合计</t>
  </si>
  <si>
    <t>销售费用明细表</t>
    <phoneticPr fontId="5" type="noConversion"/>
  </si>
  <si>
    <t>项目</t>
    <phoneticPr fontId="5" type="noConversion"/>
  </si>
  <si>
    <r>
      <t>1</t>
    </r>
    <r>
      <rPr>
        <b/>
        <sz val="10"/>
        <rFont val="宋体"/>
        <family val="3"/>
        <charset val="134"/>
      </rPr>
      <t>月</t>
    </r>
    <phoneticPr fontId="5" type="noConversion"/>
  </si>
  <si>
    <r>
      <t>2</t>
    </r>
    <r>
      <rPr>
        <b/>
        <sz val="10"/>
        <rFont val="宋体"/>
        <family val="3"/>
        <charset val="134"/>
      </rPr>
      <t>月</t>
    </r>
    <phoneticPr fontId="5" type="noConversion"/>
  </si>
  <si>
    <r>
      <t>3</t>
    </r>
    <r>
      <rPr>
        <b/>
        <sz val="10"/>
        <rFont val="宋体"/>
        <family val="3"/>
        <charset val="134"/>
      </rPr>
      <t>月</t>
    </r>
  </si>
  <si>
    <r>
      <t>4</t>
    </r>
    <r>
      <rPr>
        <b/>
        <sz val="10"/>
        <rFont val="宋体"/>
        <family val="3"/>
        <charset val="134"/>
      </rPr>
      <t>月</t>
    </r>
  </si>
  <si>
    <r>
      <t>5</t>
    </r>
    <r>
      <rPr>
        <b/>
        <sz val="10"/>
        <rFont val="宋体"/>
        <family val="3"/>
        <charset val="134"/>
      </rPr>
      <t>月</t>
    </r>
  </si>
  <si>
    <r>
      <t>6</t>
    </r>
    <r>
      <rPr>
        <b/>
        <sz val="10"/>
        <rFont val="宋体"/>
        <family val="3"/>
        <charset val="134"/>
      </rPr>
      <t>月</t>
    </r>
  </si>
  <si>
    <r>
      <t>7</t>
    </r>
    <r>
      <rPr>
        <b/>
        <sz val="10"/>
        <rFont val="宋体"/>
        <family val="3"/>
        <charset val="134"/>
      </rPr>
      <t>月</t>
    </r>
  </si>
  <si>
    <r>
      <t>8</t>
    </r>
    <r>
      <rPr>
        <b/>
        <sz val="10"/>
        <rFont val="宋体"/>
        <family val="3"/>
        <charset val="134"/>
      </rPr>
      <t>月</t>
    </r>
  </si>
  <si>
    <r>
      <t>9</t>
    </r>
    <r>
      <rPr>
        <b/>
        <sz val="10"/>
        <rFont val="宋体"/>
        <family val="3"/>
        <charset val="134"/>
      </rPr>
      <t>月</t>
    </r>
  </si>
  <si>
    <r>
      <t>10</t>
    </r>
    <r>
      <rPr>
        <b/>
        <sz val="10"/>
        <rFont val="宋体"/>
        <family val="3"/>
        <charset val="134"/>
      </rPr>
      <t>月</t>
    </r>
  </si>
  <si>
    <r>
      <t>11</t>
    </r>
    <r>
      <rPr>
        <b/>
        <sz val="10"/>
        <rFont val="宋体"/>
        <family val="3"/>
        <charset val="134"/>
      </rPr>
      <t>月</t>
    </r>
  </si>
  <si>
    <r>
      <t>12</t>
    </r>
    <r>
      <rPr>
        <b/>
        <sz val="10"/>
        <rFont val="宋体"/>
        <family val="3"/>
        <charset val="134"/>
      </rPr>
      <t>月</t>
    </r>
  </si>
  <si>
    <t>专设销售机构的职工薪酬</t>
    <phoneticPr fontId="5" type="noConversion"/>
  </si>
  <si>
    <t>业务费</t>
    <phoneticPr fontId="5" type="noConversion"/>
  </si>
  <si>
    <t>折旧费</t>
    <phoneticPr fontId="5" type="noConversion"/>
  </si>
  <si>
    <t>保险费</t>
    <phoneticPr fontId="5" type="noConversion"/>
  </si>
  <si>
    <t>包装费</t>
    <phoneticPr fontId="5" type="noConversion"/>
  </si>
  <si>
    <t>展览费</t>
    <phoneticPr fontId="5" type="noConversion"/>
  </si>
  <si>
    <t>广告费</t>
    <phoneticPr fontId="5" type="noConversion"/>
  </si>
  <si>
    <t>商品维修费</t>
    <phoneticPr fontId="5" type="noConversion"/>
  </si>
  <si>
    <t>装卸费</t>
    <phoneticPr fontId="5" type="noConversion"/>
  </si>
  <si>
    <t>……</t>
    <phoneticPr fontId="5" type="noConversion"/>
  </si>
  <si>
    <t>各月比例</t>
    <phoneticPr fontId="5" type="noConversion"/>
  </si>
  <si>
    <t>上年同期</t>
    <phoneticPr fontId="5" type="noConversion"/>
  </si>
  <si>
    <t>销售费用占主营业务收入比率</t>
    <phoneticPr fontId="5" type="noConversion"/>
  </si>
  <si>
    <t>索引号：</t>
  </si>
  <si>
    <t>页次：</t>
  </si>
  <si>
    <t>二、样本选取标准与规模：</t>
    <phoneticPr fontId="32" type="noConversion"/>
  </si>
  <si>
    <t>三、测试：</t>
    <phoneticPr fontId="32" type="noConversion"/>
  </si>
  <si>
    <t>序号</t>
  </si>
  <si>
    <t>支出凭单</t>
    <phoneticPr fontId="5" type="noConversion"/>
  </si>
  <si>
    <t>是否跨期</t>
  </si>
  <si>
    <t>日期</t>
  </si>
  <si>
    <t>金额</t>
  </si>
  <si>
    <t>四、审计说明：</t>
    <phoneticPr fontId="5" type="noConversion"/>
  </si>
  <si>
    <t>一、测试目标：</t>
    <phoneticPr fontId="32" type="noConversion"/>
  </si>
  <si>
    <t>二、样本选取标准与规模：</t>
    <phoneticPr fontId="32" type="noConversion"/>
  </si>
  <si>
    <t>三、测试：</t>
    <phoneticPr fontId="32" type="noConversion"/>
  </si>
  <si>
    <t>凭证编号</t>
  </si>
  <si>
    <t>业务内容</t>
    <phoneticPr fontId="5" type="noConversion"/>
  </si>
  <si>
    <t>对方科目</t>
    <phoneticPr fontId="5" type="noConversion"/>
  </si>
  <si>
    <t>四、审计说明：</t>
    <phoneticPr fontId="32" type="noConversion"/>
  </si>
  <si>
    <t>五、审计结论：</t>
    <phoneticPr fontId="5" type="noConversion"/>
  </si>
  <si>
    <r>
      <rPr>
        <b/>
        <sz val="12"/>
        <color indexed="8"/>
        <rFont val="宋体"/>
        <family val="3"/>
        <charset val="134"/>
      </rPr>
      <t>目录</t>
    </r>
    <phoneticPr fontId="5" type="noConversion"/>
  </si>
  <si>
    <r>
      <rPr>
        <b/>
        <sz val="10"/>
        <color indexed="8"/>
        <rFont val="宋体"/>
        <family val="3"/>
        <charset val="134"/>
      </rPr>
      <t>序号</t>
    </r>
  </si>
  <si>
    <t>内容</t>
  </si>
  <si>
    <r>
      <rPr>
        <b/>
        <sz val="10"/>
        <color indexed="8"/>
        <rFont val="宋体"/>
        <family val="3"/>
        <charset val="134"/>
      </rPr>
      <t>索引号</t>
    </r>
  </si>
  <si>
    <r>
      <rPr>
        <b/>
        <sz val="10"/>
        <color indexed="8"/>
        <rFont val="宋体"/>
        <family val="3"/>
        <charset val="134"/>
      </rPr>
      <t>备注</t>
    </r>
  </si>
  <si>
    <t>本期审定数与上期
审定数的比较</t>
    <phoneticPr fontId="5" type="noConversion"/>
  </si>
  <si>
    <r>
      <rPr>
        <b/>
        <sz val="10"/>
        <color indexed="8"/>
        <rFont val="宋体"/>
        <family val="3"/>
        <charset val="134"/>
      </rPr>
      <t>一、审计目标</t>
    </r>
    <r>
      <rPr>
        <b/>
        <sz val="10"/>
        <color indexed="8"/>
        <rFont val="Arial Narrow"/>
        <family val="2"/>
      </rPr>
      <t>:</t>
    </r>
    <phoneticPr fontId="15" type="noConversion"/>
  </si>
  <si>
    <r>
      <rPr>
        <b/>
        <sz val="10"/>
        <rFont val="宋体"/>
        <family val="3"/>
        <charset val="134"/>
      </rPr>
      <t>二、审计过程：</t>
    </r>
    <phoneticPr fontId="5" type="noConversion"/>
  </si>
  <si>
    <t>本期未审合计</t>
    <phoneticPr fontId="5" type="noConversion"/>
  </si>
  <si>
    <t>账项调整</t>
    <phoneticPr fontId="5" type="noConversion"/>
  </si>
  <si>
    <t>重分类调整</t>
    <phoneticPr fontId="39" type="noConversion"/>
  </si>
  <si>
    <t>本期审定金额</t>
    <phoneticPr fontId="5" type="noConversion"/>
  </si>
  <si>
    <t>各项目占比</t>
    <phoneticPr fontId="5" type="noConversion"/>
  </si>
  <si>
    <r>
      <rPr>
        <b/>
        <sz val="10"/>
        <rFont val="宋体"/>
        <family val="3"/>
        <charset val="134"/>
      </rPr>
      <t>三、审计说明：</t>
    </r>
    <r>
      <rPr>
        <sz val="10"/>
        <color indexed="12"/>
        <rFont val="宋体"/>
        <family val="3"/>
        <charset val="134"/>
      </rPr>
      <t/>
    </r>
    <phoneticPr fontId="5" type="noConversion"/>
  </si>
  <si>
    <r>
      <rPr>
        <b/>
        <sz val="10"/>
        <rFont val="宋体"/>
        <family val="3"/>
        <charset val="134"/>
      </rPr>
      <t>四、审计结论：</t>
    </r>
    <phoneticPr fontId="5" type="noConversion"/>
  </si>
  <si>
    <r>
      <rPr>
        <b/>
        <sz val="10"/>
        <color indexed="8"/>
        <rFont val="宋体"/>
        <family val="3"/>
        <charset val="134"/>
      </rPr>
      <t>一、审计目标</t>
    </r>
    <r>
      <rPr>
        <b/>
        <sz val="10"/>
        <color indexed="8"/>
        <rFont val="Arial Narrow"/>
        <family val="2"/>
      </rPr>
      <t>:</t>
    </r>
    <phoneticPr fontId="15" type="noConversion"/>
  </si>
  <si>
    <r>
      <rPr>
        <b/>
        <sz val="10"/>
        <rFont val="宋体"/>
        <family val="3"/>
        <charset val="134"/>
      </rPr>
      <t>项目</t>
    </r>
    <phoneticPr fontId="5" type="noConversion"/>
  </si>
  <si>
    <r>
      <rPr>
        <b/>
        <sz val="10"/>
        <rFont val="宋体"/>
        <family val="3"/>
        <charset val="134"/>
      </rPr>
      <t>本期合计</t>
    </r>
    <phoneticPr fontId="5" type="noConversion"/>
  </si>
  <si>
    <r>
      <rPr>
        <b/>
        <sz val="10"/>
        <rFont val="宋体"/>
        <family val="3"/>
        <charset val="134"/>
      </rPr>
      <t>结构比</t>
    </r>
    <phoneticPr fontId="5" type="noConversion"/>
  </si>
  <si>
    <r>
      <rPr>
        <b/>
        <sz val="10"/>
        <rFont val="宋体"/>
        <family val="3"/>
        <charset val="134"/>
      </rPr>
      <t>增长比例</t>
    </r>
  </si>
  <si>
    <r>
      <rPr>
        <b/>
        <sz val="10"/>
        <rFont val="宋体"/>
        <family val="3"/>
        <charset val="134"/>
      </rPr>
      <t>合计</t>
    </r>
  </si>
  <si>
    <r>
      <rPr>
        <sz val="10"/>
        <rFont val="宋体"/>
        <family val="3"/>
        <charset val="134"/>
      </rPr>
      <t>主营业务收入</t>
    </r>
    <phoneticPr fontId="5" type="noConversion"/>
  </si>
  <si>
    <t>三、审计说明：</t>
    <phoneticPr fontId="5" type="noConversion"/>
  </si>
  <si>
    <t>a.</t>
    <phoneticPr fontId="39" type="noConversion"/>
  </si>
  <si>
    <t>b.</t>
    <phoneticPr fontId="39" type="noConversion"/>
  </si>
  <si>
    <t>四、审计结论：</t>
    <phoneticPr fontId="5" type="noConversion"/>
  </si>
  <si>
    <t>一、审计目标：</t>
    <phoneticPr fontId="32" type="noConversion"/>
  </si>
  <si>
    <t>凭单编号</t>
    <phoneticPr fontId="5" type="noConversion"/>
  </si>
  <si>
    <t>凭单日期</t>
    <phoneticPr fontId="5" type="noConversion"/>
  </si>
  <si>
    <t>五、审计结论</t>
    <phoneticPr fontId="5" type="noConversion"/>
  </si>
  <si>
    <t>占主营业务收入比率</t>
    <phoneticPr fontId="5" type="noConversion"/>
  </si>
  <si>
    <t>…</t>
    <phoneticPr fontId="39" type="noConversion"/>
  </si>
  <si>
    <t>上期审定金额</t>
    <phoneticPr fontId="5" type="noConversion"/>
  </si>
  <si>
    <r>
      <rPr>
        <b/>
        <sz val="10"/>
        <color indexed="8"/>
        <rFont val="宋体"/>
        <family val="3"/>
        <charset val="134"/>
      </rPr>
      <t>项目</t>
    </r>
  </si>
  <si>
    <t>原因分析</t>
    <phoneticPr fontId="5" type="noConversion"/>
  </si>
  <si>
    <t>未审数</t>
    <phoneticPr fontId="5" type="noConversion"/>
  </si>
  <si>
    <t>重分类调整</t>
    <phoneticPr fontId="5" type="noConversion"/>
  </si>
  <si>
    <t>审定数</t>
    <phoneticPr fontId="5" type="noConversion"/>
  </si>
  <si>
    <t>变动额</t>
    <phoneticPr fontId="5" type="noConversion"/>
  </si>
  <si>
    <t>变动率</t>
    <phoneticPr fontId="5" type="noConversion"/>
  </si>
  <si>
    <r>
      <rPr>
        <b/>
        <sz val="10"/>
        <color indexed="8"/>
        <rFont val="宋体"/>
        <family val="3"/>
        <charset val="134"/>
      </rPr>
      <t>合计</t>
    </r>
    <phoneticPr fontId="5" type="noConversion"/>
  </si>
  <si>
    <r>
      <t>（</t>
    </r>
    <r>
      <rPr>
        <sz val="10"/>
        <rFont val="Arial Narrow"/>
        <family val="2"/>
      </rPr>
      <t>1</t>
    </r>
    <r>
      <rPr>
        <sz val="10"/>
        <rFont val="宋体"/>
        <family val="3"/>
        <charset val="134"/>
      </rPr>
      <t>）销售费用本期较上期增加（负数为减少）：</t>
    </r>
    <phoneticPr fontId="5" type="noConversion"/>
  </si>
  <si>
    <r>
      <t>主要原因</t>
    </r>
    <r>
      <rPr>
        <sz val="10"/>
        <color indexed="10"/>
        <rFont val="宋体"/>
        <family val="3"/>
        <charset val="134"/>
      </rPr>
      <t>（比例超过30%的）</t>
    </r>
    <r>
      <rPr>
        <sz val="10"/>
        <rFont val="宋体"/>
        <family val="3"/>
        <charset val="134"/>
      </rPr>
      <t>：</t>
    </r>
    <phoneticPr fontId="5" type="noConversion"/>
  </si>
  <si>
    <r>
      <t>（</t>
    </r>
    <r>
      <rPr>
        <sz val="10"/>
        <rFont val="Arial Narrow"/>
        <family val="2"/>
      </rPr>
      <t>2</t>
    </r>
    <r>
      <rPr>
        <sz val="10"/>
        <rFont val="宋体"/>
        <family val="3"/>
        <charset val="134"/>
      </rPr>
      <t>）情况说明。</t>
    </r>
    <phoneticPr fontId="5" type="noConversion"/>
  </si>
  <si>
    <t>上期未审金额</t>
    <phoneticPr fontId="5" type="noConversion"/>
  </si>
  <si>
    <t>计提依据</t>
  </si>
  <si>
    <t>计提比例</t>
  </si>
  <si>
    <t>应计提金额</t>
  </si>
  <si>
    <t>账面计提金额</t>
  </si>
  <si>
    <t>差异金额</t>
  </si>
  <si>
    <t>上期数</t>
    <phoneticPr fontId="5" type="noConversion"/>
  </si>
  <si>
    <t>本期数</t>
    <phoneticPr fontId="5" type="noConversion"/>
  </si>
  <si>
    <t>个别报表下的重分类</t>
    <phoneticPr fontId="31" type="noConversion"/>
  </si>
  <si>
    <t>合并报表下的重分类</t>
    <phoneticPr fontId="31" type="noConversion"/>
  </si>
  <si>
    <t>销售费用审定表（个别报表）</t>
    <phoneticPr fontId="5" type="noConversion"/>
  </si>
  <si>
    <r>
      <rPr>
        <sz val="10"/>
        <rFont val="宋体"/>
        <family val="3"/>
        <charset val="134"/>
      </rPr>
      <t>页次：</t>
    </r>
  </si>
  <si>
    <t>二、审计过程：</t>
    <phoneticPr fontId="5" type="noConversion"/>
  </si>
  <si>
    <r>
      <rPr>
        <b/>
        <sz val="10"/>
        <rFont val="宋体"/>
        <family val="3"/>
        <charset val="134"/>
      </rPr>
      <t>对方单位</t>
    </r>
    <phoneticPr fontId="5" type="noConversion"/>
  </si>
  <si>
    <r>
      <rPr>
        <b/>
        <sz val="10"/>
        <rFont val="宋体"/>
        <family val="3"/>
        <charset val="134"/>
      </rPr>
      <t>合同</t>
    </r>
    <r>
      <rPr>
        <b/>
        <sz val="10"/>
        <rFont val="Arial Narrow"/>
        <family val="2"/>
      </rPr>
      <t>/</t>
    </r>
    <r>
      <rPr>
        <b/>
        <sz val="10"/>
        <rFont val="宋体"/>
        <family val="3"/>
        <charset val="134"/>
      </rPr>
      <t>协议内容</t>
    </r>
    <phoneticPr fontId="5" type="noConversion"/>
  </si>
  <si>
    <r>
      <rPr>
        <b/>
        <sz val="10"/>
        <rFont val="宋体"/>
        <family val="3"/>
        <charset val="134"/>
      </rPr>
      <t>合同</t>
    </r>
    <r>
      <rPr>
        <b/>
        <sz val="10"/>
        <rFont val="Arial Narrow"/>
        <family val="2"/>
      </rPr>
      <t>/</t>
    </r>
    <r>
      <rPr>
        <b/>
        <sz val="10"/>
        <rFont val="宋体"/>
        <family val="3"/>
        <charset val="134"/>
      </rPr>
      <t>协议金额</t>
    </r>
    <phoneticPr fontId="5" type="noConversion"/>
  </si>
  <si>
    <r>
      <rPr>
        <b/>
        <sz val="10"/>
        <rFont val="宋体"/>
        <family val="3"/>
        <charset val="134"/>
      </rPr>
      <t>合同</t>
    </r>
    <r>
      <rPr>
        <b/>
        <sz val="10"/>
        <rFont val="Arial Narrow"/>
        <family val="2"/>
      </rPr>
      <t>/</t>
    </r>
    <r>
      <rPr>
        <b/>
        <sz val="10"/>
        <rFont val="宋体"/>
        <family val="3"/>
        <charset val="134"/>
      </rPr>
      <t>协议开始日期</t>
    </r>
    <r>
      <rPr>
        <b/>
        <sz val="10"/>
        <rFont val="Arial Narrow"/>
        <family val="2"/>
      </rPr>
      <t xml:space="preserve"> </t>
    </r>
    <phoneticPr fontId="5" type="noConversion"/>
  </si>
  <si>
    <r>
      <rPr>
        <b/>
        <sz val="10"/>
        <rFont val="宋体"/>
        <family val="3"/>
        <charset val="134"/>
      </rPr>
      <t>合同</t>
    </r>
    <r>
      <rPr>
        <b/>
        <sz val="10"/>
        <rFont val="Arial Narrow"/>
        <family val="2"/>
      </rPr>
      <t>/</t>
    </r>
    <r>
      <rPr>
        <b/>
        <sz val="10"/>
        <rFont val="宋体"/>
        <family val="3"/>
        <charset val="134"/>
      </rPr>
      <t>协议结束日期</t>
    </r>
    <r>
      <rPr>
        <b/>
        <sz val="10"/>
        <rFont val="Arial Narrow"/>
        <family val="2"/>
      </rPr>
      <t xml:space="preserve"> </t>
    </r>
    <phoneticPr fontId="5" type="noConversion"/>
  </si>
  <si>
    <r>
      <rPr>
        <b/>
        <sz val="10"/>
        <rFont val="宋体"/>
        <family val="3"/>
        <charset val="134"/>
      </rPr>
      <t>合同总月份</t>
    </r>
    <phoneticPr fontId="5" type="noConversion"/>
  </si>
  <si>
    <r>
      <rPr>
        <b/>
        <sz val="10"/>
        <rFont val="宋体"/>
        <family val="3"/>
        <charset val="134"/>
      </rPr>
      <t>本期应计损益</t>
    </r>
    <phoneticPr fontId="5" type="noConversion"/>
  </si>
  <si>
    <r>
      <rPr>
        <b/>
        <sz val="10"/>
        <rFont val="宋体"/>
        <family val="3"/>
        <charset val="134"/>
      </rPr>
      <t>本期已计损益</t>
    </r>
    <phoneticPr fontId="5" type="noConversion"/>
  </si>
  <si>
    <r>
      <rPr>
        <b/>
        <sz val="10"/>
        <rFont val="宋体"/>
        <family val="3"/>
        <charset val="134"/>
      </rPr>
      <t>差异</t>
    </r>
    <phoneticPr fontId="5" type="noConversion"/>
  </si>
  <si>
    <r>
      <rPr>
        <b/>
        <sz val="10"/>
        <rFont val="宋体"/>
        <family val="3"/>
        <charset val="134"/>
      </rPr>
      <t>合同索引</t>
    </r>
    <phoneticPr fontId="5" type="noConversion"/>
  </si>
  <si>
    <r>
      <rPr>
        <b/>
        <sz val="10"/>
        <rFont val="宋体"/>
        <family val="3"/>
        <charset val="134"/>
      </rPr>
      <t>凭证检查索引</t>
    </r>
    <phoneticPr fontId="5" type="noConversion"/>
  </si>
  <si>
    <r>
      <rPr>
        <sz val="10"/>
        <color indexed="10"/>
        <rFont val="宋体"/>
        <family val="3"/>
        <charset val="134"/>
      </rPr>
      <t>律师费</t>
    </r>
    <phoneticPr fontId="39" type="noConversion"/>
  </si>
  <si>
    <r>
      <rPr>
        <sz val="10"/>
        <color indexed="10"/>
        <rFont val="宋体"/>
        <family val="3"/>
        <charset val="134"/>
      </rPr>
      <t>咨询费</t>
    </r>
    <phoneticPr fontId="39" type="noConversion"/>
  </si>
  <si>
    <r>
      <rPr>
        <sz val="10"/>
        <color indexed="10"/>
        <rFont val="宋体"/>
        <family val="3"/>
        <charset val="134"/>
      </rPr>
      <t>租赁费</t>
    </r>
    <phoneticPr fontId="39" type="noConversion"/>
  </si>
  <si>
    <r>
      <rPr>
        <sz val="10"/>
        <color indexed="10"/>
        <rFont val="宋体"/>
        <family val="3"/>
        <charset val="134"/>
      </rPr>
      <t>修理费</t>
    </r>
    <phoneticPr fontId="39" type="noConversion"/>
  </si>
  <si>
    <r>
      <rPr>
        <sz val="10"/>
        <color indexed="10"/>
        <rFont val="宋体"/>
        <family val="3"/>
        <charset val="134"/>
      </rPr>
      <t>保险费</t>
    </r>
    <phoneticPr fontId="39" type="noConversion"/>
  </si>
  <si>
    <r>
      <rPr>
        <sz val="10"/>
        <color indexed="10"/>
        <rFont val="宋体"/>
        <family val="3"/>
        <charset val="134"/>
      </rPr>
      <t>物业费</t>
    </r>
    <phoneticPr fontId="39" type="noConversion"/>
  </si>
  <si>
    <t>致同会计师事务所</t>
    <phoneticPr fontId="5" type="noConversion"/>
  </si>
  <si>
    <t>销售费用实质性程序</t>
    <phoneticPr fontId="5" type="noConversion"/>
  </si>
  <si>
    <t>销售费用</t>
    <phoneticPr fontId="5" type="noConversion"/>
  </si>
  <si>
    <r>
      <rPr>
        <b/>
        <sz val="10"/>
        <rFont val="宋体"/>
        <family val="3"/>
        <charset val="134"/>
      </rPr>
      <t>财务报表的认定　</t>
    </r>
  </si>
  <si>
    <t>发生</t>
    <phoneticPr fontId="5" type="noConversion"/>
  </si>
  <si>
    <t>√</t>
    <phoneticPr fontId="5" type="noConversion"/>
  </si>
  <si>
    <t>三、计划实施的实质性程序</t>
    <phoneticPr fontId="5" type="noConversion"/>
  </si>
  <si>
    <t>序号</t>
    <phoneticPr fontId="5" type="noConversion"/>
  </si>
  <si>
    <t>审计程序</t>
    <phoneticPr fontId="5" type="noConversion"/>
  </si>
  <si>
    <t>程序分类</t>
    <phoneticPr fontId="5" type="noConversion"/>
  </si>
  <si>
    <t>常规★</t>
    <phoneticPr fontId="5" type="noConversion"/>
  </si>
  <si>
    <t>1</t>
    <phoneticPr fontId="5" type="noConversion"/>
  </si>
  <si>
    <t>提示：</t>
    <phoneticPr fontId="5" type="noConversion"/>
  </si>
  <si>
    <t>上期各项目占比</t>
  </si>
  <si>
    <t>各项目占比变动</t>
  </si>
  <si>
    <t>跨期金额</t>
    <phoneticPr fontId="31" type="noConversion"/>
  </si>
  <si>
    <t>摊销期初：</t>
    <phoneticPr fontId="5" type="noConversion"/>
  </si>
  <si>
    <t>摊销期末：</t>
    <phoneticPr fontId="5" type="noConversion"/>
  </si>
  <si>
    <t>本期应计月份</t>
    <phoneticPr fontId="5" type="noConversion"/>
  </si>
  <si>
    <t>实际开票方</t>
  </si>
  <si>
    <t>支付条件</t>
  </si>
  <si>
    <t>支付时间</t>
  </si>
  <si>
    <r>
      <rPr>
        <sz val="10"/>
        <color indexed="8"/>
        <rFont val="宋体"/>
        <family val="3"/>
        <charset val="134"/>
      </rPr>
      <t>索引号：</t>
    </r>
  </si>
  <si>
    <t>调整事项说明</t>
    <phoneticPr fontId="5" type="noConversion"/>
  </si>
  <si>
    <t>类别（报表调整/账项调整/其他）</t>
    <phoneticPr fontId="5" type="noConversion"/>
  </si>
  <si>
    <t>科目名称</t>
    <phoneticPr fontId="5" type="noConversion"/>
  </si>
  <si>
    <t>附注项目</t>
    <phoneticPr fontId="5" type="noConversion"/>
  </si>
  <si>
    <t>借方调整金额</t>
    <phoneticPr fontId="5" type="noConversion"/>
  </si>
  <si>
    <t>贷方调整金额</t>
    <phoneticPr fontId="5" type="noConversion"/>
  </si>
  <si>
    <t>索引</t>
    <phoneticPr fontId="5" type="noConversion"/>
  </si>
  <si>
    <t>备注</t>
    <phoneticPr fontId="5" type="noConversion"/>
  </si>
  <si>
    <t>销售费用调整分录汇总表</t>
    <phoneticPr fontId="5" type="noConversion"/>
  </si>
  <si>
    <t>TB数据：</t>
    <phoneticPr fontId="5" type="noConversion"/>
  </si>
  <si>
    <t>差异：</t>
    <phoneticPr fontId="5" type="noConversion"/>
  </si>
  <si>
    <t>附注披露信息（上市公司）</t>
  </si>
  <si>
    <t>页次：</t>
    <phoneticPr fontId="57" type="noConversion"/>
  </si>
  <si>
    <t>附注披露信息(国企)</t>
    <phoneticPr fontId="5" type="noConversion"/>
  </si>
  <si>
    <t>项  目</t>
  </si>
  <si>
    <t>合  计</t>
  </si>
  <si>
    <r>
      <t>销售费用</t>
    </r>
    <r>
      <rPr>
        <sz val="10"/>
        <color rgb="FF0000FF"/>
        <rFont val="宋体"/>
        <family val="3"/>
        <charset val="134"/>
        <scheme val="major"/>
      </rPr>
      <t>(个别报表)</t>
    </r>
    <phoneticPr fontId="5" type="noConversion"/>
  </si>
  <si>
    <r>
      <t xml:space="preserve">      </t>
    </r>
    <r>
      <rPr>
        <b/>
        <sz val="10"/>
        <color indexed="8"/>
        <rFont val="宋体"/>
        <family val="3"/>
        <charset val="134"/>
        <scheme val="major"/>
      </rPr>
      <t>本期发生额</t>
    </r>
  </si>
  <si>
    <r>
      <t xml:space="preserve">     </t>
    </r>
    <r>
      <rPr>
        <b/>
        <sz val="10"/>
        <color indexed="8"/>
        <rFont val="宋体"/>
        <family val="3"/>
        <charset val="134"/>
        <scheme val="major"/>
      </rPr>
      <t>上期发生额</t>
    </r>
  </si>
  <si>
    <r>
      <t>销售费用</t>
    </r>
    <r>
      <rPr>
        <sz val="10"/>
        <color rgb="FF0000FF"/>
        <rFont val="宋体"/>
        <family val="3"/>
        <charset val="134"/>
        <scheme val="major"/>
      </rPr>
      <t>(合并报表)</t>
    </r>
    <phoneticPr fontId="5" type="noConversion"/>
  </si>
  <si>
    <r>
      <rPr>
        <sz val="10"/>
        <rFont val="宋体"/>
        <family val="3"/>
        <charset val="134"/>
      </rPr>
      <t>索引号：</t>
    </r>
    <r>
      <rPr>
        <sz val="10"/>
        <rFont val="Arial Narrow"/>
        <family val="2"/>
      </rPr>
      <t/>
    </r>
    <phoneticPr fontId="5" type="noConversion"/>
  </si>
  <si>
    <t>索引：</t>
    <phoneticPr fontId="5" type="noConversion"/>
  </si>
  <si>
    <t>页次：</t>
    <phoneticPr fontId="5" type="noConversion"/>
  </si>
  <si>
    <t>索引：</t>
    <phoneticPr fontId="57" type="noConversion"/>
  </si>
  <si>
    <t>索引：</t>
    <phoneticPr fontId="57" type="noConversion"/>
  </si>
  <si>
    <t>索引号：</t>
    <phoneticPr fontId="39" type="noConversion"/>
  </si>
  <si>
    <t>索引号：</t>
    <phoneticPr fontId="5" type="noConversion"/>
  </si>
  <si>
    <r>
      <t>——————</t>
    </r>
    <r>
      <rPr>
        <b/>
        <sz val="10"/>
        <rFont val="宋体"/>
        <family val="3"/>
        <charset val="134"/>
      </rPr>
      <t>截止日期：</t>
    </r>
    <r>
      <rPr>
        <b/>
        <sz val="10"/>
        <rFont val="Arial Narrow"/>
        <family val="2"/>
      </rPr>
      <t>202X</t>
    </r>
    <r>
      <rPr>
        <b/>
        <sz val="10"/>
        <rFont val="宋体"/>
        <family val="3"/>
        <charset val="134"/>
      </rPr>
      <t>年</t>
    </r>
    <r>
      <rPr>
        <b/>
        <sz val="10"/>
        <rFont val="Arial Narrow"/>
        <family val="2"/>
      </rPr>
      <t>12</t>
    </r>
    <r>
      <rPr>
        <b/>
        <sz val="10"/>
        <rFont val="宋体"/>
        <family val="3"/>
        <charset val="134"/>
      </rPr>
      <t>月</t>
    </r>
    <r>
      <rPr>
        <b/>
        <sz val="10"/>
        <rFont val="Arial Narrow"/>
        <family val="2"/>
      </rPr>
      <t>31</t>
    </r>
    <r>
      <rPr>
        <b/>
        <sz val="10"/>
        <rFont val="宋体"/>
        <family val="3"/>
        <charset val="134"/>
      </rPr>
      <t>日</t>
    </r>
    <r>
      <rPr>
        <b/>
        <sz val="10"/>
        <rFont val="Arial Narrow"/>
        <family val="2"/>
      </rPr>
      <t>——————</t>
    </r>
    <phoneticPr fontId="5" type="noConversion"/>
  </si>
  <si>
    <t>K8A</t>
  </si>
  <si>
    <t>K8-1</t>
  </si>
  <si>
    <t>K8-2</t>
  </si>
  <si>
    <t>K8-3</t>
  </si>
  <si>
    <t>K8-4</t>
  </si>
  <si>
    <t>指标</t>
    <phoneticPr fontId="5" type="noConversion"/>
  </si>
  <si>
    <t>本期</t>
    <phoneticPr fontId="5" type="noConversion"/>
  </si>
  <si>
    <t>行业公司A</t>
    <phoneticPr fontId="5" type="noConversion"/>
  </si>
  <si>
    <t>行业公司B</t>
    <phoneticPr fontId="5" type="noConversion"/>
  </si>
  <si>
    <t>行业公司C</t>
    <phoneticPr fontId="5" type="noConversion"/>
  </si>
  <si>
    <t>发生</t>
  </si>
  <si>
    <t>完整性</t>
  </si>
  <si>
    <t>准确性</t>
  </si>
  <si>
    <t>截止</t>
  </si>
  <si>
    <t>常规★</t>
    <phoneticPr fontId="5" type="noConversion"/>
  </si>
  <si>
    <t>2</t>
  </si>
  <si>
    <t>T1</t>
    <phoneticPr fontId="57" type="noConversion"/>
  </si>
  <si>
    <t>3</t>
  </si>
  <si>
    <t>4</t>
  </si>
  <si>
    <t>5</t>
  </si>
  <si>
    <t>6</t>
  </si>
  <si>
    <t>常规★</t>
    <phoneticPr fontId="5" type="noConversion"/>
  </si>
  <si>
    <t>√</t>
    <phoneticPr fontId="5" type="noConversion"/>
  </si>
  <si>
    <r>
      <rPr>
        <sz val="10"/>
        <color theme="1"/>
        <rFont val="宋体"/>
        <family val="3"/>
        <charset val="134"/>
      </rPr>
      <t>常规★</t>
    </r>
    <phoneticPr fontId="5" type="noConversion"/>
  </si>
  <si>
    <t>7</t>
  </si>
  <si>
    <t>9</t>
  </si>
  <si>
    <t>一、本账户涉及的科目</t>
  </si>
  <si>
    <t>二、审计目标与认定的对应关系</t>
  </si>
  <si>
    <t>审计目标</t>
    <phoneticPr fontId="5" type="noConversion"/>
  </si>
  <si>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</si>
  <si>
    <t>关注会计政策、会计估计合理性、一贯性。关注其是否利用会计政策和会计估计及其变更操纵利润。</t>
    <phoneticPr fontId="5" type="noConversion"/>
  </si>
  <si>
    <t>列报</t>
    <phoneticPr fontId="5" type="noConversion"/>
  </si>
  <si>
    <t>报表项目</t>
    <phoneticPr fontId="5" type="noConversion"/>
  </si>
  <si>
    <r>
      <rPr>
        <b/>
        <sz val="10"/>
        <rFont val="宋体"/>
        <family val="3"/>
        <charset val="134"/>
      </rPr>
      <t>占主营业务收入比率变动</t>
    </r>
    <phoneticPr fontId="5" type="noConversion"/>
  </si>
  <si>
    <t>变动分析</t>
    <phoneticPr fontId="5" type="noConversion"/>
  </si>
  <si>
    <t>实质性分析</t>
    <phoneticPr fontId="5" type="noConversion"/>
  </si>
  <si>
    <t>√</t>
    <phoneticPr fontId="5" type="noConversion"/>
  </si>
  <si>
    <t>√</t>
    <phoneticPr fontId="5" type="noConversion"/>
  </si>
  <si>
    <t>√</t>
  </si>
  <si>
    <t>8</t>
  </si>
  <si>
    <t>10</t>
  </si>
  <si>
    <r>
      <t>1.</t>
    </r>
    <r>
      <rPr>
        <b/>
        <sz val="10"/>
        <rFont val="宋体"/>
        <family val="3"/>
        <charset val="134"/>
      </rPr>
      <t>费用各项目近两年比重变动较大的原因：</t>
    </r>
    <phoneticPr fontId="5" type="noConversion"/>
  </si>
  <si>
    <r>
      <t>2.</t>
    </r>
    <r>
      <rPr>
        <b/>
        <sz val="10"/>
        <rFont val="宋体"/>
        <family val="3"/>
        <charset val="134"/>
      </rPr>
      <t>与上年同期数据相比，费用指标异常的原因：</t>
    </r>
    <phoneticPr fontId="5" type="noConversion"/>
  </si>
  <si>
    <r>
      <t>3.</t>
    </r>
    <r>
      <rPr>
        <b/>
        <sz val="10"/>
        <rFont val="宋体"/>
        <family val="3"/>
        <charset val="134"/>
      </rPr>
      <t>与同行业数据相比，费用指标异常的原因：</t>
    </r>
    <phoneticPr fontId="5" type="noConversion"/>
  </si>
  <si>
    <r>
      <t>4.</t>
    </r>
    <r>
      <rPr>
        <b/>
        <sz val="10"/>
        <rFont val="宋体"/>
        <family val="3"/>
        <charset val="134"/>
      </rPr>
      <t>与预算金额及其他非财务数据相比，费用指标异常的原因：</t>
    </r>
    <phoneticPr fontId="5" type="noConversion"/>
  </si>
  <si>
    <r>
      <t>2.</t>
    </r>
    <r>
      <rPr>
        <sz val="10"/>
        <rFont val="宋体"/>
        <family val="3"/>
        <charset val="134"/>
      </rPr>
      <t>对于首次承接的客户，执行前期期末的截止性测试。（适用于首次承接）</t>
    </r>
    <phoneticPr fontId="31" type="noConversion"/>
  </si>
  <si>
    <t>K8-4</t>
    <phoneticPr fontId="57" type="noConversion"/>
  </si>
  <si>
    <t>确认销售费用已记录于正确的会计期间。</t>
    <phoneticPr fontId="31" type="noConversion"/>
  </si>
  <si>
    <t>L1-XXX</t>
    <phoneticPr fontId="31" type="noConversion"/>
  </si>
  <si>
    <t>销售费用截止性测试(从记账凭证至原始凭证）</t>
    <phoneticPr fontId="5" type="noConversion"/>
  </si>
  <si>
    <t>销售费用截止性测试（从原始凭证至记账凭证）</t>
    <phoneticPr fontId="5" type="noConversion"/>
  </si>
  <si>
    <t>11</t>
  </si>
  <si>
    <t>备选</t>
    <phoneticPr fontId="5" type="noConversion"/>
  </si>
  <si>
    <t>（一）销售费用构成分析表</t>
    <phoneticPr fontId="5" type="noConversion"/>
  </si>
  <si>
    <t>2.XXX</t>
    <phoneticPr fontId="57" type="noConversion"/>
  </si>
  <si>
    <r>
      <t>1.</t>
    </r>
    <r>
      <rPr>
        <sz val="10"/>
        <color rgb="FFFF0000"/>
        <rFont val="宋体"/>
        <family val="3"/>
        <charset val="134"/>
      </rPr>
      <t>已对</t>
    </r>
    <r>
      <rPr>
        <sz val="10"/>
        <color rgb="FFFF0000"/>
        <rFont val="Arial Narrow"/>
        <family val="2"/>
      </rPr>
      <t>XXX</t>
    </r>
    <r>
      <rPr>
        <sz val="10"/>
        <color rgb="FFFF0000"/>
        <rFont val="宋体"/>
        <family val="3"/>
        <charset val="134"/>
      </rPr>
      <t>进行检查</t>
    </r>
    <r>
      <rPr>
        <sz val="10"/>
        <color rgb="FFFF0000"/>
        <rFont val="Arial Narrow"/>
        <family val="2"/>
      </rPr>
      <t>….</t>
    </r>
    <phoneticPr fontId="57" type="noConversion"/>
  </si>
  <si>
    <r>
      <t>2.</t>
    </r>
    <r>
      <rPr>
        <b/>
        <sz val="10"/>
        <rFont val="宋体"/>
        <family val="3"/>
        <charset val="134"/>
      </rPr>
      <t>审计结论</t>
    </r>
    <phoneticPr fontId="5" type="noConversion"/>
  </si>
  <si>
    <t>J1-XXXX</t>
    <phoneticPr fontId="31" type="noConversion"/>
  </si>
  <si>
    <t>专设销售机构的职工薪酬</t>
  </si>
  <si>
    <t>无需打印</t>
    <phoneticPr fontId="5" type="noConversion"/>
  </si>
  <si>
    <t>无需打印</t>
    <phoneticPr fontId="5" type="noConversion"/>
  </si>
  <si>
    <t>K8-5</t>
  </si>
  <si>
    <t>K8-8</t>
  </si>
  <si>
    <t>底稿索引号</t>
    <phoneticPr fontId="5" type="noConversion"/>
  </si>
  <si>
    <r>
      <rPr>
        <sz val="9"/>
        <color rgb="FF0000FF"/>
        <rFont val="宋体"/>
        <family val="3"/>
        <charset val="134"/>
      </rPr>
      <t>可参见《审计手册》</t>
    </r>
    <r>
      <rPr>
        <sz val="9"/>
        <color rgb="FF0000FF"/>
        <rFont val="Arial Narrow"/>
        <family val="2"/>
      </rPr>
      <t>4.2.6</t>
    </r>
    <r>
      <rPr>
        <sz val="9"/>
        <color rgb="FF0000FF"/>
        <rFont val="宋体"/>
        <family val="3"/>
        <charset val="134"/>
      </rPr>
      <t xml:space="preserve">，由被审计单位生成的信息可能是由系统生成的、或手工编制的、或二者兼而有之的方式生成的。例如，由被审计单位生成的信息可能包括：
</t>
    </r>
    <r>
      <rPr>
        <sz val="9"/>
        <color rgb="FF0000FF"/>
        <rFont val="Arial Narrow"/>
        <family val="2"/>
      </rPr>
      <t xml:space="preserve">• </t>
    </r>
    <r>
      <rPr>
        <sz val="9"/>
        <color rgb="FF0000FF"/>
        <rFont val="宋体"/>
        <family val="3"/>
        <charset val="134"/>
      </rPr>
      <t xml:space="preserve">不涉及自定义的、由系统生成的报告（如，固定格式报告）；
</t>
    </r>
    <r>
      <rPr>
        <sz val="9"/>
        <color rgb="FF0000FF"/>
        <rFont val="Arial Narrow"/>
        <family val="2"/>
      </rPr>
      <t xml:space="preserve">• </t>
    </r>
    <r>
      <rPr>
        <sz val="9"/>
        <color rgb="FF0000FF"/>
        <rFont val="宋体"/>
        <family val="3"/>
        <charset val="134"/>
      </rPr>
      <t xml:space="preserve">可能通过人工自定义的、由系统生成的报告，例如，（计算机）查询信息或特别定制的报告；
</t>
    </r>
    <r>
      <rPr>
        <sz val="9"/>
        <color rgb="FF0000FF"/>
        <rFont val="Arial Narrow"/>
        <family val="2"/>
      </rPr>
      <t xml:space="preserve">• </t>
    </r>
    <r>
      <rPr>
        <sz val="9"/>
        <color rgb="FF0000FF"/>
        <rFont val="宋体"/>
        <family val="3"/>
        <charset val="134"/>
      </rPr>
      <t xml:space="preserve">手工编制的信息，例如，汇总信息的电子表格或用以支持分配、计算以及调节的电子表格；
</t>
    </r>
    <r>
      <rPr>
        <sz val="9"/>
        <color rgb="FF0000FF"/>
        <rFont val="Arial Narrow"/>
        <family val="2"/>
      </rPr>
      <t xml:space="preserve">• </t>
    </r>
    <r>
      <rPr>
        <sz val="9"/>
        <color rgb="FF0000FF"/>
        <rFont val="宋体"/>
        <family val="3"/>
        <charset val="134"/>
      </rPr>
      <t xml:space="preserve">其他系统生成或手工编制的信息，例如，由被审计单位编制的客户发票；
</t>
    </r>
    <r>
      <rPr>
        <sz val="9"/>
        <color rgb="FF0000FF"/>
        <rFont val="Arial Narrow"/>
        <family val="2"/>
      </rPr>
      <t xml:space="preserve">• </t>
    </r>
    <r>
      <rPr>
        <sz val="9"/>
        <color rgb="FF0000FF"/>
        <rFont val="宋体"/>
        <family val="3"/>
        <charset val="134"/>
      </rPr>
      <t>通过影印、拍摄、扫描或其他方式转换成电子形式的文件记录。</t>
    </r>
    <phoneticPr fontId="61" type="noConversion"/>
  </si>
  <si>
    <r>
      <rPr>
        <sz val="9"/>
        <color rgb="FF0000FF"/>
        <rFont val="宋体"/>
        <family val="3"/>
        <charset val="134"/>
      </rPr>
      <t xml:space="preserve">由被审计单位生成的信息不包括：
</t>
    </r>
    <r>
      <rPr>
        <sz val="9"/>
        <color rgb="FF0000FF"/>
        <rFont val="Arial Narrow"/>
        <family val="2"/>
      </rPr>
      <t xml:space="preserve">• </t>
    </r>
    <r>
      <rPr>
        <sz val="9"/>
        <color rgb="FF0000FF"/>
        <rFont val="宋体"/>
        <family val="3"/>
        <charset val="134"/>
      </rPr>
      <t xml:space="preserve">总分类账或明细分类账、试算平衡表、或经审计的财务报表；
</t>
    </r>
    <r>
      <rPr>
        <sz val="9"/>
        <color rgb="FF0000FF"/>
        <rFont val="Arial Narrow"/>
        <family val="2"/>
      </rPr>
      <t xml:space="preserve">• </t>
    </r>
    <r>
      <rPr>
        <sz val="9"/>
        <color rgb="FF0000FF"/>
        <rFont val="宋体"/>
        <family val="3"/>
        <charset val="134"/>
      </rPr>
      <t xml:space="preserve">第三方（除了服务机构）的报表或报告，例如，原始银行对账单，或函证的回函；
</t>
    </r>
    <r>
      <rPr>
        <sz val="9"/>
        <color rgb="FF0000FF"/>
        <rFont val="Arial Narrow"/>
        <family val="2"/>
      </rPr>
      <t xml:space="preserve">• </t>
    </r>
    <r>
      <rPr>
        <sz val="9"/>
        <color rgb="FF0000FF"/>
        <rFont val="宋体"/>
        <family val="3"/>
        <charset val="134"/>
      </rPr>
      <t>外部数据（例如，第三方发布的数据，如，定价来源）。</t>
    </r>
    <phoneticPr fontId="61" type="noConversion"/>
  </si>
  <si>
    <r>
      <t>A1-1/</t>
    </r>
    <r>
      <rPr>
        <sz val="10"/>
        <color rgb="FFFF0000"/>
        <rFont val="Arial Narrow"/>
        <family val="2"/>
      </rPr>
      <t>A1-15 /A1-16</t>
    </r>
    <phoneticPr fontId="5" type="noConversion"/>
  </si>
  <si>
    <t>K8-8</t>
    <phoneticPr fontId="57" type="noConversion"/>
  </si>
  <si>
    <r>
      <rPr>
        <sz val="10"/>
        <rFont val="宋体"/>
        <family val="3"/>
        <charset val="134"/>
      </rPr>
      <t>测试总体：</t>
    </r>
    <phoneticPr fontId="5" type="noConversion"/>
  </si>
  <si>
    <r>
      <rPr>
        <sz val="10"/>
        <color rgb="FF0000FF"/>
        <rFont val="宋体"/>
        <family val="3"/>
        <charset val="134"/>
      </rPr>
      <t>如借方发生额所有凭证共</t>
    </r>
    <r>
      <rPr>
        <sz val="10"/>
        <color rgb="FF0000FF"/>
        <rFont val="Arial Narrow"/>
        <family val="2"/>
      </rPr>
      <t>XX</t>
    </r>
    <r>
      <rPr>
        <sz val="10"/>
        <color rgb="FF0000FF"/>
        <rFont val="宋体"/>
        <family val="3"/>
        <charset val="134"/>
      </rPr>
      <t>笔金额</t>
    </r>
    <r>
      <rPr>
        <sz val="10"/>
        <color rgb="FF0000FF"/>
        <rFont val="Arial Narrow"/>
        <family val="2"/>
      </rPr>
      <t>XX</t>
    </r>
    <r>
      <rPr>
        <sz val="10"/>
        <color rgb="FF0000FF"/>
        <rFont val="宋体"/>
        <family val="3"/>
        <charset val="134"/>
      </rPr>
      <t>、贷方发生额所有凭证共</t>
    </r>
    <r>
      <rPr>
        <sz val="10"/>
        <color rgb="FF0000FF"/>
        <rFont val="Arial Narrow"/>
        <family val="2"/>
      </rPr>
      <t>XX</t>
    </r>
    <r>
      <rPr>
        <sz val="10"/>
        <color rgb="FF0000FF"/>
        <rFont val="宋体"/>
        <family val="3"/>
        <charset val="134"/>
      </rPr>
      <t>笔金额</t>
    </r>
    <r>
      <rPr>
        <sz val="10"/>
        <color rgb="FF0000FF"/>
        <rFont val="Arial Narrow"/>
        <family val="2"/>
      </rPr>
      <t>XX</t>
    </r>
    <phoneticPr fontId="5" type="noConversion"/>
  </si>
  <si>
    <r>
      <rPr>
        <sz val="10"/>
        <rFont val="宋体"/>
        <family val="3"/>
        <charset val="134"/>
      </rPr>
      <t>特定样本：</t>
    </r>
    <phoneticPr fontId="5" type="noConversion"/>
  </si>
  <si>
    <r>
      <t>XX</t>
    </r>
    <r>
      <rPr>
        <sz val="10"/>
        <color rgb="FF0000FF"/>
        <rFont val="宋体"/>
        <family val="3"/>
        <charset val="134"/>
      </rPr>
      <t>金额以上（大额）、关联方</t>
    </r>
    <r>
      <rPr>
        <sz val="10"/>
        <color rgb="FF0000FF"/>
        <rFont val="Arial Narrow"/>
        <family val="2"/>
      </rPr>
      <t>/</t>
    </r>
    <r>
      <rPr>
        <sz val="10"/>
        <color rgb="FF0000FF"/>
        <rFont val="宋体"/>
        <family val="3"/>
        <charset val="134"/>
      </rPr>
      <t>关联交易形成的款项、</t>
    </r>
    <r>
      <rPr>
        <sz val="10"/>
        <color rgb="FF0000FF"/>
        <rFont val="Arial Narrow"/>
        <family val="2"/>
      </rPr>
      <t>XX</t>
    </r>
    <r>
      <rPr>
        <sz val="10"/>
        <color rgb="FF0000FF"/>
        <rFont val="宋体"/>
        <family val="3"/>
        <charset val="134"/>
      </rPr>
      <t>异常款项全部测试，共</t>
    </r>
    <r>
      <rPr>
        <sz val="10"/>
        <color rgb="FF0000FF"/>
        <rFont val="Arial Narrow"/>
        <family val="2"/>
      </rPr>
      <t>XX</t>
    </r>
    <r>
      <rPr>
        <sz val="10"/>
        <color rgb="FF0000FF"/>
        <rFont val="宋体"/>
        <family val="3"/>
        <charset val="134"/>
      </rPr>
      <t>笔；</t>
    </r>
    <phoneticPr fontId="5" type="noConversion"/>
  </si>
  <si>
    <r>
      <rPr>
        <sz val="10"/>
        <rFont val="宋体"/>
        <family val="3"/>
        <charset val="134"/>
      </rPr>
      <t>抽样总体：</t>
    </r>
    <phoneticPr fontId="5" type="noConversion"/>
  </si>
  <si>
    <r>
      <rPr>
        <sz val="10"/>
        <color rgb="FF0000FF"/>
        <rFont val="宋体"/>
        <family val="3"/>
        <charset val="134"/>
      </rPr>
      <t>测试总体扣除特定样本以外的样本，共</t>
    </r>
    <r>
      <rPr>
        <sz val="10"/>
        <color rgb="FF0000FF"/>
        <rFont val="Arial Narrow"/>
        <family val="2"/>
      </rPr>
      <t>XX</t>
    </r>
    <r>
      <rPr>
        <sz val="10"/>
        <color rgb="FF0000FF"/>
        <rFont val="宋体"/>
        <family val="3"/>
        <charset val="134"/>
      </rPr>
      <t>笔、金额</t>
    </r>
    <r>
      <rPr>
        <sz val="10"/>
        <color rgb="FF0000FF"/>
        <rFont val="Arial Narrow"/>
        <family val="2"/>
      </rPr>
      <t>XX</t>
    </r>
    <phoneticPr fontId="5" type="noConversion"/>
  </si>
  <si>
    <r>
      <rPr>
        <sz val="10"/>
        <rFont val="宋体"/>
        <family val="3"/>
        <charset val="134"/>
      </rPr>
      <t>确定的抽样样本量：</t>
    </r>
    <phoneticPr fontId="5" type="noConversion"/>
  </si>
  <si>
    <r>
      <rPr>
        <sz val="10"/>
        <color rgb="FF0000FF"/>
        <rFont val="宋体"/>
        <family val="3"/>
        <charset val="134"/>
      </rPr>
      <t>抽取</t>
    </r>
    <r>
      <rPr>
        <sz val="10"/>
        <color rgb="FF0000FF"/>
        <rFont val="Arial Narrow"/>
        <family val="2"/>
      </rPr>
      <t>XX</t>
    </r>
    <r>
      <rPr>
        <sz val="10"/>
        <color rgb="FF0000FF"/>
        <rFont val="宋体"/>
        <family val="3"/>
        <charset val="134"/>
      </rPr>
      <t>笔</t>
    </r>
    <phoneticPr fontId="5" type="noConversion"/>
  </si>
  <si>
    <r>
      <rPr>
        <sz val="10"/>
        <color rgb="FF0000FF"/>
        <rFont val="宋体"/>
        <family val="3"/>
        <charset val="134"/>
      </rPr>
      <t>（如果使用了样本计算器计算样本量，样本量计算过程见</t>
    </r>
    <r>
      <rPr>
        <sz val="10"/>
        <color rgb="FF0000FF"/>
        <rFont val="Arial Narrow"/>
        <family val="2"/>
      </rPr>
      <t>&lt;XX&gt;</t>
    </r>
    <r>
      <rPr>
        <sz val="10"/>
        <color rgb="FF0000FF"/>
        <rFont val="宋体"/>
        <family val="3"/>
        <charset val="134"/>
      </rPr>
      <t>底稿）</t>
    </r>
    <phoneticPr fontId="5" type="noConversion"/>
  </si>
  <si>
    <r>
      <rPr>
        <sz val="10"/>
        <rFont val="宋体"/>
        <family val="3"/>
        <charset val="134"/>
      </rPr>
      <t>抽样方法：</t>
    </r>
    <phoneticPr fontId="5" type="noConversion"/>
  </si>
  <si>
    <r>
      <rPr>
        <sz val="10"/>
        <rFont val="宋体"/>
        <family val="3"/>
        <charset val="134"/>
      </rPr>
      <t>抽样过程：</t>
    </r>
    <phoneticPr fontId="5" type="noConversion"/>
  </si>
  <si>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抽样工具）选择</t>
    </r>
    <r>
      <rPr>
        <sz val="10"/>
        <color rgb="FF0000FF"/>
        <rFont val="Arial Narrow"/>
        <family val="2"/>
      </rPr>
      <t>XX</t>
    </r>
    <r>
      <rPr>
        <sz val="10"/>
        <color rgb="FF0000FF"/>
        <rFont val="宋体"/>
        <family val="3"/>
        <charset val="134"/>
      </rPr>
      <t>数量、金额</t>
    </r>
    <r>
      <rPr>
        <sz val="10"/>
        <color rgb="FF0000FF"/>
        <rFont val="Arial Narrow"/>
        <family val="2"/>
      </rPr>
      <t>XX</t>
    </r>
    <r>
      <rPr>
        <sz val="10"/>
        <color rgb="FF0000FF"/>
        <rFont val="宋体"/>
        <family val="3"/>
        <charset val="134"/>
      </rPr>
      <t>的样本进行测试，抽样工具中的样本选择过程和结果见</t>
    </r>
    <r>
      <rPr>
        <sz val="10"/>
        <color rgb="FF0000FF"/>
        <rFont val="Arial Narrow"/>
        <family val="2"/>
      </rPr>
      <t>&lt;XX&gt;</t>
    </r>
    <r>
      <rPr>
        <sz val="10"/>
        <color rgb="FF0000FF"/>
        <rFont val="宋体"/>
        <family val="3"/>
        <charset val="134"/>
      </rPr>
      <t>底稿</t>
    </r>
    <phoneticPr fontId="5" type="noConversion"/>
  </si>
  <si>
    <r>
      <rPr>
        <sz val="10"/>
        <rFont val="宋体"/>
        <family val="3"/>
        <charset val="134"/>
      </rPr>
      <t>舞弊应对</t>
    </r>
    <r>
      <rPr>
        <sz val="10"/>
        <rFont val="Arial Narrow"/>
        <family val="2"/>
      </rPr>
      <t>/IPO/</t>
    </r>
    <r>
      <rPr>
        <sz val="10"/>
        <rFont val="宋体"/>
        <family val="3"/>
        <charset val="134"/>
      </rPr>
      <t>上市</t>
    </r>
    <r>
      <rPr>
        <sz val="10"/>
        <rFont val="Arial Narrow"/>
        <family val="2"/>
      </rPr>
      <t>/</t>
    </r>
    <r>
      <rPr>
        <sz val="10"/>
        <rFont val="宋体"/>
        <family val="3"/>
        <charset val="134"/>
      </rPr>
      <t>新三板</t>
    </r>
    <r>
      <rPr>
        <sz val="10"/>
        <rFont val="Arial Narrow"/>
        <family val="2"/>
      </rPr>
      <t>/</t>
    </r>
    <r>
      <rPr>
        <sz val="10"/>
        <rFont val="宋体"/>
        <family val="3"/>
        <charset val="134"/>
      </rPr>
      <t>重组</t>
    </r>
  </si>
  <si>
    <r>
      <t>1.</t>
    </r>
    <r>
      <rPr>
        <b/>
        <sz val="10"/>
        <rFont val="宋体"/>
        <family val="3"/>
        <charset val="134"/>
      </rPr>
      <t>审计说明</t>
    </r>
    <phoneticPr fontId="5" type="noConversion"/>
  </si>
  <si>
    <r>
      <rPr>
        <b/>
        <sz val="10"/>
        <rFont val="宋体"/>
        <family val="3"/>
        <charset val="134"/>
      </rPr>
      <t>底稿开列时，可先在以下单元格填写有关内容，以便其他底稿引用有关数据：</t>
    </r>
    <phoneticPr fontId="5" type="noConversion"/>
  </si>
  <si>
    <t>提示：本底稿适用于调整分录较多、较复杂的项目，且仅列示与本报表项目相关的审计调整。项目组可根据项目实际情况选择是否使用该底稿。</t>
    <phoneticPr fontId="5" type="noConversion"/>
  </si>
  <si>
    <r>
      <rPr>
        <sz val="10"/>
        <color rgb="FF0000FF"/>
        <rFont val="宋体"/>
        <family val="3"/>
        <charset val="134"/>
      </rPr>
      <t>检查广告费、宣传费合同、投放计划等条款，检查支出是否合理，说明核算的准确性和完整性，是否存在推迟确认广告费用的情形。</t>
    </r>
  </si>
  <si>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5" type="noConversion"/>
  </si>
  <si>
    <t>获取或编制明细表、执行下列程序，并编制审定表：
(1)复核其加计数是否正确，并与报表、总账数和明细账合计数核对是否相符；
(2)将销售费用中的工资、折旧等与相关的资产、负债科目核对，检查其勾稽关系的合理性。</t>
    <phoneticPr fontId="5" type="noConversion"/>
  </si>
  <si>
    <r>
      <rPr>
        <sz val="10"/>
        <rFont val="宋体"/>
        <family val="3"/>
        <charset val="134"/>
      </rPr>
      <t>分析总体合理性：
（</t>
    </r>
    <r>
      <rPr>
        <sz val="10"/>
        <rFont val="Arial Narrow"/>
        <family val="2"/>
      </rPr>
      <t>1</t>
    </r>
    <r>
      <rPr>
        <sz val="10"/>
        <rFont val="宋体"/>
        <family val="3"/>
        <charset val="134"/>
      </rPr>
      <t>）分析本期销售费用明细占比情况、与上期发生额比较，分析异常波动原因；关注明细项中是否存在不符合往年常态的项目，不符合企业经营状况，存在异常变动的项目，检查相关支持性文件；
（</t>
    </r>
    <r>
      <rPr>
        <sz val="10"/>
        <rFont val="Arial Narrow"/>
        <family val="2"/>
      </rPr>
      <t>2</t>
    </r>
    <r>
      <rPr>
        <sz val="10"/>
        <rFont val="宋体"/>
        <family val="3"/>
        <charset val="134"/>
      </rPr>
      <t>）分析本期销售费用明细各月金额及其占比，分析异常波动原因；
（</t>
    </r>
    <r>
      <rPr>
        <sz val="10"/>
        <rFont val="Arial Narrow"/>
        <family val="2"/>
      </rPr>
      <t>3</t>
    </r>
    <r>
      <rPr>
        <sz val="10"/>
        <rFont val="宋体"/>
        <family val="3"/>
        <charset val="134"/>
      </rPr>
      <t>）计算分析本期销售费用及主要明细项目金额占主营业务收入的比率，并与上年度可比期间、同行业水平进行对比，判断变动的合理性；
（</t>
    </r>
    <r>
      <rPr>
        <sz val="10"/>
        <rFont val="Arial Narrow"/>
        <family val="2"/>
      </rPr>
      <t>4</t>
    </r>
    <r>
      <rPr>
        <sz val="10"/>
        <rFont val="宋体"/>
        <family val="3"/>
        <charset val="134"/>
      </rPr>
      <t>）将销售费用实际发生金额与预算金额进行比较。</t>
    </r>
    <phoneticPr fontId="5" type="noConversion"/>
  </si>
  <si>
    <t>IPO/上市/新三板/重组/舞弊应对</t>
    <phoneticPr fontId="61" type="noConversion"/>
  </si>
  <si>
    <t>对具体费用项目与相关财务数据及非财务数据的匹配性进行分析测试，如公司收入与销售佣金、运输费用是否同步增长，或未同步增长的原因；销售模式的变更对佣金的影响；员工人数是否与公司业务规模相匹配等。对于重大异常情况，应考虑舞弊的可能。</t>
    <phoneticPr fontId="5" type="noConversion"/>
  </si>
  <si>
    <r>
      <t>对上期发生额的审计：结合本期审计确定销售费用的上期金额的截止是否恰当。（</t>
    </r>
    <r>
      <rPr>
        <sz val="10"/>
        <color rgb="FFFF0000"/>
        <rFont val="宋体"/>
        <family val="3"/>
        <charset val="134"/>
      </rPr>
      <t>适用于首次承接</t>
    </r>
    <r>
      <rPr>
        <sz val="10"/>
        <rFont val="宋体"/>
        <family val="3"/>
        <charset val="134"/>
      </rPr>
      <t>）</t>
    </r>
    <phoneticPr fontId="5" type="noConversion"/>
  </si>
  <si>
    <t>对于广告费、宣传费、咨询费、房租等合同费用，获取合同、协议，查看具体约定条款，并根据具体约定条款测算费用，检查销售费用确认是否准确和完整。</t>
    <phoneticPr fontId="5" type="noConversion"/>
  </si>
  <si>
    <t>对于销售佣金：检查支出是否符合规定，审批手续是否健全，是否取得有效的原始凭证，根据具体情况进行量化匡算分析；如超过规定，应在计算应纳税所得额时调整；</t>
    <phoneticPr fontId="5" type="noConversion"/>
  </si>
  <si>
    <t>备选</t>
    <phoneticPr fontId="5" type="noConversion"/>
  </si>
  <si>
    <t>检查关联方交易：了解关联交易事项的目的、价格和条件，检查交易的支持性文件，同时向关联方或其他注册会计师函证重大的交易（包括担保和其他重要信息），以确认交易的真实性；必要时，向与交易相关的人员和机构（如银行、律师）函证或与其讨论有关信息；考虑是否存在未识别的关联方，关联交易和余额披露是否正确。</t>
    <phoneticPr fontId="5" type="noConversion"/>
  </si>
  <si>
    <t>检查是否存在关联方或其他利益相关方代被审计单位支付成本、费用或者采用无偿或不公允的交易价格向被审计单位提供经济资源：
（1）取得控股股东、实际控制人及其控制企业的财务报表，对于财务报表相关费用项目变动较大的，以及该等关联方与被审计单位存在资金往来的，询问其原因，关注费用发生真实性以及资金真实意图和流向；
（2）了解被审计单位是否向关联方租用办公场所或无偿使用，关注租金的合理性。与被审计单位相同或相近办公地址的关联方或其他利益相关方，重点核查其有无代为支付成本、费用的情形；
（3）调查并访谈实际控制人关于其投资领域、投资回报以及民间借贷、借贷用途、接受各类监管检查等方面的情况；
（4）分析计入费用的工资薪金，关注构成是否异常变化、各月之间波动有无异常，如果异常降低，关注是否存在其他方（如关联方）代付工资的情况；
（4）取得被审计单位及其实际控制人、控股股东、董事、监事、高管等关联方对“关联方代为支付成本费用进行利益输送的情形”出具的承诺书；如报告期内实际控制人转让拟IPO企业股份或转让其他企业股权且金额较大的，需了解股权转让资金的用途；</t>
    <phoneticPr fontId="5" type="noConversion"/>
  </si>
  <si>
    <t>检查与销售费用有关的的记账凭证和相应的支持性证据以确定交易的真实性，是否按规定进行相应的会计处理和披露。</t>
    <phoneticPr fontId="5" type="noConversion"/>
  </si>
  <si>
    <t>考虑是否存在超出被审计单位正常经营活动的重大、异常交易等，根据评估的舞弊风险等因素增加的审计程序。</t>
    <phoneticPr fontId="5" type="noConversion"/>
  </si>
  <si>
    <t>12</t>
  </si>
  <si>
    <t>13</t>
  </si>
  <si>
    <t>14</t>
  </si>
  <si>
    <t>√</t>
    <phoneticPr fontId="5" type="noConversion"/>
  </si>
  <si>
    <t>√</t>
    <phoneticPr fontId="5" type="noConversion"/>
  </si>
  <si>
    <t>√</t>
    <phoneticPr fontId="5" type="noConversion"/>
  </si>
  <si>
    <t>与相关科目勾稽（索引）</t>
    <phoneticPr fontId="5" type="noConversion"/>
  </si>
  <si>
    <r>
      <t>1.XX</t>
    </r>
    <r>
      <rPr>
        <sz val="10"/>
        <color rgb="FFFF0000"/>
        <rFont val="宋体"/>
        <family val="3"/>
        <charset val="134"/>
      </rPr>
      <t>费用较上期增长</t>
    </r>
    <r>
      <rPr>
        <sz val="10"/>
        <color rgb="FFFF0000"/>
        <rFont val="Arial Narrow"/>
        <family val="2"/>
      </rPr>
      <t>XX%</t>
    </r>
    <r>
      <rPr>
        <sz val="10"/>
        <color rgb="FFFF0000"/>
        <rFont val="宋体"/>
        <family val="3"/>
        <charset val="134"/>
      </rPr>
      <t>，本期大幅增加原因……</t>
    </r>
    <phoneticPr fontId="57" type="noConversion"/>
  </si>
  <si>
    <t>销售费用项目</t>
    <phoneticPr fontId="5" type="noConversion"/>
  </si>
  <si>
    <t>销售费用合同检查表-此表未改完</t>
    <phoneticPr fontId="5" type="noConversion"/>
  </si>
  <si>
    <t>项目</t>
    <phoneticPr fontId="31" type="noConversion"/>
  </si>
  <si>
    <r>
      <t>XX</t>
    </r>
    <r>
      <rPr>
        <sz val="10"/>
        <color rgb="FFFF0000"/>
        <rFont val="宋体"/>
        <family val="3"/>
        <charset val="134"/>
      </rPr>
      <t>费用</t>
    </r>
    <phoneticPr fontId="31" type="noConversion"/>
  </si>
  <si>
    <t>差异原因</t>
  </si>
  <si>
    <t>是否调整</t>
  </si>
  <si>
    <r>
      <rPr>
        <b/>
        <sz val="10"/>
        <rFont val="宋体"/>
        <family val="3"/>
        <charset val="134"/>
      </rPr>
      <t>审计结论</t>
    </r>
    <phoneticPr fontId="5" type="noConversion"/>
  </si>
  <si>
    <t>提示：如果存在跨期舞弊风险或者所检查样本中发现有跨期的，应扩大测试期间和样本，甚至可以考虑将截止测试期间延长至审计报告日。同时考虑是否存在内控缺陷。</t>
  </si>
  <si>
    <r>
      <t>1.</t>
    </r>
    <r>
      <rPr>
        <sz val="10"/>
        <rFont val="宋体"/>
        <family val="3"/>
        <charset val="134"/>
      </rPr>
      <t>抽取资产负债表日前后（</t>
    </r>
    <r>
      <rPr>
        <sz val="10"/>
        <rFont val="Arial Narrow"/>
        <family val="2"/>
      </rPr>
      <t>____</t>
    </r>
    <r>
      <rPr>
        <sz val="10"/>
        <rFont val="宋体"/>
        <family val="3"/>
        <charset val="134"/>
      </rPr>
      <t>）天的（</t>
    </r>
    <r>
      <rPr>
        <sz val="10"/>
        <rFont val="Arial Narrow"/>
        <family val="2"/>
      </rPr>
      <t>____</t>
    </r>
    <r>
      <rPr>
        <sz val="10"/>
        <rFont val="宋体"/>
        <family val="3"/>
        <charset val="134"/>
      </rPr>
      <t>）张记账凭证，实施截止性测试，评价费用是否被记录于正确的会计期间；</t>
    </r>
    <phoneticPr fontId="31" type="noConversion"/>
  </si>
  <si>
    <t>记账凭证</t>
    <phoneticPr fontId="31" type="noConversion"/>
  </si>
  <si>
    <t>业务内容</t>
  </si>
  <si>
    <t>对方科目</t>
  </si>
  <si>
    <t>金额</t>
    <phoneticPr fontId="31" type="noConversion"/>
  </si>
  <si>
    <t>……</t>
    <phoneticPr fontId="31" type="noConversion"/>
  </si>
  <si>
    <r>
      <rPr>
        <sz val="10"/>
        <rFont val="宋体"/>
        <family val="3"/>
        <charset val="134"/>
      </rPr>
      <t>截止测试：
（</t>
    </r>
    <r>
      <rPr>
        <sz val="10"/>
        <rFont val="Arial Narrow"/>
        <family val="2"/>
      </rPr>
      <t>1</t>
    </r>
    <r>
      <rPr>
        <sz val="10"/>
        <rFont val="宋体"/>
        <family val="3"/>
        <charset val="134"/>
      </rPr>
      <t>）抽取资产负债表日前后若干张记账凭证，实施截止测试，存在异常迹象，应考虑是否有必要追加审计程序，对于重大跨期项目应作必要调整。
（</t>
    </r>
    <r>
      <rPr>
        <sz val="10"/>
        <rFont val="Arial Narrow"/>
        <family val="2"/>
      </rPr>
      <t>2</t>
    </r>
    <r>
      <rPr>
        <sz val="10"/>
        <rFont val="宋体"/>
        <family val="3"/>
        <charset val="134"/>
      </rPr>
      <t>）从资产负债日后的银行对账单或付款凭证中若干项目进行测试，检查支持性文件；关注支持性文件的日期，检查费用是否记录于正确的会计期间，是否存在有未入账的负债。</t>
    </r>
    <phoneticPr fontId="5" type="noConversion"/>
  </si>
  <si>
    <r>
      <t>1.</t>
    </r>
    <r>
      <rPr>
        <sz val="10"/>
        <rFont val="宋体"/>
        <family val="3"/>
        <charset val="134"/>
      </rPr>
      <t>选取资产负债日后（</t>
    </r>
    <r>
      <rPr>
        <sz val="10"/>
        <rFont val="Arial Narrow"/>
        <family val="2"/>
      </rPr>
      <t>____</t>
    </r>
    <r>
      <rPr>
        <sz val="10"/>
        <rFont val="宋体"/>
        <family val="3"/>
        <charset val="134"/>
      </rPr>
      <t>）天的的银行对账单或付款凭证、支出凭单（</t>
    </r>
    <r>
      <rPr>
        <sz val="10"/>
        <rFont val="Arial Narrow"/>
        <family val="2"/>
      </rPr>
      <t>____</t>
    </r>
    <r>
      <rPr>
        <sz val="10"/>
        <rFont val="宋体"/>
        <family val="3"/>
        <charset val="134"/>
      </rPr>
      <t>）张，检查支持性文件，关注凭单的日期，检查费用是否记录于正确的会计期间，是否存在有未入帐的负债；</t>
    </r>
    <phoneticPr fontId="57" type="noConversion"/>
  </si>
  <si>
    <r>
      <t>2.</t>
    </r>
    <r>
      <rPr>
        <sz val="10"/>
        <rFont val="宋体"/>
        <family val="3"/>
        <charset val="134"/>
      </rPr>
      <t>对于首次承接的客户，执行前期期末的截止性测试；（适用于首次承接）</t>
    </r>
    <phoneticPr fontId="57" type="noConversion"/>
  </si>
  <si>
    <t>销售费用检查表</t>
    <phoneticPr fontId="5" type="noConversion"/>
  </si>
  <si>
    <t>记账凭证</t>
    <phoneticPr fontId="5" type="noConversion"/>
  </si>
  <si>
    <t>对方明细科目</t>
    <phoneticPr fontId="5" type="noConversion"/>
  </si>
  <si>
    <t>借方金额</t>
    <phoneticPr fontId="5" type="noConversion"/>
  </si>
  <si>
    <t>费用明细项目</t>
    <phoneticPr fontId="5" type="noConversion"/>
  </si>
  <si>
    <t>支持性文件</t>
    <phoneticPr fontId="5" type="noConversion"/>
  </si>
  <si>
    <r>
      <rPr>
        <b/>
        <sz val="10"/>
        <rFont val="宋体"/>
        <family val="3"/>
        <charset val="134"/>
      </rPr>
      <t>核对内容</t>
    </r>
  </si>
  <si>
    <t>索引号</t>
  </si>
  <si>
    <t>是否异常</t>
    <phoneticPr fontId="5" type="noConversion"/>
  </si>
  <si>
    <t>备注说明</t>
    <phoneticPr fontId="5" type="noConversion"/>
  </si>
  <si>
    <t>合计</t>
    <phoneticPr fontId="5" type="noConversion"/>
  </si>
  <si>
    <t>付款审批单、费用报销单、支出凭单、银行回单、合同……</t>
    <phoneticPr fontId="5" type="noConversion"/>
  </si>
  <si>
    <r>
      <t>1.</t>
    </r>
    <r>
      <rPr>
        <sz val="10"/>
        <rFont val="宋体"/>
        <family val="3"/>
        <charset val="134"/>
      </rPr>
      <t>所有应当记录的销售费用均已记录，所有应当包括在财务报表中的相关披露均已包括</t>
    </r>
    <r>
      <rPr>
        <sz val="10"/>
        <rFont val="Arial Narrow"/>
        <family val="2"/>
      </rPr>
      <t>;</t>
    </r>
    <phoneticPr fontId="31" type="noConversion"/>
  </si>
  <si>
    <r>
      <t>2.</t>
    </r>
    <r>
      <rPr>
        <sz val="10"/>
        <rFont val="宋体"/>
        <family val="3"/>
        <charset val="134"/>
      </rPr>
      <t>与销售费用有关的金额及其他数据已恰当记录，相关披露已得到恰当计量和描述</t>
    </r>
    <r>
      <rPr>
        <sz val="10"/>
        <rFont val="Arial Narrow"/>
        <family val="2"/>
      </rPr>
      <t>;</t>
    </r>
    <phoneticPr fontId="31" type="noConversion"/>
  </si>
  <si>
    <r>
      <t xml:space="preserve">3. </t>
    </r>
    <r>
      <rPr>
        <sz val="10"/>
        <rFont val="宋体"/>
        <family val="3"/>
        <charset val="134"/>
      </rPr>
      <t>与销售费用有关的金额及其他数据已恰当记录，相关披露已得到恰当计量和描述</t>
    </r>
    <phoneticPr fontId="31" type="noConversion"/>
  </si>
  <si>
    <r>
      <t>1.</t>
    </r>
    <r>
      <rPr>
        <sz val="10"/>
        <rFont val="宋体"/>
        <family val="3"/>
        <charset val="134"/>
      </rPr>
      <t>获取或编制各个月份期间费用主要构成情况，分析各月波动是否符合预期及与被审计单位的经营波动是否一致；</t>
    </r>
    <phoneticPr fontId="31" type="noConversion"/>
  </si>
  <si>
    <r>
      <t>3.</t>
    </r>
    <r>
      <rPr>
        <sz val="10"/>
        <rFont val="宋体"/>
        <family val="3"/>
        <charset val="134"/>
      </rPr>
      <t>检查销售费用各项费用的内容，防止应计入制造费用、销售费用、在建工程、营业外支出等科目的费用计入本科目。特别关注</t>
    </r>
    <r>
      <rPr>
        <sz val="10"/>
        <rFont val="Arial Narrow"/>
        <family val="2"/>
      </rPr>
      <t>“</t>
    </r>
    <r>
      <rPr>
        <sz val="10"/>
        <rFont val="宋体"/>
        <family val="3"/>
        <charset val="134"/>
      </rPr>
      <t>其他</t>
    </r>
    <r>
      <rPr>
        <sz val="10"/>
        <rFont val="Arial Narrow"/>
        <family val="2"/>
      </rPr>
      <t>”</t>
    </r>
    <r>
      <rPr>
        <sz val="10"/>
        <rFont val="宋体"/>
        <family val="3"/>
        <charset val="134"/>
      </rPr>
      <t>明细科目的内容；</t>
    </r>
    <phoneticPr fontId="31" type="noConversion"/>
  </si>
  <si>
    <r>
      <t>2.</t>
    </r>
    <r>
      <rPr>
        <sz val="10"/>
        <rFont val="宋体"/>
        <family val="3"/>
        <charset val="134"/>
      </rPr>
      <t>将相关明细项目发生额与资产负债表的相关科目的明细科目如应付职工薪酬、固定资产折旧、无形资产摊销、长期待摊费用摊销等核对；</t>
    </r>
    <phoneticPr fontId="31" type="noConversion"/>
  </si>
  <si>
    <t>3. 与销售费用有关的金额及其他数据已恰当记录，相关披露已得到恰当计量和描述</t>
  </si>
  <si>
    <r>
      <t>1.</t>
    </r>
    <r>
      <rPr>
        <sz val="10"/>
        <rFont val="宋体"/>
        <family val="3"/>
        <charset val="134"/>
      </rPr>
      <t>所有应当记录的销售费用均已记录，所有应当包括在财务报表中的相关披露均已包括</t>
    </r>
    <r>
      <rPr>
        <sz val="10"/>
        <rFont val="Arial Narrow"/>
        <family val="2"/>
      </rPr>
      <t>;     2.</t>
    </r>
    <r>
      <rPr>
        <sz val="10"/>
        <rFont val="宋体"/>
        <family val="3"/>
        <charset val="134"/>
      </rPr>
      <t>与销售费用有关的金额及其他数据已恰当记录，相关披露已得到恰当计量和描述</t>
    </r>
    <r>
      <rPr>
        <sz val="10"/>
        <rFont val="Arial Narrow"/>
        <family val="2"/>
      </rPr>
      <t>;</t>
    </r>
    <phoneticPr fontId="5" type="noConversion"/>
  </si>
  <si>
    <r>
      <rPr>
        <sz val="10"/>
        <rFont val="Arial Narrow"/>
        <family val="2"/>
      </rPr>
      <t>3.</t>
    </r>
    <r>
      <rPr>
        <sz val="10"/>
        <rFont val="宋体"/>
        <family val="3"/>
        <charset val="134"/>
      </rPr>
      <t>与销售费用有关的金额及其他数据已恰当记录，相关披露已得到恰当计量和描述;</t>
    </r>
    <phoneticPr fontId="5" type="noConversion"/>
  </si>
  <si>
    <r>
      <t>3.</t>
    </r>
    <r>
      <rPr>
        <sz val="10"/>
        <rFont val="宋体"/>
        <family val="3"/>
        <charset val="134"/>
      </rPr>
      <t>与销售费用有关的金额及其他数据已恰当记录，相关披露已得到恰当计量和描述；</t>
    </r>
    <r>
      <rPr>
        <sz val="10"/>
        <rFont val="Arial Narrow"/>
        <family val="2"/>
      </rPr>
      <t xml:space="preserve">    4. </t>
    </r>
    <r>
      <rPr>
        <sz val="10"/>
        <rFont val="宋体"/>
        <family val="3"/>
        <charset val="134"/>
      </rPr>
      <t>销售费用已记录于正确的会计期间</t>
    </r>
    <r>
      <rPr>
        <sz val="10"/>
        <rFont val="Arial Narrow"/>
        <family val="2"/>
      </rPr>
      <t xml:space="preserve"> </t>
    </r>
    <phoneticPr fontId="39" type="noConversion"/>
  </si>
  <si>
    <r>
      <t>1.</t>
    </r>
    <r>
      <rPr>
        <sz val="10"/>
        <rFont val="宋体"/>
        <family val="3"/>
        <charset val="134"/>
      </rPr>
      <t>所有应当记录的销售费用均已记录，所有应当包括在财务报表中的相关披露均已包括</t>
    </r>
    <r>
      <rPr>
        <sz val="10"/>
        <rFont val="Arial Narrow"/>
        <family val="2"/>
      </rPr>
      <t xml:space="preserve">;     </t>
    </r>
    <phoneticPr fontId="5" type="noConversion"/>
  </si>
  <si>
    <t>测试总体一般不包括：结转损益、职工薪酬/折旧计提、无形资产及长期费用摊销、各项税费计提等凭证。</t>
    <phoneticPr fontId="31" type="noConversion"/>
  </si>
  <si>
    <t>K8-1
/K8-2</t>
    <phoneticPr fontId="57" type="noConversion"/>
  </si>
  <si>
    <t>K8-1
/K8-2</t>
    <phoneticPr fontId="57" type="noConversion"/>
  </si>
  <si>
    <t>K8-5</t>
    <phoneticPr fontId="57" type="noConversion"/>
  </si>
  <si>
    <t>K8-6
/K8-7</t>
    <phoneticPr fontId="57" type="noConversion"/>
  </si>
  <si>
    <t>截止性测试（从原始凭证至记账凭证）</t>
    <phoneticPr fontId="31" type="noConversion"/>
  </si>
  <si>
    <t>销售费用检查表</t>
    <phoneticPr fontId="31" type="noConversion"/>
  </si>
  <si>
    <t>合同检查表</t>
    <phoneticPr fontId="31" type="noConversion"/>
  </si>
  <si>
    <t>截止性测试(从记账凭证至原始凭证）</t>
    <phoneticPr fontId="31" type="noConversion"/>
  </si>
  <si>
    <t>实质性程序表</t>
  </si>
  <si>
    <t>附注披露信息（上市公司）</t>
    <phoneticPr fontId="31" type="noConversion"/>
  </si>
  <si>
    <t>明细表</t>
    <phoneticPr fontId="31" type="noConversion"/>
  </si>
  <si>
    <t>调整分录汇总</t>
    <phoneticPr fontId="31" type="noConversion"/>
  </si>
  <si>
    <t>实质性分析</t>
  </si>
  <si>
    <t>附注披露信息（国企）</t>
    <phoneticPr fontId="31" type="noConversion"/>
  </si>
  <si>
    <t>审定表</t>
    <phoneticPr fontId="31" type="noConversion"/>
  </si>
  <si>
    <t>K8-6</t>
  </si>
  <si>
    <t>K8-7</t>
  </si>
  <si>
    <t>页  次：</t>
    <phoneticPr fontId="31" type="noConversion"/>
  </si>
  <si>
    <t>页  次：</t>
    <phoneticPr fontId="5" type="noConversion"/>
  </si>
  <si>
    <t>页  次：</t>
    <phoneticPr fontId="39" type="noConversion"/>
  </si>
  <si>
    <t>页  次：</t>
    <phoneticPr fontId="31" type="noConversion"/>
  </si>
  <si>
    <t>页  次：</t>
    <phoneticPr fontId="57" type="noConversion"/>
  </si>
  <si>
    <t>页  次：</t>
    <phoneticPr fontId="5" type="noConversion"/>
  </si>
  <si>
    <r>
      <t xml:space="preserve">A. </t>
    </r>
    <r>
      <rPr>
        <sz val="10"/>
        <rFont val="宋体"/>
        <family val="3"/>
        <charset val="134"/>
      </rPr>
      <t>利润表中记录的销售费用已发生，且与被审计单位有关，已记录于恰当的账户</t>
    </r>
    <phoneticPr fontId="5" type="noConversion"/>
  </si>
  <si>
    <t>检查销售费用是否已按企业会计准则或其他适用的规定在财务报表中做出恰当列报和披露。</t>
    <phoneticPr fontId="5" type="noConversion"/>
  </si>
  <si>
    <r>
      <t>3.XX</t>
    </r>
    <r>
      <rPr>
        <sz val="10"/>
        <color rgb="FFFF0000"/>
        <rFont val="宋体"/>
        <family val="3"/>
        <charset val="134"/>
      </rPr>
      <t>费用测算如下：</t>
    </r>
    <phoneticPr fontId="31" type="noConversion"/>
  </si>
  <si>
    <r>
      <t>2.XX</t>
    </r>
    <r>
      <rPr>
        <sz val="10"/>
        <color rgb="FFFF0000"/>
        <rFont val="宋体"/>
        <family val="3"/>
        <charset val="134"/>
      </rPr>
      <t>月</t>
    </r>
    <r>
      <rPr>
        <sz val="10"/>
        <color rgb="FFFF0000"/>
        <rFont val="Arial Narrow"/>
        <family val="2"/>
      </rPr>
      <t>XX</t>
    </r>
    <r>
      <rPr>
        <sz val="10"/>
        <color rgb="FFFF0000"/>
        <rFont val="宋体"/>
        <family val="3"/>
        <charset val="134"/>
      </rPr>
      <t>费用发生额</t>
    </r>
    <r>
      <rPr>
        <sz val="10"/>
        <color rgb="FFFF0000"/>
        <rFont val="Arial Narrow"/>
        <family val="2"/>
      </rPr>
      <t>XX</t>
    </r>
    <r>
      <rPr>
        <sz val="10"/>
        <color rgb="FFFF0000"/>
        <rFont val="宋体"/>
        <family val="3"/>
        <charset val="134"/>
      </rPr>
      <t>，占全年</t>
    </r>
    <r>
      <rPr>
        <sz val="10"/>
        <color rgb="FFFF0000"/>
        <rFont val="Arial Narrow"/>
        <family val="2"/>
      </rPr>
      <t>XX%</t>
    </r>
    <r>
      <rPr>
        <sz val="10"/>
        <color rgb="FFFF0000"/>
        <rFont val="宋体"/>
        <family val="3"/>
        <charset val="134"/>
      </rPr>
      <t>，占比较大的原因</t>
    </r>
    <r>
      <rPr>
        <sz val="10"/>
        <color rgb="FFFF0000"/>
        <rFont val="Arial Narrow"/>
        <family val="2"/>
      </rPr>
      <t>……</t>
    </r>
    <phoneticPr fontId="57" type="noConversion"/>
  </si>
  <si>
    <r>
      <t>2.</t>
    </r>
    <r>
      <rPr>
        <sz val="10"/>
        <rFont val="宋体"/>
        <family val="3"/>
        <charset val="134"/>
      </rPr>
      <t>与销售费用有关的金额及其他数据已恰当记录，相关披露已得到恰当计量和描述；</t>
    </r>
    <r>
      <rPr>
        <sz val="10"/>
        <rFont val="Arial Narrow"/>
        <family val="2"/>
      </rPr>
      <t xml:space="preserve">   3. </t>
    </r>
    <r>
      <rPr>
        <sz val="10"/>
        <rFont val="宋体"/>
        <family val="3"/>
        <charset val="134"/>
      </rPr>
      <t>销售费用已记录于正确的会计期间</t>
    </r>
    <r>
      <rPr>
        <sz val="10"/>
        <rFont val="Arial Narrow"/>
        <family val="2"/>
      </rPr>
      <t xml:space="preserve"> </t>
    </r>
    <phoneticPr fontId="5" type="noConversion"/>
  </si>
  <si>
    <r>
      <rPr>
        <sz val="10"/>
        <rFont val="宋体"/>
        <family val="3"/>
        <charset val="134"/>
      </rPr>
      <t>被审计单位：</t>
    </r>
    <r>
      <rPr>
        <sz val="10"/>
        <rFont val="Arial Narrow"/>
        <family val="2"/>
      </rPr>
      <t/>
    </r>
    <phoneticPr fontId="5" type="noConversion"/>
  </si>
  <si>
    <t>编制人：</t>
    <phoneticPr fontId="5" type="noConversion"/>
  </si>
  <si>
    <t>编制日期：</t>
    <phoneticPr fontId="5" type="noConversion"/>
  </si>
  <si>
    <t>复核人：</t>
    <phoneticPr fontId="5" type="noConversion"/>
  </si>
  <si>
    <t>复核日期：</t>
    <phoneticPr fontId="5" type="noConversion"/>
  </si>
  <si>
    <r>
      <rPr>
        <sz val="10"/>
        <rFont val="宋体"/>
        <family val="3"/>
        <charset val="134"/>
      </rPr>
      <t>完整性</t>
    </r>
    <phoneticPr fontId="5" type="noConversion"/>
  </si>
  <si>
    <t>准确性</t>
    <phoneticPr fontId="5" type="noConversion"/>
  </si>
  <si>
    <t>截止</t>
    <phoneticPr fontId="5" type="noConversion"/>
  </si>
  <si>
    <t>列报</t>
    <phoneticPr fontId="5" type="noConversion"/>
  </si>
  <si>
    <r>
      <t xml:space="preserve">B. </t>
    </r>
    <r>
      <rPr>
        <sz val="10"/>
        <rFont val="宋体"/>
        <family val="3"/>
        <charset val="134"/>
      </rPr>
      <t>所有应当记录的销售费用均已记录，所有应当包括在财务报表中的相关披露均已包括</t>
    </r>
    <phoneticPr fontId="5" type="noConversion"/>
  </si>
  <si>
    <r>
      <t xml:space="preserve">C. </t>
    </r>
    <r>
      <rPr>
        <sz val="10"/>
        <rFont val="宋体"/>
        <family val="3"/>
        <charset val="134"/>
      </rPr>
      <t>与销售费用有关的金额及其他数据已恰当记录，相关披露已得到恰当计量和描述</t>
    </r>
    <phoneticPr fontId="5" type="noConversion"/>
  </si>
  <si>
    <r>
      <t xml:space="preserve">D. </t>
    </r>
    <r>
      <rPr>
        <sz val="10"/>
        <rFont val="宋体"/>
        <family val="3"/>
        <charset val="134"/>
      </rPr>
      <t>销售费用已记录于正确的会计期间</t>
    </r>
    <phoneticPr fontId="5" type="noConversion"/>
  </si>
  <si>
    <r>
      <t xml:space="preserve">E. </t>
    </r>
    <r>
      <rPr>
        <sz val="10"/>
        <rFont val="宋体"/>
        <family val="3"/>
        <charset val="134"/>
      </rPr>
      <t>已被恰当地汇总或分解且表述清楚，相关披露在按照企业会计准则的编制基础下是相关的、可理解的</t>
    </r>
    <phoneticPr fontId="5" type="noConversion"/>
  </si>
  <si>
    <r>
      <rPr>
        <sz val="10"/>
        <rFont val="宋体"/>
        <family val="3"/>
        <charset val="134"/>
      </rPr>
      <t>会计期间：</t>
    </r>
    <r>
      <rPr>
        <sz val="10"/>
        <rFont val="Arial Narrow"/>
        <family val="2"/>
      </rPr>
      <t>202X</t>
    </r>
    <r>
      <rPr>
        <sz val="10"/>
        <rFont val="宋体"/>
        <family val="3"/>
        <charset val="134"/>
      </rPr>
      <t>年度</t>
    </r>
    <phoneticPr fontId="5" type="noConversion"/>
  </si>
  <si>
    <t>关于工作底稿与审计程序索引号对应的说明</t>
    <phoneticPr fontId="5" type="noConversion"/>
  </si>
  <si>
    <r>
      <t>1.</t>
    </r>
    <r>
      <rPr>
        <b/>
        <sz val="12"/>
        <rFont val="宋体"/>
        <family val="3"/>
        <charset val="134"/>
      </rPr>
      <t>编制的审计工作底稿应与审计程序对应。</t>
    </r>
    <r>
      <rPr>
        <sz val="10"/>
        <color theme="1"/>
        <rFont val="宋体"/>
        <family val="3"/>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5" type="noConversion"/>
  </si>
  <si>
    <r>
      <t>2.</t>
    </r>
    <r>
      <rPr>
        <b/>
        <sz val="12"/>
        <rFont val="宋体"/>
        <family val="3"/>
        <charset val="134"/>
      </rPr>
      <t>获取的支持性证据应与审计底稿或程序对应。</t>
    </r>
    <r>
      <rPr>
        <sz val="10"/>
        <color theme="1"/>
        <rFont val="宋体"/>
        <family val="3"/>
        <charset val="134"/>
        <scheme val="minor"/>
      </rPr>
      <t>审计项目组在完成底稿时获取的支持性证据应根据底稿索引号编制下一级按自然顺序排序的索引号（如</t>
    </r>
    <r>
      <rPr>
        <sz val="12"/>
        <rFont val="Arial Narrow"/>
        <family val="2"/>
      </rPr>
      <t>D1-2-1</t>
    </r>
    <r>
      <rPr>
        <sz val="10"/>
        <color theme="1"/>
        <rFont val="宋体"/>
        <family val="3"/>
        <charset val="134"/>
        <scheme val="minor"/>
      </rPr>
      <t>、</t>
    </r>
    <r>
      <rPr>
        <sz val="12"/>
        <rFont val="Arial Narrow"/>
        <family val="2"/>
      </rPr>
      <t>D1-2-2</t>
    </r>
    <r>
      <rPr>
        <sz val="10"/>
        <color theme="1"/>
        <rFont val="宋体"/>
        <family val="3"/>
        <charset val="134"/>
        <scheme val="minor"/>
      </rPr>
      <t>、</t>
    </r>
    <r>
      <rPr>
        <sz val="12"/>
        <rFont val="Arial Narrow"/>
        <family val="2"/>
      </rPr>
      <t>……</t>
    </r>
    <r>
      <rPr>
        <sz val="10"/>
        <color theme="1"/>
        <rFont val="宋体"/>
        <family val="3"/>
        <charset val="134"/>
        <scheme val="minor"/>
      </rPr>
      <t>），并在底稿中说明引用的支持性证据、关联索引号。</t>
    </r>
    <phoneticPr fontId="5" type="noConversion"/>
  </si>
  <si>
    <r>
      <rPr>
        <b/>
        <sz val="12"/>
        <rFont val="Arial Narrow"/>
        <family val="2"/>
      </rPr>
      <t>3.</t>
    </r>
    <r>
      <rPr>
        <b/>
        <sz val="12"/>
        <rFont val="宋体"/>
        <family val="3"/>
        <charset val="134"/>
      </rPr>
      <t>工作底稿索引号的编码规则：</t>
    </r>
    <r>
      <rPr>
        <sz val="10"/>
        <color theme="1"/>
        <rFont val="宋体"/>
        <family val="3"/>
        <charset val="134"/>
        <scheme val="minor"/>
      </rPr>
      <t>实质性程序索引号按循环从</t>
    </r>
    <r>
      <rPr>
        <sz val="12"/>
        <rFont val="Arial Narrow"/>
        <family val="2"/>
      </rPr>
      <t>“D”</t>
    </r>
    <r>
      <rPr>
        <sz val="10"/>
        <color theme="1"/>
        <rFont val="宋体"/>
        <family val="3"/>
        <charset val="134"/>
        <scheme val="minor"/>
      </rPr>
      <t>到</t>
    </r>
    <r>
      <rPr>
        <sz val="12"/>
        <rFont val="Arial Narrow"/>
        <family val="2"/>
      </rPr>
      <t>“N”,</t>
    </r>
    <r>
      <rPr>
        <sz val="10"/>
        <color theme="1"/>
        <rFont val="宋体"/>
        <family val="3"/>
        <charset val="134"/>
        <scheme val="minor"/>
      </rPr>
      <t>循环内账户以顺序号排列，模板中底稿索引号按账户顺序</t>
    </r>
    <r>
      <rPr>
        <sz val="12"/>
        <rFont val="Arial Narrow"/>
        <family val="2"/>
      </rPr>
      <t>+</t>
    </r>
    <r>
      <rPr>
        <sz val="10"/>
        <color theme="1"/>
        <rFont val="宋体"/>
        <family val="3"/>
        <charset val="134"/>
        <scheme val="minor"/>
      </rPr>
      <t>自然数顺序（即模板中索引号按二级自然顺序排列，如</t>
    </r>
    <r>
      <rPr>
        <sz val="12"/>
        <rFont val="Arial Narrow"/>
        <family val="2"/>
      </rPr>
      <t>D1-1</t>
    </r>
    <r>
      <rPr>
        <sz val="10"/>
        <color theme="1"/>
        <rFont val="宋体"/>
        <family val="3"/>
        <charset val="134"/>
        <scheme val="minor"/>
      </rPr>
      <t>、</t>
    </r>
    <r>
      <rPr>
        <sz val="12"/>
        <rFont val="Arial Narrow"/>
        <family val="2"/>
      </rPr>
      <t>D1-2</t>
    </r>
    <r>
      <rPr>
        <sz val="10"/>
        <color theme="1"/>
        <rFont val="宋体"/>
        <family val="3"/>
        <charset val="134"/>
        <scheme val="minor"/>
      </rPr>
      <t>、</t>
    </r>
    <r>
      <rPr>
        <sz val="12"/>
        <rFont val="Arial Narrow"/>
        <family val="2"/>
      </rPr>
      <t>D1-3</t>
    </r>
    <r>
      <rPr>
        <sz val="10"/>
        <color theme="1"/>
        <rFont val="宋体"/>
        <family val="3"/>
        <charset val="134"/>
        <scheme val="minor"/>
      </rPr>
      <t>、</t>
    </r>
    <r>
      <rPr>
        <sz val="12"/>
        <rFont val="Arial Narrow"/>
        <family val="2"/>
      </rPr>
      <t>……D1-N</t>
    </r>
    <r>
      <rPr>
        <sz val="10"/>
        <color theme="1"/>
        <rFont val="宋体"/>
        <family val="3"/>
        <charset val="134"/>
        <scheme val="minor"/>
      </rPr>
      <t>）。</t>
    </r>
    <phoneticPr fontId="5" type="noConversion"/>
  </si>
  <si>
    <t>根据被审计单位实际情况和风险评估情况裁剪、修改或增加审计程序</t>
    <phoneticPr fontId="5" type="noConversion"/>
  </si>
  <si>
    <t>审计程序</t>
    <phoneticPr fontId="61" type="noConversion"/>
  </si>
  <si>
    <t>随机选样/系统选样/货币单元抽样/随意选样（非统计抽样适用）</t>
    <phoneticPr fontId="5" type="noConversion"/>
  </si>
  <si>
    <t>项目</t>
    <phoneticPr fontId="57" type="noConversion"/>
  </si>
  <si>
    <t>本期发生额</t>
    <phoneticPr fontId="57" type="noConversion"/>
  </si>
  <si>
    <t>预算金额</t>
    <phoneticPr fontId="57" type="noConversion"/>
  </si>
  <si>
    <t>……</t>
    <phoneticPr fontId="57" type="noConversion"/>
  </si>
  <si>
    <t>占比</t>
    <phoneticPr fontId="57" type="noConversion"/>
  </si>
  <si>
    <t>销售费用</t>
    <phoneticPr fontId="57" type="noConversion"/>
  </si>
  <si>
    <t>（二）销售费用与预算及其他非财务数据对比分析表</t>
    <phoneticPr fontId="5" type="noConversion"/>
  </si>
  <si>
    <t>（三）销售费用指标分析表（与同行业数据比较）</t>
    <phoneticPr fontId="5" type="noConversion"/>
  </si>
  <si>
    <t>1.如果检查比例较低应扩大检查样本量或说明原因</t>
    <phoneticPr fontId="5" type="noConversion"/>
  </si>
  <si>
    <t>本期发生额</t>
    <phoneticPr fontId="5" type="noConversion"/>
  </si>
  <si>
    <t>检查比例</t>
    <phoneticPr fontId="5" type="noConversion"/>
  </si>
  <si>
    <t>2.为履行与客户的合同而发生的成本计入营业成本，例如产品的控制权转移给客户之前发生的运输费用、保险费等；</t>
    <phoneticPr fontId="31" type="noConversion"/>
  </si>
  <si>
    <t>1.本科目核算企业销售商品和材料、提供劳务的过程中发生的各种费用，包括保险费、包装费、展览费和广告费等以及为销售本企业商品而专设的销售机构(含销售网点、售后服务网点等)的职工薪酬、业务费、折旧费等经营费用；</t>
    <phoneticPr fontId="5" type="noConversion"/>
  </si>
  <si>
    <t>3.不符合固定资产资本化后续支出条件的固定资产日常修理费用，在发生时按照受益对象计入当期损益或计入相关资产的成本。与存货的生产和加工相关的固定资产日常修理费用按照存货成本确定原则进行处理，行政管理部门、企业专设的销售机构等发生的固定资产日常修理费用按照功能分类计入管理费用或销售费用。</t>
    <phoneticPr fontId="31" type="noConversion"/>
  </si>
  <si>
    <r>
      <t>4.</t>
    </r>
    <r>
      <rPr>
        <sz val="10"/>
        <rFont val="宋体"/>
        <family val="3"/>
        <charset val="134"/>
      </rPr>
      <t>关注：</t>
    </r>
    <phoneticPr fontId="31" type="noConversion"/>
  </si>
  <si>
    <t>（2）关注明细费用的变动情况是否和收入变动情况相匹配，与同行业情况和业务模式是否一致。</t>
    <phoneticPr fontId="5" type="noConversion"/>
  </si>
  <si>
    <t>（3）关注是否通过销售人员薪酬间接支付市场开拓费用、是否通过发票抵扣报销的形式支付人员薪酬。</t>
    <phoneticPr fontId="5" type="noConversion"/>
  </si>
  <si>
    <t>（4）关注销售费用中是否包含无法入账的费用支出。</t>
    <phoneticPr fontId="5" type="noConversion"/>
  </si>
  <si>
    <t>（1）关注是否存在关联方、潜在关联方代为承担成本、代垫费用的情形。</t>
    <phoneticPr fontId="5" type="noConversion"/>
  </si>
  <si>
    <t>比较分析</t>
    <phoneticPr fontId="5" type="noConversion"/>
  </si>
  <si>
    <t xml:space="preserve"> （5）根据《中国注册会计师审计准则问题解答第18号——识别和应对第三方配合实施财务舞弊》：关注第三方供应商虚增或虚减采购价格，套取资金支付账外成本费用，延迟或提前确认费用、第三方代为承担成本费用</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</si>
</sst>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3">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quot;$&quot;#,##0_);\(&quot;$&quot;#,##0\)"/>
    <numFmt numFmtId="186" formatCode="_-* #,##0_-;\-* #,##0_-;_-* &quot;-&quot;_-;_-@_-"/>
    <numFmt numFmtId="187" formatCode="_-* #,##0.00_-;\-* #,##0.00_-;_-* &quot;-&quot;??_-;_-@_-"/>
    <numFmt numFmtId="188" formatCode="_-&quot;$&quot;* #,##0_-;\-&quot;$&quot;* #,##0_-;_-&quot;$&quot;* &quot;-&quot;_-;_-@_-"/>
    <numFmt numFmtId="189" formatCode="_-&quot;$&quot;* #,##0.00_-;\-&quot;$&quot;* #,##0.00_-;_-&quot;$&quot;* &quot;-&quot;??_-;_-@_-"/>
    <numFmt numFmtId="190" formatCode="_([$€-2]* #,##0.00_);_([$€-2]* \(#,##0.00\);_([$€-2]* &quot;-&quot;??_)"/>
    <numFmt numFmtId="191" formatCode="&quot;\&quot;#,##0;[Red]&quot;\&quot;&quot;\&quot;\-#,##0"/>
    <numFmt numFmtId="192" formatCode="&quot;\&quot;#,##0.00;[Red]&quot;\&quot;&quot;\&quot;\-#,##0.00"/>
    <numFmt numFmtId="193" formatCode="&quot;\&quot;#,##0;&quot;\&quot;&quot;\&quot;\-#,##0"/>
    <numFmt numFmtId="194" formatCode="#,##0_ "/>
    <numFmt numFmtId="195" formatCode="0.0%"/>
    <numFmt numFmtId="196" formatCode="#,##0.00_);\(#,##0.00\)"/>
  </numFmts>
  <fonts count="86">
    <font>
      <sz val="10"/>
      <color theme="1"/>
      <name val="宋体"/>
      <charset val="134"/>
      <scheme val="minor"/>
    </font>
    <font>
      <sz val="11"/>
      <color theme="1"/>
      <name val="宋体"/>
      <family val="2"/>
      <charset val="134"/>
      <scheme val="minor"/>
    </font>
    <font>
      <sz val="11"/>
      <color theme="1"/>
      <name val="宋体"/>
      <family val="2"/>
      <scheme val="minor"/>
    </font>
    <font>
      <sz val="12"/>
      <name val="宋体"/>
      <family val="3"/>
      <charset val="134"/>
    </font>
    <font>
      <b/>
      <sz val="10"/>
      <name val="宋体"/>
      <family val="3"/>
      <charset val="134"/>
    </font>
    <font>
      <sz val="9"/>
      <name val="宋体"/>
      <family val="3"/>
      <charset val="134"/>
    </font>
    <font>
      <b/>
      <sz val="10"/>
      <name val="Arial Narrow"/>
      <family val="2"/>
    </font>
    <font>
      <sz val="12"/>
      <name val="Arial Narrow"/>
      <family val="2"/>
    </font>
    <font>
      <b/>
      <sz val="12"/>
      <name val="宋体"/>
      <family val="3"/>
      <charset val="134"/>
    </font>
    <font>
      <b/>
      <sz val="12"/>
      <name val="Arial Narrow"/>
      <family val="2"/>
    </font>
    <font>
      <sz val="10"/>
      <name val="Arial Narrow"/>
      <family val="2"/>
    </font>
    <font>
      <sz val="10"/>
      <name val="宋体"/>
      <family val="3"/>
      <charset val="134"/>
    </font>
    <font>
      <sz val="10"/>
      <color indexed="12"/>
      <name val="宋体"/>
      <family val="3"/>
      <charset val="134"/>
    </font>
    <font>
      <u/>
      <sz val="12"/>
      <color indexed="12"/>
      <name val="宋体"/>
      <family val="3"/>
      <charset val="134"/>
    </font>
    <font>
      <sz val="12"/>
      <name val="Times New Roman"/>
      <family val="1"/>
    </font>
    <font>
      <sz val="10"/>
      <name val="Times New Roman"/>
      <family val="1"/>
    </font>
    <font>
      <u val="singleAccounting"/>
      <vertAlign val="subscript"/>
      <sz val="10"/>
      <name val="Times New Roman"/>
      <family val="1"/>
    </font>
    <font>
      <i/>
      <sz val="9"/>
      <name val="Times New Roman"/>
      <family val="1"/>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0"/>
      <name val="Courier"/>
      <family val="3"/>
    </font>
    <font>
      <sz val="12"/>
      <name val="Garamond"/>
      <family val="1"/>
    </font>
    <font>
      <sz val="7"/>
      <color indexed="10"/>
      <name val="Helv"/>
      <family val="2"/>
    </font>
    <font>
      <sz val="12"/>
      <name val="楷体"/>
      <family val="3"/>
      <charset val="134"/>
    </font>
    <font>
      <sz val="12"/>
      <name val="楷体_GB2312"/>
      <family val="3"/>
      <charset val="134"/>
    </font>
    <font>
      <b/>
      <sz val="10"/>
      <color indexed="8"/>
      <name val="宋体"/>
      <family val="3"/>
      <charset val="134"/>
    </font>
    <font>
      <b/>
      <sz val="12"/>
      <color indexed="8"/>
      <name val="Arial Narrow"/>
      <family val="2"/>
    </font>
    <font>
      <sz val="9"/>
      <name val="宋体"/>
      <family val="3"/>
      <charset val="134"/>
    </font>
    <font>
      <sz val="18"/>
      <color indexed="48"/>
      <name val="魏碑"/>
      <family val="3"/>
      <charset val="134"/>
    </font>
    <font>
      <sz val="10"/>
      <color indexed="12"/>
      <name val="Arial Narrow"/>
      <family val="2"/>
    </font>
    <font>
      <b/>
      <sz val="10"/>
      <color indexed="8"/>
      <name val="Arial Narrow"/>
      <family val="2"/>
    </font>
    <font>
      <b/>
      <sz val="12"/>
      <color indexed="8"/>
      <name val="宋体"/>
      <family val="3"/>
      <charset val="134"/>
    </font>
    <font>
      <sz val="10"/>
      <color indexed="8"/>
      <name val="Arial Narrow"/>
      <family val="2"/>
    </font>
    <font>
      <sz val="10"/>
      <color indexed="8"/>
      <name val="宋体"/>
      <family val="3"/>
      <charset val="134"/>
    </font>
    <font>
      <b/>
      <u/>
      <sz val="10"/>
      <color indexed="10"/>
      <name val="Arial Narrow"/>
      <family val="2"/>
    </font>
    <font>
      <sz val="9"/>
      <name val="宋体"/>
      <family val="3"/>
      <charset val="134"/>
    </font>
    <font>
      <i/>
      <u/>
      <sz val="10"/>
      <color indexed="12"/>
      <name val="宋体"/>
      <family val="3"/>
      <charset val="134"/>
    </font>
    <font>
      <u/>
      <sz val="10"/>
      <name val="Arial Narrow"/>
      <family val="2"/>
    </font>
    <font>
      <u/>
      <sz val="10"/>
      <color indexed="12"/>
      <name val="宋体"/>
      <family val="3"/>
      <charset val="134"/>
    </font>
    <font>
      <sz val="12"/>
      <name val="仿宋_GB2312"/>
      <family val="3"/>
      <charset val="134"/>
    </font>
    <font>
      <sz val="10"/>
      <name val="宋体"/>
      <family val="3"/>
      <charset val="134"/>
    </font>
    <font>
      <b/>
      <sz val="10"/>
      <name val="宋体"/>
      <family val="3"/>
      <charset val="134"/>
    </font>
    <font>
      <b/>
      <sz val="10"/>
      <color indexed="10"/>
      <name val="Arial Narrow"/>
      <family val="2"/>
    </font>
    <font>
      <sz val="10"/>
      <color indexed="10"/>
      <name val="宋体"/>
      <family val="3"/>
      <charset val="134"/>
    </font>
    <font>
      <sz val="10"/>
      <color rgb="FFFF0000"/>
      <name val="宋体"/>
      <family val="3"/>
      <charset val="134"/>
      <scheme val="minor"/>
    </font>
    <font>
      <i/>
      <sz val="10"/>
      <color rgb="FFFF0000"/>
      <name val="宋体"/>
      <family val="3"/>
      <charset val="134"/>
    </font>
    <font>
      <b/>
      <sz val="10"/>
      <color rgb="FFFF0000"/>
      <name val="Arial Narrow"/>
      <family val="2"/>
    </font>
    <font>
      <sz val="10"/>
      <color theme="1"/>
      <name val="宋体"/>
      <family val="3"/>
      <charset val="134"/>
    </font>
    <font>
      <sz val="10"/>
      <color rgb="FFFF0000"/>
      <name val="宋体"/>
      <family val="3"/>
      <charset val="134"/>
    </font>
    <font>
      <b/>
      <sz val="10"/>
      <name val="宋体"/>
      <family val="3"/>
      <charset val="134"/>
      <scheme val="minor"/>
    </font>
    <font>
      <sz val="10"/>
      <color rgb="FFFF0000"/>
      <name val="Arial Narrow"/>
      <family val="2"/>
    </font>
    <font>
      <b/>
      <sz val="10"/>
      <color theme="1"/>
      <name val="宋体"/>
      <family val="3"/>
      <charset val="134"/>
    </font>
    <font>
      <b/>
      <sz val="14"/>
      <name val="宋体"/>
      <family val="3"/>
      <charset val="134"/>
    </font>
    <font>
      <sz val="9"/>
      <name val="宋体"/>
      <family val="3"/>
      <charset val="134"/>
      <scheme val="minor"/>
    </font>
    <font>
      <b/>
      <sz val="12"/>
      <color rgb="FF0000FF"/>
      <name val="Arial Narrow"/>
      <family val="2"/>
    </font>
    <font>
      <sz val="10"/>
      <name val="Arial Narrow"/>
      <family val="3"/>
      <charset val="134"/>
    </font>
    <font>
      <b/>
      <sz val="10"/>
      <name val="Arial"/>
      <family val="2"/>
    </font>
    <font>
      <sz val="9"/>
      <name val="宋体"/>
      <family val="2"/>
      <charset val="134"/>
      <scheme val="minor"/>
    </font>
    <font>
      <sz val="11"/>
      <color theme="1"/>
      <name val="宋体"/>
      <family val="3"/>
      <charset val="134"/>
      <scheme val="minor"/>
    </font>
    <font>
      <b/>
      <sz val="10"/>
      <color rgb="FFE92841"/>
      <name val="Arial Narrow"/>
      <family val="2"/>
    </font>
    <font>
      <sz val="12"/>
      <color indexed="12"/>
      <name val="仿宋_GB2312"/>
      <family val="3"/>
      <charset val="134"/>
    </font>
    <font>
      <b/>
      <sz val="12"/>
      <name val="宋体"/>
      <family val="3"/>
      <charset val="134"/>
      <scheme val="major"/>
    </font>
    <font>
      <b/>
      <u/>
      <sz val="10"/>
      <color indexed="12"/>
      <name val="宋体"/>
      <family val="3"/>
      <charset val="134"/>
      <scheme val="major"/>
    </font>
    <font>
      <b/>
      <sz val="10"/>
      <name val="宋体"/>
      <family val="3"/>
      <charset val="134"/>
      <scheme val="major"/>
    </font>
    <font>
      <sz val="10"/>
      <name val="仿宋_GB2312"/>
      <family val="3"/>
      <charset val="134"/>
    </font>
    <font>
      <sz val="10"/>
      <name val="宋体"/>
      <family val="3"/>
      <charset val="134"/>
      <scheme val="major"/>
    </font>
    <font>
      <sz val="10"/>
      <color rgb="FFFF0000"/>
      <name val="宋体"/>
      <family val="3"/>
      <charset val="134"/>
      <scheme val="major"/>
    </font>
    <font>
      <sz val="10"/>
      <color rgb="FF0000FF"/>
      <name val="宋体"/>
      <family val="3"/>
      <charset val="134"/>
      <scheme val="major"/>
    </font>
    <font>
      <b/>
      <sz val="10"/>
      <color rgb="FF000000"/>
      <name val="宋体"/>
      <family val="3"/>
      <charset val="134"/>
      <scheme val="major"/>
    </font>
    <font>
      <b/>
      <sz val="10"/>
      <color indexed="8"/>
      <name val="宋体"/>
      <family val="3"/>
      <charset val="134"/>
      <scheme val="major"/>
    </font>
    <font>
      <sz val="10"/>
      <color rgb="FF0000FF"/>
      <name val="宋体"/>
      <family val="3"/>
      <charset val="134"/>
    </font>
    <font>
      <sz val="10"/>
      <color rgb="FF0000FF"/>
      <name val="Arial Narrow"/>
      <family val="2"/>
    </font>
    <font>
      <b/>
      <sz val="10"/>
      <color rgb="FFFF0000"/>
      <name val="宋体"/>
      <family val="3"/>
      <charset val="134"/>
    </font>
    <font>
      <sz val="9"/>
      <color rgb="FF0000FF"/>
      <name val="Arial Narrow"/>
      <family val="2"/>
    </font>
    <font>
      <sz val="9"/>
      <color rgb="FF0000FF"/>
      <name val="宋体"/>
      <family val="3"/>
      <charset val="134"/>
    </font>
    <font>
      <b/>
      <sz val="12"/>
      <name val="宋体"/>
      <family val="3"/>
      <charset val="134"/>
      <scheme val="minor"/>
    </font>
    <font>
      <b/>
      <sz val="14"/>
      <name val="Arial Narrow"/>
      <family val="2"/>
    </font>
    <font>
      <b/>
      <sz val="14"/>
      <name val="宋体"/>
      <family val="3"/>
      <charset val="134"/>
      <scheme val="minor"/>
    </font>
    <font>
      <b/>
      <sz val="9"/>
      <color indexed="81"/>
      <name val="宋体"/>
      <family val="3"/>
      <charset val="134"/>
    </font>
    <font>
      <sz val="9"/>
      <color indexed="81"/>
      <name val="宋体"/>
      <family val="3"/>
      <charset val="134"/>
    </font>
    <font>
      <sz val="10"/>
      <color theme="1"/>
      <name val="宋体"/>
      <family val="3"/>
      <charset val="134"/>
      <scheme val="minor"/>
    </font>
    <font>
      <b/>
      <sz val="10"/>
      <color indexed="12"/>
      <name val="宋体"/>
      <family val="3"/>
      <charset val="134"/>
    </font>
  </fonts>
  <fills count="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7" tint="0.79998168889431442"/>
        <bgColor indexed="64"/>
      </patternFill>
    </fill>
    <fill>
      <patternFill patternType="solid">
        <fgColor rgb="FFE4DFEC"/>
        <bgColor indexed="64"/>
      </patternFill>
    </fill>
    <fill>
      <patternFill patternType="solid">
        <fgColor theme="0" tint="-0.14999847407452621"/>
        <bgColor indexed="64"/>
      </patternFill>
    </fill>
    <fill>
      <patternFill patternType="solid">
        <fgColor rgb="FFE4DFEC"/>
        <bgColor rgb="FFB7DEE8"/>
      </patternFill>
    </fill>
  </fills>
  <borders count="16">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top style="hair">
        <color indexed="64"/>
      </top>
      <bottom/>
      <diagonal/>
    </border>
    <border>
      <left/>
      <right/>
      <top/>
      <bottom style="hair">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medium">
        <color indexed="64"/>
      </top>
      <bottom style="medium">
        <color indexed="64"/>
      </bottom>
      <diagonal/>
    </border>
    <border>
      <left/>
      <right/>
      <top/>
      <bottom style="medium">
        <color indexed="64"/>
      </bottom>
      <diagonal/>
    </border>
    <border>
      <left/>
      <right/>
      <top style="medium">
        <color indexed="64"/>
      </top>
      <bottom/>
      <diagonal/>
    </border>
    <border>
      <left style="hair">
        <color indexed="64"/>
      </left>
      <right style="hair">
        <color indexed="64"/>
      </right>
      <top/>
      <bottom style="hair">
        <color indexed="64"/>
      </bottom>
      <diagonal/>
    </border>
  </borders>
  <cellStyleXfs count="65">
    <xf numFmtId="190" fontId="0" fillId="0" borderId="0">
      <alignment vertical="center"/>
    </xf>
    <xf numFmtId="49" fontId="15" fillId="0" borderId="0" applyProtection="0">
      <alignment horizontal="left"/>
    </xf>
    <xf numFmtId="176" fontId="15" fillId="0" borderId="0" applyFill="0" applyBorder="0" applyProtection="0">
      <alignment horizontal="right"/>
    </xf>
    <xf numFmtId="177" fontId="15" fillId="0" borderId="0" applyFill="0" applyBorder="0" applyProtection="0">
      <alignment horizontal="right"/>
    </xf>
    <xf numFmtId="178" fontId="16" fillId="0" borderId="0" applyFill="0" applyBorder="0" applyProtection="0">
      <alignment horizontal="center"/>
    </xf>
    <xf numFmtId="179" fontId="16" fillId="0" borderId="0" applyFill="0" applyBorder="0" applyProtection="0">
      <alignment horizontal="center"/>
    </xf>
    <xf numFmtId="180" fontId="17" fillId="0" borderId="0" applyFill="0" applyBorder="0" applyProtection="0">
      <alignment horizontal="right"/>
    </xf>
    <xf numFmtId="181" fontId="15" fillId="0" borderId="0" applyFill="0" applyBorder="0" applyProtection="0">
      <alignment horizontal="right"/>
    </xf>
    <xf numFmtId="182" fontId="15" fillId="0" borderId="0" applyFill="0" applyBorder="0" applyProtection="0">
      <alignment horizontal="right"/>
    </xf>
    <xf numFmtId="183" fontId="15" fillId="0" borderId="0" applyFill="0" applyBorder="0" applyProtection="0">
      <alignment horizontal="right"/>
    </xf>
    <xf numFmtId="184" fontId="15" fillId="0" borderId="0" applyFill="0" applyBorder="0" applyProtection="0">
      <alignment horizontal="right"/>
    </xf>
    <xf numFmtId="3" fontId="18" fillId="0" borderId="0"/>
    <xf numFmtId="185" fontId="19" fillId="0" borderId="1" applyAlignment="0" applyProtection="0"/>
    <xf numFmtId="186" fontId="20" fillId="0" borderId="0" applyFont="0" applyFill="0" applyBorder="0" applyAlignment="0" applyProtection="0"/>
    <xf numFmtId="187" fontId="20" fillId="0" borderId="0" applyFont="0" applyFill="0" applyBorder="0" applyAlignment="0" applyProtection="0"/>
    <xf numFmtId="188" fontId="20" fillId="0" borderId="0" applyFont="0" applyFill="0" applyBorder="0" applyAlignment="0" applyProtection="0"/>
    <xf numFmtId="189" fontId="20" fillId="0" borderId="0" applyFont="0" applyFill="0" applyBorder="0" applyAlignment="0" applyProtection="0"/>
    <xf numFmtId="41" fontId="20" fillId="0" borderId="0" applyFont="0" applyFill="0" applyBorder="0" applyAlignment="0" applyProtection="0"/>
    <xf numFmtId="43" fontId="20" fillId="0" borderId="0" applyFont="0" applyFill="0" applyBorder="0" applyAlignment="0" applyProtection="0"/>
    <xf numFmtId="190" fontId="15" fillId="0" borderId="0" applyFont="0" applyFill="0" applyBorder="0" applyAlignment="0" applyProtection="0"/>
    <xf numFmtId="190" fontId="21" fillId="0" borderId="0" applyNumberFormat="0" applyFill="0" applyBorder="0" applyAlignment="0" applyProtection="0">
      <alignment vertical="top"/>
      <protection locked="0"/>
    </xf>
    <xf numFmtId="38" fontId="22" fillId="2" borderId="0" applyNumberFormat="0" applyBorder="0" applyAlignment="0" applyProtection="0"/>
    <xf numFmtId="190" fontId="23" fillId="0" borderId="0" applyNumberFormat="0" applyFill="0" applyBorder="0" applyAlignment="0" applyProtection="0">
      <alignment vertical="top"/>
      <protection locked="0"/>
    </xf>
    <xf numFmtId="10" fontId="22" fillId="3" borderId="2" applyNumberFormat="0" applyBorder="0" applyAlignment="0" applyProtection="0"/>
    <xf numFmtId="191" fontId="3" fillId="0" borderId="0" applyFont="0" applyFill="0" applyBorder="0" applyAlignment="0" applyProtection="0"/>
    <xf numFmtId="192" fontId="3" fillId="0" borderId="0" applyFont="0" applyFill="0" applyBorder="0" applyAlignment="0" applyProtection="0"/>
    <xf numFmtId="190" fontId="24" fillId="0" borderId="0"/>
    <xf numFmtId="193" fontId="3" fillId="0" borderId="0"/>
    <xf numFmtId="190" fontId="25" fillId="0" borderId="0"/>
    <xf numFmtId="10" fontId="20" fillId="0" borderId="0" applyFont="0" applyFill="0" applyBorder="0" applyAlignment="0" applyProtection="0"/>
    <xf numFmtId="3" fontId="26" fillId="0" borderId="0"/>
    <xf numFmtId="9" fontId="3" fillId="0" borderId="0" applyFont="0" applyFill="0" applyBorder="0" applyAlignment="0" applyProtection="0"/>
    <xf numFmtId="190" fontId="3" fillId="0" borderId="0">
      <alignment vertical="center"/>
    </xf>
    <xf numFmtId="190" fontId="3" fillId="0" borderId="0">
      <protection locked="0"/>
    </xf>
    <xf numFmtId="190" fontId="3" fillId="0" borderId="0">
      <protection locked="0"/>
    </xf>
    <xf numFmtId="190" fontId="11" fillId="0" borderId="0"/>
    <xf numFmtId="190" fontId="3" fillId="0" borderId="0"/>
    <xf numFmtId="190" fontId="3" fillId="0" borderId="0">
      <alignment vertical="center"/>
    </xf>
    <xf numFmtId="190" fontId="3" fillId="0" borderId="0">
      <alignment vertical="center"/>
    </xf>
    <xf numFmtId="190" fontId="3" fillId="0" borderId="0">
      <alignment vertical="center"/>
    </xf>
    <xf numFmtId="190" fontId="14" fillId="0" borderId="0"/>
    <xf numFmtId="190" fontId="3" fillId="0" borderId="0"/>
    <xf numFmtId="190" fontId="3" fillId="0" borderId="0" applyFill="0" applyBorder="0"/>
    <xf numFmtId="190" fontId="3" fillId="0" borderId="0">
      <alignment vertical="center"/>
    </xf>
    <xf numFmtId="190" fontId="13" fillId="0" borderId="0" applyNumberFormat="0" applyFill="0" applyBorder="0" applyAlignment="0" applyProtection="0">
      <alignment vertical="top"/>
      <protection locked="0"/>
    </xf>
    <xf numFmtId="190" fontId="27" fillId="0" borderId="0"/>
    <xf numFmtId="41" fontId="3" fillId="0" borderId="0" applyFont="0" applyFill="0" applyBorder="0" applyAlignment="0" applyProtection="0"/>
    <xf numFmtId="43" fontId="3" fillId="0" borderId="0" applyFont="0" applyFill="0" applyBorder="0" applyAlignment="0" applyProtection="0"/>
    <xf numFmtId="41" fontId="28" fillId="0" borderId="0" applyFont="0" applyFill="0" applyBorder="0" applyAlignment="0" applyProtection="0"/>
    <xf numFmtId="43" fontId="28" fillId="0" borderId="0" applyFont="0" applyFill="0" applyBorder="0" applyAlignment="0" applyProtection="0"/>
    <xf numFmtId="43" fontId="3" fillId="0" borderId="0" applyFont="0" applyFill="0" applyBorder="0" applyAlignment="0" applyProtection="0"/>
    <xf numFmtId="190" fontId="2" fillId="0" borderId="0"/>
    <xf numFmtId="190" fontId="3" fillId="0" borderId="0">
      <protection locked="0"/>
    </xf>
    <xf numFmtId="190" fontId="62" fillId="0" borderId="0">
      <alignment vertical="center"/>
    </xf>
    <xf numFmtId="190" fontId="62" fillId="0" borderId="0">
      <alignment vertical="center"/>
    </xf>
    <xf numFmtId="190" fontId="3" fillId="0" borderId="0"/>
    <xf numFmtId="190" fontId="13" fillId="0" borderId="0" applyNumberFormat="0" applyFill="0" applyBorder="0" applyAlignment="0" applyProtection="0">
      <alignment vertical="top"/>
      <protection locked="0"/>
    </xf>
    <xf numFmtId="9" fontId="3" fillId="0" borderId="0" applyFont="0" applyFill="0" applyBorder="0" applyAlignment="0" applyProtection="0"/>
    <xf numFmtId="190" fontId="11" fillId="0" borderId="0">
      <alignment vertical="center"/>
    </xf>
    <xf numFmtId="190" fontId="42" fillId="0" borderId="0">
      <alignment vertical="top"/>
      <protection locked="0"/>
    </xf>
    <xf numFmtId="190" fontId="62" fillId="0" borderId="0">
      <alignment vertical="center"/>
    </xf>
    <xf numFmtId="190" fontId="3" fillId="0" borderId="0">
      <alignment vertical="center"/>
      <protection locked="0"/>
    </xf>
    <xf numFmtId="0" fontId="3" fillId="0" borderId="0">
      <protection locked="0"/>
    </xf>
    <xf numFmtId="190" fontId="3" fillId="0" borderId="0">
      <protection locked="0"/>
    </xf>
    <xf numFmtId="190" fontId="1" fillId="0" borderId="0">
      <alignment vertical="center"/>
    </xf>
  </cellStyleXfs>
  <cellXfs count="422">
    <xf numFmtId="190" fontId="0" fillId="0" borderId="0" xfId="0">
      <alignment vertical="center"/>
    </xf>
    <xf numFmtId="43" fontId="7" fillId="0" borderId="0" xfId="42" applyNumberFormat="1" applyFont="1" applyBorder="1" applyAlignment="1">
      <alignment vertical="center"/>
    </xf>
    <xf numFmtId="43" fontId="10" fillId="0" borderId="0" xfId="42" applyNumberFormat="1" applyFont="1" applyBorder="1" applyAlignment="1">
      <alignment vertical="center"/>
    </xf>
    <xf numFmtId="43" fontId="10" fillId="0" borderId="0" xfId="42" applyNumberFormat="1" applyFont="1" applyBorder="1" applyAlignment="1">
      <alignment horizontal="left" vertical="center"/>
    </xf>
    <xf numFmtId="49" fontId="10" fillId="0" borderId="0" xfId="42" applyNumberFormat="1" applyFont="1" applyBorder="1" applyAlignment="1">
      <alignment vertical="center"/>
    </xf>
    <xf numFmtId="43" fontId="6" fillId="0" borderId="0" xfId="42" applyNumberFormat="1" applyFont="1" applyBorder="1" applyAlignment="1">
      <alignment vertical="center"/>
    </xf>
    <xf numFmtId="190" fontId="7" fillId="0" borderId="0" xfId="39" applyFont="1">
      <alignment vertical="center"/>
    </xf>
    <xf numFmtId="190" fontId="10" fillId="0" borderId="0" xfId="33" applyFont="1" applyAlignment="1">
      <alignment vertical="center"/>
      <protection locked="0"/>
    </xf>
    <xf numFmtId="190" fontId="11" fillId="0" borderId="0" xfId="33" applyFont="1" applyAlignment="1">
      <alignment vertical="center"/>
      <protection locked="0"/>
    </xf>
    <xf numFmtId="190" fontId="6" fillId="0" borderId="0" xfId="33" applyFont="1" applyAlignment="1">
      <alignment horizontal="center" vertical="center" wrapText="1"/>
      <protection locked="0"/>
    </xf>
    <xf numFmtId="43" fontId="10" fillId="0" borderId="3" xfId="50" applyFont="1" applyBorder="1" applyAlignment="1">
      <alignment vertical="center"/>
    </xf>
    <xf numFmtId="43" fontId="6" fillId="0" borderId="3" xfId="50" applyFont="1" applyBorder="1" applyAlignment="1">
      <alignment vertical="center"/>
    </xf>
    <xf numFmtId="195" fontId="10" fillId="0" borderId="3" xfId="31" applyNumberFormat="1" applyFont="1" applyBorder="1" applyAlignment="1">
      <alignment horizontal="center" vertical="center"/>
    </xf>
    <xf numFmtId="195" fontId="6" fillId="0" borderId="3" xfId="31" applyNumberFormat="1" applyFont="1" applyBorder="1" applyAlignment="1">
      <alignment horizontal="center" vertical="center"/>
    </xf>
    <xf numFmtId="190" fontId="7" fillId="0" borderId="0" xfId="33" applyFont="1" applyAlignment="1">
      <alignment vertical="center"/>
      <protection locked="0"/>
    </xf>
    <xf numFmtId="190" fontId="10" fillId="0" borderId="4" xfId="33" applyFont="1" applyBorder="1" applyAlignment="1">
      <alignment vertical="center"/>
      <protection locked="0"/>
    </xf>
    <xf numFmtId="43" fontId="12" fillId="0" borderId="0" xfId="42" applyNumberFormat="1" applyFont="1" applyBorder="1" applyAlignment="1">
      <alignment vertical="center"/>
    </xf>
    <xf numFmtId="43" fontId="6" fillId="0" borderId="5" xfId="50" applyFont="1" applyBorder="1" applyAlignment="1">
      <alignment vertical="center"/>
    </xf>
    <xf numFmtId="195" fontId="6" fillId="0" borderId="5" xfId="31" applyNumberFormat="1" applyFont="1" applyBorder="1" applyAlignment="1">
      <alignment horizontal="center" vertical="center"/>
    </xf>
    <xf numFmtId="43" fontId="6" fillId="0" borderId="4" xfId="50" applyFont="1" applyBorder="1" applyAlignment="1">
      <alignment vertical="center"/>
    </xf>
    <xf numFmtId="195" fontId="6" fillId="0" borderId="4" xfId="31" applyNumberFormat="1" applyFont="1" applyBorder="1" applyAlignment="1">
      <alignment horizontal="center" vertical="center"/>
    </xf>
    <xf numFmtId="195" fontId="6" fillId="0" borderId="0" xfId="31" applyNumberFormat="1" applyFont="1" applyBorder="1" applyAlignment="1">
      <alignment horizontal="center" vertical="center"/>
    </xf>
    <xf numFmtId="190" fontId="11" fillId="0" borderId="0" xfId="33" applyFont="1" applyAlignment="1">
      <alignment horizontal="right" vertical="center"/>
      <protection locked="0"/>
    </xf>
    <xf numFmtId="190" fontId="4" fillId="0" borderId="0" xfId="41" applyFont="1" applyAlignment="1">
      <alignment vertical="center"/>
    </xf>
    <xf numFmtId="190" fontId="6" fillId="0" borderId="0" xfId="41" applyFont="1" applyAlignment="1">
      <alignment vertical="center"/>
    </xf>
    <xf numFmtId="190" fontId="10" fillId="0" borderId="0" xfId="41" applyFont="1" applyAlignment="1" applyProtection="1">
      <alignment vertical="center"/>
      <protection locked="0"/>
    </xf>
    <xf numFmtId="190" fontId="33" fillId="0" borderId="0" xfId="41" applyFont="1" applyAlignment="1" applyProtection="1">
      <alignment horizontal="center" vertical="center"/>
      <protection hidden="1"/>
    </xf>
    <xf numFmtId="190" fontId="10" fillId="0" borderId="0" xfId="41" applyFont="1" applyAlignment="1" applyProtection="1">
      <alignment horizontal="left" vertical="center"/>
      <protection hidden="1"/>
    </xf>
    <xf numFmtId="190" fontId="33" fillId="0" borderId="0" xfId="41" applyFont="1" applyAlignment="1" applyProtection="1">
      <alignment horizontal="left" vertical="center"/>
      <protection locked="0"/>
    </xf>
    <xf numFmtId="190" fontId="10" fillId="0" borderId="3" xfId="33" applyFont="1" applyBorder="1" applyAlignment="1">
      <alignment horizontal="center" vertical="center" wrapText="1"/>
      <protection locked="0"/>
    </xf>
    <xf numFmtId="43" fontId="10" fillId="0" borderId="3" xfId="33" applyNumberFormat="1" applyFont="1" applyBorder="1" applyAlignment="1">
      <alignment horizontal="center" vertical="center"/>
      <protection locked="0"/>
    </xf>
    <xf numFmtId="190" fontId="9" fillId="0" borderId="0" xfId="33" applyFont="1" applyAlignment="1">
      <alignment vertical="center"/>
      <protection locked="0"/>
    </xf>
    <xf numFmtId="190" fontId="10" fillId="0" borderId="0" xfId="33" applyFont="1" applyAlignment="1">
      <alignment horizontal="left" vertical="center"/>
      <protection locked="0"/>
    </xf>
    <xf numFmtId="190" fontId="11" fillId="0" borderId="0" xfId="33" applyFont="1" applyAlignment="1">
      <alignment horizontal="left" vertical="center"/>
      <protection locked="0"/>
    </xf>
    <xf numFmtId="190" fontId="4" fillId="0" borderId="0" xfId="41" applyFont="1" applyAlignment="1">
      <alignment horizontal="left" vertical="center"/>
    </xf>
    <xf numFmtId="190" fontId="6" fillId="0" borderId="0" xfId="41" applyFont="1" applyAlignment="1">
      <alignment horizontal="left" vertical="center"/>
    </xf>
    <xf numFmtId="190" fontId="10" fillId="0" borderId="5" xfId="41" applyFont="1" applyBorder="1" applyAlignment="1" applyProtection="1">
      <alignment vertical="center"/>
      <protection locked="0"/>
    </xf>
    <xf numFmtId="190" fontId="10" fillId="0" borderId="3" xfId="33" applyFont="1" applyBorder="1" applyAlignment="1">
      <alignment horizontal="left" vertical="center"/>
      <protection locked="0"/>
    </xf>
    <xf numFmtId="190" fontId="10" fillId="0" borderId="3" xfId="33" applyFont="1" applyBorder="1" applyAlignment="1">
      <alignment vertical="center" wrapText="1"/>
      <protection locked="0"/>
    </xf>
    <xf numFmtId="190" fontId="10" fillId="0" borderId="0" xfId="33" applyFont="1" applyAlignment="1">
      <alignment horizontal="center" vertical="center"/>
      <protection locked="0"/>
    </xf>
    <xf numFmtId="190" fontId="6" fillId="0" borderId="0" xfId="33" applyFont="1" applyAlignment="1">
      <alignment vertical="center"/>
      <protection locked="0"/>
    </xf>
    <xf numFmtId="190" fontId="6" fillId="0" borderId="0" xfId="33" applyFont="1" applyAlignment="1">
      <alignment horizontal="left" vertical="center"/>
      <protection locked="0"/>
    </xf>
    <xf numFmtId="190" fontId="30" fillId="0" borderId="0" xfId="0" applyFont="1" applyAlignment="1">
      <alignment horizontal="left" vertical="center"/>
    </xf>
    <xf numFmtId="190" fontId="34" fillId="0" borderId="0" xfId="0" applyFont="1" applyAlignment="1">
      <alignment horizontal="left" vertical="center"/>
    </xf>
    <xf numFmtId="190" fontId="34" fillId="0" borderId="0" xfId="0" applyFont="1" applyAlignment="1">
      <alignment horizontal="center" vertical="center"/>
    </xf>
    <xf numFmtId="190" fontId="34" fillId="0" borderId="2" xfId="0" applyFont="1" applyBorder="1" applyAlignment="1">
      <alignment horizontal="center" vertical="center"/>
    </xf>
    <xf numFmtId="190" fontId="36" fillId="0" borderId="0" xfId="0" applyFont="1">
      <alignment vertical="center"/>
    </xf>
    <xf numFmtId="190" fontId="34" fillId="0" borderId="2" xfId="0" applyFont="1" applyBorder="1">
      <alignment vertical="center"/>
    </xf>
    <xf numFmtId="190" fontId="36" fillId="0" borderId="2" xfId="0" applyFont="1" applyBorder="1">
      <alignment vertical="center"/>
    </xf>
    <xf numFmtId="190" fontId="36" fillId="0" borderId="0" xfId="0" applyFont="1" applyAlignment="1">
      <alignment horizontal="center" vertical="center"/>
    </xf>
    <xf numFmtId="43" fontId="10" fillId="0" borderId="0" xfId="42" applyNumberFormat="1" applyFont="1" applyFill="1" applyBorder="1" applyAlignment="1">
      <alignment vertical="center"/>
    </xf>
    <xf numFmtId="190" fontId="34" fillId="0" borderId="0" xfId="33" applyFont="1" applyAlignment="1" applyProtection="1">
      <alignment vertical="center"/>
    </xf>
    <xf numFmtId="190" fontId="38" fillId="0" borderId="0" xfId="33" applyFont="1" applyAlignment="1" applyProtection="1">
      <alignment horizontal="center"/>
    </xf>
    <xf numFmtId="190" fontId="10" fillId="0" borderId="0" xfId="33" applyFont="1" applyAlignment="1">
      <alignment vertical="center" wrapText="1"/>
      <protection locked="0"/>
    </xf>
    <xf numFmtId="190" fontId="10" fillId="0" borderId="0" xfId="33" applyFont="1" applyAlignment="1">
      <alignment horizontal="right" vertical="center"/>
      <protection locked="0"/>
    </xf>
    <xf numFmtId="190" fontId="10" fillId="0" borderId="0" xfId="33" applyFont="1" applyAlignment="1">
      <alignment horizontal="justify" vertical="center" wrapText="1"/>
      <protection locked="0"/>
    </xf>
    <xf numFmtId="190" fontId="6" fillId="0" borderId="0" xfId="33" applyFont="1" applyAlignment="1" applyProtection="1">
      <alignment horizontal="right" vertical="center"/>
    </xf>
    <xf numFmtId="190" fontId="11" fillId="0" borderId="0" xfId="33" applyFont="1" applyAlignment="1" applyProtection="1">
      <alignment vertical="center"/>
    </xf>
    <xf numFmtId="190" fontId="6" fillId="0" borderId="0" xfId="33" applyFont="1" applyAlignment="1" applyProtection="1">
      <alignment horizontal="left" vertical="center"/>
    </xf>
    <xf numFmtId="190" fontId="10" fillId="0" borderId="0" xfId="43" applyFont="1">
      <alignment vertical="center"/>
    </xf>
    <xf numFmtId="43" fontId="50" fillId="0" borderId="3" xfId="50" applyFont="1" applyBorder="1" applyAlignment="1">
      <alignment vertical="center"/>
    </xf>
    <xf numFmtId="190" fontId="10" fillId="0" borderId="0" xfId="33" applyFont="1" applyAlignment="1" applyProtection="1">
      <alignment horizontal="right" vertical="center"/>
    </xf>
    <xf numFmtId="43" fontId="4" fillId="0" borderId="0" xfId="50" applyFont="1" applyBorder="1" applyAlignment="1">
      <alignment vertical="center"/>
    </xf>
    <xf numFmtId="43" fontId="11" fillId="0" borderId="0" xfId="50" applyFont="1" applyBorder="1" applyAlignment="1">
      <alignment vertical="center"/>
    </xf>
    <xf numFmtId="190" fontId="11" fillId="0" borderId="0" xfId="41" applyFont="1" applyAlignment="1">
      <alignment vertical="center"/>
    </xf>
    <xf numFmtId="190" fontId="6" fillId="0" borderId="4" xfId="33" applyFont="1" applyBorder="1" applyAlignment="1">
      <alignment vertical="center"/>
      <protection locked="0"/>
    </xf>
    <xf numFmtId="190" fontId="4" fillId="5" borderId="3" xfId="36" applyFont="1" applyFill="1" applyBorder="1" applyAlignment="1" applyProtection="1">
      <alignment horizontal="center" vertical="center" wrapText="1"/>
      <protection locked="0"/>
    </xf>
    <xf numFmtId="190" fontId="4" fillId="5" borderId="3" xfId="34" applyFont="1" applyFill="1" applyBorder="1" applyAlignment="1">
      <alignment horizontal="center" vertical="center"/>
      <protection locked="0"/>
    </xf>
    <xf numFmtId="190" fontId="29" fillId="5" borderId="3" xfId="34" applyFont="1" applyFill="1" applyBorder="1" applyAlignment="1">
      <alignment horizontal="center" vertical="center" wrapText="1"/>
      <protection locked="0"/>
    </xf>
    <xf numFmtId="190" fontId="34" fillId="0" borderId="3" xfId="0" applyFont="1" applyBorder="1">
      <alignment vertical="center"/>
    </xf>
    <xf numFmtId="190" fontId="10" fillId="0" borderId="0" xfId="40" applyFont="1" applyAlignment="1">
      <alignment vertical="center"/>
    </xf>
    <xf numFmtId="190" fontId="10" fillId="0" borderId="6" xfId="40" applyFont="1" applyBorder="1" applyAlignment="1">
      <alignment vertical="center"/>
    </xf>
    <xf numFmtId="190" fontId="10" fillId="0" borderId="0" xfId="40" applyFont="1" applyAlignment="1">
      <alignment horizontal="left" vertical="center"/>
    </xf>
    <xf numFmtId="43" fontId="40" fillId="0" borderId="0" xfId="44" applyNumberFormat="1" applyFont="1" applyBorder="1" applyAlignment="1" applyProtection="1">
      <alignment horizontal="center" vertical="center"/>
    </xf>
    <xf numFmtId="190" fontId="4" fillId="0" borderId="7" xfId="40" applyFont="1" applyBorder="1" applyAlignment="1">
      <alignment vertical="center"/>
    </xf>
    <xf numFmtId="43" fontId="10" fillId="0" borderId="4" xfId="42" applyNumberFormat="1" applyFont="1" applyBorder="1" applyAlignment="1">
      <alignment horizontal="left" vertical="center"/>
    </xf>
    <xf numFmtId="43" fontId="10" fillId="0" borderId="4" xfId="42" applyNumberFormat="1" applyFont="1" applyBorder="1" applyAlignment="1">
      <alignment vertical="center"/>
    </xf>
    <xf numFmtId="190" fontId="11" fillId="0" borderId="0" xfId="40" applyFont="1" applyAlignment="1">
      <alignment vertical="center"/>
    </xf>
    <xf numFmtId="9" fontId="41" fillId="0" borderId="0" xfId="31" applyFont="1" applyBorder="1" applyAlignment="1">
      <alignment horizontal="left" vertical="center"/>
    </xf>
    <xf numFmtId="190" fontId="11" fillId="0" borderId="0" xfId="40" applyFont="1" applyAlignment="1">
      <alignment horizontal="left" vertical="center"/>
    </xf>
    <xf numFmtId="190" fontId="4" fillId="0" borderId="0" xfId="40" applyFont="1" applyAlignment="1">
      <alignment vertical="center"/>
    </xf>
    <xf numFmtId="190" fontId="6" fillId="5" borderId="3" xfId="33" applyFont="1" applyFill="1" applyBorder="1" applyAlignment="1">
      <alignment horizontal="center" vertical="center"/>
      <protection locked="0"/>
    </xf>
    <xf numFmtId="194" fontId="10" fillId="5" borderId="3" xfId="38" applyNumberFormat="1" applyFont="1" applyFill="1" applyBorder="1" applyAlignment="1">
      <alignment horizontal="left" vertical="center" shrinkToFit="1"/>
    </xf>
    <xf numFmtId="190" fontId="4" fillId="0" borderId="4" xfId="33" applyFont="1" applyBorder="1" applyAlignment="1">
      <alignment vertical="center"/>
      <protection locked="0"/>
    </xf>
    <xf numFmtId="190" fontId="4" fillId="0" borderId="0" xfId="33" applyFont="1" applyAlignment="1">
      <alignment vertical="center"/>
      <protection locked="0"/>
    </xf>
    <xf numFmtId="190" fontId="11" fillId="0" borderId="0" xfId="43" applyFont="1">
      <alignment vertical="center"/>
    </xf>
    <xf numFmtId="190" fontId="37" fillId="0" borderId="0" xfId="0" applyFont="1" applyAlignment="1">
      <alignment horizontal="left" vertical="center"/>
    </xf>
    <xf numFmtId="190" fontId="51" fillId="0" borderId="0" xfId="41" applyFont="1" applyAlignment="1">
      <alignment vertical="center"/>
    </xf>
    <xf numFmtId="190" fontId="6" fillId="5" borderId="9" xfId="33" applyFont="1" applyFill="1" applyBorder="1" applyAlignment="1">
      <alignment horizontal="centerContinuous" vertical="center"/>
      <protection locked="0"/>
    </xf>
    <xf numFmtId="190" fontId="6" fillId="5" borderId="10" xfId="33" applyFont="1" applyFill="1" applyBorder="1" applyAlignment="1">
      <alignment horizontal="centerContinuous" vertical="center"/>
      <protection locked="0"/>
    </xf>
    <xf numFmtId="190" fontId="6" fillId="5" borderId="11" xfId="33" applyFont="1" applyFill="1" applyBorder="1" applyAlignment="1">
      <alignment horizontal="centerContinuous" vertical="center"/>
      <protection locked="0"/>
    </xf>
    <xf numFmtId="190" fontId="10" fillId="0" borderId="0" xfId="41" applyFont="1" applyAlignment="1">
      <alignment vertical="center"/>
    </xf>
    <xf numFmtId="190" fontId="4" fillId="0" borderId="5" xfId="41" applyFont="1" applyBorder="1" applyAlignment="1">
      <alignment vertical="center"/>
    </xf>
    <xf numFmtId="190" fontId="6" fillId="0" borderId="0" xfId="0" applyFont="1" applyProtection="1">
      <alignment vertical="center"/>
      <protection locked="0"/>
    </xf>
    <xf numFmtId="14" fontId="10" fillId="0" borderId="0" xfId="42" applyNumberFormat="1" applyFont="1" applyBorder="1" applyAlignment="1">
      <alignment horizontal="left" vertical="center"/>
    </xf>
    <xf numFmtId="194" fontId="52" fillId="0" borderId="3" xfId="38" applyNumberFormat="1" applyFont="1" applyBorder="1" applyAlignment="1">
      <alignment horizontal="left" vertical="center" shrinkToFit="1"/>
    </xf>
    <xf numFmtId="194" fontId="44" fillId="0" borderId="3" xfId="38" applyNumberFormat="1" applyFont="1" applyBorder="1" applyAlignment="1">
      <alignment horizontal="left" vertical="center" shrinkToFit="1"/>
    </xf>
    <xf numFmtId="194" fontId="48" fillId="0" borderId="3" xfId="38" applyNumberFormat="1" applyFont="1" applyBorder="1" applyAlignment="1">
      <alignment horizontal="left" vertical="center" shrinkToFit="1"/>
    </xf>
    <xf numFmtId="194" fontId="11" fillId="0" borderId="3" xfId="38" applyNumberFormat="1" applyFont="1" applyBorder="1" applyAlignment="1">
      <alignment horizontal="left" vertical="center" shrinkToFit="1"/>
    </xf>
    <xf numFmtId="190" fontId="45" fillId="5" borderId="3" xfId="33" applyFont="1" applyFill="1" applyBorder="1" applyAlignment="1">
      <alignment horizontal="center" vertical="center" wrapText="1"/>
      <protection locked="0"/>
    </xf>
    <xf numFmtId="14" fontId="10" fillId="0" borderId="0" xfId="33" applyNumberFormat="1" applyFont="1" applyAlignment="1">
      <alignment vertical="center"/>
      <protection locked="0"/>
    </xf>
    <xf numFmtId="43" fontId="10" fillId="0" borderId="3" xfId="50" applyFont="1" applyBorder="1" applyAlignment="1" applyProtection="1">
      <alignment horizontal="left" vertical="center"/>
      <protection locked="0"/>
    </xf>
    <xf numFmtId="14" fontId="10" fillId="0" borderId="3" xfId="33" applyNumberFormat="1" applyFont="1" applyBorder="1" applyAlignment="1">
      <alignment horizontal="left" vertical="center"/>
      <protection locked="0"/>
    </xf>
    <xf numFmtId="190" fontId="10" fillId="0" borderId="0" xfId="33" applyFont="1" applyAlignment="1" applyProtection="1">
      <alignment vertical="center"/>
    </xf>
    <xf numFmtId="190" fontId="6" fillId="5" borderId="3" xfId="32" applyFont="1" applyFill="1" applyBorder="1" applyAlignment="1">
      <alignment horizontal="center" vertical="center" wrapText="1"/>
    </xf>
    <xf numFmtId="190" fontId="54" fillId="0" borderId="3" xfId="32" applyFont="1" applyBorder="1">
      <alignment vertical="center"/>
    </xf>
    <xf numFmtId="190" fontId="10" fillId="0" borderId="3" xfId="32" applyFont="1" applyBorder="1">
      <alignment vertical="center"/>
    </xf>
    <xf numFmtId="190" fontId="6" fillId="0" borderId="3" xfId="32" applyFont="1" applyBorder="1">
      <alignment vertical="center"/>
    </xf>
    <xf numFmtId="190" fontId="7" fillId="0" borderId="0" xfId="33" applyFont="1" applyProtection="1"/>
    <xf numFmtId="43" fontId="36" fillId="0" borderId="3" xfId="50" applyFont="1" applyFill="1" applyBorder="1" applyAlignment="1">
      <alignment horizontal="right" vertical="center"/>
    </xf>
    <xf numFmtId="190" fontId="6" fillId="0" borderId="0" xfId="33" applyFont="1" applyAlignment="1">
      <alignment horizontal="justify" vertical="center"/>
      <protection locked="0"/>
    </xf>
    <xf numFmtId="190" fontId="11" fillId="0" borderId="3" xfId="33" applyFont="1" applyBorder="1" applyAlignment="1">
      <alignment horizontal="center" vertical="center" wrapText="1"/>
      <protection locked="0"/>
    </xf>
    <xf numFmtId="190" fontId="6" fillId="0" borderId="0" xfId="43" applyFont="1">
      <alignment vertical="center"/>
    </xf>
    <xf numFmtId="49" fontId="6" fillId="0" borderId="0" xfId="43" applyNumberFormat="1" applyFont="1" applyAlignment="1">
      <alignment horizontal="left" vertical="center"/>
    </xf>
    <xf numFmtId="190" fontId="6" fillId="0" borderId="0" xfId="33" applyFont="1" applyAlignment="1">
      <alignment horizontal="left" vertical="center" wrapText="1"/>
      <protection locked="0"/>
    </xf>
    <xf numFmtId="190" fontId="51" fillId="0" borderId="0" xfId="33" applyFont="1" applyAlignment="1" applyProtection="1">
      <alignment horizontal="center" vertical="center" wrapText="1"/>
    </xf>
    <xf numFmtId="190" fontId="10" fillId="0" borderId="0" xfId="33" applyFont="1" applyAlignment="1">
      <alignment horizontal="center" vertical="center" wrapText="1"/>
      <protection locked="0"/>
    </xf>
    <xf numFmtId="190" fontId="58" fillId="0" borderId="0" xfId="43" applyFont="1">
      <alignment vertical="center"/>
    </xf>
    <xf numFmtId="49" fontId="10" fillId="0" borderId="0" xfId="43" applyNumberFormat="1" applyFont="1" applyAlignment="1">
      <alignment horizontal="left" vertical="center"/>
    </xf>
    <xf numFmtId="190" fontId="59" fillId="0" borderId="0" xfId="33" applyFont="1" applyAlignment="1">
      <alignment vertical="center"/>
      <protection locked="0"/>
    </xf>
    <xf numFmtId="190" fontId="60" fillId="0" borderId="0" xfId="43" applyFont="1">
      <alignment vertical="center"/>
    </xf>
    <xf numFmtId="190" fontId="4" fillId="5" borderId="3" xfId="32" applyFont="1" applyFill="1" applyBorder="1" applyAlignment="1">
      <alignment horizontal="center" vertical="center" wrapText="1"/>
    </xf>
    <xf numFmtId="190" fontId="53" fillId="5" borderId="3" xfId="32" applyFont="1" applyFill="1" applyBorder="1" applyAlignment="1">
      <alignment horizontal="center" vertical="center" wrapText="1"/>
    </xf>
    <xf numFmtId="190" fontId="3" fillId="0" borderId="0" xfId="52">
      <protection locked="0"/>
    </xf>
    <xf numFmtId="43" fontId="43" fillId="0" borderId="0" xfId="42" applyNumberFormat="1" applyFont="1" applyFill="1" applyBorder="1" applyAlignment="1">
      <alignment vertical="center"/>
    </xf>
    <xf numFmtId="190" fontId="46" fillId="0" borderId="0" xfId="54" applyFont="1">
      <alignment vertical="center"/>
    </xf>
    <xf numFmtId="190" fontId="29" fillId="5" borderId="3" xfId="52" applyFont="1" applyFill="1" applyBorder="1" applyAlignment="1" applyProtection="1">
      <alignment vertical="center"/>
    </xf>
    <xf numFmtId="190" fontId="4" fillId="5" borderId="3" xfId="55" applyFont="1" applyFill="1" applyBorder="1" applyAlignment="1" applyProtection="1">
      <alignment horizontal="center" vertical="center" wrapText="1"/>
      <protection locked="0"/>
    </xf>
    <xf numFmtId="190" fontId="63" fillId="5" borderId="3" xfId="55" applyFont="1" applyFill="1" applyBorder="1" applyAlignment="1" applyProtection="1">
      <alignment horizontal="center" vertical="center" wrapText="1"/>
      <protection locked="0"/>
    </xf>
    <xf numFmtId="190" fontId="37" fillId="0" borderId="3" xfId="52" applyFont="1" applyBorder="1" applyAlignment="1" applyProtection="1">
      <alignment vertical="center"/>
    </xf>
    <xf numFmtId="190" fontId="11" fillId="0" borderId="3" xfId="52" applyFont="1" applyBorder="1" applyAlignment="1" applyProtection="1">
      <alignment vertical="center"/>
    </xf>
    <xf numFmtId="190" fontId="52" fillId="0" borderId="3" xfId="52" applyFont="1" applyBorder="1" applyAlignment="1" applyProtection="1">
      <alignment horizontal="left" vertical="center" indent="1"/>
    </xf>
    <xf numFmtId="190" fontId="34" fillId="0" borderId="3" xfId="52" applyFont="1" applyBorder="1" applyAlignment="1" applyProtection="1">
      <alignment horizontal="center" vertical="center"/>
    </xf>
    <xf numFmtId="190" fontId="6" fillId="0" borderId="0" xfId="40" applyFont="1" applyAlignment="1">
      <alignment vertical="center"/>
    </xf>
    <xf numFmtId="190" fontId="29" fillId="5" borderId="3" xfId="0" applyFont="1" applyFill="1" applyBorder="1" applyAlignment="1">
      <alignment horizontal="center" vertical="center"/>
    </xf>
    <xf numFmtId="43" fontId="65" fillId="0" borderId="0" xfId="58" applyNumberFormat="1" applyFont="1">
      <alignment vertical="center"/>
    </xf>
    <xf numFmtId="43" fontId="66" fillId="0" borderId="0" xfId="59" applyNumberFormat="1" applyFont="1" applyAlignment="1" applyProtection="1">
      <alignment horizontal="center" vertical="center"/>
    </xf>
    <xf numFmtId="43" fontId="67" fillId="0" borderId="0" xfId="58" applyNumberFormat="1" applyFont="1">
      <alignment vertical="center"/>
    </xf>
    <xf numFmtId="43" fontId="11" fillId="0" borderId="0" xfId="58" applyNumberFormat="1">
      <alignment vertical="center"/>
    </xf>
    <xf numFmtId="43" fontId="68" fillId="0" borderId="0" xfId="58" applyNumberFormat="1" applyFont="1">
      <alignment vertical="center"/>
    </xf>
    <xf numFmtId="43" fontId="11" fillId="0" borderId="0" xfId="42" applyNumberFormat="1" applyFont="1" applyBorder="1" applyAlignment="1">
      <alignment vertical="center"/>
    </xf>
    <xf numFmtId="43" fontId="69" fillId="0" borderId="0" xfId="58" applyNumberFormat="1" applyFont="1">
      <alignment vertical="center"/>
    </xf>
    <xf numFmtId="194" fontId="70" fillId="0" borderId="3" xfId="38" applyNumberFormat="1" applyFont="1" applyBorder="1" applyAlignment="1">
      <alignment horizontal="left" vertical="center" shrinkToFit="1"/>
    </xf>
    <xf numFmtId="190" fontId="69" fillId="0" borderId="0" xfId="0" applyFont="1" applyAlignment="1" applyProtection="1">
      <alignment horizontal="justify" vertical="center"/>
      <protection locked="0"/>
    </xf>
    <xf numFmtId="190" fontId="69" fillId="0" borderId="0" xfId="0" applyFont="1" applyProtection="1">
      <alignment vertical="center"/>
      <protection locked="0"/>
    </xf>
    <xf numFmtId="190" fontId="67" fillId="0" borderId="12" xfId="0" applyFont="1" applyBorder="1" applyAlignment="1" applyProtection="1">
      <alignment horizontal="justify" vertical="center" wrapText="1"/>
      <protection locked="0"/>
    </xf>
    <xf numFmtId="190" fontId="72" fillId="0" borderId="12" xfId="0" applyFont="1" applyBorder="1" applyAlignment="1" applyProtection="1">
      <alignment horizontal="right" vertical="center" wrapText="1"/>
      <protection locked="0"/>
    </xf>
    <xf numFmtId="190" fontId="69" fillId="0" borderId="0" xfId="50" applyNumberFormat="1" applyFont="1" applyFill="1" applyBorder="1" applyAlignment="1">
      <alignment horizontal="left" vertical="center" wrapText="1"/>
    </xf>
    <xf numFmtId="190" fontId="69" fillId="0" borderId="14" xfId="50" applyNumberFormat="1" applyFont="1" applyFill="1" applyBorder="1" applyAlignment="1">
      <alignment horizontal="left" vertical="center" wrapText="1"/>
    </xf>
    <xf numFmtId="190" fontId="69" fillId="0" borderId="13" xfId="50" applyNumberFormat="1" applyFont="1" applyFill="1" applyBorder="1" applyAlignment="1">
      <alignment horizontal="left" vertical="center" wrapText="1"/>
    </xf>
    <xf numFmtId="190" fontId="67" fillId="0" borderId="13" xfId="0" applyFont="1" applyBorder="1" applyAlignment="1" applyProtection="1">
      <alignment horizontal="justify" vertical="center" wrapText="1"/>
      <protection locked="0"/>
    </xf>
    <xf numFmtId="43" fontId="10" fillId="0" borderId="0" xfId="50" applyFont="1" applyFill="1" applyBorder="1" applyAlignment="1">
      <alignment horizontal="left" vertical="center" wrapText="1"/>
    </xf>
    <xf numFmtId="43" fontId="10" fillId="0" borderId="12" xfId="50" applyFont="1" applyFill="1" applyBorder="1" applyAlignment="1">
      <alignment horizontal="left" vertical="center" wrapText="1"/>
    </xf>
    <xf numFmtId="43" fontId="10" fillId="0" borderId="14" xfId="50" applyFont="1" applyFill="1" applyBorder="1" applyAlignment="1">
      <alignment horizontal="left" vertical="center" wrapText="1"/>
    </xf>
    <xf numFmtId="43" fontId="10" fillId="0" borderId="13" xfId="50" applyFont="1" applyFill="1" applyBorder="1" applyAlignment="1">
      <alignment horizontal="left" vertical="center" wrapText="1"/>
    </xf>
    <xf numFmtId="190" fontId="10" fillId="0" borderId="0" xfId="33" applyFont="1" applyAlignment="1">
      <alignment horizontal="left" vertical="center"/>
      <protection locked="0"/>
    </xf>
    <xf numFmtId="190" fontId="74" fillId="0" borderId="0" xfId="41" applyFont="1" applyAlignment="1">
      <alignment vertical="center"/>
    </xf>
    <xf numFmtId="190" fontId="10" fillId="4" borderId="0" xfId="0" applyFont="1" applyFill="1" applyAlignment="1" applyProtection="1">
      <alignment horizontal="justify" vertical="center" wrapText="1"/>
      <protection locked="0"/>
    </xf>
    <xf numFmtId="43" fontId="11" fillId="0" borderId="0" xfId="42" applyNumberFormat="1" applyFont="1" applyBorder="1" applyAlignment="1">
      <alignment horizontal="right" vertical="center"/>
    </xf>
    <xf numFmtId="49" fontId="10" fillId="0" borderId="0" xfId="42" applyNumberFormat="1" applyFont="1" applyBorder="1" applyAlignment="1">
      <alignment horizontal="left" vertical="center"/>
    </xf>
    <xf numFmtId="43" fontId="36" fillId="6" borderId="3" xfId="50" applyFont="1" applyFill="1" applyBorder="1" applyAlignment="1">
      <alignment horizontal="right" vertical="center"/>
    </xf>
    <xf numFmtId="43" fontId="10" fillId="6" borderId="3" xfId="50" applyFont="1" applyFill="1" applyBorder="1" applyAlignment="1">
      <alignment horizontal="right" vertical="center" wrapText="1"/>
    </xf>
    <xf numFmtId="10" fontId="10" fillId="6" borderId="3" xfId="31" applyNumberFormat="1" applyFont="1" applyFill="1" applyBorder="1" applyAlignment="1">
      <alignment horizontal="right" vertical="center" wrapText="1"/>
    </xf>
    <xf numFmtId="190" fontId="72" fillId="0" borderId="0" xfId="0" applyFont="1" applyBorder="1" applyAlignment="1" applyProtection="1">
      <alignment horizontal="right" vertical="center" wrapText="1"/>
      <protection locked="0"/>
    </xf>
    <xf numFmtId="43" fontId="10" fillId="0" borderId="0" xfId="42" applyNumberFormat="1" applyFont="1" applyBorder="1" applyAlignment="1">
      <alignment horizontal="right" vertical="center"/>
    </xf>
    <xf numFmtId="10" fontId="36" fillId="6" borderId="3" xfId="31" applyNumberFormat="1" applyFont="1" applyFill="1" applyBorder="1" applyAlignment="1">
      <alignment horizontal="right" vertical="center"/>
    </xf>
    <xf numFmtId="10" fontId="34" fillId="6" borderId="3" xfId="31" applyNumberFormat="1" applyFont="1" applyFill="1" applyBorder="1" applyAlignment="1">
      <alignment horizontal="right" vertical="center"/>
    </xf>
    <xf numFmtId="43" fontId="34" fillId="6" borderId="3" xfId="50" applyFont="1" applyFill="1" applyBorder="1" applyAlignment="1">
      <alignment horizontal="right" vertical="center"/>
    </xf>
    <xf numFmtId="43" fontId="10" fillId="6" borderId="3" xfId="50" applyFont="1" applyFill="1" applyBorder="1" applyAlignment="1">
      <alignment vertical="center" shrinkToFit="1"/>
    </xf>
    <xf numFmtId="190" fontId="4" fillId="5" borderId="3" xfId="33" applyFont="1" applyFill="1" applyBorder="1" applyAlignment="1">
      <alignment horizontal="center" vertical="center"/>
      <protection locked="0"/>
    </xf>
    <xf numFmtId="43" fontId="52" fillId="0" borderId="3" xfId="50" applyFont="1" applyBorder="1" applyAlignment="1">
      <alignment horizontal="left" vertical="center"/>
    </xf>
    <xf numFmtId="43" fontId="4" fillId="5" borderId="3" xfId="50" applyFont="1" applyFill="1" applyBorder="1" applyAlignment="1">
      <alignment horizontal="center" vertical="center"/>
    </xf>
    <xf numFmtId="195" fontId="4" fillId="5" borderId="3" xfId="31" applyNumberFormat="1" applyFont="1" applyFill="1" applyBorder="1" applyAlignment="1">
      <alignment horizontal="center" vertical="center"/>
    </xf>
    <xf numFmtId="190" fontId="53" fillId="5" borderId="8" xfId="32" applyFont="1" applyFill="1" applyBorder="1" applyAlignment="1">
      <alignment horizontal="center" vertical="center" wrapText="1"/>
    </xf>
    <xf numFmtId="190" fontId="6" fillId="5" borderId="8" xfId="32" applyFont="1" applyFill="1" applyBorder="1" applyAlignment="1">
      <alignment horizontal="center" vertical="center" wrapText="1"/>
    </xf>
    <xf numFmtId="190" fontId="10" fillId="0" borderId="0" xfId="33" applyFont="1" applyBorder="1" applyAlignment="1">
      <alignment vertical="center"/>
      <protection locked="0"/>
    </xf>
    <xf numFmtId="14" fontId="10" fillId="0" borderId="3" xfId="33" applyNumberFormat="1" applyFont="1" applyBorder="1" applyAlignment="1">
      <alignment horizontal="center" vertical="center"/>
      <protection locked="0"/>
    </xf>
    <xf numFmtId="190" fontId="10" fillId="0" borderId="3" xfId="33" applyFont="1" applyBorder="1" applyAlignment="1">
      <alignment horizontal="center" vertical="center" wrapText="1"/>
      <protection locked="0"/>
    </xf>
    <xf numFmtId="190" fontId="10" fillId="0" borderId="0" xfId="33" applyFont="1" applyBorder="1" applyAlignment="1">
      <alignment vertical="center" wrapText="1"/>
      <protection locked="0"/>
    </xf>
    <xf numFmtId="190" fontId="10" fillId="0" borderId="3" xfId="33" applyFont="1" applyBorder="1" applyAlignment="1">
      <alignment horizontal="center" vertical="center" wrapText="1"/>
      <protection locked="0"/>
    </xf>
    <xf numFmtId="190" fontId="11" fillId="0" borderId="9" xfId="52" applyFont="1" applyBorder="1" applyAlignment="1">
      <alignment horizontal="center" vertical="center" wrapText="1" shrinkToFit="1"/>
      <protection locked="0"/>
    </xf>
    <xf numFmtId="190" fontId="11" fillId="0" borderId="9" xfId="33" applyFont="1" applyBorder="1" applyAlignment="1">
      <alignment horizontal="center" vertical="center" wrapText="1"/>
      <protection locked="0"/>
    </xf>
    <xf numFmtId="190" fontId="10" fillId="0" borderId="3" xfId="33" applyFont="1" applyFill="1" applyBorder="1" applyAlignment="1">
      <alignment horizontal="center" vertical="center" wrapText="1"/>
      <protection locked="0"/>
    </xf>
    <xf numFmtId="190" fontId="11" fillId="0" borderId="9" xfId="33" applyFont="1" applyFill="1" applyBorder="1" applyAlignment="1">
      <alignment horizontal="center" vertical="center" wrapText="1"/>
      <protection locked="0"/>
    </xf>
    <xf numFmtId="49" fontId="4" fillId="0" borderId="0" xfId="52" applyNumberFormat="1" applyFont="1" applyAlignment="1">
      <alignment horizontal="left" vertical="center"/>
      <protection locked="0"/>
    </xf>
    <xf numFmtId="190" fontId="10" fillId="0" borderId="3" xfId="33" applyFont="1" applyFill="1" applyBorder="1" applyAlignment="1">
      <alignment horizontal="left" vertical="center" wrapText="1"/>
      <protection locked="0"/>
    </xf>
    <xf numFmtId="190" fontId="11" fillId="0" borderId="3" xfId="52" applyFont="1" applyFill="1" applyBorder="1" applyAlignment="1">
      <alignment horizontal="left" vertical="center" wrapText="1"/>
      <protection locked="0"/>
    </xf>
    <xf numFmtId="190" fontId="11" fillId="0" borderId="9" xfId="52" applyFont="1" applyFill="1" applyBorder="1" applyAlignment="1">
      <alignment horizontal="center" vertical="center" wrapText="1" shrinkToFit="1"/>
      <protection locked="0"/>
    </xf>
    <xf numFmtId="190" fontId="51" fillId="0" borderId="3" xfId="53" applyFont="1" applyFill="1" applyBorder="1" applyAlignment="1">
      <alignment horizontal="center" vertical="center" wrapText="1"/>
    </xf>
    <xf numFmtId="195" fontId="6" fillId="0" borderId="3" xfId="31" applyNumberFormat="1" applyFont="1" applyBorder="1" applyAlignment="1">
      <alignment horizontal="center" vertical="center"/>
    </xf>
    <xf numFmtId="190" fontId="29" fillId="5" borderId="3" xfId="52" applyFont="1" applyFill="1" applyBorder="1" applyAlignment="1" applyProtection="1">
      <alignment vertical="center" wrapText="1"/>
    </xf>
    <xf numFmtId="190" fontId="6" fillId="0" borderId="0" xfId="33" applyFont="1" applyAlignment="1">
      <alignment horizontal="left" vertical="center"/>
      <protection locked="0"/>
    </xf>
    <xf numFmtId="190" fontId="11" fillId="0" borderId="3" xfId="33" applyFont="1" applyBorder="1" applyAlignment="1">
      <alignment horizontal="left" vertical="center" wrapText="1"/>
      <protection locked="0"/>
    </xf>
    <xf numFmtId="190" fontId="10" fillId="0" borderId="3" xfId="33" applyFont="1" applyBorder="1" applyAlignment="1">
      <alignment horizontal="center" vertical="center" wrapText="1"/>
      <protection locked="0"/>
    </xf>
    <xf numFmtId="190" fontId="11" fillId="0" borderId="3" xfId="33" applyFont="1" applyFill="1" applyBorder="1" applyAlignment="1">
      <alignment horizontal="center" vertical="center" wrapText="1"/>
      <protection locked="0"/>
    </xf>
    <xf numFmtId="190" fontId="10" fillId="0" borderId="0" xfId="33" applyFont="1" applyAlignment="1" applyProtection="1">
      <alignment horizontal="left" vertical="center"/>
    </xf>
    <xf numFmtId="190" fontId="36" fillId="0" borderId="0" xfId="0" applyFont="1" applyAlignment="1">
      <alignment horizontal="left" vertical="center"/>
    </xf>
    <xf numFmtId="190" fontId="4" fillId="0" borderId="3" xfId="33" applyFont="1" applyFill="1" applyBorder="1" applyAlignment="1">
      <alignment horizontal="center" vertical="center" wrapText="1"/>
      <protection locked="0"/>
    </xf>
    <xf numFmtId="190" fontId="10" fillId="0" borderId="15" xfId="33" applyFont="1" applyBorder="1" applyAlignment="1">
      <alignment horizontal="center" vertical="center" wrapText="1"/>
      <protection locked="0"/>
    </xf>
    <xf numFmtId="190" fontId="52" fillId="0" borderId="0" xfId="41" applyFont="1" applyAlignment="1">
      <alignment horizontal="left" vertical="center"/>
    </xf>
    <xf numFmtId="190" fontId="10" fillId="0" borderId="3" xfId="33" applyFont="1" applyBorder="1" applyAlignment="1">
      <alignment horizontal="center" vertical="center" wrapText="1"/>
      <protection locked="0"/>
    </xf>
    <xf numFmtId="190" fontId="4" fillId="0" borderId="5" xfId="33" applyFont="1" applyBorder="1" applyAlignment="1">
      <alignment horizontal="left" vertical="center"/>
      <protection locked="0"/>
    </xf>
    <xf numFmtId="190" fontId="54" fillId="0" borderId="0" xfId="33" applyFont="1" applyAlignment="1">
      <alignment horizontal="left" vertical="center"/>
      <protection locked="0"/>
    </xf>
    <xf numFmtId="190" fontId="10" fillId="4" borderId="0" xfId="0" applyFont="1" applyFill="1" applyBorder="1" applyAlignment="1" applyProtection="1">
      <alignment horizontal="justify" vertical="center" wrapText="1"/>
      <protection locked="0"/>
    </xf>
    <xf numFmtId="43" fontId="10" fillId="0" borderId="3" xfId="50" applyFont="1" applyBorder="1" applyAlignment="1">
      <alignment horizontal="center" vertical="center" shrinkToFit="1"/>
    </xf>
    <xf numFmtId="190" fontId="48" fillId="0" borderId="3" xfId="0" applyFont="1" applyBorder="1">
      <alignment vertical="center"/>
    </xf>
    <xf numFmtId="190" fontId="36" fillId="0" borderId="3" xfId="61" applyFont="1" applyFill="1" applyBorder="1" applyAlignment="1" applyProtection="1">
      <alignment vertical="center"/>
    </xf>
    <xf numFmtId="190" fontId="36" fillId="0" borderId="3" xfId="52" applyFont="1" applyBorder="1" applyAlignment="1" applyProtection="1">
      <alignment vertical="center"/>
    </xf>
    <xf numFmtId="43" fontId="36" fillId="0" borderId="3" xfId="50" applyFont="1" applyFill="1" applyBorder="1" applyAlignment="1" applyProtection="1">
      <alignment vertical="center"/>
    </xf>
    <xf numFmtId="190" fontId="36" fillId="0" borderId="3" xfId="61" applyFont="1" applyFill="1" applyBorder="1" applyAlignment="1" applyProtection="1">
      <alignment horizontal="center" vertical="center"/>
    </xf>
    <xf numFmtId="49" fontId="10" fillId="0" borderId="3" xfId="33" applyNumberFormat="1" applyFont="1" applyBorder="1" applyAlignment="1">
      <alignment horizontal="center" vertical="center"/>
      <protection locked="0"/>
    </xf>
    <xf numFmtId="43" fontId="10" fillId="0" borderId="3" xfId="33" applyNumberFormat="1" applyFont="1" applyBorder="1" applyAlignment="1">
      <alignment horizontal="left" vertical="center"/>
      <protection locked="0"/>
    </xf>
    <xf numFmtId="190" fontId="10" fillId="0" borderId="3" xfId="32" applyFont="1" applyBorder="1" applyAlignment="1">
      <alignment horizontal="center" vertical="center"/>
    </xf>
    <xf numFmtId="190" fontId="11" fillId="0" borderId="0" xfId="0" applyFont="1" applyAlignment="1" applyProtection="1">
      <alignment vertical="center"/>
      <protection locked="0"/>
    </xf>
    <xf numFmtId="49" fontId="10" fillId="0" borderId="3" xfId="43" applyNumberFormat="1" applyFont="1" applyBorder="1" applyAlignment="1">
      <alignment horizontal="center" vertical="center"/>
    </xf>
    <xf numFmtId="190" fontId="77" fillId="7" borderId="0" xfId="53" applyFont="1" applyFill="1" applyAlignment="1" applyProtection="1">
      <alignment horizontal="left" vertical="top" wrapText="1"/>
      <protection locked="0"/>
    </xf>
    <xf numFmtId="190" fontId="77" fillId="7" borderId="0" xfId="53" applyFont="1" applyFill="1" applyAlignment="1" applyProtection="1">
      <alignment horizontal="left" vertical="center" wrapText="1"/>
      <protection locked="0"/>
    </xf>
    <xf numFmtId="190" fontId="10" fillId="0" borderId="3" xfId="52" applyFont="1" applyBorder="1" applyAlignment="1">
      <alignment horizontal="center" vertical="center" wrapText="1"/>
      <protection locked="0"/>
    </xf>
    <xf numFmtId="49" fontId="36" fillId="0" borderId="2" xfId="0" applyNumberFormat="1" applyFont="1" applyBorder="1" applyAlignment="1">
      <alignment horizontal="center" vertical="center"/>
    </xf>
    <xf numFmtId="190" fontId="10" fillId="0" borderId="9" xfId="52" applyFont="1" applyBorder="1" applyAlignment="1">
      <alignment horizontal="center" vertical="center" wrapText="1" shrinkToFit="1"/>
      <protection locked="0"/>
    </xf>
    <xf numFmtId="43" fontId="33" fillId="0" borderId="0" xfId="42" applyNumberFormat="1" applyFont="1" applyBorder="1" applyAlignment="1">
      <alignment vertical="center"/>
    </xf>
    <xf numFmtId="190" fontId="75" fillId="0" borderId="0" xfId="33" applyFont="1" applyAlignment="1" applyProtection="1">
      <alignment vertical="center"/>
    </xf>
    <xf numFmtId="190" fontId="53" fillId="0" borderId="0" xfId="33" applyFont="1" applyAlignment="1" applyProtection="1">
      <alignment horizontal="left" vertical="center"/>
    </xf>
    <xf numFmtId="190" fontId="10" fillId="0" borderId="3" xfId="33" applyFont="1" applyBorder="1" applyAlignment="1">
      <alignment horizontal="left" vertical="center" wrapText="1"/>
      <protection locked="0"/>
    </xf>
    <xf numFmtId="190" fontId="11" fillId="0" borderId="3" xfId="33" applyFont="1" applyBorder="1" applyAlignment="1">
      <alignment horizontal="left" vertical="center" wrapText="1"/>
      <protection locked="0"/>
    </xf>
    <xf numFmtId="190" fontId="10" fillId="0" borderId="3" xfId="33" applyFont="1" applyBorder="1" applyAlignment="1">
      <alignment horizontal="center" vertical="center" wrapText="1"/>
      <protection locked="0"/>
    </xf>
    <xf numFmtId="190" fontId="33" fillId="0" borderId="0" xfId="41" applyFont="1" applyBorder="1" applyAlignment="1" applyProtection="1">
      <alignment horizontal="center" vertical="center"/>
      <protection hidden="1"/>
    </xf>
    <xf numFmtId="190" fontId="10" fillId="0" borderId="0" xfId="41" applyFont="1" applyBorder="1" applyAlignment="1" applyProtection="1">
      <alignment horizontal="left" vertical="center"/>
      <protection hidden="1"/>
    </xf>
    <xf numFmtId="190" fontId="33" fillId="0" borderId="0" xfId="41" applyFont="1" applyBorder="1" applyAlignment="1" applyProtection="1">
      <alignment horizontal="left" vertical="center"/>
      <protection locked="0"/>
    </xf>
    <xf numFmtId="190" fontId="10" fillId="0" borderId="0" xfId="41" applyFont="1" applyBorder="1" applyAlignment="1" applyProtection="1">
      <alignment vertical="center"/>
      <protection locked="0"/>
    </xf>
    <xf numFmtId="190" fontId="54" fillId="0" borderId="0" xfId="0" applyFont="1" applyFill="1" applyBorder="1" applyAlignment="1" applyProtection="1">
      <alignment horizontal="left" vertical="center"/>
      <protection locked="0"/>
    </xf>
    <xf numFmtId="190" fontId="10" fillId="0" borderId="11" xfId="33" applyFont="1" applyBorder="1" applyAlignment="1">
      <alignment horizontal="center" vertical="center" wrapText="1"/>
      <protection locked="0"/>
    </xf>
    <xf numFmtId="190" fontId="10" fillId="0" borderId="3" xfId="33" applyFont="1" applyBorder="1" applyAlignment="1">
      <alignment horizontal="center" vertical="center" wrapText="1"/>
      <protection locked="0"/>
    </xf>
    <xf numFmtId="0" fontId="11" fillId="0" borderId="3" xfId="62" applyFont="1" applyBorder="1" applyAlignment="1">
      <alignment horizontal="left" vertical="center" wrapText="1"/>
      <protection locked="0"/>
    </xf>
    <xf numFmtId="190" fontId="55" fillId="0" borderId="3" xfId="53" applyFont="1" applyFill="1" applyBorder="1" applyAlignment="1">
      <alignment horizontal="center" vertical="center" wrapText="1"/>
    </xf>
    <xf numFmtId="190" fontId="51" fillId="0" borderId="9" xfId="33" applyFont="1" applyBorder="1" applyAlignment="1">
      <alignment horizontal="center" vertical="center" wrapText="1"/>
      <protection locked="0"/>
    </xf>
    <xf numFmtId="190" fontId="11" fillId="0" borderId="3" xfId="63" applyFont="1" applyBorder="1" applyAlignment="1">
      <alignment horizontal="left" vertical="center" wrapText="1"/>
      <protection locked="0"/>
    </xf>
    <xf numFmtId="0" fontId="11" fillId="0" borderId="3" xfId="62" applyFont="1" applyBorder="1" applyAlignment="1">
      <alignment horizontal="center" vertical="center" wrapText="1"/>
      <protection locked="0"/>
    </xf>
    <xf numFmtId="0" fontId="4" fillId="0" borderId="3" xfId="62" applyFont="1" applyBorder="1" applyAlignment="1">
      <alignment horizontal="center" vertical="center" wrapText="1"/>
      <protection locked="0"/>
    </xf>
    <xf numFmtId="190" fontId="20" fillId="0" borderId="3" xfId="61" applyFont="1" applyFill="1" applyBorder="1" applyAlignment="1">
      <alignment vertical="center" wrapText="1"/>
      <protection locked="0"/>
    </xf>
    <xf numFmtId="190" fontId="11" fillId="0" borderId="3" xfId="53" applyFont="1" applyFill="1" applyBorder="1" applyAlignment="1" applyProtection="1">
      <alignment horizontal="center" vertical="center"/>
      <protection locked="0"/>
    </xf>
    <xf numFmtId="190" fontId="4" fillId="6" borderId="3" xfId="33" applyFont="1" applyFill="1" applyBorder="1" applyAlignment="1">
      <alignment horizontal="center" vertical="center" wrapText="1"/>
      <protection locked="0"/>
    </xf>
    <xf numFmtId="190" fontId="4" fillId="6" borderId="9" xfId="33" applyFont="1" applyFill="1" applyBorder="1" applyAlignment="1">
      <alignment horizontal="center" vertical="center" wrapText="1"/>
      <protection locked="0"/>
    </xf>
    <xf numFmtId="190" fontId="34" fillId="6" borderId="3" xfId="0" applyFont="1" applyFill="1" applyBorder="1">
      <alignment vertical="center"/>
    </xf>
    <xf numFmtId="190" fontId="4" fillId="6" borderId="3" xfId="33" applyFont="1" applyFill="1" applyBorder="1" applyAlignment="1">
      <alignment horizontal="center" vertical="center"/>
      <protection locked="0"/>
    </xf>
    <xf numFmtId="190" fontId="10" fillId="6" borderId="0" xfId="33" applyFont="1" applyFill="1" applyAlignment="1">
      <alignment vertical="center"/>
      <protection locked="0"/>
    </xf>
    <xf numFmtId="43" fontId="6" fillId="6" borderId="3" xfId="50" applyFont="1" applyFill="1" applyBorder="1" applyAlignment="1">
      <alignment vertical="center"/>
    </xf>
    <xf numFmtId="195" fontId="10" fillId="6" borderId="3" xfId="31" applyNumberFormat="1" applyFont="1" applyFill="1" applyBorder="1" applyAlignment="1">
      <alignment horizontal="center" vertical="center"/>
    </xf>
    <xf numFmtId="43" fontId="50" fillId="6" borderId="3" xfId="50" applyFont="1" applyFill="1" applyBorder="1" applyAlignment="1">
      <alignment vertical="center"/>
    </xf>
    <xf numFmtId="194" fontId="49" fillId="6" borderId="3" xfId="38" applyNumberFormat="1" applyFont="1" applyFill="1" applyBorder="1" applyAlignment="1">
      <alignment horizontal="left" vertical="center" shrinkToFit="1"/>
    </xf>
    <xf numFmtId="190" fontId="7" fillId="6" borderId="0" xfId="33" applyFont="1" applyFill="1" applyAlignment="1">
      <alignment vertical="center"/>
      <protection locked="0"/>
    </xf>
    <xf numFmtId="43" fontId="6" fillId="0" borderId="3" xfId="50" applyFont="1" applyFill="1" applyBorder="1" applyAlignment="1">
      <alignment vertical="center"/>
    </xf>
    <xf numFmtId="194" fontId="11" fillId="6" borderId="3" xfId="38" applyNumberFormat="1" applyFont="1" applyFill="1" applyBorder="1" applyAlignment="1">
      <alignment horizontal="left" vertical="center" shrinkToFit="1"/>
    </xf>
    <xf numFmtId="195" fontId="6" fillId="6" borderId="3" xfId="31" applyNumberFormat="1" applyFont="1" applyFill="1" applyBorder="1" applyAlignment="1">
      <alignment horizontal="center" vertical="center"/>
    </xf>
    <xf numFmtId="43" fontId="10" fillId="6" borderId="3" xfId="50" applyFont="1" applyFill="1" applyBorder="1" applyAlignment="1">
      <alignment vertical="center"/>
    </xf>
    <xf numFmtId="10" fontId="34" fillId="6" borderId="3" xfId="50" applyNumberFormat="1" applyFont="1" applyFill="1" applyBorder="1" applyAlignment="1">
      <alignment horizontal="right" vertical="center"/>
    </xf>
    <xf numFmtId="190" fontId="4" fillId="5" borderId="8" xfId="33" applyFont="1" applyFill="1" applyBorder="1" applyAlignment="1">
      <alignment horizontal="center" vertical="center" wrapText="1"/>
      <protection locked="0"/>
    </xf>
    <xf numFmtId="190" fontId="4" fillId="5" borderId="3" xfId="33" applyFont="1" applyFill="1" applyBorder="1" applyAlignment="1">
      <alignment horizontal="center" vertical="center" wrapText="1"/>
      <protection locked="0"/>
    </xf>
    <xf numFmtId="190" fontId="6" fillId="5" borderId="3" xfId="33" applyFont="1" applyFill="1" applyBorder="1" applyAlignment="1">
      <alignment horizontal="center" vertical="center" wrapText="1"/>
      <protection locked="0"/>
    </xf>
    <xf numFmtId="190" fontId="4" fillId="5" borderId="3" xfId="33" applyFont="1" applyFill="1" applyBorder="1" applyAlignment="1">
      <alignment horizontal="center" vertical="center"/>
      <protection locked="0"/>
    </xf>
    <xf numFmtId="190" fontId="10" fillId="0" borderId="3" xfId="33" applyFont="1" applyBorder="1" applyAlignment="1">
      <alignment vertical="center"/>
      <protection locked="0"/>
    </xf>
    <xf numFmtId="190" fontId="54" fillId="0" borderId="0" xfId="33" applyFont="1" applyBorder="1" applyAlignment="1">
      <alignment horizontal="left" vertical="center"/>
      <protection locked="0"/>
    </xf>
    <xf numFmtId="190" fontId="54" fillId="0" borderId="3" xfId="33" applyFont="1" applyBorder="1" applyAlignment="1">
      <alignment horizontal="center" vertical="center"/>
      <protection locked="0"/>
    </xf>
    <xf numFmtId="190" fontId="48" fillId="0" borderId="3" xfId="33" applyFont="1" applyBorder="1" applyAlignment="1">
      <alignment horizontal="center" vertical="center"/>
      <protection locked="0"/>
    </xf>
    <xf numFmtId="190" fontId="48" fillId="0" borderId="3" xfId="33" applyFont="1" applyBorder="1" applyAlignment="1">
      <alignment horizontal="center" vertical="center" wrapText="1"/>
      <protection locked="0"/>
    </xf>
    <xf numFmtId="190" fontId="48" fillId="0" borderId="3" xfId="33" applyFont="1" applyBorder="1" applyAlignment="1">
      <alignment vertical="center" wrapText="1"/>
      <protection locked="0"/>
    </xf>
    <xf numFmtId="196" fontId="10" fillId="0" borderId="3" xfId="33" applyNumberFormat="1" applyFont="1" applyBorder="1" applyAlignment="1">
      <alignment vertical="center"/>
      <protection locked="0"/>
    </xf>
    <xf numFmtId="9" fontId="10" fillId="0" borderId="3" xfId="31" applyFont="1" applyBorder="1" applyAlignment="1" applyProtection="1">
      <alignment vertical="center"/>
      <protection locked="0"/>
    </xf>
    <xf numFmtId="0" fontId="10" fillId="0" borderId="3" xfId="33" applyNumberFormat="1" applyFont="1" applyBorder="1" applyAlignment="1">
      <alignment horizontal="center" vertical="center"/>
      <protection locked="0"/>
    </xf>
    <xf numFmtId="0" fontId="6" fillId="5" borderId="10" xfId="33" applyNumberFormat="1" applyFont="1" applyFill="1" applyBorder="1" applyAlignment="1">
      <alignment horizontal="centerContinuous" vertical="center"/>
      <protection locked="0"/>
    </xf>
    <xf numFmtId="14" fontId="10" fillId="0" borderId="10" xfId="33" applyNumberFormat="1" applyFont="1" applyBorder="1" applyAlignment="1">
      <alignment horizontal="center" vertical="center"/>
      <protection locked="0"/>
    </xf>
    <xf numFmtId="43" fontId="10" fillId="0" borderId="10" xfId="33" applyNumberFormat="1" applyFont="1" applyBorder="1" applyAlignment="1">
      <alignment horizontal="center" vertical="center"/>
      <protection locked="0"/>
    </xf>
    <xf numFmtId="49" fontId="10" fillId="0" borderId="10" xfId="33" applyNumberFormat="1" applyFont="1" applyBorder="1" applyAlignment="1">
      <alignment horizontal="center" vertical="center"/>
      <protection locked="0"/>
    </xf>
    <xf numFmtId="43" fontId="10" fillId="0" borderId="11" xfId="33" applyNumberFormat="1" applyFont="1" applyBorder="1" applyAlignment="1">
      <alignment horizontal="center" vertical="center"/>
      <protection locked="0"/>
    </xf>
    <xf numFmtId="190" fontId="74" fillId="0" borderId="0" xfId="41" applyFont="1" applyAlignment="1">
      <alignment vertical="center" wrapText="1"/>
    </xf>
    <xf numFmtId="190" fontId="4" fillId="0" borderId="0" xfId="33" applyFont="1" applyBorder="1" applyAlignment="1">
      <alignment vertical="center"/>
      <protection locked="0"/>
    </xf>
    <xf numFmtId="49" fontId="10" fillId="0" borderId="3" xfId="52" applyNumberFormat="1" applyFont="1" applyBorder="1" applyAlignment="1">
      <alignment horizontal="center" vertical="center"/>
      <protection locked="0"/>
    </xf>
    <xf numFmtId="190" fontId="10" fillId="0" borderId="3" xfId="0" applyFont="1" applyBorder="1" applyAlignment="1" applyProtection="1">
      <alignment horizontal="center" vertical="center"/>
      <protection locked="0"/>
    </xf>
    <xf numFmtId="49" fontId="10" fillId="0" borderId="3" xfId="52" applyNumberFormat="1" applyFont="1" applyBorder="1" applyAlignment="1">
      <alignment vertical="center"/>
      <protection locked="0"/>
    </xf>
    <xf numFmtId="190" fontId="6" fillId="6" borderId="3" xfId="33" applyFont="1" applyFill="1" applyBorder="1" applyAlignment="1">
      <alignment horizontal="left" vertical="center"/>
      <protection locked="0"/>
    </xf>
    <xf numFmtId="43" fontId="6" fillId="6" borderId="3" xfId="50" applyFont="1" applyFill="1" applyBorder="1" applyAlignment="1" applyProtection="1">
      <alignment horizontal="left" vertical="center"/>
      <protection locked="0"/>
    </xf>
    <xf numFmtId="49" fontId="6" fillId="6" borderId="3" xfId="52" applyNumberFormat="1" applyFont="1" applyFill="1" applyBorder="1" applyAlignment="1">
      <alignment horizontal="center" vertical="center"/>
      <protection locked="0"/>
    </xf>
    <xf numFmtId="190" fontId="6" fillId="6" borderId="3" xfId="0" applyFont="1" applyFill="1" applyBorder="1" applyAlignment="1" applyProtection="1">
      <alignment horizontal="center" vertical="center"/>
      <protection locked="0"/>
    </xf>
    <xf numFmtId="49" fontId="6" fillId="6" borderId="3" xfId="52" applyNumberFormat="1" applyFont="1" applyFill="1" applyBorder="1" applyAlignment="1">
      <alignment vertical="center"/>
      <protection locked="0"/>
    </xf>
    <xf numFmtId="190" fontId="6" fillId="6" borderId="0" xfId="33" applyFont="1" applyFill="1" applyAlignment="1">
      <alignment vertical="center"/>
      <protection locked="0"/>
    </xf>
    <xf numFmtId="190" fontId="10" fillId="0" borderId="0" xfId="41" applyFont="1" applyBorder="1" applyAlignment="1">
      <alignment horizontal="left" vertical="center"/>
    </xf>
    <xf numFmtId="190" fontId="75" fillId="0" borderId="0" xfId="41" applyFont="1" applyBorder="1" applyAlignment="1">
      <alignment horizontal="left" vertical="center"/>
    </xf>
    <xf numFmtId="190" fontId="10" fillId="0" borderId="0" xfId="0" applyFont="1" applyBorder="1" applyAlignment="1" applyProtection="1">
      <protection locked="0"/>
    </xf>
    <xf numFmtId="190" fontId="3" fillId="0" borderId="0" xfId="52" applyBorder="1">
      <protection locked="0"/>
    </xf>
    <xf numFmtId="190" fontId="11" fillId="0" borderId="0" xfId="41" applyFont="1" applyBorder="1" applyAlignment="1">
      <alignment horizontal="left" vertical="center"/>
    </xf>
    <xf numFmtId="190" fontId="4" fillId="0" borderId="0" xfId="41" applyFont="1" applyBorder="1" applyAlignment="1">
      <alignment vertical="center"/>
    </xf>
    <xf numFmtId="190" fontId="42" fillId="0" borderId="2" xfId="44" quotePrefix="1" applyFont="1" applyBorder="1" applyAlignment="1" applyProtection="1">
      <alignment vertical="center"/>
    </xf>
    <xf numFmtId="190" fontId="42" fillId="0" borderId="2" xfId="44" applyFont="1" applyBorder="1" applyAlignment="1" applyProtection="1">
      <alignment vertical="center"/>
    </xf>
    <xf numFmtId="190" fontId="36" fillId="0" borderId="2" xfId="0" applyFont="1" applyBorder="1" applyAlignment="1">
      <alignment horizontal="center" vertical="center"/>
    </xf>
    <xf numFmtId="190" fontId="33" fillId="0" borderId="0" xfId="44" applyFont="1" applyAlignment="1">
      <alignment vertical="center"/>
      <protection locked="0"/>
    </xf>
    <xf numFmtId="190" fontId="11" fillId="0" borderId="3" xfId="52" applyFont="1" applyBorder="1" applyAlignment="1">
      <alignment horizontal="left" vertical="center" wrapText="1"/>
      <protection locked="0"/>
    </xf>
    <xf numFmtId="190" fontId="11" fillId="4" borderId="0" xfId="0" applyFont="1" applyFill="1" applyBorder="1" applyAlignment="1" applyProtection="1">
      <alignment horizontal="justify" vertical="center" wrapText="1"/>
      <protection locked="0"/>
    </xf>
    <xf numFmtId="190" fontId="11" fillId="0" borderId="0" xfId="33" applyFont="1" applyBorder="1" applyAlignment="1">
      <alignment vertical="center"/>
      <protection locked="0"/>
    </xf>
    <xf numFmtId="43" fontId="54" fillId="0" borderId="3" xfId="50" applyFont="1" applyFill="1" applyBorder="1" applyAlignment="1">
      <alignment vertical="center"/>
    </xf>
    <xf numFmtId="194" fontId="52" fillId="0" borderId="3" xfId="38" applyNumberFormat="1" applyFont="1" applyFill="1" applyBorder="1" applyAlignment="1">
      <alignment horizontal="left" vertical="center" shrinkToFit="1"/>
    </xf>
    <xf numFmtId="190" fontId="6" fillId="5" borderId="0" xfId="33" applyFont="1" applyFill="1" applyAlignment="1">
      <alignment horizontal="center" vertical="center" wrapText="1"/>
      <protection locked="0"/>
    </xf>
    <xf numFmtId="190" fontId="3" fillId="5" borderId="0" xfId="52" applyFill="1">
      <protection locked="0"/>
    </xf>
    <xf numFmtId="190" fontId="10" fillId="5" borderId="0" xfId="33" applyFont="1" applyFill="1" applyAlignment="1">
      <alignment vertical="center"/>
      <protection locked="0"/>
    </xf>
    <xf numFmtId="14" fontId="10" fillId="0" borderId="3" xfId="33" applyNumberFormat="1" applyFont="1" applyFill="1" applyBorder="1" applyAlignment="1">
      <alignment vertical="center"/>
      <protection locked="0"/>
    </xf>
    <xf numFmtId="43" fontId="10" fillId="5" borderId="11" xfId="50" applyFont="1" applyFill="1" applyBorder="1" applyAlignment="1">
      <alignment vertical="center" shrinkToFit="1"/>
    </xf>
    <xf numFmtId="43" fontId="10" fillId="5" borderId="3" xfId="50" applyFont="1" applyFill="1" applyBorder="1" applyAlignment="1">
      <alignment vertical="center" shrinkToFit="1"/>
    </xf>
    <xf numFmtId="190" fontId="10" fillId="0" borderId="0" xfId="41" applyFont="1" applyFill="1" applyAlignment="1">
      <alignment vertical="center"/>
    </xf>
    <xf numFmtId="190" fontId="4" fillId="6" borderId="3" xfId="52" applyFont="1" applyFill="1" applyBorder="1" applyAlignment="1">
      <alignment horizontal="center" vertical="center"/>
      <protection locked="0"/>
    </xf>
    <xf numFmtId="0" fontId="6" fillId="6" borderId="3" xfId="0" applyNumberFormat="1" applyFont="1" applyFill="1" applyBorder="1" applyAlignment="1" applyProtection="1">
      <alignment horizontal="center" vertical="center"/>
      <protection locked="0"/>
    </xf>
    <xf numFmtId="190" fontId="34" fillId="5" borderId="3" xfId="0" applyFont="1" applyFill="1" applyBorder="1" applyAlignment="1">
      <alignment horizontal="center" vertical="center"/>
    </xf>
    <xf numFmtId="190" fontId="34" fillId="5" borderId="3" xfId="0" applyFont="1" applyFill="1" applyBorder="1">
      <alignment vertical="center"/>
    </xf>
    <xf numFmtId="190" fontId="4" fillId="6" borderId="3" xfId="52" applyFont="1" applyFill="1" applyBorder="1" applyAlignment="1">
      <alignment horizontal="center" vertical="center" wrapText="1"/>
      <protection locked="0"/>
    </xf>
    <xf numFmtId="190" fontId="10" fillId="0" borderId="3" xfId="33" applyFont="1" applyBorder="1" applyAlignment="1">
      <alignment horizontal="center" vertical="center" wrapText="1"/>
      <protection locked="0"/>
    </xf>
    <xf numFmtId="43" fontId="36" fillId="5" borderId="3" xfId="50" applyFont="1" applyFill="1" applyBorder="1" applyAlignment="1">
      <alignment horizontal="right" vertical="center"/>
    </xf>
    <xf numFmtId="10" fontId="10" fillId="5" borderId="3" xfId="31" applyNumberFormat="1" applyFont="1" applyFill="1" applyBorder="1" applyAlignment="1">
      <alignment horizontal="right" vertical="center" wrapText="1"/>
    </xf>
    <xf numFmtId="43" fontId="10" fillId="5" borderId="0" xfId="42" applyNumberFormat="1" applyFont="1" applyFill="1" applyBorder="1" applyAlignment="1">
      <alignment vertical="center"/>
    </xf>
    <xf numFmtId="190" fontId="56" fillId="0" borderId="0" xfId="0" applyFont="1" applyAlignment="1" applyProtection="1">
      <alignment horizontal="center" vertical="center"/>
      <protection locked="0"/>
    </xf>
    <xf numFmtId="190" fontId="74" fillId="0" borderId="0" xfId="64" applyFont="1" applyFill="1" applyAlignment="1">
      <alignment horizontal="left" vertical="center"/>
    </xf>
    <xf numFmtId="190" fontId="54" fillId="0" borderId="3" xfId="33" applyFont="1" applyBorder="1" applyAlignment="1">
      <alignment horizontal="center" vertical="center" wrapText="1"/>
      <protection locked="0"/>
    </xf>
    <xf numFmtId="190" fontId="10" fillId="0" borderId="0" xfId="33" applyFont="1" applyBorder="1" applyAlignment="1">
      <alignment horizontal="center" vertical="center"/>
      <protection locked="0"/>
    </xf>
    <xf numFmtId="190" fontId="10" fillId="0" borderId="0" xfId="33" applyFont="1" applyBorder="1" applyAlignment="1">
      <alignment horizontal="left" vertical="center"/>
      <protection locked="0"/>
    </xf>
    <xf numFmtId="10" fontId="6" fillId="6" borderId="3" xfId="31" applyNumberFormat="1" applyFont="1" applyFill="1" applyBorder="1" applyAlignment="1" applyProtection="1">
      <alignment horizontal="right" vertical="center"/>
      <protection locked="0"/>
    </xf>
    <xf numFmtId="190" fontId="74" fillId="0" borderId="0" xfId="41" applyFont="1" applyAlignment="1">
      <alignment horizontal="left" vertical="center"/>
    </xf>
    <xf numFmtId="195" fontId="10" fillId="6" borderId="0" xfId="31" applyNumberFormat="1" applyFont="1" applyFill="1" applyBorder="1" applyAlignment="1">
      <alignment horizontal="center" vertical="center"/>
    </xf>
    <xf numFmtId="195" fontId="6" fillId="6" borderId="0" xfId="31" applyNumberFormat="1" applyFont="1" applyFill="1" applyBorder="1" applyAlignment="1">
      <alignment horizontal="center" vertical="center"/>
    </xf>
    <xf numFmtId="43" fontId="10" fillId="6" borderId="0" xfId="50" applyFont="1" applyFill="1" applyBorder="1" applyAlignment="1">
      <alignment vertical="center"/>
    </xf>
    <xf numFmtId="190" fontId="4" fillId="0" borderId="5" xfId="33" applyFont="1" applyFill="1" applyBorder="1" applyAlignment="1">
      <alignment horizontal="left" vertical="center"/>
      <protection locked="0"/>
    </xf>
    <xf numFmtId="10" fontId="34" fillId="0" borderId="5" xfId="31" applyNumberFormat="1" applyFont="1" applyFill="1" applyBorder="1" applyAlignment="1">
      <alignment horizontal="right" vertical="center"/>
    </xf>
    <xf numFmtId="195" fontId="10" fillId="0" borderId="5" xfId="31" applyNumberFormat="1" applyFont="1" applyFill="1" applyBorder="1" applyAlignment="1">
      <alignment horizontal="center" vertical="center"/>
    </xf>
    <xf numFmtId="195" fontId="10" fillId="0" borderId="0" xfId="31" applyNumberFormat="1" applyFont="1" applyFill="1" applyBorder="1" applyAlignment="1">
      <alignment horizontal="center" vertical="center"/>
    </xf>
    <xf numFmtId="195" fontId="6" fillId="0" borderId="0" xfId="31" applyNumberFormat="1" applyFont="1" applyFill="1" applyBorder="1" applyAlignment="1">
      <alignment horizontal="center" vertical="center"/>
    </xf>
    <xf numFmtId="43" fontId="10" fillId="0" borderId="0" xfId="50" applyFont="1" applyFill="1" applyBorder="1" applyAlignment="1">
      <alignment vertical="center"/>
    </xf>
    <xf numFmtId="190" fontId="10" fillId="0" borderId="0" xfId="33" applyFont="1" applyFill="1" applyAlignment="1">
      <alignment vertical="center"/>
      <protection locked="0"/>
    </xf>
    <xf numFmtId="194" fontId="4" fillId="5" borderId="3" xfId="38" applyNumberFormat="1" applyFont="1" applyFill="1" applyBorder="1" applyAlignment="1">
      <alignment horizontal="center" vertical="center" shrinkToFit="1"/>
    </xf>
    <xf numFmtId="10" fontId="29" fillId="5" borderId="3" xfId="31" applyNumberFormat="1" applyFont="1" applyFill="1" applyBorder="1" applyAlignment="1">
      <alignment horizontal="center" vertical="center"/>
    </xf>
    <xf numFmtId="10" fontId="76" fillId="5" borderId="3" xfId="31" applyNumberFormat="1" applyFont="1" applyFill="1" applyBorder="1" applyAlignment="1">
      <alignment horizontal="center" vertical="center"/>
    </xf>
    <xf numFmtId="194" fontId="11" fillId="0" borderId="3" xfId="38" applyNumberFormat="1" applyFont="1" applyFill="1" applyBorder="1" applyAlignment="1">
      <alignment horizontal="left" vertical="center" shrinkToFit="1"/>
    </xf>
    <xf numFmtId="43" fontId="36" fillId="0" borderId="3" xfId="31" applyNumberFormat="1" applyFont="1" applyFill="1" applyBorder="1" applyAlignment="1">
      <alignment horizontal="right" vertical="center"/>
    </xf>
    <xf numFmtId="195" fontId="6" fillId="0" borderId="3" xfId="31" applyNumberFormat="1" applyFont="1" applyFill="1" applyBorder="1" applyAlignment="1">
      <alignment horizontal="center" vertical="center"/>
    </xf>
    <xf numFmtId="0" fontId="36" fillId="0" borderId="3" xfId="31" applyNumberFormat="1" applyFont="1" applyFill="1" applyBorder="1" applyAlignment="1">
      <alignment horizontal="right" vertical="center"/>
    </xf>
    <xf numFmtId="0" fontId="52" fillId="0" borderId="0" xfId="62" applyFont="1" applyAlignment="1">
      <alignment vertical="center"/>
      <protection locked="0"/>
    </xf>
    <xf numFmtId="43" fontId="85" fillId="0" borderId="0" xfId="42" applyNumberFormat="1" applyFont="1" applyBorder="1" applyAlignment="1">
      <alignment vertical="center"/>
    </xf>
    <xf numFmtId="0" fontId="74" fillId="0" borderId="0" xfId="62" applyFont="1">
      <protection locked="0"/>
    </xf>
    <xf numFmtId="190" fontId="30" fillId="0" borderId="0" xfId="0" applyFont="1" applyAlignment="1">
      <alignment horizontal="center" vertical="center"/>
    </xf>
    <xf numFmtId="190" fontId="9" fillId="0" borderId="0" xfId="0" applyFont="1" applyAlignment="1" applyProtection="1">
      <alignment horizontal="left" vertical="center" wrapText="1"/>
      <protection locked="0"/>
    </xf>
    <xf numFmtId="190" fontId="7" fillId="0" borderId="0" xfId="0" applyFont="1" applyAlignment="1" applyProtection="1">
      <alignment horizontal="left" vertical="center" wrapText="1"/>
      <protection locked="0"/>
    </xf>
    <xf numFmtId="190" fontId="11" fillId="0" borderId="3" xfId="33" applyFont="1" applyBorder="1" applyAlignment="1">
      <alignment horizontal="center" vertical="center" wrapText="1"/>
      <protection locked="0"/>
    </xf>
    <xf numFmtId="190" fontId="4" fillId="6" borderId="3" xfId="52" applyFont="1" applyFill="1" applyBorder="1" applyAlignment="1">
      <alignment horizontal="center" vertical="center" wrapText="1"/>
      <protection locked="0"/>
    </xf>
    <xf numFmtId="190" fontId="10" fillId="0" borderId="3" xfId="33" applyFont="1" applyBorder="1" applyAlignment="1">
      <alignment horizontal="left" vertical="center" wrapText="1"/>
      <protection locked="0"/>
    </xf>
    <xf numFmtId="190" fontId="8" fillId="0" borderId="0" xfId="39" applyFont="1" applyAlignment="1">
      <alignment horizontal="center" vertical="center"/>
    </xf>
    <xf numFmtId="190" fontId="56" fillId="0" borderId="0" xfId="39" applyFont="1" applyAlignment="1">
      <alignment horizontal="center" vertical="center"/>
    </xf>
    <xf numFmtId="190" fontId="4" fillId="0" borderId="0" xfId="52" applyFont="1" applyAlignment="1">
      <alignment horizontal="left" vertical="center"/>
      <protection locked="0"/>
    </xf>
    <xf numFmtId="190" fontId="6" fillId="6" borderId="3" xfId="33" applyFont="1" applyFill="1" applyBorder="1" applyAlignment="1">
      <alignment horizontal="center" vertical="center" wrapText="1"/>
      <protection locked="0"/>
    </xf>
    <xf numFmtId="190" fontId="4" fillId="5" borderId="3" xfId="52" applyFont="1" applyFill="1" applyBorder="1" applyAlignment="1">
      <alignment horizontal="center" vertical="center" wrapText="1"/>
      <protection locked="0"/>
    </xf>
    <xf numFmtId="190" fontId="55" fillId="5" borderId="9" xfId="33" applyFont="1" applyFill="1" applyBorder="1" applyAlignment="1">
      <alignment horizontal="center" vertical="center"/>
      <protection locked="0"/>
    </xf>
    <xf numFmtId="190" fontId="55" fillId="5" borderId="10" xfId="33" applyFont="1" applyFill="1" applyBorder="1" applyAlignment="1">
      <alignment horizontal="center" vertical="center"/>
      <protection locked="0"/>
    </xf>
    <xf numFmtId="190" fontId="4" fillId="0" borderId="0" xfId="33" applyFont="1" applyAlignment="1">
      <alignment horizontal="left" vertical="center"/>
      <protection locked="0"/>
    </xf>
    <xf numFmtId="190" fontId="6" fillId="0" borderId="0" xfId="33" applyFont="1" applyAlignment="1">
      <alignment horizontal="left" vertical="center"/>
      <protection locked="0"/>
    </xf>
    <xf numFmtId="49" fontId="4" fillId="5" borderId="8" xfId="33" applyNumberFormat="1" applyFont="1" applyFill="1" applyBorder="1" applyAlignment="1">
      <alignment horizontal="center" vertical="center"/>
      <protection locked="0"/>
    </xf>
    <xf numFmtId="49" fontId="4" fillId="5" borderId="15" xfId="33" applyNumberFormat="1" applyFont="1" applyFill="1" applyBorder="1" applyAlignment="1">
      <alignment horizontal="center" vertical="center"/>
      <protection locked="0"/>
    </xf>
    <xf numFmtId="190" fontId="4" fillId="5" borderId="3" xfId="53" applyFont="1" applyFill="1" applyBorder="1" applyAlignment="1" applyProtection="1">
      <alignment horizontal="center" vertical="center" wrapText="1"/>
      <protection locked="0"/>
    </xf>
    <xf numFmtId="190" fontId="4" fillId="5" borderId="8" xfId="33" applyFont="1" applyFill="1" applyBorder="1" applyAlignment="1">
      <alignment horizontal="center" vertical="center" wrapText="1"/>
      <protection locked="0"/>
    </xf>
    <xf numFmtId="190" fontId="4" fillId="5" borderId="15" xfId="33" applyFont="1" applyFill="1" applyBorder="1" applyAlignment="1">
      <alignment horizontal="center" vertical="center" wrapText="1"/>
      <protection locked="0"/>
    </xf>
    <xf numFmtId="10" fontId="41" fillId="0" borderId="0" xfId="31" applyNumberFormat="1" applyFont="1" applyBorder="1" applyAlignment="1">
      <alignment horizontal="left" vertical="center"/>
    </xf>
    <xf numFmtId="190" fontId="34" fillId="5" borderId="3" xfId="0" applyFont="1" applyFill="1" applyBorder="1" applyAlignment="1">
      <alignment horizontal="center" vertical="center"/>
    </xf>
    <xf numFmtId="190" fontId="34" fillId="5" borderId="3" xfId="0" applyFont="1" applyFill="1" applyBorder="1">
      <alignment vertical="center"/>
    </xf>
    <xf numFmtId="43" fontId="8" fillId="0" borderId="0" xfId="42" applyNumberFormat="1" applyFont="1" applyBorder="1" applyAlignment="1">
      <alignment horizontal="center" vertical="center"/>
    </xf>
    <xf numFmtId="43" fontId="56" fillId="0" borderId="0" xfId="42" applyNumberFormat="1" applyFont="1" applyBorder="1" applyAlignment="1">
      <alignment horizontal="center" vertical="center"/>
    </xf>
    <xf numFmtId="190" fontId="29" fillId="5" borderId="3" xfId="0" applyFont="1" applyFill="1" applyBorder="1" applyAlignment="1">
      <alignment horizontal="center" vertical="center"/>
    </xf>
    <xf numFmtId="190" fontId="36" fillId="5" borderId="3" xfId="0" applyFont="1" applyFill="1" applyBorder="1">
      <alignment vertical="center"/>
    </xf>
    <xf numFmtId="190" fontId="4" fillId="5" borderId="9" xfId="36" applyFont="1" applyFill="1" applyBorder="1" applyAlignment="1" applyProtection="1">
      <alignment horizontal="center" vertical="center" wrapText="1"/>
      <protection locked="0"/>
    </xf>
    <xf numFmtId="190" fontId="6" fillId="5" borderId="10" xfId="36" applyFont="1" applyFill="1" applyBorder="1" applyAlignment="1" applyProtection="1">
      <alignment horizontal="center" vertical="center" wrapText="1"/>
      <protection locked="0"/>
    </xf>
    <xf numFmtId="190" fontId="6" fillId="5" borderId="11" xfId="36" applyFont="1" applyFill="1" applyBorder="1" applyAlignment="1" applyProtection="1">
      <alignment horizontal="center" vertical="center" wrapText="1"/>
      <protection locked="0"/>
    </xf>
    <xf numFmtId="190" fontId="4" fillId="6" borderId="9" xfId="36" applyFont="1" applyFill="1" applyBorder="1" applyAlignment="1" applyProtection="1">
      <alignment horizontal="center" vertical="center" wrapText="1"/>
      <protection locked="0"/>
    </xf>
    <xf numFmtId="190" fontId="6" fillId="6" borderId="10" xfId="36" applyFont="1" applyFill="1" applyBorder="1" applyAlignment="1" applyProtection="1">
      <alignment horizontal="center" vertical="center" wrapText="1"/>
      <protection locked="0"/>
    </xf>
    <xf numFmtId="190" fontId="6" fillId="6" borderId="11" xfId="36" applyFont="1" applyFill="1" applyBorder="1" applyAlignment="1" applyProtection="1">
      <alignment horizontal="center" vertical="center" wrapText="1"/>
      <protection locked="0"/>
    </xf>
    <xf numFmtId="190" fontId="29" fillId="5" borderId="3" xfId="34" applyFont="1" applyFill="1" applyBorder="1" applyAlignment="1">
      <alignment horizontal="center" vertical="center" wrapText="1"/>
      <protection locked="0"/>
    </xf>
    <xf numFmtId="190" fontId="4" fillId="5" borderId="3" xfId="34" applyFont="1" applyFill="1" applyBorder="1" applyAlignment="1">
      <alignment horizontal="center" vertical="center" wrapText="1"/>
      <protection locked="0"/>
    </xf>
    <xf numFmtId="190" fontId="8" fillId="0" borderId="0" xfId="40" applyFont="1" applyAlignment="1">
      <alignment horizontal="center" vertical="center"/>
    </xf>
    <xf numFmtId="43" fontId="56" fillId="0" borderId="0" xfId="42" applyNumberFormat="1" applyFont="1" applyFill="1" applyBorder="1" applyAlignment="1">
      <alignment horizontal="center" vertical="center"/>
    </xf>
    <xf numFmtId="43" fontId="79" fillId="0" borderId="0" xfId="42" applyNumberFormat="1" applyFont="1" applyBorder="1" applyAlignment="1">
      <alignment horizontal="center" vertical="center"/>
    </xf>
    <xf numFmtId="43" fontId="80" fillId="0" borderId="0" xfId="42" applyNumberFormat="1" applyFont="1" applyBorder="1" applyAlignment="1">
      <alignment horizontal="center" vertical="center"/>
    </xf>
    <xf numFmtId="190" fontId="64" fillId="0" borderId="0" xfId="52" applyFont="1" applyAlignment="1">
      <alignment horizontal="left" vertical="center" wrapText="1"/>
      <protection locked="0"/>
    </xf>
    <xf numFmtId="190" fontId="7" fillId="0" borderId="0" xfId="52" applyFont="1" applyAlignment="1">
      <alignment horizontal="left" vertical="center" wrapText="1"/>
      <protection locked="0"/>
    </xf>
    <xf numFmtId="190" fontId="9" fillId="0" borderId="0" xfId="39" applyFont="1" applyAlignment="1">
      <alignment horizontal="center" vertical="center"/>
    </xf>
    <xf numFmtId="190" fontId="80" fillId="0" borderId="0" xfId="39" applyFont="1" applyAlignment="1">
      <alignment horizontal="center" vertical="center"/>
    </xf>
    <xf numFmtId="190" fontId="79" fillId="0" borderId="0" xfId="33" applyFont="1" applyAlignment="1">
      <alignment horizontal="center" vertical="center"/>
      <protection locked="0"/>
    </xf>
    <xf numFmtId="190" fontId="81" fillId="0" borderId="0" xfId="33" applyFont="1" applyAlignment="1">
      <alignment horizontal="center" vertical="center"/>
      <protection locked="0"/>
    </xf>
    <xf numFmtId="190" fontId="4" fillId="5" borderId="3" xfId="33" applyFont="1" applyFill="1" applyBorder="1" applyAlignment="1">
      <alignment horizontal="center" vertical="center" wrapText="1"/>
      <protection locked="0"/>
    </xf>
    <xf numFmtId="190" fontId="6" fillId="5" borderId="3" xfId="33" applyFont="1" applyFill="1" applyBorder="1" applyAlignment="1">
      <alignment horizontal="center" vertical="center" wrapText="1"/>
      <protection locked="0"/>
    </xf>
    <xf numFmtId="190" fontId="4" fillId="5" borderId="3" xfId="33" applyFont="1" applyFill="1" applyBorder="1" applyAlignment="1">
      <alignment horizontal="center" vertical="center"/>
      <protection locked="0"/>
    </xf>
    <xf numFmtId="190" fontId="6" fillId="5" borderId="3" xfId="33" applyFont="1" applyFill="1" applyBorder="1" applyAlignment="1">
      <alignment horizontal="center" vertical="center"/>
      <protection locked="0"/>
    </xf>
    <xf numFmtId="190" fontId="4" fillId="5" borderId="9" xfId="33" applyFont="1" applyFill="1" applyBorder="1" applyAlignment="1">
      <alignment horizontal="center" vertical="center"/>
      <protection locked="0"/>
    </xf>
    <xf numFmtId="190" fontId="4" fillId="5" borderId="10" xfId="33" applyFont="1" applyFill="1" applyBorder="1" applyAlignment="1">
      <alignment horizontal="center" vertical="center"/>
      <protection locked="0"/>
    </xf>
    <xf numFmtId="190" fontId="4" fillId="5" borderId="11" xfId="33" applyFont="1" applyFill="1" applyBorder="1" applyAlignment="1">
      <alignment horizontal="center" vertical="center"/>
      <protection locked="0"/>
    </xf>
    <xf numFmtId="190" fontId="74" fillId="0" borderId="0" xfId="41" applyFont="1" applyAlignment="1">
      <alignment horizontal="left" vertical="center" wrapText="1"/>
    </xf>
    <xf numFmtId="190" fontId="4" fillId="6" borderId="3" xfId="33" applyFont="1" applyFill="1" applyBorder="1" applyAlignment="1">
      <alignment horizontal="center" vertical="center" wrapText="1"/>
      <protection locked="0"/>
    </xf>
    <xf numFmtId="190" fontId="4" fillId="6" borderId="3" xfId="33" applyFont="1" applyFill="1" applyBorder="1" applyAlignment="1">
      <alignment horizontal="center" vertical="center"/>
      <protection locked="0"/>
    </xf>
    <xf numFmtId="190" fontId="6" fillId="6" borderId="3" xfId="33" applyFont="1" applyFill="1" applyBorder="1" applyAlignment="1">
      <alignment horizontal="center" vertical="center"/>
      <protection locked="0"/>
    </xf>
    <xf numFmtId="190" fontId="4" fillId="6" borderId="9" xfId="33" applyFont="1" applyFill="1" applyBorder="1" applyAlignment="1">
      <alignment horizontal="center" vertical="center"/>
      <protection locked="0"/>
    </xf>
    <xf numFmtId="190" fontId="4" fillId="6" borderId="10" xfId="33" applyFont="1" applyFill="1" applyBorder="1" applyAlignment="1">
      <alignment horizontal="center" vertical="center"/>
      <protection locked="0"/>
    </xf>
    <xf numFmtId="190" fontId="4" fillId="6" borderId="11" xfId="33" applyFont="1" applyFill="1" applyBorder="1" applyAlignment="1">
      <alignment horizontal="center" vertical="center"/>
      <protection locked="0"/>
    </xf>
    <xf numFmtId="190" fontId="10" fillId="0" borderId="0" xfId="41" applyFont="1" applyFill="1" applyAlignment="1">
      <alignment horizontal="left" vertical="center" wrapText="1"/>
    </xf>
    <xf numFmtId="43" fontId="6" fillId="6" borderId="3" xfId="50" applyFont="1" applyFill="1" applyBorder="1" applyAlignment="1" applyProtection="1">
      <alignment horizontal="center" vertical="center"/>
      <protection locked="0"/>
    </xf>
    <xf numFmtId="190" fontId="4" fillId="6" borderId="3" xfId="52" applyFont="1" applyFill="1" applyBorder="1" applyAlignment="1">
      <alignment horizontal="center" vertical="center"/>
      <protection locked="0"/>
    </xf>
    <xf numFmtId="14" fontId="4" fillId="6" borderId="3" xfId="33" applyNumberFormat="1" applyFont="1" applyFill="1" applyBorder="1" applyAlignment="1">
      <alignment horizontal="center" vertical="center"/>
      <protection locked="0"/>
    </xf>
    <xf numFmtId="43" fontId="6" fillId="6" borderId="9" xfId="50" applyFont="1" applyFill="1" applyBorder="1" applyAlignment="1" applyProtection="1">
      <alignment horizontal="center" vertical="center"/>
      <protection locked="0"/>
    </xf>
    <xf numFmtId="43" fontId="6" fillId="6" borderId="11" xfId="50" applyFont="1" applyFill="1" applyBorder="1" applyAlignment="1" applyProtection="1">
      <alignment horizontal="center" vertical="center"/>
      <protection locked="0"/>
    </xf>
    <xf numFmtId="43" fontId="10" fillId="0" borderId="9" xfId="50" applyFont="1" applyBorder="1" applyAlignment="1" applyProtection="1">
      <alignment horizontal="left" vertical="center"/>
      <protection locked="0"/>
    </xf>
    <xf numFmtId="43" fontId="10" fillId="0" borderId="11" xfId="50" applyFont="1" applyBorder="1" applyAlignment="1" applyProtection="1">
      <alignment horizontal="left" vertical="center"/>
      <protection locked="0"/>
    </xf>
    <xf numFmtId="49" fontId="52" fillId="0" borderId="9" xfId="52" applyNumberFormat="1" applyFont="1" applyBorder="1" applyAlignment="1">
      <alignment horizontal="left" vertical="center"/>
      <protection locked="0"/>
    </xf>
    <xf numFmtId="49" fontId="52" fillId="0" borderId="11" xfId="52" applyNumberFormat="1" applyFont="1" applyBorder="1" applyAlignment="1">
      <alignment horizontal="left" vertical="center"/>
      <protection locked="0"/>
    </xf>
    <xf numFmtId="190" fontId="8" fillId="0" borderId="0" xfId="33" applyFont="1" applyAlignment="1">
      <alignment horizontal="center" vertical="center"/>
      <protection locked="0"/>
    </xf>
    <xf numFmtId="190" fontId="56" fillId="0" borderId="0" xfId="33" applyFont="1" applyAlignment="1">
      <alignment horizontal="center" vertical="center"/>
      <protection locked="0"/>
    </xf>
    <xf numFmtId="190" fontId="4" fillId="6" borderId="3" xfId="61" applyFont="1" applyFill="1" applyBorder="1" applyAlignment="1">
      <alignment horizontal="center" vertical="center"/>
      <protection locked="0"/>
    </xf>
    <xf numFmtId="190" fontId="6" fillId="6" borderId="3" xfId="61" applyFont="1" applyFill="1" applyBorder="1" applyAlignment="1">
      <alignment horizontal="center" vertical="center"/>
      <protection locked="0"/>
    </xf>
    <xf numFmtId="190" fontId="4" fillId="8" borderId="8" xfId="51" applyFont="1" applyFill="1" applyBorder="1" applyAlignment="1" applyProtection="1">
      <alignment horizontal="center" vertical="center" wrapText="1"/>
    </xf>
    <xf numFmtId="190" fontId="4" fillId="8" borderId="15" xfId="51" applyFont="1" applyFill="1" applyBorder="1" applyAlignment="1" applyProtection="1">
      <alignment horizontal="center" vertical="center" wrapText="1"/>
    </xf>
    <xf numFmtId="190" fontId="6" fillId="6" borderId="9" xfId="0" applyFont="1" applyFill="1" applyBorder="1" applyAlignment="1" applyProtection="1">
      <alignment horizontal="center" vertical="center"/>
      <protection locked="0"/>
    </xf>
    <xf numFmtId="190" fontId="6" fillId="6" borderId="10" xfId="0" applyFont="1" applyFill="1" applyBorder="1" applyAlignment="1" applyProtection="1">
      <alignment horizontal="center" vertical="center"/>
      <protection locked="0"/>
    </xf>
    <xf numFmtId="190" fontId="4" fillId="8" borderId="3" xfId="51" applyFont="1" applyFill="1" applyBorder="1" applyAlignment="1" applyProtection="1">
      <alignment horizontal="center" vertical="center" wrapText="1"/>
    </xf>
    <xf numFmtId="190" fontId="4" fillId="6" borderId="3" xfId="61" applyFont="1" applyFill="1" applyBorder="1" applyAlignment="1">
      <alignment horizontal="center" vertical="center" wrapText="1"/>
      <protection locked="0"/>
    </xf>
  </cellXfs>
  <cellStyles count="65">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Black" xfId="11"/>
    <cellStyle name="Border" xfId="12"/>
    <cellStyle name="Comma [0]_1995" xfId="13"/>
    <cellStyle name="Comma_1995" xfId="14"/>
    <cellStyle name="Currency [0]_1995" xfId="15"/>
    <cellStyle name="Currency_1995" xfId="16"/>
    <cellStyle name="Dezimal [0]_laroux" xfId="17"/>
    <cellStyle name="Dezimal_laroux" xfId="18"/>
    <cellStyle name="Euro" xfId="19"/>
    <cellStyle name="Followed Hyperlink_AheadBehind.xls Chart 23" xfId="20"/>
    <cellStyle name="Grey" xfId="21"/>
    <cellStyle name="Hyperlink_AheadBehind.xls Chart 23" xfId="22"/>
    <cellStyle name="Input [yellow]" xfId="23"/>
    <cellStyle name="Milliers [0]_laroux" xfId="24"/>
    <cellStyle name="Milliers_laroux" xfId="25"/>
    <cellStyle name="Non défini" xfId="26"/>
    <cellStyle name="Normal - Style1" xfId="27"/>
    <cellStyle name="Normal_22-Jun EUS Forecasts" xfId="28"/>
    <cellStyle name="Percent [2]" xfId="29"/>
    <cellStyle name="Red" xfId="30"/>
    <cellStyle name="百分比" xfId="31" builtinId="5"/>
    <cellStyle name="百分比 2" xfId="57"/>
    <cellStyle name="常规" xfId="0" builtinId="0"/>
    <cellStyle name="常规 10 2" xfId="32"/>
    <cellStyle name="常规 11 5" xfId="64"/>
    <cellStyle name="常规 2" xfId="33"/>
    <cellStyle name="常规 2 2" xfId="61"/>
    <cellStyle name="常规 2 2 4" xfId="62"/>
    <cellStyle name="常规 2 3" xfId="51"/>
    <cellStyle name="常规 2 8" xfId="52"/>
    <cellStyle name="常规 2 8 2" xfId="63"/>
    <cellStyle name="常规 3" xfId="34"/>
    <cellStyle name="常规 3 2" xfId="35"/>
    <cellStyle name="常规 4" xfId="36"/>
    <cellStyle name="常规 4 2" xfId="54"/>
    <cellStyle name="常规 4 2 2" xfId="55"/>
    <cellStyle name="常规 5" xfId="37"/>
    <cellStyle name="常规 6" xfId="58"/>
    <cellStyle name="常规 7" xfId="53"/>
    <cellStyle name="常规 7 2" xfId="60"/>
    <cellStyle name="常规_2-1项目审定表－模板" xfId="38"/>
    <cellStyle name="常规_Book1" xfId="39"/>
    <cellStyle name="常规_c-资产类" xfId="40"/>
    <cellStyle name="常规_进一步审计程序--销售与收款循环" xfId="41"/>
    <cellStyle name="常规_新审定表" xfId="42"/>
    <cellStyle name="常规_制造费用" xfId="43"/>
    <cellStyle name="超链接" xfId="44" builtinId="8"/>
    <cellStyle name="超链接 2" xfId="59"/>
    <cellStyle name="超链接 3 2" xfId="56"/>
    <cellStyle name="普通_ 外G9(3)" xfId="45"/>
    <cellStyle name="千分位[0]_宁波" xfId="46"/>
    <cellStyle name="千分位_宁波" xfId="47"/>
    <cellStyle name="千位[0]_laroux" xfId="48"/>
    <cellStyle name="千位_laroux" xfId="49"/>
    <cellStyle name="千位分隔" xfId="50" builtinId="3"/>
  </cellStyles>
  <dxfs count="9">
    <dxf>
      <font>
        <color indexed="12"/>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2"/>
      </font>
    </dxf>
    <dxf>
      <font>
        <condense val="0"/>
        <extend val="0"/>
        <color indexed="12"/>
      </font>
    </dxf>
  </dxfs>
  <tableStyles count="0" defaultTableStyle="TableStyleMedium9" defaultPivotStyle="PivotStyleLight16"/>
  <colors>
    <mruColors>
      <color rgb="FFE4DFE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19"/>
  <sheetViews>
    <sheetView tabSelected="1" workbookViewId="0"/>
  </sheetViews>
  <sheetFormatPr defaultColWidth="9.109375" defaultRowHeight="13.8"/>
  <cols>
    <col min="1" max="1" width="93.88671875" style="46" bestFit="1" customWidth="1"/>
    <col min="2" max="2" width="5.6640625" style="49" bestFit="1" customWidth="1"/>
    <col min="3" max="3" width="33.77734375" style="46" customWidth="1"/>
    <col min="4" max="4" width="10.21875" style="49" customWidth="1"/>
    <col min="5" max="5" width="9.6640625" style="46" customWidth="1"/>
    <col min="6" max="16384" width="9.109375" style="46"/>
  </cols>
  <sheetData>
    <row r="1" spans="1:6" s="42" customFormat="1" ht="22.5" customHeight="1">
      <c r="A1" s="93" t="s">
        <v>254</v>
      </c>
      <c r="B1" s="343" t="s">
        <v>47</v>
      </c>
      <c r="C1" s="343"/>
      <c r="D1" s="343"/>
      <c r="E1" s="343"/>
    </row>
    <row r="2" spans="1:6" s="43" customFormat="1" ht="22.5" customHeight="1">
      <c r="A2" s="203" t="s">
        <v>347</v>
      </c>
      <c r="B2" s="44"/>
      <c r="C2" s="44"/>
      <c r="D2" s="44"/>
      <c r="E2" s="44"/>
    </row>
    <row r="3" spans="1:6" s="44" customFormat="1" ht="19.8" customHeight="1">
      <c r="A3" s="157" t="s">
        <v>360</v>
      </c>
      <c r="B3" s="45" t="s">
        <v>48</v>
      </c>
      <c r="C3" s="45" t="s">
        <v>49</v>
      </c>
      <c r="D3" s="45" t="s">
        <v>50</v>
      </c>
      <c r="E3" s="45" t="s">
        <v>51</v>
      </c>
    </row>
    <row r="4" spans="1:6" ht="19.8" customHeight="1">
      <c r="A4" s="296" t="s">
        <v>348</v>
      </c>
      <c r="B4" s="218">
        <v>1</v>
      </c>
      <c r="C4" s="292" t="s">
        <v>327</v>
      </c>
      <c r="D4" s="293" t="s">
        <v>172</v>
      </c>
      <c r="E4" s="48"/>
    </row>
    <row r="5" spans="1:6" ht="19.8" customHeight="1">
      <c r="A5" s="296" t="s">
        <v>349</v>
      </c>
      <c r="B5" s="218">
        <v>2</v>
      </c>
      <c r="C5" s="292" t="s">
        <v>333</v>
      </c>
      <c r="D5" s="293" t="s">
        <v>173</v>
      </c>
      <c r="E5" s="47"/>
    </row>
    <row r="6" spans="1:6" ht="19.8" customHeight="1">
      <c r="A6" s="296" t="s">
        <v>350</v>
      </c>
      <c r="B6" s="218">
        <v>3</v>
      </c>
      <c r="C6" s="291" t="s">
        <v>328</v>
      </c>
      <c r="D6" s="293"/>
      <c r="E6" s="48"/>
      <c r="F6" s="213" t="s">
        <v>231</v>
      </c>
    </row>
    <row r="7" spans="1:6" ht="19.8" customHeight="1">
      <c r="A7" s="296" t="s">
        <v>351</v>
      </c>
      <c r="B7" s="218">
        <v>4</v>
      </c>
      <c r="C7" s="291" t="s">
        <v>332</v>
      </c>
      <c r="D7" s="293"/>
      <c r="E7" s="48"/>
      <c r="F7" s="213" t="s">
        <v>232</v>
      </c>
    </row>
    <row r="8" spans="1:6" ht="19.8" customHeight="1">
      <c r="B8" s="218">
        <v>5</v>
      </c>
      <c r="C8" s="291" t="s">
        <v>329</v>
      </c>
      <c r="D8" s="293" t="s">
        <v>174</v>
      </c>
      <c r="E8" s="48"/>
    </row>
    <row r="9" spans="1:6" ht="19.8" customHeight="1">
      <c r="A9" s="316" t="s">
        <v>361</v>
      </c>
      <c r="B9" s="218">
        <v>6</v>
      </c>
      <c r="C9" s="291" t="s">
        <v>330</v>
      </c>
      <c r="D9" s="293" t="s">
        <v>175</v>
      </c>
      <c r="E9" s="48"/>
    </row>
    <row r="10" spans="1:6" ht="19.8" customHeight="1">
      <c r="A10" s="344" t="s">
        <v>362</v>
      </c>
      <c r="B10" s="218">
        <v>7</v>
      </c>
      <c r="C10" s="291" t="s">
        <v>331</v>
      </c>
      <c r="D10" s="293" t="s">
        <v>176</v>
      </c>
      <c r="E10" s="48"/>
    </row>
    <row r="11" spans="1:6" ht="19.8" customHeight="1">
      <c r="A11" s="344"/>
      <c r="B11" s="218">
        <v>9</v>
      </c>
      <c r="C11" s="291" t="s">
        <v>325</v>
      </c>
      <c r="D11" s="293" t="s">
        <v>233</v>
      </c>
      <c r="E11" s="48"/>
    </row>
    <row r="12" spans="1:6" ht="19.8" customHeight="1">
      <c r="A12" s="344"/>
      <c r="B12" s="218">
        <v>8</v>
      </c>
      <c r="C12" s="291" t="s">
        <v>326</v>
      </c>
      <c r="D12" s="293" t="s">
        <v>334</v>
      </c>
      <c r="E12" s="48"/>
    </row>
    <row r="13" spans="1:6" ht="19.8" customHeight="1">
      <c r="A13" s="344"/>
      <c r="B13" s="218"/>
      <c r="C13" s="291" t="s">
        <v>323</v>
      </c>
      <c r="D13" s="293" t="s">
        <v>335</v>
      </c>
      <c r="E13" s="48"/>
    </row>
    <row r="14" spans="1:6" ht="19.8" customHeight="1">
      <c r="A14" s="344" t="s">
        <v>363</v>
      </c>
      <c r="B14" s="218">
        <v>10</v>
      </c>
      <c r="C14" s="291" t="s">
        <v>324</v>
      </c>
      <c r="D14" s="293" t="s">
        <v>234</v>
      </c>
      <c r="E14" s="48"/>
    </row>
    <row r="15" spans="1:6">
      <c r="A15" s="344"/>
    </row>
    <row r="16" spans="1:6">
      <c r="A16" s="344"/>
    </row>
    <row r="17" spans="1:1">
      <c r="A17" s="345" t="s">
        <v>364</v>
      </c>
    </row>
    <row r="18" spans="1:1">
      <c r="A18" s="345"/>
    </row>
    <row r="19" spans="1:1">
      <c r="A19" s="345"/>
    </row>
  </sheetData>
  <mergeCells count="4">
    <mergeCell ref="B1:E1"/>
    <mergeCell ref="A10:A13"/>
    <mergeCell ref="A14:A16"/>
    <mergeCell ref="A17:A19"/>
  </mergeCells>
  <phoneticPr fontId="31" type="noConversion"/>
  <hyperlinks>
    <hyperlink ref="C5" location="'审定表K8-1'!Print_Area" display="审定表"/>
    <hyperlink ref="C6" location="'附注披露信息（上市公司）'!A1" display="附注披露信息（上市公司）"/>
    <hyperlink ref="C7" location="'附注披露信息（国企）'!A1" display="附注披露信息（国企）"/>
    <hyperlink ref="C8" location="'明细表K8-2'!Print_Area" display="明细表"/>
    <hyperlink ref="C10" location="'实质性分析K8-4'!Print_Area" display="实质性分析"/>
    <hyperlink ref="C12" location="'截止性测试(从记账凭证至原始凭证）K8-6'!A1" display="截止性测试(从记账凭证至原始凭证）"/>
    <hyperlink ref="C11" location="'合同检查表K8-5'!A1" display="合同检查表"/>
    <hyperlink ref="C14" location="'销售费用检查表K8-8'!A1" display="销售费用检查表"/>
    <hyperlink ref="C4" location="实质性程序表K8A!Print_Area" display="实质性程序表"/>
    <hyperlink ref="C9" location="'调整分录汇总K8-3'!Print_Area" display="调整分录汇总"/>
    <hyperlink ref="C13" location="'截止性测试（从原始凭证至记账凭证）K8-7'!A1" display="截止性测试（从原始凭证至记账凭证）"/>
  </hyperlinks>
  <pageMargins left="0.70866141732283472" right="0.70866141732283472" top="0.74803149606299213" bottom="0.74803149606299213" header="0.31496062992125984" footer="0.31496062992125984"/>
  <pageSetup paperSize="9" orientation="portrait" blackAndWhite="1"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J35"/>
  <sheetViews>
    <sheetView view="pageBreakPreview" zoomScaleNormal="100" zoomScaleSheetLayoutView="100" workbookViewId="0">
      <selection sqref="A1:I1"/>
    </sheetView>
  </sheetViews>
  <sheetFormatPr defaultRowHeight="13.8"/>
  <cols>
    <col min="1" max="1" width="5.5546875" style="118" customWidth="1"/>
    <col min="2" max="2" width="75.21875" style="59" customWidth="1"/>
    <col min="3" max="3" width="11.77734375" style="59" customWidth="1"/>
    <col min="4" max="4" width="6.6640625" style="59" customWidth="1"/>
    <col min="5" max="6" width="7.6640625" style="59" customWidth="1"/>
    <col min="7" max="7" width="6.44140625" style="59" customWidth="1"/>
    <col min="8" max="9" width="7.5546875" style="59" customWidth="1"/>
    <col min="10" max="10" width="65.5546875" style="59" customWidth="1"/>
    <col min="11" max="251" width="9.109375" style="59"/>
    <col min="252" max="252" width="9.44140625" style="59" customWidth="1"/>
    <col min="253" max="253" width="102" style="59" customWidth="1"/>
    <col min="254" max="254" width="0" style="59" hidden="1" customWidth="1"/>
    <col min="255" max="255" width="6.109375" style="59" customWidth="1"/>
    <col min="256" max="256" width="15.5546875" style="59" customWidth="1"/>
    <col min="257" max="257" width="7.44140625" style="59" customWidth="1"/>
    <col min="258" max="258" width="7.6640625" style="59" customWidth="1"/>
    <col min="259" max="259" width="6.33203125" style="59" customWidth="1"/>
    <col min="260" max="260" width="7.5546875" style="59" customWidth="1"/>
    <col min="261" max="261" width="11" style="59" customWidth="1"/>
    <col min="262" max="262" width="11.5546875" style="59" customWidth="1"/>
    <col min="263" max="263" width="26" style="59" customWidth="1"/>
    <col min="264" max="507" width="9.109375" style="59"/>
    <col min="508" max="508" width="9.44140625" style="59" customWidth="1"/>
    <col min="509" max="509" width="102" style="59" customWidth="1"/>
    <col min="510" max="510" width="0" style="59" hidden="1" customWidth="1"/>
    <col min="511" max="511" width="6.109375" style="59" customWidth="1"/>
    <col min="512" max="512" width="15.5546875" style="59" customWidth="1"/>
    <col min="513" max="513" width="7.44140625" style="59" customWidth="1"/>
    <col min="514" max="514" width="7.6640625" style="59" customWidth="1"/>
    <col min="515" max="515" width="6.33203125" style="59" customWidth="1"/>
    <col min="516" max="516" width="7.5546875" style="59" customWidth="1"/>
    <col min="517" max="517" width="11" style="59" customWidth="1"/>
    <col min="518" max="518" width="11.5546875" style="59" customWidth="1"/>
    <col min="519" max="519" width="26" style="59" customWidth="1"/>
    <col min="520" max="763" width="9.109375" style="59"/>
    <col min="764" max="764" width="9.44140625" style="59" customWidth="1"/>
    <col min="765" max="765" width="102" style="59" customWidth="1"/>
    <col min="766" max="766" width="0" style="59" hidden="1" customWidth="1"/>
    <col min="767" max="767" width="6.109375" style="59" customWidth="1"/>
    <col min="768" max="768" width="15.5546875" style="59" customWidth="1"/>
    <col min="769" max="769" width="7.44140625" style="59" customWidth="1"/>
    <col min="770" max="770" width="7.6640625" style="59" customWidth="1"/>
    <col min="771" max="771" width="6.33203125" style="59" customWidth="1"/>
    <col min="772" max="772" width="7.5546875" style="59" customWidth="1"/>
    <col min="773" max="773" width="11" style="59" customWidth="1"/>
    <col min="774" max="774" width="11.5546875" style="59" customWidth="1"/>
    <col min="775" max="775" width="26" style="59" customWidth="1"/>
    <col min="776" max="1019" width="9.109375" style="59"/>
    <col min="1020" max="1020" width="9.44140625" style="59" customWidth="1"/>
    <col min="1021" max="1021" width="102" style="59" customWidth="1"/>
    <col min="1022" max="1022" width="0" style="59" hidden="1" customWidth="1"/>
    <col min="1023" max="1023" width="6.109375" style="59" customWidth="1"/>
    <col min="1024" max="1024" width="15.5546875" style="59" customWidth="1"/>
    <col min="1025" max="1025" width="7.44140625" style="59" customWidth="1"/>
    <col min="1026" max="1026" width="7.6640625" style="59" customWidth="1"/>
    <col min="1027" max="1027" width="6.33203125" style="59" customWidth="1"/>
    <col min="1028" max="1028" width="7.5546875" style="59" customWidth="1"/>
    <col min="1029" max="1029" width="11" style="59" customWidth="1"/>
    <col min="1030" max="1030" width="11.5546875" style="59" customWidth="1"/>
    <col min="1031" max="1031" width="26" style="59" customWidth="1"/>
    <col min="1032" max="1275" width="9.109375" style="59"/>
    <col min="1276" max="1276" width="9.44140625" style="59" customWidth="1"/>
    <col min="1277" max="1277" width="102" style="59" customWidth="1"/>
    <col min="1278" max="1278" width="0" style="59" hidden="1" customWidth="1"/>
    <col min="1279" max="1279" width="6.109375" style="59" customWidth="1"/>
    <col min="1280" max="1280" width="15.5546875" style="59" customWidth="1"/>
    <col min="1281" max="1281" width="7.44140625" style="59" customWidth="1"/>
    <col min="1282" max="1282" width="7.6640625" style="59" customWidth="1"/>
    <col min="1283" max="1283" width="6.33203125" style="59" customWidth="1"/>
    <col min="1284" max="1284" width="7.5546875" style="59" customWidth="1"/>
    <col min="1285" max="1285" width="11" style="59" customWidth="1"/>
    <col min="1286" max="1286" width="11.5546875" style="59" customWidth="1"/>
    <col min="1287" max="1287" width="26" style="59" customWidth="1"/>
    <col min="1288" max="1531" width="9.109375" style="59"/>
    <col min="1532" max="1532" width="9.44140625" style="59" customWidth="1"/>
    <col min="1533" max="1533" width="102" style="59" customWidth="1"/>
    <col min="1534" max="1534" width="0" style="59" hidden="1" customWidth="1"/>
    <col min="1535" max="1535" width="6.109375" style="59" customWidth="1"/>
    <col min="1536" max="1536" width="15.5546875" style="59" customWidth="1"/>
    <col min="1537" max="1537" width="7.44140625" style="59" customWidth="1"/>
    <col min="1538" max="1538" width="7.6640625" style="59" customWidth="1"/>
    <col min="1539" max="1539" width="6.33203125" style="59" customWidth="1"/>
    <col min="1540" max="1540" width="7.5546875" style="59" customWidth="1"/>
    <col min="1541" max="1541" width="11" style="59" customWidth="1"/>
    <col min="1542" max="1542" width="11.5546875" style="59" customWidth="1"/>
    <col min="1543" max="1543" width="26" style="59" customWidth="1"/>
    <col min="1544" max="1787" width="9.109375" style="59"/>
    <col min="1788" max="1788" width="9.44140625" style="59" customWidth="1"/>
    <col min="1789" max="1789" width="102" style="59" customWidth="1"/>
    <col min="1790" max="1790" width="0" style="59" hidden="1" customWidth="1"/>
    <col min="1791" max="1791" width="6.109375" style="59" customWidth="1"/>
    <col min="1792" max="1792" width="15.5546875" style="59" customWidth="1"/>
    <col min="1793" max="1793" width="7.44140625" style="59" customWidth="1"/>
    <col min="1794" max="1794" width="7.6640625" style="59" customWidth="1"/>
    <col min="1795" max="1795" width="6.33203125" style="59" customWidth="1"/>
    <col min="1796" max="1796" width="7.5546875" style="59" customWidth="1"/>
    <col min="1797" max="1797" width="11" style="59" customWidth="1"/>
    <col min="1798" max="1798" width="11.5546875" style="59" customWidth="1"/>
    <col min="1799" max="1799" width="26" style="59" customWidth="1"/>
    <col min="1800" max="2043" width="9.109375" style="59"/>
    <col min="2044" max="2044" width="9.44140625" style="59" customWidth="1"/>
    <col min="2045" max="2045" width="102" style="59" customWidth="1"/>
    <col min="2046" max="2046" width="0" style="59" hidden="1" customWidth="1"/>
    <col min="2047" max="2047" width="6.109375" style="59" customWidth="1"/>
    <col min="2048" max="2048" width="15.5546875" style="59" customWidth="1"/>
    <col min="2049" max="2049" width="7.44140625" style="59" customWidth="1"/>
    <col min="2050" max="2050" width="7.6640625" style="59" customWidth="1"/>
    <col min="2051" max="2051" width="6.33203125" style="59" customWidth="1"/>
    <col min="2052" max="2052" width="7.5546875" style="59" customWidth="1"/>
    <col min="2053" max="2053" width="11" style="59" customWidth="1"/>
    <col min="2054" max="2054" width="11.5546875" style="59" customWidth="1"/>
    <col min="2055" max="2055" width="26" style="59" customWidth="1"/>
    <col min="2056" max="2299" width="9.109375" style="59"/>
    <col min="2300" max="2300" width="9.44140625" style="59" customWidth="1"/>
    <col min="2301" max="2301" width="102" style="59" customWidth="1"/>
    <col min="2302" max="2302" width="0" style="59" hidden="1" customWidth="1"/>
    <col min="2303" max="2303" width="6.109375" style="59" customWidth="1"/>
    <col min="2304" max="2304" width="15.5546875" style="59" customWidth="1"/>
    <col min="2305" max="2305" width="7.44140625" style="59" customWidth="1"/>
    <col min="2306" max="2306" width="7.6640625" style="59" customWidth="1"/>
    <col min="2307" max="2307" width="6.33203125" style="59" customWidth="1"/>
    <col min="2308" max="2308" width="7.5546875" style="59" customWidth="1"/>
    <col min="2309" max="2309" width="11" style="59" customWidth="1"/>
    <col min="2310" max="2310" width="11.5546875" style="59" customWidth="1"/>
    <col min="2311" max="2311" width="26" style="59" customWidth="1"/>
    <col min="2312" max="2555" width="9.109375" style="59"/>
    <col min="2556" max="2556" width="9.44140625" style="59" customWidth="1"/>
    <col min="2557" max="2557" width="102" style="59" customWidth="1"/>
    <col min="2558" max="2558" width="0" style="59" hidden="1" customWidth="1"/>
    <col min="2559" max="2559" width="6.109375" style="59" customWidth="1"/>
    <col min="2560" max="2560" width="15.5546875" style="59" customWidth="1"/>
    <col min="2561" max="2561" width="7.44140625" style="59" customWidth="1"/>
    <col min="2562" max="2562" width="7.6640625" style="59" customWidth="1"/>
    <col min="2563" max="2563" width="6.33203125" style="59" customWidth="1"/>
    <col min="2564" max="2564" width="7.5546875" style="59" customWidth="1"/>
    <col min="2565" max="2565" width="11" style="59" customWidth="1"/>
    <col min="2566" max="2566" width="11.5546875" style="59" customWidth="1"/>
    <col min="2567" max="2567" width="26" style="59" customWidth="1"/>
    <col min="2568" max="2811" width="9.109375" style="59"/>
    <col min="2812" max="2812" width="9.44140625" style="59" customWidth="1"/>
    <col min="2813" max="2813" width="102" style="59" customWidth="1"/>
    <col min="2814" max="2814" width="0" style="59" hidden="1" customWidth="1"/>
    <col min="2815" max="2815" width="6.109375" style="59" customWidth="1"/>
    <col min="2816" max="2816" width="15.5546875" style="59" customWidth="1"/>
    <col min="2817" max="2817" width="7.44140625" style="59" customWidth="1"/>
    <col min="2818" max="2818" width="7.6640625" style="59" customWidth="1"/>
    <col min="2819" max="2819" width="6.33203125" style="59" customWidth="1"/>
    <col min="2820" max="2820" width="7.5546875" style="59" customWidth="1"/>
    <col min="2821" max="2821" width="11" style="59" customWidth="1"/>
    <col min="2822" max="2822" width="11.5546875" style="59" customWidth="1"/>
    <col min="2823" max="2823" width="26" style="59" customWidth="1"/>
    <col min="2824" max="3067" width="9.109375" style="59"/>
    <col min="3068" max="3068" width="9.44140625" style="59" customWidth="1"/>
    <col min="3069" max="3069" width="102" style="59" customWidth="1"/>
    <col min="3070" max="3070" width="0" style="59" hidden="1" customWidth="1"/>
    <col min="3071" max="3071" width="6.109375" style="59" customWidth="1"/>
    <col min="3072" max="3072" width="15.5546875" style="59" customWidth="1"/>
    <col min="3073" max="3073" width="7.44140625" style="59" customWidth="1"/>
    <col min="3074" max="3074" width="7.6640625" style="59" customWidth="1"/>
    <col min="3075" max="3075" width="6.33203125" style="59" customWidth="1"/>
    <col min="3076" max="3076" width="7.5546875" style="59" customWidth="1"/>
    <col min="3077" max="3077" width="11" style="59" customWidth="1"/>
    <col min="3078" max="3078" width="11.5546875" style="59" customWidth="1"/>
    <col min="3079" max="3079" width="26" style="59" customWidth="1"/>
    <col min="3080" max="3323" width="9.109375" style="59"/>
    <col min="3324" max="3324" width="9.44140625" style="59" customWidth="1"/>
    <col min="3325" max="3325" width="102" style="59" customWidth="1"/>
    <col min="3326" max="3326" width="0" style="59" hidden="1" customWidth="1"/>
    <col min="3327" max="3327" width="6.109375" style="59" customWidth="1"/>
    <col min="3328" max="3328" width="15.5546875" style="59" customWidth="1"/>
    <col min="3329" max="3329" width="7.44140625" style="59" customWidth="1"/>
    <col min="3330" max="3330" width="7.6640625" style="59" customWidth="1"/>
    <col min="3331" max="3331" width="6.33203125" style="59" customWidth="1"/>
    <col min="3332" max="3332" width="7.5546875" style="59" customWidth="1"/>
    <col min="3333" max="3333" width="11" style="59" customWidth="1"/>
    <col min="3334" max="3334" width="11.5546875" style="59" customWidth="1"/>
    <col min="3335" max="3335" width="26" style="59" customWidth="1"/>
    <col min="3336" max="3579" width="9.109375" style="59"/>
    <col min="3580" max="3580" width="9.44140625" style="59" customWidth="1"/>
    <col min="3581" max="3581" width="102" style="59" customWidth="1"/>
    <col min="3582" max="3582" width="0" style="59" hidden="1" customWidth="1"/>
    <col min="3583" max="3583" width="6.109375" style="59" customWidth="1"/>
    <col min="3584" max="3584" width="15.5546875" style="59" customWidth="1"/>
    <col min="3585" max="3585" width="7.44140625" style="59" customWidth="1"/>
    <col min="3586" max="3586" width="7.6640625" style="59" customWidth="1"/>
    <col min="3587" max="3587" width="6.33203125" style="59" customWidth="1"/>
    <col min="3588" max="3588" width="7.5546875" style="59" customWidth="1"/>
    <col min="3589" max="3589" width="11" style="59" customWidth="1"/>
    <col min="3590" max="3590" width="11.5546875" style="59" customWidth="1"/>
    <col min="3591" max="3591" width="26" style="59" customWidth="1"/>
    <col min="3592" max="3835" width="9.109375" style="59"/>
    <col min="3836" max="3836" width="9.44140625" style="59" customWidth="1"/>
    <col min="3837" max="3837" width="102" style="59" customWidth="1"/>
    <col min="3838" max="3838" width="0" style="59" hidden="1" customWidth="1"/>
    <col min="3839" max="3839" width="6.109375" style="59" customWidth="1"/>
    <col min="3840" max="3840" width="15.5546875" style="59" customWidth="1"/>
    <col min="3841" max="3841" width="7.44140625" style="59" customWidth="1"/>
    <col min="3842" max="3842" width="7.6640625" style="59" customWidth="1"/>
    <col min="3843" max="3843" width="6.33203125" style="59" customWidth="1"/>
    <col min="3844" max="3844" width="7.5546875" style="59" customWidth="1"/>
    <col min="3845" max="3845" width="11" style="59" customWidth="1"/>
    <col min="3846" max="3846" width="11.5546875" style="59" customWidth="1"/>
    <col min="3847" max="3847" width="26" style="59" customWidth="1"/>
    <col min="3848" max="4091" width="9.109375" style="59"/>
    <col min="4092" max="4092" width="9.44140625" style="59" customWidth="1"/>
    <col min="4093" max="4093" width="102" style="59" customWidth="1"/>
    <col min="4094" max="4094" width="0" style="59" hidden="1" customWidth="1"/>
    <col min="4095" max="4095" width="6.109375" style="59" customWidth="1"/>
    <col min="4096" max="4096" width="15.5546875" style="59" customWidth="1"/>
    <col min="4097" max="4097" width="7.44140625" style="59" customWidth="1"/>
    <col min="4098" max="4098" width="7.6640625" style="59" customWidth="1"/>
    <col min="4099" max="4099" width="6.33203125" style="59" customWidth="1"/>
    <col min="4100" max="4100" width="7.5546875" style="59" customWidth="1"/>
    <col min="4101" max="4101" width="11" style="59" customWidth="1"/>
    <col min="4102" max="4102" width="11.5546875" style="59" customWidth="1"/>
    <col min="4103" max="4103" width="26" style="59" customWidth="1"/>
    <col min="4104" max="4347" width="9.109375" style="59"/>
    <col min="4348" max="4348" width="9.44140625" style="59" customWidth="1"/>
    <col min="4349" max="4349" width="102" style="59" customWidth="1"/>
    <col min="4350" max="4350" width="0" style="59" hidden="1" customWidth="1"/>
    <col min="4351" max="4351" width="6.109375" style="59" customWidth="1"/>
    <col min="4352" max="4352" width="15.5546875" style="59" customWidth="1"/>
    <col min="4353" max="4353" width="7.44140625" style="59" customWidth="1"/>
    <col min="4354" max="4354" width="7.6640625" style="59" customWidth="1"/>
    <col min="4355" max="4355" width="6.33203125" style="59" customWidth="1"/>
    <col min="4356" max="4356" width="7.5546875" style="59" customWidth="1"/>
    <col min="4357" max="4357" width="11" style="59" customWidth="1"/>
    <col min="4358" max="4358" width="11.5546875" style="59" customWidth="1"/>
    <col min="4359" max="4359" width="26" style="59" customWidth="1"/>
    <col min="4360" max="4603" width="9.109375" style="59"/>
    <col min="4604" max="4604" width="9.44140625" style="59" customWidth="1"/>
    <col min="4605" max="4605" width="102" style="59" customWidth="1"/>
    <col min="4606" max="4606" width="0" style="59" hidden="1" customWidth="1"/>
    <col min="4607" max="4607" width="6.109375" style="59" customWidth="1"/>
    <col min="4608" max="4608" width="15.5546875" style="59" customWidth="1"/>
    <col min="4609" max="4609" width="7.44140625" style="59" customWidth="1"/>
    <col min="4610" max="4610" width="7.6640625" style="59" customWidth="1"/>
    <col min="4611" max="4611" width="6.33203125" style="59" customWidth="1"/>
    <col min="4612" max="4612" width="7.5546875" style="59" customWidth="1"/>
    <col min="4613" max="4613" width="11" style="59" customWidth="1"/>
    <col min="4614" max="4614" width="11.5546875" style="59" customWidth="1"/>
    <col min="4615" max="4615" width="26" style="59" customWidth="1"/>
    <col min="4616" max="4859" width="9.109375" style="59"/>
    <col min="4860" max="4860" width="9.44140625" style="59" customWidth="1"/>
    <col min="4861" max="4861" width="102" style="59" customWidth="1"/>
    <col min="4862" max="4862" width="0" style="59" hidden="1" customWidth="1"/>
    <col min="4863" max="4863" width="6.109375" style="59" customWidth="1"/>
    <col min="4864" max="4864" width="15.5546875" style="59" customWidth="1"/>
    <col min="4865" max="4865" width="7.44140625" style="59" customWidth="1"/>
    <col min="4866" max="4866" width="7.6640625" style="59" customWidth="1"/>
    <col min="4867" max="4867" width="6.33203125" style="59" customWidth="1"/>
    <col min="4868" max="4868" width="7.5546875" style="59" customWidth="1"/>
    <col min="4869" max="4869" width="11" style="59" customWidth="1"/>
    <col min="4870" max="4870" width="11.5546875" style="59" customWidth="1"/>
    <col min="4871" max="4871" width="26" style="59" customWidth="1"/>
    <col min="4872" max="5115" width="9.109375" style="59"/>
    <col min="5116" max="5116" width="9.44140625" style="59" customWidth="1"/>
    <col min="5117" max="5117" width="102" style="59" customWidth="1"/>
    <col min="5118" max="5118" width="0" style="59" hidden="1" customWidth="1"/>
    <col min="5119" max="5119" width="6.109375" style="59" customWidth="1"/>
    <col min="5120" max="5120" width="15.5546875" style="59" customWidth="1"/>
    <col min="5121" max="5121" width="7.44140625" style="59" customWidth="1"/>
    <col min="5122" max="5122" width="7.6640625" style="59" customWidth="1"/>
    <col min="5123" max="5123" width="6.33203125" style="59" customWidth="1"/>
    <col min="5124" max="5124" width="7.5546875" style="59" customWidth="1"/>
    <col min="5125" max="5125" width="11" style="59" customWidth="1"/>
    <col min="5126" max="5126" width="11.5546875" style="59" customWidth="1"/>
    <col min="5127" max="5127" width="26" style="59" customWidth="1"/>
    <col min="5128" max="5371" width="9.109375" style="59"/>
    <col min="5372" max="5372" width="9.44140625" style="59" customWidth="1"/>
    <col min="5373" max="5373" width="102" style="59" customWidth="1"/>
    <col min="5374" max="5374" width="0" style="59" hidden="1" customWidth="1"/>
    <col min="5375" max="5375" width="6.109375" style="59" customWidth="1"/>
    <col min="5376" max="5376" width="15.5546875" style="59" customWidth="1"/>
    <col min="5377" max="5377" width="7.44140625" style="59" customWidth="1"/>
    <col min="5378" max="5378" width="7.6640625" style="59" customWidth="1"/>
    <col min="5379" max="5379" width="6.33203125" style="59" customWidth="1"/>
    <col min="5380" max="5380" width="7.5546875" style="59" customWidth="1"/>
    <col min="5381" max="5381" width="11" style="59" customWidth="1"/>
    <col min="5382" max="5382" width="11.5546875" style="59" customWidth="1"/>
    <col min="5383" max="5383" width="26" style="59" customWidth="1"/>
    <col min="5384" max="5627" width="9.109375" style="59"/>
    <col min="5628" max="5628" width="9.44140625" style="59" customWidth="1"/>
    <col min="5629" max="5629" width="102" style="59" customWidth="1"/>
    <col min="5630" max="5630" width="0" style="59" hidden="1" customWidth="1"/>
    <col min="5631" max="5631" width="6.109375" style="59" customWidth="1"/>
    <col min="5632" max="5632" width="15.5546875" style="59" customWidth="1"/>
    <col min="5633" max="5633" width="7.44140625" style="59" customWidth="1"/>
    <col min="5634" max="5634" width="7.6640625" style="59" customWidth="1"/>
    <col min="5635" max="5635" width="6.33203125" style="59" customWidth="1"/>
    <col min="5636" max="5636" width="7.5546875" style="59" customWidth="1"/>
    <col min="5637" max="5637" width="11" style="59" customWidth="1"/>
    <col min="5638" max="5638" width="11.5546875" style="59" customWidth="1"/>
    <col min="5639" max="5639" width="26" style="59" customWidth="1"/>
    <col min="5640" max="5883" width="9.109375" style="59"/>
    <col min="5884" max="5884" width="9.44140625" style="59" customWidth="1"/>
    <col min="5885" max="5885" width="102" style="59" customWidth="1"/>
    <col min="5886" max="5886" width="0" style="59" hidden="1" customWidth="1"/>
    <col min="5887" max="5887" width="6.109375" style="59" customWidth="1"/>
    <col min="5888" max="5888" width="15.5546875" style="59" customWidth="1"/>
    <col min="5889" max="5889" width="7.44140625" style="59" customWidth="1"/>
    <col min="5890" max="5890" width="7.6640625" style="59" customWidth="1"/>
    <col min="5891" max="5891" width="6.33203125" style="59" customWidth="1"/>
    <col min="5892" max="5892" width="7.5546875" style="59" customWidth="1"/>
    <col min="5893" max="5893" width="11" style="59" customWidth="1"/>
    <col min="5894" max="5894" width="11.5546875" style="59" customWidth="1"/>
    <col min="5895" max="5895" width="26" style="59" customWidth="1"/>
    <col min="5896" max="6139" width="9.109375" style="59"/>
    <col min="6140" max="6140" width="9.44140625" style="59" customWidth="1"/>
    <col min="6141" max="6141" width="102" style="59" customWidth="1"/>
    <col min="6142" max="6142" width="0" style="59" hidden="1" customWidth="1"/>
    <col min="6143" max="6143" width="6.109375" style="59" customWidth="1"/>
    <col min="6144" max="6144" width="15.5546875" style="59" customWidth="1"/>
    <col min="6145" max="6145" width="7.44140625" style="59" customWidth="1"/>
    <col min="6146" max="6146" width="7.6640625" style="59" customWidth="1"/>
    <col min="6147" max="6147" width="6.33203125" style="59" customWidth="1"/>
    <col min="6148" max="6148" width="7.5546875" style="59" customWidth="1"/>
    <col min="6149" max="6149" width="11" style="59" customWidth="1"/>
    <col min="6150" max="6150" width="11.5546875" style="59" customWidth="1"/>
    <col min="6151" max="6151" width="26" style="59" customWidth="1"/>
    <col min="6152" max="6395" width="9.109375" style="59"/>
    <col min="6396" max="6396" width="9.44140625" style="59" customWidth="1"/>
    <col min="6397" max="6397" width="102" style="59" customWidth="1"/>
    <col min="6398" max="6398" width="0" style="59" hidden="1" customWidth="1"/>
    <col min="6399" max="6399" width="6.109375" style="59" customWidth="1"/>
    <col min="6400" max="6400" width="15.5546875" style="59" customWidth="1"/>
    <col min="6401" max="6401" width="7.44140625" style="59" customWidth="1"/>
    <col min="6402" max="6402" width="7.6640625" style="59" customWidth="1"/>
    <col min="6403" max="6403" width="6.33203125" style="59" customWidth="1"/>
    <col min="6404" max="6404" width="7.5546875" style="59" customWidth="1"/>
    <col min="6405" max="6405" width="11" style="59" customWidth="1"/>
    <col min="6406" max="6406" width="11.5546875" style="59" customWidth="1"/>
    <col min="6407" max="6407" width="26" style="59" customWidth="1"/>
    <col min="6408" max="6651" width="9.109375" style="59"/>
    <col min="6652" max="6652" width="9.44140625" style="59" customWidth="1"/>
    <col min="6653" max="6653" width="102" style="59" customWidth="1"/>
    <col min="6654" max="6654" width="0" style="59" hidden="1" customWidth="1"/>
    <col min="6655" max="6655" width="6.109375" style="59" customWidth="1"/>
    <col min="6656" max="6656" width="15.5546875" style="59" customWidth="1"/>
    <col min="6657" max="6657" width="7.44140625" style="59" customWidth="1"/>
    <col min="6658" max="6658" width="7.6640625" style="59" customWidth="1"/>
    <col min="6659" max="6659" width="6.33203125" style="59" customWidth="1"/>
    <col min="6660" max="6660" width="7.5546875" style="59" customWidth="1"/>
    <col min="6661" max="6661" width="11" style="59" customWidth="1"/>
    <col min="6662" max="6662" width="11.5546875" style="59" customWidth="1"/>
    <col min="6663" max="6663" width="26" style="59" customWidth="1"/>
    <col min="6664" max="6907" width="9.109375" style="59"/>
    <col min="6908" max="6908" width="9.44140625" style="59" customWidth="1"/>
    <col min="6909" max="6909" width="102" style="59" customWidth="1"/>
    <col min="6910" max="6910" width="0" style="59" hidden="1" customWidth="1"/>
    <col min="6911" max="6911" width="6.109375" style="59" customWidth="1"/>
    <col min="6912" max="6912" width="15.5546875" style="59" customWidth="1"/>
    <col min="6913" max="6913" width="7.44140625" style="59" customWidth="1"/>
    <col min="6914" max="6914" width="7.6640625" style="59" customWidth="1"/>
    <col min="6915" max="6915" width="6.33203125" style="59" customWidth="1"/>
    <col min="6916" max="6916" width="7.5546875" style="59" customWidth="1"/>
    <col min="6917" max="6917" width="11" style="59" customWidth="1"/>
    <col min="6918" max="6918" width="11.5546875" style="59" customWidth="1"/>
    <col min="6919" max="6919" width="26" style="59" customWidth="1"/>
    <col min="6920" max="7163" width="9.109375" style="59"/>
    <col min="7164" max="7164" width="9.44140625" style="59" customWidth="1"/>
    <col min="7165" max="7165" width="102" style="59" customWidth="1"/>
    <col min="7166" max="7166" width="0" style="59" hidden="1" customWidth="1"/>
    <col min="7167" max="7167" width="6.109375" style="59" customWidth="1"/>
    <col min="7168" max="7168" width="15.5546875" style="59" customWidth="1"/>
    <col min="7169" max="7169" width="7.44140625" style="59" customWidth="1"/>
    <col min="7170" max="7170" width="7.6640625" style="59" customWidth="1"/>
    <col min="7171" max="7171" width="6.33203125" style="59" customWidth="1"/>
    <col min="7172" max="7172" width="7.5546875" style="59" customWidth="1"/>
    <col min="7173" max="7173" width="11" style="59" customWidth="1"/>
    <col min="7174" max="7174" width="11.5546875" style="59" customWidth="1"/>
    <col min="7175" max="7175" width="26" style="59" customWidth="1"/>
    <col min="7176" max="7419" width="9.109375" style="59"/>
    <col min="7420" max="7420" width="9.44140625" style="59" customWidth="1"/>
    <col min="7421" max="7421" width="102" style="59" customWidth="1"/>
    <col min="7422" max="7422" width="0" style="59" hidden="1" customWidth="1"/>
    <col min="7423" max="7423" width="6.109375" style="59" customWidth="1"/>
    <col min="7424" max="7424" width="15.5546875" style="59" customWidth="1"/>
    <col min="7425" max="7425" width="7.44140625" style="59" customWidth="1"/>
    <col min="7426" max="7426" width="7.6640625" style="59" customWidth="1"/>
    <col min="7427" max="7427" width="6.33203125" style="59" customWidth="1"/>
    <col min="7428" max="7428" width="7.5546875" style="59" customWidth="1"/>
    <col min="7429" max="7429" width="11" style="59" customWidth="1"/>
    <col min="7430" max="7430" width="11.5546875" style="59" customWidth="1"/>
    <col min="7431" max="7431" width="26" style="59" customWidth="1"/>
    <col min="7432" max="7675" width="9.109375" style="59"/>
    <col min="7676" max="7676" width="9.44140625" style="59" customWidth="1"/>
    <col min="7677" max="7677" width="102" style="59" customWidth="1"/>
    <col min="7678" max="7678" width="0" style="59" hidden="1" customWidth="1"/>
    <col min="7679" max="7679" width="6.109375" style="59" customWidth="1"/>
    <col min="7680" max="7680" width="15.5546875" style="59" customWidth="1"/>
    <col min="7681" max="7681" width="7.44140625" style="59" customWidth="1"/>
    <col min="7682" max="7682" width="7.6640625" style="59" customWidth="1"/>
    <col min="7683" max="7683" width="6.33203125" style="59" customWidth="1"/>
    <col min="7684" max="7684" width="7.5546875" style="59" customWidth="1"/>
    <col min="7685" max="7685" width="11" style="59" customWidth="1"/>
    <col min="7686" max="7686" width="11.5546875" style="59" customWidth="1"/>
    <col min="7687" max="7687" width="26" style="59" customWidth="1"/>
    <col min="7688" max="7931" width="9.109375" style="59"/>
    <col min="7932" max="7932" width="9.44140625" style="59" customWidth="1"/>
    <col min="7933" max="7933" width="102" style="59" customWidth="1"/>
    <col min="7934" max="7934" width="0" style="59" hidden="1" customWidth="1"/>
    <col min="7935" max="7935" width="6.109375" style="59" customWidth="1"/>
    <col min="7936" max="7936" width="15.5546875" style="59" customWidth="1"/>
    <col min="7937" max="7937" width="7.44140625" style="59" customWidth="1"/>
    <col min="7938" max="7938" width="7.6640625" style="59" customWidth="1"/>
    <col min="7939" max="7939" width="6.33203125" style="59" customWidth="1"/>
    <col min="7940" max="7940" width="7.5546875" style="59" customWidth="1"/>
    <col min="7941" max="7941" width="11" style="59" customWidth="1"/>
    <col min="7942" max="7942" width="11.5546875" style="59" customWidth="1"/>
    <col min="7943" max="7943" width="26" style="59" customWidth="1"/>
    <col min="7944" max="8187" width="9.109375" style="59"/>
    <col min="8188" max="8188" width="9.44140625" style="59" customWidth="1"/>
    <col min="8189" max="8189" width="102" style="59" customWidth="1"/>
    <col min="8190" max="8190" width="0" style="59" hidden="1" customWidth="1"/>
    <col min="8191" max="8191" width="6.109375" style="59" customWidth="1"/>
    <col min="8192" max="8192" width="15.5546875" style="59" customWidth="1"/>
    <col min="8193" max="8193" width="7.44140625" style="59" customWidth="1"/>
    <col min="8194" max="8194" width="7.6640625" style="59" customWidth="1"/>
    <col min="8195" max="8195" width="6.33203125" style="59" customWidth="1"/>
    <col min="8196" max="8196" width="7.5546875" style="59" customWidth="1"/>
    <col min="8197" max="8197" width="11" style="59" customWidth="1"/>
    <col min="8198" max="8198" width="11.5546875" style="59" customWidth="1"/>
    <col min="8199" max="8199" width="26" style="59" customWidth="1"/>
    <col min="8200" max="8443" width="9.109375" style="59"/>
    <col min="8444" max="8444" width="9.44140625" style="59" customWidth="1"/>
    <col min="8445" max="8445" width="102" style="59" customWidth="1"/>
    <col min="8446" max="8446" width="0" style="59" hidden="1" customWidth="1"/>
    <col min="8447" max="8447" width="6.109375" style="59" customWidth="1"/>
    <col min="8448" max="8448" width="15.5546875" style="59" customWidth="1"/>
    <col min="8449" max="8449" width="7.44140625" style="59" customWidth="1"/>
    <col min="8450" max="8450" width="7.6640625" style="59" customWidth="1"/>
    <col min="8451" max="8451" width="6.33203125" style="59" customWidth="1"/>
    <col min="8452" max="8452" width="7.5546875" style="59" customWidth="1"/>
    <col min="8453" max="8453" width="11" style="59" customWidth="1"/>
    <col min="8454" max="8454" width="11.5546875" style="59" customWidth="1"/>
    <col min="8455" max="8455" width="26" style="59" customWidth="1"/>
    <col min="8456" max="8699" width="9.109375" style="59"/>
    <col min="8700" max="8700" width="9.44140625" style="59" customWidth="1"/>
    <col min="8701" max="8701" width="102" style="59" customWidth="1"/>
    <col min="8702" max="8702" width="0" style="59" hidden="1" customWidth="1"/>
    <col min="8703" max="8703" width="6.109375" style="59" customWidth="1"/>
    <col min="8704" max="8704" width="15.5546875" style="59" customWidth="1"/>
    <col min="8705" max="8705" width="7.44140625" style="59" customWidth="1"/>
    <col min="8706" max="8706" width="7.6640625" style="59" customWidth="1"/>
    <col min="8707" max="8707" width="6.33203125" style="59" customWidth="1"/>
    <col min="8708" max="8708" width="7.5546875" style="59" customWidth="1"/>
    <col min="8709" max="8709" width="11" style="59" customWidth="1"/>
    <col min="8710" max="8710" width="11.5546875" style="59" customWidth="1"/>
    <col min="8711" max="8711" width="26" style="59" customWidth="1"/>
    <col min="8712" max="8955" width="9.109375" style="59"/>
    <col min="8956" max="8956" width="9.44140625" style="59" customWidth="1"/>
    <col min="8957" max="8957" width="102" style="59" customWidth="1"/>
    <col min="8958" max="8958" width="0" style="59" hidden="1" customWidth="1"/>
    <col min="8959" max="8959" width="6.109375" style="59" customWidth="1"/>
    <col min="8960" max="8960" width="15.5546875" style="59" customWidth="1"/>
    <col min="8961" max="8961" width="7.44140625" style="59" customWidth="1"/>
    <col min="8962" max="8962" width="7.6640625" style="59" customWidth="1"/>
    <col min="8963" max="8963" width="6.33203125" style="59" customWidth="1"/>
    <col min="8964" max="8964" width="7.5546875" style="59" customWidth="1"/>
    <col min="8965" max="8965" width="11" style="59" customWidth="1"/>
    <col min="8966" max="8966" width="11.5546875" style="59" customWidth="1"/>
    <col min="8967" max="8967" width="26" style="59" customWidth="1"/>
    <col min="8968" max="9211" width="9.109375" style="59"/>
    <col min="9212" max="9212" width="9.44140625" style="59" customWidth="1"/>
    <col min="9213" max="9213" width="102" style="59" customWidth="1"/>
    <col min="9214" max="9214" width="0" style="59" hidden="1" customWidth="1"/>
    <col min="9215" max="9215" width="6.109375" style="59" customWidth="1"/>
    <col min="9216" max="9216" width="15.5546875" style="59" customWidth="1"/>
    <col min="9217" max="9217" width="7.44140625" style="59" customWidth="1"/>
    <col min="9218" max="9218" width="7.6640625" style="59" customWidth="1"/>
    <col min="9219" max="9219" width="6.33203125" style="59" customWidth="1"/>
    <col min="9220" max="9220" width="7.5546875" style="59" customWidth="1"/>
    <col min="9221" max="9221" width="11" style="59" customWidth="1"/>
    <col min="9222" max="9222" width="11.5546875" style="59" customWidth="1"/>
    <col min="9223" max="9223" width="26" style="59" customWidth="1"/>
    <col min="9224" max="9467" width="9.109375" style="59"/>
    <col min="9468" max="9468" width="9.44140625" style="59" customWidth="1"/>
    <col min="9469" max="9469" width="102" style="59" customWidth="1"/>
    <col min="9470" max="9470" width="0" style="59" hidden="1" customWidth="1"/>
    <col min="9471" max="9471" width="6.109375" style="59" customWidth="1"/>
    <col min="9472" max="9472" width="15.5546875" style="59" customWidth="1"/>
    <col min="9473" max="9473" width="7.44140625" style="59" customWidth="1"/>
    <col min="9474" max="9474" width="7.6640625" style="59" customWidth="1"/>
    <col min="9475" max="9475" width="6.33203125" style="59" customWidth="1"/>
    <col min="9476" max="9476" width="7.5546875" style="59" customWidth="1"/>
    <col min="9477" max="9477" width="11" style="59" customWidth="1"/>
    <col min="9478" max="9478" width="11.5546875" style="59" customWidth="1"/>
    <col min="9479" max="9479" width="26" style="59" customWidth="1"/>
    <col min="9480" max="9723" width="9.109375" style="59"/>
    <col min="9724" max="9724" width="9.44140625" style="59" customWidth="1"/>
    <col min="9725" max="9725" width="102" style="59" customWidth="1"/>
    <col min="9726" max="9726" width="0" style="59" hidden="1" customWidth="1"/>
    <col min="9727" max="9727" width="6.109375" style="59" customWidth="1"/>
    <col min="9728" max="9728" width="15.5546875" style="59" customWidth="1"/>
    <col min="9729" max="9729" width="7.44140625" style="59" customWidth="1"/>
    <col min="9730" max="9730" width="7.6640625" style="59" customWidth="1"/>
    <col min="9731" max="9731" width="6.33203125" style="59" customWidth="1"/>
    <col min="9732" max="9732" width="7.5546875" style="59" customWidth="1"/>
    <col min="9733" max="9733" width="11" style="59" customWidth="1"/>
    <col min="9734" max="9734" width="11.5546875" style="59" customWidth="1"/>
    <col min="9735" max="9735" width="26" style="59" customWidth="1"/>
    <col min="9736" max="9979" width="9.109375" style="59"/>
    <col min="9980" max="9980" width="9.44140625" style="59" customWidth="1"/>
    <col min="9981" max="9981" width="102" style="59" customWidth="1"/>
    <col min="9982" max="9982" width="0" style="59" hidden="1" customWidth="1"/>
    <col min="9983" max="9983" width="6.109375" style="59" customWidth="1"/>
    <col min="9984" max="9984" width="15.5546875" style="59" customWidth="1"/>
    <col min="9985" max="9985" width="7.44140625" style="59" customWidth="1"/>
    <col min="9986" max="9986" width="7.6640625" style="59" customWidth="1"/>
    <col min="9987" max="9987" width="6.33203125" style="59" customWidth="1"/>
    <col min="9988" max="9988" width="7.5546875" style="59" customWidth="1"/>
    <col min="9989" max="9989" width="11" style="59" customWidth="1"/>
    <col min="9990" max="9990" width="11.5546875" style="59" customWidth="1"/>
    <col min="9991" max="9991" width="26" style="59" customWidth="1"/>
    <col min="9992" max="10235" width="9.109375" style="59"/>
    <col min="10236" max="10236" width="9.44140625" style="59" customWidth="1"/>
    <col min="10237" max="10237" width="102" style="59" customWidth="1"/>
    <col min="10238" max="10238" width="0" style="59" hidden="1" customWidth="1"/>
    <col min="10239" max="10239" width="6.109375" style="59" customWidth="1"/>
    <col min="10240" max="10240" width="15.5546875" style="59" customWidth="1"/>
    <col min="10241" max="10241" width="7.44140625" style="59" customWidth="1"/>
    <col min="10242" max="10242" width="7.6640625" style="59" customWidth="1"/>
    <col min="10243" max="10243" width="6.33203125" style="59" customWidth="1"/>
    <col min="10244" max="10244" width="7.5546875" style="59" customWidth="1"/>
    <col min="10245" max="10245" width="11" style="59" customWidth="1"/>
    <col min="10246" max="10246" width="11.5546875" style="59" customWidth="1"/>
    <col min="10247" max="10247" width="26" style="59" customWidth="1"/>
    <col min="10248" max="10491" width="9.109375" style="59"/>
    <col min="10492" max="10492" width="9.44140625" style="59" customWidth="1"/>
    <col min="10493" max="10493" width="102" style="59" customWidth="1"/>
    <col min="10494" max="10494" width="0" style="59" hidden="1" customWidth="1"/>
    <col min="10495" max="10495" width="6.109375" style="59" customWidth="1"/>
    <col min="10496" max="10496" width="15.5546875" style="59" customWidth="1"/>
    <col min="10497" max="10497" width="7.44140625" style="59" customWidth="1"/>
    <col min="10498" max="10498" width="7.6640625" style="59" customWidth="1"/>
    <col min="10499" max="10499" width="6.33203125" style="59" customWidth="1"/>
    <col min="10500" max="10500" width="7.5546875" style="59" customWidth="1"/>
    <col min="10501" max="10501" width="11" style="59" customWidth="1"/>
    <col min="10502" max="10502" width="11.5546875" style="59" customWidth="1"/>
    <col min="10503" max="10503" width="26" style="59" customWidth="1"/>
    <col min="10504" max="10747" width="9.109375" style="59"/>
    <col min="10748" max="10748" width="9.44140625" style="59" customWidth="1"/>
    <col min="10749" max="10749" width="102" style="59" customWidth="1"/>
    <col min="10750" max="10750" width="0" style="59" hidden="1" customWidth="1"/>
    <col min="10751" max="10751" width="6.109375" style="59" customWidth="1"/>
    <col min="10752" max="10752" width="15.5546875" style="59" customWidth="1"/>
    <col min="10753" max="10753" width="7.44140625" style="59" customWidth="1"/>
    <col min="10754" max="10754" width="7.6640625" style="59" customWidth="1"/>
    <col min="10755" max="10755" width="6.33203125" style="59" customWidth="1"/>
    <col min="10756" max="10756" width="7.5546875" style="59" customWidth="1"/>
    <col min="10757" max="10757" width="11" style="59" customWidth="1"/>
    <col min="10758" max="10758" width="11.5546875" style="59" customWidth="1"/>
    <col min="10759" max="10759" width="26" style="59" customWidth="1"/>
    <col min="10760" max="11003" width="9.109375" style="59"/>
    <col min="11004" max="11004" width="9.44140625" style="59" customWidth="1"/>
    <col min="11005" max="11005" width="102" style="59" customWidth="1"/>
    <col min="11006" max="11006" width="0" style="59" hidden="1" customWidth="1"/>
    <col min="11007" max="11007" width="6.109375" style="59" customWidth="1"/>
    <col min="11008" max="11008" width="15.5546875" style="59" customWidth="1"/>
    <col min="11009" max="11009" width="7.44140625" style="59" customWidth="1"/>
    <col min="11010" max="11010" width="7.6640625" style="59" customWidth="1"/>
    <col min="11011" max="11011" width="6.33203125" style="59" customWidth="1"/>
    <col min="11012" max="11012" width="7.5546875" style="59" customWidth="1"/>
    <col min="11013" max="11013" width="11" style="59" customWidth="1"/>
    <col min="11014" max="11014" width="11.5546875" style="59" customWidth="1"/>
    <col min="11015" max="11015" width="26" style="59" customWidth="1"/>
    <col min="11016" max="11259" width="9.109375" style="59"/>
    <col min="11260" max="11260" width="9.44140625" style="59" customWidth="1"/>
    <col min="11261" max="11261" width="102" style="59" customWidth="1"/>
    <col min="11262" max="11262" width="0" style="59" hidden="1" customWidth="1"/>
    <col min="11263" max="11263" width="6.109375" style="59" customWidth="1"/>
    <col min="11264" max="11264" width="15.5546875" style="59" customWidth="1"/>
    <col min="11265" max="11265" width="7.44140625" style="59" customWidth="1"/>
    <col min="11266" max="11266" width="7.6640625" style="59" customWidth="1"/>
    <col min="11267" max="11267" width="6.33203125" style="59" customWidth="1"/>
    <col min="11268" max="11268" width="7.5546875" style="59" customWidth="1"/>
    <col min="11269" max="11269" width="11" style="59" customWidth="1"/>
    <col min="11270" max="11270" width="11.5546875" style="59" customWidth="1"/>
    <col min="11271" max="11271" width="26" style="59" customWidth="1"/>
    <col min="11272" max="11515" width="9.109375" style="59"/>
    <col min="11516" max="11516" width="9.44140625" style="59" customWidth="1"/>
    <col min="11517" max="11517" width="102" style="59" customWidth="1"/>
    <col min="11518" max="11518" width="0" style="59" hidden="1" customWidth="1"/>
    <col min="11519" max="11519" width="6.109375" style="59" customWidth="1"/>
    <col min="11520" max="11520" width="15.5546875" style="59" customWidth="1"/>
    <col min="11521" max="11521" width="7.44140625" style="59" customWidth="1"/>
    <col min="11522" max="11522" width="7.6640625" style="59" customWidth="1"/>
    <col min="11523" max="11523" width="6.33203125" style="59" customWidth="1"/>
    <col min="11524" max="11524" width="7.5546875" style="59" customWidth="1"/>
    <col min="11525" max="11525" width="11" style="59" customWidth="1"/>
    <col min="11526" max="11526" width="11.5546875" style="59" customWidth="1"/>
    <col min="11527" max="11527" width="26" style="59" customWidth="1"/>
    <col min="11528" max="11771" width="9.109375" style="59"/>
    <col min="11772" max="11772" width="9.44140625" style="59" customWidth="1"/>
    <col min="11773" max="11773" width="102" style="59" customWidth="1"/>
    <col min="11774" max="11774" width="0" style="59" hidden="1" customWidth="1"/>
    <col min="11775" max="11775" width="6.109375" style="59" customWidth="1"/>
    <col min="11776" max="11776" width="15.5546875" style="59" customWidth="1"/>
    <col min="11777" max="11777" width="7.44140625" style="59" customWidth="1"/>
    <col min="11778" max="11778" width="7.6640625" style="59" customWidth="1"/>
    <col min="11779" max="11779" width="6.33203125" style="59" customWidth="1"/>
    <col min="11780" max="11780" width="7.5546875" style="59" customWidth="1"/>
    <col min="11781" max="11781" width="11" style="59" customWidth="1"/>
    <col min="11782" max="11782" width="11.5546875" style="59" customWidth="1"/>
    <col min="11783" max="11783" width="26" style="59" customWidth="1"/>
    <col min="11784" max="12027" width="9.109375" style="59"/>
    <col min="12028" max="12028" width="9.44140625" style="59" customWidth="1"/>
    <col min="12029" max="12029" width="102" style="59" customWidth="1"/>
    <col min="12030" max="12030" width="0" style="59" hidden="1" customWidth="1"/>
    <col min="12031" max="12031" width="6.109375" style="59" customWidth="1"/>
    <col min="12032" max="12032" width="15.5546875" style="59" customWidth="1"/>
    <col min="12033" max="12033" width="7.44140625" style="59" customWidth="1"/>
    <col min="12034" max="12034" width="7.6640625" style="59" customWidth="1"/>
    <col min="12035" max="12035" width="6.33203125" style="59" customWidth="1"/>
    <col min="12036" max="12036" width="7.5546875" style="59" customWidth="1"/>
    <col min="12037" max="12037" width="11" style="59" customWidth="1"/>
    <col min="12038" max="12038" width="11.5546875" style="59" customWidth="1"/>
    <col min="12039" max="12039" width="26" style="59" customWidth="1"/>
    <col min="12040" max="12283" width="9.109375" style="59"/>
    <col min="12284" max="12284" width="9.44140625" style="59" customWidth="1"/>
    <col min="12285" max="12285" width="102" style="59" customWidth="1"/>
    <col min="12286" max="12286" width="0" style="59" hidden="1" customWidth="1"/>
    <col min="12287" max="12287" width="6.109375" style="59" customWidth="1"/>
    <col min="12288" max="12288" width="15.5546875" style="59" customWidth="1"/>
    <col min="12289" max="12289" width="7.44140625" style="59" customWidth="1"/>
    <col min="12290" max="12290" width="7.6640625" style="59" customWidth="1"/>
    <col min="12291" max="12291" width="6.33203125" style="59" customWidth="1"/>
    <col min="12292" max="12292" width="7.5546875" style="59" customWidth="1"/>
    <col min="12293" max="12293" width="11" style="59" customWidth="1"/>
    <col min="12294" max="12294" width="11.5546875" style="59" customWidth="1"/>
    <col min="12295" max="12295" width="26" style="59" customWidth="1"/>
    <col min="12296" max="12539" width="9.109375" style="59"/>
    <col min="12540" max="12540" width="9.44140625" style="59" customWidth="1"/>
    <col min="12541" max="12541" width="102" style="59" customWidth="1"/>
    <col min="12542" max="12542" width="0" style="59" hidden="1" customWidth="1"/>
    <col min="12543" max="12543" width="6.109375" style="59" customWidth="1"/>
    <col min="12544" max="12544" width="15.5546875" style="59" customWidth="1"/>
    <col min="12545" max="12545" width="7.44140625" style="59" customWidth="1"/>
    <col min="12546" max="12546" width="7.6640625" style="59" customWidth="1"/>
    <col min="12547" max="12547" width="6.33203125" style="59" customWidth="1"/>
    <col min="12548" max="12548" width="7.5546875" style="59" customWidth="1"/>
    <col min="12549" max="12549" width="11" style="59" customWidth="1"/>
    <col min="12550" max="12550" width="11.5546875" style="59" customWidth="1"/>
    <col min="12551" max="12551" width="26" style="59" customWidth="1"/>
    <col min="12552" max="12795" width="9.109375" style="59"/>
    <col min="12796" max="12796" width="9.44140625" style="59" customWidth="1"/>
    <col min="12797" max="12797" width="102" style="59" customWidth="1"/>
    <col min="12798" max="12798" width="0" style="59" hidden="1" customWidth="1"/>
    <col min="12799" max="12799" width="6.109375" style="59" customWidth="1"/>
    <col min="12800" max="12800" width="15.5546875" style="59" customWidth="1"/>
    <col min="12801" max="12801" width="7.44140625" style="59" customWidth="1"/>
    <col min="12802" max="12802" width="7.6640625" style="59" customWidth="1"/>
    <col min="12803" max="12803" width="6.33203125" style="59" customWidth="1"/>
    <col min="12804" max="12804" width="7.5546875" style="59" customWidth="1"/>
    <col min="12805" max="12805" width="11" style="59" customWidth="1"/>
    <col min="12806" max="12806" width="11.5546875" style="59" customWidth="1"/>
    <col min="12807" max="12807" width="26" style="59" customWidth="1"/>
    <col min="12808" max="13051" width="9.109375" style="59"/>
    <col min="13052" max="13052" width="9.44140625" style="59" customWidth="1"/>
    <col min="13053" max="13053" width="102" style="59" customWidth="1"/>
    <col min="13054" max="13054" width="0" style="59" hidden="1" customWidth="1"/>
    <col min="13055" max="13055" width="6.109375" style="59" customWidth="1"/>
    <col min="13056" max="13056" width="15.5546875" style="59" customWidth="1"/>
    <col min="13057" max="13057" width="7.44140625" style="59" customWidth="1"/>
    <col min="13058" max="13058" width="7.6640625" style="59" customWidth="1"/>
    <col min="13059" max="13059" width="6.33203125" style="59" customWidth="1"/>
    <col min="13060" max="13060" width="7.5546875" style="59" customWidth="1"/>
    <col min="13061" max="13061" width="11" style="59" customWidth="1"/>
    <col min="13062" max="13062" width="11.5546875" style="59" customWidth="1"/>
    <col min="13063" max="13063" width="26" style="59" customWidth="1"/>
    <col min="13064" max="13307" width="9.109375" style="59"/>
    <col min="13308" max="13308" width="9.44140625" style="59" customWidth="1"/>
    <col min="13309" max="13309" width="102" style="59" customWidth="1"/>
    <col min="13310" max="13310" width="0" style="59" hidden="1" customWidth="1"/>
    <col min="13311" max="13311" width="6.109375" style="59" customWidth="1"/>
    <col min="13312" max="13312" width="15.5546875" style="59" customWidth="1"/>
    <col min="13313" max="13313" width="7.44140625" style="59" customWidth="1"/>
    <col min="13314" max="13314" width="7.6640625" style="59" customWidth="1"/>
    <col min="13315" max="13315" width="6.33203125" style="59" customWidth="1"/>
    <col min="13316" max="13316" width="7.5546875" style="59" customWidth="1"/>
    <col min="13317" max="13317" width="11" style="59" customWidth="1"/>
    <col min="13318" max="13318" width="11.5546875" style="59" customWidth="1"/>
    <col min="13319" max="13319" width="26" style="59" customWidth="1"/>
    <col min="13320" max="13563" width="9.109375" style="59"/>
    <col min="13564" max="13564" width="9.44140625" style="59" customWidth="1"/>
    <col min="13565" max="13565" width="102" style="59" customWidth="1"/>
    <col min="13566" max="13566" width="0" style="59" hidden="1" customWidth="1"/>
    <col min="13567" max="13567" width="6.109375" style="59" customWidth="1"/>
    <col min="13568" max="13568" width="15.5546875" style="59" customWidth="1"/>
    <col min="13569" max="13569" width="7.44140625" style="59" customWidth="1"/>
    <col min="13570" max="13570" width="7.6640625" style="59" customWidth="1"/>
    <col min="13571" max="13571" width="6.33203125" style="59" customWidth="1"/>
    <col min="13572" max="13572" width="7.5546875" style="59" customWidth="1"/>
    <col min="13573" max="13573" width="11" style="59" customWidth="1"/>
    <col min="13574" max="13574" width="11.5546875" style="59" customWidth="1"/>
    <col min="13575" max="13575" width="26" style="59" customWidth="1"/>
    <col min="13576" max="13819" width="9.109375" style="59"/>
    <col min="13820" max="13820" width="9.44140625" style="59" customWidth="1"/>
    <col min="13821" max="13821" width="102" style="59" customWidth="1"/>
    <col min="13822" max="13822" width="0" style="59" hidden="1" customWidth="1"/>
    <col min="13823" max="13823" width="6.109375" style="59" customWidth="1"/>
    <col min="13824" max="13824" width="15.5546875" style="59" customWidth="1"/>
    <col min="13825" max="13825" width="7.44140625" style="59" customWidth="1"/>
    <col min="13826" max="13826" width="7.6640625" style="59" customWidth="1"/>
    <col min="13827" max="13827" width="6.33203125" style="59" customWidth="1"/>
    <col min="13828" max="13828" width="7.5546875" style="59" customWidth="1"/>
    <col min="13829" max="13829" width="11" style="59" customWidth="1"/>
    <col min="13830" max="13830" width="11.5546875" style="59" customWidth="1"/>
    <col min="13831" max="13831" width="26" style="59" customWidth="1"/>
    <col min="13832" max="14075" width="9.109375" style="59"/>
    <col min="14076" max="14076" width="9.44140625" style="59" customWidth="1"/>
    <col min="14077" max="14077" width="102" style="59" customWidth="1"/>
    <col min="14078" max="14078" width="0" style="59" hidden="1" customWidth="1"/>
    <col min="14079" max="14079" width="6.109375" style="59" customWidth="1"/>
    <col min="14080" max="14080" width="15.5546875" style="59" customWidth="1"/>
    <col min="14081" max="14081" width="7.44140625" style="59" customWidth="1"/>
    <col min="14082" max="14082" width="7.6640625" style="59" customWidth="1"/>
    <col min="14083" max="14083" width="6.33203125" style="59" customWidth="1"/>
    <col min="14084" max="14084" width="7.5546875" style="59" customWidth="1"/>
    <col min="14085" max="14085" width="11" style="59" customWidth="1"/>
    <col min="14086" max="14086" width="11.5546875" style="59" customWidth="1"/>
    <col min="14087" max="14087" width="26" style="59" customWidth="1"/>
    <col min="14088" max="14331" width="9.109375" style="59"/>
    <col min="14332" max="14332" width="9.44140625" style="59" customWidth="1"/>
    <col min="14333" max="14333" width="102" style="59" customWidth="1"/>
    <col min="14334" max="14334" width="0" style="59" hidden="1" customWidth="1"/>
    <col min="14335" max="14335" width="6.109375" style="59" customWidth="1"/>
    <col min="14336" max="14336" width="15.5546875" style="59" customWidth="1"/>
    <col min="14337" max="14337" width="7.44140625" style="59" customWidth="1"/>
    <col min="14338" max="14338" width="7.6640625" style="59" customWidth="1"/>
    <col min="14339" max="14339" width="6.33203125" style="59" customWidth="1"/>
    <col min="14340" max="14340" width="7.5546875" style="59" customWidth="1"/>
    <col min="14341" max="14341" width="11" style="59" customWidth="1"/>
    <col min="14342" max="14342" width="11.5546875" style="59" customWidth="1"/>
    <col min="14343" max="14343" width="26" style="59" customWidth="1"/>
    <col min="14344" max="14587" width="9.109375" style="59"/>
    <col min="14588" max="14588" width="9.44140625" style="59" customWidth="1"/>
    <col min="14589" max="14589" width="102" style="59" customWidth="1"/>
    <col min="14590" max="14590" width="0" style="59" hidden="1" customWidth="1"/>
    <col min="14591" max="14591" width="6.109375" style="59" customWidth="1"/>
    <col min="14592" max="14592" width="15.5546875" style="59" customWidth="1"/>
    <col min="14593" max="14593" width="7.44140625" style="59" customWidth="1"/>
    <col min="14594" max="14594" width="7.6640625" style="59" customWidth="1"/>
    <col min="14595" max="14595" width="6.33203125" style="59" customWidth="1"/>
    <col min="14596" max="14596" width="7.5546875" style="59" customWidth="1"/>
    <col min="14597" max="14597" width="11" style="59" customWidth="1"/>
    <col min="14598" max="14598" width="11.5546875" style="59" customWidth="1"/>
    <col min="14599" max="14599" width="26" style="59" customWidth="1"/>
    <col min="14600" max="14843" width="9.109375" style="59"/>
    <col min="14844" max="14844" width="9.44140625" style="59" customWidth="1"/>
    <col min="14845" max="14845" width="102" style="59" customWidth="1"/>
    <col min="14846" max="14846" width="0" style="59" hidden="1" customWidth="1"/>
    <col min="14847" max="14847" width="6.109375" style="59" customWidth="1"/>
    <col min="14848" max="14848" width="15.5546875" style="59" customWidth="1"/>
    <col min="14849" max="14849" width="7.44140625" style="59" customWidth="1"/>
    <col min="14850" max="14850" width="7.6640625" style="59" customWidth="1"/>
    <col min="14851" max="14851" width="6.33203125" style="59" customWidth="1"/>
    <col min="14852" max="14852" width="7.5546875" style="59" customWidth="1"/>
    <col min="14853" max="14853" width="11" style="59" customWidth="1"/>
    <col min="14854" max="14854" width="11.5546875" style="59" customWidth="1"/>
    <col min="14855" max="14855" width="26" style="59" customWidth="1"/>
    <col min="14856" max="15099" width="9.109375" style="59"/>
    <col min="15100" max="15100" width="9.44140625" style="59" customWidth="1"/>
    <col min="15101" max="15101" width="102" style="59" customWidth="1"/>
    <col min="15102" max="15102" width="0" style="59" hidden="1" customWidth="1"/>
    <col min="15103" max="15103" width="6.109375" style="59" customWidth="1"/>
    <col min="15104" max="15104" width="15.5546875" style="59" customWidth="1"/>
    <col min="15105" max="15105" width="7.44140625" style="59" customWidth="1"/>
    <col min="15106" max="15106" width="7.6640625" style="59" customWidth="1"/>
    <col min="15107" max="15107" width="6.33203125" style="59" customWidth="1"/>
    <col min="15108" max="15108" width="7.5546875" style="59" customWidth="1"/>
    <col min="15109" max="15109" width="11" style="59" customWidth="1"/>
    <col min="15110" max="15110" width="11.5546875" style="59" customWidth="1"/>
    <col min="15111" max="15111" width="26" style="59" customWidth="1"/>
    <col min="15112" max="15355" width="9.109375" style="59"/>
    <col min="15356" max="15356" width="9.44140625" style="59" customWidth="1"/>
    <col min="15357" max="15357" width="102" style="59" customWidth="1"/>
    <col min="15358" max="15358" width="0" style="59" hidden="1" customWidth="1"/>
    <col min="15359" max="15359" width="6.109375" style="59" customWidth="1"/>
    <col min="15360" max="15360" width="15.5546875" style="59" customWidth="1"/>
    <col min="15361" max="15361" width="7.44140625" style="59" customWidth="1"/>
    <col min="15362" max="15362" width="7.6640625" style="59" customWidth="1"/>
    <col min="15363" max="15363" width="6.33203125" style="59" customWidth="1"/>
    <col min="15364" max="15364" width="7.5546875" style="59" customWidth="1"/>
    <col min="15365" max="15365" width="11" style="59" customWidth="1"/>
    <col min="15366" max="15366" width="11.5546875" style="59" customWidth="1"/>
    <col min="15367" max="15367" width="26" style="59" customWidth="1"/>
    <col min="15368" max="15611" width="9.109375" style="59"/>
    <col min="15612" max="15612" width="9.44140625" style="59" customWidth="1"/>
    <col min="15613" max="15613" width="102" style="59" customWidth="1"/>
    <col min="15614" max="15614" width="0" style="59" hidden="1" customWidth="1"/>
    <col min="15615" max="15615" width="6.109375" style="59" customWidth="1"/>
    <col min="15616" max="15616" width="15.5546875" style="59" customWidth="1"/>
    <col min="15617" max="15617" width="7.44140625" style="59" customWidth="1"/>
    <col min="15618" max="15618" width="7.6640625" style="59" customWidth="1"/>
    <col min="15619" max="15619" width="6.33203125" style="59" customWidth="1"/>
    <col min="15620" max="15620" width="7.5546875" style="59" customWidth="1"/>
    <col min="15621" max="15621" width="11" style="59" customWidth="1"/>
    <col min="15622" max="15622" width="11.5546875" style="59" customWidth="1"/>
    <col min="15623" max="15623" width="26" style="59" customWidth="1"/>
    <col min="15624" max="15867" width="9.109375" style="59"/>
    <col min="15868" max="15868" width="9.44140625" style="59" customWidth="1"/>
    <col min="15869" max="15869" width="102" style="59" customWidth="1"/>
    <col min="15870" max="15870" width="0" style="59" hidden="1" customWidth="1"/>
    <col min="15871" max="15871" width="6.109375" style="59" customWidth="1"/>
    <col min="15872" max="15872" width="15.5546875" style="59" customWidth="1"/>
    <col min="15873" max="15873" width="7.44140625" style="59" customWidth="1"/>
    <col min="15874" max="15874" width="7.6640625" style="59" customWidth="1"/>
    <col min="15875" max="15875" width="6.33203125" style="59" customWidth="1"/>
    <col min="15876" max="15876" width="7.5546875" style="59" customWidth="1"/>
    <col min="15877" max="15877" width="11" style="59" customWidth="1"/>
    <col min="15878" max="15878" width="11.5546875" style="59" customWidth="1"/>
    <col min="15879" max="15879" width="26" style="59" customWidth="1"/>
    <col min="15880" max="16123" width="9.109375" style="59"/>
    <col min="16124" max="16124" width="9.44140625" style="59" customWidth="1"/>
    <col min="16125" max="16125" width="102" style="59" customWidth="1"/>
    <col min="16126" max="16126" width="0" style="59" hidden="1" customWidth="1"/>
    <col min="16127" max="16127" width="6.109375" style="59" customWidth="1"/>
    <col min="16128" max="16128" width="15.5546875" style="59" customWidth="1"/>
    <col min="16129" max="16129" width="7.44140625" style="59" customWidth="1"/>
    <col min="16130" max="16130" width="7.6640625" style="59" customWidth="1"/>
    <col min="16131" max="16131" width="6.33203125" style="59" customWidth="1"/>
    <col min="16132" max="16132" width="7.5546875" style="59" customWidth="1"/>
    <col min="16133" max="16133" width="11" style="59" customWidth="1"/>
    <col min="16134" max="16134" width="11.5546875" style="59" customWidth="1"/>
    <col min="16135" max="16135" width="26" style="59" customWidth="1"/>
    <col min="16136" max="16379" width="9.109375" style="59"/>
    <col min="16380" max="16384" width="9.109375" style="59" customWidth="1"/>
  </cols>
  <sheetData>
    <row r="1" spans="1:10" s="6" customFormat="1" ht="19.95" customHeight="1">
      <c r="A1" s="349" t="s">
        <v>121</v>
      </c>
      <c r="B1" s="349"/>
      <c r="C1" s="349"/>
      <c r="D1" s="349"/>
      <c r="E1" s="349"/>
      <c r="F1" s="349"/>
      <c r="G1" s="349"/>
      <c r="H1" s="349"/>
      <c r="I1" s="349"/>
    </row>
    <row r="2" spans="1:10" s="6" customFormat="1" ht="19.95" customHeight="1">
      <c r="A2" s="350" t="s">
        <v>122</v>
      </c>
      <c r="B2" s="350"/>
      <c r="C2" s="350"/>
      <c r="D2" s="350"/>
      <c r="E2" s="350"/>
      <c r="F2" s="350"/>
      <c r="G2" s="350"/>
      <c r="H2" s="350"/>
      <c r="I2" s="350"/>
    </row>
    <row r="3" spans="1:10" s="7" customFormat="1" ht="19.95" customHeight="1">
      <c r="A3" s="7" t="str">
        <f>底稿目录!A2</f>
        <v>被审计单位：</v>
      </c>
      <c r="C3" s="7" t="str">
        <f>底稿目录!A4</f>
        <v>编制人：</v>
      </c>
      <c r="E3" s="7" t="str">
        <f>底稿目录!A5</f>
        <v>编制日期：</v>
      </c>
      <c r="H3" s="7" t="s">
        <v>164</v>
      </c>
      <c r="I3" s="294" t="str">
        <f>底稿目录!D4</f>
        <v>K8A</v>
      </c>
    </row>
    <row r="4" spans="1:10" s="7" customFormat="1" ht="19.95" customHeight="1">
      <c r="A4" s="7" t="str">
        <f>底稿目录!A3</f>
        <v>会计期间：202X年度</v>
      </c>
      <c r="C4" s="119" t="str">
        <f>底稿目录!A6</f>
        <v>复核人：</v>
      </c>
      <c r="E4" s="7" t="str">
        <f>底稿目录!A7</f>
        <v>复核日期：</v>
      </c>
      <c r="H4" s="155" t="s">
        <v>102</v>
      </c>
      <c r="I4" s="32"/>
    </row>
    <row r="5" spans="1:10" ht="19.95" customHeight="1">
      <c r="A5" s="351" t="s">
        <v>198</v>
      </c>
      <c r="B5" s="351"/>
    </row>
    <row r="6" spans="1:10" ht="19.95" customHeight="1">
      <c r="A6" s="297" t="s">
        <v>123</v>
      </c>
      <c r="B6" s="178"/>
      <c r="C6" s="178"/>
      <c r="D6" s="178"/>
      <c r="E6" s="178"/>
      <c r="F6" s="178"/>
      <c r="G6" s="178"/>
      <c r="H6" s="178"/>
      <c r="I6" s="178"/>
    </row>
    <row r="7" spans="1:10" s="7" customFormat="1" ht="19.95" customHeight="1">
      <c r="A7" s="184" t="s">
        <v>199</v>
      </c>
      <c r="B7" s="41"/>
      <c r="C7" s="110"/>
    </row>
    <row r="8" spans="1:10" s="7" customFormat="1" ht="19.95" customHeight="1">
      <c r="A8" s="347" t="s">
        <v>200</v>
      </c>
      <c r="B8" s="347"/>
      <c r="C8" s="347"/>
      <c r="D8" s="347"/>
      <c r="E8" s="347"/>
      <c r="F8" s="347"/>
      <c r="G8" s="352" t="s">
        <v>124</v>
      </c>
      <c r="H8" s="352"/>
      <c r="I8" s="352"/>
    </row>
    <row r="9" spans="1:10" s="7" customFormat="1" ht="19.95" customHeight="1">
      <c r="A9" s="348" t="s">
        <v>342</v>
      </c>
      <c r="B9" s="348"/>
      <c r="C9" s="348"/>
      <c r="D9" s="348"/>
      <c r="E9" s="348"/>
      <c r="F9" s="348"/>
      <c r="G9" s="346" t="s">
        <v>125</v>
      </c>
      <c r="H9" s="346"/>
      <c r="I9" s="346"/>
    </row>
    <row r="10" spans="1:10" s="7" customFormat="1" ht="19.95" customHeight="1">
      <c r="A10" s="348" t="s">
        <v>356</v>
      </c>
      <c r="B10" s="348"/>
      <c r="C10" s="348"/>
      <c r="D10" s="348"/>
      <c r="E10" s="348"/>
      <c r="F10" s="348"/>
      <c r="G10" s="346" t="s">
        <v>352</v>
      </c>
      <c r="H10" s="346"/>
      <c r="I10" s="346"/>
    </row>
    <row r="11" spans="1:10" s="7" customFormat="1" ht="19.95" customHeight="1">
      <c r="A11" s="348" t="s">
        <v>357</v>
      </c>
      <c r="B11" s="348"/>
      <c r="C11" s="348"/>
      <c r="D11" s="348"/>
      <c r="E11" s="348"/>
      <c r="F11" s="348"/>
      <c r="G11" s="346" t="s">
        <v>353</v>
      </c>
      <c r="H11" s="346"/>
      <c r="I11" s="346"/>
    </row>
    <row r="12" spans="1:10" s="7" customFormat="1" ht="19.95" customHeight="1">
      <c r="A12" s="348" t="s">
        <v>358</v>
      </c>
      <c r="B12" s="348"/>
      <c r="C12" s="348"/>
      <c r="D12" s="348"/>
      <c r="E12" s="348"/>
      <c r="F12" s="348"/>
      <c r="G12" s="346" t="s">
        <v>354</v>
      </c>
      <c r="H12" s="346"/>
      <c r="I12" s="346"/>
    </row>
    <row r="13" spans="1:10" s="7" customFormat="1" ht="19.95" customHeight="1">
      <c r="A13" s="348" t="s">
        <v>359</v>
      </c>
      <c r="B13" s="348"/>
      <c r="C13" s="348"/>
      <c r="D13" s="348"/>
      <c r="E13" s="348"/>
      <c r="F13" s="348"/>
      <c r="G13" s="346" t="s">
        <v>355</v>
      </c>
      <c r="H13" s="346"/>
      <c r="I13" s="346"/>
    </row>
    <row r="14" spans="1:10" s="7" customFormat="1" ht="19.95" customHeight="1">
      <c r="A14" s="356" t="s">
        <v>127</v>
      </c>
      <c r="B14" s="357"/>
      <c r="C14" s="110"/>
    </row>
    <row r="15" spans="1:10" s="7" customFormat="1" ht="22.2" customHeight="1">
      <c r="A15" s="358" t="s">
        <v>128</v>
      </c>
      <c r="B15" s="360" t="s">
        <v>366</v>
      </c>
      <c r="C15" s="361" t="s">
        <v>130</v>
      </c>
      <c r="D15" s="354" t="s">
        <v>129</v>
      </c>
      <c r="E15" s="355"/>
      <c r="F15" s="355"/>
      <c r="G15" s="355"/>
      <c r="H15" s="355"/>
      <c r="I15" s="353" t="s">
        <v>235</v>
      </c>
    </row>
    <row r="16" spans="1:10" s="40" customFormat="1" ht="22.2" customHeight="1">
      <c r="A16" s="359"/>
      <c r="B16" s="360"/>
      <c r="C16" s="362"/>
      <c r="D16" s="241" t="s">
        <v>182</v>
      </c>
      <c r="E16" s="241" t="s">
        <v>183</v>
      </c>
      <c r="F16" s="241" t="s">
        <v>184</v>
      </c>
      <c r="G16" s="241" t="s">
        <v>185</v>
      </c>
      <c r="H16" s="242" t="s">
        <v>203</v>
      </c>
      <c r="I16" s="353"/>
      <c r="J16" s="317" t="s">
        <v>365</v>
      </c>
    </row>
    <row r="17" spans="1:10" s="40" customFormat="1" ht="54.6" customHeight="1">
      <c r="A17" s="214" t="s">
        <v>132</v>
      </c>
      <c r="B17" s="192" t="s">
        <v>258</v>
      </c>
      <c r="C17" s="181" t="s">
        <v>186</v>
      </c>
      <c r="D17" s="237" t="s">
        <v>273</v>
      </c>
      <c r="E17" s="237" t="s">
        <v>126</v>
      </c>
      <c r="F17" s="238" t="s">
        <v>274</v>
      </c>
      <c r="G17" s="111"/>
      <c r="H17" s="111"/>
      <c r="I17" s="198" t="s">
        <v>319</v>
      </c>
    </row>
    <row r="18" spans="1:10" s="120" customFormat="1" ht="48" customHeight="1">
      <c r="A18" s="214" t="s">
        <v>187</v>
      </c>
      <c r="B18" s="186" t="s">
        <v>201</v>
      </c>
      <c r="C18" s="181" t="s">
        <v>195</v>
      </c>
      <c r="D18" s="239"/>
      <c r="E18" s="238" t="s">
        <v>273</v>
      </c>
      <c r="F18" s="237" t="s">
        <v>274</v>
      </c>
      <c r="G18" s="111"/>
      <c r="H18" s="111"/>
      <c r="I18" s="318" t="s">
        <v>188</v>
      </c>
      <c r="J18" s="215" t="s">
        <v>236</v>
      </c>
    </row>
    <row r="19" spans="1:10" s="112" customFormat="1" ht="30.6" customHeight="1">
      <c r="A19" s="214" t="s">
        <v>189</v>
      </c>
      <c r="B19" s="233" t="s">
        <v>262</v>
      </c>
      <c r="C19" s="183" t="s">
        <v>224</v>
      </c>
      <c r="D19" s="194"/>
      <c r="E19" s="194"/>
      <c r="F19" s="194"/>
      <c r="G19" s="197" t="s">
        <v>194</v>
      </c>
      <c r="H19" s="194"/>
      <c r="I19" s="182"/>
      <c r="J19" s="216" t="s">
        <v>237</v>
      </c>
    </row>
    <row r="20" spans="1:10" s="112" customFormat="1" ht="33.6" customHeight="1">
      <c r="A20" s="214" t="s">
        <v>190</v>
      </c>
      <c r="B20" s="186" t="s">
        <v>202</v>
      </c>
      <c r="C20" s="187" t="s">
        <v>131</v>
      </c>
      <c r="D20" s="188" t="s">
        <v>126</v>
      </c>
      <c r="E20" s="188" t="s">
        <v>275</v>
      </c>
      <c r="F20" s="188" t="s">
        <v>274</v>
      </c>
      <c r="G20" s="188"/>
      <c r="H20" s="188"/>
      <c r="I20" s="198" t="s">
        <v>320</v>
      </c>
      <c r="J20" s="216"/>
    </row>
    <row r="21" spans="1:10" s="40" customFormat="1" ht="105" customHeight="1">
      <c r="A21" s="214" t="s">
        <v>191</v>
      </c>
      <c r="B21" s="223" t="s">
        <v>259</v>
      </c>
      <c r="C21" s="181" t="s">
        <v>195</v>
      </c>
      <c r="D21" s="188" t="s">
        <v>209</v>
      </c>
      <c r="E21" s="234" t="s">
        <v>275</v>
      </c>
      <c r="F21" s="111" t="s">
        <v>208</v>
      </c>
      <c r="G21" s="111"/>
      <c r="H21" s="111"/>
      <c r="I21" s="179" t="s">
        <v>218</v>
      </c>
    </row>
    <row r="22" spans="1:10" s="40" customFormat="1" ht="52.8" customHeight="1">
      <c r="A22" s="214" t="s">
        <v>192</v>
      </c>
      <c r="B22" s="224" t="s">
        <v>261</v>
      </c>
      <c r="C22" s="188" t="s">
        <v>260</v>
      </c>
      <c r="D22" s="188" t="s">
        <v>209</v>
      </c>
      <c r="E22" s="234" t="s">
        <v>275</v>
      </c>
      <c r="F22" s="111" t="s">
        <v>208</v>
      </c>
      <c r="G22" s="111"/>
      <c r="H22" s="111"/>
      <c r="I22" s="225"/>
    </row>
    <row r="23" spans="1:10" s="40" customFormat="1" ht="38.4" customHeight="1">
      <c r="A23" s="214" t="s">
        <v>196</v>
      </c>
      <c r="B23" s="224" t="s">
        <v>263</v>
      </c>
      <c r="C23" s="181" t="s">
        <v>195</v>
      </c>
      <c r="D23" s="188" t="s">
        <v>209</v>
      </c>
      <c r="E23" s="234" t="s">
        <v>209</v>
      </c>
      <c r="F23" s="234" t="s">
        <v>209</v>
      </c>
      <c r="G23" s="188" t="s">
        <v>209</v>
      </c>
      <c r="H23" s="111"/>
      <c r="I23" s="232" t="s">
        <v>321</v>
      </c>
    </row>
    <row r="24" spans="1:10" s="112" customFormat="1" ht="34.200000000000003" customHeight="1">
      <c r="A24" s="214" t="s">
        <v>211</v>
      </c>
      <c r="B24" s="192" t="s">
        <v>264</v>
      </c>
      <c r="C24" s="235" t="s">
        <v>265</v>
      </c>
      <c r="D24" s="188" t="s">
        <v>209</v>
      </c>
      <c r="E24" s="234" t="s">
        <v>209</v>
      </c>
      <c r="F24" s="234" t="s">
        <v>209</v>
      </c>
      <c r="G24" s="188" t="s">
        <v>209</v>
      </c>
      <c r="H24" s="111"/>
      <c r="I24" s="193"/>
    </row>
    <row r="25" spans="1:10" s="112" customFormat="1" ht="53.4" customHeight="1">
      <c r="A25" s="214" t="s">
        <v>197</v>
      </c>
      <c r="B25" s="186" t="s">
        <v>266</v>
      </c>
      <c r="C25" s="181" t="s">
        <v>195</v>
      </c>
      <c r="D25" s="188" t="s">
        <v>210</v>
      </c>
      <c r="E25" s="234" t="s">
        <v>210</v>
      </c>
      <c r="F25" s="188" t="s">
        <v>210</v>
      </c>
      <c r="G25" s="234" t="s">
        <v>210</v>
      </c>
      <c r="H25" s="188" t="s">
        <v>210</v>
      </c>
      <c r="I25" s="225"/>
    </row>
    <row r="26" spans="1:10" s="112" customFormat="1" ht="204.6" customHeight="1">
      <c r="A26" s="214" t="s">
        <v>212</v>
      </c>
      <c r="B26" s="186" t="s">
        <v>267</v>
      </c>
      <c r="C26" s="188" t="s">
        <v>260</v>
      </c>
      <c r="D26" s="188" t="s">
        <v>210</v>
      </c>
      <c r="E26" s="234" t="s">
        <v>210</v>
      </c>
      <c r="F26" s="188" t="s">
        <v>210</v>
      </c>
      <c r="G26" s="234" t="s">
        <v>210</v>
      </c>
      <c r="H26" s="188" t="s">
        <v>210</v>
      </c>
      <c r="I26" s="225"/>
    </row>
    <row r="27" spans="1:10" s="112" customFormat="1" ht="71.400000000000006" customHeight="1">
      <c r="A27" s="214" t="s">
        <v>223</v>
      </c>
      <c r="B27" s="185" t="s">
        <v>292</v>
      </c>
      <c r="C27" s="183" t="s">
        <v>193</v>
      </c>
      <c r="D27" s="194"/>
      <c r="E27" s="194"/>
      <c r="F27" s="194"/>
      <c r="G27" s="197" t="s">
        <v>194</v>
      </c>
      <c r="H27" s="194"/>
      <c r="I27" s="182" t="s">
        <v>322</v>
      </c>
    </row>
    <row r="28" spans="1:10" s="112" customFormat="1" ht="33.6" customHeight="1">
      <c r="A28" s="214" t="s">
        <v>270</v>
      </c>
      <c r="B28" s="186" t="s">
        <v>268</v>
      </c>
      <c r="C28" s="181" t="s">
        <v>195</v>
      </c>
      <c r="D28" s="238" t="s">
        <v>126</v>
      </c>
      <c r="E28" s="240"/>
      <c r="F28" s="237" t="s">
        <v>126</v>
      </c>
      <c r="G28" s="237" t="s">
        <v>273</v>
      </c>
      <c r="H28" s="111"/>
      <c r="I28" s="177" t="s">
        <v>239</v>
      </c>
    </row>
    <row r="29" spans="1:10" s="7" customFormat="1" ht="37.200000000000003" customHeight="1">
      <c r="A29" s="214" t="s">
        <v>271</v>
      </c>
      <c r="B29" s="236" t="s">
        <v>269</v>
      </c>
      <c r="C29" s="219" t="s">
        <v>252</v>
      </c>
      <c r="D29" s="111"/>
      <c r="E29" s="111"/>
      <c r="F29" s="111"/>
      <c r="G29" s="111"/>
      <c r="H29" s="194"/>
      <c r="I29" s="182"/>
    </row>
    <row r="30" spans="1:10" s="7" customFormat="1" ht="25.8" customHeight="1">
      <c r="A30" s="214" t="s">
        <v>272</v>
      </c>
      <c r="B30" s="295" t="s">
        <v>343</v>
      </c>
      <c r="C30" s="180" t="s">
        <v>186</v>
      </c>
      <c r="D30" s="111"/>
      <c r="E30" s="111"/>
      <c r="F30" s="111"/>
      <c r="G30" s="111"/>
      <c r="H30" s="194" t="s">
        <v>126</v>
      </c>
      <c r="I30" s="217" t="s">
        <v>238</v>
      </c>
    </row>
    <row r="31" spans="1:10" s="7" customFormat="1">
      <c r="A31" s="113"/>
      <c r="B31" s="114"/>
      <c r="C31" s="115"/>
      <c r="D31" s="116"/>
      <c r="E31" s="116"/>
      <c r="F31" s="116"/>
      <c r="G31" s="116"/>
      <c r="H31" s="116"/>
      <c r="I31" s="116"/>
    </row>
    <row r="33" spans="1:2" ht="15.6">
      <c r="A33" s="59"/>
      <c r="B33" s="117"/>
    </row>
    <row r="34" spans="1:2">
      <c r="A34" s="59"/>
    </row>
    <row r="35" spans="1:2">
      <c r="A35" s="59"/>
    </row>
  </sheetData>
  <mergeCells count="21">
    <mergeCell ref="I15:I16"/>
    <mergeCell ref="D15:H15"/>
    <mergeCell ref="A14:B14"/>
    <mergeCell ref="A15:A16"/>
    <mergeCell ref="B15:B16"/>
    <mergeCell ref="C15:C16"/>
    <mergeCell ref="A1:I1"/>
    <mergeCell ref="A2:I2"/>
    <mergeCell ref="A5:B5"/>
    <mergeCell ref="G8:I8"/>
    <mergeCell ref="G9:I9"/>
    <mergeCell ref="G12:I12"/>
    <mergeCell ref="G13:I13"/>
    <mergeCell ref="A8:F8"/>
    <mergeCell ref="A9:F9"/>
    <mergeCell ref="A10:F10"/>
    <mergeCell ref="A11:F11"/>
    <mergeCell ref="A12:F12"/>
    <mergeCell ref="A13:F13"/>
    <mergeCell ref="G10:I10"/>
    <mergeCell ref="G11:I11"/>
  </mergeCells>
  <phoneticPr fontId="5" type="noConversion"/>
  <hyperlinks>
    <hyperlink ref="I3" location="底稿目录!A1" display="底稿目录!A1"/>
  </hyperlinks>
  <printOptions horizontalCentered="1"/>
  <pageMargins left="0.43307086614173229" right="0.19685039370078741" top="0.51181102362204722" bottom="0.39370078740157483" header="0.51181102362204722" footer="0.19685039370078741"/>
  <pageSetup paperSize="9" scale="70" fitToHeight="20" orientation="portrait" blackAndWhite="1" cellComments="atEnd" r:id="rId1"/>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L29"/>
  <sheetViews>
    <sheetView view="pageBreakPreview" zoomScaleSheetLayoutView="100" workbookViewId="0">
      <selection sqref="A1:L1"/>
    </sheetView>
  </sheetViews>
  <sheetFormatPr defaultColWidth="9.109375" defaultRowHeight="23.25" customHeight="1"/>
  <cols>
    <col min="1" max="1" width="23.109375" style="2" customWidth="1"/>
    <col min="2" max="9" width="11.5546875" style="2" customWidth="1"/>
    <col min="10" max="11" width="13.33203125" style="2" customWidth="1"/>
    <col min="12" max="12" width="11.6640625" style="2" customWidth="1"/>
    <col min="13" max="16384" width="9.109375" style="2"/>
  </cols>
  <sheetData>
    <row r="1" spans="1:12" s="1" customFormat="1" ht="19.95" customHeight="1">
      <c r="A1" s="366" t="s">
        <v>0</v>
      </c>
      <c r="B1" s="366"/>
      <c r="C1" s="366"/>
      <c r="D1" s="366"/>
      <c r="E1" s="366"/>
      <c r="F1" s="366"/>
      <c r="G1" s="366"/>
      <c r="H1" s="366"/>
      <c r="I1" s="366"/>
      <c r="J1" s="366"/>
      <c r="K1" s="366"/>
      <c r="L1" s="366"/>
    </row>
    <row r="2" spans="1:12" s="1" customFormat="1" ht="19.95" customHeight="1">
      <c r="A2" s="367" t="s">
        <v>101</v>
      </c>
      <c r="B2" s="367"/>
      <c r="C2" s="367"/>
      <c r="D2" s="367"/>
      <c r="E2" s="367"/>
      <c r="F2" s="367"/>
      <c r="G2" s="367"/>
      <c r="H2" s="367"/>
      <c r="I2" s="367"/>
      <c r="J2" s="367"/>
      <c r="K2" s="367"/>
      <c r="L2" s="367"/>
    </row>
    <row r="3" spans="1:12" ht="19.95" customHeight="1">
      <c r="A3" s="2" t="str">
        <f>底稿目录!A2</f>
        <v>被审计单位：</v>
      </c>
      <c r="D3" s="3" t="str">
        <f>底稿目录!A4</f>
        <v>编制人：</v>
      </c>
      <c r="I3" s="94" t="str">
        <f>底稿目录!A5</f>
        <v>编制日期：</v>
      </c>
      <c r="K3" s="158" t="s">
        <v>165</v>
      </c>
      <c r="L3" s="294" t="str">
        <f>底稿目录!D5</f>
        <v>K8-1</v>
      </c>
    </row>
    <row r="4" spans="1:12" ht="19.95" customHeight="1">
      <c r="A4" s="2" t="str">
        <f>底稿目录!A3</f>
        <v>会计期间：202X年度</v>
      </c>
      <c r="B4" s="4"/>
      <c r="D4" s="3" t="str">
        <f>底稿目录!A6</f>
        <v>复核人：</v>
      </c>
      <c r="I4" s="94" t="str">
        <f>底稿目录!A7</f>
        <v>复核日期：</v>
      </c>
      <c r="K4" s="158" t="s">
        <v>166</v>
      </c>
      <c r="L4" s="159">
        <v>1</v>
      </c>
    </row>
    <row r="5" spans="1:12" ht="42.6" customHeight="1">
      <c r="A5" s="364" t="s">
        <v>80</v>
      </c>
      <c r="B5" s="370" t="s">
        <v>97</v>
      </c>
      <c r="C5" s="371"/>
      <c r="D5" s="371"/>
      <c r="E5" s="372"/>
      <c r="F5" s="373" t="s">
        <v>98</v>
      </c>
      <c r="G5" s="374"/>
      <c r="H5" s="374"/>
      <c r="I5" s="375"/>
      <c r="J5" s="376" t="s">
        <v>52</v>
      </c>
      <c r="K5" s="377"/>
      <c r="L5" s="368" t="s">
        <v>81</v>
      </c>
    </row>
    <row r="6" spans="1:12" ht="19.95" customHeight="1">
      <c r="A6" s="365"/>
      <c r="B6" s="66" t="s">
        <v>82</v>
      </c>
      <c r="C6" s="66" t="s">
        <v>56</v>
      </c>
      <c r="D6" s="66" t="s">
        <v>83</v>
      </c>
      <c r="E6" s="66" t="s">
        <v>84</v>
      </c>
      <c r="F6" s="66" t="s">
        <v>82</v>
      </c>
      <c r="G6" s="66" t="s">
        <v>56</v>
      </c>
      <c r="H6" s="66" t="s">
        <v>83</v>
      </c>
      <c r="I6" s="66" t="s">
        <v>84</v>
      </c>
      <c r="J6" s="67" t="s">
        <v>85</v>
      </c>
      <c r="K6" s="68" t="s">
        <v>86</v>
      </c>
      <c r="L6" s="369"/>
    </row>
    <row r="7" spans="1:12" s="5" customFormat="1" ht="19.95" customHeight="1">
      <c r="A7" s="205" t="str">
        <f>'明细表K8-2'!A12</f>
        <v>专设销售机构的职工薪酬</v>
      </c>
      <c r="B7" s="160">
        <f>SUMIF('明细表K8-2'!$Z$12:$Z$24,$A7,'明细表K8-2'!$T$12:$T$24)</f>
        <v>0</v>
      </c>
      <c r="C7" s="160">
        <f>SUMIF('明细表K8-2'!$Z$12:$Z$24,$A7,'明细表K8-2'!$U$12:$U$24)</f>
        <v>0</v>
      </c>
      <c r="D7" s="160">
        <f>SUMIF('明细表K8-2'!$Z$12:$Z$24,$A7,'明细表K8-2'!$V$12:$V$24)</f>
        <v>0</v>
      </c>
      <c r="E7" s="160">
        <f>B7+C7+D7</f>
        <v>0</v>
      </c>
      <c r="F7" s="160">
        <f>SUMIF('明细表K8-2'!$Z$12:$Z$24,$A7,'明细表K8-2'!$N$12:$N$24)</f>
        <v>0</v>
      </c>
      <c r="G7" s="160">
        <f>SUMIF('明细表K8-2'!$Z$12:$Z$24,$A7,'明细表K8-2'!$O$12:$O$24)</f>
        <v>0</v>
      </c>
      <c r="H7" s="160">
        <f>SUMIF('明细表K8-2'!$Z$12:$Z$24,$A7,'明细表K8-2'!$P$12:$P$24)</f>
        <v>0</v>
      </c>
      <c r="I7" s="160">
        <f>F7+G7+H7</f>
        <v>0</v>
      </c>
      <c r="J7" s="161">
        <f t="shared" ref="J7:J14" si="0">I7-E7</f>
        <v>0</v>
      </c>
      <c r="K7" s="162">
        <f t="shared" ref="K7:K14" si="1">IF(AND(E7=0,I7=0),0,IF(AND(E7=0,I7&gt;0),1,J7/E7))</f>
        <v>0</v>
      </c>
      <c r="L7" s="69"/>
    </row>
    <row r="8" spans="1:12" s="5" customFormat="1" ht="19.95" customHeight="1">
      <c r="A8" s="205" t="str">
        <f>'明细表K8-2'!A13</f>
        <v>业务费</v>
      </c>
      <c r="B8" s="160">
        <f>SUMIF('明细表K8-2'!$Z$12:$Z$24,$A8,'明细表K8-2'!$T$12:$T$24)</f>
        <v>0</v>
      </c>
      <c r="C8" s="160">
        <f>SUMIF('明细表K8-2'!$Z$12:$Z$24,$A8,'明细表K8-2'!$U$12:$U$24)</f>
        <v>0</v>
      </c>
      <c r="D8" s="160">
        <f>SUMIF('明细表K8-2'!$Z$12:$Z$24,$A8,'明细表K8-2'!$V$12:$V$24)</f>
        <v>0</v>
      </c>
      <c r="E8" s="160">
        <f t="shared" ref="E8:E14" si="2">B8+C8+D8</f>
        <v>0</v>
      </c>
      <c r="F8" s="160">
        <f>SUMIF('明细表K8-2'!$Z$12:$Z$24,$A8,'明细表K8-2'!$N$12:$N$24)</f>
        <v>0</v>
      </c>
      <c r="G8" s="160">
        <f>SUMIF('明细表K8-2'!$Z$12:$Z$24,$A8,'明细表K8-2'!$O$12:$O$24)</f>
        <v>0</v>
      </c>
      <c r="H8" s="160">
        <f>SUMIF('明细表K8-2'!$Z$12:$Z$24,$A8,'明细表K8-2'!$P$12:$P$24)</f>
        <v>0</v>
      </c>
      <c r="I8" s="160">
        <f t="shared" ref="I8:I14" si="3">F8+G8+H8</f>
        <v>0</v>
      </c>
      <c r="J8" s="161">
        <f t="shared" si="0"/>
        <v>0</v>
      </c>
      <c r="K8" s="162">
        <f t="shared" si="1"/>
        <v>0</v>
      </c>
      <c r="L8" s="69"/>
    </row>
    <row r="9" spans="1:12" s="5" customFormat="1" ht="19.95" customHeight="1">
      <c r="A9" s="205" t="str">
        <f>'明细表K8-2'!A14</f>
        <v>折旧费</v>
      </c>
      <c r="B9" s="160">
        <f>SUMIF('明细表K8-2'!$Z$12:$Z$24,$A9,'明细表K8-2'!$T$12:$T$24)</f>
        <v>0</v>
      </c>
      <c r="C9" s="160">
        <f>SUMIF('明细表K8-2'!$Z$12:$Z$24,$A9,'明细表K8-2'!$U$12:$U$24)</f>
        <v>0</v>
      </c>
      <c r="D9" s="160">
        <f>SUMIF('明细表K8-2'!$Z$12:$Z$24,$A9,'明细表K8-2'!$V$12:$V$24)</f>
        <v>0</v>
      </c>
      <c r="E9" s="160">
        <f t="shared" si="2"/>
        <v>0</v>
      </c>
      <c r="F9" s="160">
        <f>SUMIF('明细表K8-2'!$Z$12:$Z$24,$A9,'明细表K8-2'!$N$12:$N$24)</f>
        <v>0</v>
      </c>
      <c r="G9" s="160">
        <f>SUMIF('明细表K8-2'!$Z$12:$Z$24,$A9,'明细表K8-2'!$O$12:$O$24)</f>
        <v>0</v>
      </c>
      <c r="H9" s="160">
        <f>SUMIF('明细表K8-2'!$Z$12:$Z$24,$A9,'明细表K8-2'!$P$12:$P$24)</f>
        <v>0</v>
      </c>
      <c r="I9" s="160">
        <f t="shared" si="3"/>
        <v>0</v>
      </c>
      <c r="J9" s="161">
        <f t="shared" si="0"/>
        <v>0</v>
      </c>
      <c r="K9" s="162">
        <f t="shared" si="1"/>
        <v>0</v>
      </c>
      <c r="L9" s="69"/>
    </row>
    <row r="10" spans="1:12" s="5" customFormat="1" ht="19.95" customHeight="1">
      <c r="A10" s="205" t="str">
        <f>'明细表K8-2'!A15</f>
        <v>保险费</v>
      </c>
      <c r="B10" s="160">
        <f>SUMIF('明细表K8-2'!$Z$12:$Z$24,$A10,'明细表K8-2'!$T$12:$T$24)</f>
        <v>0</v>
      </c>
      <c r="C10" s="160">
        <f>SUMIF('明细表K8-2'!$Z$12:$Z$24,$A10,'明细表K8-2'!$U$12:$U$24)</f>
        <v>0</v>
      </c>
      <c r="D10" s="160">
        <f>SUMIF('明细表K8-2'!$Z$12:$Z$24,$A10,'明细表K8-2'!$V$12:$V$24)</f>
        <v>0</v>
      </c>
      <c r="E10" s="160">
        <f t="shared" si="2"/>
        <v>0</v>
      </c>
      <c r="F10" s="160">
        <f>SUMIF('明细表K8-2'!$Z$12:$Z$24,$A10,'明细表K8-2'!$N$12:$N$24)</f>
        <v>0</v>
      </c>
      <c r="G10" s="160">
        <f>SUMIF('明细表K8-2'!$Z$12:$Z$24,$A10,'明细表K8-2'!$O$12:$O$24)</f>
        <v>0</v>
      </c>
      <c r="H10" s="160">
        <f>SUMIF('明细表K8-2'!$Z$12:$Z$24,$A10,'明细表K8-2'!$P$12:$P$24)</f>
        <v>0</v>
      </c>
      <c r="I10" s="160">
        <f t="shared" si="3"/>
        <v>0</v>
      </c>
      <c r="J10" s="161">
        <f t="shared" si="0"/>
        <v>0</v>
      </c>
      <c r="K10" s="162">
        <f t="shared" si="1"/>
        <v>0</v>
      </c>
      <c r="L10" s="69"/>
    </row>
    <row r="11" spans="1:12" s="5" customFormat="1" ht="19.95" customHeight="1">
      <c r="A11" s="205" t="str">
        <f>'明细表K8-2'!A16</f>
        <v>包装费</v>
      </c>
      <c r="B11" s="160">
        <f>SUMIF('明细表K8-2'!$Z$12:$Z$24,$A11,'明细表K8-2'!$T$12:$T$24)</f>
        <v>0</v>
      </c>
      <c r="C11" s="160">
        <f>SUMIF('明细表K8-2'!$Z$12:$Z$24,$A11,'明细表K8-2'!$U$12:$U$24)</f>
        <v>0</v>
      </c>
      <c r="D11" s="160">
        <f>SUMIF('明细表K8-2'!$Z$12:$Z$24,$A11,'明细表K8-2'!$V$12:$V$24)</f>
        <v>0</v>
      </c>
      <c r="E11" s="160">
        <f t="shared" si="2"/>
        <v>0</v>
      </c>
      <c r="F11" s="160">
        <f>SUMIF('明细表K8-2'!$Z$12:$Z$24,$A11,'明细表K8-2'!$N$12:$N$24)</f>
        <v>0</v>
      </c>
      <c r="G11" s="160">
        <f>SUMIF('明细表K8-2'!$Z$12:$Z$24,$A11,'明细表K8-2'!$O$12:$O$24)</f>
        <v>0</v>
      </c>
      <c r="H11" s="160">
        <f>SUMIF('明细表K8-2'!$Z$12:$Z$24,$A11,'明细表K8-2'!$P$12:$P$24)</f>
        <v>0</v>
      </c>
      <c r="I11" s="160">
        <f t="shared" si="3"/>
        <v>0</v>
      </c>
      <c r="J11" s="161">
        <f t="shared" si="0"/>
        <v>0</v>
      </c>
      <c r="K11" s="162">
        <f t="shared" si="1"/>
        <v>0</v>
      </c>
      <c r="L11" s="69"/>
    </row>
    <row r="12" spans="1:12" s="5" customFormat="1" ht="19.95" customHeight="1">
      <c r="A12" s="205" t="str">
        <f>'明细表K8-2'!A17</f>
        <v>展览费</v>
      </c>
      <c r="B12" s="160">
        <f>SUMIF('明细表K8-2'!$Z$12:$Z$24,$A12,'明细表K8-2'!$T$12:$T$24)</f>
        <v>0</v>
      </c>
      <c r="C12" s="160">
        <f>SUMIF('明细表K8-2'!$Z$12:$Z$24,$A12,'明细表K8-2'!$U$12:$U$24)</f>
        <v>0</v>
      </c>
      <c r="D12" s="160">
        <f>SUMIF('明细表K8-2'!$Z$12:$Z$24,$A12,'明细表K8-2'!$V$12:$V$24)</f>
        <v>0</v>
      </c>
      <c r="E12" s="160">
        <f t="shared" si="2"/>
        <v>0</v>
      </c>
      <c r="F12" s="160">
        <f>SUMIF('明细表K8-2'!$Z$12:$Z$24,$A12,'明细表K8-2'!$N$12:$N$24)</f>
        <v>0</v>
      </c>
      <c r="G12" s="160">
        <f>SUMIF('明细表K8-2'!$Z$12:$Z$24,$A12,'明细表K8-2'!$O$12:$O$24)</f>
        <v>0</v>
      </c>
      <c r="H12" s="160">
        <f>SUMIF('明细表K8-2'!$Z$12:$Z$24,$A12,'明细表K8-2'!$P$12:$P$24)</f>
        <v>0</v>
      </c>
      <c r="I12" s="160">
        <f t="shared" si="3"/>
        <v>0</v>
      </c>
      <c r="J12" s="161">
        <f t="shared" si="0"/>
        <v>0</v>
      </c>
      <c r="K12" s="162">
        <f t="shared" si="1"/>
        <v>0</v>
      </c>
      <c r="L12" s="69"/>
    </row>
    <row r="13" spans="1:12" s="5" customFormat="1" ht="19.95" customHeight="1">
      <c r="A13" s="205" t="str">
        <f>'明细表K8-2'!A18</f>
        <v>广告费</v>
      </c>
      <c r="B13" s="160">
        <f>SUMIF('明细表K8-2'!$Z$12:$Z$24,$A13,'明细表K8-2'!$T$12:$T$24)</f>
        <v>0</v>
      </c>
      <c r="C13" s="160">
        <f>SUMIF('明细表K8-2'!$Z$12:$Z$24,$A13,'明细表K8-2'!$U$12:$U$24)</f>
        <v>0</v>
      </c>
      <c r="D13" s="160">
        <f>SUMIF('明细表K8-2'!$Z$12:$Z$24,$A13,'明细表K8-2'!$V$12:$V$24)</f>
        <v>0</v>
      </c>
      <c r="E13" s="160">
        <f t="shared" si="2"/>
        <v>0</v>
      </c>
      <c r="F13" s="160">
        <f>SUMIF('明细表K8-2'!$Z$12:$Z$24,$A13,'明细表K8-2'!$N$12:$N$24)</f>
        <v>0</v>
      </c>
      <c r="G13" s="160">
        <f>SUMIF('明细表K8-2'!$Z$12:$Z$24,$A13,'明细表K8-2'!$O$12:$O$24)</f>
        <v>0</v>
      </c>
      <c r="H13" s="160">
        <f>SUMIF('明细表K8-2'!$Z$12:$Z$24,$A13,'明细表K8-2'!$P$12:$P$24)</f>
        <v>0</v>
      </c>
      <c r="I13" s="160">
        <f t="shared" si="3"/>
        <v>0</v>
      </c>
      <c r="J13" s="161">
        <f t="shared" si="0"/>
        <v>0</v>
      </c>
      <c r="K13" s="162">
        <f t="shared" si="1"/>
        <v>0</v>
      </c>
      <c r="L13" s="69"/>
    </row>
    <row r="14" spans="1:12" s="5" customFormat="1" ht="19.95" customHeight="1">
      <c r="A14" s="205" t="str">
        <f>'明细表K8-2'!A19</f>
        <v>商品维修费</v>
      </c>
      <c r="B14" s="160">
        <f>SUMIF('明细表K8-2'!$Z$12:$Z$24,$A14,'明细表K8-2'!$T$12:$T$24)</f>
        <v>0</v>
      </c>
      <c r="C14" s="160">
        <f>SUMIF('明细表K8-2'!$Z$12:$Z$24,$A14,'明细表K8-2'!$U$12:$U$24)</f>
        <v>0</v>
      </c>
      <c r="D14" s="160">
        <f>SUMIF('明细表K8-2'!$Z$12:$Z$24,$A14,'明细表K8-2'!$V$12:$V$24)</f>
        <v>0</v>
      </c>
      <c r="E14" s="160">
        <f t="shared" si="2"/>
        <v>0</v>
      </c>
      <c r="F14" s="160">
        <f>SUMIF('明细表K8-2'!$Z$12:$Z$24,$A14,'明细表K8-2'!$N$12:$N$24)</f>
        <v>0</v>
      </c>
      <c r="G14" s="160">
        <f>SUMIF('明细表K8-2'!$Z$12:$Z$24,$A14,'明细表K8-2'!$O$12:$O$24)</f>
        <v>0</v>
      </c>
      <c r="H14" s="160">
        <f>SUMIF('明细表K8-2'!$Z$12:$Z$24,$A14,'明细表K8-2'!$P$12:$P$24)</f>
        <v>0</v>
      </c>
      <c r="I14" s="160">
        <f t="shared" si="3"/>
        <v>0</v>
      </c>
      <c r="J14" s="161">
        <f t="shared" si="0"/>
        <v>0</v>
      </c>
      <c r="K14" s="162">
        <f t="shared" si="1"/>
        <v>0</v>
      </c>
      <c r="L14" s="69"/>
    </row>
    <row r="15" spans="1:12" s="5" customFormat="1" ht="19.95" customHeight="1">
      <c r="A15" s="205" t="str">
        <f>'明细表K8-2'!A20</f>
        <v>装卸费</v>
      </c>
      <c r="B15" s="160">
        <f>SUMIF('明细表K8-2'!$Z$12:$Z$24,$A15,'明细表K8-2'!$T$12:$T$24)</f>
        <v>0</v>
      </c>
      <c r="C15" s="160">
        <f>SUMIF('明细表K8-2'!$Z$12:$Z$24,$A15,'明细表K8-2'!$U$12:$U$24)</f>
        <v>0</v>
      </c>
      <c r="D15" s="160">
        <f>SUMIF('明细表K8-2'!$Z$12:$Z$24,$A15,'明细表K8-2'!$V$12:$V$24)</f>
        <v>0</v>
      </c>
      <c r="E15" s="160">
        <f t="shared" ref="E15:E16" si="4">B15+C15+D15</f>
        <v>0</v>
      </c>
      <c r="F15" s="160">
        <f>SUMIF('明细表K8-2'!$Z$12:$Z$24,$A15,'明细表K8-2'!$N$12:$N$24)</f>
        <v>0</v>
      </c>
      <c r="G15" s="160">
        <f>SUMIF('明细表K8-2'!$Z$12:$Z$24,$A15,'明细表K8-2'!$O$12:$O$24)</f>
        <v>0</v>
      </c>
      <c r="H15" s="160">
        <f>SUMIF('明细表K8-2'!$Z$12:$Z$24,$A15,'明细表K8-2'!$P$12:$P$24)</f>
        <v>0</v>
      </c>
      <c r="I15" s="160">
        <f t="shared" ref="I15:I16" si="5">F15+G15+H15</f>
        <v>0</v>
      </c>
      <c r="J15" s="161">
        <f t="shared" ref="J15:J16" si="6">I15-E15</f>
        <v>0</v>
      </c>
      <c r="K15" s="162">
        <f t="shared" ref="K15:K17" si="7">IF(AND(E15=0,I15=0),0,IF(AND(E15=0,I15&gt;0),1,J15/E15))</f>
        <v>0</v>
      </c>
      <c r="L15" s="69"/>
    </row>
    <row r="16" spans="1:12" s="5" customFormat="1" ht="19.95" customHeight="1">
      <c r="A16" s="205" t="str">
        <f>'明细表K8-2'!A21</f>
        <v>……</v>
      </c>
      <c r="B16" s="160">
        <f>SUMIF('明细表K8-2'!$Z$12:$Z$24,$A16,'明细表K8-2'!$T$12:$T$24)</f>
        <v>0</v>
      </c>
      <c r="C16" s="160">
        <f>SUMIF('明细表K8-2'!$Z$12:$Z$24,$A16,'明细表K8-2'!$U$12:$U$24)</f>
        <v>0</v>
      </c>
      <c r="D16" s="160">
        <f>SUMIF('明细表K8-2'!$Z$12:$Z$24,$A16,'明细表K8-2'!$V$12:$V$24)</f>
        <v>0</v>
      </c>
      <c r="E16" s="160">
        <f t="shared" si="4"/>
        <v>0</v>
      </c>
      <c r="F16" s="160">
        <f>SUMIF('明细表K8-2'!$Z$12:$Z$24,$A16,'明细表K8-2'!$N$12:$N$24)</f>
        <v>0</v>
      </c>
      <c r="G16" s="160">
        <f>SUMIF('明细表K8-2'!$Z$12:$Z$24,$A16,'明细表K8-2'!$O$12:$O$24)</f>
        <v>0</v>
      </c>
      <c r="H16" s="160">
        <f>SUMIF('明细表K8-2'!$Z$12:$Z$24,$A16,'明细表K8-2'!$P$12:$P$24)</f>
        <v>0</v>
      </c>
      <c r="I16" s="160">
        <f t="shared" si="5"/>
        <v>0</v>
      </c>
      <c r="J16" s="161">
        <f t="shared" si="6"/>
        <v>0</v>
      </c>
      <c r="K16" s="162">
        <f t="shared" si="7"/>
        <v>0</v>
      </c>
      <c r="L16" s="69"/>
    </row>
    <row r="17" spans="1:12" s="315" customFormat="1" ht="19.95" customHeight="1">
      <c r="A17" s="309" t="s">
        <v>87</v>
      </c>
      <c r="B17" s="313">
        <f t="shared" ref="B17:J17" si="8">SUM(B7:B16)</f>
        <v>0</v>
      </c>
      <c r="C17" s="313">
        <f t="shared" si="8"/>
        <v>0</v>
      </c>
      <c r="D17" s="313">
        <f t="shared" si="8"/>
        <v>0</v>
      </c>
      <c r="E17" s="313">
        <f t="shared" si="8"/>
        <v>0</v>
      </c>
      <c r="F17" s="313">
        <f t="shared" si="8"/>
        <v>0</v>
      </c>
      <c r="G17" s="313">
        <f t="shared" si="8"/>
        <v>0</v>
      </c>
      <c r="H17" s="313">
        <f t="shared" si="8"/>
        <v>0</v>
      </c>
      <c r="I17" s="313">
        <f t="shared" si="8"/>
        <v>0</v>
      </c>
      <c r="J17" s="313">
        <f t="shared" si="8"/>
        <v>0</v>
      </c>
      <c r="K17" s="314">
        <f t="shared" si="7"/>
        <v>0</v>
      </c>
      <c r="L17" s="310"/>
    </row>
    <row r="18" spans="1:12" s="50" customFormat="1" ht="19.95" customHeight="1">
      <c r="A18" s="134" t="s">
        <v>153</v>
      </c>
      <c r="B18" s="109"/>
      <c r="C18" s="109"/>
      <c r="D18" s="109"/>
      <c r="E18" s="109"/>
      <c r="F18" s="109"/>
      <c r="G18" s="109"/>
      <c r="H18" s="109"/>
      <c r="I18" s="109"/>
      <c r="J18" s="109"/>
      <c r="K18" s="109"/>
      <c r="L18" s="69"/>
    </row>
    <row r="19" spans="1:12" s="50" customFormat="1" ht="19.95" customHeight="1">
      <c r="A19" s="134" t="s">
        <v>154</v>
      </c>
      <c r="B19" s="160">
        <f>B17-B18</f>
        <v>0</v>
      </c>
      <c r="C19" s="160">
        <f t="shared" ref="C19:I19" si="9">C17-C18</f>
        <v>0</v>
      </c>
      <c r="D19" s="160">
        <f t="shared" si="9"/>
        <v>0</v>
      </c>
      <c r="E19" s="160">
        <f t="shared" si="9"/>
        <v>0</v>
      </c>
      <c r="F19" s="160">
        <f t="shared" si="9"/>
        <v>0</v>
      </c>
      <c r="G19" s="160">
        <f t="shared" si="9"/>
        <v>0</v>
      </c>
      <c r="H19" s="160">
        <f t="shared" si="9"/>
        <v>0</v>
      </c>
      <c r="I19" s="160">
        <f t="shared" si="9"/>
        <v>0</v>
      </c>
      <c r="J19" s="160"/>
      <c r="K19" s="160"/>
      <c r="L19" s="243"/>
    </row>
    <row r="20" spans="1:12" ht="19.95" customHeight="1">
      <c r="A20" s="133" t="s">
        <v>253</v>
      </c>
      <c r="B20" s="75"/>
      <c r="C20" s="75"/>
      <c r="D20" s="75"/>
      <c r="E20" s="75"/>
      <c r="F20" s="75"/>
      <c r="G20" s="75"/>
      <c r="H20" s="75"/>
      <c r="I20" s="75"/>
      <c r="J20" s="75"/>
      <c r="K20" s="75"/>
      <c r="L20" s="76"/>
    </row>
    <row r="21" spans="1:12" ht="19.95" customHeight="1">
      <c r="A21" s="77" t="s">
        <v>88</v>
      </c>
      <c r="B21" s="70"/>
      <c r="C21" s="70"/>
      <c r="D21" s="78"/>
      <c r="E21" s="78"/>
      <c r="F21" s="363"/>
      <c r="G21" s="363"/>
      <c r="H21" s="363"/>
    </row>
    <row r="22" spans="1:12" ht="19.95" customHeight="1">
      <c r="A22" s="77" t="s">
        <v>89</v>
      </c>
      <c r="B22" s="70"/>
      <c r="C22" s="70"/>
      <c r="D22" s="70"/>
      <c r="E22" s="70"/>
      <c r="F22" s="70"/>
      <c r="G22" s="70"/>
      <c r="H22" s="70"/>
    </row>
    <row r="23" spans="1:12" ht="19.95" customHeight="1">
      <c r="A23" s="77"/>
      <c r="B23" s="70"/>
      <c r="C23" s="70"/>
      <c r="D23" s="70"/>
      <c r="E23" s="70"/>
      <c r="F23" s="70"/>
      <c r="G23" s="70"/>
      <c r="H23" s="70"/>
    </row>
    <row r="24" spans="1:12" ht="19.95" customHeight="1">
      <c r="A24" s="79" t="s">
        <v>90</v>
      </c>
      <c r="B24" s="72"/>
      <c r="C24" s="72"/>
      <c r="D24" s="72"/>
      <c r="E24" s="72"/>
      <c r="F24" s="72"/>
      <c r="G24" s="72"/>
      <c r="H24" s="72"/>
    </row>
    <row r="25" spans="1:12" ht="19.95" customHeight="1">
      <c r="A25" s="77"/>
      <c r="B25" s="70"/>
      <c r="C25" s="70"/>
      <c r="D25" s="70"/>
      <c r="E25" s="70"/>
      <c r="F25" s="70"/>
      <c r="G25" s="70"/>
      <c r="H25" s="70"/>
    </row>
    <row r="26" spans="1:12" ht="19.95" customHeight="1">
      <c r="A26" s="133" t="s">
        <v>228</v>
      </c>
      <c r="B26" s="70"/>
      <c r="C26" s="70"/>
      <c r="D26" s="70"/>
      <c r="E26" s="70"/>
      <c r="F26" s="73"/>
      <c r="G26" s="73"/>
      <c r="H26" s="70"/>
    </row>
    <row r="27" spans="1:12" ht="19.95" customHeight="1">
      <c r="A27" s="80"/>
      <c r="B27" s="70"/>
      <c r="C27" s="70"/>
      <c r="D27" s="70"/>
      <c r="E27" s="70"/>
      <c r="F27" s="70"/>
      <c r="G27" s="70"/>
      <c r="H27" s="70"/>
    </row>
    <row r="28" spans="1:12" ht="19.95" customHeight="1">
      <c r="A28" s="80"/>
      <c r="B28" s="70"/>
      <c r="C28" s="70"/>
      <c r="D28" s="70"/>
      <c r="E28" s="70"/>
      <c r="F28" s="70"/>
      <c r="G28" s="70"/>
      <c r="H28" s="70"/>
    </row>
    <row r="29" spans="1:12" ht="23.25" customHeight="1">
      <c r="A29" s="74"/>
      <c r="B29" s="70"/>
      <c r="C29" s="70"/>
      <c r="D29" s="70"/>
      <c r="E29" s="70"/>
      <c r="F29" s="70"/>
      <c r="G29" s="70"/>
      <c r="H29" s="71"/>
    </row>
  </sheetData>
  <mergeCells count="8">
    <mergeCell ref="F21:H21"/>
    <mergeCell ref="A5:A6"/>
    <mergeCell ref="A1:L1"/>
    <mergeCell ref="A2:L2"/>
    <mergeCell ref="L5:L6"/>
    <mergeCell ref="B5:E5"/>
    <mergeCell ref="F5:I5"/>
    <mergeCell ref="J5:K5"/>
  </mergeCells>
  <phoneticPr fontId="5" type="noConversion"/>
  <hyperlinks>
    <hyperlink ref="L3" location="底稿目录!A1" display="底稿目录!A1"/>
  </hyperlinks>
  <printOptions horizontalCentered="1"/>
  <pageMargins left="0.74803149606299213" right="0.35433070866141736" top="0.59055118110236227" bottom="0.27559055118110237" header="0.51181102362204722" footer="0.19685039370078741"/>
  <pageSetup paperSize="9" scale="82" orientation="landscape" blackAndWhite="1" r:id="rId1"/>
  <headerFooter alignWithMargins="0">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B42"/>
  <sheetViews>
    <sheetView showGridLines="0" view="pageBreakPreview" zoomScaleNormal="100" zoomScaleSheetLayoutView="100" workbookViewId="0">
      <pane xSplit="1" ySplit="1" topLeftCell="B5" activePane="bottomRight" state="frozen"/>
      <selection activeCell="E21" sqref="E21"/>
      <selection pane="topRight" activeCell="E21" sqref="E21"/>
      <selection pane="bottomLeft" activeCell="E21" sqref="E21"/>
      <selection pane="bottomRight" activeCell="A15" sqref="A15:XFD15"/>
    </sheetView>
  </sheetViews>
  <sheetFormatPr defaultColWidth="11.21875" defaultRowHeight="12"/>
  <cols>
    <col min="1" max="1" width="23" style="138" customWidth="1"/>
    <col min="2" max="2" width="21.21875" style="138" customWidth="1"/>
    <col min="3" max="3" width="23.33203125" style="138" customWidth="1"/>
    <col min="4" max="4" width="7.88671875" style="138" customWidth="1"/>
    <col min="5" max="5" width="5.109375" style="138" customWidth="1"/>
    <col min="6" max="6" width="19" style="138" customWidth="1"/>
    <col min="7" max="28" width="13.5546875" style="138" customWidth="1"/>
    <col min="29" max="29" width="11.21875" style="138" customWidth="1"/>
    <col min="30" max="16384" width="11.21875" style="138"/>
  </cols>
  <sheetData>
    <row r="1" spans="1:28" s="137" customFormat="1" ht="19.95" customHeight="1">
      <c r="A1" s="378" t="s">
        <v>0</v>
      </c>
      <c r="B1" s="378"/>
      <c r="C1" s="378"/>
      <c r="D1" s="378"/>
      <c r="E1" s="378"/>
      <c r="F1" s="136"/>
      <c r="G1" s="135"/>
      <c r="H1" s="135"/>
      <c r="I1" s="135"/>
      <c r="J1" s="135"/>
      <c r="K1" s="135"/>
      <c r="L1" s="135"/>
      <c r="M1" s="135"/>
      <c r="N1" s="135"/>
      <c r="O1" s="135"/>
      <c r="P1" s="135"/>
      <c r="Q1" s="135"/>
      <c r="R1" s="135"/>
      <c r="S1" s="135"/>
      <c r="T1" s="135"/>
      <c r="U1" s="135"/>
      <c r="V1" s="135"/>
      <c r="W1" s="135"/>
      <c r="X1" s="135"/>
      <c r="Y1" s="135"/>
      <c r="Z1" s="135"/>
      <c r="AA1" s="135"/>
      <c r="AB1" s="135"/>
    </row>
    <row r="2" spans="1:28" s="137" customFormat="1" ht="19.95" customHeight="1">
      <c r="A2" s="367" t="s">
        <v>155</v>
      </c>
      <c r="B2" s="367"/>
      <c r="C2" s="367"/>
      <c r="D2" s="367"/>
      <c r="E2" s="367"/>
      <c r="F2" s="136"/>
      <c r="G2" s="135"/>
      <c r="H2" s="135"/>
      <c r="I2" s="135"/>
      <c r="J2" s="135"/>
      <c r="K2" s="135"/>
      <c r="L2" s="135"/>
      <c r="M2" s="135"/>
      <c r="N2" s="135"/>
      <c r="O2" s="135"/>
      <c r="P2" s="135"/>
      <c r="Q2" s="135"/>
      <c r="R2" s="135"/>
      <c r="S2" s="135"/>
      <c r="T2" s="135"/>
      <c r="U2" s="135"/>
      <c r="V2" s="135"/>
      <c r="W2" s="135"/>
      <c r="X2" s="135"/>
      <c r="Y2" s="135"/>
      <c r="Z2" s="135"/>
      <c r="AA2" s="135"/>
      <c r="AB2" s="135"/>
    </row>
    <row r="3" spans="1:28" s="137" customFormat="1" ht="19.95" customHeight="1">
      <c r="A3" s="2" t="str">
        <f>底稿目录!A2</f>
        <v>被审计单位：</v>
      </c>
      <c r="B3" s="2" t="str">
        <f>底稿目录!A4</f>
        <v>编制人：</v>
      </c>
      <c r="C3" s="2" t="str">
        <f>底稿目录!A5</f>
        <v>编制日期：</v>
      </c>
      <c r="D3" s="164" t="s">
        <v>167</v>
      </c>
      <c r="E3" s="2">
        <f>底稿目录!D6</f>
        <v>0</v>
      </c>
      <c r="F3" s="136"/>
      <c r="G3" s="135"/>
      <c r="H3" s="135"/>
      <c r="I3" s="135"/>
      <c r="J3" s="135"/>
      <c r="K3" s="135"/>
      <c r="L3" s="135"/>
      <c r="M3" s="135"/>
      <c r="N3" s="135"/>
      <c r="O3" s="135"/>
      <c r="P3" s="135"/>
      <c r="Q3" s="135"/>
      <c r="R3" s="135"/>
      <c r="S3" s="135"/>
      <c r="T3" s="135"/>
      <c r="U3" s="135"/>
      <c r="V3" s="135"/>
      <c r="W3" s="135"/>
      <c r="X3" s="135"/>
      <c r="Y3" s="135"/>
      <c r="Z3" s="135"/>
      <c r="AA3" s="135"/>
      <c r="AB3" s="135"/>
    </row>
    <row r="4" spans="1:28" s="137" customFormat="1" ht="19.95" customHeight="1">
      <c r="A4" s="2" t="str">
        <f>底稿目录!A3</f>
        <v>会计期间：202X年度</v>
      </c>
      <c r="B4" s="2" t="str">
        <f>底稿目录!A6</f>
        <v>复核人：</v>
      </c>
      <c r="C4" s="2" t="str">
        <f>底稿目录!A7</f>
        <v>复核日期：</v>
      </c>
      <c r="D4" s="164" t="s">
        <v>156</v>
      </c>
      <c r="E4" s="2"/>
      <c r="F4" s="136"/>
      <c r="G4" s="135"/>
      <c r="H4" s="135"/>
      <c r="I4" s="135"/>
      <c r="J4" s="135"/>
      <c r="K4" s="135"/>
      <c r="L4" s="135"/>
      <c r="M4" s="135"/>
      <c r="N4" s="135"/>
      <c r="O4" s="135"/>
      <c r="P4" s="135"/>
      <c r="Q4" s="135"/>
      <c r="R4" s="135"/>
      <c r="S4" s="135"/>
      <c r="T4" s="135"/>
      <c r="U4" s="135"/>
      <c r="V4" s="135"/>
      <c r="W4" s="135"/>
      <c r="X4" s="135"/>
      <c r="Y4" s="135"/>
      <c r="Z4" s="135"/>
      <c r="AA4" s="135"/>
      <c r="AB4" s="135"/>
    </row>
    <row r="5" spans="1:28" ht="19.95" customHeight="1" thickBot="1">
      <c r="A5" s="143" t="s">
        <v>160</v>
      </c>
      <c r="B5" s="144"/>
      <c r="C5" s="144"/>
      <c r="D5" s="144"/>
      <c r="E5" s="141"/>
    </row>
    <row r="6" spans="1:28" ht="19.95" customHeight="1" thickBot="1">
      <c r="A6" s="145" t="s">
        <v>158</v>
      </c>
      <c r="B6" s="146" t="s">
        <v>161</v>
      </c>
      <c r="C6" s="146" t="s">
        <v>162</v>
      </c>
      <c r="D6" s="163"/>
      <c r="E6" s="141"/>
    </row>
    <row r="7" spans="1:28" ht="19.95" customHeight="1">
      <c r="A7" s="147" t="str">
        <f>'审定表K8-1'!A7</f>
        <v>专设销售机构的职工薪酬</v>
      </c>
      <c r="B7" s="151">
        <f>'审定表K8-1'!I7</f>
        <v>0</v>
      </c>
      <c r="C7" s="151">
        <f>'审定表K8-1'!E7</f>
        <v>0</v>
      </c>
      <c r="D7" s="151"/>
      <c r="E7" s="141"/>
    </row>
    <row r="8" spans="1:28" ht="19.95" customHeight="1">
      <c r="A8" s="147" t="str">
        <f>'审定表K8-1'!A8</f>
        <v>业务费</v>
      </c>
      <c r="B8" s="151">
        <f>'审定表K8-1'!I8</f>
        <v>0</v>
      </c>
      <c r="C8" s="151">
        <f>'审定表K8-1'!E8</f>
        <v>0</v>
      </c>
      <c r="D8" s="151"/>
      <c r="E8" s="141"/>
    </row>
    <row r="9" spans="1:28" ht="19.95" customHeight="1">
      <c r="A9" s="147" t="str">
        <f>'审定表K8-1'!A9</f>
        <v>折旧费</v>
      </c>
      <c r="B9" s="151">
        <f>'审定表K8-1'!I9</f>
        <v>0</v>
      </c>
      <c r="C9" s="151">
        <f>'审定表K8-1'!E9</f>
        <v>0</v>
      </c>
      <c r="D9" s="151"/>
      <c r="E9" s="141"/>
    </row>
    <row r="10" spans="1:28" ht="19.95" customHeight="1">
      <c r="A10" s="147" t="str">
        <f>'审定表K8-1'!A10</f>
        <v>保险费</v>
      </c>
      <c r="B10" s="151">
        <f>'审定表K8-1'!I10</f>
        <v>0</v>
      </c>
      <c r="C10" s="151">
        <f>'审定表K8-1'!E10</f>
        <v>0</v>
      </c>
      <c r="D10" s="151"/>
      <c r="E10" s="141"/>
    </row>
    <row r="11" spans="1:28" ht="19.95" customHeight="1">
      <c r="A11" s="147" t="str">
        <f>'审定表K8-1'!A11</f>
        <v>包装费</v>
      </c>
      <c r="B11" s="151">
        <f>'审定表K8-1'!I11</f>
        <v>0</v>
      </c>
      <c r="C11" s="151">
        <f>'审定表K8-1'!E11</f>
        <v>0</v>
      </c>
      <c r="D11" s="151"/>
      <c r="E11" s="141"/>
    </row>
    <row r="12" spans="1:28" ht="19.95" customHeight="1">
      <c r="A12" s="147" t="str">
        <f>'审定表K8-1'!A12</f>
        <v>展览费</v>
      </c>
      <c r="B12" s="151">
        <f>'审定表K8-1'!I12</f>
        <v>0</v>
      </c>
      <c r="C12" s="151">
        <f>'审定表K8-1'!E12</f>
        <v>0</v>
      </c>
      <c r="D12" s="151"/>
      <c r="E12" s="141"/>
    </row>
    <row r="13" spans="1:28" ht="19.95" customHeight="1">
      <c r="A13" s="147" t="str">
        <f>'审定表K8-1'!A13</f>
        <v>广告费</v>
      </c>
      <c r="B13" s="151">
        <f>'审定表K8-1'!I13</f>
        <v>0</v>
      </c>
      <c r="C13" s="151">
        <f>'审定表K8-1'!E13</f>
        <v>0</v>
      </c>
      <c r="D13" s="151"/>
      <c r="E13" s="141"/>
    </row>
    <row r="14" spans="1:28" ht="19.95" customHeight="1">
      <c r="A14" s="147" t="str">
        <f>'审定表K8-1'!A14</f>
        <v>商品维修费</v>
      </c>
      <c r="B14" s="151">
        <f>'审定表K8-1'!I14</f>
        <v>0</v>
      </c>
      <c r="C14" s="151">
        <f>'审定表K8-1'!E14</f>
        <v>0</v>
      </c>
      <c r="D14" s="151"/>
      <c r="E14" s="141"/>
    </row>
    <row r="15" spans="1:28" ht="19.95" customHeight="1">
      <c r="A15" s="147" t="str">
        <f>'审定表K8-1'!A15</f>
        <v>装卸费</v>
      </c>
      <c r="B15" s="151">
        <f>'审定表K8-1'!I15</f>
        <v>0</v>
      </c>
      <c r="C15" s="151">
        <f>'审定表K8-1'!E15</f>
        <v>0</v>
      </c>
      <c r="D15" s="151"/>
      <c r="E15" s="141"/>
    </row>
    <row r="16" spans="1:28" ht="19.95" customHeight="1" thickBot="1">
      <c r="A16" s="147" t="str">
        <f>'审定表K8-1'!A16</f>
        <v>……</v>
      </c>
      <c r="B16" s="151">
        <f>'审定表K8-1'!I16</f>
        <v>0</v>
      </c>
      <c r="C16" s="151">
        <f>'审定表K8-1'!E16</f>
        <v>0</v>
      </c>
      <c r="D16" s="151"/>
      <c r="E16" s="141"/>
    </row>
    <row r="17" spans="1:5" ht="19.95" customHeight="1" thickBot="1">
      <c r="A17" s="145" t="s">
        <v>159</v>
      </c>
      <c r="B17" s="152">
        <f>SUM(B7:B16)</f>
        <v>0</v>
      </c>
      <c r="C17" s="152">
        <f>SUM(C7:C16)</f>
        <v>0</v>
      </c>
      <c r="D17" s="151"/>
      <c r="E17" s="141"/>
    </row>
    <row r="18" spans="1:5" ht="19.95" customHeight="1" thickBot="1">
      <c r="A18" s="143" t="s">
        <v>163</v>
      </c>
      <c r="B18" s="144"/>
      <c r="C18" s="144"/>
      <c r="D18" s="144"/>
      <c r="E18" s="141"/>
    </row>
    <row r="19" spans="1:5" ht="19.95" customHeight="1" thickBot="1">
      <c r="A19" s="145" t="s">
        <v>158</v>
      </c>
      <c r="B19" s="146" t="s">
        <v>161</v>
      </c>
      <c r="C19" s="146" t="s">
        <v>162</v>
      </c>
      <c r="D19" s="163"/>
      <c r="E19" s="141"/>
    </row>
    <row r="20" spans="1:5" ht="19.95" customHeight="1">
      <c r="A20" s="148"/>
      <c r="B20" s="153"/>
      <c r="C20" s="153"/>
      <c r="D20" s="151"/>
      <c r="E20" s="141"/>
    </row>
    <row r="21" spans="1:5" ht="19.95" customHeight="1">
      <c r="A21" s="147"/>
      <c r="B21" s="151"/>
      <c r="C21" s="151"/>
      <c r="D21" s="151"/>
      <c r="E21" s="141"/>
    </row>
    <row r="22" spans="1:5" ht="19.95" customHeight="1">
      <c r="A22" s="147"/>
      <c r="B22" s="151"/>
      <c r="C22" s="151"/>
      <c r="D22" s="151"/>
      <c r="E22" s="141"/>
    </row>
    <row r="23" spans="1:5" ht="19.95" customHeight="1">
      <c r="A23" s="147"/>
      <c r="B23" s="151"/>
      <c r="C23" s="151"/>
      <c r="D23" s="151"/>
      <c r="E23" s="141"/>
    </row>
    <row r="24" spans="1:5" ht="19.95" customHeight="1">
      <c r="A24" s="147"/>
      <c r="B24" s="151"/>
      <c r="C24" s="151"/>
      <c r="D24" s="151"/>
      <c r="E24" s="141"/>
    </row>
    <row r="25" spans="1:5" ht="19.95" customHeight="1">
      <c r="A25" s="147"/>
      <c r="B25" s="151"/>
      <c r="C25" s="151"/>
      <c r="D25" s="151"/>
      <c r="E25" s="141"/>
    </row>
    <row r="26" spans="1:5" ht="19.95" customHeight="1">
      <c r="A26" s="147"/>
      <c r="B26" s="151"/>
      <c r="C26" s="151"/>
      <c r="D26" s="151"/>
      <c r="E26" s="141"/>
    </row>
    <row r="27" spans="1:5" ht="19.95" customHeight="1">
      <c r="A27" s="147"/>
      <c r="B27" s="151"/>
      <c r="C27" s="151"/>
      <c r="D27" s="151"/>
      <c r="E27" s="141"/>
    </row>
    <row r="28" spans="1:5" ht="19.95" customHeight="1">
      <c r="A28" s="147"/>
      <c r="B28" s="151"/>
      <c r="C28" s="151"/>
      <c r="D28" s="151"/>
      <c r="E28" s="141"/>
    </row>
    <row r="29" spans="1:5" ht="19.95" customHeight="1" thickBot="1">
      <c r="A29" s="149"/>
      <c r="B29" s="154"/>
      <c r="C29" s="154"/>
      <c r="D29" s="151"/>
      <c r="E29" s="141"/>
    </row>
    <row r="30" spans="1:5" ht="19.95" customHeight="1" thickBot="1">
      <c r="A30" s="150" t="s">
        <v>159</v>
      </c>
      <c r="B30" s="154">
        <f>SUM(B20:B29)</f>
        <v>0</v>
      </c>
      <c r="C30" s="154">
        <f>SUM(C20:C29)</f>
        <v>0</v>
      </c>
      <c r="D30" s="151"/>
      <c r="E30" s="141"/>
    </row>
    <row r="42" spans="5:5">
      <c r="E42" s="139"/>
    </row>
  </sheetData>
  <mergeCells count="2">
    <mergeCell ref="A1:E1"/>
    <mergeCell ref="A2:E2"/>
  </mergeCells>
  <phoneticPr fontId="57" type="noConversion"/>
  <pageMargins left="0.75" right="0.75" top="1" bottom="1" header="0.5" footer="0.5"/>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E30"/>
  <sheetViews>
    <sheetView showGridLines="0" view="pageBreakPreview" zoomScaleNormal="100" zoomScaleSheetLayoutView="100" workbookViewId="0">
      <pane xSplit="1" ySplit="1" topLeftCell="B2" activePane="bottomRight" state="frozen"/>
      <selection activeCell="B15" sqref="B15"/>
      <selection pane="topRight" activeCell="B15" sqref="B15"/>
      <selection pane="bottomLeft" activeCell="B15" sqref="B15"/>
      <selection pane="bottomRight" activeCell="G12" sqref="G12"/>
    </sheetView>
  </sheetViews>
  <sheetFormatPr defaultColWidth="11.21875" defaultRowHeight="12"/>
  <cols>
    <col min="1" max="1" width="23" style="138" customWidth="1"/>
    <col min="2" max="2" width="21.21875" style="138" customWidth="1"/>
    <col min="3" max="3" width="22.88671875" style="138" customWidth="1"/>
    <col min="4" max="4" width="15.5546875" style="138" customWidth="1"/>
    <col min="5" max="5" width="4.77734375" style="138" customWidth="1"/>
    <col min="6" max="6" width="19" style="138" customWidth="1"/>
    <col min="7" max="28" width="13.5546875" style="138" customWidth="1"/>
    <col min="29" max="29" width="11.21875" style="138" customWidth="1"/>
    <col min="30" max="16384" width="11.21875" style="138"/>
  </cols>
  <sheetData>
    <row r="1" spans="1:5" ht="19.95" customHeight="1">
      <c r="A1" s="378" t="s">
        <v>0</v>
      </c>
      <c r="B1" s="378"/>
      <c r="C1" s="378"/>
      <c r="D1" s="378"/>
      <c r="E1" s="378"/>
    </row>
    <row r="2" spans="1:5" ht="19.95" customHeight="1">
      <c r="A2" s="379" t="s">
        <v>157</v>
      </c>
      <c r="B2" s="379"/>
      <c r="C2" s="379"/>
      <c r="D2" s="379"/>
      <c r="E2" s="379"/>
    </row>
    <row r="3" spans="1:5" ht="19.95" customHeight="1">
      <c r="A3" s="2" t="str">
        <f>底稿目录!A2</f>
        <v>被审计单位：</v>
      </c>
      <c r="B3" s="3" t="str">
        <f>底稿目录!A4</f>
        <v>编制人：</v>
      </c>
      <c r="C3" s="3" t="str">
        <f>底稿目录!A5</f>
        <v>编制日期：</v>
      </c>
      <c r="D3" s="164" t="s">
        <v>168</v>
      </c>
      <c r="E3" s="2">
        <f>底稿目录!D7</f>
        <v>0</v>
      </c>
    </row>
    <row r="4" spans="1:5" ht="19.95" customHeight="1">
      <c r="A4" s="2" t="str">
        <f>底稿目录!A3</f>
        <v>会计期间：202X年度</v>
      </c>
      <c r="B4" s="3" t="str">
        <f>底稿目录!A6</f>
        <v>复核人：</v>
      </c>
      <c r="C4" s="3" t="str">
        <f>底稿目录!A7</f>
        <v>复核日期：</v>
      </c>
      <c r="D4" s="164" t="s">
        <v>156</v>
      </c>
      <c r="E4" s="140"/>
    </row>
    <row r="5" spans="1:5" ht="19.95" customHeight="1" thickBot="1">
      <c r="A5" s="143" t="s">
        <v>160</v>
      </c>
      <c r="B5" s="144"/>
      <c r="C5" s="144"/>
      <c r="D5" s="144"/>
    </row>
    <row r="6" spans="1:5" ht="19.95" customHeight="1" thickBot="1">
      <c r="A6" s="145" t="s">
        <v>158</v>
      </c>
      <c r="B6" s="146" t="s">
        <v>161</v>
      </c>
      <c r="C6" s="146" t="s">
        <v>162</v>
      </c>
      <c r="D6" s="163"/>
    </row>
    <row r="7" spans="1:5" ht="19.95" customHeight="1">
      <c r="A7" s="147" t="str">
        <f>'审定表K8-1'!A7</f>
        <v>专设销售机构的职工薪酬</v>
      </c>
      <c r="B7" s="151">
        <f>'审定表K8-1'!I7</f>
        <v>0</v>
      </c>
      <c r="C7" s="151">
        <f>'审定表K8-1'!E7</f>
        <v>0</v>
      </c>
      <c r="D7" s="151"/>
    </row>
    <row r="8" spans="1:5" ht="19.95" customHeight="1">
      <c r="A8" s="147" t="str">
        <f>'审定表K8-1'!A8</f>
        <v>业务费</v>
      </c>
      <c r="B8" s="151">
        <f>'审定表K8-1'!I8</f>
        <v>0</v>
      </c>
      <c r="C8" s="151">
        <f>'审定表K8-1'!E8</f>
        <v>0</v>
      </c>
      <c r="D8" s="151"/>
    </row>
    <row r="9" spans="1:5" ht="19.95" customHeight="1">
      <c r="A9" s="147" t="str">
        <f>'审定表K8-1'!A9</f>
        <v>折旧费</v>
      </c>
      <c r="B9" s="151">
        <f>'审定表K8-1'!I9</f>
        <v>0</v>
      </c>
      <c r="C9" s="151">
        <f>'审定表K8-1'!E9</f>
        <v>0</v>
      </c>
      <c r="D9" s="151"/>
    </row>
    <row r="10" spans="1:5" ht="19.95" customHeight="1">
      <c r="A10" s="147" t="str">
        <f>'审定表K8-1'!A10</f>
        <v>保险费</v>
      </c>
      <c r="B10" s="151">
        <f>'审定表K8-1'!I10</f>
        <v>0</v>
      </c>
      <c r="C10" s="151">
        <f>'审定表K8-1'!E10</f>
        <v>0</v>
      </c>
      <c r="D10" s="151"/>
    </row>
    <row r="11" spans="1:5" ht="19.95" customHeight="1">
      <c r="A11" s="147" t="str">
        <f>'审定表K8-1'!A11</f>
        <v>包装费</v>
      </c>
      <c r="B11" s="151">
        <f>'审定表K8-1'!I11</f>
        <v>0</v>
      </c>
      <c r="C11" s="151">
        <f>'审定表K8-1'!E11</f>
        <v>0</v>
      </c>
      <c r="D11" s="151"/>
    </row>
    <row r="12" spans="1:5" ht="19.95" customHeight="1">
      <c r="A12" s="147" t="str">
        <f>'审定表K8-1'!A12</f>
        <v>展览费</v>
      </c>
      <c r="B12" s="151">
        <f>'审定表K8-1'!I12</f>
        <v>0</v>
      </c>
      <c r="C12" s="151">
        <f>'审定表K8-1'!E12</f>
        <v>0</v>
      </c>
      <c r="D12" s="151"/>
    </row>
    <row r="13" spans="1:5" ht="19.95" customHeight="1">
      <c r="A13" s="147" t="str">
        <f>'审定表K8-1'!A13</f>
        <v>广告费</v>
      </c>
      <c r="B13" s="151">
        <f>'审定表K8-1'!I13</f>
        <v>0</v>
      </c>
      <c r="C13" s="151">
        <f>'审定表K8-1'!E13</f>
        <v>0</v>
      </c>
      <c r="D13" s="151"/>
    </row>
    <row r="14" spans="1:5" ht="19.95" customHeight="1">
      <c r="A14" s="147" t="str">
        <f>'审定表K8-1'!A14</f>
        <v>商品维修费</v>
      </c>
      <c r="B14" s="151">
        <f>'审定表K8-1'!I14</f>
        <v>0</v>
      </c>
      <c r="C14" s="151">
        <f>'审定表K8-1'!E14</f>
        <v>0</v>
      </c>
      <c r="D14" s="151"/>
    </row>
    <row r="15" spans="1:5" ht="19.95" customHeight="1">
      <c r="A15" s="147" t="str">
        <f>'审定表K8-1'!A15</f>
        <v>装卸费</v>
      </c>
      <c r="B15" s="151">
        <f>'审定表K8-1'!I15</f>
        <v>0</v>
      </c>
      <c r="C15" s="151">
        <f>'审定表K8-1'!E15</f>
        <v>0</v>
      </c>
      <c r="D15" s="151"/>
    </row>
    <row r="16" spans="1:5" ht="19.95" customHeight="1" thickBot="1">
      <c r="A16" s="147" t="str">
        <f>'审定表K8-1'!A16</f>
        <v>……</v>
      </c>
      <c r="B16" s="151">
        <f>'审定表K8-1'!I16</f>
        <v>0</v>
      </c>
      <c r="C16" s="151">
        <f>'审定表K8-1'!E16</f>
        <v>0</v>
      </c>
      <c r="D16" s="151"/>
    </row>
    <row r="17" spans="1:4" ht="19.95" customHeight="1" thickBot="1">
      <c r="A17" s="145" t="s">
        <v>159</v>
      </c>
      <c r="B17" s="152">
        <f>SUM(B7:B16)</f>
        <v>0</v>
      </c>
      <c r="C17" s="152">
        <f>SUM(C7:C16)</f>
        <v>0</v>
      </c>
      <c r="D17" s="151"/>
    </row>
    <row r="18" spans="1:4" ht="19.95" customHeight="1" thickBot="1">
      <c r="A18" s="143" t="s">
        <v>163</v>
      </c>
      <c r="B18" s="144"/>
      <c r="C18" s="144"/>
      <c r="D18" s="144"/>
    </row>
    <row r="19" spans="1:4" ht="19.95" customHeight="1" thickBot="1">
      <c r="A19" s="145" t="s">
        <v>158</v>
      </c>
      <c r="B19" s="146" t="s">
        <v>161</v>
      </c>
      <c r="C19" s="146" t="s">
        <v>162</v>
      </c>
      <c r="D19" s="163"/>
    </row>
    <row r="20" spans="1:4" ht="19.95" customHeight="1">
      <c r="A20" s="148"/>
      <c r="B20" s="153"/>
      <c r="C20" s="153"/>
      <c r="D20" s="151"/>
    </row>
    <row r="21" spans="1:4" ht="19.95" customHeight="1">
      <c r="A21" s="147"/>
      <c r="B21" s="151"/>
      <c r="C21" s="151"/>
      <c r="D21" s="151"/>
    </row>
    <row r="22" spans="1:4" ht="19.95" customHeight="1">
      <c r="A22" s="147"/>
      <c r="B22" s="151"/>
      <c r="C22" s="151"/>
      <c r="D22" s="151"/>
    </row>
    <row r="23" spans="1:4" ht="19.95" customHeight="1">
      <c r="A23" s="147"/>
      <c r="B23" s="151"/>
      <c r="C23" s="151"/>
      <c r="D23" s="151"/>
    </row>
    <row r="24" spans="1:4" ht="19.95" customHeight="1">
      <c r="A24" s="147"/>
      <c r="B24" s="151"/>
      <c r="C24" s="151"/>
      <c r="D24" s="151"/>
    </row>
    <row r="25" spans="1:4" ht="19.95" customHeight="1">
      <c r="A25" s="147"/>
      <c r="B25" s="151"/>
      <c r="C25" s="151"/>
      <c r="D25" s="151"/>
    </row>
    <row r="26" spans="1:4" ht="19.95" customHeight="1">
      <c r="A26" s="147"/>
      <c r="B26" s="151"/>
      <c r="C26" s="151"/>
      <c r="D26" s="151"/>
    </row>
    <row r="27" spans="1:4" ht="19.95" customHeight="1">
      <c r="A27" s="147"/>
      <c r="B27" s="151"/>
      <c r="C27" s="151"/>
      <c r="D27" s="151"/>
    </row>
    <row r="28" spans="1:4" ht="19.95" customHeight="1">
      <c r="A28" s="147"/>
      <c r="B28" s="151"/>
      <c r="C28" s="151"/>
      <c r="D28" s="151"/>
    </row>
    <row r="29" spans="1:4" ht="19.95" customHeight="1" thickBot="1">
      <c r="A29" s="149"/>
      <c r="B29" s="154"/>
      <c r="C29" s="154"/>
      <c r="D29" s="151"/>
    </row>
    <row r="30" spans="1:4" ht="19.95" customHeight="1" thickBot="1">
      <c r="A30" s="150" t="s">
        <v>159</v>
      </c>
      <c r="B30" s="154">
        <f>SUM(B20:B29)</f>
        <v>0</v>
      </c>
      <c r="C30" s="154">
        <f>SUM(C20:C29)</f>
        <v>0</v>
      </c>
      <c r="D30" s="151"/>
    </row>
  </sheetData>
  <mergeCells count="2">
    <mergeCell ref="A1:E1"/>
    <mergeCell ref="A2:E2"/>
  </mergeCells>
  <phoneticPr fontId="57" type="noConversion"/>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AA48"/>
  <sheetViews>
    <sheetView showZeros="0" view="pageBreakPreview" zoomScaleSheetLayoutView="100" workbookViewId="0">
      <selection sqref="A1:AA1"/>
    </sheetView>
  </sheetViews>
  <sheetFormatPr defaultColWidth="9.109375" defaultRowHeight="15.6"/>
  <cols>
    <col min="1" max="1" width="16.88671875" style="14" customWidth="1"/>
    <col min="2" max="13" width="8.6640625" style="14" customWidth="1"/>
    <col min="14" max="14" width="10.5546875" style="14" customWidth="1"/>
    <col min="15" max="16" width="10.6640625" style="14" customWidth="1"/>
    <col min="17" max="17" width="10.88671875" style="14" customWidth="1"/>
    <col min="18" max="18" width="8.6640625" style="14" customWidth="1"/>
    <col min="19" max="19" width="10.5546875" style="14" customWidth="1"/>
    <col min="20" max="20" width="9.77734375" style="14" customWidth="1"/>
    <col min="21" max="21" width="9.88671875" style="14" customWidth="1"/>
    <col min="22" max="22" width="11.109375" style="14" customWidth="1"/>
    <col min="23" max="23" width="10.88671875" style="14" customWidth="1"/>
    <col min="24" max="24" width="9.5546875" style="14" customWidth="1"/>
    <col min="25" max="25" width="8.88671875" style="14" customWidth="1"/>
    <col min="26" max="26" width="12.33203125" style="14" customWidth="1"/>
    <col min="27" max="27" width="13.5546875" style="14" customWidth="1"/>
    <col min="28" max="16384" width="9.109375" style="14"/>
  </cols>
  <sheetData>
    <row r="1" spans="1:27" s="6" customFormat="1" ht="19.95" customHeight="1">
      <c r="A1" s="349" t="s">
        <v>0</v>
      </c>
      <c r="B1" s="349"/>
      <c r="C1" s="349"/>
      <c r="D1" s="349"/>
      <c r="E1" s="349"/>
      <c r="F1" s="349"/>
      <c r="G1" s="349"/>
      <c r="H1" s="349"/>
      <c r="I1" s="349"/>
      <c r="J1" s="349"/>
      <c r="K1" s="349"/>
      <c r="L1" s="349"/>
      <c r="M1" s="349"/>
      <c r="N1" s="349"/>
      <c r="O1" s="349"/>
      <c r="P1" s="349"/>
      <c r="Q1" s="349"/>
      <c r="R1" s="349"/>
      <c r="S1" s="349"/>
      <c r="T1" s="349"/>
      <c r="U1" s="349"/>
      <c r="V1" s="349"/>
      <c r="W1" s="349"/>
      <c r="X1" s="349"/>
      <c r="Y1" s="349"/>
      <c r="Z1" s="349"/>
      <c r="AA1" s="349"/>
    </row>
    <row r="2" spans="1:27" s="6" customFormat="1" ht="19.95" customHeight="1">
      <c r="A2" s="350" t="s">
        <v>2</v>
      </c>
      <c r="B2" s="350"/>
      <c r="C2" s="350"/>
      <c r="D2" s="350"/>
      <c r="E2" s="350"/>
      <c r="F2" s="350"/>
      <c r="G2" s="350"/>
      <c r="H2" s="350"/>
      <c r="I2" s="350"/>
      <c r="J2" s="350"/>
      <c r="K2" s="350"/>
      <c r="L2" s="350"/>
      <c r="M2" s="350"/>
      <c r="N2" s="350"/>
      <c r="O2" s="350"/>
      <c r="P2" s="350"/>
      <c r="Q2" s="350"/>
      <c r="R2" s="350"/>
      <c r="S2" s="350"/>
      <c r="T2" s="350"/>
      <c r="U2" s="350"/>
      <c r="V2" s="350"/>
      <c r="W2" s="350"/>
      <c r="X2" s="350"/>
      <c r="Y2" s="350"/>
      <c r="Z2" s="350"/>
      <c r="AA2" s="350"/>
    </row>
    <row r="3" spans="1:27" s="7" customFormat="1" ht="19.95" customHeight="1">
      <c r="A3" s="2" t="str">
        <f>底稿目录!A2</f>
        <v>被审计单位：</v>
      </c>
      <c r="B3" s="2"/>
      <c r="G3" s="3" t="str">
        <f>底稿目录!A4</f>
        <v>编制人：</v>
      </c>
      <c r="H3" s="2"/>
      <c r="Q3" s="3" t="str">
        <f>底稿目录!A5</f>
        <v>编制日期：</v>
      </c>
      <c r="Z3" s="22" t="s">
        <v>169</v>
      </c>
      <c r="AA3" s="294" t="str">
        <f>底稿目录!D8</f>
        <v>K8-2</v>
      </c>
    </row>
    <row r="4" spans="1:27" s="7" customFormat="1" ht="19.95" customHeight="1">
      <c r="A4" s="2" t="str">
        <f>底稿目录!A3</f>
        <v>会计期间：202X年度</v>
      </c>
      <c r="B4" s="4"/>
      <c r="G4" s="3" t="str">
        <f>底稿目录!A6</f>
        <v>复核人：</v>
      </c>
      <c r="H4" s="2"/>
      <c r="O4" s="8"/>
      <c r="P4" s="8"/>
      <c r="Q4" s="3" t="str">
        <f>底稿目录!A7</f>
        <v>复核日期：</v>
      </c>
      <c r="Z4" s="22" t="s">
        <v>336</v>
      </c>
      <c r="AA4" s="8"/>
    </row>
    <row r="5" spans="1:27" s="7" customFormat="1" ht="19.95" customHeight="1">
      <c r="A5" s="51" t="s">
        <v>53</v>
      </c>
      <c r="B5" s="52"/>
      <c r="F5" s="53"/>
      <c r="J5" s="54"/>
      <c r="M5" s="55"/>
    </row>
    <row r="6" spans="1:27" s="7" customFormat="1" ht="19.95" customHeight="1">
      <c r="A6" s="195" t="s">
        <v>307</v>
      </c>
      <c r="B6" s="57"/>
      <c r="F6" s="53"/>
      <c r="I6" s="7" t="s">
        <v>308</v>
      </c>
      <c r="J6" s="54"/>
      <c r="M6" s="55"/>
      <c r="Q6" s="7" t="s">
        <v>309</v>
      </c>
    </row>
    <row r="7" spans="1:27" s="7" customFormat="1" ht="19.95" customHeight="1">
      <c r="A7" s="58" t="s">
        <v>54</v>
      </c>
      <c r="J7" s="54"/>
      <c r="M7" s="55"/>
    </row>
    <row r="8" spans="1:27" s="7" customFormat="1" ht="19.95" customHeight="1">
      <c r="A8" s="195" t="s">
        <v>310</v>
      </c>
      <c r="B8" s="57"/>
      <c r="F8" s="59"/>
      <c r="J8" s="54"/>
      <c r="M8" s="55"/>
      <c r="N8" s="195"/>
      <c r="O8" s="57"/>
    </row>
    <row r="9" spans="1:27" s="7" customFormat="1" ht="19.95" customHeight="1">
      <c r="A9" s="195" t="s">
        <v>312</v>
      </c>
      <c r="B9" s="57"/>
      <c r="F9" s="59"/>
      <c r="J9" s="54"/>
      <c r="M9" s="55"/>
      <c r="N9" s="195"/>
      <c r="O9" s="85"/>
    </row>
    <row r="10" spans="1:27" s="7" customFormat="1" ht="19.95" customHeight="1">
      <c r="A10" s="195" t="s">
        <v>311</v>
      </c>
      <c r="B10" s="57"/>
      <c r="F10" s="59"/>
      <c r="J10" s="54"/>
      <c r="M10" s="55"/>
      <c r="N10" s="195"/>
      <c r="O10" s="85"/>
    </row>
    <row r="11" spans="1:27" s="300" customFormat="1" ht="28.8" customHeight="1">
      <c r="A11" s="257" t="s">
        <v>3</v>
      </c>
      <c r="B11" s="258" t="s">
        <v>4</v>
      </c>
      <c r="C11" s="258" t="s">
        <v>5</v>
      </c>
      <c r="D11" s="258" t="s">
        <v>6</v>
      </c>
      <c r="E11" s="258" t="s">
        <v>7</v>
      </c>
      <c r="F11" s="258" t="s">
        <v>8</v>
      </c>
      <c r="G11" s="258" t="s">
        <v>9</v>
      </c>
      <c r="H11" s="258" t="s">
        <v>10</v>
      </c>
      <c r="I11" s="258" t="s">
        <v>11</v>
      </c>
      <c r="J11" s="258" t="s">
        <v>12</v>
      </c>
      <c r="K11" s="258" t="s">
        <v>13</v>
      </c>
      <c r="L11" s="258" t="s">
        <v>14</v>
      </c>
      <c r="M11" s="258" t="s">
        <v>15</v>
      </c>
      <c r="N11" s="257" t="s">
        <v>55</v>
      </c>
      <c r="O11" s="257" t="s">
        <v>56</v>
      </c>
      <c r="P11" s="257" t="s">
        <v>57</v>
      </c>
      <c r="Q11" s="257" t="s">
        <v>58</v>
      </c>
      <c r="R11" s="257" t="s">
        <v>59</v>
      </c>
      <c r="S11" s="257" t="s">
        <v>276</v>
      </c>
      <c r="T11" s="257" t="s">
        <v>91</v>
      </c>
      <c r="U11" s="257" t="s">
        <v>56</v>
      </c>
      <c r="V11" s="257" t="s">
        <v>57</v>
      </c>
      <c r="W11" s="257" t="s">
        <v>79</v>
      </c>
      <c r="X11" s="257" t="s">
        <v>134</v>
      </c>
      <c r="Y11" s="257" t="s">
        <v>135</v>
      </c>
      <c r="Z11" s="257" t="s">
        <v>99</v>
      </c>
      <c r="AA11" s="257" t="s">
        <v>100</v>
      </c>
    </row>
    <row r="12" spans="1:27" s="7" customFormat="1" ht="19.95" customHeight="1">
      <c r="A12" s="142" t="s">
        <v>16</v>
      </c>
      <c r="B12" s="10"/>
      <c r="C12" s="10"/>
      <c r="D12" s="10"/>
      <c r="E12" s="10"/>
      <c r="F12" s="10"/>
      <c r="G12" s="10"/>
      <c r="H12" s="10"/>
      <c r="I12" s="10"/>
      <c r="J12" s="10"/>
      <c r="K12" s="10"/>
      <c r="L12" s="10"/>
      <c r="M12" s="10"/>
      <c r="N12" s="160">
        <f>SUM(B12:M12)</f>
        <v>0</v>
      </c>
      <c r="O12" s="10"/>
      <c r="P12" s="10"/>
      <c r="Q12" s="160">
        <f>N12+O12+P12</f>
        <v>0</v>
      </c>
      <c r="R12" s="165">
        <f t="shared" ref="R12:R25" si="0">IF(Q12=0,0,Q12/$Q$25)</f>
        <v>0</v>
      </c>
      <c r="S12" s="298" t="s">
        <v>220</v>
      </c>
      <c r="T12" s="204"/>
      <c r="U12" s="204"/>
      <c r="V12" s="204"/>
      <c r="W12" s="160">
        <f>T12+U12+V12</f>
        <v>0</v>
      </c>
      <c r="X12" s="165">
        <f t="shared" ref="X12:X24" si="1">IF($W$25=0,0,W12/$W$25)</f>
        <v>0</v>
      </c>
      <c r="Y12" s="165">
        <f>IFERROR((Q12-W12)/W12,0)</f>
        <v>0</v>
      </c>
      <c r="Z12" s="170" t="s">
        <v>230</v>
      </c>
      <c r="AA12" s="170" t="s">
        <v>230</v>
      </c>
    </row>
    <row r="13" spans="1:27" s="7" customFormat="1" ht="19.95" customHeight="1">
      <c r="A13" s="95" t="s">
        <v>17</v>
      </c>
      <c r="B13" s="10"/>
      <c r="C13" s="10"/>
      <c r="D13" s="10"/>
      <c r="E13" s="10"/>
      <c r="F13" s="10"/>
      <c r="G13" s="10"/>
      <c r="H13" s="10"/>
      <c r="I13" s="10"/>
      <c r="J13" s="10"/>
      <c r="K13" s="10"/>
      <c r="L13" s="10"/>
      <c r="M13" s="10"/>
      <c r="N13" s="160">
        <f>SUM(B13:M13)</f>
        <v>0</v>
      </c>
      <c r="O13" s="10"/>
      <c r="P13" s="10"/>
      <c r="Q13" s="160">
        <f t="shared" ref="Q13:Q24" si="2">N13+O13+P13</f>
        <v>0</v>
      </c>
      <c r="R13" s="165">
        <f t="shared" si="0"/>
        <v>0</v>
      </c>
      <c r="S13" s="299"/>
      <c r="T13" s="204"/>
      <c r="U13" s="204"/>
      <c r="V13" s="204"/>
      <c r="W13" s="160">
        <f t="shared" ref="W13:W24" si="3">T13+U13+V13</f>
        <v>0</v>
      </c>
      <c r="X13" s="165">
        <f t="shared" si="1"/>
        <v>0</v>
      </c>
      <c r="Y13" s="165">
        <f t="shared" ref="Y13:Y24" si="4">IFERROR((Q13-W13)/W13,0)</f>
        <v>0</v>
      </c>
      <c r="Z13" s="170"/>
      <c r="AA13" s="170"/>
    </row>
    <row r="14" spans="1:27" s="7" customFormat="1" ht="19.95" customHeight="1">
      <c r="A14" s="95" t="s">
        <v>18</v>
      </c>
      <c r="B14" s="10"/>
      <c r="C14" s="10"/>
      <c r="D14" s="10"/>
      <c r="E14" s="10"/>
      <c r="F14" s="10"/>
      <c r="G14" s="10"/>
      <c r="H14" s="10"/>
      <c r="I14" s="10"/>
      <c r="J14" s="10"/>
      <c r="K14" s="10"/>
      <c r="L14" s="10"/>
      <c r="M14" s="10"/>
      <c r="N14" s="160">
        <f t="shared" ref="N14:N21" si="5">SUM(B14:M14)</f>
        <v>0</v>
      </c>
      <c r="O14" s="10"/>
      <c r="P14" s="10"/>
      <c r="Q14" s="160">
        <f t="shared" si="2"/>
        <v>0</v>
      </c>
      <c r="R14" s="165">
        <f t="shared" si="0"/>
        <v>0</v>
      </c>
      <c r="S14" s="298" t="s">
        <v>229</v>
      </c>
      <c r="T14" s="204"/>
      <c r="U14" s="204"/>
      <c r="V14" s="204"/>
      <c r="W14" s="160">
        <f t="shared" si="3"/>
        <v>0</v>
      </c>
      <c r="X14" s="165">
        <f t="shared" si="1"/>
        <v>0</v>
      </c>
      <c r="Y14" s="165">
        <f t="shared" si="4"/>
        <v>0</v>
      </c>
      <c r="Z14" s="170"/>
      <c r="AA14" s="170"/>
    </row>
    <row r="15" spans="1:27" s="7" customFormat="1" ht="19.95" customHeight="1">
      <c r="A15" s="95" t="s">
        <v>19</v>
      </c>
      <c r="B15" s="10"/>
      <c r="C15" s="10"/>
      <c r="D15" s="10"/>
      <c r="E15" s="10"/>
      <c r="F15" s="10"/>
      <c r="G15" s="10"/>
      <c r="H15" s="10"/>
      <c r="I15" s="10"/>
      <c r="J15" s="10"/>
      <c r="K15" s="10"/>
      <c r="L15" s="10"/>
      <c r="M15" s="10"/>
      <c r="N15" s="160">
        <f t="shared" si="5"/>
        <v>0</v>
      </c>
      <c r="O15" s="10"/>
      <c r="P15" s="10"/>
      <c r="Q15" s="160">
        <f t="shared" si="2"/>
        <v>0</v>
      </c>
      <c r="R15" s="165">
        <f t="shared" si="0"/>
        <v>0</v>
      </c>
      <c r="S15" s="60"/>
      <c r="T15" s="204"/>
      <c r="U15" s="204"/>
      <c r="V15" s="204"/>
      <c r="W15" s="160">
        <f t="shared" si="3"/>
        <v>0</v>
      </c>
      <c r="X15" s="165">
        <f t="shared" si="1"/>
        <v>0</v>
      </c>
      <c r="Y15" s="165">
        <f t="shared" si="4"/>
        <v>0</v>
      </c>
      <c r="Z15" s="170"/>
      <c r="AA15" s="170"/>
    </row>
    <row r="16" spans="1:27" s="7" customFormat="1" ht="19.95" customHeight="1">
      <c r="A16" s="95" t="s">
        <v>20</v>
      </c>
      <c r="B16" s="10"/>
      <c r="C16" s="10"/>
      <c r="D16" s="10"/>
      <c r="E16" s="10"/>
      <c r="F16" s="10"/>
      <c r="G16" s="10"/>
      <c r="H16" s="10"/>
      <c r="I16" s="10"/>
      <c r="J16" s="10"/>
      <c r="K16" s="10"/>
      <c r="L16" s="10"/>
      <c r="M16" s="10"/>
      <c r="N16" s="160">
        <f t="shared" si="5"/>
        <v>0</v>
      </c>
      <c r="O16" s="10"/>
      <c r="P16" s="10"/>
      <c r="Q16" s="160">
        <f t="shared" si="2"/>
        <v>0</v>
      </c>
      <c r="R16" s="165">
        <f t="shared" si="0"/>
        <v>0</v>
      </c>
      <c r="S16" s="60"/>
      <c r="T16" s="204"/>
      <c r="U16" s="204"/>
      <c r="V16" s="204"/>
      <c r="W16" s="160">
        <f t="shared" si="3"/>
        <v>0</v>
      </c>
      <c r="X16" s="165">
        <f t="shared" si="1"/>
        <v>0</v>
      </c>
      <c r="Y16" s="165">
        <f t="shared" si="4"/>
        <v>0</v>
      </c>
      <c r="Z16" s="170"/>
      <c r="AA16" s="170"/>
    </row>
    <row r="17" spans="1:27" s="7" customFormat="1" ht="19.95" customHeight="1">
      <c r="A17" s="95" t="s">
        <v>21</v>
      </c>
      <c r="B17" s="10"/>
      <c r="C17" s="10"/>
      <c r="D17" s="10"/>
      <c r="E17" s="10"/>
      <c r="F17" s="10"/>
      <c r="G17" s="10"/>
      <c r="H17" s="10"/>
      <c r="I17" s="10"/>
      <c r="J17" s="10"/>
      <c r="K17" s="10"/>
      <c r="L17" s="10"/>
      <c r="M17" s="10"/>
      <c r="N17" s="160">
        <f t="shared" si="5"/>
        <v>0</v>
      </c>
      <c r="O17" s="10"/>
      <c r="P17" s="10"/>
      <c r="Q17" s="160">
        <f t="shared" si="2"/>
        <v>0</v>
      </c>
      <c r="R17" s="165">
        <f t="shared" si="0"/>
        <v>0</v>
      </c>
      <c r="S17" s="60"/>
      <c r="T17" s="204"/>
      <c r="U17" s="204"/>
      <c r="V17" s="204"/>
      <c r="W17" s="160">
        <f t="shared" si="3"/>
        <v>0</v>
      </c>
      <c r="X17" s="165">
        <f t="shared" si="1"/>
        <v>0</v>
      </c>
      <c r="Y17" s="165">
        <f t="shared" si="4"/>
        <v>0</v>
      </c>
      <c r="Z17" s="170"/>
      <c r="AA17" s="170"/>
    </row>
    <row r="18" spans="1:27" s="7" customFormat="1" ht="19.95" customHeight="1">
      <c r="A18" s="95" t="s">
        <v>22</v>
      </c>
      <c r="B18" s="10"/>
      <c r="C18" s="10"/>
      <c r="D18" s="10"/>
      <c r="E18" s="10"/>
      <c r="F18" s="10"/>
      <c r="G18" s="10"/>
      <c r="H18" s="10"/>
      <c r="I18" s="10"/>
      <c r="J18" s="10"/>
      <c r="K18" s="10"/>
      <c r="L18" s="10"/>
      <c r="M18" s="10"/>
      <c r="N18" s="160">
        <f t="shared" si="5"/>
        <v>0</v>
      </c>
      <c r="O18" s="10"/>
      <c r="P18" s="10"/>
      <c r="Q18" s="160">
        <f t="shared" si="2"/>
        <v>0</v>
      </c>
      <c r="R18" s="165">
        <f t="shared" si="0"/>
        <v>0</v>
      </c>
      <c r="S18" s="60"/>
      <c r="T18" s="204"/>
      <c r="U18" s="204"/>
      <c r="V18" s="204"/>
      <c r="W18" s="160">
        <f t="shared" si="3"/>
        <v>0</v>
      </c>
      <c r="X18" s="165">
        <f t="shared" si="1"/>
        <v>0</v>
      </c>
      <c r="Y18" s="165">
        <f t="shared" si="4"/>
        <v>0</v>
      </c>
      <c r="Z18" s="170"/>
      <c r="AA18" s="170"/>
    </row>
    <row r="19" spans="1:27" s="7" customFormat="1" ht="19.95" customHeight="1">
      <c r="A19" s="95" t="s">
        <v>23</v>
      </c>
      <c r="B19" s="10"/>
      <c r="C19" s="10"/>
      <c r="D19" s="10"/>
      <c r="E19" s="10"/>
      <c r="F19" s="10"/>
      <c r="G19" s="10"/>
      <c r="H19" s="10"/>
      <c r="I19" s="10"/>
      <c r="J19" s="10"/>
      <c r="K19" s="10"/>
      <c r="L19" s="10"/>
      <c r="M19" s="10"/>
      <c r="N19" s="160">
        <f t="shared" si="5"/>
        <v>0</v>
      </c>
      <c r="O19" s="10"/>
      <c r="P19" s="10"/>
      <c r="Q19" s="160">
        <f t="shared" si="2"/>
        <v>0</v>
      </c>
      <c r="R19" s="165">
        <f t="shared" si="0"/>
        <v>0</v>
      </c>
      <c r="S19" s="60"/>
      <c r="T19" s="204"/>
      <c r="U19" s="204"/>
      <c r="V19" s="204"/>
      <c r="W19" s="160">
        <f t="shared" si="3"/>
        <v>0</v>
      </c>
      <c r="X19" s="165">
        <f t="shared" si="1"/>
        <v>0</v>
      </c>
      <c r="Y19" s="165">
        <f t="shared" si="4"/>
        <v>0</v>
      </c>
      <c r="Z19" s="170"/>
      <c r="AA19" s="170"/>
    </row>
    <row r="20" spans="1:27" s="7" customFormat="1" ht="19.95" customHeight="1">
      <c r="A20" s="95" t="s">
        <v>24</v>
      </c>
      <c r="B20" s="10"/>
      <c r="C20" s="10"/>
      <c r="D20" s="10"/>
      <c r="E20" s="10"/>
      <c r="F20" s="10"/>
      <c r="G20" s="10"/>
      <c r="H20" s="10"/>
      <c r="I20" s="10"/>
      <c r="J20" s="10"/>
      <c r="K20" s="10"/>
      <c r="L20" s="10"/>
      <c r="M20" s="10"/>
      <c r="N20" s="160">
        <f t="shared" si="5"/>
        <v>0</v>
      </c>
      <c r="O20" s="10"/>
      <c r="P20" s="10"/>
      <c r="Q20" s="160">
        <f t="shared" si="2"/>
        <v>0</v>
      </c>
      <c r="R20" s="165">
        <f t="shared" si="0"/>
        <v>0</v>
      </c>
      <c r="S20" s="60"/>
      <c r="T20" s="204"/>
      <c r="U20" s="204"/>
      <c r="V20" s="204"/>
      <c r="W20" s="160">
        <f t="shared" si="3"/>
        <v>0</v>
      </c>
      <c r="X20" s="165">
        <f t="shared" si="1"/>
        <v>0</v>
      </c>
      <c r="Y20" s="165">
        <f t="shared" si="4"/>
        <v>0</v>
      </c>
      <c r="Z20" s="170"/>
      <c r="AA20" s="170"/>
    </row>
    <row r="21" spans="1:27" s="7" customFormat="1" ht="19.95" customHeight="1">
      <c r="A21" s="95" t="s">
        <v>25</v>
      </c>
      <c r="B21" s="10"/>
      <c r="C21" s="10"/>
      <c r="D21" s="10"/>
      <c r="E21" s="10"/>
      <c r="F21" s="10"/>
      <c r="G21" s="10"/>
      <c r="H21" s="10"/>
      <c r="I21" s="10"/>
      <c r="J21" s="10"/>
      <c r="K21" s="10"/>
      <c r="L21" s="10"/>
      <c r="M21" s="10"/>
      <c r="N21" s="160">
        <f t="shared" si="5"/>
        <v>0</v>
      </c>
      <c r="O21" s="10"/>
      <c r="P21" s="10"/>
      <c r="Q21" s="160">
        <f t="shared" si="2"/>
        <v>0</v>
      </c>
      <c r="R21" s="165">
        <f t="shared" si="0"/>
        <v>0</v>
      </c>
      <c r="S21" s="60"/>
      <c r="T21" s="204"/>
      <c r="U21" s="204"/>
      <c r="V21" s="204"/>
      <c r="W21" s="160">
        <f t="shared" si="3"/>
        <v>0</v>
      </c>
      <c r="X21" s="165">
        <f t="shared" si="1"/>
        <v>0</v>
      </c>
      <c r="Y21" s="165">
        <f t="shared" si="4"/>
        <v>0</v>
      </c>
      <c r="Z21" s="170"/>
      <c r="AA21" s="170"/>
    </row>
    <row r="22" spans="1:27" s="7" customFormat="1" ht="19.95" customHeight="1">
      <c r="A22" s="96"/>
      <c r="B22" s="10"/>
      <c r="C22" s="10"/>
      <c r="D22" s="10"/>
      <c r="E22" s="10"/>
      <c r="F22" s="10"/>
      <c r="G22" s="10"/>
      <c r="H22" s="10"/>
      <c r="I22" s="10"/>
      <c r="J22" s="10"/>
      <c r="K22" s="10"/>
      <c r="L22" s="10"/>
      <c r="M22" s="10"/>
      <c r="N22" s="160">
        <f>SUM(B22:M22)</f>
        <v>0</v>
      </c>
      <c r="O22" s="10"/>
      <c r="P22" s="10"/>
      <c r="Q22" s="160">
        <f t="shared" si="2"/>
        <v>0</v>
      </c>
      <c r="R22" s="165">
        <f t="shared" si="0"/>
        <v>0</v>
      </c>
      <c r="S22" s="60"/>
      <c r="T22" s="204"/>
      <c r="U22" s="204"/>
      <c r="V22" s="204"/>
      <c r="W22" s="160">
        <f t="shared" si="3"/>
        <v>0</v>
      </c>
      <c r="X22" s="165">
        <f t="shared" si="1"/>
        <v>0</v>
      </c>
      <c r="Y22" s="165">
        <f t="shared" si="4"/>
        <v>0</v>
      </c>
      <c r="Z22" s="170"/>
      <c r="AA22" s="170"/>
    </row>
    <row r="23" spans="1:27" s="7" customFormat="1" ht="19.95" customHeight="1">
      <c r="A23" s="96"/>
      <c r="B23" s="10"/>
      <c r="C23" s="10"/>
      <c r="D23" s="10"/>
      <c r="E23" s="10"/>
      <c r="F23" s="10"/>
      <c r="G23" s="10"/>
      <c r="H23" s="10"/>
      <c r="I23" s="10"/>
      <c r="J23" s="10"/>
      <c r="K23" s="10"/>
      <c r="L23" s="10"/>
      <c r="M23" s="10"/>
      <c r="N23" s="160">
        <f>SUM(B23:M23)</f>
        <v>0</v>
      </c>
      <c r="O23" s="10"/>
      <c r="P23" s="10"/>
      <c r="Q23" s="160">
        <f t="shared" si="2"/>
        <v>0</v>
      </c>
      <c r="R23" s="165">
        <f t="shared" si="0"/>
        <v>0</v>
      </c>
      <c r="S23" s="60"/>
      <c r="T23" s="204"/>
      <c r="U23" s="204"/>
      <c r="V23" s="204"/>
      <c r="W23" s="160">
        <f t="shared" si="3"/>
        <v>0</v>
      </c>
      <c r="X23" s="165">
        <f t="shared" si="1"/>
        <v>0</v>
      </c>
      <c r="Y23" s="165">
        <f t="shared" si="4"/>
        <v>0</v>
      </c>
      <c r="Z23" s="170"/>
      <c r="AA23" s="170"/>
    </row>
    <row r="24" spans="1:27" s="7" customFormat="1" ht="19.95" customHeight="1">
      <c r="A24" s="96"/>
      <c r="B24" s="10"/>
      <c r="C24" s="10"/>
      <c r="D24" s="10"/>
      <c r="E24" s="10"/>
      <c r="F24" s="10"/>
      <c r="G24" s="10"/>
      <c r="H24" s="10"/>
      <c r="I24" s="10"/>
      <c r="J24" s="10"/>
      <c r="K24" s="10"/>
      <c r="L24" s="10"/>
      <c r="M24" s="10"/>
      <c r="N24" s="160">
        <f>SUM(B24:M24)</f>
        <v>0</v>
      </c>
      <c r="O24" s="10"/>
      <c r="P24" s="10"/>
      <c r="Q24" s="160">
        <f t="shared" si="2"/>
        <v>0</v>
      </c>
      <c r="R24" s="165">
        <f t="shared" si="0"/>
        <v>0</v>
      </c>
      <c r="S24" s="60"/>
      <c r="T24" s="204"/>
      <c r="U24" s="204"/>
      <c r="V24" s="204"/>
      <c r="W24" s="160">
        <f t="shared" si="3"/>
        <v>0</v>
      </c>
      <c r="X24" s="165">
        <f t="shared" si="1"/>
        <v>0</v>
      </c>
      <c r="Y24" s="165">
        <f t="shared" si="4"/>
        <v>0</v>
      </c>
      <c r="Z24" s="170"/>
      <c r="AA24" s="170"/>
    </row>
    <row r="25" spans="1:27" s="245" customFormat="1" ht="19.95" customHeight="1">
      <c r="A25" s="244" t="s">
        <v>1</v>
      </c>
      <c r="B25" s="160">
        <f t="shared" ref="B25:Q25" si="6">SUM(B12:B24)</f>
        <v>0</v>
      </c>
      <c r="C25" s="160">
        <f t="shared" si="6"/>
        <v>0</v>
      </c>
      <c r="D25" s="160">
        <f t="shared" si="6"/>
        <v>0</v>
      </c>
      <c r="E25" s="160">
        <f t="shared" si="6"/>
        <v>0</v>
      </c>
      <c r="F25" s="160">
        <f t="shared" si="6"/>
        <v>0</v>
      </c>
      <c r="G25" s="160">
        <f t="shared" si="6"/>
        <v>0</v>
      </c>
      <c r="H25" s="160">
        <f t="shared" si="6"/>
        <v>0</v>
      </c>
      <c r="I25" s="160">
        <f t="shared" si="6"/>
        <v>0</v>
      </c>
      <c r="J25" s="160">
        <f t="shared" si="6"/>
        <v>0</v>
      </c>
      <c r="K25" s="160">
        <f t="shared" si="6"/>
        <v>0</v>
      </c>
      <c r="L25" s="160">
        <f t="shared" si="6"/>
        <v>0</v>
      </c>
      <c r="M25" s="160">
        <f t="shared" si="6"/>
        <v>0</v>
      </c>
      <c r="N25" s="160">
        <f t="shared" si="6"/>
        <v>0</v>
      </c>
      <c r="O25" s="160">
        <f t="shared" si="6"/>
        <v>0</v>
      </c>
      <c r="P25" s="160">
        <f t="shared" si="6"/>
        <v>0</v>
      </c>
      <c r="Q25" s="160">
        <f t="shared" si="6"/>
        <v>0</v>
      </c>
      <c r="R25" s="165">
        <f t="shared" si="0"/>
        <v>0</v>
      </c>
      <c r="S25" s="160"/>
      <c r="T25" s="160">
        <f>SUM(T12:T24)</f>
        <v>0</v>
      </c>
      <c r="U25" s="160">
        <f>SUM(U12:U24)</f>
        <v>0</v>
      </c>
      <c r="V25" s="160">
        <f>SUM(V12:V24)</f>
        <v>0</v>
      </c>
      <c r="W25" s="160">
        <f>SUM(W12:W24)</f>
        <v>0</v>
      </c>
      <c r="X25" s="165">
        <f>SUM(X12:X24)</f>
        <v>0</v>
      </c>
      <c r="Y25" s="160"/>
      <c r="Z25" s="160"/>
      <c r="AA25" s="160"/>
    </row>
    <row r="26" spans="1:27" s="250" customFormat="1" ht="19.95" customHeight="1">
      <c r="A26" s="244" t="s">
        <v>26</v>
      </c>
      <c r="B26" s="165">
        <f>IF($N$25=0,0,B25/$N$25)</f>
        <v>0</v>
      </c>
      <c r="C26" s="165">
        <f t="shared" ref="C26:M26" si="7">IF($N$25=0,0,C25/$N$25)</f>
        <v>0</v>
      </c>
      <c r="D26" s="165">
        <f t="shared" si="7"/>
        <v>0</v>
      </c>
      <c r="E26" s="165">
        <f t="shared" si="7"/>
        <v>0</v>
      </c>
      <c r="F26" s="165">
        <f t="shared" si="7"/>
        <v>0</v>
      </c>
      <c r="G26" s="165">
        <f t="shared" si="7"/>
        <v>0</v>
      </c>
      <c r="H26" s="165">
        <f t="shared" si="7"/>
        <v>0</v>
      </c>
      <c r="I26" s="165">
        <f t="shared" si="7"/>
        <v>0</v>
      </c>
      <c r="J26" s="165">
        <f t="shared" si="7"/>
        <v>0</v>
      </c>
      <c r="K26" s="165">
        <f t="shared" si="7"/>
        <v>0</v>
      </c>
      <c r="L26" s="165">
        <f t="shared" si="7"/>
        <v>0</v>
      </c>
      <c r="M26" s="165">
        <f t="shared" si="7"/>
        <v>0</v>
      </c>
      <c r="N26" s="160"/>
      <c r="O26" s="246"/>
      <c r="P26" s="246"/>
      <c r="Q26" s="246"/>
      <c r="R26" s="247"/>
      <c r="S26" s="248"/>
      <c r="T26" s="249"/>
      <c r="U26" s="249"/>
      <c r="V26" s="249"/>
      <c r="W26" s="249"/>
      <c r="X26" s="249"/>
      <c r="Y26" s="249"/>
      <c r="Z26" s="248"/>
      <c r="AA26" s="248"/>
    </row>
    <row r="27" spans="1:27" s="7" customFormat="1" ht="19.95" customHeight="1">
      <c r="A27" s="65" t="s">
        <v>60</v>
      </c>
      <c r="B27" s="15"/>
      <c r="C27" s="15"/>
      <c r="D27" s="15"/>
      <c r="E27" s="15"/>
      <c r="F27" s="15"/>
      <c r="G27" s="15"/>
      <c r="H27" s="15"/>
      <c r="I27" s="15"/>
      <c r="J27" s="15"/>
      <c r="K27" s="15"/>
      <c r="L27" s="15"/>
      <c r="M27" s="15"/>
      <c r="N27" s="15"/>
      <c r="O27" s="15"/>
      <c r="P27" s="15"/>
      <c r="Q27" s="15"/>
      <c r="R27" s="15"/>
      <c r="S27" s="15"/>
      <c r="T27" s="15"/>
      <c r="Z27" s="15"/>
      <c r="AA27" s="15"/>
    </row>
    <row r="28" spans="1:27" s="7" customFormat="1" ht="19.95" customHeight="1">
      <c r="A28" s="202" t="s">
        <v>277</v>
      </c>
    </row>
    <row r="29" spans="1:27" s="7" customFormat="1" ht="19.95" customHeight="1">
      <c r="A29" s="202" t="s">
        <v>345</v>
      </c>
    </row>
    <row r="30" spans="1:27" s="7" customFormat="1" ht="19.95" customHeight="1">
      <c r="A30" s="202" t="s">
        <v>344</v>
      </c>
    </row>
    <row r="31" spans="1:27" s="7" customFormat="1" ht="19.95" customHeight="1">
      <c r="A31" s="263" t="s">
        <v>280</v>
      </c>
      <c r="B31" s="264" t="s">
        <v>92</v>
      </c>
      <c r="C31" s="264" t="s">
        <v>93</v>
      </c>
      <c r="D31" s="264" t="s">
        <v>94</v>
      </c>
      <c r="E31" s="264" t="s">
        <v>95</v>
      </c>
      <c r="F31" s="265" t="s">
        <v>96</v>
      </c>
      <c r="G31" s="265" t="s">
        <v>282</v>
      </c>
      <c r="H31" s="265" t="s">
        <v>283</v>
      </c>
    </row>
    <row r="32" spans="1:27" s="7" customFormat="1" ht="19.95" customHeight="1">
      <c r="A32" s="262" t="s">
        <v>281</v>
      </c>
      <c r="B32" s="260"/>
      <c r="C32" s="267"/>
      <c r="D32" s="266">
        <f>B32*C32</f>
        <v>0</v>
      </c>
      <c r="E32" s="260"/>
      <c r="F32" s="266">
        <f>D32-E32</f>
        <v>0</v>
      </c>
      <c r="G32" s="260"/>
      <c r="H32" s="260"/>
    </row>
    <row r="33" spans="1:27" s="7" customFormat="1" ht="19.95" customHeight="1">
      <c r="A33" s="262" t="s">
        <v>281</v>
      </c>
      <c r="B33" s="260"/>
      <c r="C33" s="267"/>
      <c r="D33" s="266">
        <f>B33*C33</f>
        <v>0</v>
      </c>
      <c r="E33" s="260"/>
      <c r="F33" s="266">
        <f>D33-E33</f>
        <v>0</v>
      </c>
      <c r="G33" s="260"/>
      <c r="H33" s="260"/>
    </row>
    <row r="34" spans="1:27" s="7" customFormat="1" ht="19.95" customHeight="1">
      <c r="A34" s="261"/>
      <c r="B34" s="175"/>
      <c r="C34" s="175"/>
      <c r="D34" s="175"/>
      <c r="E34" s="175"/>
    </row>
    <row r="35" spans="1:27" s="7" customFormat="1" ht="19.95" customHeight="1">
      <c r="A35" s="40" t="s">
        <v>61</v>
      </c>
    </row>
    <row r="36" spans="1:27" s="7" customFormat="1" ht="19.95" customHeight="1"/>
    <row r="37" spans="1:27" s="7" customFormat="1" ht="20.100000000000001" customHeight="1"/>
    <row r="38" spans="1:27" s="7" customFormat="1">
      <c r="A38" s="341" t="s">
        <v>133</v>
      </c>
      <c r="Q38" s="14"/>
      <c r="R38" s="14"/>
      <c r="S38" s="14"/>
      <c r="T38" s="14"/>
      <c r="Z38" s="14"/>
      <c r="AA38" s="14"/>
    </row>
    <row r="39" spans="1:27" s="7" customFormat="1">
      <c r="A39" s="16" t="s">
        <v>380</v>
      </c>
      <c r="Q39" s="14"/>
      <c r="R39" s="14"/>
      <c r="S39" s="14"/>
      <c r="T39" s="14"/>
      <c r="Z39" s="14"/>
      <c r="AA39" s="14"/>
    </row>
    <row r="40" spans="1:27" s="7" customFormat="1">
      <c r="A40" s="16" t="s">
        <v>379</v>
      </c>
      <c r="Q40" s="14"/>
      <c r="R40" s="14"/>
      <c r="S40" s="14"/>
      <c r="T40" s="14"/>
      <c r="Z40" s="14"/>
      <c r="AA40" s="14"/>
    </row>
    <row r="41" spans="1:27" s="7" customFormat="1">
      <c r="A41" s="16" t="s">
        <v>381</v>
      </c>
      <c r="Q41" s="14"/>
      <c r="R41" s="14"/>
      <c r="S41" s="14"/>
      <c r="T41" s="14"/>
      <c r="Z41" s="14"/>
      <c r="AA41" s="14"/>
    </row>
    <row r="42" spans="1:27">
      <c r="A42" s="16" t="s">
        <v>382</v>
      </c>
      <c r="B42" s="7"/>
      <c r="C42" s="7"/>
      <c r="D42" s="7"/>
      <c r="E42" s="7"/>
      <c r="F42" s="7"/>
    </row>
    <row r="43" spans="1:27">
      <c r="A43" s="16" t="s">
        <v>386</v>
      </c>
      <c r="B43" s="220"/>
    </row>
    <row r="44" spans="1:27">
      <c r="A44" s="16" t="s">
        <v>383</v>
      </c>
      <c r="B44" s="220"/>
    </row>
    <row r="45" spans="1:27">
      <c r="A45" s="16" t="s">
        <v>384</v>
      </c>
      <c r="B45" s="220"/>
      <c r="N45" s="7"/>
      <c r="O45" s="7"/>
      <c r="P45" s="7"/>
    </row>
    <row r="46" spans="1:27">
      <c r="A46" s="16" t="s">
        <v>385</v>
      </c>
      <c r="B46" s="220"/>
      <c r="N46" s="7"/>
      <c r="O46" s="7"/>
      <c r="P46" s="7"/>
      <c r="Q46" s="7"/>
      <c r="R46" s="7"/>
      <c r="S46" s="7"/>
      <c r="Z46" s="7"/>
      <c r="AA46" s="7"/>
    </row>
    <row r="47" spans="1:27">
      <c r="A47" s="342" t="s">
        <v>388</v>
      </c>
      <c r="N47" s="7"/>
      <c r="O47" s="7"/>
      <c r="P47" s="7"/>
      <c r="Q47" s="7"/>
      <c r="R47" s="7"/>
      <c r="S47" s="7"/>
      <c r="Z47" s="7"/>
      <c r="AA47" s="7"/>
    </row>
    <row r="48" spans="1:27">
      <c r="A48" s="342"/>
    </row>
  </sheetData>
  <mergeCells count="2">
    <mergeCell ref="A1:AA1"/>
    <mergeCell ref="A2:AA2"/>
  </mergeCells>
  <phoneticPr fontId="31" type="noConversion"/>
  <conditionalFormatting sqref="B26:M26 R26">
    <cfRule type="cellIs" dxfId="8" priority="2" stopIfTrue="1" operator="greaterThanOrEqual">
      <formula>0.3</formula>
    </cfRule>
  </conditionalFormatting>
  <hyperlinks>
    <hyperlink ref="AA3" location="底稿目录!A1" display="底稿目录!A1"/>
  </hyperlinks>
  <printOptions horizontalCentered="1"/>
  <pageMargins left="0.39370078740157483" right="0.31496062992125984" top="0.59055118110236227" bottom="0.31496062992125984" header="0.51181102362204722" footer="0.19685039370078741"/>
  <pageSetup paperSize="9" scale="58" fitToHeight="0" orientation="landscape" blackAndWhite="1" r:id="rId1"/>
  <headerFooter alignWithMargins="0">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J21"/>
  <sheetViews>
    <sheetView view="pageBreakPreview" zoomScaleNormal="100" zoomScaleSheetLayoutView="100" workbookViewId="0">
      <selection sqref="A1:J1"/>
    </sheetView>
  </sheetViews>
  <sheetFormatPr defaultRowHeight="15.6"/>
  <cols>
    <col min="1" max="1" width="18.88671875" style="123" customWidth="1"/>
    <col min="2" max="2" width="18.109375" style="123" customWidth="1"/>
    <col min="3" max="3" width="13.6640625" style="123" customWidth="1"/>
    <col min="4" max="4" width="15" style="123" customWidth="1"/>
    <col min="5" max="5" width="17.44140625" style="123" customWidth="1"/>
    <col min="6" max="6" width="10.88671875" style="123" customWidth="1"/>
    <col min="7" max="7" width="11.77734375" style="123" customWidth="1"/>
    <col min="8" max="8" width="11.33203125" style="123" customWidth="1"/>
    <col min="9" max="9" width="10.109375" style="123" customWidth="1"/>
    <col min="10" max="10" width="15.21875" style="123" customWidth="1"/>
    <col min="11" max="16384" width="8.88671875" style="123"/>
  </cols>
  <sheetData>
    <row r="1" spans="1:10" ht="19.95" customHeight="1">
      <c r="A1" s="380" t="s">
        <v>0</v>
      </c>
      <c r="B1" s="380"/>
      <c r="C1" s="380"/>
      <c r="D1" s="380"/>
      <c r="E1" s="380"/>
      <c r="F1" s="380"/>
      <c r="G1" s="380"/>
      <c r="H1" s="380"/>
      <c r="I1" s="380"/>
      <c r="J1" s="380"/>
    </row>
    <row r="2" spans="1:10" ht="19.95" customHeight="1">
      <c r="A2" s="367" t="s">
        <v>152</v>
      </c>
      <c r="B2" s="367"/>
      <c r="C2" s="367"/>
      <c r="D2" s="381"/>
      <c r="E2" s="381"/>
      <c r="F2" s="381"/>
      <c r="G2" s="381"/>
      <c r="H2" s="381"/>
      <c r="I2" s="381"/>
      <c r="J2" s="381"/>
    </row>
    <row r="3" spans="1:10" ht="19.95" customHeight="1">
      <c r="A3" s="50" t="str">
        <f>底稿目录!A2</f>
        <v>被审计单位：</v>
      </c>
      <c r="C3" s="50" t="str">
        <f>底稿目录!A4</f>
        <v>编制人：</v>
      </c>
      <c r="E3" s="50"/>
      <c r="F3" s="50" t="str">
        <f>底稿目录!A5</f>
        <v>编制日期：</v>
      </c>
      <c r="G3" s="50"/>
      <c r="H3" s="124"/>
      <c r="I3" s="50" t="s">
        <v>143</v>
      </c>
      <c r="J3" s="294" t="str">
        <f>底稿目录!D9</f>
        <v>K8-3</v>
      </c>
    </row>
    <row r="4" spans="1:10" ht="19.95" customHeight="1">
      <c r="A4" s="50" t="str">
        <f>底稿目录!A3</f>
        <v>会计期间：202X年度</v>
      </c>
      <c r="C4" s="50" t="str">
        <f>底稿目录!A6</f>
        <v>复核人：</v>
      </c>
      <c r="E4" s="50"/>
      <c r="F4" s="50" t="str">
        <f>底稿目录!A7</f>
        <v>复核日期：</v>
      </c>
      <c r="G4" s="50"/>
      <c r="H4" s="50"/>
      <c r="I4" s="50" t="s">
        <v>30</v>
      </c>
      <c r="J4" s="125"/>
    </row>
    <row r="5" spans="1:10" s="301" customFormat="1" ht="33.6" customHeight="1">
      <c r="A5" s="126" t="s">
        <v>144</v>
      </c>
      <c r="B5" s="190" t="s">
        <v>145</v>
      </c>
      <c r="C5" s="127" t="s">
        <v>204</v>
      </c>
      <c r="D5" s="127" t="s">
        <v>146</v>
      </c>
      <c r="E5" s="127" t="s">
        <v>147</v>
      </c>
      <c r="F5" s="128" t="s">
        <v>25</v>
      </c>
      <c r="G5" s="127" t="s">
        <v>148</v>
      </c>
      <c r="H5" s="127" t="s">
        <v>149</v>
      </c>
      <c r="I5" s="127" t="s">
        <v>150</v>
      </c>
      <c r="J5" s="127" t="s">
        <v>151</v>
      </c>
    </row>
    <row r="6" spans="1:10" ht="19.95" customHeight="1">
      <c r="A6" s="206"/>
      <c r="B6" s="206"/>
      <c r="C6" s="207"/>
      <c r="D6" s="206"/>
      <c r="E6" s="206"/>
      <c r="F6" s="206"/>
      <c r="G6" s="208"/>
      <c r="H6" s="208"/>
      <c r="I6" s="209"/>
      <c r="J6" s="206"/>
    </row>
    <row r="7" spans="1:10" ht="19.95" customHeight="1">
      <c r="A7" s="130"/>
      <c r="B7" s="129"/>
      <c r="C7" s="129"/>
      <c r="D7" s="129"/>
      <c r="E7" s="129"/>
      <c r="F7" s="129"/>
      <c r="G7" s="129"/>
      <c r="H7" s="129"/>
      <c r="I7" s="129"/>
      <c r="J7" s="129"/>
    </row>
    <row r="8" spans="1:10" ht="19.95" customHeight="1">
      <c r="A8" s="131"/>
      <c r="B8" s="129"/>
      <c r="C8" s="129"/>
      <c r="D8" s="129"/>
      <c r="E8" s="129"/>
      <c r="F8" s="129"/>
      <c r="G8" s="129"/>
      <c r="H8" s="129"/>
      <c r="I8" s="129"/>
      <c r="J8" s="129"/>
    </row>
    <row r="9" spans="1:10" ht="19.95" customHeight="1">
      <c r="A9" s="131"/>
      <c r="B9" s="129"/>
      <c r="C9" s="129"/>
      <c r="D9" s="129"/>
      <c r="E9" s="129"/>
      <c r="F9" s="129"/>
      <c r="G9" s="129"/>
      <c r="H9" s="129"/>
      <c r="I9" s="129"/>
      <c r="J9" s="129"/>
    </row>
    <row r="10" spans="1:10" ht="19.95" customHeight="1">
      <c r="A10" s="131"/>
      <c r="B10" s="129"/>
      <c r="C10" s="129"/>
      <c r="D10" s="129"/>
      <c r="E10" s="129"/>
      <c r="F10" s="129"/>
      <c r="G10" s="129"/>
      <c r="H10" s="129"/>
      <c r="I10" s="129"/>
      <c r="J10" s="129"/>
    </row>
    <row r="11" spans="1:10" ht="19.95" customHeight="1">
      <c r="A11" s="132"/>
      <c r="B11" s="129"/>
      <c r="C11" s="129"/>
      <c r="D11" s="129"/>
      <c r="E11" s="129"/>
      <c r="F11" s="129"/>
      <c r="G11" s="129"/>
      <c r="H11" s="129"/>
      <c r="I11" s="129"/>
      <c r="J11" s="129"/>
    </row>
    <row r="12" spans="1:10" ht="19.95" customHeight="1">
      <c r="A12" s="131"/>
      <c r="B12" s="129"/>
      <c r="C12" s="129"/>
      <c r="D12" s="129"/>
      <c r="E12" s="129"/>
      <c r="F12" s="129"/>
      <c r="G12" s="129"/>
      <c r="H12" s="129"/>
      <c r="I12" s="129"/>
      <c r="J12" s="129"/>
    </row>
    <row r="13" spans="1:10" ht="19.95" customHeight="1">
      <c r="A13" s="131"/>
      <c r="B13" s="129"/>
      <c r="C13" s="129"/>
      <c r="D13" s="129"/>
      <c r="E13" s="129"/>
      <c r="F13" s="129"/>
      <c r="G13" s="129"/>
      <c r="H13" s="129"/>
      <c r="I13" s="129"/>
      <c r="J13" s="129"/>
    </row>
    <row r="14" spans="1:10" ht="19.95" customHeight="1">
      <c r="A14" s="131"/>
      <c r="B14" s="129"/>
      <c r="C14" s="129"/>
      <c r="D14" s="129"/>
      <c r="E14" s="129"/>
      <c r="F14" s="129"/>
      <c r="G14" s="129"/>
      <c r="H14" s="129"/>
      <c r="I14" s="129"/>
      <c r="J14" s="129"/>
    </row>
    <row r="15" spans="1:10" ht="19.95" customHeight="1">
      <c r="A15" s="131"/>
      <c r="B15" s="129"/>
      <c r="C15" s="129"/>
      <c r="D15" s="129"/>
      <c r="E15" s="129"/>
      <c r="F15" s="129"/>
      <c r="G15" s="129"/>
      <c r="H15" s="129"/>
      <c r="I15" s="129"/>
      <c r="J15" s="129"/>
    </row>
    <row r="16" spans="1:10" ht="19.95" customHeight="1">
      <c r="A16" s="131"/>
      <c r="B16" s="129"/>
      <c r="C16" s="129"/>
      <c r="D16" s="129"/>
      <c r="E16" s="129"/>
      <c r="F16" s="129"/>
      <c r="G16" s="129"/>
      <c r="H16" s="129"/>
      <c r="I16" s="129"/>
      <c r="J16" s="129"/>
    </row>
    <row r="17" spans="1:10" ht="19.95" customHeight="1">
      <c r="A17" s="131"/>
      <c r="B17" s="129"/>
      <c r="C17" s="129"/>
      <c r="D17" s="129"/>
      <c r="E17" s="129"/>
      <c r="F17" s="129"/>
      <c r="G17" s="129"/>
      <c r="H17" s="129"/>
      <c r="I17" s="129"/>
      <c r="J17" s="129"/>
    </row>
    <row r="18" spans="1:10" ht="19.95" customHeight="1">
      <c r="A18" s="131"/>
      <c r="B18" s="129"/>
      <c r="C18" s="129"/>
      <c r="D18" s="129"/>
      <c r="E18" s="129"/>
      <c r="F18" s="129"/>
      <c r="G18" s="129"/>
      <c r="H18" s="129"/>
      <c r="I18" s="129"/>
      <c r="J18" s="129"/>
    </row>
    <row r="19" spans="1:10" ht="19.95" customHeight="1">
      <c r="A19" s="131"/>
      <c r="B19" s="129"/>
      <c r="C19" s="129"/>
      <c r="D19" s="129"/>
      <c r="E19" s="129"/>
      <c r="F19" s="129"/>
      <c r="G19" s="129"/>
      <c r="H19" s="129"/>
      <c r="I19" s="129"/>
      <c r="J19" s="129"/>
    </row>
    <row r="20" spans="1:10" ht="19.95" customHeight="1">
      <c r="A20" s="131"/>
      <c r="B20" s="129"/>
      <c r="C20" s="129"/>
      <c r="D20" s="129"/>
      <c r="E20" s="129"/>
      <c r="F20" s="129"/>
      <c r="G20" s="129"/>
      <c r="H20" s="129"/>
      <c r="I20" s="129"/>
      <c r="J20" s="129"/>
    </row>
    <row r="21" spans="1:10" ht="37.799999999999997" customHeight="1">
      <c r="A21" s="382" t="s">
        <v>255</v>
      </c>
      <c r="B21" s="383"/>
      <c r="C21" s="383"/>
      <c r="D21" s="383"/>
      <c r="E21" s="383"/>
      <c r="F21" s="383"/>
      <c r="G21" s="383"/>
      <c r="H21" s="383"/>
      <c r="I21" s="383"/>
      <c r="J21" s="383"/>
    </row>
  </sheetData>
  <mergeCells count="3">
    <mergeCell ref="A1:J1"/>
    <mergeCell ref="A2:J2"/>
    <mergeCell ref="A21:J21"/>
  </mergeCells>
  <phoneticPr fontId="57" type="noConversion"/>
  <dataValidations count="1">
    <dataValidation type="list" allowBlank="1" showInputMessage="1" showErrorMessage="1" sqref="B6:B20">
      <formula1>"账项调整,报表调整,其他"</formula1>
    </dataValidation>
  </dataValidations>
  <hyperlinks>
    <hyperlink ref="J3" location="底稿目录!A1" display="底稿目录!A1"/>
  </hyperlinks>
  <pageMargins left="0.70866141732283472" right="0.70866141732283472" top="0.74803149606299213" bottom="0.74803149606299213" header="0.31496062992125984" footer="0.31496062992125984"/>
  <pageSetup paperSize="9" scale="95"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Q48"/>
  <sheetViews>
    <sheetView view="pageBreakPreview" zoomScaleNormal="115" zoomScaleSheetLayoutView="100" workbookViewId="0">
      <selection sqref="A1:J1"/>
    </sheetView>
  </sheetViews>
  <sheetFormatPr defaultColWidth="9.109375" defaultRowHeight="15.6"/>
  <cols>
    <col min="1" max="1" width="28.33203125" style="14" customWidth="1"/>
    <col min="2" max="2" width="15.33203125" style="14" customWidth="1"/>
    <col min="3" max="3" width="12.33203125" style="14" customWidth="1"/>
    <col min="4" max="4" width="11.44140625" style="14" customWidth="1"/>
    <col min="5" max="5" width="16.44140625" style="14" customWidth="1"/>
    <col min="6" max="7" width="11.33203125" style="14" customWidth="1"/>
    <col min="8" max="8" width="11.109375" style="14" customWidth="1"/>
    <col min="9" max="9" width="14.44140625" style="14" customWidth="1"/>
    <col min="10" max="10" width="14.21875" style="14" customWidth="1"/>
    <col min="11" max="11" width="9.109375" style="14"/>
    <col min="12" max="12" width="44.44140625" style="14" customWidth="1"/>
    <col min="13" max="16384" width="9.109375" style="14"/>
  </cols>
  <sheetData>
    <row r="1" spans="1:17" s="6" customFormat="1" ht="19.95" customHeight="1">
      <c r="A1" s="349" t="s">
        <v>0</v>
      </c>
      <c r="B1" s="384"/>
      <c r="C1" s="384"/>
      <c r="D1" s="384"/>
      <c r="E1" s="384"/>
      <c r="F1" s="384"/>
      <c r="G1" s="384"/>
      <c r="H1" s="384"/>
      <c r="I1" s="384"/>
      <c r="J1" s="384"/>
    </row>
    <row r="2" spans="1:17" s="6" customFormat="1" ht="19.95" customHeight="1">
      <c r="A2" s="350" t="s">
        <v>207</v>
      </c>
      <c r="B2" s="385"/>
      <c r="C2" s="385"/>
      <c r="D2" s="385"/>
      <c r="E2" s="385"/>
      <c r="F2" s="385"/>
      <c r="G2" s="385"/>
      <c r="H2" s="385"/>
      <c r="I2" s="385"/>
      <c r="J2" s="385"/>
    </row>
    <row r="3" spans="1:17" s="7" customFormat="1" ht="19.95" customHeight="1">
      <c r="A3" s="2" t="str">
        <f>底稿目录!A2</f>
        <v>被审计单位：</v>
      </c>
      <c r="B3" s="2"/>
      <c r="C3" s="3" t="str">
        <f>底稿目录!A4</f>
        <v>编制人：</v>
      </c>
      <c r="D3" s="3"/>
      <c r="F3" s="94" t="str">
        <f>底稿目录!A5</f>
        <v>编制日期：</v>
      </c>
      <c r="I3" s="22" t="s">
        <v>170</v>
      </c>
      <c r="J3" s="294" t="str">
        <f>底稿目录!D10</f>
        <v>K8-4</v>
      </c>
    </row>
    <row r="4" spans="1:17" s="7" customFormat="1" ht="19.95" customHeight="1">
      <c r="A4" s="2" t="str">
        <f>底稿目录!A3</f>
        <v>会计期间：202X年度</v>
      </c>
      <c r="B4" s="4"/>
      <c r="C4" s="3" t="str">
        <f>底稿目录!A6</f>
        <v>复核人：</v>
      </c>
      <c r="D4" s="3"/>
      <c r="F4" s="94" t="str">
        <f>底稿目录!A7</f>
        <v>复核日期：</v>
      </c>
      <c r="I4" s="22" t="s">
        <v>337</v>
      </c>
      <c r="J4" s="8"/>
    </row>
    <row r="5" spans="1:17" s="9" customFormat="1" ht="19.95" customHeight="1">
      <c r="A5" s="51" t="s">
        <v>62</v>
      </c>
      <c r="B5" s="52"/>
      <c r="C5" s="7"/>
      <c r="D5" s="7"/>
      <c r="E5" s="7"/>
      <c r="F5" s="7"/>
      <c r="G5" s="7"/>
      <c r="H5" s="53"/>
      <c r="I5" s="53"/>
      <c r="J5" s="7"/>
      <c r="L5" s="7"/>
    </row>
    <row r="6" spans="1:17" s="7" customFormat="1" ht="19.95" customHeight="1">
      <c r="A6" s="103" t="s">
        <v>314</v>
      </c>
      <c r="H6" s="53"/>
      <c r="I6" s="53"/>
      <c r="Q6" s="7" t="s">
        <v>313</v>
      </c>
    </row>
    <row r="7" spans="1:17" s="7" customFormat="1" ht="19.95" customHeight="1">
      <c r="A7" s="57" t="s">
        <v>315</v>
      </c>
      <c r="H7" s="53"/>
      <c r="I7" s="53"/>
    </row>
    <row r="8" spans="1:17" s="7" customFormat="1" ht="19.95" customHeight="1">
      <c r="A8" s="58" t="s">
        <v>54</v>
      </c>
      <c r="H8" s="59"/>
      <c r="I8" s="59"/>
    </row>
    <row r="9" spans="1:17" s="7" customFormat="1" ht="19.95" customHeight="1">
      <c r="A9" s="84" t="s">
        <v>225</v>
      </c>
    </row>
    <row r="10" spans="1:17" s="302" customFormat="1" ht="33.6" customHeight="1">
      <c r="A10" s="257" t="s">
        <v>278</v>
      </c>
      <c r="B10" s="258" t="s">
        <v>64</v>
      </c>
      <c r="C10" s="258" t="s">
        <v>65</v>
      </c>
      <c r="D10" s="256" t="s">
        <v>77</v>
      </c>
      <c r="E10" s="257" t="s">
        <v>27</v>
      </c>
      <c r="F10" s="258" t="s">
        <v>65</v>
      </c>
      <c r="G10" s="256" t="s">
        <v>77</v>
      </c>
      <c r="H10" s="258" t="s">
        <v>66</v>
      </c>
      <c r="I10" s="258" t="s">
        <v>205</v>
      </c>
      <c r="J10" s="99" t="s">
        <v>206</v>
      </c>
    </row>
    <row r="11" spans="1:17" s="7" customFormat="1" ht="19.95" customHeight="1">
      <c r="A11" s="97" t="str">
        <f>'明细表K8-2'!A12</f>
        <v>专设销售机构的职工薪酬</v>
      </c>
      <c r="B11" s="160">
        <f>'明细表K8-2'!Q12</f>
        <v>0</v>
      </c>
      <c r="C11" s="165">
        <f t="shared" ref="C11:C21" si="0">IF(B11=0,0,B11/$B$21)</f>
        <v>0</v>
      </c>
      <c r="D11" s="165">
        <f t="shared" ref="D11:D21" si="1">IF(B11=0,0,B11/$B$22)</f>
        <v>0</v>
      </c>
      <c r="E11" s="160">
        <f>'明细表K8-2'!W12</f>
        <v>0</v>
      </c>
      <c r="F11" s="165">
        <f t="shared" ref="F11:F21" si="2">IF(E11=0,0,E11/$E$21)</f>
        <v>0</v>
      </c>
      <c r="G11" s="165">
        <f t="shared" ref="G11:G21" si="3">IF(E11=0,0,E11/$E$22)</f>
        <v>0</v>
      </c>
      <c r="H11" s="165">
        <f t="shared" ref="H11:H21" si="4">IF(AND(E11=0,B11&gt;0),1,IF(AND(E11=0,B11=0),0,(B11-E11)/E11))</f>
        <v>0</v>
      </c>
      <c r="I11" s="165">
        <f>D11-G11</f>
        <v>0</v>
      </c>
      <c r="J11" s="10"/>
    </row>
    <row r="12" spans="1:17" s="7" customFormat="1" ht="19.95" customHeight="1">
      <c r="A12" s="97" t="str">
        <f>'明细表K8-2'!A13</f>
        <v>业务费</v>
      </c>
      <c r="B12" s="160">
        <f>'明细表K8-2'!Q13</f>
        <v>0</v>
      </c>
      <c r="C12" s="165">
        <f t="shared" si="0"/>
        <v>0</v>
      </c>
      <c r="D12" s="165">
        <f t="shared" si="1"/>
        <v>0</v>
      </c>
      <c r="E12" s="160">
        <f>'明细表K8-2'!W13</f>
        <v>0</v>
      </c>
      <c r="F12" s="165">
        <f t="shared" si="2"/>
        <v>0</v>
      </c>
      <c r="G12" s="165">
        <f t="shared" si="3"/>
        <v>0</v>
      </c>
      <c r="H12" s="165">
        <f t="shared" ref="H12:H20" si="5">IF(AND(E12=0,B12&gt;0),1,IF(AND(E12=0,B12=0),0,(B12-E12)/E12))</f>
        <v>0</v>
      </c>
      <c r="I12" s="165">
        <f t="shared" ref="I12:I21" si="6">D12-G12</f>
        <v>0</v>
      </c>
      <c r="J12" s="10"/>
    </row>
    <row r="13" spans="1:17" s="7" customFormat="1" ht="19.95" customHeight="1">
      <c r="A13" s="97" t="str">
        <f>'明细表K8-2'!A14</f>
        <v>折旧费</v>
      </c>
      <c r="B13" s="160">
        <f>'明细表K8-2'!Q14</f>
        <v>0</v>
      </c>
      <c r="C13" s="165">
        <f t="shared" si="0"/>
        <v>0</v>
      </c>
      <c r="D13" s="165">
        <f t="shared" si="1"/>
        <v>0</v>
      </c>
      <c r="E13" s="160">
        <f>'明细表K8-2'!W14</f>
        <v>0</v>
      </c>
      <c r="F13" s="165">
        <f t="shared" si="2"/>
        <v>0</v>
      </c>
      <c r="G13" s="165">
        <f t="shared" si="3"/>
        <v>0</v>
      </c>
      <c r="H13" s="165">
        <f t="shared" si="5"/>
        <v>0</v>
      </c>
      <c r="I13" s="165">
        <f t="shared" si="6"/>
        <v>0</v>
      </c>
      <c r="J13" s="10"/>
    </row>
    <row r="14" spans="1:17" s="7" customFormat="1" ht="19.95" customHeight="1">
      <c r="A14" s="97" t="str">
        <f>'明细表K8-2'!A15</f>
        <v>保险费</v>
      </c>
      <c r="B14" s="160">
        <f>'明细表K8-2'!Q15</f>
        <v>0</v>
      </c>
      <c r="C14" s="165">
        <f t="shared" si="0"/>
        <v>0</v>
      </c>
      <c r="D14" s="165">
        <f t="shared" si="1"/>
        <v>0</v>
      </c>
      <c r="E14" s="160">
        <f>'明细表K8-2'!W15</f>
        <v>0</v>
      </c>
      <c r="F14" s="165">
        <f t="shared" si="2"/>
        <v>0</v>
      </c>
      <c r="G14" s="165">
        <f t="shared" si="3"/>
        <v>0</v>
      </c>
      <c r="H14" s="165">
        <f t="shared" si="5"/>
        <v>0</v>
      </c>
      <c r="I14" s="165">
        <f t="shared" si="6"/>
        <v>0</v>
      </c>
      <c r="J14" s="10"/>
    </row>
    <row r="15" spans="1:17" s="7" customFormat="1" ht="19.95" customHeight="1">
      <c r="A15" s="97" t="str">
        <f>'明细表K8-2'!A16</f>
        <v>包装费</v>
      </c>
      <c r="B15" s="160">
        <f>'明细表K8-2'!Q16</f>
        <v>0</v>
      </c>
      <c r="C15" s="165">
        <f t="shared" si="0"/>
        <v>0</v>
      </c>
      <c r="D15" s="165">
        <f t="shared" si="1"/>
        <v>0</v>
      </c>
      <c r="E15" s="160">
        <f>'明细表K8-2'!W16</f>
        <v>0</v>
      </c>
      <c r="F15" s="165">
        <f t="shared" si="2"/>
        <v>0</v>
      </c>
      <c r="G15" s="165">
        <f t="shared" si="3"/>
        <v>0</v>
      </c>
      <c r="H15" s="165">
        <f t="shared" si="5"/>
        <v>0</v>
      </c>
      <c r="I15" s="165">
        <f t="shared" si="6"/>
        <v>0</v>
      </c>
      <c r="J15" s="10"/>
    </row>
    <row r="16" spans="1:17" s="7" customFormat="1" ht="19.95" customHeight="1">
      <c r="A16" s="97" t="str">
        <f>'明细表K8-2'!A17</f>
        <v>展览费</v>
      </c>
      <c r="B16" s="160">
        <f>'明细表K8-2'!Q17</f>
        <v>0</v>
      </c>
      <c r="C16" s="165">
        <f t="shared" si="0"/>
        <v>0</v>
      </c>
      <c r="D16" s="165">
        <f t="shared" si="1"/>
        <v>0</v>
      </c>
      <c r="E16" s="160">
        <f>'明细表K8-2'!W17</f>
        <v>0</v>
      </c>
      <c r="F16" s="165">
        <f t="shared" si="2"/>
        <v>0</v>
      </c>
      <c r="G16" s="165">
        <f t="shared" si="3"/>
        <v>0</v>
      </c>
      <c r="H16" s="165">
        <f t="shared" si="5"/>
        <v>0</v>
      </c>
      <c r="I16" s="165">
        <f t="shared" si="6"/>
        <v>0</v>
      </c>
      <c r="J16" s="10"/>
    </row>
    <row r="17" spans="1:10" s="7" customFormat="1" ht="19.95" customHeight="1">
      <c r="A17" s="97" t="str">
        <f>'明细表K8-2'!A18</f>
        <v>广告费</v>
      </c>
      <c r="B17" s="160">
        <f>'明细表K8-2'!Q18</f>
        <v>0</v>
      </c>
      <c r="C17" s="165">
        <f t="shared" si="0"/>
        <v>0</v>
      </c>
      <c r="D17" s="165">
        <f t="shared" si="1"/>
        <v>0</v>
      </c>
      <c r="E17" s="160">
        <f>'明细表K8-2'!W18</f>
        <v>0</v>
      </c>
      <c r="F17" s="165">
        <f t="shared" si="2"/>
        <v>0</v>
      </c>
      <c r="G17" s="165">
        <f t="shared" si="3"/>
        <v>0</v>
      </c>
      <c r="H17" s="165">
        <f t="shared" si="5"/>
        <v>0</v>
      </c>
      <c r="I17" s="165">
        <f t="shared" si="6"/>
        <v>0</v>
      </c>
      <c r="J17" s="10"/>
    </row>
    <row r="18" spans="1:10" s="7" customFormat="1" ht="19.95" customHeight="1">
      <c r="A18" s="97" t="str">
        <f>'明细表K8-2'!A19</f>
        <v>商品维修费</v>
      </c>
      <c r="B18" s="160">
        <f>'明细表K8-2'!Q19</f>
        <v>0</v>
      </c>
      <c r="C18" s="165">
        <f t="shared" si="0"/>
        <v>0</v>
      </c>
      <c r="D18" s="165">
        <f t="shared" si="1"/>
        <v>0</v>
      </c>
      <c r="E18" s="160">
        <f>'明细表K8-2'!W19</f>
        <v>0</v>
      </c>
      <c r="F18" s="165">
        <f t="shared" si="2"/>
        <v>0</v>
      </c>
      <c r="G18" s="165">
        <f t="shared" si="3"/>
        <v>0</v>
      </c>
      <c r="H18" s="165">
        <f t="shared" si="5"/>
        <v>0</v>
      </c>
      <c r="I18" s="165">
        <f t="shared" si="6"/>
        <v>0</v>
      </c>
      <c r="J18" s="10"/>
    </row>
    <row r="19" spans="1:10" s="7" customFormat="1" ht="19.95" customHeight="1">
      <c r="A19" s="97" t="str">
        <f>'明细表K8-2'!A20</f>
        <v>装卸费</v>
      </c>
      <c r="B19" s="160">
        <f>'明细表K8-2'!Q20</f>
        <v>0</v>
      </c>
      <c r="C19" s="165">
        <f t="shared" si="0"/>
        <v>0</v>
      </c>
      <c r="D19" s="165">
        <f t="shared" si="1"/>
        <v>0</v>
      </c>
      <c r="E19" s="160">
        <f>'明细表K8-2'!W20</f>
        <v>0</v>
      </c>
      <c r="F19" s="165">
        <f t="shared" si="2"/>
        <v>0</v>
      </c>
      <c r="G19" s="165">
        <f t="shared" si="3"/>
        <v>0</v>
      </c>
      <c r="H19" s="165">
        <f t="shared" si="5"/>
        <v>0</v>
      </c>
      <c r="I19" s="165">
        <f t="shared" si="6"/>
        <v>0</v>
      </c>
      <c r="J19" s="10"/>
    </row>
    <row r="20" spans="1:10" s="7" customFormat="1" ht="19.95" customHeight="1">
      <c r="A20" s="97" t="str">
        <f>'明细表K8-2'!A21</f>
        <v>……</v>
      </c>
      <c r="B20" s="160">
        <f>'明细表K8-2'!Q21</f>
        <v>0</v>
      </c>
      <c r="C20" s="165">
        <f t="shared" si="0"/>
        <v>0</v>
      </c>
      <c r="D20" s="165">
        <f t="shared" si="1"/>
        <v>0</v>
      </c>
      <c r="E20" s="160">
        <f>'明细表K8-2'!W21</f>
        <v>0</v>
      </c>
      <c r="F20" s="165">
        <f t="shared" si="2"/>
        <v>0</v>
      </c>
      <c r="G20" s="165">
        <f t="shared" si="3"/>
        <v>0</v>
      </c>
      <c r="H20" s="165">
        <f t="shared" si="5"/>
        <v>0</v>
      </c>
      <c r="I20" s="165">
        <f t="shared" si="6"/>
        <v>0</v>
      </c>
      <c r="J20" s="10"/>
    </row>
    <row r="21" spans="1:10" s="7" customFormat="1" ht="19.95" customHeight="1">
      <c r="A21" s="81" t="s">
        <v>67</v>
      </c>
      <c r="B21" s="167">
        <f>SUM(B11:B20)</f>
        <v>0</v>
      </c>
      <c r="C21" s="166">
        <f t="shared" si="0"/>
        <v>0</v>
      </c>
      <c r="D21" s="166">
        <f t="shared" si="1"/>
        <v>0</v>
      </c>
      <c r="E21" s="167">
        <f>SUM(E11:E20)</f>
        <v>0</v>
      </c>
      <c r="F21" s="166">
        <f t="shared" si="2"/>
        <v>0</v>
      </c>
      <c r="G21" s="166">
        <f t="shared" si="3"/>
        <v>0</v>
      </c>
      <c r="H21" s="166">
        <f t="shared" si="4"/>
        <v>0</v>
      </c>
      <c r="I21" s="166">
        <f t="shared" si="6"/>
        <v>0</v>
      </c>
      <c r="J21" s="11"/>
    </row>
    <row r="22" spans="1:10" s="7" customFormat="1" ht="19.95" customHeight="1">
      <c r="A22" s="82" t="s">
        <v>68</v>
      </c>
      <c r="B22" s="251"/>
      <c r="C22" s="12"/>
      <c r="D22" s="12"/>
      <c r="E22" s="251"/>
      <c r="F22" s="12"/>
      <c r="G22" s="12"/>
      <c r="H22" s="166">
        <f>IF(AND(E22=0,B22&gt;0),1,IF(AND(E22=0,B22=0),0,(B22-E22)/E22))</f>
        <v>0</v>
      </c>
      <c r="I22" s="189"/>
      <c r="J22" s="10"/>
    </row>
    <row r="23" spans="1:10" s="7" customFormat="1" ht="19.95" customHeight="1">
      <c r="A23" s="252" t="s">
        <v>28</v>
      </c>
      <c r="B23" s="166" t="e">
        <f>B21/B22</f>
        <v>#DIV/0!</v>
      </c>
      <c r="C23" s="247"/>
      <c r="D23" s="247"/>
      <c r="E23" s="166" t="e">
        <f>E21/E22</f>
        <v>#DIV/0!</v>
      </c>
      <c r="F23" s="247"/>
      <c r="G23" s="247"/>
      <c r="H23" s="253"/>
      <c r="I23" s="253"/>
      <c r="J23" s="254"/>
    </row>
    <row r="24" spans="1:10" s="332" customFormat="1" ht="19.95" customHeight="1">
      <c r="A24" s="326" t="s">
        <v>374</v>
      </c>
      <c r="B24" s="327"/>
      <c r="C24" s="328"/>
      <c r="D24" s="328"/>
      <c r="E24" s="327"/>
      <c r="F24" s="329"/>
      <c r="G24" s="329"/>
      <c r="H24" s="330"/>
      <c r="I24" s="330"/>
      <c r="J24" s="331"/>
    </row>
    <row r="25" spans="1:10" s="7" customFormat="1" ht="19.95" customHeight="1">
      <c r="A25" s="333" t="s">
        <v>368</v>
      </c>
      <c r="B25" s="334" t="s">
        <v>369</v>
      </c>
      <c r="C25" s="334" t="s">
        <v>370</v>
      </c>
      <c r="D25" s="335" t="s">
        <v>371</v>
      </c>
      <c r="E25" s="334" t="s">
        <v>372</v>
      </c>
      <c r="F25" s="323"/>
      <c r="G25" s="323"/>
      <c r="H25" s="324"/>
      <c r="I25" s="324"/>
      <c r="J25" s="325"/>
    </row>
    <row r="26" spans="1:10" s="332" customFormat="1" ht="19.95" customHeight="1">
      <c r="A26" s="336" t="s">
        <v>373</v>
      </c>
      <c r="B26" s="337">
        <f>B21</f>
        <v>0</v>
      </c>
      <c r="C26" s="338"/>
      <c r="D26" s="338"/>
      <c r="E26" s="339" t="e">
        <f>B26/C26</f>
        <v>#DIV/0!</v>
      </c>
      <c r="F26" s="329"/>
      <c r="G26" s="329"/>
      <c r="H26" s="330"/>
      <c r="I26" s="330"/>
      <c r="J26" s="331"/>
    </row>
    <row r="27" spans="1:10" s="7" customFormat="1" ht="19.95" customHeight="1">
      <c r="A27" s="201" t="s">
        <v>375</v>
      </c>
      <c r="B27" s="17"/>
      <c r="C27" s="18"/>
      <c r="D27" s="18"/>
      <c r="E27" s="17"/>
      <c r="F27" s="18"/>
      <c r="G27" s="21"/>
      <c r="H27" s="21"/>
      <c r="I27" s="21"/>
      <c r="J27" s="21"/>
    </row>
    <row r="28" spans="1:10" s="7" customFormat="1" ht="19.95" customHeight="1">
      <c r="A28" s="169" t="s">
        <v>177</v>
      </c>
      <c r="B28" s="171" t="s">
        <v>178</v>
      </c>
      <c r="C28" s="172" t="s">
        <v>179</v>
      </c>
      <c r="D28" s="171" t="s">
        <v>180</v>
      </c>
      <c r="E28" s="171" t="s">
        <v>181</v>
      </c>
      <c r="F28" s="171" t="s">
        <v>387</v>
      </c>
      <c r="G28" s="21"/>
      <c r="H28" s="21"/>
      <c r="I28" s="21"/>
      <c r="J28" s="21"/>
    </row>
    <row r="29" spans="1:10" s="7" customFormat="1" ht="19.95" customHeight="1">
      <c r="A29" s="98" t="s">
        <v>28</v>
      </c>
      <c r="B29" s="255" t="e">
        <f>B23</f>
        <v>#DIV/0!</v>
      </c>
      <c r="C29" s="13"/>
      <c r="D29" s="189"/>
      <c r="E29" s="11"/>
      <c r="F29" s="189"/>
      <c r="G29" s="21"/>
      <c r="H29" s="21"/>
      <c r="I29" s="21"/>
      <c r="J29" s="21"/>
    </row>
    <row r="30" spans="1:10" s="7" customFormat="1" ht="19.95" customHeight="1">
      <c r="A30" s="83" t="s">
        <v>69</v>
      </c>
      <c r="B30" s="19"/>
      <c r="C30" s="20"/>
      <c r="D30" s="20"/>
      <c r="E30" s="19"/>
      <c r="F30" s="20"/>
      <c r="G30" s="21"/>
      <c r="H30" s="21"/>
      <c r="I30" s="21"/>
      <c r="J30" s="21"/>
    </row>
    <row r="31" spans="1:10" s="7" customFormat="1" ht="19.95" customHeight="1">
      <c r="A31" s="40" t="s">
        <v>213</v>
      </c>
      <c r="B31" s="62"/>
      <c r="C31" s="21"/>
      <c r="D31" s="191" t="s">
        <v>214</v>
      </c>
      <c r="E31" s="62"/>
      <c r="F31" s="21"/>
      <c r="G31" s="21"/>
      <c r="H31" s="21"/>
      <c r="I31" s="21"/>
      <c r="J31" s="21"/>
    </row>
    <row r="32" spans="1:10" s="7" customFormat="1" ht="19.95" customHeight="1">
      <c r="A32" s="155" t="s">
        <v>70</v>
      </c>
      <c r="B32" s="63"/>
      <c r="C32" s="21"/>
      <c r="D32" s="155" t="s">
        <v>70</v>
      </c>
      <c r="E32" s="8"/>
      <c r="F32" s="21"/>
      <c r="G32" s="21"/>
      <c r="H32" s="21"/>
      <c r="I32" s="21"/>
      <c r="J32" s="21"/>
    </row>
    <row r="33" spans="1:10" s="7" customFormat="1" ht="19.95" customHeight="1">
      <c r="A33" s="155" t="s">
        <v>71</v>
      </c>
      <c r="B33" s="63"/>
      <c r="C33" s="21"/>
      <c r="D33" s="155" t="s">
        <v>71</v>
      </c>
      <c r="E33" s="8"/>
      <c r="F33" s="21"/>
      <c r="G33" s="21"/>
      <c r="H33" s="21"/>
      <c r="I33" s="21"/>
      <c r="J33" s="21"/>
    </row>
    <row r="34" spans="1:10" s="7" customFormat="1" ht="19.95" customHeight="1">
      <c r="A34" s="191" t="s">
        <v>215</v>
      </c>
      <c r="D34" s="191" t="s">
        <v>216</v>
      </c>
    </row>
    <row r="35" spans="1:10" s="7" customFormat="1" ht="19.95" customHeight="1">
      <c r="A35" s="155" t="s">
        <v>70</v>
      </c>
      <c r="D35" s="155" t="s">
        <v>70</v>
      </c>
    </row>
    <row r="36" spans="1:10" s="7" customFormat="1" ht="19.95" customHeight="1">
      <c r="A36" s="155" t="s">
        <v>71</v>
      </c>
      <c r="D36" s="155" t="s">
        <v>71</v>
      </c>
    </row>
    <row r="37" spans="1:10" s="7" customFormat="1" ht="19.95" customHeight="1">
      <c r="B37" s="62"/>
    </row>
    <row r="38" spans="1:10" s="7" customFormat="1" ht="19.95" customHeight="1">
      <c r="A38" s="84" t="s">
        <v>72</v>
      </c>
    </row>
    <row r="39" spans="1:10" s="7" customFormat="1" ht="19.95" customHeight="1">
      <c r="A39" s="40"/>
    </row>
    <row r="40" spans="1:10" s="7" customFormat="1" ht="20.100000000000001" customHeight="1"/>
    <row r="41" spans="1:10" s="7" customFormat="1" ht="20.100000000000001" customHeight="1"/>
    <row r="42" spans="1:10" s="7" customFormat="1" ht="20.100000000000001" customHeight="1"/>
    <row r="43" spans="1:10" s="7" customFormat="1" ht="13.8"/>
    <row r="44" spans="1:10" s="7" customFormat="1" ht="13.8"/>
    <row r="45" spans="1:10" s="7" customFormat="1" ht="13.8"/>
    <row r="46" spans="1:10" s="7" customFormat="1" ht="13.8"/>
    <row r="47" spans="1:10" s="7" customFormat="1" ht="13.8"/>
    <row r="48" spans="1:10" s="7" customFormat="1" ht="13.8"/>
  </sheetData>
  <mergeCells count="2">
    <mergeCell ref="A1:J1"/>
    <mergeCell ref="A2:J2"/>
  </mergeCells>
  <phoneticPr fontId="5" type="noConversion"/>
  <conditionalFormatting sqref="C22:D24 F22:G26">
    <cfRule type="cellIs" dxfId="7" priority="14" stopIfTrue="1" operator="greaterThanOrEqual">
      <formula>0.5</formula>
    </cfRule>
  </conditionalFormatting>
  <conditionalFormatting sqref="H23:I26">
    <cfRule type="cellIs" dxfId="6" priority="10" stopIfTrue="1" operator="greaterThanOrEqual">
      <formula>0.3</formula>
    </cfRule>
    <cfRule type="cellIs" dxfId="5" priority="11" stopIfTrue="1" operator="lessThanOrEqual">
      <formula>-0.3</formula>
    </cfRule>
  </conditionalFormatting>
  <conditionalFormatting sqref="J27 J30:J33">
    <cfRule type="cellIs" dxfId="4" priority="12" stopIfTrue="1" operator="greaterThanOrEqual">
      <formula>0.3</formula>
    </cfRule>
    <cfRule type="cellIs" dxfId="3" priority="13" stopIfTrue="1" operator="lessThanOrEqual">
      <formula>-0.3</formula>
    </cfRule>
  </conditionalFormatting>
  <conditionalFormatting sqref="I22">
    <cfRule type="cellIs" dxfId="2" priority="2" stopIfTrue="1" operator="greaterThanOrEqual">
      <formula>0.3</formula>
    </cfRule>
    <cfRule type="cellIs" dxfId="1" priority="3" stopIfTrue="1" operator="lessThanOrEqual">
      <formula>-0.3</formula>
    </cfRule>
  </conditionalFormatting>
  <conditionalFormatting sqref="C26:D26">
    <cfRule type="cellIs" dxfId="0" priority="1" stopIfTrue="1" operator="greaterThanOrEqual">
      <formula>0.5</formula>
    </cfRule>
  </conditionalFormatting>
  <hyperlinks>
    <hyperlink ref="J3" location="底稿目录!A1" display="底稿目录!A1"/>
  </hyperlinks>
  <pageMargins left="0.98425196850393704" right="0.47244094488188981" top="0.98425196850393704" bottom="0.98425196850393704" header="0.51181102362204722" footer="0.51181102362204722"/>
  <pageSetup paperSize="9" scale="65" fitToHeight="100" orientation="portrait" blackAndWhite="1" cellComments="atEnd" r:id="rId1"/>
  <headerFooter alignWithMargins="0">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V55"/>
  <sheetViews>
    <sheetView view="pageBreakPreview" zoomScaleSheetLayoutView="100" workbookViewId="0">
      <selection sqref="A1:Q1"/>
    </sheetView>
  </sheetViews>
  <sheetFormatPr defaultColWidth="9.109375" defaultRowHeight="15.6"/>
  <cols>
    <col min="1" max="1" width="9.109375" style="14"/>
    <col min="2" max="2" width="11.6640625" style="14" customWidth="1"/>
    <col min="3" max="3" width="20.77734375" style="14" customWidth="1"/>
    <col min="4" max="4" width="11" style="14" customWidth="1"/>
    <col min="5" max="5" width="16.33203125" style="14" customWidth="1"/>
    <col min="6" max="7" width="11" style="14" customWidth="1"/>
    <col min="8" max="8" width="11.33203125" style="14" customWidth="1"/>
    <col min="9" max="9" width="11" style="14" customWidth="1"/>
    <col min="10" max="10" width="10.44140625" style="14" customWidth="1"/>
    <col min="11" max="11" width="10.109375" style="14" customWidth="1"/>
    <col min="12" max="13" width="12.33203125" style="14" customWidth="1"/>
    <col min="14" max="14" width="11.21875" style="14" customWidth="1"/>
    <col min="15" max="15" width="12.33203125" style="14" customWidth="1"/>
    <col min="16" max="16" width="9.77734375" style="14" customWidth="1"/>
    <col min="17" max="17" width="8.88671875" style="14" customWidth="1"/>
    <col min="18" max="16384" width="9.109375" style="14"/>
  </cols>
  <sheetData>
    <row r="1" spans="1:17" s="31" customFormat="1" ht="19.95" customHeight="1">
      <c r="A1" s="386" t="s">
        <v>0</v>
      </c>
      <c r="B1" s="386"/>
      <c r="C1" s="386"/>
      <c r="D1" s="386"/>
      <c r="E1" s="386"/>
      <c r="F1" s="386"/>
      <c r="G1" s="386"/>
      <c r="H1" s="386"/>
      <c r="I1" s="386"/>
      <c r="J1" s="386"/>
      <c r="K1" s="386"/>
      <c r="L1" s="386"/>
      <c r="M1" s="386"/>
      <c r="N1" s="386"/>
      <c r="O1" s="386"/>
      <c r="P1" s="386"/>
      <c r="Q1" s="386"/>
    </row>
    <row r="2" spans="1:17" s="31" customFormat="1" ht="19.95" customHeight="1">
      <c r="A2" s="387" t="s">
        <v>279</v>
      </c>
      <c r="B2" s="387"/>
      <c r="C2" s="387"/>
      <c r="D2" s="387"/>
      <c r="E2" s="387"/>
      <c r="F2" s="387"/>
      <c r="G2" s="387"/>
      <c r="H2" s="387"/>
      <c r="I2" s="387"/>
      <c r="J2" s="387"/>
      <c r="K2" s="387"/>
      <c r="L2" s="387"/>
      <c r="M2" s="387"/>
      <c r="N2" s="387"/>
      <c r="O2" s="387"/>
      <c r="P2" s="387"/>
      <c r="Q2" s="387"/>
    </row>
    <row r="3" spans="1:17" s="7" customFormat="1" ht="19.95" customHeight="1">
      <c r="A3" s="2" t="str">
        <f>底稿目录!A2</f>
        <v>被审计单位：</v>
      </c>
      <c r="B3" s="2"/>
      <c r="H3" s="3" t="str">
        <f>底稿目录!A4</f>
        <v>编制人：</v>
      </c>
      <c r="M3" s="94" t="str">
        <f>底稿目录!A5</f>
        <v>编制日期：</v>
      </c>
      <c r="N3" s="100"/>
      <c r="P3" s="22" t="s">
        <v>170</v>
      </c>
      <c r="Q3" s="294" t="str">
        <f>底稿目录!D11</f>
        <v>K8-5</v>
      </c>
    </row>
    <row r="4" spans="1:17" s="7" customFormat="1" ht="19.95" customHeight="1">
      <c r="A4" s="2" t="str">
        <f>底稿目录!A3</f>
        <v>会计期间：202X年度</v>
      </c>
      <c r="B4" s="4"/>
      <c r="H4" s="3" t="str">
        <f>底稿目录!A6</f>
        <v>复核人：</v>
      </c>
      <c r="M4" s="94" t="str">
        <f>底稿目录!A7</f>
        <v>复核日期：</v>
      </c>
      <c r="N4" s="100"/>
      <c r="P4" s="22" t="s">
        <v>338</v>
      </c>
      <c r="Q4" s="32"/>
    </row>
    <row r="5" spans="1:17" s="7" customFormat="1" ht="19.95" customHeight="1">
      <c r="A5" s="51" t="s">
        <v>53</v>
      </c>
      <c r="B5" s="52"/>
      <c r="I5" s="53"/>
      <c r="M5" s="54"/>
      <c r="P5" s="55"/>
    </row>
    <row r="6" spans="1:17" s="7" customFormat="1" ht="19.95" customHeight="1">
      <c r="A6" s="103" t="s">
        <v>314</v>
      </c>
      <c r="L6" s="53"/>
      <c r="P6" s="55"/>
    </row>
    <row r="7" spans="1:17" s="7" customFormat="1" ht="19.95" customHeight="1">
      <c r="A7" s="103" t="s">
        <v>316</v>
      </c>
      <c r="L7" s="53"/>
      <c r="P7" s="55"/>
    </row>
    <row r="8" spans="1:17" s="7" customFormat="1" ht="19.95" customHeight="1">
      <c r="A8" s="222" t="s">
        <v>103</v>
      </c>
      <c r="I8" s="59"/>
      <c r="M8" s="54"/>
      <c r="P8" s="55"/>
    </row>
    <row r="9" spans="1:17" s="7" customFormat="1" ht="19.95" customHeight="1">
      <c r="A9" s="56"/>
      <c r="B9" s="122" t="s">
        <v>137</v>
      </c>
      <c r="C9" s="303">
        <v>45658</v>
      </c>
      <c r="D9" s="122" t="s">
        <v>138</v>
      </c>
      <c r="E9" s="303">
        <v>46022</v>
      </c>
      <c r="F9" s="100"/>
      <c r="G9" s="100"/>
      <c r="H9" s="100"/>
      <c r="I9" s="59"/>
      <c r="M9" s="54"/>
      <c r="P9" s="55"/>
    </row>
    <row r="10" spans="1:17" s="25" customFormat="1" ht="37.200000000000003" customHeight="1">
      <c r="A10" s="104" t="s">
        <v>63</v>
      </c>
      <c r="B10" s="104" t="s">
        <v>104</v>
      </c>
      <c r="C10" s="104" t="s">
        <v>105</v>
      </c>
      <c r="D10" s="104" t="s">
        <v>106</v>
      </c>
      <c r="E10" s="122" t="s">
        <v>140</v>
      </c>
      <c r="F10" s="173" t="s">
        <v>141</v>
      </c>
      <c r="G10" s="173" t="s">
        <v>142</v>
      </c>
      <c r="H10" s="174" t="s">
        <v>107</v>
      </c>
      <c r="I10" s="174" t="s">
        <v>108</v>
      </c>
      <c r="J10" s="104" t="s">
        <v>109</v>
      </c>
      <c r="K10" s="121" t="s">
        <v>139</v>
      </c>
      <c r="L10" s="104" t="s">
        <v>110</v>
      </c>
      <c r="M10" s="104" t="s">
        <v>111</v>
      </c>
      <c r="N10" s="104" t="s">
        <v>112</v>
      </c>
      <c r="O10" s="104" t="s">
        <v>113</v>
      </c>
      <c r="P10" s="104" t="s">
        <v>114</v>
      </c>
      <c r="Q10" s="104" t="s">
        <v>284</v>
      </c>
    </row>
    <row r="11" spans="1:17" s="25" customFormat="1" ht="19.95" customHeight="1">
      <c r="A11" s="105" t="s">
        <v>115</v>
      </c>
      <c r="B11" s="106"/>
      <c r="C11" s="106"/>
      <c r="D11" s="10"/>
      <c r="E11" s="106"/>
      <c r="F11" s="106"/>
      <c r="G11" s="106"/>
      <c r="H11" s="176"/>
      <c r="I11" s="176"/>
      <c r="J11" s="304">
        <f>IF(OR($E$9="",H11="",$C$9="",I11=""),0,DATEDIF(H11, I11, "m")+1)</f>
        <v>0</v>
      </c>
      <c r="K11" s="168">
        <f t="shared" ref="K11:K20" si="0">IF(OR($E$9="",H11="",$C$9="",I11=""),0,IF(H11&gt;$E$9,0,IF(H11=0,0,IF(AND(H11&lt;$C$9,I11&gt;$E$9),VALUE(DATEDIF($C$9,$E$9,"m")+1),IF(AND(H11&lt;$C$9,I11&lt;=$E$9),VALUE(DATEDIF($C$9,I11,"m")+1),IF(AND(H11&gt;=$C$9,I11&gt;$E$9),VALUE(DATEDIF(H11,$E$9,"m")+1),IF(AND(H11&gt;=$C$9,I11&lt;=$E$9),VALUE(DATEDIF(H11,I11,"m")+1),)))))))</f>
        <v>0</v>
      </c>
      <c r="L11" s="305">
        <f t="shared" ref="L11:L20" si="1">IF(K11=0,0,K11/J11*D11)</f>
        <v>0</v>
      </c>
      <c r="M11" s="10"/>
      <c r="N11" s="168">
        <f>L11-M11</f>
        <v>0</v>
      </c>
      <c r="O11" s="212"/>
      <c r="P11" s="212"/>
      <c r="Q11" s="212"/>
    </row>
    <row r="12" spans="1:17" s="7" customFormat="1" ht="19.95" customHeight="1">
      <c r="A12" s="105" t="s">
        <v>116</v>
      </c>
      <c r="B12" s="106"/>
      <c r="C12" s="106"/>
      <c r="D12" s="10"/>
      <c r="E12" s="106"/>
      <c r="F12" s="106"/>
      <c r="G12" s="106"/>
      <c r="H12" s="176"/>
      <c r="I12" s="176"/>
      <c r="J12" s="304">
        <f t="shared" ref="J12:J20" si="2">IF(OR($E$9="",H12="",$C$9="",I12=""),0,DATEDIF(H12, I12, "m")+1)</f>
        <v>0</v>
      </c>
      <c r="K12" s="168">
        <f t="shared" si="0"/>
        <v>0</v>
      </c>
      <c r="L12" s="305">
        <f t="shared" si="1"/>
        <v>0</v>
      </c>
      <c r="M12" s="10"/>
      <c r="N12" s="168">
        <f t="shared" ref="N12:N20" si="3">L12-M12</f>
        <v>0</v>
      </c>
      <c r="O12" s="212"/>
      <c r="P12" s="212"/>
      <c r="Q12" s="212"/>
    </row>
    <row r="13" spans="1:17" s="7" customFormat="1" ht="19.95" customHeight="1">
      <c r="A13" s="105" t="s">
        <v>117</v>
      </c>
      <c r="B13" s="106"/>
      <c r="C13" s="106"/>
      <c r="D13" s="10"/>
      <c r="E13" s="106"/>
      <c r="F13" s="106"/>
      <c r="G13" s="106"/>
      <c r="H13" s="176"/>
      <c r="I13" s="176"/>
      <c r="J13" s="304">
        <f t="shared" si="2"/>
        <v>0</v>
      </c>
      <c r="K13" s="168">
        <f t="shared" si="0"/>
        <v>0</v>
      </c>
      <c r="L13" s="305">
        <f t="shared" si="1"/>
        <v>0</v>
      </c>
      <c r="M13" s="10"/>
      <c r="N13" s="168">
        <f t="shared" si="3"/>
        <v>0</v>
      </c>
      <c r="O13" s="212"/>
      <c r="P13" s="212"/>
      <c r="Q13" s="212"/>
    </row>
    <row r="14" spans="1:17" s="7" customFormat="1" ht="19.95" customHeight="1">
      <c r="A14" s="105" t="s">
        <v>118</v>
      </c>
      <c r="B14" s="106"/>
      <c r="C14" s="106"/>
      <c r="D14" s="10"/>
      <c r="E14" s="106"/>
      <c r="F14" s="106"/>
      <c r="G14" s="106"/>
      <c r="H14" s="176"/>
      <c r="I14" s="176"/>
      <c r="J14" s="304">
        <f t="shared" si="2"/>
        <v>0</v>
      </c>
      <c r="K14" s="168">
        <f t="shared" si="0"/>
        <v>0</v>
      </c>
      <c r="L14" s="305">
        <f t="shared" si="1"/>
        <v>0</v>
      </c>
      <c r="M14" s="10"/>
      <c r="N14" s="168">
        <f t="shared" si="3"/>
        <v>0</v>
      </c>
      <c r="O14" s="212"/>
      <c r="P14" s="212"/>
      <c r="Q14" s="212"/>
    </row>
    <row r="15" spans="1:17" s="7" customFormat="1" ht="19.95" customHeight="1">
      <c r="A15" s="105" t="s">
        <v>119</v>
      </c>
      <c r="B15" s="106"/>
      <c r="C15" s="106"/>
      <c r="D15" s="10"/>
      <c r="E15" s="106"/>
      <c r="F15" s="106"/>
      <c r="G15" s="106"/>
      <c r="H15" s="176"/>
      <c r="I15" s="176"/>
      <c r="J15" s="304">
        <f t="shared" si="2"/>
        <v>0</v>
      </c>
      <c r="K15" s="168">
        <f t="shared" si="0"/>
        <v>0</v>
      </c>
      <c r="L15" s="305">
        <f t="shared" si="1"/>
        <v>0</v>
      </c>
      <c r="M15" s="10"/>
      <c r="N15" s="168">
        <f t="shared" si="3"/>
        <v>0</v>
      </c>
      <c r="O15" s="212"/>
      <c r="P15" s="212"/>
      <c r="Q15" s="212"/>
    </row>
    <row r="16" spans="1:17" s="7" customFormat="1" ht="19.95" customHeight="1">
      <c r="A16" s="105" t="s">
        <v>120</v>
      </c>
      <c r="B16" s="106"/>
      <c r="C16" s="106"/>
      <c r="D16" s="10"/>
      <c r="E16" s="106"/>
      <c r="F16" s="106"/>
      <c r="G16" s="106"/>
      <c r="H16" s="176"/>
      <c r="I16" s="176"/>
      <c r="J16" s="304">
        <f t="shared" si="2"/>
        <v>0</v>
      </c>
      <c r="K16" s="168">
        <f t="shared" si="0"/>
        <v>0</v>
      </c>
      <c r="L16" s="305">
        <f t="shared" si="1"/>
        <v>0</v>
      </c>
      <c r="M16" s="10"/>
      <c r="N16" s="168">
        <f t="shared" si="3"/>
        <v>0</v>
      </c>
      <c r="O16" s="212"/>
      <c r="P16" s="212"/>
      <c r="Q16" s="212"/>
    </row>
    <row r="17" spans="1:22" s="7" customFormat="1" ht="19.95" customHeight="1">
      <c r="A17" s="105" t="s">
        <v>78</v>
      </c>
      <c r="B17" s="106"/>
      <c r="C17" s="106"/>
      <c r="D17" s="10"/>
      <c r="E17" s="106"/>
      <c r="F17" s="106"/>
      <c r="G17" s="106"/>
      <c r="H17" s="176"/>
      <c r="I17" s="176"/>
      <c r="J17" s="304">
        <f t="shared" si="2"/>
        <v>0</v>
      </c>
      <c r="K17" s="168">
        <f t="shared" si="0"/>
        <v>0</v>
      </c>
      <c r="L17" s="305">
        <f t="shared" si="1"/>
        <v>0</v>
      </c>
      <c r="M17" s="10"/>
      <c r="N17" s="168">
        <f t="shared" si="3"/>
        <v>0</v>
      </c>
      <c r="O17" s="212"/>
      <c r="P17" s="212"/>
      <c r="Q17" s="212"/>
    </row>
    <row r="18" spans="1:22" s="7" customFormat="1" ht="19.95" customHeight="1">
      <c r="A18" s="107"/>
      <c r="B18" s="106"/>
      <c r="C18" s="106"/>
      <c r="D18" s="10"/>
      <c r="E18" s="106"/>
      <c r="F18" s="106"/>
      <c r="G18" s="106"/>
      <c r="H18" s="176"/>
      <c r="I18" s="176"/>
      <c r="J18" s="304">
        <f t="shared" si="2"/>
        <v>0</v>
      </c>
      <c r="K18" s="168">
        <f t="shared" si="0"/>
        <v>0</v>
      </c>
      <c r="L18" s="305">
        <f t="shared" si="1"/>
        <v>0</v>
      </c>
      <c r="M18" s="10"/>
      <c r="N18" s="168">
        <f t="shared" si="3"/>
        <v>0</v>
      </c>
      <c r="O18" s="212"/>
      <c r="P18" s="212"/>
      <c r="Q18" s="212"/>
    </row>
    <row r="19" spans="1:22" s="7" customFormat="1" ht="19.95" customHeight="1">
      <c r="A19" s="107"/>
      <c r="B19" s="106"/>
      <c r="C19" s="106"/>
      <c r="D19" s="10"/>
      <c r="E19" s="106"/>
      <c r="F19" s="106"/>
      <c r="G19" s="106"/>
      <c r="H19" s="176"/>
      <c r="I19" s="176"/>
      <c r="J19" s="304">
        <f t="shared" si="2"/>
        <v>0</v>
      </c>
      <c r="K19" s="168">
        <f t="shared" si="0"/>
        <v>0</v>
      </c>
      <c r="L19" s="305">
        <f t="shared" si="1"/>
        <v>0</v>
      </c>
      <c r="M19" s="10"/>
      <c r="N19" s="168">
        <f t="shared" si="3"/>
        <v>0</v>
      </c>
      <c r="O19" s="212"/>
      <c r="P19" s="212"/>
      <c r="Q19" s="212"/>
    </row>
    <row r="20" spans="1:22" s="7" customFormat="1" ht="19.95" customHeight="1">
      <c r="A20" s="107"/>
      <c r="B20" s="106"/>
      <c r="C20" s="106"/>
      <c r="D20" s="10"/>
      <c r="E20" s="106"/>
      <c r="F20" s="106"/>
      <c r="G20" s="106"/>
      <c r="H20" s="176"/>
      <c r="I20" s="176"/>
      <c r="J20" s="304">
        <f t="shared" si="2"/>
        <v>0</v>
      </c>
      <c r="K20" s="168">
        <f t="shared" si="0"/>
        <v>0</v>
      </c>
      <c r="L20" s="305">
        <f t="shared" si="1"/>
        <v>0</v>
      </c>
      <c r="M20" s="10"/>
      <c r="N20" s="168">
        <f t="shared" si="3"/>
        <v>0</v>
      </c>
      <c r="O20" s="212"/>
      <c r="P20" s="212"/>
      <c r="Q20" s="212"/>
    </row>
    <row r="21" spans="1:22" s="7" customFormat="1" ht="19.95" customHeight="1">
      <c r="A21" s="65" t="s">
        <v>60</v>
      </c>
      <c r="B21" s="15"/>
      <c r="C21" s="15"/>
      <c r="D21" s="15"/>
      <c r="E21" s="15"/>
      <c r="F21" s="175"/>
      <c r="G21" s="175"/>
      <c r="H21" s="175"/>
      <c r="I21" s="175"/>
      <c r="J21" s="15"/>
      <c r="K21" s="15"/>
      <c r="L21" s="15"/>
      <c r="M21" s="15"/>
      <c r="N21" s="15"/>
      <c r="O21" s="15"/>
      <c r="P21" s="15"/>
      <c r="Q21" s="15"/>
    </row>
    <row r="22" spans="1:22" s="7" customFormat="1" ht="19.95" customHeight="1">
      <c r="A22" s="202" t="s">
        <v>227</v>
      </c>
    </row>
    <row r="23" spans="1:22" ht="19.95" customHeight="1">
      <c r="A23" s="202" t="s">
        <v>226</v>
      </c>
      <c r="B23" s="7"/>
      <c r="C23" s="7"/>
      <c r="D23" s="7"/>
      <c r="E23" s="7"/>
      <c r="F23" s="7"/>
      <c r="G23" s="7"/>
      <c r="H23" s="7"/>
      <c r="I23" s="7"/>
      <c r="J23" s="7"/>
      <c r="K23" s="7"/>
      <c r="L23" s="7"/>
      <c r="M23" s="7"/>
      <c r="N23" s="7"/>
      <c r="O23" s="7"/>
      <c r="P23" s="7"/>
      <c r="Q23" s="7"/>
      <c r="R23" s="7"/>
      <c r="S23" s="7"/>
      <c r="T23" s="7"/>
      <c r="U23" s="7"/>
      <c r="V23" s="7"/>
    </row>
    <row r="24" spans="1:22" ht="19.95" customHeight="1">
      <c r="A24" s="202"/>
      <c r="B24" s="7"/>
      <c r="C24" s="7"/>
      <c r="D24" s="7"/>
      <c r="E24" s="7"/>
      <c r="F24" s="7"/>
      <c r="G24" s="7"/>
      <c r="H24" s="7"/>
      <c r="I24" s="7"/>
      <c r="J24" s="7"/>
      <c r="K24" s="7"/>
      <c r="L24" s="7"/>
      <c r="M24" s="7"/>
      <c r="N24" s="7"/>
      <c r="O24" s="7"/>
      <c r="P24" s="7"/>
      <c r="Q24" s="7"/>
      <c r="R24" s="7"/>
      <c r="S24" s="7"/>
      <c r="T24" s="7"/>
      <c r="U24" s="7"/>
      <c r="V24" s="7"/>
    </row>
    <row r="25" spans="1:22" ht="19.95" customHeight="1">
      <c r="A25" s="202"/>
      <c r="B25" s="7"/>
      <c r="C25" s="7"/>
      <c r="D25" s="7"/>
      <c r="E25" s="7"/>
      <c r="F25" s="7"/>
      <c r="G25" s="7"/>
      <c r="H25" s="7"/>
      <c r="I25" s="7"/>
      <c r="J25" s="7"/>
      <c r="K25" s="7"/>
      <c r="L25" s="7"/>
      <c r="M25" s="7"/>
      <c r="N25" s="7"/>
      <c r="O25" s="7"/>
      <c r="P25" s="7"/>
      <c r="Q25" s="7"/>
      <c r="R25" s="7"/>
      <c r="S25" s="7"/>
      <c r="T25" s="7"/>
      <c r="U25" s="7"/>
      <c r="V25" s="7"/>
    </row>
    <row r="26" spans="1:22" ht="19.95" customHeight="1">
      <c r="A26" s="84" t="s">
        <v>72</v>
      </c>
      <c r="B26" s="7"/>
      <c r="C26" s="7"/>
      <c r="D26" s="7"/>
      <c r="E26" s="7"/>
      <c r="F26" s="7"/>
      <c r="G26" s="7"/>
      <c r="H26" s="7"/>
      <c r="I26" s="7"/>
      <c r="J26" s="7"/>
      <c r="K26" s="7"/>
      <c r="L26" s="7"/>
      <c r="M26" s="7"/>
      <c r="N26" s="7"/>
      <c r="O26" s="7"/>
      <c r="P26" s="7"/>
      <c r="Q26" s="7"/>
      <c r="R26" s="7"/>
      <c r="S26" s="7"/>
      <c r="T26" s="7"/>
      <c r="U26" s="7"/>
      <c r="V26" s="7"/>
    </row>
    <row r="27" spans="1:22" ht="19.95" customHeight="1">
      <c r="A27" s="7"/>
      <c r="B27" s="7"/>
      <c r="C27" s="7"/>
      <c r="D27" s="7"/>
      <c r="E27" s="7"/>
      <c r="F27" s="7"/>
      <c r="G27" s="7"/>
      <c r="H27" s="7"/>
      <c r="I27" s="7"/>
      <c r="J27" s="7"/>
      <c r="K27" s="7"/>
      <c r="L27" s="7"/>
      <c r="M27" s="7"/>
      <c r="N27" s="7"/>
      <c r="O27" s="7"/>
      <c r="P27" s="7"/>
      <c r="Q27" s="7"/>
      <c r="R27" s="7"/>
      <c r="S27" s="7"/>
      <c r="T27" s="7"/>
      <c r="U27" s="7"/>
      <c r="V27" s="7"/>
    </row>
    <row r="28" spans="1:22" ht="19.95" customHeight="1">
      <c r="A28" s="7"/>
      <c r="B28" s="7"/>
      <c r="C28" s="7"/>
      <c r="D28" s="7"/>
      <c r="E28" s="7"/>
      <c r="F28" s="7"/>
      <c r="G28" s="7"/>
      <c r="H28" s="7"/>
      <c r="I28" s="7"/>
      <c r="J28" s="7"/>
      <c r="K28" s="7"/>
      <c r="L28" s="7"/>
      <c r="M28" s="7"/>
      <c r="N28" s="7"/>
      <c r="O28" s="7"/>
      <c r="P28" s="7"/>
      <c r="Q28" s="7"/>
      <c r="R28" s="7"/>
      <c r="S28" s="7"/>
      <c r="T28" s="7"/>
      <c r="U28" s="7"/>
      <c r="V28" s="7"/>
    </row>
    <row r="29" spans="1:22" ht="19.95" customHeight="1">
      <c r="A29" s="221" t="s">
        <v>256</v>
      </c>
      <c r="B29" s="108"/>
      <c r="C29" s="108"/>
      <c r="D29" s="108"/>
      <c r="E29" s="108"/>
      <c r="F29" s="108"/>
      <c r="G29" s="108"/>
      <c r="H29" s="108"/>
      <c r="I29" s="108"/>
      <c r="J29" s="108"/>
      <c r="K29" s="108"/>
      <c r="L29" s="108"/>
      <c r="M29" s="108"/>
      <c r="N29" s="108"/>
      <c r="O29" s="108"/>
      <c r="P29" s="108"/>
      <c r="Q29" s="108"/>
    </row>
    <row r="30" spans="1:22">
      <c r="A30" s="108"/>
      <c r="B30" s="108"/>
      <c r="C30" s="108"/>
      <c r="D30" s="108"/>
      <c r="E30" s="108"/>
      <c r="F30" s="108"/>
      <c r="G30" s="108"/>
      <c r="H30" s="108"/>
      <c r="I30" s="108"/>
      <c r="J30" s="108"/>
      <c r="K30" s="108"/>
      <c r="L30" s="108"/>
      <c r="M30" s="108"/>
      <c r="N30" s="108"/>
      <c r="O30" s="108"/>
      <c r="P30" s="108"/>
      <c r="Q30" s="108"/>
    </row>
    <row r="31" spans="1:22">
      <c r="A31" s="108"/>
      <c r="B31" s="108"/>
      <c r="C31" s="108"/>
      <c r="D31" s="108"/>
      <c r="E31" s="108"/>
      <c r="F31" s="108"/>
      <c r="G31" s="108"/>
      <c r="H31" s="108"/>
      <c r="I31" s="108"/>
      <c r="J31" s="108"/>
      <c r="K31" s="108"/>
      <c r="L31" s="108"/>
      <c r="M31" s="108"/>
      <c r="N31" s="108"/>
      <c r="O31" s="108"/>
      <c r="P31" s="108"/>
      <c r="Q31" s="108"/>
    </row>
    <row r="32" spans="1:22">
      <c r="A32" s="108"/>
      <c r="B32" s="108"/>
      <c r="C32" s="108"/>
      <c r="D32" s="108"/>
      <c r="E32" s="108"/>
      <c r="F32" s="108"/>
      <c r="G32" s="108"/>
      <c r="H32" s="108"/>
      <c r="I32" s="108"/>
      <c r="J32" s="108"/>
      <c r="K32" s="108"/>
      <c r="L32" s="108"/>
      <c r="M32" s="108"/>
      <c r="N32" s="108"/>
      <c r="O32" s="108"/>
      <c r="P32" s="108"/>
      <c r="Q32" s="108"/>
    </row>
    <row r="33" spans="1:17">
      <c r="A33" s="108"/>
      <c r="B33" s="108"/>
      <c r="C33" s="108"/>
      <c r="D33" s="108"/>
      <c r="E33" s="108"/>
      <c r="F33" s="108"/>
      <c r="G33" s="108"/>
      <c r="H33" s="108"/>
      <c r="I33" s="108"/>
      <c r="J33" s="108"/>
      <c r="K33" s="108"/>
      <c r="L33" s="108"/>
      <c r="M33" s="108"/>
      <c r="N33" s="108"/>
      <c r="O33" s="108"/>
      <c r="P33" s="108"/>
      <c r="Q33" s="108"/>
    </row>
    <row r="34" spans="1:17">
      <c r="A34" s="108"/>
      <c r="B34" s="108"/>
      <c r="C34" s="108"/>
      <c r="D34" s="108"/>
      <c r="E34" s="108"/>
      <c r="F34" s="108"/>
      <c r="G34" s="108"/>
      <c r="H34" s="108"/>
      <c r="I34" s="108"/>
      <c r="J34" s="108"/>
      <c r="K34" s="108"/>
      <c r="L34" s="108"/>
      <c r="M34" s="108"/>
      <c r="N34" s="108"/>
      <c r="O34" s="108"/>
      <c r="P34" s="108"/>
      <c r="Q34" s="108"/>
    </row>
    <row r="35" spans="1:17">
      <c r="A35" s="108"/>
      <c r="B35" s="108"/>
      <c r="C35" s="108"/>
      <c r="D35" s="108"/>
      <c r="E35" s="108"/>
      <c r="F35" s="108"/>
      <c r="G35" s="108"/>
      <c r="H35" s="108"/>
      <c r="I35" s="108"/>
      <c r="J35" s="108"/>
      <c r="K35" s="108"/>
      <c r="L35" s="108"/>
      <c r="M35" s="108"/>
      <c r="N35" s="108"/>
      <c r="O35" s="108"/>
      <c r="P35" s="108"/>
      <c r="Q35" s="108"/>
    </row>
    <row r="36" spans="1:17">
      <c r="A36" s="108"/>
      <c r="B36" s="108"/>
      <c r="C36" s="108"/>
      <c r="D36" s="108"/>
      <c r="E36" s="108"/>
      <c r="F36" s="108"/>
      <c r="G36" s="108"/>
      <c r="H36" s="108"/>
      <c r="I36" s="108"/>
      <c r="J36" s="108"/>
      <c r="K36" s="108"/>
      <c r="L36" s="108"/>
      <c r="M36" s="108"/>
      <c r="N36" s="108"/>
      <c r="O36" s="108"/>
      <c r="P36" s="108"/>
      <c r="Q36" s="108"/>
    </row>
    <row r="37" spans="1:17">
      <c r="A37" s="108"/>
      <c r="B37" s="108"/>
      <c r="C37" s="108"/>
      <c r="D37" s="108"/>
      <c r="E37" s="108"/>
      <c r="F37" s="108"/>
      <c r="G37" s="108"/>
      <c r="H37" s="108"/>
      <c r="I37" s="108"/>
      <c r="J37" s="108"/>
      <c r="K37" s="108"/>
      <c r="L37" s="108"/>
      <c r="M37" s="108"/>
      <c r="N37" s="108"/>
      <c r="O37" s="108"/>
      <c r="P37" s="108"/>
      <c r="Q37" s="108"/>
    </row>
    <row r="38" spans="1:17">
      <c r="A38" s="108"/>
      <c r="B38" s="108"/>
      <c r="C38" s="108"/>
      <c r="D38" s="108"/>
      <c r="E38" s="108"/>
      <c r="F38" s="108"/>
      <c r="G38" s="108"/>
      <c r="H38" s="108"/>
      <c r="I38" s="108"/>
      <c r="J38" s="108"/>
      <c r="K38" s="108"/>
      <c r="L38" s="108"/>
      <c r="M38" s="108"/>
      <c r="N38" s="108"/>
      <c r="O38" s="108"/>
      <c r="P38" s="108"/>
      <c r="Q38" s="108"/>
    </row>
    <row r="39" spans="1:17">
      <c r="A39" s="108"/>
      <c r="B39" s="108"/>
      <c r="C39" s="108"/>
      <c r="D39" s="108"/>
      <c r="E39" s="108"/>
      <c r="F39" s="108"/>
      <c r="G39" s="108"/>
      <c r="H39" s="108"/>
      <c r="I39" s="108"/>
      <c r="J39" s="108"/>
      <c r="K39" s="108"/>
      <c r="L39" s="108"/>
      <c r="M39" s="108"/>
      <c r="N39" s="108"/>
      <c r="O39" s="108"/>
      <c r="P39" s="108"/>
      <c r="Q39" s="108"/>
    </row>
    <row r="40" spans="1:17">
      <c r="A40" s="108"/>
      <c r="B40" s="108"/>
      <c r="C40" s="108"/>
      <c r="D40" s="108"/>
      <c r="E40" s="108"/>
      <c r="F40" s="108"/>
      <c r="G40" s="108"/>
      <c r="H40" s="108"/>
      <c r="I40" s="108"/>
      <c r="J40" s="108"/>
      <c r="K40" s="108"/>
      <c r="L40" s="108"/>
      <c r="M40" s="108"/>
      <c r="N40" s="108"/>
      <c r="O40" s="108"/>
      <c r="P40" s="108"/>
      <c r="Q40" s="108"/>
    </row>
    <row r="41" spans="1:17">
      <c r="A41" s="108"/>
      <c r="B41" s="108"/>
      <c r="C41" s="108"/>
      <c r="D41" s="108"/>
      <c r="E41" s="108"/>
      <c r="F41" s="108"/>
      <c r="G41" s="108"/>
      <c r="H41" s="108"/>
      <c r="I41" s="108"/>
      <c r="J41" s="108"/>
      <c r="K41" s="108"/>
      <c r="L41" s="108"/>
      <c r="M41" s="108"/>
      <c r="N41" s="108"/>
      <c r="O41" s="108"/>
      <c r="P41" s="108"/>
      <c r="Q41" s="108"/>
    </row>
    <row r="42" spans="1:17">
      <c r="A42" s="108"/>
      <c r="B42" s="108"/>
      <c r="C42" s="108"/>
      <c r="D42" s="108"/>
      <c r="E42" s="108"/>
      <c r="F42" s="108"/>
      <c r="G42" s="108"/>
      <c r="H42" s="108"/>
      <c r="I42" s="108"/>
      <c r="J42" s="108"/>
      <c r="K42" s="108"/>
      <c r="L42" s="108"/>
      <c r="M42" s="108"/>
      <c r="N42" s="108"/>
      <c r="O42" s="108"/>
      <c r="P42" s="108"/>
      <c r="Q42" s="108"/>
    </row>
    <row r="43" spans="1:17">
      <c r="A43" s="108"/>
      <c r="B43" s="108"/>
      <c r="C43" s="108"/>
      <c r="D43" s="108"/>
      <c r="E43" s="108"/>
      <c r="F43" s="108"/>
      <c r="G43" s="108"/>
      <c r="H43" s="108"/>
      <c r="I43" s="108"/>
      <c r="J43" s="108"/>
      <c r="K43" s="108"/>
      <c r="L43" s="108"/>
      <c r="M43" s="108"/>
      <c r="N43" s="108"/>
      <c r="O43" s="108"/>
      <c r="P43" s="108"/>
      <c r="Q43" s="108"/>
    </row>
    <row r="44" spans="1:17">
      <c r="A44" s="108"/>
      <c r="B44" s="108"/>
      <c r="C44" s="108"/>
      <c r="D44" s="108"/>
      <c r="E44" s="108"/>
      <c r="F44" s="108"/>
      <c r="G44" s="108"/>
      <c r="H44" s="108"/>
      <c r="I44" s="108"/>
      <c r="J44" s="108"/>
      <c r="K44" s="108"/>
      <c r="L44" s="108"/>
      <c r="M44" s="108"/>
      <c r="N44" s="108"/>
      <c r="O44" s="108"/>
      <c r="P44" s="108"/>
      <c r="Q44" s="108"/>
    </row>
    <row r="45" spans="1:17">
      <c r="A45" s="108"/>
      <c r="B45" s="108"/>
      <c r="C45" s="108"/>
      <c r="D45" s="108"/>
      <c r="E45" s="108"/>
      <c r="F45" s="108"/>
      <c r="G45" s="108"/>
      <c r="H45" s="108"/>
      <c r="I45" s="108"/>
      <c r="J45" s="108"/>
      <c r="K45" s="108"/>
      <c r="L45" s="108"/>
      <c r="M45" s="108"/>
      <c r="N45" s="108"/>
      <c r="O45" s="108"/>
      <c r="P45" s="108"/>
      <c r="Q45" s="108"/>
    </row>
    <row r="46" spans="1:17">
      <c r="A46" s="108"/>
      <c r="B46" s="108"/>
      <c r="C46" s="108"/>
      <c r="D46" s="108"/>
      <c r="E46" s="108"/>
      <c r="F46" s="108"/>
      <c r="G46" s="108"/>
      <c r="H46" s="108"/>
      <c r="I46" s="108"/>
      <c r="J46" s="108"/>
      <c r="K46" s="108"/>
      <c r="L46" s="108"/>
      <c r="M46" s="108"/>
      <c r="N46" s="108"/>
      <c r="O46" s="108"/>
      <c r="P46" s="108"/>
      <c r="Q46" s="108"/>
    </row>
    <row r="47" spans="1:17">
      <c r="A47" s="108"/>
      <c r="B47" s="108"/>
      <c r="C47" s="108"/>
      <c r="D47" s="108"/>
      <c r="E47" s="108"/>
      <c r="F47" s="108"/>
      <c r="G47" s="108"/>
      <c r="H47" s="108"/>
      <c r="I47" s="108"/>
      <c r="J47" s="108"/>
      <c r="K47" s="108"/>
      <c r="L47" s="108"/>
      <c r="M47" s="108"/>
      <c r="N47" s="108"/>
      <c r="O47" s="108"/>
      <c r="P47" s="108"/>
      <c r="Q47" s="108"/>
    </row>
    <row r="48" spans="1:17">
      <c r="A48" s="108"/>
      <c r="B48" s="108"/>
      <c r="C48" s="108"/>
      <c r="D48" s="108"/>
      <c r="E48" s="108"/>
      <c r="F48" s="108"/>
      <c r="G48" s="108"/>
      <c r="H48" s="108"/>
      <c r="I48" s="108"/>
      <c r="J48" s="108"/>
      <c r="K48" s="108"/>
      <c r="L48" s="108"/>
      <c r="M48" s="108"/>
      <c r="N48" s="108"/>
      <c r="O48" s="108"/>
      <c r="P48" s="108"/>
      <c r="Q48" s="108"/>
    </row>
    <row r="49" spans="1:17">
      <c r="A49" s="108"/>
      <c r="B49" s="108"/>
      <c r="C49" s="108"/>
      <c r="D49" s="108"/>
      <c r="E49" s="108"/>
      <c r="F49" s="108"/>
      <c r="G49" s="108"/>
      <c r="H49" s="108"/>
      <c r="I49" s="108"/>
      <c r="J49" s="108"/>
      <c r="K49" s="108"/>
      <c r="L49" s="108"/>
      <c r="M49" s="108"/>
      <c r="N49" s="108"/>
      <c r="O49" s="108"/>
      <c r="P49" s="108"/>
      <c r="Q49" s="108"/>
    </row>
    <row r="50" spans="1:17">
      <c r="A50" s="108"/>
      <c r="B50" s="108"/>
      <c r="C50" s="108"/>
      <c r="D50" s="108"/>
      <c r="E50" s="108"/>
      <c r="F50" s="108"/>
      <c r="G50" s="108"/>
      <c r="H50" s="108"/>
      <c r="I50" s="108"/>
      <c r="J50" s="108"/>
      <c r="K50" s="108"/>
      <c r="L50" s="108"/>
      <c r="M50" s="108"/>
      <c r="N50" s="108"/>
      <c r="O50" s="108"/>
      <c r="P50" s="108"/>
      <c r="Q50" s="108"/>
    </row>
    <row r="51" spans="1:17">
      <c r="A51" s="108"/>
      <c r="B51" s="108"/>
      <c r="C51" s="108"/>
      <c r="D51" s="108"/>
      <c r="E51" s="108"/>
      <c r="F51" s="108"/>
      <c r="G51" s="108"/>
      <c r="H51" s="108"/>
      <c r="I51" s="108"/>
      <c r="J51" s="108"/>
      <c r="K51" s="108"/>
      <c r="L51" s="108"/>
      <c r="M51" s="108"/>
      <c r="N51" s="108"/>
      <c r="O51" s="108"/>
      <c r="P51" s="108"/>
      <c r="Q51" s="108"/>
    </row>
    <row r="52" spans="1:17">
      <c r="A52" s="108"/>
      <c r="B52" s="108"/>
      <c r="C52" s="108"/>
      <c r="D52" s="108"/>
      <c r="E52" s="108"/>
      <c r="F52" s="108"/>
      <c r="G52" s="108"/>
      <c r="H52" s="108"/>
      <c r="I52" s="108"/>
      <c r="J52" s="108"/>
      <c r="K52" s="108"/>
      <c r="L52" s="108"/>
      <c r="M52" s="108"/>
      <c r="N52" s="108"/>
      <c r="O52" s="108"/>
      <c r="P52" s="108"/>
      <c r="Q52" s="108"/>
    </row>
    <row r="53" spans="1:17">
      <c r="A53" s="108"/>
      <c r="B53" s="108"/>
      <c r="C53" s="108"/>
      <c r="D53" s="108"/>
      <c r="E53" s="108"/>
      <c r="F53" s="108"/>
      <c r="G53" s="108"/>
      <c r="H53" s="108"/>
      <c r="I53" s="108"/>
      <c r="J53" s="108"/>
      <c r="K53" s="108"/>
      <c r="L53" s="108"/>
      <c r="M53" s="108"/>
      <c r="N53" s="108"/>
      <c r="O53" s="108"/>
      <c r="P53" s="108"/>
      <c r="Q53" s="108"/>
    </row>
    <row r="54" spans="1:17">
      <c r="A54" s="108"/>
      <c r="B54" s="108"/>
      <c r="C54" s="108"/>
      <c r="D54" s="108"/>
      <c r="E54" s="108"/>
      <c r="F54" s="108"/>
      <c r="G54" s="108"/>
      <c r="H54" s="108"/>
      <c r="I54" s="108"/>
      <c r="J54" s="108"/>
      <c r="K54" s="108"/>
      <c r="L54" s="108"/>
      <c r="M54" s="108"/>
      <c r="N54" s="108"/>
      <c r="O54" s="108"/>
      <c r="P54" s="108"/>
      <c r="Q54" s="108"/>
    </row>
    <row r="55" spans="1:17">
      <c r="A55" s="108"/>
      <c r="B55" s="108"/>
      <c r="C55" s="108"/>
      <c r="D55" s="108"/>
      <c r="E55" s="108"/>
      <c r="F55" s="108"/>
      <c r="G55" s="108"/>
      <c r="H55" s="108"/>
      <c r="I55" s="108"/>
      <c r="J55" s="108"/>
      <c r="K55" s="108"/>
      <c r="L55" s="108"/>
      <c r="M55" s="108"/>
      <c r="N55" s="108"/>
      <c r="O55" s="108"/>
      <c r="P55" s="108"/>
      <c r="Q55" s="108"/>
    </row>
  </sheetData>
  <mergeCells count="2">
    <mergeCell ref="A1:Q1"/>
    <mergeCell ref="A2:Q2"/>
  </mergeCells>
  <phoneticPr fontId="39" type="noConversion"/>
  <hyperlinks>
    <hyperlink ref="Q3" location="底稿目录!A1" display="底稿目录!A1"/>
  </hyperlinks>
  <pageMargins left="0.70866141732283472" right="0.70866141732283472" top="0.74803149606299213" bottom="0.74803149606299213" header="0.31496062992125984" footer="0.31496062992125984"/>
  <pageSetup paperSize="9" scale="70" orientation="landscape" blackAndWhite="1" r:id="rId1"/>
  <headerFooter>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K44"/>
  <sheetViews>
    <sheetView view="pageBreakPreview" zoomScaleNormal="130" zoomScaleSheetLayoutView="100" workbookViewId="0">
      <selection sqref="A1:K1"/>
    </sheetView>
  </sheetViews>
  <sheetFormatPr defaultColWidth="9.109375" defaultRowHeight="15.6"/>
  <cols>
    <col min="1" max="1" width="6.109375" style="14" customWidth="1"/>
    <col min="2" max="2" width="10.5546875" style="14" customWidth="1"/>
    <col min="3" max="3" width="11.21875" style="14" customWidth="1"/>
    <col min="4" max="4" width="18.44140625" style="14" customWidth="1"/>
    <col min="5" max="5" width="13.44140625" style="14" customWidth="1"/>
    <col min="6" max="6" width="10.33203125" style="14" customWidth="1"/>
    <col min="7" max="7" width="11.77734375" style="14" customWidth="1"/>
    <col min="8" max="8" width="11.6640625" style="14" customWidth="1"/>
    <col min="9" max="9" width="10.44140625" style="14" customWidth="1"/>
    <col min="10" max="10" width="5.88671875" style="14" customWidth="1"/>
    <col min="11" max="11" width="9.33203125" style="14" customWidth="1"/>
    <col min="12" max="16384" width="9.109375" style="14"/>
  </cols>
  <sheetData>
    <row r="1" spans="1:11" s="6" customFormat="1" ht="19.95" customHeight="1">
      <c r="A1" s="349" t="s">
        <v>0</v>
      </c>
      <c r="B1" s="349"/>
      <c r="C1" s="349"/>
      <c r="D1" s="349"/>
      <c r="E1" s="349"/>
      <c r="F1" s="349"/>
      <c r="G1" s="349"/>
      <c r="H1" s="349"/>
      <c r="I1" s="349"/>
      <c r="J1" s="349"/>
      <c r="K1" s="349"/>
    </row>
    <row r="2" spans="1:11" s="6" customFormat="1" ht="19.95" customHeight="1">
      <c r="A2" s="350" t="s">
        <v>221</v>
      </c>
      <c r="B2" s="350"/>
      <c r="C2" s="350"/>
      <c r="D2" s="350"/>
      <c r="E2" s="350"/>
      <c r="F2" s="350"/>
      <c r="G2" s="350"/>
      <c r="H2" s="350"/>
      <c r="I2" s="350"/>
      <c r="J2" s="350"/>
      <c r="K2" s="350"/>
    </row>
    <row r="3" spans="1:11" s="7" customFormat="1" ht="19.95" customHeight="1">
      <c r="A3" s="2" t="str">
        <f>底稿目录!A2</f>
        <v>被审计单位：</v>
      </c>
      <c r="B3" s="2"/>
      <c r="C3" s="3" t="str">
        <f>底稿目录!A4</f>
        <v>编制人：</v>
      </c>
      <c r="D3" s="3"/>
      <c r="E3" s="2"/>
      <c r="G3" s="94" t="str">
        <f>底稿目录!A5</f>
        <v>编制日期：</v>
      </c>
      <c r="H3" s="100"/>
      <c r="J3" s="22" t="s">
        <v>29</v>
      </c>
      <c r="K3" s="294" t="str">
        <f>底稿目录!D12</f>
        <v>K8-6</v>
      </c>
    </row>
    <row r="4" spans="1:11" s="7" customFormat="1" ht="19.95" customHeight="1">
      <c r="A4" s="2" t="str">
        <f>底稿目录!A3</f>
        <v>会计期间：202X年度</v>
      </c>
      <c r="B4" s="4"/>
      <c r="C4" s="3" t="str">
        <f>底稿目录!A6</f>
        <v>复核人：</v>
      </c>
      <c r="D4" s="3"/>
      <c r="E4" s="2"/>
      <c r="G4" s="94" t="str">
        <f>底稿目录!A7</f>
        <v>复核日期：</v>
      </c>
      <c r="H4" s="100"/>
      <c r="J4" s="22" t="s">
        <v>339</v>
      </c>
    </row>
    <row r="5" spans="1:11" s="25" customFormat="1" ht="19.95" customHeight="1">
      <c r="A5" s="23" t="s">
        <v>73</v>
      </c>
      <c r="B5" s="24"/>
      <c r="C5" s="24"/>
      <c r="D5" s="24"/>
      <c r="E5" s="24"/>
      <c r="F5" s="24"/>
      <c r="G5" s="24"/>
      <c r="H5" s="24"/>
      <c r="I5" s="24"/>
      <c r="J5" s="24"/>
    </row>
    <row r="6" spans="1:11" s="25" customFormat="1" ht="19.95" customHeight="1">
      <c r="A6" s="86" t="s">
        <v>219</v>
      </c>
      <c r="B6" s="196"/>
      <c r="C6" s="61"/>
      <c r="D6" s="61"/>
      <c r="E6" s="57"/>
      <c r="F6" s="61"/>
      <c r="G6" s="57"/>
      <c r="H6" s="61"/>
      <c r="I6" s="57"/>
      <c r="J6" s="61"/>
    </row>
    <row r="7" spans="1:11" s="25" customFormat="1" ht="19.95" customHeight="1">
      <c r="A7" s="23" t="s">
        <v>31</v>
      </c>
      <c r="B7" s="23"/>
      <c r="C7" s="23"/>
      <c r="D7" s="23"/>
      <c r="E7" s="23"/>
      <c r="F7" s="23"/>
      <c r="G7" s="23"/>
      <c r="H7" s="23"/>
      <c r="I7" s="23"/>
      <c r="J7" s="23"/>
    </row>
    <row r="8" spans="1:11" s="25" customFormat="1" ht="19.95" customHeight="1">
      <c r="A8" s="306" t="s">
        <v>286</v>
      </c>
      <c r="B8" s="87"/>
      <c r="C8" s="64"/>
      <c r="D8" s="64"/>
      <c r="E8" s="64"/>
      <c r="F8" s="64"/>
      <c r="G8" s="64"/>
      <c r="H8" s="64"/>
      <c r="I8" s="64"/>
      <c r="J8" s="64"/>
    </row>
    <row r="9" spans="1:11" s="25" customFormat="1" ht="19.95" customHeight="1">
      <c r="A9" s="91" t="s">
        <v>217</v>
      </c>
      <c r="B9" s="87"/>
      <c r="C9" s="64"/>
      <c r="D9" s="64"/>
      <c r="E9" s="64"/>
      <c r="F9" s="64"/>
      <c r="G9" s="64"/>
      <c r="H9" s="64"/>
      <c r="I9" s="64"/>
      <c r="J9" s="64"/>
    </row>
    <row r="10" spans="1:11" s="25" customFormat="1" ht="28.8" customHeight="1">
      <c r="A10" s="395" t="s">
        <v>285</v>
      </c>
      <c r="B10" s="395"/>
      <c r="C10" s="395"/>
      <c r="D10" s="395"/>
      <c r="E10" s="395"/>
      <c r="F10" s="395"/>
      <c r="G10" s="395"/>
      <c r="H10" s="395"/>
      <c r="I10" s="395"/>
      <c r="J10" s="395"/>
      <c r="K10" s="395"/>
    </row>
    <row r="11" spans="1:11" s="25" customFormat="1" ht="19.95" customHeight="1">
      <c r="A11" s="23" t="s">
        <v>32</v>
      </c>
      <c r="B11" s="26"/>
      <c r="C11" s="26"/>
      <c r="D11" s="26"/>
      <c r="E11" s="27"/>
      <c r="F11" s="28"/>
    </row>
    <row r="12" spans="1:11" s="302" customFormat="1" ht="19.95" customHeight="1">
      <c r="A12" s="390" t="s">
        <v>33</v>
      </c>
      <c r="B12" s="392" t="s">
        <v>287</v>
      </c>
      <c r="C12" s="393"/>
      <c r="D12" s="393"/>
      <c r="E12" s="393"/>
      <c r="F12" s="394"/>
      <c r="G12" s="390" t="s">
        <v>34</v>
      </c>
      <c r="H12" s="391"/>
      <c r="I12" s="391"/>
      <c r="J12" s="388" t="s">
        <v>35</v>
      </c>
      <c r="K12" s="388" t="s">
        <v>136</v>
      </c>
    </row>
    <row r="13" spans="1:11" s="302" customFormat="1" ht="19.95" customHeight="1">
      <c r="A13" s="391"/>
      <c r="B13" s="259" t="s">
        <v>36</v>
      </c>
      <c r="C13" s="259" t="s">
        <v>42</v>
      </c>
      <c r="D13" s="259" t="s">
        <v>288</v>
      </c>
      <c r="E13" s="259" t="s">
        <v>289</v>
      </c>
      <c r="F13" s="259" t="s">
        <v>290</v>
      </c>
      <c r="G13" s="259" t="s">
        <v>74</v>
      </c>
      <c r="H13" s="259" t="s">
        <v>75</v>
      </c>
      <c r="I13" s="259" t="s">
        <v>37</v>
      </c>
      <c r="J13" s="389"/>
      <c r="K13" s="389"/>
    </row>
    <row r="14" spans="1:11" s="7" customFormat="1" ht="19.95" customHeight="1">
      <c r="A14" s="210">
        <v>1</v>
      </c>
      <c r="B14" s="176"/>
      <c r="C14" s="268"/>
      <c r="D14" s="176"/>
      <c r="E14" s="211"/>
      <c r="F14" s="30"/>
      <c r="G14" s="210"/>
      <c r="H14" s="176"/>
      <c r="I14" s="30"/>
      <c r="J14" s="29"/>
      <c r="K14" s="30"/>
    </row>
    <row r="15" spans="1:11" s="7" customFormat="1" ht="19.95" customHeight="1">
      <c r="A15" s="210">
        <v>2</v>
      </c>
      <c r="B15" s="176"/>
      <c r="C15" s="268"/>
      <c r="D15" s="176"/>
      <c r="E15" s="211"/>
      <c r="F15" s="30"/>
      <c r="G15" s="210"/>
      <c r="H15" s="176"/>
      <c r="I15" s="30"/>
      <c r="J15" s="200"/>
      <c r="K15" s="30"/>
    </row>
    <row r="16" spans="1:11" s="7" customFormat="1" ht="19.95" customHeight="1">
      <c r="A16" s="210">
        <v>3</v>
      </c>
      <c r="B16" s="176"/>
      <c r="C16" s="268"/>
      <c r="D16" s="176"/>
      <c r="E16" s="211"/>
      <c r="F16" s="30"/>
      <c r="G16" s="210"/>
      <c r="H16" s="176"/>
      <c r="I16" s="30"/>
      <c r="J16" s="200"/>
      <c r="K16" s="30"/>
    </row>
    <row r="17" spans="1:11" s="7" customFormat="1" ht="19.95" customHeight="1">
      <c r="A17" s="210">
        <v>4</v>
      </c>
      <c r="B17" s="176"/>
      <c r="C17" s="268"/>
      <c r="D17" s="176"/>
      <c r="E17" s="211"/>
      <c r="F17" s="30"/>
      <c r="G17" s="210"/>
      <c r="H17" s="176"/>
      <c r="I17" s="30"/>
      <c r="J17" s="312"/>
      <c r="K17" s="30"/>
    </row>
    <row r="18" spans="1:11" s="7" customFormat="1" ht="19.95" customHeight="1">
      <c r="A18" s="210">
        <v>5</v>
      </c>
      <c r="B18" s="176"/>
      <c r="C18" s="268"/>
      <c r="D18" s="176"/>
      <c r="E18" s="211"/>
      <c r="F18" s="30"/>
      <c r="G18" s="210"/>
      <c r="H18" s="176"/>
      <c r="I18" s="30"/>
      <c r="J18" s="312"/>
      <c r="K18" s="30"/>
    </row>
    <row r="19" spans="1:11" s="7" customFormat="1" ht="19.95" customHeight="1">
      <c r="A19" s="210">
        <v>6</v>
      </c>
      <c r="B19" s="176"/>
      <c r="C19" s="268"/>
      <c r="D19" s="176"/>
      <c r="E19" s="211"/>
      <c r="F19" s="30"/>
      <c r="G19" s="210"/>
      <c r="H19" s="176"/>
      <c r="I19" s="30"/>
      <c r="J19" s="312"/>
      <c r="K19" s="30"/>
    </row>
    <row r="20" spans="1:11" s="7" customFormat="1" ht="19.95" customHeight="1">
      <c r="A20" s="210">
        <v>7</v>
      </c>
      <c r="B20" s="176"/>
      <c r="C20" s="268"/>
      <c r="D20" s="176"/>
      <c r="E20" s="211"/>
      <c r="F20" s="30"/>
      <c r="G20" s="210"/>
      <c r="H20" s="176"/>
      <c r="I20" s="30"/>
      <c r="J20" s="200"/>
      <c r="K20" s="30"/>
    </row>
    <row r="21" spans="1:11" s="7" customFormat="1" ht="19.95" customHeight="1">
      <c r="A21" s="210">
        <v>8</v>
      </c>
      <c r="B21" s="176"/>
      <c r="C21" s="268"/>
      <c r="D21" s="176"/>
      <c r="E21" s="211"/>
      <c r="F21" s="30"/>
      <c r="G21" s="210"/>
      <c r="H21" s="176"/>
      <c r="I21" s="30"/>
      <c r="J21" s="200"/>
      <c r="K21" s="30"/>
    </row>
    <row r="22" spans="1:11" s="7" customFormat="1" ht="19.95" customHeight="1">
      <c r="A22" s="210">
        <v>9</v>
      </c>
      <c r="B22" s="176"/>
      <c r="C22" s="268"/>
      <c r="D22" s="176"/>
      <c r="E22" s="211"/>
      <c r="F22" s="30"/>
      <c r="G22" s="210"/>
      <c r="H22" s="176"/>
      <c r="I22" s="30"/>
      <c r="J22" s="232"/>
      <c r="K22" s="30"/>
    </row>
    <row r="23" spans="1:11" s="7" customFormat="1" ht="19.95" customHeight="1">
      <c r="A23" s="210">
        <v>10</v>
      </c>
      <c r="B23" s="176"/>
      <c r="C23" s="268"/>
      <c r="D23" s="176"/>
      <c r="E23" s="211"/>
      <c r="F23" s="30"/>
      <c r="G23" s="210"/>
      <c r="H23" s="176"/>
      <c r="I23" s="30"/>
      <c r="J23" s="312"/>
      <c r="K23" s="30"/>
    </row>
    <row r="24" spans="1:11" s="7" customFormat="1" ht="19.95" customHeight="1">
      <c r="A24" s="210" t="s">
        <v>291</v>
      </c>
      <c r="B24" s="176"/>
      <c r="C24" s="268"/>
      <c r="D24" s="176"/>
      <c r="E24" s="211"/>
      <c r="F24" s="30"/>
      <c r="G24" s="210"/>
      <c r="H24" s="176"/>
      <c r="I24" s="30"/>
      <c r="J24" s="232"/>
      <c r="K24" s="30"/>
    </row>
    <row r="25" spans="1:11" s="7" customFormat="1" ht="19.95" customHeight="1">
      <c r="A25" s="88" t="s">
        <v>171</v>
      </c>
      <c r="B25" s="89"/>
      <c r="C25" s="269"/>
      <c r="D25" s="89"/>
      <c r="E25" s="89"/>
      <c r="F25" s="89"/>
      <c r="G25" s="89"/>
      <c r="H25" s="89"/>
      <c r="I25" s="89"/>
      <c r="J25" s="90"/>
      <c r="K25" s="90"/>
    </row>
    <row r="26" spans="1:11" s="7" customFormat="1" ht="19.95" customHeight="1">
      <c r="A26" s="210">
        <v>1</v>
      </c>
      <c r="B26" s="176"/>
      <c r="C26" s="268"/>
      <c r="D26" s="176"/>
      <c r="E26" s="211"/>
      <c r="F26" s="30"/>
      <c r="G26" s="210"/>
      <c r="H26" s="176"/>
      <c r="I26" s="30"/>
      <c r="J26" s="200"/>
      <c r="K26" s="30"/>
    </row>
    <row r="27" spans="1:11" s="7" customFormat="1" ht="19.95" customHeight="1">
      <c r="A27" s="210">
        <v>2</v>
      </c>
      <c r="B27" s="176"/>
      <c r="C27" s="268"/>
      <c r="D27" s="176"/>
      <c r="E27" s="211"/>
      <c r="F27" s="30"/>
      <c r="G27" s="210"/>
      <c r="H27" s="176"/>
      <c r="I27" s="30"/>
      <c r="J27" s="200"/>
      <c r="K27" s="30"/>
    </row>
    <row r="28" spans="1:11" s="7" customFormat="1" ht="19.95" customHeight="1">
      <c r="A28" s="210">
        <v>3</v>
      </c>
      <c r="B28" s="176"/>
      <c r="C28" s="268"/>
      <c r="D28" s="176"/>
      <c r="E28" s="211"/>
      <c r="F28" s="30"/>
      <c r="G28" s="210"/>
      <c r="H28" s="176"/>
      <c r="I28" s="30"/>
      <c r="J28" s="200"/>
      <c r="K28" s="30"/>
    </row>
    <row r="29" spans="1:11" s="7" customFormat="1" ht="19.95" customHeight="1">
      <c r="A29" s="210">
        <v>4</v>
      </c>
      <c r="B29" s="176"/>
      <c r="C29" s="268"/>
      <c r="D29" s="176"/>
      <c r="E29" s="211"/>
      <c r="F29" s="30"/>
      <c r="G29" s="210"/>
      <c r="H29" s="176"/>
      <c r="I29" s="30"/>
      <c r="J29" s="312"/>
      <c r="K29" s="30"/>
    </row>
    <row r="30" spans="1:11" s="7" customFormat="1" ht="19.95" customHeight="1">
      <c r="A30" s="210">
        <v>5</v>
      </c>
      <c r="B30" s="176"/>
      <c r="C30" s="268"/>
      <c r="D30" s="176"/>
      <c r="E30" s="211"/>
      <c r="F30" s="30"/>
      <c r="G30" s="210"/>
      <c r="H30" s="176"/>
      <c r="I30" s="30"/>
      <c r="J30" s="312"/>
      <c r="K30" s="30"/>
    </row>
    <row r="31" spans="1:11" s="7" customFormat="1" ht="19.95" customHeight="1">
      <c r="A31" s="210">
        <v>6</v>
      </c>
      <c r="B31" s="176"/>
      <c r="C31" s="268"/>
      <c r="D31" s="176"/>
      <c r="E31" s="211"/>
      <c r="F31" s="30"/>
      <c r="G31" s="210"/>
      <c r="H31" s="176"/>
      <c r="I31" s="30"/>
      <c r="J31" s="312"/>
      <c r="K31" s="30"/>
    </row>
    <row r="32" spans="1:11" s="7" customFormat="1" ht="19.95" customHeight="1">
      <c r="A32" s="210">
        <v>7</v>
      </c>
      <c r="B32" s="176"/>
      <c r="C32" s="268"/>
      <c r="D32" s="176"/>
      <c r="E32" s="211"/>
      <c r="F32" s="30"/>
      <c r="G32" s="210"/>
      <c r="H32" s="176"/>
      <c r="I32" s="30"/>
      <c r="J32" s="200"/>
      <c r="K32" s="30"/>
    </row>
    <row r="33" spans="1:11" s="7" customFormat="1" ht="19.95" customHeight="1">
      <c r="A33" s="210">
        <v>8</v>
      </c>
      <c r="B33" s="176"/>
      <c r="C33" s="268"/>
      <c r="D33" s="176"/>
      <c r="E33" s="211"/>
      <c r="F33" s="30"/>
      <c r="G33" s="210"/>
      <c r="H33" s="176"/>
      <c r="I33" s="30"/>
      <c r="J33" s="200"/>
      <c r="K33" s="30"/>
    </row>
    <row r="34" spans="1:11" s="7" customFormat="1" ht="19.95" customHeight="1">
      <c r="A34" s="210">
        <v>9</v>
      </c>
      <c r="B34" s="176"/>
      <c r="C34" s="268"/>
      <c r="D34" s="176"/>
      <c r="E34" s="211"/>
      <c r="F34" s="30"/>
      <c r="G34" s="210"/>
      <c r="H34" s="176"/>
      <c r="I34" s="30"/>
      <c r="J34" s="312"/>
      <c r="K34" s="30"/>
    </row>
    <row r="35" spans="1:11" s="7" customFormat="1" ht="19.95" customHeight="1">
      <c r="A35" s="210">
        <v>10</v>
      </c>
      <c r="B35" s="176"/>
      <c r="C35" s="268"/>
      <c r="D35" s="176"/>
      <c r="E35" s="211"/>
      <c r="F35" s="30"/>
      <c r="G35" s="210"/>
      <c r="H35" s="176"/>
      <c r="I35" s="30"/>
      <c r="J35" s="232"/>
      <c r="K35" s="30"/>
    </row>
    <row r="36" spans="1:11" s="7" customFormat="1" ht="19.95" customHeight="1">
      <c r="A36" s="210" t="s">
        <v>291</v>
      </c>
      <c r="B36" s="176"/>
      <c r="C36" s="268"/>
      <c r="D36" s="176"/>
      <c r="E36" s="211"/>
      <c r="F36" s="30"/>
      <c r="G36" s="210"/>
      <c r="H36" s="176"/>
      <c r="I36" s="30"/>
      <c r="J36" s="232"/>
      <c r="K36" s="30"/>
    </row>
    <row r="37" spans="1:11" s="7" customFormat="1" ht="19.95" customHeight="1">
      <c r="A37" s="83" t="s">
        <v>38</v>
      </c>
      <c r="B37" s="15"/>
      <c r="C37" s="15"/>
      <c r="D37" s="15"/>
      <c r="E37" s="15"/>
      <c r="F37" s="15"/>
      <c r="G37" s="15"/>
      <c r="H37" s="15"/>
      <c r="I37" s="15"/>
      <c r="J37" s="15"/>
    </row>
    <row r="38" spans="1:11" s="7" customFormat="1" ht="19.95" customHeight="1"/>
    <row r="39" spans="1:11" s="7" customFormat="1" ht="19.95" customHeight="1"/>
    <row r="40" spans="1:11" s="7" customFormat="1" ht="19.95" customHeight="1">
      <c r="A40" s="84" t="s">
        <v>76</v>
      </c>
    </row>
    <row r="41" spans="1:11" s="7" customFormat="1" ht="19.95" customHeight="1"/>
    <row r="42" spans="1:11">
      <c r="A42" s="7"/>
      <c r="B42" s="7"/>
      <c r="C42" s="7"/>
      <c r="D42" s="7"/>
      <c r="E42" s="7"/>
      <c r="F42" s="7"/>
      <c r="G42" s="7"/>
      <c r="H42" s="7"/>
      <c r="I42" s="7"/>
      <c r="J42" s="7"/>
    </row>
    <row r="43" spans="1:11">
      <c r="A43" s="156"/>
      <c r="C43" s="7"/>
      <c r="D43" s="7"/>
      <c r="E43" s="7"/>
      <c r="F43" s="7"/>
      <c r="G43" s="7"/>
      <c r="H43" s="7"/>
      <c r="I43" s="7"/>
      <c r="J43" s="7"/>
    </row>
    <row r="44" spans="1:11">
      <c r="A44" s="7"/>
      <c r="B44" s="7"/>
      <c r="C44" s="7"/>
      <c r="D44" s="7"/>
      <c r="E44" s="7"/>
      <c r="F44" s="7"/>
      <c r="G44" s="7"/>
      <c r="H44" s="7"/>
      <c r="I44" s="7"/>
      <c r="J44" s="7"/>
    </row>
  </sheetData>
  <mergeCells count="8">
    <mergeCell ref="A1:K1"/>
    <mergeCell ref="A2:K2"/>
    <mergeCell ref="K12:K13"/>
    <mergeCell ref="A12:A13"/>
    <mergeCell ref="G12:I12"/>
    <mergeCell ref="J12:J13"/>
    <mergeCell ref="B12:F12"/>
    <mergeCell ref="A10:K10"/>
  </mergeCells>
  <phoneticPr fontId="31" type="noConversion"/>
  <dataValidations count="1">
    <dataValidation type="list" allowBlank="1" showInputMessage="1" showErrorMessage="1" sqref="J14:J24 J26:J36">
      <formula1>"√,×"</formula1>
    </dataValidation>
  </dataValidations>
  <hyperlinks>
    <hyperlink ref="K3" location="底稿目录!A1" display="底稿目录!A1"/>
  </hyperlinks>
  <printOptions horizontalCentered="1"/>
  <pageMargins left="0.74803149606299213" right="0.39370078740157483" top="0.59055118110236227" bottom="0.31496062992125984" header="0.51181102362204722" footer="0.23622047244094491"/>
  <pageSetup paperSize="9" scale="80" fitToHeight="2" orientation="portrait" blackAndWhite="1" r:id="rId1"/>
  <headerFooter alignWithMargins="0">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L44"/>
  <sheetViews>
    <sheetView view="pageBreakPreview" zoomScaleNormal="130" zoomScaleSheetLayoutView="100" workbookViewId="0">
      <selection sqref="A1:K1"/>
    </sheetView>
  </sheetViews>
  <sheetFormatPr defaultColWidth="9.109375" defaultRowHeight="15.6"/>
  <cols>
    <col min="1" max="1" width="6.109375" style="14" customWidth="1"/>
    <col min="2" max="4" width="11.44140625" style="14" customWidth="1"/>
    <col min="5" max="5" width="9.5546875" style="14" customWidth="1"/>
    <col min="6" max="6" width="10" style="14" customWidth="1"/>
    <col min="7" max="7" width="14" style="14" customWidth="1"/>
    <col min="8" max="8" width="10.33203125" style="14" customWidth="1"/>
    <col min="9" max="9" width="12" style="14" customWidth="1"/>
    <col min="10" max="10" width="5.88671875" style="14" customWidth="1"/>
    <col min="11" max="11" width="11" style="14" customWidth="1"/>
    <col min="12" max="16384" width="9.109375" style="14"/>
  </cols>
  <sheetData>
    <row r="1" spans="1:12" s="6" customFormat="1" ht="19.95" customHeight="1">
      <c r="A1" s="349" t="s">
        <v>0</v>
      </c>
      <c r="B1" s="349"/>
      <c r="C1" s="349"/>
      <c r="D1" s="349"/>
      <c r="E1" s="349"/>
      <c r="F1" s="349"/>
      <c r="G1" s="349"/>
      <c r="H1" s="349"/>
      <c r="I1" s="349"/>
      <c r="J1" s="349"/>
      <c r="K1" s="349"/>
    </row>
    <row r="2" spans="1:12" s="6" customFormat="1" ht="19.95" customHeight="1">
      <c r="A2" s="350" t="s">
        <v>222</v>
      </c>
      <c r="B2" s="350"/>
      <c r="C2" s="350"/>
      <c r="D2" s="350"/>
      <c r="E2" s="350"/>
      <c r="F2" s="350"/>
      <c r="G2" s="350"/>
      <c r="H2" s="350"/>
      <c r="I2" s="350"/>
      <c r="J2" s="350"/>
      <c r="K2" s="350"/>
    </row>
    <row r="3" spans="1:12" s="7" customFormat="1" ht="19.95" customHeight="1">
      <c r="A3" s="2" t="str">
        <f>底稿目录!A2</f>
        <v>被审计单位：</v>
      </c>
      <c r="B3" s="2"/>
      <c r="C3" s="2"/>
      <c r="D3" s="2"/>
      <c r="E3" s="3" t="str">
        <f>底稿目录!A4</f>
        <v>编制人：</v>
      </c>
      <c r="H3" s="94" t="str">
        <f>底稿目录!A5</f>
        <v>编制日期：</v>
      </c>
      <c r="J3" s="22" t="s">
        <v>29</v>
      </c>
      <c r="K3" s="294" t="str">
        <f>底稿目录!D12</f>
        <v>K8-6</v>
      </c>
    </row>
    <row r="4" spans="1:12" s="7" customFormat="1" ht="19.95" customHeight="1">
      <c r="A4" s="2" t="str">
        <f>底稿目录!A3</f>
        <v>会计期间：202X年度</v>
      </c>
      <c r="B4" s="2"/>
      <c r="C4" s="2"/>
      <c r="D4" s="2"/>
      <c r="E4" s="3" t="str">
        <f>底稿目录!A6</f>
        <v>复核人：</v>
      </c>
      <c r="H4" s="94" t="str">
        <f>底稿目录!A7</f>
        <v>复核日期：</v>
      </c>
      <c r="J4" s="22" t="s">
        <v>340</v>
      </c>
    </row>
    <row r="5" spans="1:12" s="25" customFormat="1" ht="19.95" customHeight="1">
      <c r="A5" s="23" t="s">
        <v>73</v>
      </c>
      <c r="B5" s="23"/>
      <c r="C5" s="23"/>
      <c r="D5" s="23"/>
      <c r="E5" s="24"/>
      <c r="F5" s="24"/>
      <c r="G5" s="24"/>
      <c r="H5" s="24"/>
      <c r="I5" s="24"/>
      <c r="J5" s="24"/>
    </row>
    <row r="6" spans="1:12" s="25" customFormat="1" ht="19.95" customHeight="1">
      <c r="A6" s="86" t="s">
        <v>219</v>
      </c>
      <c r="B6" s="86"/>
      <c r="C6" s="61"/>
      <c r="D6" s="61"/>
      <c r="F6" s="61"/>
      <c r="G6" s="61"/>
      <c r="H6" s="57"/>
      <c r="I6" s="61"/>
      <c r="J6" s="61"/>
    </row>
    <row r="7" spans="1:12" s="25" customFormat="1" ht="19.95" customHeight="1">
      <c r="A7" s="23" t="s">
        <v>31</v>
      </c>
      <c r="B7" s="23"/>
      <c r="C7" s="23"/>
      <c r="D7" s="23"/>
      <c r="E7" s="23"/>
      <c r="F7" s="23"/>
      <c r="G7" s="23"/>
      <c r="H7" s="23"/>
      <c r="I7" s="23"/>
      <c r="J7" s="23"/>
    </row>
    <row r="8" spans="1:12" s="25" customFormat="1" ht="27.6" customHeight="1">
      <c r="A8" s="402" t="s">
        <v>293</v>
      </c>
      <c r="B8" s="402"/>
      <c r="C8" s="402"/>
      <c r="D8" s="402"/>
      <c r="E8" s="402"/>
      <c r="F8" s="402"/>
      <c r="G8" s="402"/>
      <c r="H8" s="402"/>
      <c r="I8" s="402"/>
      <c r="J8" s="402"/>
      <c r="K8" s="402"/>
    </row>
    <row r="9" spans="1:12" s="25" customFormat="1" ht="19.95" customHeight="1">
      <c r="A9" s="91" t="s">
        <v>294</v>
      </c>
      <c r="C9" s="24"/>
      <c r="D9" s="24"/>
      <c r="F9" s="64"/>
      <c r="G9" s="64"/>
      <c r="H9" s="64"/>
      <c r="I9" s="64"/>
      <c r="J9" s="64"/>
    </row>
    <row r="10" spans="1:12" s="25" customFormat="1" ht="28.8" customHeight="1">
      <c r="A10" s="395" t="s">
        <v>285</v>
      </c>
      <c r="B10" s="395"/>
      <c r="C10" s="395"/>
      <c r="D10" s="395"/>
      <c r="E10" s="395"/>
      <c r="F10" s="395"/>
      <c r="G10" s="395"/>
      <c r="H10" s="395"/>
      <c r="I10" s="395"/>
      <c r="J10" s="395"/>
      <c r="K10" s="395"/>
      <c r="L10" s="274"/>
    </row>
    <row r="11" spans="1:12" s="25" customFormat="1" ht="19.95" customHeight="1">
      <c r="A11" s="23" t="s">
        <v>32</v>
      </c>
      <c r="B11" s="23"/>
      <c r="C11" s="23"/>
      <c r="D11" s="23"/>
      <c r="E11" s="26"/>
      <c r="F11" s="26"/>
      <c r="G11" s="26"/>
      <c r="H11" s="27"/>
      <c r="I11" s="28"/>
    </row>
    <row r="12" spans="1:12" s="245" customFormat="1" ht="19.95" customHeight="1">
      <c r="A12" s="397" t="s">
        <v>33</v>
      </c>
      <c r="B12" s="397" t="s">
        <v>34</v>
      </c>
      <c r="C12" s="398"/>
      <c r="D12" s="398"/>
      <c r="E12" s="399" t="s">
        <v>287</v>
      </c>
      <c r="F12" s="400"/>
      <c r="G12" s="400"/>
      <c r="H12" s="400"/>
      <c r="I12" s="401"/>
      <c r="J12" s="396" t="s">
        <v>35</v>
      </c>
      <c r="K12" s="396" t="s">
        <v>136</v>
      </c>
    </row>
    <row r="13" spans="1:12" s="245" customFormat="1" ht="19.95" customHeight="1">
      <c r="A13" s="398"/>
      <c r="B13" s="244" t="s">
        <v>74</v>
      </c>
      <c r="C13" s="244" t="s">
        <v>75</v>
      </c>
      <c r="D13" s="244" t="s">
        <v>37</v>
      </c>
      <c r="E13" s="244" t="s">
        <v>36</v>
      </c>
      <c r="F13" s="244" t="s">
        <v>42</v>
      </c>
      <c r="G13" s="244" t="s">
        <v>288</v>
      </c>
      <c r="H13" s="244" t="s">
        <v>289</v>
      </c>
      <c r="I13" s="244" t="s">
        <v>290</v>
      </c>
      <c r="J13" s="352"/>
      <c r="K13" s="352"/>
    </row>
    <row r="14" spans="1:12" s="7" customFormat="1" ht="19.95" customHeight="1">
      <c r="A14" s="210">
        <v>1</v>
      </c>
      <c r="B14" s="210"/>
      <c r="C14" s="176"/>
      <c r="D14" s="30"/>
      <c r="E14" s="176"/>
      <c r="F14" s="268"/>
      <c r="G14" s="176"/>
      <c r="H14" s="211"/>
      <c r="I14" s="30"/>
      <c r="J14" s="200"/>
      <c r="K14" s="30"/>
    </row>
    <row r="15" spans="1:12" s="7" customFormat="1" ht="19.95" customHeight="1">
      <c r="A15" s="210">
        <v>2</v>
      </c>
      <c r="B15" s="210"/>
      <c r="C15" s="176"/>
      <c r="D15" s="30"/>
      <c r="E15" s="176"/>
      <c r="F15" s="268"/>
      <c r="G15" s="176"/>
      <c r="H15" s="211"/>
      <c r="I15" s="30"/>
      <c r="J15" s="200"/>
      <c r="K15" s="30"/>
    </row>
    <row r="16" spans="1:12" s="7" customFormat="1" ht="19.95" customHeight="1">
      <c r="A16" s="210">
        <v>3</v>
      </c>
      <c r="B16" s="210"/>
      <c r="C16" s="176"/>
      <c r="D16" s="30"/>
      <c r="E16" s="176"/>
      <c r="F16" s="268"/>
      <c r="G16" s="176"/>
      <c r="H16" s="211"/>
      <c r="I16" s="30"/>
      <c r="J16" s="200"/>
      <c r="K16" s="30"/>
    </row>
    <row r="17" spans="1:11" s="7" customFormat="1" ht="19.95" customHeight="1">
      <c r="A17" s="210">
        <v>4</v>
      </c>
      <c r="B17" s="210"/>
      <c r="C17" s="176"/>
      <c r="D17" s="30"/>
      <c r="E17" s="176"/>
      <c r="F17" s="268"/>
      <c r="G17" s="176"/>
      <c r="H17" s="211"/>
      <c r="I17" s="30"/>
      <c r="J17" s="312"/>
      <c r="K17" s="30"/>
    </row>
    <row r="18" spans="1:11" s="7" customFormat="1" ht="19.95" customHeight="1">
      <c r="A18" s="210">
        <v>5</v>
      </c>
      <c r="B18" s="210"/>
      <c r="C18" s="176"/>
      <c r="D18" s="30"/>
      <c r="E18" s="176"/>
      <c r="F18" s="268"/>
      <c r="G18" s="176"/>
      <c r="H18" s="211"/>
      <c r="I18" s="30"/>
      <c r="J18" s="312"/>
      <c r="K18" s="30"/>
    </row>
    <row r="19" spans="1:11" s="7" customFormat="1" ht="19.95" customHeight="1">
      <c r="A19" s="210">
        <v>6</v>
      </c>
      <c r="B19" s="210"/>
      <c r="C19" s="176"/>
      <c r="D19" s="30"/>
      <c r="E19" s="176"/>
      <c r="F19" s="268"/>
      <c r="G19" s="176"/>
      <c r="H19" s="211"/>
      <c r="I19" s="30"/>
      <c r="J19" s="312"/>
      <c r="K19" s="30"/>
    </row>
    <row r="20" spans="1:11" s="7" customFormat="1" ht="19.95" customHeight="1">
      <c r="A20" s="210">
        <v>7</v>
      </c>
      <c r="B20" s="210"/>
      <c r="C20" s="176"/>
      <c r="D20" s="30"/>
      <c r="E20" s="176"/>
      <c r="F20" s="268"/>
      <c r="G20" s="176"/>
      <c r="H20" s="211"/>
      <c r="I20" s="30"/>
      <c r="J20" s="312"/>
      <c r="K20" s="30"/>
    </row>
    <row r="21" spans="1:11" s="7" customFormat="1" ht="19.95" customHeight="1">
      <c r="A21" s="210">
        <v>8</v>
      </c>
      <c r="B21" s="210"/>
      <c r="C21" s="176"/>
      <c r="D21" s="30"/>
      <c r="E21" s="176"/>
      <c r="F21" s="268"/>
      <c r="G21" s="176"/>
      <c r="H21" s="211"/>
      <c r="I21" s="30"/>
      <c r="J21" s="200"/>
      <c r="K21" s="30"/>
    </row>
    <row r="22" spans="1:11" s="7" customFormat="1" ht="19.95" customHeight="1">
      <c r="A22" s="210">
        <v>9</v>
      </c>
      <c r="B22" s="210"/>
      <c r="C22" s="176"/>
      <c r="D22" s="30"/>
      <c r="E22" s="176"/>
      <c r="F22" s="268"/>
      <c r="G22" s="176"/>
      <c r="H22" s="211"/>
      <c r="I22" s="30"/>
      <c r="J22" s="200"/>
      <c r="K22" s="30"/>
    </row>
    <row r="23" spans="1:11" s="7" customFormat="1" ht="19.95" customHeight="1">
      <c r="A23" s="210">
        <v>10</v>
      </c>
      <c r="B23" s="272"/>
      <c r="C23" s="270"/>
      <c r="D23" s="271"/>
      <c r="E23" s="176"/>
      <c r="F23" s="268"/>
      <c r="G23" s="176"/>
      <c r="H23" s="211"/>
      <c r="I23" s="30"/>
      <c r="J23" s="231"/>
      <c r="K23" s="273"/>
    </row>
    <row r="24" spans="1:11" s="7" customFormat="1" ht="19.95" customHeight="1">
      <c r="A24" s="210" t="s">
        <v>291</v>
      </c>
      <c r="B24" s="272"/>
      <c r="C24" s="270"/>
      <c r="D24" s="271"/>
      <c r="E24" s="176"/>
      <c r="F24" s="268"/>
      <c r="G24" s="176"/>
      <c r="H24" s="211"/>
      <c r="I24" s="30"/>
      <c r="J24" s="231"/>
      <c r="K24" s="273"/>
    </row>
    <row r="25" spans="1:11" s="7" customFormat="1" ht="19.95" customHeight="1">
      <c r="A25" s="88" t="s">
        <v>171</v>
      </c>
      <c r="B25" s="89"/>
      <c r="C25" s="89"/>
      <c r="D25" s="89"/>
      <c r="E25" s="89"/>
      <c r="F25" s="89"/>
      <c r="G25" s="89"/>
      <c r="H25" s="89"/>
      <c r="I25" s="89"/>
      <c r="J25" s="90"/>
      <c r="K25" s="90"/>
    </row>
    <row r="26" spans="1:11" s="7" customFormat="1" ht="19.95" customHeight="1">
      <c r="A26" s="210">
        <v>1</v>
      </c>
      <c r="B26" s="210"/>
      <c r="C26" s="176"/>
      <c r="D26" s="30"/>
      <c r="E26" s="176"/>
      <c r="F26" s="268"/>
      <c r="G26" s="176"/>
      <c r="H26" s="211"/>
      <c r="I26" s="30"/>
      <c r="J26" s="232"/>
      <c r="K26" s="30"/>
    </row>
    <row r="27" spans="1:11" s="7" customFormat="1" ht="19.95" customHeight="1">
      <c r="A27" s="210">
        <v>2</v>
      </c>
      <c r="B27" s="210"/>
      <c r="C27" s="176"/>
      <c r="D27" s="30"/>
      <c r="E27" s="176"/>
      <c r="F27" s="268"/>
      <c r="G27" s="176"/>
      <c r="H27" s="211"/>
      <c r="I27" s="30"/>
      <c r="J27" s="232"/>
      <c r="K27" s="30"/>
    </row>
    <row r="28" spans="1:11" s="7" customFormat="1" ht="19.95" customHeight="1">
      <c r="A28" s="210">
        <v>3</v>
      </c>
      <c r="B28" s="210"/>
      <c r="C28" s="176"/>
      <c r="D28" s="30"/>
      <c r="E28" s="176"/>
      <c r="F28" s="268"/>
      <c r="G28" s="176"/>
      <c r="H28" s="211"/>
      <c r="I28" s="30"/>
      <c r="J28" s="232"/>
      <c r="K28" s="30"/>
    </row>
    <row r="29" spans="1:11" s="7" customFormat="1" ht="19.95" customHeight="1">
      <c r="A29" s="210">
        <v>4</v>
      </c>
      <c r="B29" s="210"/>
      <c r="C29" s="176"/>
      <c r="D29" s="30"/>
      <c r="E29" s="176"/>
      <c r="F29" s="268"/>
      <c r="G29" s="176"/>
      <c r="H29" s="211"/>
      <c r="I29" s="30"/>
      <c r="J29" s="312"/>
      <c r="K29" s="30"/>
    </row>
    <row r="30" spans="1:11" s="7" customFormat="1" ht="19.95" customHeight="1">
      <c r="A30" s="210">
        <v>5</v>
      </c>
      <c r="B30" s="210"/>
      <c r="C30" s="176"/>
      <c r="D30" s="30"/>
      <c r="E30" s="176"/>
      <c r="F30" s="268"/>
      <c r="G30" s="176"/>
      <c r="H30" s="211"/>
      <c r="I30" s="30"/>
      <c r="J30" s="312"/>
      <c r="K30" s="30"/>
    </row>
    <row r="31" spans="1:11" s="7" customFormat="1" ht="19.95" customHeight="1">
      <c r="A31" s="210">
        <v>6</v>
      </c>
      <c r="B31" s="210"/>
      <c r="C31" s="176"/>
      <c r="D31" s="30"/>
      <c r="E31" s="176"/>
      <c r="F31" s="268"/>
      <c r="G31" s="176"/>
      <c r="H31" s="211"/>
      <c r="I31" s="30"/>
      <c r="J31" s="312"/>
      <c r="K31" s="30"/>
    </row>
    <row r="32" spans="1:11" s="7" customFormat="1" ht="19.95" customHeight="1">
      <c r="A32" s="210">
        <v>7</v>
      </c>
      <c r="B32" s="210"/>
      <c r="C32" s="176"/>
      <c r="D32" s="30"/>
      <c r="E32" s="176"/>
      <c r="F32" s="268"/>
      <c r="G32" s="176"/>
      <c r="H32" s="211"/>
      <c r="I32" s="30"/>
      <c r="J32" s="312"/>
      <c r="K32" s="30"/>
    </row>
    <row r="33" spans="1:11" s="7" customFormat="1" ht="19.95" customHeight="1">
      <c r="A33" s="210">
        <v>8</v>
      </c>
      <c r="B33" s="210"/>
      <c r="C33" s="176"/>
      <c r="D33" s="30"/>
      <c r="E33" s="176"/>
      <c r="F33" s="268"/>
      <c r="G33" s="176"/>
      <c r="H33" s="211"/>
      <c r="I33" s="30"/>
      <c r="J33" s="232"/>
      <c r="K33" s="30"/>
    </row>
    <row r="34" spans="1:11" s="7" customFormat="1" ht="19.95" customHeight="1">
      <c r="A34" s="210">
        <v>9</v>
      </c>
      <c r="B34" s="210"/>
      <c r="C34" s="176"/>
      <c r="D34" s="30"/>
      <c r="E34" s="176"/>
      <c r="F34" s="268"/>
      <c r="G34" s="176"/>
      <c r="H34" s="211"/>
      <c r="I34" s="30"/>
      <c r="J34" s="232"/>
      <c r="K34" s="30"/>
    </row>
    <row r="35" spans="1:11" s="7" customFormat="1" ht="19.95" customHeight="1">
      <c r="A35" s="210">
        <v>10</v>
      </c>
      <c r="B35" s="210"/>
      <c r="C35" s="176"/>
      <c r="D35" s="30"/>
      <c r="E35" s="176"/>
      <c r="F35" s="268"/>
      <c r="G35" s="176"/>
      <c r="H35" s="211"/>
      <c r="I35" s="30"/>
      <c r="J35" s="232"/>
      <c r="K35" s="30"/>
    </row>
    <row r="36" spans="1:11" s="7" customFormat="1" ht="19.95" customHeight="1">
      <c r="A36" s="210" t="s">
        <v>291</v>
      </c>
      <c r="B36" s="210"/>
      <c r="C36" s="176"/>
      <c r="D36" s="30"/>
      <c r="E36" s="176"/>
      <c r="F36" s="268"/>
      <c r="G36" s="176"/>
      <c r="H36" s="211"/>
      <c r="I36" s="30"/>
      <c r="J36" s="232"/>
      <c r="K36" s="30"/>
    </row>
    <row r="37" spans="1:11" s="7" customFormat="1" ht="19.95" customHeight="1">
      <c r="A37" s="275" t="s">
        <v>38</v>
      </c>
      <c r="B37" s="275"/>
      <c r="C37" s="275"/>
      <c r="D37" s="275"/>
      <c r="E37" s="175"/>
      <c r="F37" s="175"/>
      <c r="G37" s="175"/>
      <c r="H37" s="175"/>
      <c r="I37" s="175"/>
      <c r="J37" s="175"/>
    </row>
    <row r="38" spans="1:11" s="7" customFormat="1" ht="19.95" customHeight="1"/>
    <row r="39" spans="1:11" s="7" customFormat="1" ht="19.95" customHeight="1"/>
    <row r="40" spans="1:11" s="7" customFormat="1" ht="19.95" customHeight="1">
      <c r="A40" s="84" t="s">
        <v>76</v>
      </c>
      <c r="B40" s="84"/>
      <c r="C40" s="84"/>
      <c r="D40" s="84"/>
    </row>
    <row r="41" spans="1:11" s="7" customFormat="1" ht="19.95" customHeight="1"/>
    <row r="42" spans="1:11">
      <c r="A42" s="7"/>
      <c r="B42" s="7"/>
      <c r="C42" s="7"/>
      <c r="D42" s="7"/>
      <c r="E42" s="7"/>
      <c r="F42" s="7"/>
      <c r="G42" s="7"/>
      <c r="H42" s="7"/>
      <c r="I42" s="7"/>
      <c r="J42" s="7"/>
    </row>
    <row r="43" spans="1:11">
      <c r="A43" s="156"/>
      <c r="B43" s="7"/>
      <c r="C43" s="7"/>
      <c r="D43" s="7"/>
      <c r="F43" s="7"/>
      <c r="G43" s="7"/>
      <c r="H43" s="7"/>
      <c r="I43" s="7"/>
      <c r="J43" s="7"/>
    </row>
    <row r="44" spans="1:11">
      <c r="A44" s="7"/>
      <c r="B44" s="7"/>
      <c r="C44" s="7"/>
      <c r="D44" s="7"/>
      <c r="E44" s="7"/>
      <c r="F44" s="7"/>
      <c r="G44" s="7"/>
      <c r="H44" s="7"/>
      <c r="I44" s="7"/>
      <c r="J44" s="7"/>
    </row>
  </sheetData>
  <mergeCells count="9">
    <mergeCell ref="A1:K1"/>
    <mergeCell ref="A2:K2"/>
    <mergeCell ref="K12:K13"/>
    <mergeCell ref="A12:A13"/>
    <mergeCell ref="J12:J13"/>
    <mergeCell ref="B12:D12"/>
    <mergeCell ref="E12:I12"/>
    <mergeCell ref="A8:K8"/>
    <mergeCell ref="A10:K10"/>
  </mergeCells>
  <phoneticPr fontId="57" type="noConversion"/>
  <dataValidations count="1">
    <dataValidation type="list" allowBlank="1" showInputMessage="1" showErrorMessage="1" sqref="J14:J24 J26:J36">
      <formula1>"√,×"</formula1>
    </dataValidation>
  </dataValidations>
  <hyperlinks>
    <hyperlink ref="K3" location="底稿目录!A1" display="底稿目录!A1"/>
  </hyperlinks>
  <printOptions horizontalCentered="1"/>
  <pageMargins left="0.74803149606299213" right="0.39370078740157483" top="0.59055118110236227" bottom="0.31496062992125984" header="0.51181102362204722" footer="0.23622047244094491"/>
  <pageSetup paperSize="9" scale="80" fitToHeight="2" orientation="portrait" blackAndWhite="1" r:id="rId1"/>
  <headerFooter alignWithMargins="0">
    <oddFooter>&amp;C&amp;P/&amp;N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Q43"/>
  <sheetViews>
    <sheetView view="pageBreakPreview" zoomScaleSheetLayoutView="100" workbookViewId="0">
      <selection activeCell="Q3" sqref="Q3"/>
    </sheetView>
  </sheetViews>
  <sheetFormatPr defaultColWidth="9.109375" defaultRowHeight="15.6"/>
  <cols>
    <col min="1" max="1" width="9.88671875" style="14" customWidth="1"/>
    <col min="2" max="2" width="9.5546875" style="14" bestFit="1" customWidth="1"/>
    <col min="3" max="3" width="9.109375" style="14"/>
    <col min="4" max="4" width="16.5546875" style="14" customWidth="1"/>
    <col min="5" max="5" width="12.77734375" style="14" customWidth="1"/>
    <col min="6" max="6" width="13.88671875" style="14" customWidth="1"/>
    <col min="7" max="7" width="12.6640625" style="14" customWidth="1"/>
    <col min="8" max="8" width="13.77734375" style="14" customWidth="1"/>
    <col min="9" max="9" width="23.33203125" style="14" customWidth="1"/>
    <col min="10" max="14" width="4.44140625" style="14" customWidth="1"/>
    <col min="15" max="15" width="9.6640625" style="14" customWidth="1"/>
    <col min="16" max="16" width="7.77734375" style="14" customWidth="1"/>
    <col min="17" max="16384" width="9.109375" style="14"/>
  </cols>
  <sheetData>
    <row r="1" spans="1:17" s="31" customFormat="1" ht="19.95" customHeight="1">
      <c r="A1" s="412" t="s">
        <v>0</v>
      </c>
      <c r="B1" s="412"/>
      <c r="C1" s="412"/>
      <c r="D1" s="412"/>
      <c r="E1" s="412"/>
      <c r="F1" s="412"/>
      <c r="G1" s="412"/>
      <c r="H1" s="412"/>
      <c r="I1" s="412"/>
      <c r="J1" s="412"/>
      <c r="K1" s="412"/>
      <c r="L1" s="412"/>
      <c r="M1" s="412"/>
      <c r="N1" s="412"/>
      <c r="O1" s="412"/>
      <c r="P1" s="412"/>
      <c r="Q1" s="412"/>
    </row>
    <row r="2" spans="1:17" s="31" customFormat="1" ht="19.95" customHeight="1">
      <c r="A2" s="413" t="s">
        <v>295</v>
      </c>
      <c r="B2" s="413"/>
      <c r="C2" s="413"/>
      <c r="D2" s="413"/>
      <c r="E2" s="413"/>
      <c r="F2" s="413"/>
      <c r="G2" s="413"/>
      <c r="H2" s="413"/>
      <c r="I2" s="413"/>
      <c r="J2" s="413"/>
      <c r="K2" s="413"/>
      <c r="L2" s="413"/>
      <c r="M2" s="413"/>
      <c r="N2" s="413"/>
      <c r="O2" s="413"/>
      <c r="P2" s="413"/>
      <c r="Q2" s="413"/>
    </row>
    <row r="3" spans="1:17" s="7" customFormat="1" ht="19.95" customHeight="1">
      <c r="A3" s="2" t="str">
        <f>底稿目录!A2</f>
        <v>被审计单位：</v>
      </c>
      <c r="B3" s="2"/>
      <c r="C3" s="2"/>
      <c r="F3" s="3" t="str">
        <f>底稿目录!A4</f>
        <v>编制人：</v>
      </c>
      <c r="I3" s="94" t="str">
        <f>底稿目录!A5</f>
        <v>编制日期：</v>
      </c>
      <c r="J3" s="100"/>
      <c r="K3" s="100"/>
      <c r="P3" s="22" t="s">
        <v>170</v>
      </c>
      <c r="Q3" s="294" t="str">
        <f>底稿目录!D14</f>
        <v>K8-8</v>
      </c>
    </row>
    <row r="4" spans="1:17" s="7" customFormat="1" ht="19.95" customHeight="1">
      <c r="A4" s="2" t="str">
        <f>底稿目录!A3</f>
        <v>会计期间：202X年度</v>
      </c>
      <c r="B4" s="2"/>
      <c r="C4" s="4"/>
      <c r="F4" s="3" t="str">
        <f>底稿目录!A6</f>
        <v>复核人：</v>
      </c>
      <c r="I4" s="94" t="str">
        <f>底稿目录!A7</f>
        <v>复核日期：</v>
      </c>
      <c r="J4" s="100"/>
      <c r="K4" s="100"/>
      <c r="P4" s="22" t="s">
        <v>341</v>
      </c>
      <c r="Q4" s="33"/>
    </row>
    <row r="5" spans="1:17" s="25" customFormat="1" ht="19.95" customHeight="1">
      <c r="A5" s="34" t="s">
        <v>39</v>
      </c>
      <c r="B5" s="34"/>
      <c r="C5" s="35"/>
      <c r="D5" s="35"/>
      <c r="E5" s="35"/>
      <c r="F5" s="35"/>
      <c r="G5" s="35"/>
      <c r="H5" s="35"/>
      <c r="I5" s="35"/>
      <c r="J5" s="35"/>
      <c r="K5" s="35"/>
      <c r="L5" s="35"/>
    </row>
    <row r="6" spans="1:17" s="25" customFormat="1" ht="19.95" customHeight="1">
      <c r="A6" s="103" t="s">
        <v>317</v>
      </c>
      <c r="B6" s="103"/>
      <c r="C6" s="7"/>
      <c r="D6" s="7"/>
      <c r="E6" s="7"/>
      <c r="F6" s="7"/>
      <c r="G6" s="7"/>
      <c r="H6" s="7"/>
      <c r="I6" s="7"/>
      <c r="J6" s="7"/>
      <c r="K6" s="7"/>
      <c r="M6" s="53"/>
    </row>
    <row r="7" spans="1:17" s="25" customFormat="1" ht="19.95" customHeight="1">
      <c r="A7" s="103" t="s">
        <v>346</v>
      </c>
      <c r="B7" s="103"/>
      <c r="C7" s="7"/>
      <c r="D7" s="7"/>
      <c r="E7" s="7"/>
      <c r="F7" s="7"/>
      <c r="G7" s="7"/>
      <c r="H7" s="7"/>
      <c r="I7" s="7"/>
      <c r="J7" s="7"/>
      <c r="K7" s="7"/>
      <c r="M7" s="53"/>
    </row>
    <row r="8" spans="1:17" s="25" customFormat="1" ht="19.95" customHeight="1">
      <c r="A8" s="34" t="s">
        <v>40</v>
      </c>
      <c r="B8" s="34"/>
      <c r="C8" s="35"/>
      <c r="D8" s="35"/>
      <c r="E8" s="199"/>
      <c r="F8" s="35"/>
      <c r="G8" s="35"/>
      <c r="H8" s="35"/>
      <c r="I8" s="35"/>
      <c r="J8" s="35"/>
      <c r="K8" s="35"/>
      <c r="L8" s="35"/>
    </row>
    <row r="9" spans="1:17" s="25" customFormat="1" ht="19.95" customHeight="1">
      <c r="A9" s="199" t="s">
        <v>318</v>
      </c>
      <c r="B9" s="199"/>
      <c r="C9" s="35"/>
      <c r="D9" s="35"/>
      <c r="E9" s="199"/>
      <c r="F9" s="35"/>
      <c r="G9" s="35"/>
      <c r="H9" s="35"/>
      <c r="I9" s="35"/>
      <c r="J9" s="35"/>
      <c r="K9" s="35"/>
      <c r="L9" s="35"/>
    </row>
    <row r="10" spans="1:17" s="25" customFormat="1" ht="19.95" customHeight="1">
      <c r="A10" s="285" t="s">
        <v>240</v>
      </c>
      <c r="B10" s="286" t="s">
        <v>241</v>
      </c>
      <c r="C10" s="287"/>
      <c r="D10" s="287"/>
      <c r="E10" s="287"/>
      <c r="F10" s="285"/>
      <c r="G10" s="285" t="s">
        <v>242</v>
      </c>
      <c r="H10" s="286" t="s">
        <v>243</v>
      </c>
      <c r="I10" s="287"/>
      <c r="J10" s="288"/>
      <c r="K10" s="288"/>
      <c r="L10" s="288"/>
      <c r="M10" s="229"/>
      <c r="N10" s="229"/>
      <c r="O10" s="229"/>
      <c r="P10" s="229"/>
      <c r="Q10" s="229"/>
    </row>
    <row r="11" spans="1:17" s="25" customFormat="1" ht="19.95" customHeight="1">
      <c r="A11" s="285" t="s">
        <v>244</v>
      </c>
      <c r="B11" s="286" t="s">
        <v>245</v>
      </c>
      <c r="C11" s="287"/>
      <c r="D11" s="287"/>
      <c r="E11" s="287"/>
      <c r="F11" s="285"/>
      <c r="G11" s="285" t="s">
        <v>246</v>
      </c>
      <c r="H11" s="286" t="s">
        <v>247</v>
      </c>
      <c r="I11" s="286" t="s">
        <v>248</v>
      </c>
      <c r="J11" s="288"/>
      <c r="K11" s="288"/>
      <c r="L11" s="289"/>
      <c r="M11" s="229"/>
      <c r="N11" s="229"/>
      <c r="O11" s="229"/>
      <c r="P11" s="229"/>
      <c r="Q11" s="229"/>
    </row>
    <row r="12" spans="1:17" s="25" customFormat="1" ht="19.95" customHeight="1">
      <c r="A12" s="285" t="s">
        <v>249</v>
      </c>
      <c r="B12" s="322" t="s">
        <v>367</v>
      </c>
      <c r="C12" s="287"/>
      <c r="D12" s="287"/>
      <c r="E12" s="287"/>
      <c r="F12" s="285"/>
      <c r="G12" s="285" t="s">
        <v>250</v>
      </c>
      <c r="H12" s="286" t="s">
        <v>251</v>
      </c>
      <c r="I12" s="287"/>
      <c r="J12" s="288"/>
      <c r="K12" s="288"/>
      <c r="L12" s="289"/>
      <c r="M12" s="229"/>
      <c r="N12" s="229"/>
      <c r="O12" s="229"/>
      <c r="P12" s="229"/>
      <c r="Q12" s="229"/>
    </row>
    <row r="13" spans="1:17" s="25" customFormat="1" ht="19.95" customHeight="1">
      <c r="A13" s="290" t="s">
        <v>41</v>
      </c>
      <c r="B13" s="290"/>
      <c r="C13" s="226"/>
      <c r="D13" s="226"/>
      <c r="E13" s="227"/>
      <c r="F13" s="228"/>
      <c r="G13" s="228"/>
      <c r="H13" s="229"/>
      <c r="I13" s="229"/>
      <c r="J13" s="229"/>
      <c r="K13" s="229"/>
      <c r="L13" s="229"/>
      <c r="M13" s="229"/>
      <c r="N13" s="229"/>
      <c r="O13" s="229"/>
      <c r="P13" s="229"/>
      <c r="Q13" s="229"/>
    </row>
    <row r="14" spans="1:17" s="25" customFormat="1" ht="19.95" customHeight="1">
      <c r="A14" s="230" t="s">
        <v>257</v>
      </c>
      <c r="B14" s="92"/>
      <c r="C14" s="226"/>
      <c r="D14" s="226"/>
      <c r="E14" s="227"/>
      <c r="F14" s="228"/>
      <c r="G14" s="228"/>
      <c r="H14" s="229"/>
      <c r="I14" s="36"/>
      <c r="J14" s="36"/>
      <c r="K14" s="36"/>
      <c r="L14" s="36"/>
      <c r="M14" s="36"/>
      <c r="N14" s="36"/>
      <c r="O14" s="36"/>
      <c r="P14" s="36"/>
    </row>
    <row r="15" spans="1:17" s="7" customFormat="1" ht="19.95" customHeight="1">
      <c r="A15" s="347" t="s">
        <v>299</v>
      </c>
      <c r="B15" s="404" t="s">
        <v>296</v>
      </c>
      <c r="C15" s="404"/>
      <c r="D15" s="404"/>
      <c r="E15" s="404"/>
      <c r="F15" s="404"/>
      <c r="G15" s="404"/>
      <c r="H15" s="421" t="s">
        <v>300</v>
      </c>
      <c r="I15" s="421"/>
      <c r="J15" s="418" t="s">
        <v>301</v>
      </c>
      <c r="K15" s="419"/>
      <c r="L15" s="419"/>
      <c r="M15" s="419"/>
      <c r="N15" s="419"/>
      <c r="O15" s="420" t="s">
        <v>302</v>
      </c>
      <c r="P15" s="416" t="s">
        <v>303</v>
      </c>
      <c r="Q15" s="414" t="s">
        <v>304</v>
      </c>
    </row>
    <row r="16" spans="1:17" s="7" customFormat="1" ht="19.95" customHeight="1">
      <c r="A16" s="347"/>
      <c r="B16" s="307" t="s">
        <v>36</v>
      </c>
      <c r="C16" s="307" t="s">
        <v>42</v>
      </c>
      <c r="D16" s="307" t="s">
        <v>43</v>
      </c>
      <c r="E16" s="307" t="s">
        <v>44</v>
      </c>
      <c r="F16" s="307" t="s">
        <v>297</v>
      </c>
      <c r="G16" s="311" t="s">
        <v>298</v>
      </c>
      <c r="H16" s="421"/>
      <c r="I16" s="421"/>
      <c r="J16" s="308">
        <v>1</v>
      </c>
      <c r="K16" s="308">
        <v>2</v>
      </c>
      <c r="L16" s="308">
        <v>3</v>
      </c>
      <c r="M16" s="308">
        <v>4</v>
      </c>
      <c r="N16" s="308">
        <v>5</v>
      </c>
      <c r="O16" s="420"/>
      <c r="P16" s="417"/>
      <c r="Q16" s="415"/>
    </row>
    <row r="17" spans="1:17" s="7" customFormat="1" ht="19.95" customHeight="1">
      <c r="A17" s="102"/>
      <c r="B17" s="176"/>
      <c r="C17" s="210"/>
      <c r="D17" s="38"/>
      <c r="E17" s="37"/>
      <c r="F17" s="37"/>
      <c r="G17" s="101"/>
      <c r="H17" s="410" t="s">
        <v>306</v>
      </c>
      <c r="I17" s="411"/>
      <c r="J17" s="277"/>
      <c r="K17" s="277"/>
      <c r="L17" s="277"/>
      <c r="M17" s="277"/>
      <c r="N17" s="277"/>
      <c r="O17" s="276"/>
      <c r="P17" s="278"/>
      <c r="Q17" s="278"/>
    </row>
    <row r="18" spans="1:17" s="7" customFormat="1" ht="19.95" customHeight="1">
      <c r="A18" s="102"/>
      <c r="B18" s="176"/>
      <c r="C18" s="210"/>
      <c r="D18" s="38"/>
      <c r="E18" s="37"/>
      <c r="F18" s="37"/>
      <c r="G18" s="101"/>
      <c r="H18" s="408"/>
      <c r="I18" s="409"/>
      <c r="J18" s="277"/>
      <c r="K18" s="277"/>
      <c r="L18" s="277"/>
      <c r="M18" s="277"/>
      <c r="N18" s="277"/>
      <c r="O18" s="276"/>
      <c r="P18" s="278"/>
      <c r="Q18" s="278"/>
    </row>
    <row r="19" spans="1:17" s="7" customFormat="1" ht="19.95" customHeight="1">
      <c r="A19" s="102"/>
      <c r="B19" s="176"/>
      <c r="C19" s="210"/>
      <c r="D19" s="38"/>
      <c r="E19" s="37"/>
      <c r="F19" s="37"/>
      <c r="G19" s="101"/>
      <c r="H19" s="408"/>
      <c r="I19" s="409"/>
      <c r="J19" s="277"/>
      <c r="K19" s="277"/>
      <c r="L19" s="277"/>
      <c r="M19" s="277"/>
      <c r="N19" s="277"/>
      <c r="O19" s="276"/>
      <c r="P19" s="278"/>
      <c r="Q19" s="278"/>
    </row>
    <row r="20" spans="1:17" s="7" customFormat="1" ht="19.95" customHeight="1">
      <c r="A20" s="102"/>
      <c r="B20" s="176"/>
      <c r="C20" s="210"/>
      <c r="D20" s="38"/>
      <c r="E20" s="37"/>
      <c r="F20" s="37"/>
      <c r="G20" s="101"/>
      <c r="H20" s="408"/>
      <c r="I20" s="409"/>
      <c r="J20" s="277"/>
      <c r="K20" s="277"/>
      <c r="L20" s="277"/>
      <c r="M20" s="277"/>
      <c r="N20" s="277"/>
      <c r="O20" s="276"/>
      <c r="P20" s="278"/>
      <c r="Q20" s="278"/>
    </row>
    <row r="21" spans="1:17" s="7" customFormat="1" ht="19.95" customHeight="1">
      <c r="A21" s="102"/>
      <c r="B21" s="176"/>
      <c r="C21" s="210"/>
      <c r="D21" s="38"/>
      <c r="E21" s="37"/>
      <c r="F21" s="37"/>
      <c r="G21" s="101"/>
      <c r="H21" s="408"/>
      <c r="I21" s="409"/>
      <c r="J21" s="277"/>
      <c r="K21" s="277"/>
      <c r="L21" s="277"/>
      <c r="M21" s="277"/>
      <c r="N21" s="277"/>
      <c r="O21" s="276"/>
      <c r="P21" s="278"/>
      <c r="Q21" s="278"/>
    </row>
    <row r="22" spans="1:17" s="7" customFormat="1" ht="19.95" customHeight="1">
      <c r="A22" s="102"/>
      <c r="B22" s="176"/>
      <c r="C22" s="210"/>
      <c r="D22" s="38"/>
      <c r="E22" s="37"/>
      <c r="F22" s="37"/>
      <c r="G22" s="101"/>
      <c r="H22" s="408"/>
      <c r="I22" s="409"/>
      <c r="J22" s="277"/>
      <c r="K22" s="277"/>
      <c r="L22" s="277"/>
      <c r="M22" s="277"/>
      <c r="N22" s="277"/>
      <c r="O22" s="276"/>
      <c r="P22" s="278"/>
      <c r="Q22" s="278"/>
    </row>
    <row r="23" spans="1:17" s="7" customFormat="1" ht="19.95" customHeight="1">
      <c r="A23" s="102"/>
      <c r="B23" s="176"/>
      <c r="C23" s="210"/>
      <c r="D23" s="38"/>
      <c r="E23" s="37"/>
      <c r="F23" s="37"/>
      <c r="G23" s="101"/>
      <c r="H23" s="408"/>
      <c r="I23" s="409"/>
      <c r="J23" s="277"/>
      <c r="K23" s="277"/>
      <c r="L23" s="277"/>
      <c r="M23" s="277"/>
      <c r="N23" s="277"/>
      <c r="O23" s="276"/>
      <c r="P23" s="278"/>
      <c r="Q23" s="278"/>
    </row>
    <row r="24" spans="1:17" s="7" customFormat="1" ht="19.95" customHeight="1">
      <c r="A24" s="102"/>
      <c r="B24" s="176"/>
      <c r="C24" s="210"/>
      <c r="D24" s="38"/>
      <c r="E24" s="37"/>
      <c r="F24" s="37"/>
      <c r="G24" s="101"/>
      <c r="H24" s="408"/>
      <c r="I24" s="409"/>
      <c r="J24" s="277"/>
      <c r="K24" s="277"/>
      <c r="L24" s="277"/>
      <c r="M24" s="277"/>
      <c r="N24" s="277"/>
      <c r="O24" s="276"/>
      <c r="P24" s="278"/>
      <c r="Q24" s="278"/>
    </row>
    <row r="25" spans="1:17" s="7" customFormat="1" ht="19.95" customHeight="1">
      <c r="A25" s="102"/>
      <c r="B25" s="176"/>
      <c r="C25" s="210"/>
      <c r="D25" s="38"/>
      <c r="E25" s="37"/>
      <c r="F25" s="37"/>
      <c r="G25" s="101"/>
      <c r="H25" s="408"/>
      <c r="I25" s="409"/>
      <c r="J25" s="277"/>
      <c r="K25" s="277"/>
      <c r="L25" s="277"/>
      <c r="M25" s="277"/>
      <c r="N25" s="277"/>
      <c r="O25" s="276"/>
      <c r="P25" s="278"/>
      <c r="Q25" s="278"/>
    </row>
    <row r="26" spans="1:17" s="7" customFormat="1" ht="19.95" customHeight="1">
      <c r="A26" s="102"/>
      <c r="B26" s="176"/>
      <c r="C26" s="210"/>
      <c r="D26" s="38"/>
      <c r="E26" s="37"/>
      <c r="F26" s="37"/>
      <c r="G26" s="101"/>
      <c r="H26" s="408"/>
      <c r="I26" s="409"/>
      <c r="J26" s="277"/>
      <c r="K26" s="277"/>
      <c r="L26" s="277"/>
      <c r="M26" s="277"/>
      <c r="N26" s="277"/>
      <c r="O26" s="276"/>
      <c r="P26" s="278"/>
      <c r="Q26" s="278"/>
    </row>
    <row r="27" spans="1:17" s="7" customFormat="1" ht="19.95" customHeight="1">
      <c r="A27" s="102"/>
      <c r="B27" s="176"/>
      <c r="C27" s="210"/>
      <c r="D27" s="38"/>
      <c r="E27" s="37"/>
      <c r="F27" s="37"/>
      <c r="G27" s="101"/>
      <c r="H27" s="408"/>
      <c r="I27" s="409"/>
      <c r="J27" s="277"/>
      <c r="K27" s="277"/>
      <c r="L27" s="277"/>
      <c r="M27" s="277"/>
      <c r="N27" s="277"/>
      <c r="O27" s="276"/>
      <c r="P27" s="278"/>
      <c r="Q27" s="278"/>
    </row>
    <row r="28" spans="1:17" s="7" customFormat="1" ht="19.95" customHeight="1">
      <c r="A28" s="102"/>
      <c r="B28" s="176"/>
      <c r="C28" s="210"/>
      <c r="D28" s="38"/>
      <c r="E28" s="37"/>
      <c r="F28" s="37"/>
      <c r="G28" s="101"/>
      <c r="H28" s="408"/>
      <c r="I28" s="409"/>
      <c r="J28" s="277"/>
      <c r="K28" s="277"/>
      <c r="L28" s="277"/>
      <c r="M28" s="277"/>
      <c r="N28" s="277"/>
      <c r="O28" s="276"/>
      <c r="P28" s="278"/>
      <c r="Q28" s="278"/>
    </row>
    <row r="29" spans="1:17" s="7" customFormat="1" ht="19.95" customHeight="1">
      <c r="A29" s="102"/>
      <c r="B29" s="176"/>
      <c r="C29" s="210"/>
      <c r="D29" s="38"/>
      <c r="E29" s="37"/>
      <c r="F29" s="37"/>
      <c r="G29" s="101"/>
      <c r="H29" s="408"/>
      <c r="I29" s="409"/>
      <c r="J29" s="277"/>
      <c r="K29" s="277"/>
      <c r="L29" s="277"/>
      <c r="M29" s="277"/>
      <c r="N29" s="277"/>
      <c r="O29" s="276"/>
      <c r="P29" s="278"/>
      <c r="Q29" s="278"/>
    </row>
    <row r="30" spans="1:17" s="7" customFormat="1" ht="19.95" customHeight="1">
      <c r="A30" s="102"/>
      <c r="B30" s="176"/>
      <c r="C30" s="210"/>
      <c r="D30" s="38"/>
      <c r="E30" s="37"/>
      <c r="F30" s="37"/>
      <c r="G30" s="101"/>
      <c r="H30" s="408"/>
      <c r="I30" s="409"/>
      <c r="J30" s="277"/>
      <c r="K30" s="277"/>
      <c r="L30" s="277"/>
      <c r="M30" s="277"/>
      <c r="N30" s="277"/>
      <c r="O30" s="276"/>
      <c r="P30" s="278"/>
      <c r="Q30" s="278"/>
    </row>
    <row r="31" spans="1:17" s="7" customFormat="1" ht="19.95" customHeight="1">
      <c r="A31" s="102"/>
      <c r="B31" s="176"/>
      <c r="C31" s="210"/>
      <c r="D31" s="38"/>
      <c r="E31" s="37"/>
      <c r="F31" s="37"/>
      <c r="G31" s="101"/>
      <c r="H31" s="408"/>
      <c r="I31" s="409"/>
      <c r="J31" s="277"/>
      <c r="K31" s="277"/>
      <c r="L31" s="277"/>
      <c r="M31" s="277"/>
      <c r="N31" s="277"/>
      <c r="O31" s="276"/>
      <c r="P31" s="278"/>
      <c r="Q31" s="278"/>
    </row>
    <row r="32" spans="1:17" s="7" customFormat="1" ht="19.95" customHeight="1">
      <c r="A32" s="102"/>
      <c r="B32" s="176"/>
      <c r="C32" s="210"/>
      <c r="D32" s="38"/>
      <c r="E32" s="37"/>
      <c r="F32" s="37"/>
      <c r="G32" s="101"/>
      <c r="H32" s="408"/>
      <c r="I32" s="409"/>
      <c r="J32" s="277"/>
      <c r="K32" s="277"/>
      <c r="L32" s="277"/>
      <c r="M32" s="277"/>
      <c r="N32" s="277"/>
      <c r="O32" s="276"/>
      <c r="P32" s="278"/>
      <c r="Q32" s="278"/>
    </row>
    <row r="33" spans="1:17" s="7" customFormat="1" ht="19.95" customHeight="1">
      <c r="A33" s="102"/>
      <c r="B33" s="176"/>
      <c r="C33" s="210"/>
      <c r="D33" s="38"/>
      <c r="E33" s="37"/>
      <c r="F33" s="37"/>
      <c r="G33" s="101"/>
      <c r="H33" s="408"/>
      <c r="I33" s="409"/>
      <c r="J33" s="277"/>
      <c r="K33" s="277"/>
      <c r="L33" s="277"/>
      <c r="M33" s="277"/>
      <c r="N33" s="277"/>
      <c r="O33" s="276"/>
      <c r="P33" s="278"/>
      <c r="Q33" s="278"/>
    </row>
    <row r="34" spans="1:17" s="284" customFormat="1" ht="19.95" customHeight="1">
      <c r="A34" s="405" t="s">
        <v>305</v>
      </c>
      <c r="B34" s="405"/>
      <c r="C34" s="405"/>
      <c r="D34" s="405"/>
      <c r="E34" s="279"/>
      <c r="F34" s="279"/>
      <c r="G34" s="280">
        <f>SUM(G17:G33)</f>
        <v>0</v>
      </c>
      <c r="H34" s="403"/>
      <c r="I34" s="403"/>
      <c r="J34" s="282"/>
      <c r="K34" s="282"/>
      <c r="L34" s="282"/>
      <c r="M34" s="282"/>
      <c r="N34" s="282"/>
      <c r="O34" s="281"/>
      <c r="P34" s="283"/>
      <c r="Q34" s="283"/>
    </row>
    <row r="35" spans="1:17" s="284" customFormat="1" ht="19.95" customHeight="1">
      <c r="A35" s="405" t="s">
        <v>377</v>
      </c>
      <c r="B35" s="405"/>
      <c r="C35" s="405"/>
      <c r="D35" s="405"/>
      <c r="E35" s="279"/>
      <c r="F35" s="279"/>
      <c r="G35" s="280">
        <f>'明细表K8-2'!Q25</f>
        <v>0</v>
      </c>
      <c r="H35" s="406"/>
      <c r="I35" s="407"/>
      <c r="J35" s="282"/>
      <c r="K35" s="282"/>
      <c r="L35" s="282"/>
      <c r="M35" s="282"/>
      <c r="N35" s="282"/>
      <c r="O35" s="281"/>
      <c r="P35" s="283"/>
      <c r="Q35" s="283"/>
    </row>
    <row r="36" spans="1:17" s="284" customFormat="1" ht="19.95" customHeight="1">
      <c r="A36" s="405" t="s">
        <v>378</v>
      </c>
      <c r="B36" s="405"/>
      <c r="C36" s="405"/>
      <c r="D36" s="405"/>
      <c r="E36" s="279"/>
      <c r="F36" s="279"/>
      <c r="G36" s="321" t="e">
        <f>G34/G35</f>
        <v>#DIV/0!</v>
      </c>
      <c r="H36" s="406"/>
      <c r="I36" s="407"/>
      <c r="J36" s="282"/>
      <c r="K36" s="282"/>
      <c r="L36" s="282"/>
      <c r="M36" s="282"/>
      <c r="N36" s="282"/>
      <c r="O36" s="281"/>
      <c r="P36" s="283"/>
      <c r="Q36" s="283"/>
    </row>
    <row r="37" spans="1:17" s="7" customFormat="1" ht="19.95" customHeight="1">
      <c r="A37" s="290" t="s">
        <v>45</v>
      </c>
      <c r="B37" s="290"/>
      <c r="C37" s="175"/>
      <c r="D37" s="175"/>
      <c r="E37" s="175"/>
      <c r="F37" s="175"/>
      <c r="G37" s="175"/>
      <c r="H37" s="275"/>
      <c r="I37" s="202"/>
      <c r="J37" s="202"/>
      <c r="K37" s="155"/>
      <c r="L37" s="319"/>
      <c r="M37" s="319"/>
      <c r="N37" s="319"/>
      <c r="O37" s="319"/>
      <c r="P37" s="320"/>
    </row>
    <row r="38" spans="1:17" s="7" customFormat="1" ht="19.95" customHeight="1">
      <c r="A38" s="340" t="s">
        <v>376</v>
      </c>
      <c r="I38" s="202"/>
      <c r="J38" s="202"/>
      <c r="K38" s="39"/>
      <c r="L38" s="39"/>
      <c r="M38" s="39"/>
      <c r="N38" s="39"/>
      <c r="O38" s="39"/>
      <c r="P38" s="32"/>
    </row>
    <row r="39" spans="1:17" s="40" customFormat="1" ht="19.95" customHeight="1">
      <c r="I39" s="202"/>
      <c r="J39" s="202"/>
      <c r="K39" s="41"/>
      <c r="L39" s="41"/>
      <c r="M39" s="41"/>
      <c r="N39" s="41"/>
      <c r="O39" s="41"/>
      <c r="P39" s="41"/>
    </row>
    <row r="40" spans="1:17" s="7" customFormat="1" ht="19.95" customHeight="1">
      <c r="A40" s="84" t="s">
        <v>46</v>
      </c>
      <c r="B40" s="84"/>
      <c r="J40" s="32"/>
      <c r="K40" s="32"/>
      <c r="L40" s="32"/>
      <c r="M40" s="32"/>
      <c r="N40" s="32"/>
      <c r="O40" s="32"/>
      <c r="P40" s="32"/>
    </row>
    <row r="41" spans="1:17" s="7" customFormat="1" ht="19.95" customHeight="1">
      <c r="J41" s="32"/>
      <c r="K41" s="32"/>
      <c r="L41" s="32"/>
      <c r="M41" s="32"/>
      <c r="N41" s="32"/>
      <c r="O41" s="32"/>
      <c r="P41" s="32"/>
    </row>
    <row r="42" spans="1:17" s="7" customFormat="1" ht="18" customHeight="1">
      <c r="A42" s="39"/>
      <c r="B42" s="39"/>
      <c r="D42" s="32"/>
      <c r="E42" s="32"/>
      <c r="F42" s="32"/>
      <c r="G42" s="32"/>
      <c r="H42" s="32"/>
      <c r="I42" s="32"/>
      <c r="J42" s="32"/>
      <c r="K42" s="32"/>
      <c r="L42" s="32"/>
      <c r="M42" s="32"/>
      <c r="N42" s="32"/>
      <c r="O42" s="32"/>
      <c r="P42" s="32"/>
    </row>
    <row r="43" spans="1:17" s="7" customFormat="1" ht="18" customHeight="1">
      <c r="A43" s="39"/>
      <c r="B43" s="39"/>
      <c r="D43" s="32"/>
      <c r="E43" s="32"/>
      <c r="F43" s="32"/>
      <c r="G43" s="32"/>
      <c r="H43" s="32"/>
      <c r="I43" s="32"/>
      <c r="J43" s="32"/>
      <c r="K43" s="32"/>
      <c r="L43" s="32"/>
      <c r="M43" s="32"/>
      <c r="N43" s="32"/>
      <c r="O43" s="32"/>
      <c r="P43" s="32"/>
    </row>
  </sheetData>
  <mergeCells count="32">
    <mergeCell ref="A1:Q1"/>
    <mergeCell ref="A2:Q2"/>
    <mergeCell ref="Q15:Q16"/>
    <mergeCell ref="A15:A16"/>
    <mergeCell ref="P15:P16"/>
    <mergeCell ref="J15:N15"/>
    <mergeCell ref="O15:O16"/>
    <mergeCell ref="H15:I16"/>
    <mergeCell ref="H31:I31"/>
    <mergeCell ref="H32:I32"/>
    <mergeCell ref="H33:I33"/>
    <mergeCell ref="H17:I17"/>
    <mergeCell ref="H18:I18"/>
    <mergeCell ref="H19:I19"/>
    <mergeCell ref="H27:I27"/>
    <mergeCell ref="H28:I28"/>
    <mergeCell ref="H34:I34"/>
    <mergeCell ref="B15:G15"/>
    <mergeCell ref="A34:D34"/>
    <mergeCell ref="A35:D35"/>
    <mergeCell ref="A36:D36"/>
    <mergeCell ref="H35:I35"/>
    <mergeCell ref="H36:I36"/>
    <mergeCell ref="H20:I20"/>
    <mergeCell ref="H21:I21"/>
    <mergeCell ref="H22:I22"/>
    <mergeCell ref="H23:I23"/>
    <mergeCell ref="H24:I24"/>
    <mergeCell ref="H25:I25"/>
    <mergeCell ref="H26:I26"/>
    <mergeCell ref="H29:I29"/>
    <mergeCell ref="H30:I30"/>
  </mergeCells>
  <phoneticPr fontId="5" type="noConversion"/>
  <dataValidations count="1">
    <dataValidation type="list" allowBlank="1" showInputMessage="1" showErrorMessage="1" sqref="J17:N36">
      <formula1>"√,X"</formula1>
    </dataValidation>
  </dataValidations>
  <hyperlinks>
    <hyperlink ref="Q3" location="底稿目录!A1" display="底稿目录!A1"/>
  </hyperlinks>
  <printOptions horizontalCentered="1"/>
  <pageMargins left="0.39370078740157483" right="0.39370078740157483" top="0.35433070866141736" bottom="0.27559055118110237" header="0.31496062992125984" footer="0.19685039370078741"/>
  <pageSetup paperSize="9" scale="80" orientation="landscape" blackAndWhite="1" r:id="rId1"/>
  <headerFooter alignWithMargins="0">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命名范围</vt:lpstr>
      </vt:variant>
      <vt:variant>
        <vt:i4>11</vt:i4>
      </vt:variant>
    </vt:vector>
  </HeadingPairs>
  <TitlesOfParts>
    <vt:vector size="23" baseType="lpstr">
      <vt:lpstr>底稿目录</vt:lpstr>
      <vt:lpstr>实质性程序表K8A</vt:lpstr>
      <vt:lpstr>审定表K8-1</vt:lpstr>
      <vt:lpstr>附注披露信息（上市公司）</vt:lpstr>
      <vt:lpstr>附注披露信息（国企）</vt:lpstr>
      <vt:lpstr>明细表K8-2</vt:lpstr>
      <vt:lpstr>调整分录汇总K8-3</vt:lpstr>
      <vt:lpstr>实质性分析K8-4</vt:lpstr>
      <vt:lpstr>合同检查表K8-5</vt:lpstr>
      <vt:lpstr>截止性测试(从记账凭证至原始凭证）K8-6</vt:lpstr>
      <vt:lpstr>截止性测试（从原始凭证至记账凭证）K8-7</vt:lpstr>
      <vt:lpstr>销售费用检查表K8-8</vt:lpstr>
      <vt:lpstr>'调整分录汇总K8-3'!Print_Area</vt:lpstr>
      <vt:lpstr>'合同检查表K8-5'!Print_Area</vt:lpstr>
      <vt:lpstr>'截止性测试(从记账凭证至原始凭证）K8-6'!Print_Area</vt:lpstr>
      <vt:lpstr>'截止性测试（从原始凭证至记账凭证）K8-7'!Print_Area</vt:lpstr>
      <vt:lpstr>'明细表K8-2'!Print_Area</vt:lpstr>
      <vt:lpstr>'审定表K8-1'!Print_Area</vt:lpstr>
      <vt:lpstr>实质性程序表K8A!Print_Area</vt:lpstr>
      <vt:lpstr>'实质性分析K8-4'!Print_Area</vt:lpstr>
      <vt:lpstr>'销售费用检查表K8-8'!Print_Area</vt:lpstr>
      <vt:lpstr>实质性程序表K8A!Print_Titles</vt:lpstr>
      <vt:lpstr>'实质性分析K8-4'!Print_Titles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李丽虹</dc:creator>
  <cp:lastModifiedBy>何先琴</cp:lastModifiedBy>
  <cp:lastPrinted>2025-10-22T02:52:08Z</cp:lastPrinted>
  <dcterms:created xsi:type="dcterms:W3CDTF">2013-12-07T13:11:27Z</dcterms:created>
  <dcterms:modified xsi:type="dcterms:W3CDTF">2025-11-05T07:25:49Z</dcterms:modified>
</cp:coreProperties>
</file>