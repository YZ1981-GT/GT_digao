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N 税金循环\"/>
    </mc:Choice>
  </mc:AlternateContent>
  <bookViews>
    <workbookView xWindow="0" yWindow="0" windowWidth="22188" windowHeight="8736" tabRatio="825"/>
  </bookViews>
  <sheets>
    <sheet name="底稿目录" sheetId="1" r:id="rId1"/>
    <sheet name="所得税审计程序表N5A" sheetId="30" r:id="rId2"/>
    <sheet name="所得税审计程序表N3A (原底稿)" sheetId="33" state="hidden" r:id="rId3"/>
    <sheet name="所得税费用审定表N5-1" sheetId="19" r:id="rId4"/>
    <sheet name="附注披露信息（上市公司）" sheetId="24" r:id="rId5"/>
    <sheet name="附注披露信息（国企" sheetId="23" r:id="rId6"/>
    <sheet name="所得税费用明细表N5-2" sheetId="32" r:id="rId7"/>
    <sheet name="调整分录汇总表N5-3" sheetId="31" r:id="rId8"/>
    <sheet name="当期所得税费用计算表N5-4" sheetId="34" r:id="rId9"/>
    <sheet name="纳税调整明细表N5-5" sheetId="35" r:id="rId10"/>
    <sheet name="税收优惠明细表N5-6" sheetId="36" r:id="rId11"/>
    <sheet name="加计扣除研发费用情况明细表N5-6-1" sheetId="37" r:id="rId12"/>
    <sheet name="高新技术企业认定条件检查表N5-6-2" sheetId="38" r:id="rId13"/>
    <sheet name="财产损失明细表N5-7" sheetId="39" r:id="rId14"/>
    <sheet name="递延所得税费用核对表N5-8" sheetId="40" r:id="rId15"/>
    <sheet name="GT_Custom" sheetId="25" state="hidden" r:id="rId16"/>
  </sheets>
  <externalReferences>
    <externalReference r:id="rId17"/>
    <externalReference r:id="rId18"/>
    <externalReference r:id="rId19"/>
    <externalReference r:id="rId20"/>
  </externalReferences>
  <definedNames>
    <definedName name="_.dbf" localSheetId="2">#REF!</definedName>
    <definedName name="_002年6月收入及成本报表" localSheetId="2">#REF!</definedName>
    <definedName name="_002年6月制造及辅助生产表" localSheetId="2">#REF!</definedName>
    <definedName name="_1.管理费收入20401.xls" localSheetId="2">#REF!</definedName>
    <definedName name="_13" localSheetId="2">#REF!</definedName>
    <definedName name="_19" localSheetId="2">#REF!</definedName>
    <definedName name="_1901借" localSheetId="2">#REF!</definedName>
    <definedName name="_1固定资产数据库_筛选打印" localSheetId="2">#REF!</definedName>
    <definedName name="_1余额表_一级_.dbf" localSheetId="2">#REF!</definedName>
    <definedName name="_209" localSheetId="2">#REF!</definedName>
    <definedName name="_2年裙房收入.dbf" localSheetId="2">#REF!</definedName>
    <definedName name="_2余额表_一级_.dbf" localSheetId="2">#REF!</definedName>
    <definedName name="_c600000" localSheetId="2">#REF!</definedName>
    <definedName name="_c65537" localSheetId="2">#REF!</definedName>
    <definedName name="_c65538" localSheetId="2">#REF!</definedName>
    <definedName name="_c65539" localSheetId="2">#REF!</definedName>
    <definedName name="_c65540" localSheetId="2">#REF!</definedName>
    <definedName name="_c65550" localSheetId="2">#REF!</definedName>
    <definedName name="_c655534" localSheetId="2">#REF!</definedName>
    <definedName name="_c655535" localSheetId="2">#REF!</definedName>
    <definedName name="_c655540" localSheetId="2">#REF!</definedName>
    <definedName name="_c66000" localSheetId="2">#REF!</definedName>
    <definedName name="_c69000" localSheetId="2">#REF!</definedName>
    <definedName name="_DAT10" localSheetId="2">'[1]收入明细－按客户'!#REF!</definedName>
    <definedName name="_DAT11" localSheetId="2">'[1]收入明细－按客户'!#REF!</definedName>
    <definedName name="_DAT12" localSheetId="2">'[1]收入明细－按客户'!#REF!</definedName>
    <definedName name="_DAT13" localSheetId="2">'[1]收入明细－按客户'!#REF!</definedName>
    <definedName name="_DAT16" localSheetId="2">'[1]收入明细－按客户'!#REF!</definedName>
    <definedName name="_DAT17" localSheetId="2">'[1]收入明细－按客户'!#REF!</definedName>
    <definedName name="_DAT3" localSheetId="2">'[1]收入明细－按客户'!#REF!</definedName>
    <definedName name="_DAT4" localSheetId="2">'[1]收入明细－按客户'!#REF!</definedName>
    <definedName name="_DAT5" localSheetId="2">'[1]收入明细－按客户'!#REF!</definedName>
    <definedName name="_DAT6" localSheetId="2">'[1]收入明细－按客户'!#REF!</definedName>
    <definedName name="_DAT7" localSheetId="2">'[1]收入明细－按客户'!#REF!</definedName>
    <definedName name="_SH1" localSheetId="2">#REF!</definedName>
    <definedName name="_UFP2005" localSheetId="2">#REF!</definedName>
    <definedName name="_yf.dbf" localSheetId="2">#REF!</definedName>
    <definedName name="_YS1" localSheetId="2">#REF!</definedName>
    <definedName name="_YS2" localSheetId="2">'[2]YS02-02'!#REF!</definedName>
    <definedName name="A" localSheetId="2">#REF!</definedName>
    <definedName name="actual" localSheetId="2">#REF!</definedName>
    <definedName name="approve" localSheetId="2">#REF!</definedName>
    <definedName name="ATTACH_A" localSheetId="2">'[3]Economic evaluation - FY98 base'!#REF!</definedName>
    <definedName name="B.dbf" localSheetId="2">#REF!</definedName>
    <definedName name="cp" localSheetId="2">#REF!</definedName>
    <definedName name="cus" localSheetId="2">#REF!</definedName>
    <definedName name="data" localSheetId="2">#REF!</definedName>
    <definedName name="data2" localSheetId="2">#REF!</definedName>
    <definedName name="DEPR_ALL" localSheetId="2">'[3]Economic evaluation - FY98 base'!#REF!</definedName>
    <definedName name="DEPR_BOOK" localSheetId="2">'[3]Economic evaluation - FY98 base'!#REF!</definedName>
    <definedName name="DEPR_TAX" localSheetId="2">'[3]Economic evaluation - FY98 base'!#REF!</definedName>
    <definedName name="dt.dbf" localSheetId="2">#REF!</definedName>
    <definedName name="duanqi" localSheetId="2">#REF!</definedName>
    <definedName name="ed" localSheetId="2">#REF!</definedName>
    <definedName name="er" localSheetId="2">#REF!</definedName>
    <definedName name="fix2000.dbf" localSheetId="2">#REF!</definedName>
    <definedName name="fixlj2000.dbf" localSheetId="2">#REF!</definedName>
    <definedName name="frst" localSheetId="2">#REF!,#REF!</definedName>
    <definedName name="F机器设备" localSheetId="2">#REF!</definedName>
    <definedName name="gdzc" localSheetId="2">#REF!</definedName>
    <definedName name="gg" localSheetId="2">#REF!</definedName>
    <definedName name="guding" localSheetId="2">#REF!</definedName>
    <definedName name="gx" localSheetId="2">#REF!</definedName>
    <definedName name="Header" localSheetId="2">#REF!</definedName>
    <definedName name="jb" localSheetId="2">#REF!</definedName>
    <definedName name="jbqt" localSheetId="2">#REF!</definedName>
    <definedName name="JTTT" localSheetId="2">#REF!</definedName>
    <definedName name="leijiu" localSheetId="2">#REF!</definedName>
    <definedName name="LIFE" localSheetId="2">'[3]Economic evaluation - FY98 base'!#REF!</definedName>
    <definedName name="lzy" localSheetId="2">#REF!</definedName>
    <definedName name="m" localSheetId="2">#REF!</definedName>
    <definedName name="MINORITY" localSheetId="2">'[3]Economic evaluation - FY98 base'!#REF!</definedName>
    <definedName name="n" localSheetId="2">#REF!</definedName>
    <definedName name="nfqt" localSheetId="2">#REF!</definedName>
    <definedName name="ok" localSheetId="2">#REF!</definedName>
    <definedName name="_xlnm.Print_Area" localSheetId="8">'当期所得税费用计算表N5-4'!$A$1:$E$78</definedName>
    <definedName name="_xlnm.Print_Area" localSheetId="14">'递延所得税费用核对表N5-8'!$A$1:$J$45</definedName>
    <definedName name="_xlnm.Print_Area" localSheetId="7">'调整分录汇总表N5-3'!$A$1:$J$26</definedName>
    <definedName name="_xlnm.Print_Area" localSheetId="5">'附注披露信息（国企'!$A$1:$D$42</definedName>
    <definedName name="_xlnm.Print_Area" localSheetId="4">'附注披露信息（上市公司）'!$A$1:$D$29</definedName>
    <definedName name="_xlnm.Print_Area" localSheetId="11">'加计扣除研发费用情况明细表N5-6-1'!$A$1:$F$43</definedName>
    <definedName name="_xlnm.Print_Area" localSheetId="9">'纳税调整明细表N5-5'!$A$1:$H$100</definedName>
    <definedName name="_xlnm.Print_Area" localSheetId="10">'税收优惠明细表N5-6'!$A$1:$F$52</definedName>
    <definedName name="_xlnm.Print_Area" localSheetId="6">'所得税费用明细表N5-2'!$A$1:$F$29</definedName>
    <definedName name="_xlnm.Print_Area" localSheetId="3">'所得税费用审定表N5-1'!$A$1:$N$22</definedName>
    <definedName name="_xlnm.Print_Area" localSheetId="2">'所得税审计程序表N3A (原底稿)'!$A$1:$J$51</definedName>
    <definedName name="_xlnm.Print_Area" localSheetId="1">所得税审计程序表N5A!$A$1:$J$28</definedName>
    <definedName name="PZ" localSheetId="2">#REF!</definedName>
    <definedName name="q" localSheetId="2">#REF!</definedName>
    <definedName name="qlzjt" localSheetId="2">#REF!</definedName>
    <definedName name="RawData" localSheetId="2">#REF!</definedName>
    <definedName name="s" localSheetId="2">#REF!</definedName>
    <definedName name="status" localSheetId="2">#REF!</definedName>
    <definedName name="sunyi" localSheetId="2">#REF!</definedName>
    <definedName name="TAX_BASE" localSheetId="2">'[3]Economic evaluation - FY98 base'!#REF!</definedName>
    <definedName name="TAX_INCR" localSheetId="2">'[3]Economic evaluation - FY98 base'!#REF!</definedName>
    <definedName name="to_day" localSheetId="2">#REF!</definedName>
    <definedName name="UFPrn20001231102643" localSheetId="2">#REF!</definedName>
    <definedName name="UFPrn20021003133638" localSheetId="2">#REF!</definedName>
    <definedName name="UFPrn20021121101037" localSheetId="2">#REF!</definedName>
    <definedName name="UFPrn20030109131425" localSheetId="2">#REF!</definedName>
    <definedName name="UFPrn20031010110458" localSheetId="2">#REF!</definedName>
    <definedName name="UFPrn20040105100138" localSheetId="2">#REF!</definedName>
    <definedName name="UFPrn20040105164953" localSheetId="2">#REF!</definedName>
    <definedName name="UFPrn20040112204621" localSheetId="2">#REF!</definedName>
    <definedName name="UFPrn20040112204659" localSheetId="2">#REF!</definedName>
    <definedName name="UFPrn20040112204721" localSheetId="2">#REF!</definedName>
    <definedName name="UFPrn20040112204802" localSheetId="2">#REF!</definedName>
    <definedName name="UFPrn20040112204848" localSheetId="2">#REF!</definedName>
    <definedName name="UFPrn20040112204938" localSheetId="2">#REF!</definedName>
    <definedName name="UFPrn20040112205009" localSheetId="2">#REF!</definedName>
    <definedName name="UFPrn20040112205036" localSheetId="2">#REF!</definedName>
    <definedName name="UFPrn20040112205154" localSheetId="2">#REF!</definedName>
    <definedName name="UFPrn20040112205239" localSheetId="2">#REF!</definedName>
    <definedName name="UFPrn20040112214910" localSheetId="2">#REF!</definedName>
    <definedName name="UFPrn20040309133831" localSheetId="2">#REF!</definedName>
    <definedName name="UFPrn20040309134648" localSheetId="2">#REF!</definedName>
    <definedName name="UFPrn20040713175708" localSheetId="2">#REF!</definedName>
    <definedName name="UFPrn20040913094254" localSheetId="2">#REF!</definedName>
    <definedName name="UFPrn20041231102042" localSheetId="2">#REF!</definedName>
    <definedName name="UFPrn20050101172948" localSheetId="2">#REF!</definedName>
    <definedName name="UFPrn20050101173025" localSheetId="2">#REF!</definedName>
    <definedName name="UFPrn20050110112821" localSheetId="2">#REF!</definedName>
    <definedName name="UFPrn20050120102833" localSheetId="2">#REF!</definedName>
    <definedName name="UFPrn20050128164121" localSheetId="2">#REF!</definedName>
    <definedName name="UFPrn20050128175031" localSheetId="2">#REF!</definedName>
    <definedName name="UFPrn20050205105236" localSheetId="2">#REF!</definedName>
    <definedName name="UFPrn20050221094743" localSheetId="2">#REF!</definedName>
    <definedName name="UFPrn20050302113807" localSheetId="2">#REF!</definedName>
    <definedName name="UFPrn20050314093520" localSheetId="2">#REF!</definedName>
    <definedName name="UFPrn20051010142547" localSheetId="2">#REF!</definedName>
    <definedName name="UFPrn20051011104943" localSheetId="2">#REF!</definedName>
    <definedName name="UFPrn20051013094846" localSheetId="2">#REF!</definedName>
    <definedName name="UFPrn20051013095211" localSheetId="2">#REF!</definedName>
    <definedName name="UFPrn20051013095420" localSheetId="2">#REF!</definedName>
    <definedName name="UFPrn20051013095531" localSheetId="2">#REF!</definedName>
    <definedName name="UFPrn20051102140838" localSheetId="2">#REF!</definedName>
    <definedName name="UFPrn20051104093329" localSheetId="2">#REF!</definedName>
    <definedName name="UFPrn20051208125706" localSheetId="2">#REF!</definedName>
    <definedName name="UFPrn20051208130014" localSheetId="2">#REF!</definedName>
    <definedName name="UFPrn20051209145321" localSheetId="2">#REF!</definedName>
    <definedName name="UFPrn20051211102139" localSheetId="2">#REF!</definedName>
    <definedName name="UFPrn2006" localSheetId="2">#REF!</definedName>
    <definedName name="UFPrn20060106165559" localSheetId="2">#REF!</definedName>
    <definedName name="UFPrn20060109164300" localSheetId="2">#REF!</definedName>
    <definedName name="UFPrn20060112150527" localSheetId="2">#REF!</definedName>
    <definedName name="UFPrn20060116153725" localSheetId="2">#REF!</definedName>
    <definedName name="UFPrn20060123162251" localSheetId="2">#REF!</definedName>
    <definedName name="UFPrn20060222131655" localSheetId="2">#REF!</definedName>
    <definedName name="UFPrn20060223102718" localSheetId="2">#REF!</definedName>
    <definedName name="UFPrn20060223111107" localSheetId="2">#REF!</definedName>
    <definedName name="UFPrn20060223111203" localSheetId="2">#REF!</definedName>
    <definedName name="UFPrn20060223111254" localSheetId="2">#REF!</definedName>
    <definedName name="UFPrn20060223111327" localSheetId="2">#REF!</definedName>
    <definedName name="UFPrn20060223111352" localSheetId="2">#REF!</definedName>
    <definedName name="UFPrn20060223111411" localSheetId="2">#REF!</definedName>
    <definedName name="UFPrn20060223111427" localSheetId="2">#REF!</definedName>
    <definedName name="UFPrn20060223123021" localSheetId="2">#REF!</definedName>
    <definedName name="UFPrn20061010151915" localSheetId="2">#REF!</definedName>
    <definedName name="UFPrn20061011165615" localSheetId="2">#REF!</definedName>
    <definedName name="UFPrn20061011165656" localSheetId="2">#REF!</definedName>
    <definedName name="UFPrn20061011171104" localSheetId="2">#REF!</definedName>
    <definedName name="UFPrn20061108133319" localSheetId="2">#REF!</definedName>
    <definedName name="U传导设备" localSheetId="2">#REF!</definedName>
    <definedName name="U电子设备" localSheetId="2">#REF!</definedName>
    <definedName name="U交通设备" localSheetId="2">#REF!</definedName>
    <definedName name="U楼房" localSheetId="2">#REF!</definedName>
    <definedName name="U其它设备" localSheetId="2">#REF!</definedName>
    <definedName name="weituo" localSheetId="2">#REF!</definedName>
    <definedName name="WORKSPACE" localSheetId="2">'[3]Economic evaluation - FY98 base'!#REF!</definedName>
    <definedName name="xm" localSheetId="2">#REF!</definedName>
    <definedName name="xng" localSheetId="2">#REF!</definedName>
    <definedName name="XREF_COLUMN_1" localSheetId="2">#REF!</definedName>
    <definedName name="XRefActiveRow" localSheetId="2">#REF!</definedName>
    <definedName name="XRefCopy1" localSheetId="2">#REF!</definedName>
    <definedName name="XRefCopy1Row" localSheetId="2">#REF!</definedName>
    <definedName name="XRefCopy2Row" localSheetId="2">#REF!</definedName>
    <definedName name="xx" localSheetId="2">#REF!</definedName>
    <definedName name="xxxChunkR16295C1" localSheetId="2">+#REF!+#REF!+#REF!+#REF!+#REF!+#REF!+#REF!+#REF!+#REF!+#REF!+#REF!+#REF!+#REF!+#REF!+#REF!+#REF!+#REF!+#REF!+#REF!+#REF!+#REF!+#REF!+#REF!+#REF!+#REF!+#REF!+#REF!+#REF!</definedName>
    <definedName name="xxxChunkR16299C1" localSheetId="2">+#REF!+#REF!+#REF!+#REF!+#REF!+#REF!+#REF!+#REF!+#REF!+#REF!+#REF!+#REF!+#REF!+#REF!+#REF!+#REF!+#REF!+#REF!+#REF!+#REF!+#REF!+#REF!+#REF!+#REF!+#REF!+#REF!+#REF!+#REF!</definedName>
    <definedName name="xxxChunkR16303C1" localSheetId="2">+#REF!+#REF!+#REF!+#REF!+#REF!+#REF!+#REF!+#REF!+#REF!+#REF!+#REF!+#REF!+#REF!+#REF!+#REF!+#REF!+#REF!+#REF!+#REF!+#REF!+#REF!+#REF!+#REF!+#REF!+#REF!+#REF!+#REF!+#REF!</definedName>
    <definedName name="xxxChunkR16307C1" localSheetId="2">+#REF!+#REF!+#REF!+#REF!+#REF!+#REF!+#REF!+#REF!+#REF!+#REF!+#REF!+#REF!+#REF!+#REF!+#REF!+#REF!+#REF!+#REF!+#REF!+#REF!+#REF!+#REF!+#REF!+#REF!+#REF!+#REF!+#REF!+#REF!</definedName>
    <definedName name="xxxChunkR16311C1" localSheetId="2">+#REF!+#REF!+#REF!+#REF!+#REF!+#REF!+#REF!+#REF!+#REF!+#REF!+#REF!+#REF!+#REF!+#REF!+#REF!+#REF!+#REF!+#REF!+#REF!+#REF!+#REF!+#REF!+#REF!+#REF!+#REF!+#REF!+#REF!+#REF!</definedName>
    <definedName name="xxxChunkR16314C1" localSheetId="2">+#REF!+#REF!+#REF!+#REF!+#REF!+#REF!+#REF!+#REF!+#REF!+#REF!+#REF!+#REF!+#REF!+#REF!+#REF!+#REF!+#REF!+#REF!+#REF!+#REF!+#REF!+#REF!+#REF!+#REF!+#REF!+#REF!+#REF!+#REF!+#REF!+#REF!+#REF!+#REF!+#REF!</definedName>
    <definedName name="xxxChunkR16317C1" localSheetId="2">+#REF!+#REF!+#REF!+#REF!+#REF!+#REF!+#REF!+#REF!+#REF!+#REF!+#REF!+#REF!+#REF!+#REF!+#REF!+#REF!+#REF!+#REF!+#REF!+#REF!+#REF!+#REF!+#REF!+#REF!+#REF!+#REF!+#REF!+#REF!+#REF!+#REF!+#REF!+#REF!+#REF!</definedName>
    <definedName name="xxxChunkR16320C1" localSheetId="2">+#REF!+#REF!+#REF!+#REF!+#REF!+#REF!+#REF!+#REF!+#REF!+#REF!+#REF!+#REF!+#REF!+#REF!+#REF!+#REF!+#REF!+#REF!+#REF!+#REF!+#REF!+#REF!+#REF!+#REF!+#REF!+#REF!+#REF!+#REF!+#REF!+#REF!+#REF!+#REF!+#REF!</definedName>
    <definedName name="xxxChunkR16323C1" localSheetId="2">+#REF!+#REF!+#REF!+#REF!+#REF!+#REF!+#REF!+#REF!+#REF!+#REF!+#REF!+#REF!+#REF!+#REF!+#REF!+#REF!+#REF!+#REF!+#REF!+#REF!+#REF!+#REF!+#REF!+#REF!+#REF!+#REF!+#REF!+#REF!+#REF!+#REF!+#REF!+#REF!+#REF!</definedName>
    <definedName name="xxxChunkR16326C1" localSheetId="2">+#REF!+#REF!+#REF!+#REF!+#REF!+#REF!+#REF!+#REF!+#REF!+#REF!+#REF!+#REF!+#REF!+#REF!+#REF!+#REF!+#REF!+#REF!+#REF!+#REF!+#REF!+#REF!+#REF!+#REF!+#REF!+#REF!+#REF!+#REF!+#REF!+#REF!+#REF!+#REF!+#REF!</definedName>
    <definedName name="xxxChunkR16329C1" localSheetId="2">+#REF!+#REF!+#REF!+#REF!+#REF!+#REF!+#REF!+#REF!+#REF!+#REF!+#REF!+#REF!+#REF!+#REF!+#REF!+#REF!+#REF!+#REF!+#REF!+#REF!+#REF!+#REF!+#REF!+#REF!+#REF!+#REF!+#REF!+#REF!+#REF!+#REF!+#REF!+#REF!+#REF!</definedName>
    <definedName name="xxxChunkR16331C1" localSheetId="2">+#REF!+#REF!+#REF!+#REF!+#REF!+#REF!+#REF!+#REF!+#REF!+#REF!+#REF!+#REF!+#REF!+#REF!+#REF!+#REF!+#REF!+#REF!+#REF!+#REF!+#REF!+#REF!+#REF!+#REF!</definedName>
    <definedName name="xxxChunkR16332C1" localSheetId="2">+#REF!+#REF!+#REF!+#REF!+#REF!+#REF!+#REF!+#REF!+#REF!+#REF!+#REF!+#REF!+#REF!+#REF!+#REF!+#REF!+#REF!+#REF!+#REF!+#REF!+#REF!+#REF!+#REF!+#REF!</definedName>
    <definedName name="xxxChunkR16333C1" localSheetId="2">+#REF!+#REF!+#REF!+#REF!+#REF!+#REF!+#REF!+#REF!+#REF!+#REF!+#REF!+#REF!+#REF!+#REF!+#REF!+#REF!+#REF!+#REF!+#REF!+#REF!+#REF!+#REF!+#REF!+#REF!</definedName>
    <definedName name="xxxChunkR16334C1" localSheetId="2">+#REF!+#REF!+#REF!+#REF!+#REF!+#REF!+#REF!+#REF!+#REF!+#REF!+#REF!+#REF!+#REF!+#REF!+#REF!+#REF!+#REF!+#REF!+#REF!+#REF!+#REF!+#REF!+#REF!+#REF!</definedName>
    <definedName name="xxxChunkR16335C1" localSheetId="2">+#REF!+#REF!+#REF!+#REF!+#REF!+#REF!+#REF!+#REF!+#REF!+#REF!+#REF!+#REF!+#REF!+#REF!+#REF!+#REF!+#REF!+#REF!+#REF!+#REF!+#REF!+#REF!+#REF!+#REF!</definedName>
    <definedName name="xxxChunkR16336C1" localSheetId="2">+#REF!+#REF!+#REF!+#REF!+#REF!+#REF!+#REF!+#REF!+#REF!+#REF!+#REF!+#REF!+#REF!+#REF!+#REF!+#REF!+#REF!+#REF!+#REF!+#REF!+#REF!+#REF!+#REF!+#REF!</definedName>
    <definedName name="xxxChunkR16337C1" localSheetId="2">+#REF!+#REF!+#REF!+#REF!+#REF!+#REF!+#REF!+#REF!+#REF!+#REF!+#REF!+#REF!+#REF!+#REF!+#REF!+#REF!+#REF!+#REF!+#REF!+#REF!+#REF!+#REF!+#REF!+#REF!</definedName>
    <definedName name="xxxChunkR16338C1" localSheetId="2">+#REF!+#REF!+#REF!+#REF!+#REF!+#REF!+#REF!+#REF!+#REF!+#REF!+#REF!+#REF!+#REF!+#REF!+#REF!+#REF!+#REF!+#REF!+#REF!+#REF!+#REF!+#REF!+#REF!+#REF!</definedName>
    <definedName name="xxxChunkR16339C1" localSheetId="2">+#REF!+#REF!+#REF!+#REF!+#REF!+#REF!+#REF!+#REF!+#REF!+#REF!+#REF!+#REF!+#REF!+#REF!+#REF!+#REF!+#REF!+#REF!+#REF!+#REF!+#REF!+#REF!+#REF!+#REF!</definedName>
    <definedName name="xxxChunkR16340C1" localSheetId="2">+#REF!+#REF!+#REF!+#REF!+#REF!+#REF!+#REF!+#REF!+#REF!+#REF!+#REF!+#REF!+#REF!+#REF!+#REF!+#REF!+#REF!+#REF!+#REF!+#REF!+#REF!+#REF!+#REF!+#REF!</definedName>
    <definedName name="xxxChunkR16341C1" localSheetId="2">+#REF!+#REF!+#REF!+#REF!+#REF!+#REF!+#REF!+#REF!+#REF!+#REF!+#REF!+#REF!+#REF!+#REF!+#REF!+#REF!+#REF!+#REF!+#REF!+#REF!+#REF!+#REF!+#REF!+#REF!</definedName>
    <definedName name="xxxChunkR16342C1" localSheetId="2">+#REF!+#REF!+#REF!+#REF!+#REF!+#REF!+#REF!+#REF!+#REF!+#REF!+#REF!+#REF!+#REF!+#REF!+#REF!+#REF!+#REF!+#REF!+#REF!+#REF!+#REF!+#REF!+#REF!+#REF!</definedName>
    <definedName name="xxxChunkR16343C1" localSheetId="2">+#REF!+#REF!+#REF!+#REF!+#REF!+#REF!+#REF!+#REF!+#REF!+#REF!+#REF!+#REF!+#REF!+#REF!+#REF!+#REF!+#REF!+#REF!+#REF!+#REF!+#REF!+#REF!+#REF!+#REF!</definedName>
    <definedName name="xxxChunkR16344C1" localSheetId="2">+#REF!+#REF!+#REF!+#REF!+#REF!+#REF!+#REF!+#REF!+#REF!+#REF!+#REF!+#REF!+#REF!+#REF!+#REF!+#REF!+#REF!+#REF!+#REF!+#REF!+#REF!+#REF!+#REF!+#REF!</definedName>
    <definedName name="xxxChunkR16345C1" localSheetId="2">+#REF!+#REF!+#REF!+#REF!+#REF!+#REF!+#REF!+#REF!+#REF!+#REF!+#REF!+#REF!+#REF!+#REF!+#REF!+#REF!+#REF!+#REF!+#REF!+#REF!+#REF!+#REF!+#REF!+#REF!</definedName>
    <definedName name="xxxChunkR16347C1" localSheetId="2">+#REF!+#REF!+#REF!+#REF!+#REF!+#REF!+#REF!+#REF!+#REF!+#REF!+#REF!+#REF!+#REF!+#REF!+#REF!+#REF!+#REF!+#REF!+#REF!+#REF!+#REF!+#REF!+#REF!+#REF!+#REF!+#REF!+#REF!+#REF!</definedName>
    <definedName name="xxxChunkR16349C1" localSheetId="2">+#REF!+#REF!+#REF!+#REF!+#REF!+#REF!+#REF!+#REF!+#REF!+#REF!+#REF!+#REF!+#REF!+#REF!+#REF!+#REF!+#REF!+#REF!+#REF!+#REF!+#REF!+#REF!+#REF!+#REF!+#REF!+#REF!+#REF!+#REF!</definedName>
    <definedName name="xxxChunkR16351C1" localSheetId="2">+#REF!+#REF!+#REF!+#REF!+#REF!+#REF!+#REF!+#REF!+#REF!+#REF!+#REF!+#REF!+#REF!+#REF!+#REF!+#REF!+#REF!+#REF!+#REF!+#REF!+#REF!+#REF!+#REF!+#REF!+#REF!+#REF!+#REF!+#REF!</definedName>
    <definedName name="xxxChunkR16353C1" localSheetId="2">+#REF!+#REF!+#REF!+#REF!+#REF!+#REF!+#REF!+#REF!+#REF!+#REF!+#REF!+#REF!+#REF!+#REF!+#REF!+#REF!+#REF!+#REF!+#REF!+#REF!+#REF!+#REF!+#REF!+#REF!+#REF!+#REF!+#REF!+#REF!</definedName>
    <definedName name="xxxChunkR16355C1" localSheetId="2">+#REF!+#REF!+#REF!+#REF!+#REF!+#REF!+#REF!+#REF!+#REF!+#REF!+#REF!+#REF!+#REF!+#REF!+#REF!+#REF!+#REF!+#REF!+#REF!+#REF!+#REF!+#REF!+#REF!+#REF!+#REF!+#REF!+#REF!+#REF!</definedName>
    <definedName name="xxxChunkR16357C1" localSheetId="2">+#REF!+#REF!+#REF!+#REF!+#REF!+#REF!+#REF!+#REF!+#REF!+#REF!+#REF!+#REF!+#REF!+#REF!+#REF!+#REF!+#REF!+#REF!+#REF!+#REF!+#REF!+#REF!+#REF!+#REF!+#REF!+#REF!+#REF!+#REF!</definedName>
    <definedName name="xxxChunkR16359C1" localSheetId="2">+#REF!+#REF!+#REF!+#REF!+#REF!+#REF!+#REF!+#REF!+#REF!+#REF!+#REF!+#REF!+#REF!+#REF!+#REF!+#REF!+#REF!+#REF!+#REF!+#REF!+#REF!+#REF!+#REF!+#REF!+#REF!+#REF!+#REF!+#REF!</definedName>
    <definedName name="xxxChunkR16361C1" localSheetId="2">+#REF!+#REF!+#REF!+#REF!+#REF!+#REF!+#REF!+#REF!+#REF!+#REF!+#REF!+#REF!+#REF!+#REF!+#REF!+#REF!+#REF!+#REF!+#REF!+#REF!+#REF!+#REF!+#REF!+#REF!+#REF!+#REF!+#REF!+#REF!</definedName>
    <definedName name="xxxChunkR16363C1" localSheetId="2">+#REF!+#REF!+#REF!+#REF!+#REF!+#REF!+#REF!+#REF!+#REF!+#REF!+#REF!+#REF!+#REF!+#REF!+#REF!+#REF!+#REF!+#REF!+#REF!+#REF!+#REF!+#REF!+#REF!+#REF!+#REF!+#REF!+#REF!+#REF!</definedName>
    <definedName name="xxxChunkR16365C1" localSheetId="2">+#REF!+#REF!+#REF!+#REF!+#REF!+#REF!+#REF!+#REF!+#REF!+#REF!+#REF!+#REF!+#REF!+#REF!+#REF!+#REF!+#REF!+#REF!+#REF!+#REF!+#REF!+#REF!+#REF!+#REF!+#REF!+#REF!+#REF!+#REF!</definedName>
    <definedName name="xxxChunkR16367C1" localSheetId="2">+#REF!+#REF!+#REF!+#REF!+#REF!+#REF!+#REF!+#REF!+#REF!+#REF!+#REF!+#REF!+#REF!+#REF!+#REF!+#REF!+#REF!+#REF!+#REF!+#REF!+#REF!+#REF!+#REF!+#REF!+#REF!+#REF!+#REF!+#REF!</definedName>
    <definedName name="xxxChunkR16369C1" localSheetId="2">+#REF!+#REF!+#REF!+#REF!+#REF!+#REF!+#REF!+#REF!+#REF!+#REF!+#REF!+#REF!+#REF!+#REF!+#REF!+#REF!+#REF!+#REF!+#REF!+#REF!+#REF!+#REF!+#REF!+#REF!+#REF!+#REF!+#REF!+#REF!</definedName>
    <definedName name="xxxChunkR16371C1" localSheetId="2">+#REF!+#REF!+#REF!+#REF!+#REF!+#REF!+#REF!+#REF!+#REF!+#REF!+#REF!+#REF!+#REF!+#REF!+#REF!+#REF!+#REF!+#REF!+#REF!+#REF!+#REF!+#REF!+#REF!+#REF!+#REF!+#REF!+#REF!+#REF!</definedName>
    <definedName name="xxxChunkR16373C1" localSheetId="2">+#REF!+#REF!+#REF!+#REF!+#REF!+#REF!+#REF!+#REF!+#REF!+#REF!+#REF!+#REF!+#REF!+#REF!+#REF!+#REF!+#REF!+#REF!+#REF!+#REF!+#REF!+#REF!+#REF!+#REF!+#REF!+#REF!+#REF!+#REF!</definedName>
    <definedName name="xxxChunkR16375C1" localSheetId="2">+#REF!+#REF!+#REF!+#REF!+#REF!+#REF!+#REF!+#REF!+#REF!+#REF!+#REF!+#REF!+#REF!+#REF!+#REF!+#REF!+#REF!+#REF!+#REF!+#REF!+#REF!+#REF!+#REF!+#REF!+#REF!+#REF!+#REF!+#REF!</definedName>
    <definedName name="xxxChunkR16376C1" localSheetId="2">+#REF!+#REF!+#REF!+#REF!+#REF!+#REF!+#REF!+#REF!+#REF!+#REF!+#REF!+#REF!+#REF!+#REF!+#REF!+#REF!+#REF!+#REF!+#REF!+#REF!+#REF!+#REF!+#REF!+#REF!+#REF!+#REF!+#REF!+#REF!+#REF!+#REF!+#REF!+#REF!+#REF!</definedName>
    <definedName name="xxxChunkR16377C1" localSheetId="2">+#REF!+#REF!+#REF!+#REF!+#REF!+#REF!+#REF!+#REF!+#REF!+#REF!+#REF!+#REF!+#REF!+#REF!+#REF!+#REF!+#REF!+#REF!+#REF!+#REF!+#REF!+#REF!+#REF!+#REF!+#REF!+#REF!+#REF!+#REF!+#REF!+#REF!+#REF!+#REF!+#REF!</definedName>
    <definedName name="xxxChunkR16378C1" localSheetId="2">+#REF!+#REF!+#REF!+#REF!+#REF!+#REF!+#REF!+#REF!+#REF!+#REF!+#REF!+#REF!+#REF!+#REF!+#REF!+#REF!+#REF!+#REF!+#REF!+#REF!+#REF!+#REF!+#REF!+#REF!+#REF!+#REF!+#REF!+#REF!+#REF!+#REF!+#REF!+#REF!+#REF!</definedName>
    <definedName name="xxxChunkR16379C1" localSheetId="2">+#REF!+#REF!+#REF!+#REF!+#REF!+#REF!+#REF!+#REF!+#REF!+#REF!+#REF!+#REF!+#REF!+#REF!+#REF!+#REF!+#REF!+#REF!+#REF!+#REF!+#REF!+#REF!+#REF!+#REF!+#REF!+#REF!+#REF!+#REF!+#REF!+#REF!+#REF!+#REF!+#REF!</definedName>
    <definedName name="xxxChunkR16380C1" localSheetId="2">+#REF!+#REF!+#REF!+#REF!+#REF!+#REF!+#REF!+#REF!+#REF!+#REF!+#REF!+#REF!+#REF!+#REF!+#REF!+#REF!+#REF!+#REF!+#REF!+#REF!+#REF!+#REF!+#REF!+#REF!+#REF!+#REF!+#REF!+#REF!+#REF!+#REF!+#REF!+#REF!+#REF!</definedName>
    <definedName name="xxxChunkR16381C1" localSheetId="2">+#REF!+#REF!+#REF!+#REF!+#REF!+#REF!+#REF!+#REF!+#REF!+#REF!+#REF!+#REF!+#REF!+#REF!+#REF!+#REF!+#REF!+#REF!+#REF!+#REF!+#REF!+#REF!+#REF!+#REF!+#REF!+#REF!+#REF!+#REF!+#REF!+#REF!+#REF!+#REF!+#REF!</definedName>
    <definedName name="xxxChunkR16382C1" localSheetId="2">+#REF!+#REF!+#REF!+#REF!+#REF!+#REF!+#REF!+#REF!+#REF!+#REF!+#REF!+#REF!+#REF!+#REF!+#REF!+#REF!+#REF!+#REF!+#REF!+#REF!+#REF!+#REF!+#REF!+#REF!+#REF!+#REF!+#REF!+#REF!+#REF!+#REF!+#REF!+#REF!+#REF!</definedName>
    <definedName name="xxxChunkR16383C1" localSheetId="2">+#REF!+#REF!+#REF!+#REF!+#REF!+#REF!+#REF!+#REF!+#REF!+#REF!+#REF!+#REF!+#REF!+#REF!+#REF!+#REF!+#REF!+#REF!+#REF!+#REF!+#REF!+#REF!+#REF!+#REF!+#REF!+#REF!+#REF!+#REF!+#REF!+#REF!+#REF!+#REF!+#REF!</definedName>
    <definedName name="xxxcji" localSheetId="2">'所得税审计程序表N3A (原底稿)'!xxxChunkR16363C1+#REF!+#REF!+#REF!+#REF!+#REF!+#REF!+#REF!+#REF!+#REF!+#REF!+#REF!+#REF!+#REF!+#REF!+#REF!+#REF!+#REF!+#REF!+#REF!+#REF!+#REF!+#REF!+#REF!+#REF!+#REF!+#REF!+#REF!</definedName>
    <definedName name="yh" localSheetId="2">#REF!</definedName>
    <definedName name="yingfu" localSheetId="2">#REF!</definedName>
    <definedName name="yingfugzi" localSheetId="2">#REF!</definedName>
    <definedName name="zaijian" localSheetId="2">#REF!</definedName>
    <definedName name="zjgch2000.dbf" localSheetId="2">#REF!</definedName>
    <definedName name="zjt" localSheetId="2">#REF!</definedName>
    <definedName name="包装组明细帐" localSheetId="2">#REF!</definedName>
    <definedName name="保管费清单" localSheetId="2">#REF!</definedName>
    <definedName name="报表" localSheetId="2">#REF!</definedName>
    <definedName name="本市" localSheetId="2">#REF!</definedName>
    <definedName name="不使用" localSheetId="2">#REF!</definedName>
    <definedName name="材料" localSheetId="2">#REF!</definedName>
    <definedName name="财务费用.dbf" localSheetId="2">#REF!</definedName>
    <definedName name="岑璐轶" localSheetId="2">#REF!</definedName>
    <definedName name="查询3" localSheetId="2">#REF!</definedName>
    <definedName name="陈勇" localSheetId="2">#REF!</definedName>
    <definedName name="陈勇11" localSheetId="2">#REF!</definedName>
    <definedName name="贷方" localSheetId="2">#REF!</definedName>
    <definedName name="待摊费用.dbf" localSheetId="2">#REF!</definedName>
    <definedName name="待摊费用明细帐.dbf" localSheetId="2">#REF!</definedName>
    <definedName name="待摊费用余额.dbf" localSheetId="2">#REF!</definedName>
    <definedName name="当前明细帐" localSheetId="2">#REF!</definedName>
    <definedName name="当前明细账" localSheetId="2">#REF!</definedName>
    <definedName name="东北区应收帐款.dbf" localSheetId="2">#REF!</definedName>
    <definedName name="东楼02年收入.dbf" localSheetId="2">#REF!</definedName>
    <definedName name="短期借款" localSheetId="2">#REF!</definedName>
    <definedName name="短期借款.dbf" localSheetId="2">#REF!</definedName>
    <definedName name="发生额及余额表" localSheetId="2">#REF!</definedName>
    <definedName name="分隔" localSheetId="2">#REF!</definedName>
    <definedName name="粉针车间明细帐" localSheetId="2">#REF!</definedName>
    <definedName name="辅助生产明细帐" localSheetId="2">#REF!</definedName>
    <definedName name="固定1" localSheetId="2">#REF!</definedName>
    <definedName name="固定5" localSheetId="2">#REF!</definedName>
    <definedName name="固定资产.dbf" localSheetId="2">#REF!</definedName>
    <definedName name="固定资产变动情况表" localSheetId="2">#REF!</definedName>
    <definedName name="固定资产价值结构分析表" localSheetId="2">#REF!</definedName>
    <definedName name="固定资产其他.dbf" localSheetId="2">#REF!</definedName>
    <definedName name="固定资产清单" localSheetId="2">#REF!</definedName>
    <definedName name="固定资产清理.xls" localSheetId="2">#REF!</definedName>
    <definedName name="固定资产运输.dbf" localSheetId="2">#REF!</definedName>
    <definedName name="固定资产折旧表" localSheetId="2">#REF!</definedName>
    <definedName name="管理费用11.dbf" localSheetId="2">#REF!</definedName>
    <definedName name="管理费用12.dbf" localSheetId="2">#REF!</definedName>
    <definedName name="和" localSheetId="2">#REF!</definedName>
    <definedName name="核算项目汇总表" localSheetId="2">#REF!</definedName>
    <definedName name="核算项目明细表" localSheetId="2">#REF!</definedName>
    <definedName name="核算项目明细账_1133" localSheetId="2">#REF!</definedName>
    <definedName name="核算项目余额表" localSheetId="2">#REF!</definedName>
    <definedName name="汇率" localSheetId="2">#REF!</definedName>
    <definedName name="计划" localSheetId="2">#REF!</definedName>
    <definedName name="胶囊车间明细帐" localSheetId="2">#REF!</definedName>
    <definedName name="金杯" localSheetId="2">#REF!</definedName>
    <definedName name="金融大厦02年收入.dbf" localSheetId="2">#REF!</definedName>
    <definedName name="看看" localSheetId="2">#REF!</definedName>
    <definedName name="科目余额表" localSheetId="2">#REF!</definedName>
    <definedName name="科目余额表1" localSheetId="2">#REF!</definedName>
    <definedName name="库.dbf" localSheetId="2">#REF!</definedName>
    <definedName name="库存商品" localSheetId="2">#REF!</definedName>
    <definedName name="库存商品.dbf" localSheetId="2">#REF!</definedName>
    <definedName name="累计折旧其他.dbf" localSheetId="2">#REF!</definedName>
    <definedName name="累计折旧余额表.dbf" localSheetId="2">#REF!</definedName>
    <definedName name="累计折旧运输.dbf" localSheetId="2">#REF!</definedName>
    <definedName name="孟傻" localSheetId="2">#REF!</definedName>
    <definedName name="明细分类账" localSheetId="2">#REF!</definedName>
    <definedName name="明细账" localSheetId="2">#REF!</definedName>
    <definedName name="南飞" localSheetId="2">#REF!</definedName>
    <definedName name="哦哦" localSheetId="2">#REF!</definedName>
    <definedName name="盘点" localSheetId="2">#REF!</definedName>
    <definedName name="坯布" localSheetId="2">#REF!</definedName>
    <definedName name="凭证测试" localSheetId="2">#REF!</definedName>
    <definedName name="凭证汇总表" localSheetId="2">#REF!</definedName>
    <definedName name="其他业务收入.dbf" localSheetId="2">#REF!</definedName>
    <definedName name="其他业务支出.dbf" localSheetId="2">#REF!</definedName>
    <definedName name="其他应收款—单位.dbf" localSheetId="2">#REF!</definedName>
    <definedName name="全球" localSheetId="2">#REF!</definedName>
    <definedName name="裙房02年收入.dbf" localSheetId="2">#REF!</definedName>
    <definedName name="三方" localSheetId="2">#REF!</definedName>
    <definedName name="三枪" localSheetId="2">#REF!</definedName>
    <definedName name="商标采购.dbf" localSheetId="2">#REF!</definedName>
    <definedName name="商品" localSheetId="2">#REF!</definedName>
    <definedName name="生产成本" localSheetId="2">#REF!</definedName>
    <definedName name="生产列1" localSheetId="2">#REF!</definedName>
    <definedName name="生产列11" localSheetId="2">#REF!</definedName>
    <definedName name="生产列15" localSheetId="2">#REF!</definedName>
    <definedName name="生产列16" localSheetId="2">#REF!</definedName>
    <definedName name="生产列17" localSheetId="2">#REF!</definedName>
    <definedName name="生产列19" localSheetId="2">#REF!</definedName>
    <definedName name="生产列2" localSheetId="2">#REF!</definedName>
    <definedName name="生产列20" localSheetId="2">#REF!</definedName>
    <definedName name="生产列3" localSheetId="2">#REF!</definedName>
    <definedName name="生产列4" localSheetId="2">#REF!</definedName>
    <definedName name="生产列5" localSheetId="2">#REF!</definedName>
    <definedName name="生产列6" localSheetId="2">#REF!</definedName>
    <definedName name="生产列7" localSheetId="2">#REF!</definedName>
    <definedName name="生产列8" localSheetId="2">#REF!</definedName>
    <definedName name="生产列9" localSheetId="2">#REF!</definedName>
    <definedName name="生产领料序时簿" localSheetId="2">#REF!</definedName>
    <definedName name="生产期" localSheetId="2">#REF!</definedName>
    <definedName name="生产期1" localSheetId="2">#REF!</definedName>
    <definedName name="生产期11" localSheetId="2">#REF!</definedName>
    <definedName name="生产期15" localSheetId="2">#REF!</definedName>
    <definedName name="生产期16" localSheetId="2">#REF!</definedName>
    <definedName name="生产期17" localSheetId="2">#REF!</definedName>
    <definedName name="生产期19" localSheetId="2">#REF!</definedName>
    <definedName name="生产期2" localSheetId="2">#REF!</definedName>
    <definedName name="生产期20" localSheetId="2">#REF!</definedName>
    <definedName name="生产期3" localSheetId="2">#REF!</definedName>
    <definedName name="生产期4" localSheetId="2">#REF!</definedName>
    <definedName name="生产期5" localSheetId="2">#REF!</definedName>
    <definedName name="生产期6" localSheetId="2">#REF!</definedName>
    <definedName name="生产期7" localSheetId="2">#REF!</definedName>
    <definedName name="生产期8" localSheetId="2">#REF!</definedName>
    <definedName name="生产期9" localSheetId="2">#REF!</definedName>
    <definedName name="数量金额总账" localSheetId="2">#REF!</definedName>
    <definedName name="水针车间明细帐" localSheetId="2">#REF!</definedName>
    <definedName name="诉讼" localSheetId="2">#REF!</definedName>
    <definedName name="速度" localSheetId="2">#REF!</definedName>
    <definedName name="损益余额表.dbf" localSheetId="2">#REF!</definedName>
    <definedName name="提取车间明细帐" localSheetId="2">#REF!</definedName>
    <definedName name="通过" localSheetId="2">#REF!</definedName>
    <definedName name="外地" localSheetId="2">#REF!</definedName>
    <definedName name="外销" localSheetId="2">#REF!</definedName>
    <definedName name="委托贷款.dbf" localSheetId="2">#REF!</definedName>
    <definedName name="西楼02年收入.dbf" localSheetId="2">#REF!</definedName>
    <definedName name="系" localSheetId="13">'财产损失明细表N5-7'!xxxChunkR16355C1+#REF!+#REF!+#REF!+#REF!+#REF!+#REF!+#REF!+#REF!+#REF!+#REF!+#REF!+#REF!+#REF!+#REF!+#REF!+#REF!+#REF!+#REF!+#REF!+#REF!+#REF!+#REF!+#REF!+#REF!+#REF!+#REF!+#REF!</definedName>
    <definedName name="系" localSheetId="8">'当期所得税费用计算表N5-4'!xxxChunkR16355C1+#REF!+#REF!+#REF!+#REF!+#REF!+#REF!+#REF!+#REF!+#REF!+#REF!+#REF!+#REF!+#REF!+#REF!+#REF!+#REF!+#REF!+#REF!+#REF!+#REF!+#REF!+#REF!+#REF!+#REF!+#REF!+#REF!+#REF!</definedName>
    <definedName name="系" localSheetId="14">'递延所得税费用核对表N5-8'!xxxChunkR16355C1+#REF!+#REF!+#REF!+#REF!+#REF!+#REF!+#REF!+#REF!+#REF!+#REF!+#REF!+#REF!+#REF!+#REF!+#REF!+#REF!+#REF!+#REF!+#REF!+#REF!+#REF!+#REF!+#REF!+#REF!+#REF!+#REF!+#REF!</definedName>
    <definedName name="系" localSheetId="12">'高新技术企业认定条件检查表N5-6-2'!xxxChunkR16355C1+#REF!+#REF!+#REF!+#REF!+#REF!+#REF!+#REF!+#REF!+#REF!+#REF!+#REF!+#REF!+#REF!+#REF!+#REF!+#REF!+#REF!+#REF!+#REF!+#REF!+#REF!+#REF!+#REF!+#REF!+#REF!+#REF!+#REF!</definedName>
    <definedName name="系" localSheetId="11">'加计扣除研发费用情况明细表N5-6-1'!xxxChunkR16355C1+#REF!+#REF!+#REF!+#REF!+#REF!+#REF!+#REF!+#REF!+#REF!+#REF!+#REF!+#REF!+#REF!+#REF!+#REF!+#REF!+#REF!+#REF!+#REF!+#REF!+#REF!+#REF!+#REF!+#REF!+#REF!+#REF!+#REF!</definedName>
    <definedName name="系" localSheetId="9">'纳税调整明细表N5-5'!xxxChunkR16355C1+#REF!+#REF!+#REF!+#REF!+#REF!+#REF!+#REF!+#REF!+#REF!+#REF!+#REF!+#REF!+#REF!+#REF!+#REF!+#REF!+#REF!+#REF!+#REF!+#REF!+#REF!+#REF!+#REF!+#REF!+#REF!+#REF!+#REF!</definedName>
    <definedName name="系" localSheetId="10">'税收优惠明细表N5-6'!xxxChunkR16355C1+#REF!+#REF!+#REF!+#REF!+#REF!+#REF!+#REF!+#REF!+#REF!+#REF!+#REF!+#REF!+#REF!+#REF!+#REF!+#REF!+#REF!+#REF!+#REF!+#REF!+#REF!+#REF!+#REF!+#REF!+#REF!+#REF!+#REF!</definedName>
    <definedName name="系" localSheetId="6">'所得税费用明细表N5-2'!xxxChunkR16355C1+#REF!+#REF!+#REF!+#REF!+#REF!+#REF!+#REF!+#REF!+#REF!+#REF!+#REF!+#REF!+#REF!+#REF!+#REF!+#REF!+#REF!+#REF!+#REF!+#REF!+#REF!+#REF!+#REF!+#REF!+#REF!+#REF!+#REF!</definedName>
    <definedName name="系" localSheetId="2">'所得税审计程序表N3A (原底稿)'!xxxChunkR16355C1+#REF!+#REF!+#REF!+#REF!+#REF!+#REF!+#REF!+#REF!+#REF!+#REF!+#REF!+#REF!+#REF!+#REF!+#REF!+#REF!+#REF!+#REF!+#REF!+#REF!+#REF!+#REF!+#REF!+#REF!+#REF!+#REF!+#REF!</definedName>
    <definedName name="现金明细帐.dbf" localSheetId="2">#REF!</definedName>
    <definedName name="销售公司成本结转测试.dbf" localSheetId="2">#REF!</definedName>
    <definedName name="新" localSheetId="2">#REF!</definedName>
    <definedName name="新1新" localSheetId="2">#REF!</definedName>
    <definedName name="新办公楼" localSheetId="2">#REF!</definedName>
    <definedName name="一一" localSheetId="2">#REF!</definedName>
    <definedName name="役" localSheetId="2">#REF!</definedName>
    <definedName name="引出明细帐" localSheetId="2">#REF!</definedName>
    <definedName name="应付福利费.dbf" localSheetId="2">#REF!</definedName>
    <definedName name="应付福利费发生额明细" localSheetId="2">#REF!</definedName>
    <definedName name="应付工资.dbf" localSheetId="2">#REF!</definedName>
    <definedName name="应付账款.dbf" localSheetId="2">#REF!</definedName>
    <definedName name="应收票据" localSheetId="2">#REF!</definedName>
    <definedName name="营业费用11.dbf" localSheetId="2">#REF!</definedName>
    <definedName name="营业费用12.dbf" localSheetId="2">#REF!</definedName>
    <definedName name="营业外支出" localSheetId="2">#REF!</definedName>
    <definedName name="余" localSheetId="2">#REF!</definedName>
    <definedName name="余额表" localSheetId="2">#REF!</definedName>
    <definedName name="余额表.dbf" localSheetId="2">#REF!</definedName>
    <definedName name="逾" localSheetId="2">#REF!</definedName>
    <definedName name="虞洁莹" localSheetId="2">#REF!</definedName>
    <definedName name="预付帐款.dbf" localSheetId="2">#REF!</definedName>
    <definedName name="在建工程.dbf" localSheetId="2">#REF!</definedName>
    <definedName name="帐龄" localSheetId="2">#REF!</definedName>
    <definedName name="账龄分析表" localSheetId="2">#REF!</definedName>
    <definedName name="制造费用11" localSheetId="2">#REF!</definedName>
    <definedName name="总分类账" localSheetId="2">#REF!</definedName>
    <definedName name="租赁押金清单.dbf" localSheetId="2">#REF!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3" l="1"/>
  <c r="D16" i="23"/>
  <c r="C17" i="23"/>
  <c r="D17" i="23"/>
  <c r="C18" i="23"/>
  <c r="D18" i="23"/>
  <c r="C19" i="23"/>
  <c r="D19" i="23"/>
  <c r="C20" i="23"/>
  <c r="D20" i="23"/>
  <c r="C21" i="23"/>
  <c r="D21" i="23"/>
  <c r="C22" i="23"/>
  <c r="D22" i="23"/>
  <c r="C23" i="23"/>
  <c r="D23" i="23"/>
  <c r="C24" i="23"/>
  <c r="D24" i="23"/>
  <c r="C25" i="23"/>
  <c r="D25" i="23"/>
  <c r="C26" i="23"/>
  <c r="D26" i="23"/>
  <c r="D27" i="23"/>
  <c r="C28" i="23"/>
  <c r="D28" i="23"/>
  <c r="D15" i="23"/>
  <c r="C15" i="23"/>
  <c r="A16" i="23"/>
  <c r="A17" i="23"/>
  <c r="A18" i="23"/>
  <c r="A19" i="23"/>
  <c r="A20" i="23"/>
  <c r="A21" i="23"/>
  <c r="A22" i="23"/>
  <c r="A23" i="23"/>
  <c r="A24" i="23"/>
  <c r="A25" i="23"/>
  <c r="A26" i="23"/>
  <c r="A27" i="23"/>
  <c r="A28" i="23"/>
  <c r="A15" i="23"/>
  <c r="C15" i="24"/>
  <c r="D15" i="24"/>
  <c r="C16" i="24"/>
  <c r="D16" i="24"/>
  <c r="C17" i="24"/>
  <c r="D17" i="24"/>
  <c r="C18" i="24"/>
  <c r="D18" i="24"/>
  <c r="C19" i="24"/>
  <c r="D19" i="24"/>
  <c r="C20" i="24"/>
  <c r="D20" i="24"/>
  <c r="C21" i="24"/>
  <c r="D21" i="24"/>
  <c r="C22" i="24"/>
  <c r="D22" i="24"/>
  <c r="C23" i="24"/>
  <c r="D23" i="24"/>
  <c r="C24" i="24"/>
  <c r="D24" i="24"/>
  <c r="C25" i="24"/>
  <c r="D25" i="24"/>
  <c r="D14" i="24"/>
  <c r="C14" i="24"/>
  <c r="A15" i="24"/>
  <c r="A16" i="24"/>
  <c r="A17" i="24"/>
  <c r="A18" i="24"/>
  <c r="A19" i="24"/>
  <c r="A20" i="24"/>
  <c r="A21" i="24"/>
  <c r="A22" i="24"/>
  <c r="A23" i="24"/>
  <c r="A24" i="24"/>
  <c r="A25" i="24"/>
  <c r="A14" i="24"/>
  <c r="D52" i="34"/>
  <c r="D51" i="34"/>
  <c r="C51" i="34" s="1"/>
  <c r="D50" i="34"/>
  <c r="D49" i="34"/>
  <c r="D48" i="34"/>
  <c r="C48" i="34" s="1"/>
  <c r="D47" i="34"/>
  <c r="D46" i="34"/>
  <c r="C46" i="34" s="1"/>
  <c r="C37" i="34"/>
  <c r="D37" i="34" s="1"/>
  <c r="C36" i="34"/>
  <c r="D36" i="34" s="1"/>
  <c r="C35" i="34"/>
  <c r="C34" i="34"/>
  <c r="C33" i="34"/>
  <c r="C32" i="34"/>
  <c r="C31" i="34"/>
  <c r="C30" i="34"/>
  <c r="C29" i="34"/>
  <c r="D29" i="34" s="1"/>
  <c r="C28" i="34"/>
  <c r="D28" i="34" s="1"/>
  <c r="C27" i="34"/>
  <c r="C26" i="34"/>
  <c r="D26" i="34" s="1"/>
  <c r="C25" i="34"/>
  <c r="E12" i="37"/>
  <c r="A4" i="31"/>
  <c r="A3" i="31"/>
  <c r="A4" i="34"/>
  <c r="A3" i="34"/>
  <c r="A4" i="35"/>
  <c r="A3" i="35"/>
  <c r="A4" i="36"/>
  <c r="A3" i="36"/>
  <c r="A4" i="37"/>
  <c r="A3" i="37"/>
  <c r="A4" i="38"/>
  <c r="A3" i="38"/>
  <c r="A4" i="39"/>
  <c r="A3" i="39"/>
  <c r="H12" i="40"/>
  <c r="J12" i="40" s="1"/>
  <c r="D4" i="31"/>
  <c r="D3" i="31"/>
  <c r="B4" i="34"/>
  <c r="B3" i="34"/>
  <c r="D4" i="35"/>
  <c r="D3" i="35"/>
  <c r="C4" i="36"/>
  <c r="C3" i="36"/>
  <c r="C4" i="37"/>
  <c r="C3" i="37"/>
  <c r="E4" i="38"/>
  <c r="E3" i="38"/>
  <c r="C4" i="39"/>
  <c r="C3" i="39"/>
  <c r="G4" i="31"/>
  <c r="G3" i="31"/>
  <c r="C4" i="34"/>
  <c r="C3" i="34"/>
  <c r="F4" i="35"/>
  <c r="F3" i="35"/>
  <c r="D4" i="36"/>
  <c r="D3" i="36"/>
  <c r="D4" i="37"/>
  <c r="D3" i="37"/>
  <c r="H4" i="38"/>
  <c r="H3" i="38"/>
  <c r="D4" i="39"/>
  <c r="D3" i="39"/>
  <c r="C4" i="40"/>
  <c r="C3" i="40"/>
  <c r="F4" i="40"/>
  <c r="F3" i="40"/>
  <c r="A4" i="40"/>
  <c r="A3" i="40"/>
  <c r="I39" i="40"/>
  <c r="E39" i="40"/>
  <c r="D39" i="40"/>
  <c r="C39" i="40"/>
  <c r="B39" i="40"/>
  <c r="H38" i="40"/>
  <c r="J38" i="40" s="1"/>
  <c r="H37" i="40"/>
  <c r="J37" i="40" s="1"/>
  <c r="H36" i="40"/>
  <c r="J36" i="40" s="1"/>
  <c r="H35" i="40"/>
  <c r="J35" i="40" s="1"/>
  <c r="H34" i="40"/>
  <c r="J34" i="40" s="1"/>
  <c r="H33" i="40"/>
  <c r="J33" i="40" s="1"/>
  <c r="H32" i="40"/>
  <c r="J32" i="40" s="1"/>
  <c r="H31" i="40"/>
  <c r="J31" i="40" s="1"/>
  <c r="H30" i="40"/>
  <c r="J30" i="40" s="1"/>
  <c r="H29" i="40"/>
  <c r="J29" i="40" s="1"/>
  <c r="H28" i="40"/>
  <c r="J28" i="40" s="1"/>
  <c r="H27" i="40"/>
  <c r="J27" i="40" s="1"/>
  <c r="H26" i="40"/>
  <c r="J26" i="40" s="1"/>
  <c r="H25" i="40"/>
  <c r="J25" i="40" s="1"/>
  <c r="H24" i="40"/>
  <c r="J24" i="40" s="1"/>
  <c r="H23" i="40"/>
  <c r="H22" i="40"/>
  <c r="J22" i="40" s="1"/>
  <c r="J21" i="40"/>
  <c r="H21" i="40"/>
  <c r="J20" i="40"/>
  <c r="H20" i="40"/>
  <c r="J19" i="40"/>
  <c r="H19" i="40"/>
  <c r="H18" i="40"/>
  <c r="J18" i="40" s="1"/>
  <c r="J17" i="40"/>
  <c r="H17" i="40"/>
  <c r="J16" i="40"/>
  <c r="H16" i="40"/>
  <c r="J15" i="40"/>
  <c r="H15" i="40"/>
  <c r="H14" i="40"/>
  <c r="J14" i="40" s="1"/>
  <c r="J13" i="40"/>
  <c r="H13" i="40"/>
  <c r="J11" i="40"/>
  <c r="H11" i="40"/>
  <c r="H10" i="40"/>
  <c r="J10" i="40" s="1"/>
  <c r="E15" i="39"/>
  <c r="C15" i="39"/>
  <c r="F14" i="39"/>
  <c r="F13" i="39"/>
  <c r="F12" i="39"/>
  <c r="F11" i="39"/>
  <c r="F10" i="39"/>
  <c r="F9" i="39"/>
  <c r="F8" i="39"/>
  <c r="F15" i="39" s="1"/>
  <c r="F7" i="39"/>
  <c r="K15" i="38"/>
  <c r="G13" i="38"/>
  <c r="K9" i="38"/>
  <c r="K8" i="38"/>
  <c r="E41" i="37"/>
  <c r="E39" i="37"/>
  <c r="E38" i="37"/>
  <c r="E37" i="37"/>
  <c r="E36" i="37"/>
  <c r="E35" i="37"/>
  <c r="E34" i="37"/>
  <c r="D34" i="37"/>
  <c r="C34" i="37"/>
  <c r="E33" i="37"/>
  <c r="E32" i="37"/>
  <c r="E31" i="37"/>
  <c r="E30" i="37"/>
  <c r="E29" i="37"/>
  <c r="E28" i="37"/>
  <c r="E27" i="37"/>
  <c r="E26" i="37"/>
  <c r="D25" i="37"/>
  <c r="C25" i="37"/>
  <c r="E25" i="37" s="1"/>
  <c r="E24" i="37"/>
  <c r="E23" i="37"/>
  <c r="E22" i="37"/>
  <c r="D21" i="37"/>
  <c r="C21" i="37"/>
  <c r="E21" i="37" s="1"/>
  <c r="E20" i="37"/>
  <c r="E19" i="37"/>
  <c r="E18" i="37"/>
  <c r="D17" i="37"/>
  <c r="E17" i="37" s="1"/>
  <c r="C17" i="37"/>
  <c r="E16" i="37"/>
  <c r="E15" i="37"/>
  <c r="E14" i="37"/>
  <c r="E13" i="37"/>
  <c r="C11" i="37"/>
  <c r="E10" i="37"/>
  <c r="E9" i="37"/>
  <c r="E8" i="37"/>
  <c r="E7" i="37"/>
  <c r="E6" i="37"/>
  <c r="D6" i="37"/>
  <c r="C6" i="37"/>
  <c r="C40" i="37" s="1"/>
  <c r="F45" i="36"/>
  <c r="E45" i="36"/>
  <c r="F38" i="36"/>
  <c r="E38" i="36"/>
  <c r="F30" i="36"/>
  <c r="E30" i="36"/>
  <c r="F20" i="36"/>
  <c r="E20" i="36"/>
  <c r="F19" i="36"/>
  <c r="E19" i="36"/>
  <c r="F14" i="36"/>
  <c r="E14" i="36"/>
  <c r="F11" i="36"/>
  <c r="E11" i="36"/>
  <c r="F6" i="36"/>
  <c r="E6" i="36"/>
  <c r="G96" i="35"/>
  <c r="E96" i="35"/>
  <c r="G88" i="35"/>
  <c r="E88" i="35"/>
  <c r="G84" i="35"/>
  <c r="G82" i="35"/>
  <c r="G80" i="35"/>
  <c r="G78" i="35"/>
  <c r="G72" i="35"/>
  <c r="F63" i="35"/>
  <c r="G62" i="35"/>
  <c r="F62" i="35"/>
  <c r="G61" i="35"/>
  <c r="F61" i="35"/>
  <c r="G60" i="35"/>
  <c r="F60" i="35"/>
  <c r="G59" i="35"/>
  <c r="G63" i="35" s="1"/>
  <c r="F59" i="35"/>
  <c r="G55" i="35"/>
  <c r="G50" i="35"/>
  <c r="G44" i="35"/>
  <c r="F44" i="35"/>
  <c r="F38" i="35"/>
  <c r="G38" i="35" s="1"/>
  <c r="C38" i="35"/>
  <c r="G33" i="35"/>
  <c r="F33" i="35"/>
  <c r="F27" i="35"/>
  <c r="G27" i="35" s="1"/>
  <c r="C27" i="35"/>
  <c r="F20" i="35"/>
  <c r="G20" i="35" s="1"/>
  <c r="C20" i="35"/>
  <c r="G14" i="35"/>
  <c r="F14" i="35"/>
  <c r="C14" i="35"/>
  <c r="G7" i="35"/>
  <c r="D72" i="34"/>
  <c r="D70" i="34"/>
  <c r="B67" i="34"/>
  <c r="B69" i="34" s="1"/>
  <c r="B71" i="34" s="1"/>
  <c r="C66" i="34"/>
  <c r="C65" i="34"/>
  <c r="C64" i="34"/>
  <c r="C63" i="34"/>
  <c r="C62" i="34"/>
  <c r="D61" i="34"/>
  <c r="B61" i="34"/>
  <c r="C59" i="34"/>
  <c r="C58" i="34"/>
  <c r="C57" i="34"/>
  <c r="C56" i="34"/>
  <c r="C55" i="34"/>
  <c r="C54" i="34"/>
  <c r="C53" i="34"/>
  <c r="C52" i="34"/>
  <c r="C50" i="34"/>
  <c r="C49" i="34"/>
  <c r="C47" i="34"/>
  <c r="B45" i="34"/>
  <c r="D44" i="34"/>
  <c r="D43" i="34"/>
  <c r="D42" i="34"/>
  <c r="D41" i="34"/>
  <c r="D40" i="34"/>
  <c r="D39" i="34"/>
  <c r="D38" i="34"/>
  <c r="D35" i="34"/>
  <c r="D34" i="34"/>
  <c r="D33" i="34"/>
  <c r="D32" i="34"/>
  <c r="D31" i="34"/>
  <c r="D30" i="34"/>
  <c r="D27" i="34"/>
  <c r="B24" i="34"/>
  <c r="B60" i="34" s="1"/>
  <c r="D23" i="34"/>
  <c r="D21" i="34"/>
  <c r="C61" i="34" l="1"/>
  <c r="D45" i="34"/>
  <c r="C24" i="34"/>
  <c r="J39" i="40"/>
  <c r="H39" i="40"/>
  <c r="C42" i="37"/>
  <c r="G57" i="35"/>
  <c r="C45" i="34"/>
  <c r="D25" i="34"/>
  <c r="D24" i="34" s="1"/>
  <c r="D67" i="34" s="1"/>
  <c r="D69" i="34" s="1"/>
  <c r="D23" i="32"/>
  <c r="D21" i="32"/>
  <c r="B21" i="32"/>
  <c r="C27" i="23" s="1"/>
  <c r="D10" i="32"/>
  <c r="B10" i="32"/>
  <c r="D4" i="32"/>
  <c r="B4" i="32"/>
  <c r="A4" i="32"/>
  <c r="D3" i="32"/>
  <c r="B3" i="32"/>
  <c r="A3" i="32"/>
  <c r="D11" i="23"/>
  <c r="C11" i="23"/>
  <c r="D9" i="23"/>
  <c r="C9" i="23"/>
  <c r="D8" i="23"/>
  <c r="C8" i="23"/>
  <c r="C4" i="23"/>
  <c r="B4" i="23"/>
  <c r="A4" i="23"/>
  <c r="C3" i="23"/>
  <c r="B3" i="23"/>
  <c r="A3" i="23"/>
  <c r="D10" i="24"/>
  <c r="C10" i="24"/>
  <c r="D9" i="24"/>
  <c r="D11" i="24" s="1"/>
  <c r="C9" i="24"/>
  <c r="C11" i="24" s="1"/>
  <c r="C4" i="24"/>
  <c r="B4" i="24"/>
  <c r="A4" i="24"/>
  <c r="C3" i="24"/>
  <c r="B3" i="24"/>
  <c r="A3" i="24"/>
  <c r="I11" i="19"/>
  <c r="E11" i="19"/>
  <c r="M9" i="19"/>
  <c r="L9" i="19"/>
  <c r="K9" i="19"/>
  <c r="J9" i="19"/>
  <c r="I9" i="19"/>
  <c r="H9" i="19"/>
  <c r="G9" i="19"/>
  <c r="F9" i="19"/>
  <c r="E9" i="19"/>
  <c r="D9" i="19"/>
  <c r="C9" i="19"/>
  <c r="B9" i="19"/>
  <c r="M8" i="19"/>
  <c r="L8" i="19"/>
  <c r="K8" i="19"/>
  <c r="J8" i="19"/>
  <c r="I8" i="19"/>
  <c r="F8" i="19"/>
  <c r="E8" i="19"/>
  <c r="B8" i="19"/>
  <c r="M7" i="19"/>
  <c r="L7" i="19"/>
  <c r="K7" i="19"/>
  <c r="J7" i="19"/>
  <c r="I7" i="19"/>
  <c r="F7" i="19"/>
  <c r="E7" i="19"/>
  <c r="B7" i="19"/>
  <c r="I4" i="19"/>
  <c r="E4" i="19"/>
  <c r="A4" i="19"/>
  <c r="I3" i="19"/>
  <c r="E3" i="19"/>
  <c r="A3" i="19"/>
  <c r="G4" i="33"/>
  <c r="D4" i="33"/>
  <c r="A4" i="33"/>
  <c r="G3" i="33"/>
  <c r="D3" i="33"/>
  <c r="A3" i="33"/>
  <c r="G4" i="30"/>
  <c r="D4" i="30"/>
  <c r="A4" i="30"/>
  <c r="G3" i="30"/>
  <c r="D3" i="30"/>
  <c r="A3" i="30"/>
  <c r="B23" i="32" l="1"/>
  <c r="C67" i="34"/>
  <c r="C43" i="37"/>
  <c r="C69" i="34"/>
  <c r="D71" i="34"/>
  <c r="C71" i="34" s="1"/>
  <c r="D60" i="34"/>
  <c r="C60" i="34"/>
  <c r="E11" i="37"/>
  <c r="E42" i="37"/>
  <c r="E40" i="37"/>
  <c r="D11" i="37"/>
  <c r="D40" i="37"/>
  <c r="D42" i="37"/>
  <c r="D43" i="37"/>
  <c r="E43" i="37"/>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F10" authorId="0" shapeId="0">
      <text>
        <r>
          <rPr>
            <b/>
            <sz val="9"/>
            <rFont val="宋体"/>
            <family val="3"/>
            <charset val="134"/>
          </rPr>
          <t>1:</t>
        </r>
        <r>
          <rPr>
            <sz val="9"/>
            <rFont val="宋体"/>
            <family val="3"/>
            <charset val="134"/>
          </rPr>
          <t xml:space="preserve">
根据企业实际情况修改</t>
        </r>
      </text>
    </comment>
  </commentList>
</comments>
</file>

<file path=xl/comments3.xml><?xml version="1.0" encoding="utf-8"?>
<comments xmlns="http://schemas.openxmlformats.org/spreadsheetml/2006/main">
  <authors>
    <author>Liufs</author>
    <author>bjcpauser</author>
  </authors>
  <commentList>
    <comment ref="A58" authorId="0" shapeId="0">
      <text>
        <r>
          <rPr>
            <b/>
            <sz val="9"/>
            <rFont val="宋体"/>
            <family val="3"/>
            <charset val="134"/>
          </rPr>
          <t>Liufs:</t>
        </r>
        <r>
          <rPr>
            <sz val="9"/>
            <rFont val="宋体"/>
            <family val="3"/>
            <charset val="134"/>
          </rPr>
          <t xml:space="preserve">
以前年度未扣完的 职工教育经费支出、广告费和业务宣传费支出等结转扣除。</t>
        </r>
      </text>
    </comment>
    <comment ref="A61" authorId="1" shapeId="0">
      <text>
        <r>
          <rPr>
            <b/>
            <sz val="9"/>
            <rFont val="宋体"/>
            <family val="3"/>
            <charset val="134"/>
          </rPr>
          <t>bjcpauser:</t>
        </r>
        <r>
          <rPr>
            <sz val="9"/>
            <rFont val="宋体"/>
            <family val="3"/>
            <charset val="134"/>
          </rPr>
          <t xml:space="preserve">
可税前弥补的亏损；
负数为盈利</t>
        </r>
      </text>
    </comment>
  </commentList>
</comments>
</file>

<file path=xl/comments4.xml><?xml version="1.0" encoding="utf-8"?>
<comments xmlns="http://schemas.openxmlformats.org/spreadsheetml/2006/main">
  <authors>
    <author>Liufs</author>
  </authors>
  <commentList>
    <comment ref="D87" authorId="0" shapeId="0">
      <text>
        <r>
          <rPr>
            <b/>
            <sz val="9"/>
            <rFont val="宋体"/>
            <family val="3"/>
            <charset val="134"/>
          </rPr>
          <t>Liufs:</t>
        </r>
        <r>
          <rPr>
            <sz val="9"/>
            <rFont val="宋体"/>
            <family val="3"/>
            <charset val="134"/>
          </rPr>
          <t xml:space="preserve">
成本法下</t>
        </r>
      </text>
    </comment>
  </commentList>
</comments>
</file>

<file path=xl/comments5.xml><?xml version="1.0" encoding="utf-8"?>
<comments xmlns="http://schemas.openxmlformats.org/spreadsheetml/2006/main">
  <authors>
    <author>Windows User</author>
    <author>韩秀秀</author>
  </authors>
  <commentList>
    <comment ref="F8" authorId="0" shapeId="0">
      <text>
        <r>
          <rPr>
            <b/>
            <sz val="9"/>
            <rFont val="宋体"/>
            <family val="3"/>
            <charset val="134"/>
          </rPr>
          <t>jsbzb:</t>
        </r>
        <r>
          <rPr>
            <sz val="9"/>
            <rFont val="宋体"/>
            <family val="3"/>
            <charset val="134"/>
          </rPr>
          <t xml:space="preserve">
对应“应收款项融资（减值准备）”和“其他债权投资（减值准备）”两个项目</t>
        </r>
      </text>
    </comment>
    <comment ref="G8" authorId="1" shapeId="0">
      <text>
        <r>
          <rPr>
            <b/>
            <sz val="9"/>
            <rFont val="宋体"/>
            <family val="3"/>
            <charset val="134"/>
          </rPr>
          <t>jsbzb:</t>
        </r>
        <r>
          <rPr>
            <sz val="9"/>
            <rFont val="宋体"/>
            <family val="3"/>
            <charset val="134"/>
          </rPr>
          <t xml:space="preserve">
对应“应收款项融资（减值准备）”和“其他债权投资（减值准备）”两个项目</t>
        </r>
      </text>
    </comment>
  </commentList>
</comments>
</file>

<file path=xl/sharedStrings.xml><?xml version="1.0" encoding="utf-8"?>
<sst xmlns="http://schemas.openxmlformats.org/spreadsheetml/2006/main" count="952" uniqueCount="618">
  <si>
    <t>底稿开列时，可先在以下单元格填写有关内容，以便其他底稿引用有关数据：</t>
  </si>
  <si>
    <t>被审计单位：</t>
  </si>
  <si>
    <t>序号</t>
  </si>
  <si>
    <t>内容</t>
  </si>
  <si>
    <t>索引号</t>
  </si>
  <si>
    <t>会计期间：202X年度</t>
  </si>
  <si>
    <t>所得税审计程序表</t>
  </si>
  <si>
    <t>编制人：</t>
  </si>
  <si>
    <t>所得税费用审定表</t>
  </si>
  <si>
    <t>编制日期：</t>
  </si>
  <si>
    <t>附注披露信息（上市公司）</t>
  </si>
  <si>
    <t>无需打印</t>
  </si>
  <si>
    <t>复核人:</t>
  </si>
  <si>
    <t>附注披露信息（国企）</t>
  </si>
  <si>
    <t>复核日期:</t>
  </si>
  <si>
    <t>所得税费用明细表</t>
  </si>
  <si>
    <t>调整分录汇总表</t>
  </si>
  <si>
    <t>致同会计师事务所</t>
  </si>
  <si>
    <t>所得税费用实质性程序表</t>
  </si>
  <si>
    <t>索引号：</t>
  </si>
  <si>
    <t>页次：</t>
  </si>
  <si>
    <t>一、本账户涉及的科目</t>
  </si>
  <si>
    <t>所得税费用</t>
  </si>
  <si>
    <t>二、审计目标与财务报表的认定</t>
  </si>
  <si>
    <t>审计目标</t>
  </si>
  <si>
    <t>财务报表的认定　</t>
  </si>
  <si>
    <t>A.利润表中记录的所得税费用已发生，且与被审计单位有关，已记录于恰当的账户</t>
  </si>
  <si>
    <t>发生</t>
  </si>
  <si>
    <t>B.所有应当记录的所得税费用均已记录，所有应当包括在财务报表中的相关披露均已包括</t>
  </si>
  <si>
    <t>完整性</t>
  </si>
  <si>
    <t>C.与所得税费用有关的金额及其他数据已恰当记录，相关披露已得到恰当计量和描述</t>
  </si>
  <si>
    <t>准确性</t>
  </si>
  <si>
    <t>D.与所得税费用有关的交易和事项已记录于正确的会计期间</t>
  </si>
  <si>
    <t>截止性</t>
  </si>
  <si>
    <t>E.所得税费用已被恰当地汇总或分解且表述清楚，相关披露在按照企业会计准则的编制基础下是相关的、可理解的</t>
  </si>
  <si>
    <t>列报</t>
  </si>
  <si>
    <t>三、计划实施的实质性程序</t>
  </si>
  <si>
    <t>对应LEAP程序</t>
  </si>
  <si>
    <t>程序分类</t>
  </si>
  <si>
    <t>财务报表的认定</t>
  </si>
  <si>
    <t>底稿索引号</t>
  </si>
  <si>
    <t>常规程序</t>
  </si>
  <si>
    <t>常规★</t>
  </si>
  <si>
    <t>√</t>
  </si>
  <si>
    <t>IPE程序</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</si>
  <si>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</si>
  <si>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</si>
  <si>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</si>
  <si>
    <t>期初余额</t>
  </si>
  <si>
    <r>
      <rPr>
        <sz val="10"/>
        <rFont val="宋体"/>
        <family val="3"/>
        <charset val="134"/>
      </rPr>
      <t>√</t>
    </r>
  </si>
  <si>
    <r>
      <rPr>
        <b/>
        <sz val="10"/>
        <rFont val="宋体"/>
        <family val="3"/>
        <charset val="134"/>
      </rPr>
      <t>√</t>
    </r>
  </si>
  <si>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</si>
  <si>
    <t>应对措施-检查</t>
  </si>
  <si>
    <t>获取被审计单位本期所得税纳税申报表、所得税鉴证报告、主管税务机关备案登记表，与账面相关记录进行核对。</t>
  </si>
  <si>
    <t>结合其他科目的审计和税法规定，核实当期的纳税调整事项，确定应纳税所得额，检查会计处理是否正确。</t>
  </si>
  <si>
    <t>针对税收优惠政策，应执行以下程序：
（1）对于涉及高新技术企业资格认定的，检查批文，确定被审计单位是否符合实质条件；了解复审的情况，获取企业管理层对其高新技术企业资格是否能够延续的书面评价材料，确定采用的税率是否适当；
（2）如果适用研发费用加计扣除的，检查被审计单位是否已完成科委鉴定、税务鉴证并向主管税务机关备案等三项工作。
（3）报告期执行的税收优惠政策与国家法规政策不符的，应获得当地税务主管机关的意见和认定；同时由原股东出具承诺，承担相应的补缴风险。
（4）对于申报期内的核定征收改为查账征收的，应补提企业所得税，实际控制人或股东应出具补交以前税款的承诺。
（5）对于申请减免税的企业，需要税务机关审批的，应检查准予减免税的书面决定；对于需要减免税备案的企业，应检查企业是否按照税务机关的要求备案。</t>
  </si>
  <si>
    <t>重新计算当期所得税费用</t>
  </si>
  <si>
    <t>应对措施-期初余额/检查</t>
  </si>
  <si>
    <t>获取报告期及以前一至两年主要税种纳税申报表和所得税汇算清缴表、纳税鉴证报告（如有），将其中的收入、利润、税项等相关数据与各年度财务报表核对，分析差异及变动趋势，并验证其合理性。</t>
  </si>
  <si>
    <t>/IPO/上市公司/新三板/重组/舞弊应对</t>
  </si>
  <si>
    <t>考虑取得税务机关出具的纳税证明文件的复印件，并与网上电子数据核对。</t>
  </si>
  <si>
    <t>根据评估的舞弊风险等因素增加的审计程序。</t>
  </si>
  <si>
    <t>检查所得税费用是否已按企业会计准则或其他适用的规定在财务报表中做出恰当列报和披露。</t>
  </si>
  <si>
    <r>
      <rPr>
        <sz val="10"/>
        <rFont val="Arial Narrow"/>
        <family val="2"/>
      </rPr>
      <t>A1-1/</t>
    </r>
    <r>
      <rPr>
        <sz val="10"/>
        <color rgb="FFFF0000"/>
        <rFont val="Arial Narrow"/>
        <family val="2"/>
      </rPr>
      <t>A1-15 /A1-16</t>
    </r>
  </si>
  <si>
    <t>所得税实质性程序表</t>
  </si>
  <si>
    <r>
      <rPr>
        <b/>
        <sz val="10"/>
        <rFont val="宋体"/>
        <family val="3"/>
        <charset val="134"/>
      </rPr>
      <t>索引号：</t>
    </r>
    <r>
      <rPr>
        <b/>
        <sz val="10"/>
        <rFont val="Arial"/>
        <family val="2"/>
      </rPr>
      <t>N3A</t>
    </r>
  </si>
  <si>
    <r>
      <rPr>
        <b/>
        <sz val="10"/>
        <rFont val="宋体"/>
        <family val="3"/>
        <charset val="134"/>
      </rPr>
      <t>页</t>
    </r>
    <r>
      <rPr>
        <b/>
        <sz val="10"/>
        <rFont val="Arial"/>
        <family val="2"/>
      </rPr>
      <t xml:space="preserve">  </t>
    </r>
    <r>
      <rPr>
        <b/>
        <sz val="10"/>
        <rFont val="宋体"/>
        <family val="3"/>
        <charset val="134"/>
      </rPr>
      <t>次：</t>
    </r>
  </si>
  <si>
    <r>
      <rPr>
        <b/>
        <sz val="10"/>
        <rFont val="宋体"/>
        <family val="3"/>
        <charset val="134"/>
      </rPr>
      <t>一、本账户涉及的科目</t>
    </r>
  </si>
  <si>
    <r>
      <rPr>
        <b/>
        <sz val="10"/>
        <rFont val="宋体"/>
        <family val="3"/>
        <charset val="134"/>
      </rPr>
      <t>二、重大错报风险需从实质性程序获取的保证程度</t>
    </r>
  </si>
  <si>
    <r>
      <rPr>
        <b/>
        <sz val="10"/>
        <rFont val="宋体"/>
        <family val="3"/>
        <charset val="134"/>
      </rPr>
      <t>审计目标与认定对应关系</t>
    </r>
  </si>
  <si>
    <r>
      <rPr>
        <b/>
        <sz val="10"/>
        <rFont val="宋体"/>
        <family val="3"/>
        <charset val="134"/>
      </rPr>
      <t>财务报表的认定　</t>
    </r>
  </si>
  <si>
    <t>信赖/不信赖/不适用</t>
  </si>
  <si>
    <r>
      <rPr>
        <b/>
        <sz val="10"/>
        <rFont val="宋体"/>
        <family val="3"/>
        <charset val="134"/>
      </rPr>
      <t>索引号</t>
    </r>
  </si>
  <si>
    <t>分类</t>
  </si>
  <si>
    <t xml:space="preserve">A.利润表中记录的所得税费用已发生，且与被审计单位有关。 </t>
  </si>
  <si>
    <t>B.所有应当记录的所得税费用均已记录。</t>
  </si>
  <si>
    <t>C.与所得税费用有关的金额及其他数据已恰当记录于正确会计期间。</t>
  </si>
  <si>
    <t>D.被审计单位记录的所得税费用记录于恰当的账户。</t>
  </si>
  <si>
    <r>
      <rPr>
        <sz val="10"/>
        <color theme="1"/>
        <rFont val="宋体"/>
        <family val="3"/>
        <charset val="134"/>
      </rPr>
      <t>√</t>
    </r>
  </si>
  <si>
    <t>E.所得税费用已按照企业会计准则的规定在财务报表中作出恰当列报。</t>
  </si>
  <si>
    <r>
      <rPr>
        <b/>
        <sz val="10"/>
        <rFont val="宋体"/>
        <family val="3"/>
        <charset val="134"/>
      </rPr>
      <t>三、计划实施的实质性程序</t>
    </r>
  </si>
  <si>
    <r>
      <rPr>
        <b/>
        <sz val="10"/>
        <rFont val="宋体"/>
        <family val="3"/>
        <charset val="134"/>
      </rPr>
      <t>序号</t>
    </r>
  </si>
  <si>
    <r>
      <rPr>
        <b/>
        <sz val="10"/>
        <rFont val="宋体"/>
        <family val="3"/>
        <charset val="134"/>
      </rPr>
      <t>对应</t>
    </r>
    <r>
      <rPr>
        <b/>
        <sz val="10"/>
        <rFont val="Arial"/>
        <family val="2"/>
      </rPr>
      <t>LEAP</t>
    </r>
    <r>
      <rPr>
        <b/>
        <sz val="10"/>
        <rFont val="宋体"/>
        <family val="3"/>
        <charset val="134"/>
      </rPr>
      <t>程序</t>
    </r>
  </si>
  <si>
    <r>
      <rPr>
        <b/>
        <sz val="10"/>
        <rFont val="宋体"/>
        <family val="3"/>
        <charset val="134"/>
      </rPr>
      <t>审计程序</t>
    </r>
  </si>
  <si>
    <r>
      <rPr>
        <b/>
        <sz val="10"/>
        <rFont val="宋体"/>
        <family val="3"/>
        <charset val="134"/>
      </rPr>
      <t>程序分类</t>
    </r>
  </si>
  <si>
    <r>
      <rPr>
        <b/>
        <sz val="10"/>
        <rFont val="宋体"/>
        <family val="3"/>
        <charset val="134"/>
      </rPr>
      <t>审计目标</t>
    </r>
  </si>
  <si>
    <r>
      <rPr>
        <b/>
        <sz val="10"/>
        <rFont val="宋体"/>
        <family val="3"/>
        <charset val="134"/>
      </rPr>
      <t>执行情况说明
（含底稿索引）</t>
    </r>
  </si>
  <si>
    <t>（一）</t>
  </si>
  <si>
    <r>
      <rPr>
        <b/>
        <sz val="10"/>
        <rFont val="宋体"/>
        <family val="3"/>
        <charset val="134"/>
      </rPr>
      <t>编制审定表</t>
    </r>
    <r>
      <rPr>
        <b/>
        <sz val="10"/>
        <rFont val="Arial Narrow"/>
        <family val="2"/>
      </rPr>
      <t xml:space="preserve"> </t>
    </r>
  </si>
  <si>
    <t>C</t>
  </si>
  <si>
    <t>N3</t>
  </si>
  <si>
    <t>（二）</t>
  </si>
  <si>
    <r>
      <rPr>
        <b/>
        <sz val="10"/>
        <color theme="1"/>
        <rFont val="宋体"/>
        <family val="3"/>
        <charset val="134"/>
      </rPr>
      <t>获取所得税费用明细表。</t>
    </r>
    <r>
      <rPr>
        <b/>
        <sz val="10"/>
        <color theme="1"/>
        <rFont val="Arial Narrow"/>
        <family val="2"/>
      </rPr>
      <t xml:space="preserve"> </t>
    </r>
  </si>
  <si>
    <t>O1-2、O1-3</t>
  </si>
  <si>
    <r>
      <rPr>
        <sz val="10"/>
        <rFont val="宋体"/>
        <family val="3"/>
        <charset val="134"/>
      </rPr>
      <t>复核加计正确</t>
    </r>
    <r>
      <rPr>
        <sz val="10"/>
        <rFont val="Arial Narrow"/>
        <family val="2"/>
      </rPr>
      <t xml:space="preserve"> </t>
    </r>
  </si>
  <si>
    <r>
      <rPr>
        <sz val="10"/>
        <rFont val="宋体"/>
        <family val="3"/>
        <charset val="134"/>
      </rPr>
      <t>将总金额与总账、明细账合计数核对相符</t>
    </r>
    <r>
      <rPr>
        <sz val="10"/>
        <rFont val="Arial Narrow"/>
        <family val="2"/>
      </rPr>
      <t xml:space="preserve"> </t>
    </r>
  </si>
  <si>
    <t>核对期初余额与上期审定期末余额、纳税申报表及税务机关的认定数是否相符。</t>
  </si>
  <si>
    <r>
      <rPr>
        <sz val="10"/>
        <rFont val="宋体"/>
        <family val="3"/>
        <charset val="134"/>
      </rPr>
      <t>常规</t>
    </r>
  </si>
  <si>
    <t>如期初存在延期纳税的事项，检查是否经过税务机关批准。</t>
  </si>
  <si>
    <t>（三）</t>
  </si>
  <si>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</si>
  <si>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t>B</t>
  </si>
  <si>
    <r>
      <rPr>
        <sz val="10"/>
        <rFont val="宋体"/>
        <family val="3"/>
        <charset val="134"/>
      </rPr>
      <t>获取有关信息准确性和完整性的审计证据。</t>
    </r>
  </si>
  <si>
    <r>
      <rPr>
        <sz val="10"/>
        <rFont val="宋体"/>
        <family val="3"/>
        <charset val="134"/>
      </rPr>
      <t>评价信息对实现审计目的是否足够准确和详细。</t>
    </r>
  </si>
  <si>
    <t>（四）</t>
  </si>
  <si>
    <r>
      <rPr>
        <b/>
        <sz val="10"/>
        <color theme="1"/>
        <rFont val="宋体"/>
        <family val="3"/>
        <charset val="134"/>
      </rPr>
      <t>对于上期期末所得税相关项目余额：</t>
    </r>
    <r>
      <rPr>
        <b/>
        <sz val="10"/>
        <color rgb="FFFF0000"/>
        <rFont val="Arial Narrow"/>
        <family val="2"/>
      </rPr>
      <t>(</t>
    </r>
    <r>
      <rPr>
        <b/>
        <sz val="10"/>
        <color rgb="FFFF0000"/>
        <rFont val="宋体"/>
        <family val="3"/>
        <charset val="134"/>
      </rPr>
      <t>适用于首次承接）</t>
    </r>
  </si>
  <si>
    <r>
      <rPr>
        <b/>
        <sz val="10"/>
        <rFont val="宋体"/>
        <family val="3"/>
        <charset val="134"/>
      </rPr>
      <t>备选</t>
    </r>
  </si>
  <si>
    <t>ABC</t>
  </si>
  <si>
    <t>N3-2</t>
  </si>
  <si>
    <r>
      <rPr>
        <sz val="10"/>
        <color theme="1"/>
        <rFont val="宋体"/>
        <family val="3"/>
        <charset val="134"/>
      </rPr>
      <t>获得并查阅账户余额明细表。</t>
    </r>
    <r>
      <rPr>
        <sz val="10"/>
        <color theme="1"/>
        <rFont val="Arial Narrow"/>
        <family val="2"/>
      </rPr>
      <t xml:space="preserve"> </t>
    </r>
  </si>
  <si>
    <r>
      <rPr>
        <sz val="10"/>
        <rFont val="宋体"/>
        <family val="3"/>
        <charset val="134"/>
      </rPr>
      <t>备选</t>
    </r>
  </si>
  <si>
    <r>
      <rPr>
        <sz val="10"/>
        <rFont val="宋体"/>
        <family val="3"/>
        <charset val="134"/>
      </rPr>
      <t>确定采用的会计政策和程序是适当的。</t>
    </r>
    <r>
      <rPr>
        <sz val="10"/>
        <rFont val="Arial Narrow"/>
        <family val="2"/>
      </rPr>
      <t xml:space="preserve"> </t>
    </r>
  </si>
  <si>
    <r>
      <rPr>
        <sz val="10"/>
        <rFont val="宋体"/>
        <family val="3"/>
        <charset val="134"/>
      </rPr>
      <t>确定暂时性差异的合理性。</t>
    </r>
    <r>
      <rPr>
        <sz val="10"/>
        <rFont val="Arial Narrow"/>
        <family val="2"/>
      </rPr>
      <t xml:space="preserve"> </t>
    </r>
  </si>
  <si>
    <r>
      <rPr>
        <sz val="10"/>
        <rFont val="宋体"/>
        <family val="3"/>
        <charset val="134"/>
      </rPr>
      <t>确定余额与纳税申报表一致。</t>
    </r>
    <r>
      <rPr>
        <sz val="10"/>
        <rFont val="Arial Narrow"/>
        <family val="2"/>
      </rPr>
      <t xml:space="preserve"> </t>
    </r>
  </si>
  <si>
    <r>
      <rPr>
        <sz val="10"/>
        <rFont val="宋体"/>
        <family val="3"/>
        <charset val="134"/>
      </rPr>
      <t>就任何激进的或可疑的税务状况向我们的税务专家咨询。</t>
    </r>
    <r>
      <rPr>
        <sz val="10"/>
        <rFont val="Arial Narrow"/>
        <family val="2"/>
      </rPr>
      <t xml:space="preserve"> </t>
    </r>
  </si>
  <si>
    <r>
      <rPr>
        <sz val="10"/>
        <rFont val="宋体"/>
        <family val="3"/>
        <charset val="134"/>
      </rPr>
      <t>获取前期纳税申报表和其他有持续影响的税收文件资料</t>
    </r>
    <r>
      <rPr>
        <sz val="10"/>
        <color rgb="FFFF0000"/>
        <rFont val="宋体"/>
        <family val="3"/>
        <charset val="134"/>
      </rPr>
      <t>（适用于首次承接）。</t>
    </r>
  </si>
  <si>
    <t>（五）</t>
  </si>
  <si>
    <t>获取被审计单位本期所得税纳税申报表、所得税签证报告、主管税务机关备案登记表，与账面相关记录进行核对。</t>
  </si>
  <si>
    <t>ABCD</t>
  </si>
  <si>
    <t>O1-2</t>
  </si>
  <si>
    <t>（六）</t>
  </si>
  <si>
    <t>结合其他账项的审计和税法规定，核实当期的纳税调整事项，确定应纳税所得额，检查会计处理是否正确。</t>
  </si>
  <si>
    <r>
      <rPr>
        <b/>
        <sz val="10"/>
        <rFont val="Arial Narrow"/>
        <family val="2"/>
      </rPr>
      <t>N3-3</t>
    </r>
    <r>
      <rPr>
        <b/>
        <sz val="10"/>
        <rFont val="宋体"/>
        <family val="3"/>
        <charset val="134"/>
      </rPr>
      <t>、</t>
    </r>
    <r>
      <rPr>
        <b/>
        <sz val="10"/>
        <rFont val="Arial Narrow"/>
        <family val="2"/>
      </rPr>
      <t>N3-4</t>
    </r>
    <r>
      <rPr>
        <b/>
        <sz val="10"/>
        <rFont val="宋体"/>
        <family val="3"/>
        <charset val="134"/>
      </rPr>
      <t>、</t>
    </r>
    <r>
      <rPr>
        <b/>
        <sz val="10"/>
        <rFont val="Arial Narrow"/>
        <family val="2"/>
      </rPr>
      <t>N3-5</t>
    </r>
    <r>
      <rPr>
        <b/>
        <sz val="10"/>
        <rFont val="宋体"/>
        <family val="3"/>
        <charset val="134"/>
      </rPr>
      <t>、</t>
    </r>
    <r>
      <rPr>
        <b/>
        <sz val="10"/>
        <rFont val="Arial Narrow"/>
        <family val="2"/>
      </rPr>
      <t>N3-6</t>
    </r>
  </si>
  <si>
    <t>（七）</t>
  </si>
  <si>
    <t>针对税收优惠政策，应执行以下程序：</t>
  </si>
  <si>
    <r>
      <rPr>
        <b/>
        <sz val="10"/>
        <rFont val="Arial Narrow"/>
        <family val="2"/>
      </rPr>
      <t>N3-5</t>
    </r>
  </si>
  <si>
    <t>对于涉及高新技术企业资格认定的，检查批文，确定被审计单位是否符合实质条件；了解复审的情况，获取企业管理层对其高新技术企业资格是否能够延续的书面评价材料，确定采用的税率是否适当；如果适用研发费用加计扣除的，检查被审计单位是否已完成科委鉴定、税务鉴证并向主管税务机关备案等三项工作。</t>
  </si>
  <si>
    <r>
      <rPr>
        <sz val="10"/>
        <rFont val="宋体"/>
        <family val="3"/>
        <charset val="134"/>
      </rPr>
      <t>报告期执行的税收优惠政策与国家法规政策不符的，应获得当地税务主管机关的意见和认定；同时由原股东出具承诺，承担相应的补缴风险。</t>
    </r>
  </si>
  <si>
    <r>
      <rPr>
        <sz val="10"/>
        <rFont val="宋体"/>
        <family val="3"/>
        <charset val="134"/>
      </rPr>
      <t>对于申报期内的核定征收改为查账征收的，应补提企业所得税，实际控制人或股东应出具补交以前税款的承诺。</t>
    </r>
  </si>
  <si>
    <t>对于申请减免税的企业，需要税务机关审批的，应检查准予减免税的书面决定；对于需要减免税备案的企业，应检查企业是否按照税务机关的要求备案。</t>
  </si>
  <si>
    <t>（八）</t>
  </si>
  <si>
    <t>确定当期企业的各项税费申报计缴情况是否被税务机关检查，如是，则：</t>
  </si>
  <si>
    <r>
      <rPr>
        <sz val="10"/>
        <rFont val="宋体"/>
        <family val="3"/>
        <charset val="134"/>
      </rPr>
      <t>对于已完成的检查，获取检查报告复印件及税务部门对额外金额的评估。</t>
    </r>
    <r>
      <rPr>
        <sz val="10"/>
        <rFont val="Arial Narrow"/>
        <family val="2"/>
      </rPr>
      <t xml:space="preserve"> </t>
    </r>
  </si>
  <si>
    <t>对于正在进行的检查，确定是否需要额外的预提。</t>
  </si>
  <si>
    <r>
      <rPr>
        <sz val="10"/>
        <rFont val="宋体"/>
        <family val="3"/>
        <charset val="134"/>
      </rPr>
      <t>确定必要的税务调整是否已适当记录</t>
    </r>
    <r>
      <rPr>
        <sz val="10"/>
        <rFont val="Arial Narrow"/>
        <family val="2"/>
      </rPr>
      <t xml:space="preserve"> </t>
    </r>
  </si>
  <si>
    <t>确定重大罚款或其他涉税负债的会计处理是否正确。</t>
  </si>
  <si>
    <t>(九)</t>
  </si>
  <si>
    <t>对所得税费费用的计算进行测试。</t>
  </si>
  <si>
    <r>
      <rPr>
        <sz val="10"/>
        <rFont val="Arial Narrow"/>
        <family val="2"/>
      </rPr>
      <t>N3-3</t>
    </r>
  </si>
  <si>
    <t>(十)</t>
  </si>
  <si>
    <r>
      <rPr>
        <b/>
        <sz val="10"/>
        <rFont val="宋体"/>
        <family val="3"/>
        <charset val="134"/>
      </rPr>
      <t>获取报告期及以前一至两年主要税种纳税申报表和所得税汇算清缴表、纳税鉴证报告（如有），将其中的收入、利润、税项等相关数据与各年度财务报表核对，分析差异及变动趋势，并验证其合理性。</t>
    </r>
    <r>
      <rPr>
        <b/>
        <sz val="10"/>
        <rFont val="Arial Narrow"/>
        <family val="2"/>
      </rPr>
      <t>&lt;CSRC551-12&gt;&lt;CSRC14-3&gt;</t>
    </r>
  </si>
  <si>
    <r>
      <rPr>
        <sz val="10"/>
        <rFont val="Arial Narrow"/>
        <family val="2"/>
      </rPr>
      <t>IPO/</t>
    </r>
    <r>
      <rPr>
        <sz val="10"/>
        <rFont val="宋体"/>
        <family val="3"/>
        <charset val="134"/>
      </rPr>
      <t>上市公司</t>
    </r>
  </si>
  <si>
    <t>O1-3</t>
  </si>
  <si>
    <t>(十一)</t>
  </si>
  <si>
    <r>
      <rPr>
        <b/>
        <sz val="10"/>
        <rFont val="宋体"/>
        <family val="3"/>
        <charset val="134"/>
      </rPr>
      <t>考虑取得税务机关出具的纳税证明文件的复印件，并与网上电子数据核对。</t>
    </r>
  </si>
  <si>
    <r>
      <rPr>
        <sz val="10"/>
        <rFont val="宋体"/>
        <family val="3"/>
        <charset val="134"/>
      </rPr>
      <t>登录被审计单位的纳税申报系统，将网上电子数据与纸质数据核对，确定是否一致。</t>
    </r>
    <r>
      <rPr>
        <sz val="10"/>
        <rFont val="Arial Narrow"/>
        <family val="2"/>
      </rPr>
      <t>&lt;CSRC551-3</t>
    </r>
    <r>
      <rPr>
        <sz val="10"/>
        <rFont val="宋体"/>
        <family val="3"/>
        <charset val="134"/>
      </rPr>
      <t>、</t>
    </r>
    <r>
      <rPr>
        <sz val="10"/>
        <rFont val="Arial Narrow"/>
        <family val="2"/>
      </rPr>
      <t>7/CSRC14-4</t>
    </r>
    <r>
      <rPr>
        <sz val="10"/>
        <rFont val="宋体"/>
        <family val="3"/>
        <charset val="134"/>
      </rPr>
      <t>、</t>
    </r>
    <r>
      <rPr>
        <sz val="10"/>
        <rFont val="Arial Narrow"/>
        <family val="2"/>
      </rPr>
      <t>6&gt;</t>
    </r>
  </si>
  <si>
    <r>
      <rPr>
        <sz val="10"/>
        <rFont val="宋体"/>
        <family val="3"/>
        <charset val="134"/>
      </rPr>
      <t>检查发票等重要原始凭证时，关注销售客户有无异常的注册地、联系方式、银行账号等情况，必要时通过全国发票系统检查各项税费发票的真实性。</t>
    </r>
    <r>
      <rPr>
        <sz val="10"/>
        <rFont val="Arial Narrow"/>
        <family val="2"/>
      </rPr>
      <t>&lt;CSRC14-5&gt;</t>
    </r>
  </si>
  <si>
    <t>(十二)</t>
  </si>
  <si>
    <r>
      <rPr>
        <b/>
        <sz val="10"/>
        <rFont val="宋体"/>
        <family val="3"/>
        <charset val="134"/>
      </rPr>
      <t>根据评估的舞弊风险等因素增加的审计程序。</t>
    </r>
  </si>
  <si>
    <r>
      <rPr>
        <b/>
        <sz val="10"/>
        <rFont val="宋体"/>
        <family val="3"/>
        <charset val="134"/>
      </rPr>
      <t>常规</t>
    </r>
  </si>
  <si>
    <t>(十三)</t>
  </si>
  <si>
    <r>
      <rPr>
        <b/>
        <sz val="10"/>
        <rFont val="宋体"/>
        <family val="3"/>
        <charset val="134"/>
      </rPr>
      <t>根据适用的会计准则及相关规定，确定财务报表的列报与披露是否恰当。</t>
    </r>
  </si>
  <si>
    <t>E</t>
  </si>
  <si>
    <t>N3-1</t>
  </si>
  <si>
    <t>项目</t>
  </si>
  <si>
    <t>上期数</t>
  </si>
  <si>
    <t>本期数</t>
  </si>
  <si>
    <t>本期未审数与上期
未审数的比较</t>
  </si>
  <si>
    <t>本期审定数与上期
审定数的比较</t>
  </si>
  <si>
    <t>原因分析</t>
  </si>
  <si>
    <t>未审数</t>
  </si>
  <si>
    <t>账项调整</t>
  </si>
  <si>
    <t>重分类调整</t>
  </si>
  <si>
    <t>审定数</t>
  </si>
  <si>
    <t>变动额</t>
  </si>
  <si>
    <t>变动率</t>
  </si>
  <si>
    <t>当期所得税费用</t>
  </si>
  <si>
    <t>递延所得税费用</t>
  </si>
  <si>
    <t>合计</t>
  </si>
  <si>
    <t>试算平衡表数</t>
  </si>
  <si>
    <t>差异数</t>
  </si>
  <si>
    <t>1.审计说明</t>
  </si>
  <si>
    <t>（1）所得税费用本期较上期增加（负数为减少）：</t>
  </si>
  <si>
    <r>
      <rPr>
        <sz val="10"/>
        <rFont val="宋体"/>
        <family val="3"/>
        <charset val="134"/>
        <scheme val="minor"/>
      </rPr>
      <t>主要原因</t>
    </r>
    <r>
      <rPr>
        <sz val="10"/>
        <color indexed="10"/>
        <rFont val="宋体"/>
        <family val="3"/>
        <charset val="134"/>
        <scheme val="minor"/>
      </rPr>
      <t>（比例超过30%的）</t>
    </r>
    <r>
      <rPr>
        <sz val="10"/>
        <rFont val="宋体"/>
        <family val="3"/>
        <charset val="134"/>
        <scheme val="minor"/>
      </rPr>
      <t>：</t>
    </r>
  </si>
  <si>
    <t>（2）情况说明。</t>
  </si>
  <si>
    <t>2.审计结论</t>
  </si>
  <si>
    <t xml:space="preserve">
</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</si>
  <si>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</si>
  <si>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</si>
  <si>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t>
    </r>
    <r>
      <rPr>
        <sz val="10"/>
        <rFont val="Arial Narrow"/>
        <family val="2"/>
      </rPr>
      <t>N3-1</t>
    </r>
  </si>
  <si>
    <r>
      <rPr>
        <sz val="10"/>
        <rFont val="宋体"/>
        <family val="3"/>
        <charset val="134"/>
      </rPr>
      <t>页次：</t>
    </r>
    <r>
      <rPr>
        <sz val="10"/>
        <rFont val="Arial Narrow"/>
        <family val="2"/>
      </rPr>
      <t>1</t>
    </r>
  </si>
  <si>
    <r>
      <rPr>
        <sz val="12"/>
        <rFont val="仿宋_GB2312"/>
        <family val="3"/>
        <charset val="134"/>
      </rPr>
      <t>附注披露信息：</t>
    </r>
  </si>
  <si>
    <r>
      <rPr>
        <sz val="12"/>
        <rFont val="仿宋_GB2312"/>
        <family val="3"/>
        <charset val="134"/>
      </rPr>
      <t>所得税费用</t>
    </r>
  </si>
  <si>
    <r>
      <rPr>
        <sz val="12"/>
        <rFont val="仿宋_GB2312"/>
        <family val="3"/>
        <charset val="134"/>
      </rPr>
      <t>（</t>
    </r>
    <r>
      <rPr>
        <sz val="12"/>
        <rFont val="Arial Narrow"/>
        <family val="2"/>
      </rPr>
      <t>1</t>
    </r>
    <r>
      <rPr>
        <sz val="12"/>
        <rFont val="仿宋_GB2312"/>
        <family val="3"/>
        <charset val="134"/>
      </rPr>
      <t>）所得税费用明细</t>
    </r>
  </si>
  <si>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</si>
  <si>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本期发生额</t>
    </r>
    <r>
      <rPr>
        <b/>
        <sz val="12"/>
        <rFont val="Arial Narrow"/>
        <family val="2"/>
      </rPr>
      <t xml:space="preserve"> </t>
    </r>
  </si>
  <si>
    <r>
      <rPr>
        <b/>
        <sz val="12"/>
        <rFont val="仿宋_GB2312"/>
        <family val="3"/>
        <charset val="134"/>
      </rPr>
      <t>上期发生额</t>
    </r>
  </si>
  <si>
    <r>
      <rPr>
        <sz val="12"/>
        <rFont val="仿宋_GB2312"/>
        <family val="3"/>
        <charset val="134"/>
      </rPr>
      <t>按税法及相关规定计算的当期所得税</t>
    </r>
  </si>
  <si>
    <r>
      <rPr>
        <sz val="12"/>
        <rFont val="仿宋_GB2312"/>
        <family val="3"/>
        <charset val="134"/>
      </rPr>
      <t>递延所得税费用</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</si>
  <si>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</si>
  <si>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t>
    </r>
    <r>
      <rPr>
        <sz val="12"/>
        <rFont val="Arial Narrow"/>
        <family val="2"/>
      </rPr>
      <t>2</t>
    </r>
    <r>
      <rPr>
        <sz val="12"/>
        <rFont val="仿宋_GB2312"/>
        <family val="3"/>
        <charset val="134"/>
      </rPr>
      <t>）所得税费用与利润总额的关系列示如下：</t>
    </r>
    <r>
      <rPr>
        <sz val="12"/>
        <color rgb="FF0000FF"/>
        <rFont val="仿宋_GB2312"/>
        <family val="3"/>
        <charset val="134"/>
      </rPr>
      <t>（不适用项目可删除，</t>
    </r>
    <r>
      <rPr>
        <sz val="12"/>
        <color rgb="FF0000FF"/>
        <rFont val="Arial Narrow"/>
        <family val="2"/>
      </rPr>
      <t>“</t>
    </r>
    <r>
      <rPr>
        <sz val="12"/>
        <color rgb="FF0000FF"/>
        <rFont val="仿宋_GB2312"/>
        <family val="3"/>
        <charset val="134"/>
      </rPr>
      <t>其他</t>
    </r>
    <r>
      <rPr>
        <sz val="12"/>
        <color rgb="FF0000FF"/>
        <rFont val="Arial Narrow"/>
        <family val="2"/>
      </rPr>
      <t>”</t>
    </r>
    <r>
      <rPr>
        <sz val="12"/>
        <color rgb="FF0000FF"/>
        <rFont val="仿宋_GB2312"/>
        <family val="3"/>
        <charset val="134"/>
      </rPr>
      <t>金额不应过大）</t>
    </r>
  </si>
  <si>
    <t>【注：上表中，所得税费用等于第二行至倒数第二行之和；</t>
  </si>
  <si>
    <t>对以前期间当期所得税的调整：是指，对以前年度所得税进行汇算清缴的结果与以前年度确认的金额不同而调整本年所得税费用的金额。</t>
  </si>
  <si>
    <t>“不可抵扣的成本、费用和损失”、“未确认可抵扣亏损和可抵扣暂时性差异的纳税影响”不应为负数。】</t>
  </si>
  <si>
    <r>
      <rPr>
        <sz val="10"/>
        <rFont val="宋体"/>
        <family val="3"/>
        <charset val="134"/>
      </rPr>
      <t>索引号：</t>
    </r>
    <r>
      <rPr>
        <sz val="10"/>
        <rFont val="Arial Narrow"/>
        <family val="2"/>
      </rPr>
      <t>N3-1</t>
    </r>
  </si>
  <si>
    <t>附注披露信息:</t>
  </si>
  <si>
    <t>项  目</t>
  </si>
  <si>
    <t>本期发生额</t>
  </si>
  <si>
    <t>上期发生额</t>
  </si>
  <si>
    <t>递延所得税调整</t>
  </si>
  <si>
    <t>其他</t>
  </si>
  <si>
    <t>合  计</t>
  </si>
  <si>
    <r>
      <rPr>
        <sz val="12"/>
        <color rgb="FF0000FF"/>
        <rFont val="仿宋_GB2312"/>
        <family val="3"/>
        <charset val="134"/>
      </rPr>
      <t>（</t>
    </r>
    <r>
      <rPr>
        <sz val="12"/>
        <color rgb="FF0000FF"/>
        <rFont val="Arial Narrow"/>
        <family val="2"/>
      </rPr>
      <t>2</t>
    </r>
    <r>
      <rPr>
        <sz val="12"/>
        <color rgb="FF0000FF"/>
        <rFont val="仿宋_GB2312"/>
        <family val="3"/>
        <charset val="134"/>
      </rPr>
      <t>）会计利润与所得税费用调整过程：（国资委格式未要求披露，建议披露）</t>
    </r>
  </si>
  <si>
    <t>一、审计目标</t>
  </si>
  <si>
    <t>与所得税费用有关的金额及其他数据已恰当记录，相关披露已得到恰当计量和描述</t>
  </si>
  <si>
    <t>二、审计过程</t>
  </si>
  <si>
    <t>备注</t>
  </si>
  <si>
    <t>审定利润总额</t>
  </si>
  <si>
    <t>税率</t>
  </si>
  <si>
    <t>按法定（或适用）税率计算的所得税费用（利润总额*xx%）</t>
  </si>
  <si>
    <t>某些子公司适用不同税率的影响</t>
  </si>
  <si>
    <t>对以前期间当期税项的调整</t>
  </si>
  <si>
    <t>权益法核算的合营企业和联营企业损益</t>
  </si>
  <si>
    <t>无须纳税的收入</t>
  </si>
  <si>
    <t>不可抵扣的税项费用的纳税影响</t>
  </si>
  <si>
    <t>税率变动对期初递延所得税余额的影响</t>
  </si>
  <si>
    <t>利用以前年度未确认可抵扣亏损和可抵扣暂时性差异的纳税影响</t>
  </si>
  <si>
    <t>未确认可抵扣亏损和可抵扣暂时性差异的纳税影响</t>
  </si>
  <si>
    <t>研究开发费加成扣除的纳税影响</t>
  </si>
  <si>
    <t>所得税费用审定数</t>
  </si>
  <si>
    <t>所得税费用未审数</t>
  </si>
  <si>
    <t>审计调整</t>
  </si>
  <si>
    <t>三、审计说明：</t>
  </si>
  <si>
    <t>四、审计结论：</t>
  </si>
  <si>
    <t>提示：</t>
  </si>
  <si>
    <t>1.根据企业情况删减和添加项目；</t>
  </si>
  <si>
    <t>2.项目“某些子公司适用不同税率的影响”在单体报表中不应该出现数据，只有在合并报表和报表主体适用不同税率的情况下放出现；</t>
  </si>
  <si>
    <t>3.项目“对以前期间当期税项的调整”反映本期补缴或退回以前年度缴纳的当期所得税费用。</t>
  </si>
  <si>
    <t>4.对于当期发生所得税费用大额的调整、冲回的情况，应考虑利用税务专家工作。</t>
  </si>
  <si>
    <t>所得税费用调整分录汇总表</t>
  </si>
  <si>
    <t>调整事项说明</t>
  </si>
  <si>
    <t>类别（报表调整/账项调整/其他）</t>
  </si>
  <si>
    <t>报表项目</t>
  </si>
  <si>
    <t>科目名称</t>
  </si>
  <si>
    <t>附注项目</t>
  </si>
  <si>
    <t>……</t>
  </si>
  <si>
    <t>借方调整金额</t>
  </si>
  <si>
    <t>贷方调整金额</t>
  </si>
  <si>
    <t>索引</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</si>
  <si>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</si>
  <si>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</si>
  <si>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</si>
  <si>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</si>
  <si>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</si>
  <si>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</si>
  <si>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</si>
  <si>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</si>
  <si>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</si>
  <si>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</si>
  <si>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</si>
  <si>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</si>
  <si>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</si>
  <si>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</si>
  <si>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</si>
  <si>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</si>
  <si>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</si>
  <si>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t>获取所得税费用明细表，编制审定表，并完成以下工作： 
（1）复核加计正确，将总金额与总账、明细账合计数核对相符；
（2）核对期初余额与上期审定期末余额、纳税申报表及税务机关的认定数是否相符。
（4）如期初存在延期纳税的事项，检查是否经过税务机关批准。</t>
    <phoneticPr fontId="104" type="noConversion"/>
  </si>
  <si>
    <r>
      <t>对于上期所得税相关项目金额，获得并查阅上期所得税明细表，确定采用的会计政策和程序是适当的，检查申报金额与纳税申报表一致，获取前期纳税申报表和其他有持续影响的税收文件资料，就任何激进的或可疑的税务状况向我们的税务专家咨询。</t>
    </r>
    <r>
      <rPr>
        <sz val="10"/>
        <color rgb="FFFF0000"/>
        <rFont val="宋体"/>
        <family val="3"/>
        <charset val="134"/>
        <scheme val="minor"/>
      </rPr>
      <t>（适用于首次承接）</t>
    </r>
    <phoneticPr fontId="104" type="noConversion"/>
  </si>
  <si>
    <t>备选</t>
    <phoneticPr fontId="106" type="noConversion"/>
  </si>
  <si>
    <t>确定当期企业的各项税费申报计缴情况是否被税务机关检查，如是，则对于已完成的检查，获取检查报告复印件及税务部门对额外金额的评估。 对于正在进行的检查，确定是否需要额外的预提。确定必要的税务调整是否已适当记录,确定重大罚款或其他涉税负债的会计处理是否正确。</t>
    <phoneticPr fontId="104" type="noConversion"/>
  </si>
  <si>
    <t>N5A</t>
  </si>
  <si>
    <t>N5-1</t>
  </si>
  <si>
    <t>N5-2</t>
  </si>
  <si>
    <t>N5-3</t>
  </si>
  <si>
    <t>当期所得税费用计算表</t>
  </si>
  <si>
    <t>纳税调整明细表</t>
  </si>
  <si>
    <t>税收优惠明细表</t>
  </si>
  <si>
    <t>加计扣除研发费用情况明细表</t>
  </si>
  <si>
    <t>高新技术企业认定条件检查表</t>
  </si>
  <si>
    <t>财产损失明细表</t>
  </si>
  <si>
    <t>递延所得税费用计算表</t>
  </si>
  <si>
    <t>N5-4</t>
  </si>
  <si>
    <t>N5-5</t>
  </si>
  <si>
    <t>N5-6</t>
  </si>
  <si>
    <t>N5-6-1</t>
  </si>
  <si>
    <t>N5-6-2</t>
  </si>
  <si>
    <t>N5-7</t>
  </si>
  <si>
    <t>N5-8</t>
  </si>
  <si>
    <r>
      <rPr>
        <sz val="10"/>
        <rFont val="宋体"/>
        <family val="3"/>
        <charset val="134"/>
      </rPr>
      <t>索引号：</t>
    </r>
  </si>
  <si>
    <r>
      <rPr>
        <sz val="10"/>
        <rFont val="宋体"/>
        <family val="3"/>
        <charset val="134"/>
      </rPr>
      <t>页次：</t>
    </r>
  </si>
  <si>
    <t>1.利润表中记录的所得税费用已发生，且与被审计单位有关，已记录于恰当的账户</t>
  </si>
  <si>
    <t>2.所有应当记录的所得税费用均已记录，所有应当包括在财务报表中的相关披露均已包括</t>
  </si>
  <si>
    <t>3.与所得税费用有关的金额及其他数据已恰当记录，相关披露已得到恰当计量和描述</t>
  </si>
  <si>
    <t>1.结合其他账项的审计和税法规定，核实当期的纳税调整事项，确定应纳税所得额，检查会计处理是否正确。</t>
  </si>
  <si>
    <t>2.对所得税费费用和相关的短期应交税金余额的计算进行测试，确定计算的准确性。</t>
  </si>
  <si>
    <t>3.通过支持性文件核实重大的永久性差异。</t>
  </si>
  <si>
    <t>4.确认该计算值是否适当地反映了递延所得税账户余额的变动。</t>
  </si>
  <si>
    <t xml:space="preserve">5.确定外国税收和直接退税是否被识别，并在计算中得到正确的反映。 </t>
  </si>
  <si>
    <t>6.调查异常分录。</t>
  </si>
  <si>
    <t>7.审查用于计算的比率是否合理。</t>
  </si>
  <si>
    <t>8.通过相应支持文件确认纳税及退税额。</t>
  </si>
  <si>
    <t>9.核对期末余额与总账是否一致。</t>
  </si>
  <si>
    <t>调整数</t>
  </si>
  <si>
    <t>本期应纳所得税额</t>
  </si>
  <si>
    <t>一、期初欠缴数</t>
  </si>
  <si>
    <t>二、本期应交数</t>
  </si>
  <si>
    <t>——</t>
  </si>
  <si>
    <t>1、利润总额</t>
  </si>
  <si>
    <t>加：纳税调整增加额</t>
  </si>
  <si>
    <t>其中：工资薪金支出</t>
  </si>
  <si>
    <t>职工福利费支出</t>
  </si>
  <si>
    <t>职工教育经费支出</t>
  </si>
  <si>
    <t>工会经费支出</t>
  </si>
  <si>
    <t>业务招待费支出</t>
  </si>
  <si>
    <t>广告费和业务宣传费支出</t>
  </si>
  <si>
    <t>捐赠支出</t>
  </si>
  <si>
    <t>罚金、罚款、税收滞纳金和被没收财物的损失</t>
  </si>
  <si>
    <t>赞助支出</t>
  </si>
  <si>
    <t>养老保险、医疗保险、住房公积金</t>
  </si>
  <si>
    <t>与未实现融资收益相关在当期确认的财务费用</t>
  </si>
  <si>
    <t>减值准备</t>
  </si>
  <si>
    <t>折旧、摊销</t>
  </si>
  <si>
    <t>与取得收入无关的支出</t>
  </si>
  <si>
    <t>不征税收入用于支出所形成的费用</t>
  </si>
  <si>
    <t>未经税务机关备案的财产损失</t>
  </si>
  <si>
    <t>房地产企业当期预售收入计算的预计利润</t>
  </si>
  <si>
    <t>当期收到的与资产相关的政府补助（需要纳税）</t>
  </si>
  <si>
    <t>计提的专项储备等</t>
  </si>
  <si>
    <t>其他纳税调整增加额</t>
  </si>
  <si>
    <t>减：纳税调整减少额</t>
  </si>
  <si>
    <t>其中：免税收入</t>
  </si>
  <si>
    <t xml:space="preserve">             减计收入</t>
  </si>
  <si>
    <t xml:space="preserve">             加计扣除额</t>
  </si>
  <si>
    <t xml:space="preserve">             减免所得额</t>
  </si>
  <si>
    <t xml:space="preserve">             减免税额</t>
  </si>
  <si>
    <t xml:space="preserve">             创业投资企业抵扣应纳税所得额    </t>
  </si>
  <si>
    <t xml:space="preserve">            抵免所得额</t>
  </si>
  <si>
    <t xml:space="preserve">           计提时已调增应纳税所得、因价值恢复或转让处置有关资产而冲销的准备</t>
  </si>
  <si>
    <t xml:space="preserve">           按权益法核算的长期股权投资持有期间的投资收益（净损失以"—"列示</t>
  </si>
  <si>
    <t xml:space="preserve">          公允价值变动净收益（净损失以"—"列示</t>
  </si>
  <si>
    <t xml:space="preserve">         与资产相关的政府补助本期摊销金额（收到时需要纳税）</t>
  </si>
  <si>
    <t xml:space="preserve">       完工年度之前房地产企业预售收入计算的累计预计利润（已纳税）</t>
  </si>
  <si>
    <t xml:space="preserve">            结转扣除</t>
  </si>
  <si>
    <t xml:space="preserve">            其他纳税调整减少项目</t>
  </si>
  <si>
    <t>2、调整后所得</t>
  </si>
  <si>
    <t>减：弥补以前年度亏损</t>
  </si>
  <si>
    <t>2021年亏损</t>
  </si>
  <si>
    <t>所得税亏损弥补报告</t>
  </si>
  <si>
    <t>2020年亏损</t>
  </si>
  <si>
    <t>2019年亏损</t>
  </si>
  <si>
    <t>2018年亏损</t>
  </si>
  <si>
    <t>2017年亏损</t>
  </si>
  <si>
    <t>3、应纳税所得额</t>
  </si>
  <si>
    <t>4、应纳所得税额</t>
  </si>
  <si>
    <t>三、本期已交数</t>
  </si>
  <si>
    <t>四、期末应交未交数</t>
  </si>
  <si>
    <t>上期应纳所得税额</t>
  </si>
  <si>
    <t>提示：外资未满10年转内资的，需在转为内资企业当期，补缴之前已享受的外商投资企业所得税优惠。补缴所得税费用系因企业由外资企业转为内资企业的行为造成，属于该行为的成本费用，应全额计入补缴当期，不应追溯调整至实际享受优惠期间；</t>
  </si>
  <si>
    <t>一、工资薪金支出</t>
  </si>
  <si>
    <t>本期计提</t>
  </si>
  <si>
    <t>实际支付</t>
  </si>
  <si>
    <t>调增数</t>
  </si>
  <si>
    <t>工资薪金支出</t>
  </si>
  <si>
    <t>工资薪金：</t>
  </si>
  <si>
    <t xml:space="preserve">1.企业发生的合理的工资薪金支出，准予扣除。 </t>
  </si>
  <si>
    <t>3.可税前列支额，通常为：当期实际支付额-本期支付但上期已税前扣除的金额+次年汇算清缴之前已实际支付的本期工资薪金。也可能为：当期按收付实现制原则实际发生的金额。</t>
  </si>
  <si>
    <t>二、职工福利费支出</t>
  </si>
  <si>
    <t>工资薪金总额</t>
  </si>
  <si>
    <t>税前列支标准</t>
  </si>
  <si>
    <t>实际发生</t>
  </si>
  <si>
    <t>可税前列支</t>
  </si>
  <si>
    <t>职工福利费：</t>
  </si>
  <si>
    <t>1.企业发生的职工福利费支出，不超过工资薪金总额14%的部分，准予扣除。</t>
  </si>
  <si>
    <t>2.职工福利费支出也包括企业因雇用季节工、临时工、实习生、返聘离退休人员以及接受外部劳务派遣用工所实际发生的福利性性支出。</t>
  </si>
  <si>
    <t>三、职工教育经费支出</t>
  </si>
  <si>
    <t>职工教育经费：</t>
  </si>
  <si>
    <t>1.企业发生的职工教育经费支出，不超过工资薪金总额2.5%的部分，准予扣除；超过部分，准予在以后纳税年度结转扣除。</t>
  </si>
  <si>
    <t>2.服务外包示范城市的技术先进型服务企业发生的职工教育经费支出，不超过工资薪金总额8%的部分，准予在计算应纳税所得额时扣除；超过部分，准予在以后纳税年度结转扣除。</t>
  </si>
  <si>
    <t>3.软件生产企业发生的职工教育经费中的职工培训费用，可以全额在企业所得税前扣除。</t>
  </si>
  <si>
    <t>四、工会经费支出</t>
  </si>
  <si>
    <t xml:space="preserve">工会经费： </t>
  </si>
  <si>
    <t>企业拨缴的工会经费，不超过工资薪金总额2%的部分，准予扣除。须取得《工会经费收入专用收据》或者税务机关代收</t>
  </si>
  <si>
    <t>工会经费的合法有效凭证，否则不能扣除。</t>
  </si>
  <si>
    <t>五、业务招待费支出</t>
  </si>
  <si>
    <t>营业收入</t>
  </si>
  <si>
    <t>业务招待费：</t>
  </si>
  <si>
    <t>企业发生的与生产经营活动有关的业务招待费支出，按照发生额的60%扣除，但最高不得超过当年销售（营业）收入的5‰。</t>
  </si>
  <si>
    <t>六、广告费和业务宣传费支出</t>
  </si>
  <si>
    <t>广告费和业务宣传费：</t>
  </si>
  <si>
    <t xml:space="preserve">1.企业发生的符合条件的广告费和业务宣传费支出，除国务院财政、税务主管部门另有规定外，不超过当年销售（营业）收入15%的部分，准予扣除；超过部分，准予在以后纳税年度结转扣除。 </t>
  </si>
  <si>
    <t>2.化妆品制造与销售企业、医药制造企业、饮料制造（不含酒类制造）企业、烟草企业对广告费和业务宣传费的税前扣除有例外规定：请参考财税〔2012〕48号、财税〔2009〕72号。</t>
  </si>
  <si>
    <t>七、捐赠支出</t>
  </si>
  <si>
    <t>利润总额</t>
  </si>
  <si>
    <t xml:space="preserve">捐赠支出： </t>
  </si>
  <si>
    <t>1.企业发生的公益性捐赠支出，不超过年度利润总额12%的部分，准予扣除。</t>
  </si>
  <si>
    <t>2.年度利润总额，是指企业依照国家统一会计制度的规定计算的年度会计利润。</t>
  </si>
  <si>
    <t>八、罚金、罚款、税收滞纳金和被没收财物的损失</t>
  </si>
  <si>
    <t>罚金</t>
  </si>
  <si>
    <t>罚款</t>
  </si>
  <si>
    <t>被没收财物的损失</t>
  </si>
  <si>
    <t>税收滞纳金</t>
  </si>
  <si>
    <t>罚金、罚款、税收滞纳金和被没收财物的损失不允许税前扣除。</t>
  </si>
  <si>
    <t>九、赞助支出、与取得收入无关的其他支出等</t>
  </si>
  <si>
    <t>与取得收入无关的其他支出</t>
  </si>
  <si>
    <t>不合规发票支出</t>
  </si>
  <si>
    <t>赞助支出、与取得收入无关的其他支出</t>
  </si>
  <si>
    <t>赞助支出、与取得收入无关的其他支出等不允许税前扣除。</t>
  </si>
  <si>
    <t>十、社会保险、住房公积金</t>
  </si>
  <si>
    <t>计提基数</t>
  </si>
  <si>
    <t>各类基本社会保障性缴款</t>
  </si>
  <si>
    <t>补充养老保险</t>
  </si>
  <si>
    <t>补充医疗保险</t>
  </si>
  <si>
    <t>住房公积金</t>
  </si>
  <si>
    <t>合 计</t>
  </si>
  <si>
    <t>社会保险、住房公积金：</t>
  </si>
  <si>
    <t xml:space="preserve">1.企业依照国务院有关主管部门或者省级人民政府规定的范围和标准为职工缴纳的基本养老保险费、基本医疗保险费、失业保险费、工伤保险费、生育保险费等基本社会保险费和住房公积金，准予扣除。 </t>
  </si>
  <si>
    <t xml:space="preserve">2.企业为投资者或者职工支付的补充养老保险费、补充医疗保险费，在国务院财政、税务主管部门规定的范围和标准内，准予扣除。 </t>
  </si>
  <si>
    <t xml:space="preserve">3.（1）补充养老保险费的税前扣除限额为职工工资总额5%；补充医疗保险费的税前扣除限额也是职工工资总额5%。 </t>
  </si>
  <si>
    <t xml:space="preserve">   （2）财税〔2009〕27号规定，“企业为在本企业任职或者受雇的全体员工支付的补充养老保险费、补充医疗保险费可以按规定扣除。”因此，仅为个别员工缴纳的补充养老保险费、补充医疗保险费不可以扣除。 </t>
  </si>
  <si>
    <t>4.除企业依照国家有关规定为特殊工种职工支付的人身安全保险费和国务院财政、税务主管部门规定可以扣除的其他商业保险费外，企业为投资者或者职工支付的商业保险费，不得扣除。</t>
  </si>
  <si>
    <t>十一、与未实现融资收益相关在当期确认的财务费用</t>
  </si>
  <si>
    <t>与未实现融资收益相关在当期确认的财务费用：</t>
  </si>
  <si>
    <t>《关于执行&lt;企业会计准则&gt;有关企业所得税政策问题的通知》（财税[2007]80号）：对于采用实际利率法确认的与金融负债相关</t>
  </si>
  <si>
    <t>的利息费用，未超过同期银行贷款利率的部分，可在计算当期应纳税所得额时扣除，超过的部分不得扣除。</t>
  </si>
  <si>
    <t>《关于融资性售后回租业务中承租方出售资产行为有关税收问题的公告》（国家税务总局公告2010年第13号）：</t>
  </si>
  <si>
    <t>融资性售后回租业务中，...租赁期间，承租人支付的属于融资利息的部分，作为企业财务费用在税前扣除。</t>
  </si>
  <si>
    <t>十二、减值准备</t>
  </si>
  <si>
    <t>坏账准备</t>
  </si>
  <si>
    <t>存货跌价准备</t>
  </si>
  <si>
    <t>可供出售金融资产减值准备</t>
  </si>
  <si>
    <t>持有至到期投资减值准备</t>
  </si>
  <si>
    <t>长期股权投资减值准备</t>
  </si>
  <si>
    <t>投资性房地产减值准备</t>
  </si>
  <si>
    <t>固定资产减值准备</t>
  </si>
  <si>
    <t>工程物资减值准备</t>
  </si>
  <si>
    <t>在建工程减值准备</t>
  </si>
  <si>
    <t>无形资产减值准备</t>
  </si>
  <si>
    <t>商誉减值准备</t>
  </si>
  <si>
    <t>未经核定的准备金支出，不允许税前扣除。</t>
  </si>
  <si>
    <t>十三、折旧</t>
  </si>
  <si>
    <t>固定资产折旧</t>
  </si>
  <si>
    <t>投资性房地产折旧</t>
  </si>
  <si>
    <t>折旧</t>
  </si>
  <si>
    <t>折旧：</t>
  </si>
  <si>
    <t xml:space="preserve">1.固定资产按照直线法计算的折旧，准予扣除。 </t>
  </si>
  <si>
    <t xml:space="preserve">2.除国务院财政、税务主管部门另有规定外，固定资产计算折旧的最低年限如下：（一）房屋、建筑物，为20年；（二）飞机、火车、轮船、机器、机械和其他生产设备，为10年；（三）与生产经营活动有关的器具、工具、家具等，为5年；（四）飞机、火车、轮船以外的运输工具，为4年；（五）电子设备，为3年。 </t>
  </si>
  <si>
    <t xml:space="preserve">3.如果会计上采用的折旧年限不短于上述年限，则不必纳税调整。 </t>
  </si>
  <si>
    <t>4.在计算可税前扣除则折旧额时，计税原值不应扣除已计提的减值准备。</t>
  </si>
  <si>
    <t>十四、摊销</t>
  </si>
  <si>
    <t>无形资产</t>
  </si>
  <si>
    <t>摊销</t>
  </si>
  <si>
    <t>摊销：</t>
  </si>
  <si>
    <t xml:space="preserve">1.无形资产按照直线法计算的摊销费用，准予扣除。无形资产的摊销年限不得低于10年。 </t>
  </si>
  <si>
    <t xml:space="preserve">2.作为投资或者受让的无形资产，有关法律规定或者合同约定了使用年限的，可以按照规定或者约定的使用年限分期摊销。 </t>
  </si>
  <si>
    <t>3.外购商誉的支出，在企业整体转让或者清算时，准予扣除。</t>
  </si>
  <si>
    <t>1.上述纳税调整项目属于常见项目，根据企业实际情况增加或者删除。</t>
  </si>
  <si>
    <t xml:space="preserve">2.对于重大的永久性差异，应检查至支持性文件。
</t>
  </si>
  <si>
    <t>3.如已在应交税费底稿中核对纳税申报表，此处仅做勾稽及交叉索引即可。</t>
  </si>
  <si>
    <t xml:space="preserve">2.工资薪金，是指企业每一纳税年度支付给在本企业任职或者受雇的员工的所有现金形式或者非现金形式的劳动报酬，包括基本工资、奖金、津贴、补贴、年终加薪、加班工资，以及与员工任职或者受雇有关的其他支出。也包括企业因雇用季节工、临时工、实习生、返聘离退休人员以及接受外部劳务派遣用工所实际发生的工资薪金性支出。 </t>
    <phoneticPr fontId="104" type="noConversion"/>
  </si>
  <si>
    <t>行次</t>
  </si>
  <si>
    <t>企业填列数</t>
  </si>
  <si>
    <r>
      <rPr>
        <b/>
        <sz val="10"/>
        <color rgb="FFFF0000"/>
        <rFont val="宋体"/>
        <family val="3"/>
        <charset val="134"/>
      </rPr>
      <t>审计</t>
    </r>
    <r>
      <rPr>
        <b/>
        <sz val="10"/>
        <rFont val="宋体"/>
        <family val="3"/>
        <charset val="134"/>
      </rPr>
      <t>确认数(审定数）</t>
    </r>
  </si>
  <si>
    <t>一、免税收入（2＋3＋4＋5）</t>
  </si>
  <si>
    <t xml:space="preserve">    1、国债利息收入</t>
  </si>
  <si>
    <t xml:space="preserve">    2、符合条件的居民企业之间的股息、红利等权益性投资收益</t>
  </si>
  <si>
    <t xml:space="preserve">    3、符合条件的非营利组织的收入</t>
  </si>
  <si>
    <t xml:space="preserve">    4、其他</t>
  </si>
  <si>
    <t>二、减计收入（7＋8）</t>
  </si>
  <si>
    <t xml:space="preserve">    1、企业综合利用资源,生产符合国家产业政策规定的产品所取得的收入</t>
  </si>
  <si>
    <t xml:space="preserve">    2、其他</t>
  </si>
  <si>
    <t>三、加计扣除额合计（10＋11＋12＋13）</t>
  </si>
  <si>
    <t xml:space="preserve">    1、开发新技术、新产品、新工艺发生的研究开发费用</t>
  </si>
  <si>
    <t xml:space="preserve">    2、安置残疾人员所支付的工资</t>
  </si>
  <si>
    <t xml:space="preserve">    3、国家鼓励安置的其他就业人员支付的工资</t>
  </si>
  <si>
    <t>四、减免所得额合计（15＋25＋29＋30＋31＋32）</t>
  </si>
  <si>
    <t xml:space="preserve">   （一）免税所得（16＋17＋…＋24）</t>
  </si>
  <si>
    <t xml:space="preserve">      1、蔬菜、谷物、薯类、油料、豆类、棉花、麻类、糖料、水果、坚果的种植</t>
  </si>
  <si>
    <t xml:space="preserve">      2、农作物新品种的选育</t>
  </si>
  <si>
    <t xml:space="preserve">      3、中药材的种植</t>
  </si>
  <si>
    <t xml:space="preserve">      4、林木的培育和种植</t>
  </si>
  <si>
    <t xml:space="preserve">      5、牲畜、家禽的饲养</t>
  </si>
  <si>
    <t xml:space="preserve">      6、林产品的采集</t>
  </si>
  <si>
    <t xml:space="preserve">      7、灌溉、农产品初加工、兽医、农技推广、农机作业和维修等农、林、牧、渔服务业项目</t>
  </si>
  <si>
    <t xml:space="preserve">      8、远洋捕捞</t>
  </si>
  <si>
    <t xml:space="preserve">      9、其他</t>
  </si>
  <si>
    <t xml:space="preserve">   （二）减税所得（26＋27＋28）</t>
  </si>
  <si>
    <t xml:space="preserve">      1、花卉、茶以及其他饮料作物和香料作物的种植</t>
  </si>
  <si>
    <t xml:space="preserve">      2、海水养殖、内陆养殖</t>
  </si>
  <si>
    <t xml:space="preserve">      3、其他</t>
  </si>
  <si>
    <t xml:space="preserve">   （三）从事国家重点扶持的公共基础设施项目投资经营的所得</t>
  </si>
  <si>
    <t xml:space="preserve">   （四）从事符合条件的环境保护、节能节水项目的所得</t>
  </si>
  <si>
    <t xml:space="preserve">   （五）符合条件的技术转让所得</t>
  </si>
  <si>
    <t xml:space="preserve">   （六）其他</t>
  </si>
  <si>
    <t>五、减免税合计（34＋35＋36＋37＋38）</t>
  </si>
  <si>
    <t xml:space="preserve">   （一）符合条件的小型微利企业</t>
  </si>
  <si>
    <t xml:space="preserve">   （二）国家需要重点扶持的高新技术企业</t>
  </si>
  <si>
    <t xml:space="preserve">   （三）民族自治地方的企业应缴纳的企业所得税中属于地方分享的部分</t>
  </si>
  <si>
    <t xml:space="preserve">   （四）过渡期税收优惠</t>
  </si>
  <si>
    <t xml:space="preserve">   （五）其他</t>
  </si>
  <si>
    <t>六、创业投资企业抵扣的应纳税所得额</t>
  </si>
  <si>
    <t>七、抵免所得税额合计（41＋42＋43＋44）</t>
  </si>
  <si>
    <t xml:space="preserve">   （一）企业购置用于环境保护专用设备的投资额抵免的税额</t>
  </si>
  <si>
    <t xml:space="preserve">   （二）企业购置用于节能节水专用设备的投资额抵免的税额</t>
  </si>
  <si>
    <t xml:space="preserve">   （三）企业购置用于安全生产专用设备的投资额抵免的税额</t>
  </si>
  <si>
    <t xml:space="preserve">   （四）其他</t>
  </si>
  <si>
    <t>企业从业人数（全年平均人数）</t>
  </si>
  <si>
    <t>资产总额（全年平均数）</t>
  </si>
  <si>
    <t>所属行业（工业企业    其他企业    ）</t>
  </si>
  <si>
    <t xml:space="preserve">        </t>
  </si>
  <si>
    <t>加计扣除研究开发费用情况明细表</t>
  </si>
  <si>
    <t>项      目</t>
  </si>
  <si>
    <t>未审金额</t>
  </si>
  <si>
    <t>审计调整额</t>
  </si>
  <si>
    <t>审计确认额</t>
  </si>
  <si>
    <t>一、研发活动直接消耗的材料、燃料和动力费用</t>
  </si>
  <si>
    <t>1.材料</t>
  </si>
  <si>
    <t>2.燃料</t>
  </si>
  <si>
    <t>3.动力费用</t>
  </si>
  <si>
    <t>二、直接从事研发活动的本企业在职人员费用</t>
  </si>
  <si>
    <t>1.工资、薪金</t>
  </si>
  <si>
    <t>2.津贴、补贴</t>
  </si>
  <si>
    <t>3.奖金</t>
  </si>
  <si>
    <t>三、专门用于研发活动的有关折旧费（按规定一次或分次摊入管理费的仪器和设备除外）</t>
  </si>
  <si>
    <t>1.仪器</t>
  </si>
  <si>
    <t>2.设备</t>
  </si>
  <si>
    <t>四、专门用于研发活动的有关租赁费</t>
  </si>
  <si>
    <t>五、专门用于研发活动的有关无形资产摊销费</t>
  </si>
  <si>
    <t>1.软件</t>
  </si>
  <si>
    <t>2.专利权</t>
  </si>
  <si>
    <t>3.非专利技术</t>
  </si>
  <si>
    <t>六、专门用于中间试验和产品试制的模具、工艺装备开发及制造费</t>
  </si>
  <si>
    <t>七、研发成果论证、鉴定、评审、验收费用</t>
  </si>
  <si>
    <t>八、与研发活动直接相关的其它费用</t>
  </si>
  <si>
    <t xml:space="preserve">1.新产品设计费 </t>
  </si>
  <si>
    <t>2.新工艺规程制定费</t>
  </si>
  <si>
    <t xml:space="preserve">3.技术图书资料费 </t>
  </si>
  <si>
    <t>4.资料翻译费</t>
  </si>
  <si>
    <t xml:space="preserve"> </t>
  </si>
  <si>
    <t>从有关部门和母公司取得的研究开发费专项拨款</t>
  </si>
  <si>
    <t>加计扣除基数</t>
  </si>
  <si>
    <t>加计扣除额</t>
  </si>
  <si>
    <t>检查内容</t>
  </si>
  <si>
    <t>检查过程及结果</t>
  </si>
  <si>
    <t>结论</t>
  </si>
  <si>
    <t>查验数据索引</t>
  </si>
  <si>
    <t>（一）主要产品（服务）的核心技术拥有自主知识产权</t>
  </si>
  <si>
    <t>（二）产品（服务）属于《国家重点支持的高新技术领域》规定的范围；</t>
  </si>
  <si>
    <t>（三）具有大学专科以上学历的科技人员占企业当年职工总数的30%以上，其中研发人员占企业当年职工总数的10%以上；</t>
  </si>
  <si>
    <t>其中当年职工人数：</t>
  </si>
  <si>
    <t>大专以上学历科技人员人数：</t>
  </si>
  <si>
    <t>比例：</t>
  </si>
  <si>
    <t>研发人员人数：</t>
  </si>
  <si>
    <t>（四）研究开发费用总额占销售收入总额的比例符合如下要求：</t>
  </si>
  <si>
    <t>1. 最近一年销售收入小于5,000万元的企业，比例不低于6%；</t>
  </si>
  <si>
    <t>本年审计调整后研发费用：</t>
  </si>
  <si>
    <t>按税务机关要求的研发费用结构明细表填列金额，注意与所得税加计扣除的研发费用金额有区别）</t>
  </si>
  <si>
    <t>2. 最近一年销售收入在5,000万元至20,000万元的企业，比例不低于4%；</t>
  </si>
  <si>
    <t>本年审计调整后销售收入：</t>
  </si>
  <si>
    <t>3. 最近一年销售收入在20,000万元以上的企业，比例不低于3%。</t>
  </si>
  <si>
    <t>其中，企业在中国境内发生的研究开发费用总额占全部研究开发费用总额的比例不低于60%。</t>
  </si>
  <si>
    <t xml:space="preserve">（五）高新技术产品（服务）收入占企业当年总收入的60%以上； </t>
  </si>
  <si>
    <t>本年高新技术产品收入：</t>
  </si>
  <si>
    <t>本年总收入：</t>
  </si>
  <si>
    <t>（六）企业研究开发组织管理水平、科技成果转化能力、自主知识产权数量、销售与总资产成长性等指标符合《高新技术企业认定管理工作指引》的要求。</t>
  </si>
  <si>
    <t>(七）索取向当地税务机关报送的减免税的备案资料</t>
  </si>
  <si>
    <t>(八）查阅税务师事务所出具的认定报告</t>
  </si>
  <si>
    <t>财产损失种类</t>
  </si>
  <si>
    <t>核算科目</t>
  </si>
  <si>
    <t>损失金额</t>
  </si>
  <si>
    <t>审批情况</t>
  </si>
  <si>
    <t>纳税调整金额</t>
  </si>
  <si>
    <t>审批文号</t>
  </si>
  <si>
    <t>审批金额</t>
  </si>
  <si>
    <t>递延所得税核对表</t>
  </si>
  <si>
    <t>期末审计确认的递延所得税资产(计入所得税费用部分）</t>
  </si>
  <si>
    <t>期初审计确认的递延所得税资产(计入所得税费用部分）</t>
  </si>
  <si>
    <t>期末审计确认的递延所得税负债(计入所得税费用部分）</t>
  </si>
  <si>
    <t>期初审计确认的递延所得税负债(计入所得税费用部分）</t>
  </si>
  <si>
    <t>期末审计确认的其他综合收益(计入所得税费用部分）</t>
  </si>
  <si>
    <t>期初审计确认的其他综合收益(计入所得税费用部分）</t>
  </si>
  <si>
    <t xml:space="preserve">本期应计递延所得税费用
</t>
  </si>
  <si>
    <t>本期已计递延所得税费用</t>
  </si>
  <si>
    <t>差异</t>
  </si>
  <si>
    <t>①</t>
  </si>
  <si>
    <t>②</t>
  </si>
  <si>
    <t>③</t>
  </si>
  <si>
    <t>④</t>
  </si>
  <si>
    <t>⑤</t>
  </si>
  <si>
    <t>⑥</t>
  </si>
  <si>
    <t>⑦=②-①+③-④+⑥-⑤</t>
  </si>
  <si>
    <t>⑧</t>
  </si>
  <si>
    <t>⑨=⑦-⑧</t>
  </si>
  <si>
    <t>交易性金融资产（公允价值与初始账面成本差异）</t>
  </si>
  <si>
    <t>应收账款（坏账准备）</t>
  </si>
  <si>
    <t>其他应收款（坏账准备）</t>
  </si>
  <si>
    <t>存货（跌价准备）</t>
  </si>
  <si>
    <t>合同资产（减值准备）</t>
  </si>
  <si>
    <t>债权投资（减值准备）</t>
  </si>
  <si>
    <t>应收款项融资（减值准备）</t>
  </si>
  <si>
    <t>其他债权投资（减值准备）</t>
  </si>
  <si>
    <t>长期股权投资（减值准备）</t>
  </si>
  <si>
    <t>投资性房地产（公允价值与账面差异）</t>
  </si>
  <si>
    <t>投资性房地产（折旧）</t>
  </si>
  <si>
    <t>固定资产（减值准备）</t>
  </si>
  <si>
    <t>固定资产折旧（年限、残值）</t>
  </si>
  <si>
    <t>使用权资产（减值准备）</t>
  </si>
  <si>
    <t>在建工程（减值准备）</t>
  </si>
  <si>
    <t>无形资产（减值准备、摊销）</t>
  </si>
  <si>
    <t>无形资产（研发费用资本化）</t>
  </si>
  <si>
    <t>开办费（摊销方法）</t>
  </si>
  <si>
    <t>交易性金融负债（公允价值与账面差异）</t>
  </si>
  <si>
    <t>应付职工薪酬（已计提未支付）</t>
  </si>
  <si>
    <t>应付职工薪酬（预计辞退福利费）</t>
  </si>
  <si>
    <t>预提费用</t>
  </si>
  <si>
    <t>递延收益</t>
  </si>
  <si>
    <t>预计负债（预计产品保修费用等）</t>
  </si>
  <si>
    <t>收入（预收款项）</t>
  </si>
  <si>
    <t>销售费用（广告费和业务宣传费）</t>
  </si>
  <si>
    <t>可用以后年度税前利润弥补的亏损</t>
  </si>
  <si>
    <t>N5-1
/N5-2</t>
  </si>
  <si>
    <t>/N5-5
/N5-6
/N5-7
/N5-8</t>
  </si>
  <si>
    <t>N5-6
/N5-6-1
/N5-6-2</t>
  </si>
  <si>
    <t>关于工作底稿与审计程序索引号对应的说明</t>
    <phoneticPr fontId="104"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</si>
  <si>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04"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</si>
  <si>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04"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</si>
  <si>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04" type="noConversion"/>
  </si>
  <si>
    <t>根据被审计单位实际情况和风险评估情况裁剪、修改或增加审计程序</t>
    <phoneticPr fontId="104" type="noConversion"/>
  </si>
  <si>
    <t>审计程序</t>
    <phoneticPr fontId="10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</si>
</sst>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quot;$&quot;#,##0_);\(&quot;$&quot;#,##0\)"/>
    <numFmt numFmtId="187" formatCode="#,##0&quot; F&quot;_);\(#,##0&quot; F&quot;\)"/>
    <numFmt numFmtId="188" formatCode="#,##0.0_);\(#,##0.0\)"/>
    <numFmt numFmtId="189" formatCode="_(* #,##0.0000_);_(* \(#,##0.0000\);_(* &quot;-&quot;??_);_(@_)"/>
    <numFmt numFmtId="190" formatCode="mmmm\ d\,\ yyyy"/>
    <numFmt numFmtId="191" formatCode="#,##0\ &quot;FB&quot;;\-#,##0\ &quot;FB&quot;"/>
    <numFmt numFmtId="192" formatCode="_(&quot;$&quot;* #,##0.00_);_(&quot;$&quot;* \(#,##0.00\);_(&quot;$&quot;* &quot;-&quot;??_);_(@_)"/>
    <numFmt numFmtId="193" formatCode="0.0%;\(0.0%\)"/>
    <numFmt numFmtId="194" formatCode="&quot;$&quot;#,##0;[Red]&quot;$&quot;&quot;$&quot;&quot;$&quot;&quot;$&quot;&quot;$&quot;&quot;$&quot;&quot;$&quot;\-#,##0"/>
    <numFmt numFmtId="195" formatCode="0.0000%"/>
    <numFmt numFmtId="196" formatCode="hh:mm\ AM/PM_)"/>
    <numFmt numFmtId="197" formatCode=";;;"/>
    <numFmt numFmtId="198" formatCode="#,##0\ ;[Red]\-#,##0.00\ "/>
    <numFmt numFmtId="199" formatCode="&quot;$&quot;#.#"/>
    <numFmt numFmtId="200" formatCode="_([$€-2]* #,##0.00_);_([$€-2]* \(#,##0.00\);_([$€-2]* &quot;-&quot;??_)"/>
    <numFmt numFmtId="201" formatCode="#,##0.000000"/>
    <numFmt numFmtId="202" formatCode="_-* #,##0_-;\-* #,##0_-;_-* &quot;-&quot;_-;_-@_-"/>
    <numFmt numFmtId="203" formatCode="_-* #,##0.00_-;\-* #,##0.00_-;_-* &quot;-&quot;??_-;_-@_-"/>
    <numFmt numFmtId="204" formatCode="&quot;\&quot;#,##0;[Red]&quot;\&quot;&quot;\&quot;\-#,##0"/>
    <numFmt numFmtId="205" formatCode="&quot;\&quot;#,##0.00;[Red]&quot;\&quot;&quot;\&quot;\-#,##0.00"/>
    <numFmt numFmtId="206" formatCode="_(&quot;$&quot;* #,##0_);_(&quot;$&quot;* \(#,##0\);_(&quot;$&quot;* &quot;-&quot;_);_(@_)"/>
    <numFmt numFmtId="207" formatCode="_-* #,##0_-;\-* #,##0_-;_-* &quot;-&quot;??_-;_-@_-"/>
    <numFmt numFmtId="208" formatCode="0.00000000000_);[Red]\(0.00000000000\)"/>
    <numFmt numFmtId="209" formatCode="&quot;\&quot;#,##0;&quot;\&quot;&quot;\&quot;\-#,##0"/>
    <numFmt numFmtId="210" formatCode="_-* #,##0.00\ _B_E_F_-;\-* #,##0.00\ _B_E_F_-;_-* &quot;-&quot;??\ _B_E_F_-;_-@_-"/>
    <numFmt numFmtId="211" formatCode="#,##0.00\ &quot;FB&quot;;\-#,##0.00\ &quot;FB&quot;"/>
    <numFmt numFmtId="212" formatCode="#,##0.00\ &quot;FB&quot;;[Red]\-#,##0.00\ &quot;FB&quot;"/>
    <numFmt numFmtId="213" formatCode="_-&quot;$&quot;* #,##0_-;\-&quot;$&quot;* #,##0_-;_-&quot;$&quot;* &quot;-&quot;_-;_-@_-"/>
    <numFmt numFmtId="214" formatCode="_-&quot;$&quot;* #,##0.00_-;\-&quot;$&quot;* #,##0.00_-;_-&quot;$&quot;* &quot;-&quot;??_-;_-@_-"/>
    <numFmt numFmtId="215" formatCode="&quot;\&quot;#,##0.00;[Red]&quot;\&quot;&quot;\&quot;&quot;\&quot;&quot;\&quot;&quot;\&quot;&quot;\&quot;\-#,##0.00"/>
    <numFmt numFmtId="216" formatCode="&quot;\&quot;#,##0.00;[Red]&quot;\&quot;\-#,##0.00"/>
    <numFmt numFmtId="217" formatCode="&quot;\&quot;#,##0;[Red]&quot;\&quot;\-#,##0"/>
    <numFmt numFmtId="218" formatCode="_(* #,##0_);_(* \(#,##0\);_(* &quot;-&quot;_);_(@_)"/>
    <numFmt numFmtId="219" formatCode="_(* #,##0.00_);_(* \(#,##0.00\);_(* &quot;-&quot;??_);_(@_)"/>
    <numFmt numFmtId="220" formatCode="_ * #,##0_)\ _F_ ;_ * \(#,##0\)\ _F_ ;_ * &quot;-&quot;_)\ _F_ ;_ @_ "/>
    <numFmt numFmtId="221" formatCode="_ * #,##0.0000_ ;_ * \-#,##0.0000_ ;_ * &quot;-&quot;??_ ;_ @_ "/>
    <numFmt numFmtId="222" formatCode="0.0%"/>
    <numFmt numFmtId="223" formatCode="#,##0.00_ "/>
  </numFmts>
  <fonts count="117">
    <font>
      <sz val="12"/>
      <name val="宋体"/>
      <charset val="134"/>
    </font>
    <font>
      <sz val="11"/>
      <color theme="1"/>
      <name val="宋体"/>
      <family val="2"/>
      <charset val="134"/>
      <scheme val="minor"/>
    </font>
    <font>
      <sz val="11"/>
      <color theme="1"/>
      <name val="宋体"/>
      <family val="2"/>
      <charset val="134"/>
      <scheme val="minor"/>
    </font>
    <font>
      <sz val="12"/>
      <name val="宋体"/>
      <family val="3"/>
      <charset val="134"/>
      <scheme val="minor"/>
    </font>
    <font>
      <b/>
      <sz val="12"/>
      <name val="宋体"/>
      <family val="3"/>
      <charset val="134"/>
      <scheme val="minor"/>
    </font>
    <font>
      <b/>
      <sz val="14"/>
      <name val="宋体"/>
      <family val="3"/>
      <charset val="134"/>
      <scheme val="minor"/>
    </font>
    <font>
      <sz val="10"/>
      <name val="宋体"/>
      <family val="3"/>
      <charset val="134"/>
      <scheme val="minor"/>
    </font>
    <font>
      <b/>
      <sz val="10"/>
      <color indexed="8"/>
      <name val="宋体"/>
      <family val="3"/>
      <charset val="134"/>
      <scheme val="minor"/>
    </font>
    <font>
      <b/>
      <sz val="10"/>
      <name val="宋体"/>
      <family val="3"/>
      <charset val="134"/>
      <scheme val="minor"/>
    </font>
    <font>
      <b/>
      <sz val="10"/>
      <color rgb="FFE92841"/>
      <name val="宋体"/>
      <family val="3"/>
      <charset val="134"/>
      <scheme val="minor"/>
    </font>
    <font>
      <sz val="10"/>
      <color indexed="8"/>
      <name val="宋体"/>
      <family val="3"/>
      <charset val="134"/>
      <scheme val="minor"/>
    </font>
    <font>
      <sz val="10"/>
      <color rgb="FFFF0000"/>
      <name val="宋体"/>
      <family val="3"/>
      <charset val="134"/>
      <scheme val="minor"/>
    </font>
    <font>
      <sz val="10"/>
      <color indexed="12"/>
      <name val="宋体"/>
      <family val="3"/>
      <charset val="134"/>
      <scheme val="minor"/>
    </font>
    <font>
      <sz val="10"/>
      <name val="宋体"/>
      <family val="3"/>
      <charset val="134"/>
    </font>
    <font>
      <b/>
      <sz val="10"/>
      <name val="宋体"/>
      <family val="3"/>
      <charset val="134"/>
    </font>
    <font>
      <b/>
      <sz val="12"/>
      <name val="宋体"/>
      <family val="3"/>
      <charset val="134"/>
    </font>
    <font>
      <b/>
      <sz val="14"/>
      <name val="宋体"/>
      <family val="3"/>
      <charset val="134"/>
    </font>
    <font>
      <sz val="10"/>
      <name val="Arial Narrow"/>
      <family val="2"/>
    </font>
    <font>
      <b/>
      <u val="double"/>
      <sz val="10"/>
      <name val="Arial Narrow"/>
      <family val="2"/>
    </font>
    <font>
      <sz val="10"/>
      <color indexed="12"/>
      <name val="宋体"/>
      <family val="3"/>
      <charset val="134"/>
    </font>
    <font>
      <i/>
      <sz val="10"/>
      <color indexed="12"/>
      <name val="宋体"/>
      <family val="3"/>
      <charset val="134"/>
    </font>
    <font>
      <b/>
      <sz val="10"/>
      <color indexed="12"/>
      <name val="宋体"/>
      <family val="3"/>
      <charset val="134"/>
    </font>
    <font>
      <sz val="12"/>
      <name val="Arial Narrow"/>
      <family val="2"/>
    </font>
    <font>
      <b/>
      <sz val="10"/>
      <name val="Arial Narrow"/>
      <family val="2"/>
    </font>
    <font>
      <b/>
      <sz val="12"/>
      <name val="Arial Narrow"/>
      <family val="2"/>
    </font>
    <font>
      <sz val="12"/>
      <name val="仿宋"/>
      <family val="3"/>
      <charset val="134"/>
    </font>
    <font>
      <sz val="12"/>
      <name val="仿宋_GB2312"/>
      <family val="3"/>
      <charset val="134"/>
    </font>
    <font>
      <b/>
      <sz val="12"/>
      <name val="仿宋"/>
      <family val="3"/>
      <charset val="134"/>
    </font>
    <font>
      <sz val="12"/>
      <color rgb="FF0000FF"/>
      <name val="仿宋_GB2312"/>
      <family val="3"/>
      <charset val="134"/>
    </font>
    <font>
      <sz val="12"/>
      <color rgb="FF0000FF"/>
      <name val="Arial Narrow"/>
      <family val="2"/>
    </font>
    <font>
      <i/>
      <u/>
      <sz val="10"/>
      <color indexed="12"/>
      <name val="宋体"/>
      <family val="3"/>
      <charset val="134"/>
      <scheme val="minor"/>
    </font>
    <font>
      <u/>
      <sz val="10"/>
      <name val="宋体"/>
      <family val="3"/>
      <charset val="134"/>
      <scheme val="minor"/>
    </font>
    <font>
      <b/>
      <sz val="10"/>
      <color indexed="12"/>
      <name val="宋体"/>
      <family val="3"/>
      <charset val="134"/>
      <scheme val="minor"/>
    </font>
    <font>
      <b/>
      <sz val="12"/>
      <name val="Arial"/>
      <family val="2"/>
    </font>
    <font>
      <sz val="10"/>
      <name val="Arial"/>
      <family val="2"/>
    </font>
    <font>
      <sz val="10"/>
      <color theme="1"/>
      <name val="Arial"/>
      <family val="2"/>
    </font>
    <font>
      <b/>
      <sz val="10"/>
      <name val="Arial"/>
      <family val="2"/>
    </font>
    <font>
      <b/>
      <sz val="10"/>
      <color theme="1"/>
      <name val="Arial Narrow"/>
      <family val="2"/>
    </font>
    <font>
      <sz val="10"/>
      <color theme="1"/>
      <name val="宋体"/>
      <family val="3"/>
      <charset val="134"/>
    </font>
    <font>
      <sz val="10"/>
      <color theme="1"/>
      <name val="Arial Narrow"/>
      <family val="2"/>
    </font>
    <font>
      <b/>
      <sz val="10"/>
      <color indexed="10"/>
      <name val="Arial"/>
      <family val="2"/>
    </font>
    <font>
      <sz val="10"/>
      <color theme="1"/>
      <name val="宋体"/>
      <family val="3"/>
      <charset val="134"/>
      <scheme val="minor"/>
    </font>
    <font>
      <sz val="10"/>
      <color rgb="FFFF0000"/>
      <name val="Arial Narrow"/>
      <family val="2"/>
    </font>
    <font>
      <sz val="9"/>
      <color rgb="FF0000FF"/>
      <name val="Arial Narrow"/>
      <family val="2"/>
    </font>
    <font>
      <sz val="11"/>
      <name val="宋体"/>
      <family val="3"/>
      <charset val="134"/>
    </font>
    <font>
      <sz val="10.5"/>
      <name val="宋体"/>
      <family val="3"/>
      <charset val="134"/>
    </font>
    <font>
      <sz val="11"/>
      <color rgb="FF0000FF"/>
      <name val="宋体"/>
      <family val="3"/>
      <charset val="134"/>
    </font>
    <font>
      <sz val="11"/>
      <color theme="1"/>
      <name val="宋体"/>
      <family val="3"/>
      <charset val="134"/>
      <scheme val="minor"/>
    </font>
    <font>
      <u/>
      <sz val="12"/>
      <color indexed="12"/>
      <name val="宋体"/>
      <family val="3"/>
      <charset val="134"/>
    </font>
    <font>
      <sz val="12"/>
      <name val="Times New Roman"/>
      <family val="1"/>
    </font>
    <font>
      <sz val="11"/>
      <color indexed="8"/>
      <name val="宋体"/>
      <family val="3"/>
      <charset val="134"/>
    </font>
    <font>
      <sz val="10"/>
      <name val="Times New Roman"/>
      <family val="1"/>
    </font>
    <font>
      <sz val="10"/>
      <color indexed="8"/>
      <name val="Arial"/>
      <family val="2"/>
    </font>
    <font>
      <sz val="10"/>
      <name val="Helv"/>
      <family val="2"/>
    </font>
    <font>
      <u val="singleAccounting"/>
      <vertAlign val="subscript"/>
      <sz val="10"/>
      <name val="Times New Roman"/>
      <family val="1"/>
    </font>
    <font>
      <i/>
      <sz val="9"/>
      <name val="Times New Roman"/>
      <family val="1"/>
    </font>
    <font>
      <sz val="7"/>
      <name val="Helv"/>
      <family val="2"/>
    </font>
    <font>
      <b/>
      <sz val="10"/>
      <name val="MS Sans Serif"/>
      <family val="1"/>
    </font>
    <font>
      <b/>
      <sz val="8"/>
      <name val="Arial"/>
      <family val="2"/>
    </font>
    <font>
      <sz val="10"/>
      <name val="MS Sans Serif"/>
      <family val="2"/>
    </font>
    <font>
      <sz val="12"/>
      <name val="Arial"/>
      <family val="2"/>
    </font>
    <font>
      <sz val="9"/>
      <name val="Times New Roman"/>
      <family val="1"/>
    </font>
    <font>
      <sz val="8"/>
      <name val="Arial"/>
      <family val="2"/>
    </font>
    <font>
      <u/>
      <sz val="7.5"/>
      <color indexed="36"/>
      <name val="Arial"/>
      <family val="2"/>
    </font>
    <font>
      <b/>
      <sz val="18"/>
      <name val="Arial"/>
      <family val="2"/>
    </font>
    <font>
      <u/>
      <sz val="7.5"/>
      <color indexed="12"/>
      <name val="Arial"/>
      <family val="2"/>
    </font>
    <font>
      <sz val="10"/>
      <name val="CG Times (W1)"/>
      <family val="1"/>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9"/>
      <name val="Times New Roman"/>
      <family val="1"/>
    </font>
    <font>
      <sz val="10"/>
      <name val="Geneva"/>
      <family val="1"/>
    </font>
    <font>
      <sz val="11"/>
      <name val="明朝"/>
      <family val="2"/>
    </font>
    <font>
      <sz val="14"/>
      <name val="柧挬"/>
      <charset val="134"/>
    </font>
    <font>
      <sz val="8"/>
      <name val="Century Schoolbook"/>
      <family val="1"/>
    </font>
    <font>
      <sz val="11"/>
      <color rgb="FF9C0006"/>
      <name val="宋体"/>
      <family val="3"/>
      <charset val="134"/>
      <scheme val="minor"/>
    </font>
    <font>
      <u/>
      <sz val="10"/>
      <color indexed="12"/>
      <name val="MS Sans Serif"/>
      <family val="2"/>
    </font>
    <font>
      <sz val="11"/>
      <color rgb="FF006100"/>
      <name val="宋体"/>
      <family val="3"/>
      <charset val="134"/>
      <scheme val="minor"/>
    </font>
    <font>
      <u/>
      <sz val="10"/>
      <color indexed="14"/>
      <name val="MS Sans Serif"/>
      <family val="2"/>
    </font>
    <font>
      <sz val="12"/>
      <name val="新細明體"/>
      <charset val="134"/>
    </font>
    <font>
      <sz val="12"/>
      <name val="官帕眉"/>
      <charset val="134"/>
    </font>
    <font>
      <sz val="10"/>
      <name val="奔覆眉"/>
      <charset val="134"/>
    </font>
    <font>
      <sz val="12"/>
      <name val="柧挬"/>
      <charset val="134"/>
    </font>
    <font>
      <sz val="11"/>
      <name val="ＭＳ Ｐゴシック"/>
      <family val="2"/>
    </font>
    <font>
      <sz val="12"/>
      <name val="바탕체"/>
      <family val="3"/>
    </font>
    <font>
      <b/>
      <sz val="10"/>
      <color theme="1"/>
      <name val="宋体"/>
      <family val="3"/>
      <charset val="134"/>
    </font>
    <font>
      <b/>
      <sz val="12"/>
      <name val="仿宋_GB2312"/>
      <family val="3"/>
      <charset val="134"/>
    </font>
    <font>
      <sz val="9"/>
      <color rgb="FF0000FF"/>
      <name val="宋体"/>
      <family val="3"/>
      <charset val="134"/>
    </font>
    <font>
      <sz val="10"/>
      <color rgb="FFFF0000"/>
      <name val="宋体"/>
      <family val="3"/>
      <charset val="134"/>
    </font>
    <font>
      <b/>
      <sz val="10"/>
      <color rgb="FFFF0000"/>
      <name val="Arial Narrow"/>
      <family val="2"/>
    </font>
    <font>
      <b/>
      <sz val="10"/>
      <color rgb="FFFF0000"/>
      <name val="宋体"/>
      <family val="3"/>
      <charset val="134"/>
    </font>
    <font>
      <sz val="10"/>
      <color indexed="10"/>
      <name val="宋体"/>
      <family val="3"/>
      <charset val="134"/>
      <scheme val="minor"/>
    </font>
    <font>
      <b/>
      <sz val="9"/>
      <name val="宋体"/>
      <family val="3"/>
      <charset val="134"/>
    </font>
    <font>
      <sz val="9"/>
      <name val="宋体"/>
      <family val="3"/>
      <charset val="134"/>
    </font>
    <font>
      <sz val="12"/>
      <name val="宋体"/>
      <family val="3"/>
      <charset val="134"/>
    </font>
    <font>
      <sz val="9"/>
      <name val="宋体"/>
      <family val="2"/>
      <charset val="134"/>
      <scheme val="minor"/>
    </font>
    <font>
      <u/>
      <sz val="11"/>
      <color theme="10"/>
      <name val="宋体"/>
      <family val="3"/>
      <charset val="134"/>
      <scheme val="minor"/>
    </font>
    <font>
      <sz val="10"/>
      <color rgb="FF0000FF"/>
      <name val="宋体"/>
      <family val="3"/>
      <charset val="134"/>
    </font>
    <font>
      <b/>
      <u val="singleAccounting"/>
      <sz val="10"/>
      <name val="宋体"/>
      <family val="3"/>
      <charset val="134"/>
    </font>
    <font>
      <sz val="11"/>
      <name val="仿宋_GB2312"/>
      <family val="3"/>
      <charset val="134"/>
    </font>
    <font>
      <sz val="11"/>
      <name val="Arial Narrow"/>
      <family val="2"/>
    </font>
    <font>
      <u/>
      <sz val="11"/>
      <color indexed="12"/>
      <name val="宋体"/>
      <family val="3"/>
      <charset val="134"/>
    </font>
    <font>
      <b/>
      <sz val="9"/>
      <color indexed="81"/>
      <name val="宋体"/>
      <family val="3"/>
      <charset val="134"/>
    </font>
    <font>
      <sz val="9"/>
      <color indexed="81"/>
      <name val="宋体"/>
      <family val="3"/>
      <charset val="134"/>
    </font>
    <font>
      <b/>
      <u val="singleAccounting"/>
      <sz val="10"/>
      <name val="Arial Narrow"/>
      <family val="2"/>
    </font>
    <font>
      <sz val="10"/>
      <color rgb="FF0000FF"/>
      <name val="Arial Narrow"/>
      <family val="2"/>
    </font>
  </fonts>
  <fills count="29">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theme="0" tint="-0.14996795556505021"/>
        <bgColor indexed="64"/>
      </patternFill>
    </fill>
    <fill>
      <patternFill patternType="solid">
        <fgColor indexed="14"/>
        <bgColor indexed="64"/>
      </patternFill>
    </fill>
    <fill>
      <patternFill patternType="solid">
        <fgColor indexed="26"/>
        <bgColor indexed="64"/>
      </patternFill>
    </fill>
    <fill>
      <patternFill patternType="solid">
        <fgColor indexed="45"/>
        <bgColor indexed="64"/>
      </patternFill>
    </fill>
    <fill>
      <patternFill patternType="solid">
        <fgColor indexed="43"/>
        <bgColor indexed="64"/>
      </patternFill>
    </fill>
    <fill>
      <patternFill patternType="solid">
        <fgColor indexed="22"/>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54"/>
        <bgColor indexed="64"/>
      </patternFill>
    </fill>
    <fill>
      <patternFill patternType="solid">
        <fgColor indexed="44"/>
        <bgColor indexed="64"/>
      </patternFill>
    </fill>
    <fill>
      <patternFill patternType="solid">
        <fgColor indexed="53"/>
        <bgColor indexed="64"/>
      </patternFill>
    </fill>
    <fill>
      <patternFill patternType="solid">
        <fgColor indexed="13"/>
        <bgColor indexed="64"/>
      </patternFill>
    </fill>
    <fill>
      <patternFill patternType="solid">
        <fgColor indexed="40"/>
        <bgColor indexed="64"/>
      </patternFill>
    </fill>
    <fill>
      <patternFill patternType="solid">
        <fgColor indexed="51"/>
        <bgColor indexed="64"/>
      </patternFill>
    </fill>
    <fill>
      <patternFill patternType="solid">
        <fgColor indexed="52"/>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rgb="FFFFC7CE"/>
        <bgColor indexed="64"/>
      </patternFill>
    </fill>
    <fill>
      <patternFill patternType="solid">
        <fgColor rgb="FFC6EFCE"/>
        <bgColor indexed="64"/>
      </patternFill>
    </fill>
    <fill>
      <patternFill patternType="solid">
        <fgColor theme="2"/>
        <bgColor indexed="64"/>
      </patternFill>
    </fill>
    <fill>
      <patternFill patternType="solid">
        <fgColor theme="7" tint="0.79998168889431442"/>
        <bgColor indexed="64"/>
      </patternFill>
    </fill>
  </fills>
  <borders count="24">
    <border>
      <left/>
      <right/>
      <top/>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diagonal/>
    </border>
    <border>
      <left style="hair">
        <color indexed="8"/>
      </left>
      <right style="hair">
        <color indexed="8"/>
      </right>
      <top style="hair">
        <color indexed="8"/>
      </top>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auto="1"/>
      </top>
      <bottom style="double">
        <color auto="1"/>
      </bottom>
      <diagonal/>
    </border>
    <border>
      <left style="hair">
        <color indexed="64"/>
      </left>
      <right style="hair">
        <color indexed="64"/>
      </right>
      <top style="hair">
        <color indexed="64"/>
      </top>
      <bottom style="hair">
        <color indexed="64"/>
      </bottom>
      <diagonal/>
    </border>
    <border>
      <left/>
      <right/>
      <top style="medium">
        <color auto="1"/>
      </top>
      <bottom/>
      <diagonal/>
    </border>
    <border>
      <left/>
      <right/>
      <top style="thin">
        <color indexed="64"/>
      </top>
      <bottom/>
      <diagonal/>
    </border>
  </borders>
  <cellStyleXfs count="271">
    <xf numFmtId="0" fontId="0" fillId="0" borderId="0">
      <protection locked="0"/>
    </xf>
    <xf numFmtId="43" fontId="105" fillId="0" borderId="0" applyFont="0" applyFill="0" applyBorder="0" applyAlignment="0" applyProtection="0"/>
    <xf numFmtId="9" fontId="105" fillId="0" borderId="0" applyFont="0" applyFill="0" applyBorder="0" applyAlignment="0" applyProtection="0"/>
    <xf numFmtId="0" fontId="48" fillId="0" borderId="0" applyNumberFormat="0" applyFill="0" applyBorder="0" applyAlignment="0" applyProtection="0">
      <alignment vertical="top"/>
      <protection locked="0"/>
    </xf>
    <xf numFmtId="0" fontId="34" fillId="0" borderId="0"/>
    <xf numFmtId="49" fontId="51" fillId="0" borderId="0" applyProtection="0">
      <alignment horizontal="left"/>
    </xf>
    <xf numFmtId="0" fontId="52" fillId="0" borderId="0">
      <alignment vertical="top"/>
      <protection locked="0"/>
    </xf>
    <xf numFmtId="0" fontId="52" fillId="0" borderId="0">
      <alignment vertical="top"/>
      <protection locked="0"/>
    </xf>
    <xf numFmtId="0" fontId="52" fillId="0" borderId="0">
      <alignment vertical="top"/>
    </xf>
    <xf numFmtId="0" fontId="52" fillId="0" borderId="0">
      <alignment vertical="top"/>
      <protection locked="0"/>
    </xf>
    <xf numFmtId="0" fontId="52" fillId="0" borderId="0">
      <alignment vertical="top"/>
      <protection locked="0"/>
    </xf>
    <xf numFmtId="0" fontId="52" fillId="0" borderId="0">
      <alignment vertical="top"/>
      <protection locked="0"/>
    </xf>
    <xf numFmtId="0" fontId="52" fillId="0" borderId="0">
      <alignment vertical="top"/>
    </xf>
    <xf numFmtId="0" fontId="52" fillId="0" borderId="0">
      <alignment vertical="top"/>
    </xf>
    <xf numFmtId="0" fontId="52" fillId="0" borderId="0">
      <alignment vertical="top"/>
      <protection locked="0"/>
    </xf>
    <xf numFmtId="0" fontId="49" fillId="0" borderId="0"/>
    <xf numFmtId="0" fontId="52" fillId="0" borderId="0">
      <alignment vertical="top"/>
    </xf>
    <xf numFmtId="0" fontId="52" fillId="0" borderId="0">
      <alignment vertical="top"/>
    </xf>
    <xf numFmtId="0" fontId="105" fillId="0" borderId="0"/>
    <xf numFmtId="0" fontId="52" fillId="0" borderId="0">
      <alignment vertical="top"/>
      <protection locked="0"/>
    </xf>
    <xf numFmtId="0" fontId="105" fillId="0" borderId="0"/>
    <xf numFmtId="0" fontId="105" fillId="0" borderId="0"/>
    <xf numFmtId="0" fontId="105" fillId="0" borderId="0"/>
    <xf numFmtId="0" fontId="34" fillId="0" borderId="0"/>
    <xf numFmtId="0" fontId="105" fillId="0" borderId="0"/>
    <xf numFmtId="0" fontId="34" fillId="0" borderId="0"/>
    <xf numFmtId="0" fontId="52" fillId="0" borderId="0">
      <alignment vertical="top"/>
    </xf>
    <xf numFmtId="0" fontId="53" fillId="0" borderId="0"/>
    <xf numFmtId="176" fontId="51" fillId="0" borderId="0" applyFill="0" applyBorder="0" applyProtection="0">
      <alignment horizontal="right"/>
    </xf>
    <xf numFmtId="177" fontId="51" fillId="0" borderId="0" applyFill="0" applyBorder="0" applyProtection="0">
      <alignment horizontal="right"/>
    </xf>
    <xf numFmtId="178" fontId="54" fillId="0" borderId="0" applyFill="0" applyBorder="0" applyProtection="0">
      <alignment horizontal="center"/>
    </xf>
    <xf numFmtId="179" fontId="54" fillId="0" borderId="0" applyFill="0" applyBorder="0" applyProtection="0">
      <alignment horizontal="center"/>
    </xf>
    <xf numFmtId="180" fontId="55" fillId="0" borderId="0" applyFill="0" applyBorder="0" applyProtection="0">
      <alignment horizontal="right"/>
    </xf>
    <xf numFmtId="181" fontId="51" fillId="0" borderId="0" applyFill="0" applyBorder="0" applyProtection="0">
      <alignment horizontal="right"/>
    </xf>
    <xf numFmtId="182" fontId="51" fillId="0" borderId="0" applyFill="0" applyBorder="0" applyProtection="0">
      <alignment horizontal="right"/>
    </xf>
    <xf numFmtId="183" fontId="51" fillId="0" borderId="0" applyFill="0" applyBorder="0" applyProtection="0">
      <alignment horizontal="right"/>
    </xf>
    <xf numFmtId="184" fontId="51" fillId="0" borderId="0" applyFill="0" applyBorder="0" applyProtection="0">
      <alignment horizontal="right"/>
    </xf>
    <xf numFmtId="0" fontId="49" fillId="0" borderId="0"/>
    <xf numFmtId="185" fontId="105" fillId="0" borderId="0" applyFont="0" applyFill="0" applyBorder="0" applyAlignment="0" applyProtection="0"/>
    <xf numFmtId="3" fontId="56" fillId="0" borderId="0"/>
    <xf numFmtId="186" fontId="57" fillId="0" borderId="15" applyAlignment="0" applyProtection="0"/>
    <xf numFmtId="187" fontId="105" fillId="0" borderId="0" applyFill="0" applyBorder="0" applyAlignment="0"/>
    <xf numFmtId="188" fontId="53" fillId="0" borderId="0" applyFill="0" applyBorder="0" applyAlignment="0"/>
    <xf numFmtId="189" fontId="53" fillId="0" borderId="0" applyFill="0" applyBorder="0" applyAlignment="0"/>
    <xf numFmtId="190" fontId="34" fillId="0" borderId="0" applyFill="0" applyBorder="0" applyAlignment="0"/>
    <xf numFmtId="191" fontId="34" fillId="0" borderId="0" applyFill="0" applyBorder="0" applyAlignment="0"/>
    <xf numFmtId="192" fontId="53" fillId="0" borderId="0" applyFill="0" applyBorder="0" applyAlignment="0"/>
    <xf numFmtId="193" fontId="53" fillId="0" borderId="0" applyFill="0" applyBorder="0" applyAlignment="0"/>
    <xf numFmtId="188" fontId="53" fillId="0" borderId="0" applyFill="0" applyBorder="0" applyAlignment="0"/>
    <xf numFmtId="0" fontId="58" fillId="0" borderId="16">
      <alignment horizontal="center"/>
    </xf>
    <xf numFmtId="194" fontId="34" fillId="0" borderId="0"/>
    <xf numFmtId="194" fontId="34" fillId="0" borderId="0"/>
    <xf numFmtId="194" fontId="34" fillId="0" borderId="0"/>
    <xf numFmtId="194" fontId="34" fillId="0" borderId="0"/>
    <xf numFmtId="194" fontId="34" fillId="0" borderId="0"/>
    <xf numFmtId="194" fontId="34" fillId="0" borderId="0"/>
    <xf numFmtId="194" fontId="34" fillId="0" borderId="0"/>
    <xf numFmtId="194" fontId="34" fillId="0" borderId="0"/>
    <xf numFmtId="38" fontId="59" fillId="0" borderId="0" applyFont="0" applyFill="0" applyBorder="0" applyAlignment="0" applyProtection="0"/>
    <xf numFmtId="192" fontId="53" fillId="0" borderId="0" applyFont="0" applyFill="0" applyBorder="0" applyAlignment="0" applyProtection="0"/>
    <xf numFmtId="195" fontId="105" fillId="0" borderId="0"/>
    <xf numFmtId="40" fontId="59" fillId="0" borderId="0" applyFont="0" applyFill="0" applyBorder="0" applyAlignment="0" applyProtection="0"/>
    <xf numFmtId="196" fontId="105" fillId="0" borderId="0" applyFont="0" applyFill="0" applyBorder="0" applyAlignment="0" applyProtection="0"/>
    <xf numFmtId="188" fontId="53" fillId="0" borderId="0" applyFont="0" applyFill="0" applyBorder="0" applyAlignment="0" applyProtection="0"/>
    <xf numFmtId="197" fontId="105" fillId="0" borderId="0" applyFont="0" applyFill="0" applyBorder="0" applyAlignment="0" applyProtection="0"/>
    <xf numFmtId="198" fontId="105" fillId="0" borderId="0"/>
    <xf numFmtId="0" fontId="60" fillId="0" borderId="0" applyProtection="0"/>
    <xf numFmtId="14" fontId="52" fillId="0" borderId="0" applyFill="0" applyBorder="0" applyAlignment="0"/>
    <xf numFmtId="0" fontId="60"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199" fontId="105" fillId="0" borderId="0"/>
    <xf numFmtId="192" fontId="53" fillId="0" borderId="0" applyFill="0" applyBorder="0" applyAlignment="0"/>
    <xf numFmtId="188" fontId="53" fillId="0" borderId="0" applyFill="0" applyBorder="0" applyAlignment="0"/>
    <xf numFmtId="192" fontId="53" fillId="0" borderId="0" applyFill="0" applyBorder="0" applyAlignment="0"/>
    <xf numFmtId="193" fontId="53" fillId="0" borderId="0" applyFill="0" applyBorder="0" applyAlignment="0"/>
    <xf numFmtId="188" fontId="53" fillId="0" borderId="0" applyFill="0" applyBorder="0" applyAlignment="0"/>
    <xf numFmtId="0" fontId="61" fillId="0" borderId="0">
      <alignment horizontal="left"/>
    </xf>
    <xf numFmtId="0" fontId="62" fillId="16" borderId="14"/>
    <xf numFmtId="200" fontId="51" fillId="0" borderId="0" applyFont="0" applyFill="0" applyBorder="0" applyAlignment="0" applyProtection="0"/>
    <xf numFmtId="201" fontId="34" fillId="0" borderId="0">
      <protection locked="0"/>
    </xf>
    <xf numFmtId="201" fontId="34" fillId="0" borderId="0">
      <protection locked="0"/>
    </xf>
    <xf numFmtId="201" fontId="34" fillId="0" borderId="0">
      <protection locked="0"/>
    </xf>
    <xf numFmtId="201" fontId="34" fillId="0" borderId="0">
      <protection locked="0"/>
    </xf>
    <xf numFmtId="201" fontId="34" fillId="0" borderId="0">
      <protection locked="0"/>
    </xf>
    <xf numFmtId="201" fontId="34" fillId="0" borderId="0">
      <protection locked="0"/>
    </xf>
    <xf numFmtId="201" fontId="34" fillId="0" borderId="0">
      <protection locked="0"/>
    </xf>
    <xf numFmtId="2" fontId="60" fillId="0" borderId="0" applyProtection="0"/>
    <xf numFmtId="0" fontId="63" fillId="0" borderId="0" applyNumberFormat="0" applyFill="0" applyBorder="0" applyAlignment="0" applyProtection="0">
      <alignment vertical="top"/>
      <protection locked="0"/>
    </xf>
    <xf numFmtId="49" fontId="34" fillId="0" borderId="0">
      <alignment horizontal="left" wrapText="1"/>
    </xf>
    <xf numFmtId="38" fontId="62" fillId="9" borderId="0" applyNumberFormat="0" applyBorder="0" applyAlignment="0" applyProtection="0"/>
    <xf numFmtId="0" fontId="33" fillId="0" borderId="2" applyNumberFormat="0" applyAlignment="0" applyProtection="0">
      <alignment horizontal="left" vertical="center"/>
    </xf>
    <xf numFmtId="0" fontId="33" fillId="0" borderId="17">
      <alignment horizontal="left" vertical="center"/>
    </xf>
    <xf numFmtId="0" fontId="64" fillId="0" borderId="0" applyProtection="0"/>
    <xf numFmtId="0" fontId="33" fillId="0" borderId="0" applyProtection="0"/>
    <xf numFmtId="0" fontId="65" fillId="0" borderId="0" applyNumberFormat="0" applyFill="0" applyBorder="0" applyAlignment="0" applyProtection="0">
      <alignment vertical="top"/>
      <protection locked="0"/>
    </xf>
    <xf numFmtId="10" fontId="62" fillId="6" borderId="14" applyNumberFormat="0" applyBorder="0" applyAlignment="0" applyProtection="0"/>
    <xf numFmtId="0" fontId="51" fillId="0" borderId="0" applyNumberFormat="0" applyFont="0" applyFill="0" applyBorder="0" applyProtection="0">
      <alignment horizontal="left" vertical="center"/>
    </xf>
    <xf numFmtId="192" fontId="53" fillId="0" borderId="0" applyFill="0" applyBorder="0" applyAlignment="0"/>
    <xf numFmtId="188" fontId="53" fillId="0" borderId="0" applyFill="0" applyBorder="0" applyAlignment="0"/>
    <xf numFmtId="192" fontId="53" fillId="0" borderId="0" applyFill="0" applyBorder="0" applyAlignment="0"/>
    <xf numFmtId="193" fontId="53" fillId="0" borderId="0" applyFill="0" applyBorder="0" applyAlignment="0"/>
    <xf numFmtId="188" fontId="53" fillId="0" borderId="0" applyFill="0" applyBorder="0" applyAlignment="0"/>
    <xf numFmtId="202" fontId="66" fillId="0" borderId="0" applyFont="0" applyFill="0" applyBorder="0" applyAlignment="0" applyProtection="0"/>
    <xf numFmtId="203" fontId="66"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204" fontId="105" fillId="0" borderId="0" applyFont="0" applyFill="0" applyBorder="0" applyAlignment="0" applyProtection="0"/>
    <xf numFmtId="205" fontId="105" fillId="0" borderId="0" applyFont="0" applyFill="0" applyBorder="0" applyAlignment="0" applyProtection="0"/>
    <xf numFmtId="206" fontId="34" fillId="0" borderId="0" applyFont="0" applyFill="0" applyBorder="0" applyAlignment="0" applyProtection="0"/>
    <xf numFmtId="192" fontId="34" fillId="0" borderId="0" applyFont="0" applyFill="0" applyBorder="0" applyAlignment="0" applyProtection="0"/>
    <xf numFmtId="206" fontId="34" fillId="0" borderId="0" applyFont="0" applyFill="0" applyBorder="0" applyAlignment="0" applyProtection="0"/>
    <xf numFmtId="192" fontId="34" fillId="0" borderId="0" applyFont="0" applyFill="0" applyBorder="0" applyAlignment="0" applyProtection="0"/>
    <xf numFmtId="207" fontId="34" fillId="0" borderId="0" applyFont="0" applyFill="0" applyBorder="0" applyAlignment="0" applyProtection="0"/>
    <xf numFmtId="208" fontId="105" fillId="0" borderId="0" applyFont="0" applyFill="0" applyBorder="0" applyAlignment="0" applyProtection="0"/>
    <xf numFmtId="37" fontId="67" fillId="0" borderId="0"/>
    <xf numFmtId="0" fontId="68" fillId="0" borderId="0"/>
    <xf numFmtId="0" fontId="69" fillId="0" borderId="0">
      <alignment horizontal="center" vertical="center"/>
    </xf>
    <xf numFmtId="209" fontId="105" fillId="0" borderId="0"/>
    <xf numFmtId="0" fontId="59" fillId="0" borderId="0"/>
    <xf numFmtId="0" fontId="66" fillId="0" borderId="0" applyProtection="0"/>
    <xf numFmtId="0" fontId="69" fillId="0" borderId="0"/>
    <xf numFmtId="191" fontId="34" fillId="0" borderId="0" applyFont="0" applyFill="0" applyBorder="0" applyAlignment="0" applyProtection="0"/>
    <xf numFmtId="210" fontId="34" fillId="0" borderId="0" applyFont="0" applyFill="0" applyBorder="0" applyAlignment="0" applyProtection="0"/>
    <xf numFmtId="10" fontId="34" fillId="0" borderId="0" applyFont="0" applyFill="0" applyBorder="0" applyAlignment="0" applyProtection="0"/>
    <xf numFmtId="211" fontId="34" fillId="0" borderId="0" applyFont="0" applyFill="0" applyBorder="0" applyAlignment="0" applyProtection="0"/>
    <xf numFmtId="0" fontId="62" fillId="9" borderId="14"/>
    <xf numFmtId="192" fontId="53" fillId="0" borderId="0" applyFill="0" applyBorder="0" applyAlignment="0"/>
    <xf numFmtId="188" fontId="53" fillId="0" borderId="0" applyFill="0" applyBorder="0" applyAlignment="0"/>
    <xf numFmtId="192" fontId="53" fillId="0" borderId="0" applyFill="0" applyBorder="0" applyAlignment="0"/>
    <xf numFmtId="193" fontId="53" fillId="0" borderId="0" applyFill="0" applyBorder="0" applyAlignment="0"/>
    <xf numFmtId="188" fontId="53" fillId="0" borderId="0" applyFill="0" applyBorder="0" applyAlignment="0"/>
    <xf numFmtId="4" fontId="61" fillId="0" borderId="0">
      <alignment horizontal="right"/>
    </xf>
    <xf numFmtId="3" fontId="70" fillId="0" borderId="0"/>
    <xf numFmtId="4" fontId="71" fillId="0" borderId="0">
      <alignment horizontal="right"/>
    </xf>
    <xf numFmtId="41" fontId="51" fillId="0" borderId="0" applyFont="0" applyFill="0" applyBorder="0" applyAlignment="0" applyProtection="0"/>
    <xf numFmtId="4" fontId="72" fillId="8" borderId="18" applyNumberFormat="0" applyProtection="0">
      <alignment vertical="center"/>
    </xf>
    <xf numFmtId="4" fontId="73" fillId="8" borderId="18" applyNumberFormat="0" applyProtection="0">
      <alignment vertical="center"/>
    </xf>
    <xf numFmtId="4" fontId="72" fillId="8" borderId="18" applyNumberFormat="0" applyProtection="0">
      <alignment horizontal="left" vertical="center" indent="1"/>
    </xf>
    <xf numFmtId="0" fontId="72" fillId="8" borderId="18" applyNumberFormat="0" applyProtection="0">
      <alignment horizontal="left" vertical="top" indent="1"/>
    </xf>
    <xf numFmtId="4" fontId="72" fillId="17" borderId="0" applyNumberFormat="0" applyProtection="0">
      <alignment horizontal="left" vertical="center" indent="1"/>
    </xf>
    <xf numFmtId="4" fontId="52" fillId="7" borderId="18" applyNumberFormat="0" applyProtection="0">
      <alignment horizontal="right" vertical="center"/>
    </xf>
    <xf numFmtId="4" fontId="52" fillId="11" borderId="18" applyNumberFormat="0" applyProtection="0">
      <alignment horizontal="right" vertical="center"/>
    </xf>
    <xf numFmtId="4" fontId="52" fillId="10" borderId="18" applyNumberFormat="0" applyProtection="0">
      <alignment horizontal="right" vertical="center"/>
    </xf>
    <xf numFmtId="4" fontId="52" fillId="18" borderId="18" applyNumberFormat="0" applyProtection="0">
      <alignment horizontal="right" vertical="center"/>
    </xf>
    <xf numFmtId="4" fontId="52" fillId="19" borderId="18" applyNumberFormat="0" applyProtection="0">
      <alignment horizontal="right" vertical="center"/>
    </xf>
    <xf numFmtId="4" fontId="52" fillId="15" borderId="18" applyNumberFormat="0" applyProtection="0">
      <alignment horizontal="right" vertical="center"/>
    </xf>
    <xf numFmtId="4" fontId="52" fillId="12" borderId="18" applyNumberFormat="0" applyProtection="0">
      <alignment horizontal="right" vertical="center"/>
    </xf>
    <xf numFmtId="4" fontId="52" fillId="20" borderId="18" applyNumberFormat="0" applyProtection="0">
      <alignment horizontal="right" vertical="center"/>
    </xf>
    <xf numFmtId="4" fontId="52" fillId="21" borderId="18" applyNumberFormat="0" applyProtection="0">
      <alignment horizontal="right" vertical="center"/>
    </xf>
    <xf numFmtId="4" fontId="72" fillId="22" borderId="19" applyNumberFormat="0" applyProtection="0">
      <alignment horizontal="left" vertical="center" indent="1"/>
    </xf>
    <xf numFmtId="4" fontId="52" fillId="23" borderId="0" applyNumberFormat="0" applyProtection="0">
      <alignment horizontal="left" vertical="center" indent="1"/>
    </xf>
    <xf numFmtId="4" fontId="74" fillId="13" borderId="0" applyNumberFormat="0" applyProtection="0">
      <alignment horizontal="left" vertical="center" indent="1"/>
    </xf>
    <xf numFmtId="4" fontId="52" fillId="17" borderId="18" applyNumberFormat="0" applyProtection="0">
      <alignment horizontal="right" vertical="center"/>
    </xf>
    <xf numFmtId="4" fontId="52" fillId="23" borderId="0" applyNumberFormat="0" applyProtection="0">
      <alignment horizontal="left" vertical="center" indent="1"/>
    </xf>
    <xf numFmtId="4" fontId="52" fillId="17" borderId="0" applyNumberFormat="0" applyProtection="0">
      <alignment horizontal="left" vertical="center" indent="1"/>
    </xf>
    <xf numFmtId="0" fontId="34" fillId="13" borderId="18" applyNumberFormat="0" applyProtection="0">
      <alignment horizontal="left" vertical="center" indent="1"/>
    </xf>
    <xf numFmtId="0" fontId="34" fillId="13" borderId="18" applyNumberFormat="0" applyProtection="0">
      <alignment horizontal="left" vertical="top" indent="1"/>
    </xf>
    <xf numFmtId="0" fontId="34" fillId="17" borderId="18" applyNumberFormat="0" applyProtection="0">
      <alignment horizontal="left" vertical="center" indent="1"/>
    </xf>
    <xf numFmtId="0" fontId="34" fillId="17" borderId="18" applyNumberFormat="0" applyProtection="0">
      <alignment horizontal="left" vertical="top" indent="1"/>
    </xf>
    <xf numFmtId="0" fontId="34" fillId="14" borderId="18" applyNumberFormat="0" applyProtection="0">
      <alignment horizontal="left" vertical="center" indent="1"/>
    </xf>
    <xf numFmtId="0" fontId="34" fillId="14" borderId="18" applyNumberFormat="0" applyProtection="0">
      <alignment horizontal="left" vertical="top" indent="1"/>
    </xf>
    <xf numFmtId="0" fontId="34" fillId="23" borderId="18" applyNumberFormat="0" applyProtection="0">
      <alignment horizontal="left" vertical="center" indent="1"/>
    </xf>
    <xf numFmtId="0" fontId="34" fillId="23" borderId="18" applyNumberFormat="0" applyProtection="0">
      <alignment horizontal="left" vertical="top" indent="1"/>
    </xf>
    <xf numFmtId="4" fontId="52" fillId="6" borderId="18" applyNumberFormat="0" applyProtection="0">
      <alignment vertical="center"/>
    </xf>
    <xf numFmtId="4" fontId="75" fillId="6" borderId="18" applyNumberFormat="0" applyProtection="0">
      <alignment vertical="center"/>
    </xf>
    <xf numFmtId="4" fontId="52" fillId="6" borderId="18" applyNumberFormat="0" applyProtection="0">
      <alignment horizontal="left" vertical="center" indent="1"/>
    </xf>
    <xf numFmtId="0" fontId="52" fillId="6" borderId="18" applyNumberFormat="0" applyProtection="0">
      <alignment horizontal="left" vertical="top" indent="1"/>
    </xf>
    <xf numFmtId="4" fontId="52" fillId="23" borderId="18" applyNumberFormat="0" applyProtection="0">
      <alignment horizontal="right" vertical="center"/>
    </xf>
    <xf numFmtId="4" fontId="75" fillId="23" borderId="18" applyNumberFormat="0" applyProtection="0">
      <alignment horizontal="right" vertical="center"/>
    </xf>
    <xf numFmtId="4" fontId="52" fillId="17" borderId="18" applyNumberFormat="0" applyProtection="0">
      <alignment horizontal="left" vertical="center" indent="1"/>
    </xf>
    <xf numFmtId="0" fontId="52" fillId="17" borderId="18" applyNumberFormat="0" applyProtection="0">
      <alignment horizontal="left" vertical="top" indent="1"/>
    </xf>
    <xf numFmtId="4" fontId="76" fillId="24" borderId="0" applyNumberFormat="0" applyProtection="0">
      <alignment horizontal="left" vertical="center" indent="1"/>
    </xf>
    <xf numFmtId="4" fontId="77" fillId="23" borderId="18" applyNumberFormat="0" applyProtection="0">
      <alignment horizontal="right" vertical="center"/>
    </xf>
    <xf numFmtId="0" fontId="78" fillId="0" borderId="0">
      <alignment horizontal="left"/>
    </xf>
    <xf numFmtId="0" fontId="79" fillId="0" borderId="14">
      <alignment horizontal="center"/>
    </xf>
    <xf numFmtId="0" fontId="79" fillId="0" borderId="0">
      <alignment horizontal="center" vertical="center"/>
    </xf>
    <xf numFmtId="0" fontId="80" fillId="0" borderId="0" applyNumberFormat="0" applyFill="0">
      <alignment horizontal="left" vertical="center"/>
    </xf>
    <xf numFmtId="49" fontId="52" fillId="0" borderId="0" applyFill="0" applyBorder="0" applyAlignment="0"/>
    <xf numFmtId="211" fontId="34" fillId="0" borderId="0" applyFill="0" applyBorder="0" applyAlignment="0"/>
    <xf numFmtId="212" fontId="34" fillId="0" borderId="0" applyFill="0" applyBorder="0" applyAlignment="0"/>
    <xf numFmtId="0" fontId="81" fillId="0" borderId="0">
      <alignment horizontal="center"/>
    </xf>
    <xf numFmtId="0" fontId="60" fillId="0" borderId="20" applyProtection="0"/>
    <xf numFmtId="202" fontId="34" fillId="0" borderId="0" applyFont="0" applyFill="0" applyBorder="0" applyAlignment="0" applyProtection="0"/>
    <xf numFmtId="203" fontId="34" fillId="0" borderId="0" applyFont="0" applyFill="0" applyBorder="0" applyAlignment="0" applyProtection="0"/>
    <xf numFmtId="213" fontId="34" fillId="0" borderId="0" applyFont="0" applyFill="0" applyBorder="0" applyAlignment="0" applyProtection="0"/>
    <xf numFmtId="214" fontId="34" fillId="0" borderId="0" applyFont="0" applyFill="0" applyBorder="0" applyAlignment="0" applyProtection="0"/>
    <xf numFmtId="0" fontId="82" fillId="0" borderId="0" applyNumberFormat="0" applyFont="0" applyFill="0" applyBorder="0" applyProtection="0">
      <alignment horizontal="center" vertical="center" wrapText="1"/>
    </xf>
    <xf numFmtId="9" fontId="83" fillId="0" borderId="0" applyFont="0" applyFill="0" applyBorder="0" applyAlignment="0" applyProtection="0"/>
    <xf numFmtId="0" fontId="17" fillId="0" borderId="0"/>
    <xf numFmtId="9" fontId="49" fillId="0" borderId="0" applyFont="0" applyFill="0" applyBorder="0" applyAlignment="0" applyProtection="0"/>
    <xf numFmtId="9" fontId="50" fillId="0" borderId="0" applyFont="0" applyFill="0" applyBorder="0" applyAlignment="0" applyProtection="0">
      <alignment vertical="center"/>
    </xf>
    <xf numFmtId="9" fontId="105" fillId="0" borderId="0" applyFont="0" applyFill="0" applyBorder="0" applyAlignment="0" applyProtection="0"/>
    <xf numFmtId="9" fontId="105" fillId="0" borderId="0" applyFont="0" applyFill="0" applyBorder="0" applyAlignment="0" applyProtection="0">
      <alignment vertical="center"/>
    </xf>
    <xf numFmtId="9" fontId="105" fillId="0" borderId="0" applyFont="0" applyFill="0" applyBorder="0" applyAlignment="0" applyProtection="0"/>
    <xf numFmtId="0" fontId="84" fillId="0" borderId="0" applyFont="0" applyFill="0" applyBorder="0" applyAlignment="0" applyProtection="0"/>
    <xf numFmtId="0" fontId="84" fillId="0" borderId="0" applyFont="0" applyFill="0" applyBorder="0" applyAlignment="0" applyProtection="0"/>
    <xf numFmtId="4" fontId="85" fillId="0" borderId="0">
      <alignment horizontal="right"/>
    </xf>
    <xf numFmtId="0" fontId="86" fillId="25" borderId="0" applyNumberFormat="0" applyBorder="0" applyAlignment="0" applyProtection="0">
      <alignment vertical="center"/>
    </xf>
    <xf numFmtId="0" fontId="49" fillId="0" borderId="0"/>
    <xf numFmtId="200" fontId="105" fillId="0" borderId="0">
      <protection locked="0"/>
    </xf>
    <xf numFmtId="0" fontId="105" fillId="0" borderId="0">
      <protection locked="0"/>
    </xf>
    <xf numFmtId="0" fontId="105" fillId="0" borderId="0">
      <protection locked="0"/>
    </xf>
    <xf numFmtId="200" fontId="105" fillId="0" borderId="0">
      <alignment vertical="center"/>
      <protection locked="0"/>
    </xf>
    <xf numFmtId="0" fontId="105" fillId="0" borderId="0">
      <protection locked="0"/>
    </xf>
    <xf numFmtId="0" fontId="105" fillId="0" borderId="0">
      <protection locked="0"/>
    </xf>
    <xf numFmtId="0" fontId="105" fillId="0" borderId="0"/>
    <xf numFmtId="0" fontId="105" fillId="0" borderId="0">
      <alignment vertical="center"/>
    </xf>
    <xf numFmtId="0" fontId="105" fillId="0" borderId="0">
      <alignment vertical="center"/>
    </xf>
    <xf numFmtId="0" fontId="105" fillId="0" borderId="0">
      <alignment vertical="center"/>
    </xf>
    <xf numFmtId="0" fontId="105" fillId="0" borderId="0">
      <alignment vertical="center"/>
    </xf>
    <xf numFmtId="0" fontId="105" fillId="0" borderId="0">
      <alignment vertical="center"/>
    </xf>
    <xf numFmtId="0" fontId="47" fillId="0" borderId="0">
      <alignment vertical="center"/>
    </xf>
    <xf numFmtId="0" fontId="47" fillId="0" borderId="0">
      <alignment vertical="center"/>
    </xf>
    <xf numFmtId="0" fontId="47" fillId="0" borderId="0">
      <alignment vertical="center"/>
    </xf>
    <xf numFmtId="0" fontId="105" fillId="0" borderId="0">
      <alignment vertical="center"/>
    </xf>
    <xf numFmtId="0" fontId="49" fillId="0" borderId="0"/>
    <xf numFmtId="0" fontId="105" fillId="0" borderId="0">
      <protection locked="0"/>
    </xf>
    <xf numFmtId="0" fontId="105" fillId="0" borderId="0" applyFill="0" applyBorder="0"/>
    <xf numFmtId="0" fontId="105" fillId="0" borderId="0">
      <alignment vertical="center"/>
    </xf>
    <xf numFmtId="0" fontId="87" fillId="0" borderId="0" applyNumberFormat="0" applyFill="0" applyBorder="0" applyAlignment="0" applyProtection="0"/>
    <xf numFmtId="0" fontId="48" fillId="0" borderId="0" applyNumberFormat="0" applyFill="0" applyBorder="0" applyAlignment="0" applyProtection="0">
      <alignment vertical="top"/>
      <protection locked="0"/>
    </xf>
    <xf numFmtId="0" fontId="57" fillId="0" borderId="0" applyNumberFormat="0" applyFill="0" applyBorder="0" applyAlignment="0" applyProtection="0"/>
    <xf numFmtId="0" fontId="88" fillId="26" borderId="0" applyNumberFormat="0" applyBorder="0" applyAlignment="0" applyProtection="0">
      <alignment vertical="center"/>
    </xf>
    <xf numFmtId="4" fontId="82" fillId="0" borderId="0" applyFont="0" applyFill="0" applyBorder="0" applyAlignment="0" applyProtection="0"/>
    <xf numFmtId="41" fontId="34" fillId="0" borderId="0" applyFont="0" applyFill="0" applyBorder="0" applyAlignment="0" applyProtection="0"/>
    <xf numFmtId="0" fontId="89" fillId="0" borderId="0" applyNumberFormat="0" applyFill="0" applyBorder="0" applyAlignment="0" applyProtection="0"/>
    <xf numFmtId="213" fontId="90" fillId="0" borderId="0" applyFont="0" applyFill="0" applyBorder="0" applyAlignment="0" applyProtection="0"/>
    <xf numFmtId="214" fontId="90" fillId="0" borderId="0" applyFont="0" applyFill="0" applyBorder="0" applyAlignment="0" applyProtection="0"/>
    <xf numFmtId="204" fontId="34" fillId="0" borderId="0" applyFont="0" applyFill="0" applyBorder="0" applyAlignment="0" applyProtection="0"/>
    <xf numFmtId="215" fontId="34" fillId="0" borderId="0" applyFont="0" applyFill="0" applyBorder="0" applyAlignment="0" applyProtection="0"/>
    <xf numFmtId="216" fontId="91" fillId="0" borderId="0" applyFont="0" applyFill="0" applyBorder="0" applyAlignment="0" applyProtection="0"/>
    <xf numFmtId="217" fontId="91" fillId="0" borderId="0" applyFont="0" applyFill="0" applyBorder="0" applyAlignment="0" applyProtection="0"/>
    <xf numFmtId="0" fontId="51" fillId="0" borderId="0"/>
    <xf numFmtId="0" fontId="51" fillId="0" borderId="0" applyFont="0" applyFill="0" applyBorder="0" applyAlignment="0" applyProtection="0"/>
    <xf numFmtId="0" fontId="51" fillId="0" borderId="0" applyFont="0" applyFill="0" applyBorder="0" applyAlignment="0" applyProtection="0"/>
    <xf numFmtId="218" fontId="105" fillId="0" borderId="0" applyFont="0" applyFill="0" applyBorder="0" applyAlignment="0" applyProtection="0"/>
    <xf numFmtId="219" fontId="105" fillId="0" borderId="0" applyFont="0" applyFill="0" applyBorder="0" applyAlignment="0" applyProtection="0"/>
    <xf numFmtId="43" fontId="105" fillId="0" borderId="0" applyFont="0" applyFill="0" applyBorder="0" applyAlignment="0" applyProtection="0">
      <alignment vertical="center"/>
    </xf>
    <xf numFmtId="43" fontId="105" fillId="0" borderId="0" applyFont="0" applyFill="0" applyBorder="0" applyAlignment="0" applyProtection="0">
      <alignment vertical="center"/>
    </xf>
    <xf numFmtId="43" fontId="105" fillId="0" borderId="0" applyFont="0" applyFill="0" applyBorder="0" applyAlignment="0" applyProtection="0">
      <alignment vertical="center"/>
    </xf>
    <xf numFmtId="43" fontId="105" fillId="0" borderId="0" applyFont="0" applyFill="0" applyBorder="0" applyAlignment="0" applyProtection="0"/>
    <xf numFmtId="43" fontId="47" fillId="0" borderId="0" applyFont="0" applyFill="0" applyBorder="0" applyAlignment="0" applyProtection="0">
      <alignment vertical="center"/>
    </xf>
    <xf numFmtId="0" fontId="92" fillId="0" borderId="0"/>
    <xf numFmtId="192" fontId="34" fillId="0" borderId="0" applyFont="0" applyFill="0" applyBorder="0" applyAlignment="0" applyProtection="0"/>
    <xf numFmtId="220" fontId="105" fillId="0" borderId="0" applyFont="0" applyFill="0" applyBorder="0" applyAlignment="0" applyProtection="0"/>
    <xf numFmtId="0" fontId="52" fillId="0" borderId="0">
      <alignment vertical="top"/>
      <protection locked="0"/>
    </xf>
    <xf numFmtId="0" fontId="90" fillId="0" borderId="0"/>
    <xf numFmtId="0" fontId="93" fillId="0" borderId="0"/>
    <xf numFmtId="40" fontId="84" fillId="0" borderId="0" applyFont="0" applyFill="0" applyBorder="0" applyAlignment="0" applyProtection="0"/>
    <xf numFmtId="38" fontId="84" fillId="0" borderId="0" applyFont="0" applyFill="0" applyBorder="0" applyAlignment="0" applyProtection="0"/>
    <xf numFmtId="38" fontId="94" fillId="0" borderId="0" applyFont="0" applyFill="0" applyBorder="0" applyAlignment="0" applyProtection="0"/>
    <xf numFmtId="40" fontId="94" fillId="0" borderId="0" applyFont="0" applyFill="0" applyBorder="0" applyAlignment="0" applyProtection="0"/>
    <xf numFmtId="0" fontId="94" fillId="0" borderId="0" applyFont="0" applyFill="0" applyBorder="0" applyAlignment="0" applyProtection="0"/>
    <xf numFmtId="0" fontId="94" fillId="0" borderId="0" applyFont="0" applyFill="0" applyBorder="0" applyAlignment="0" applyProtection="0"/>
    <xf numFmtId="0" fontId="95" fillId="0" borderId="0"/>
    <xf numFmtId="200" fontId="2" fillId="0" borderId="0">
      <alignment vertical="center"/>
    </xf>
    <xf numFmtId="0" fontId="49" fillId="0" borderId="0">
      <protection locked="0"/>
    </xf>
    <xf numFmtId="0" fontId="107" fillId="0" borderId="0" applyNumberFormat="0" applyFill="0" applyBorder="0" applyAlignment="0" applyProtection="0"/>
    <xf numFmtId="219" fontId="49" fillId="0" borderId="0" applyFont="0" applyFill="0" applyBorder="0" applyAlignment="0" applyProtection="0"/>
    <xf numFmtId="0" fontId="105" fillId="0" borderId="0">
      <alignment vertical="center"/>
    </xf>
    <xf numFmtId="0" fontId="105" fillId="0" borderId="0"/>
    <xf numFmtId="0" fontId="105" fillId="0" borderId="0">
      <alignment vertical="center"/>
    </xf>
    <xf numFmtId="0" fontId="105" fillId="0" borderId="0"/>
    <xf numFmtId="0" fontId="105" fillId="0" borderId="0"/>
    <xf numFmtId="9" fontId="50" fillId="0" borderId="0" applyFont="0" applyFill="0" applyBorder="0" applyAlignment="0" applyProtection="0">
      <alignment vertical="center"/>
    </xf>
    <xf numFmtId="0" fontId="105" fillId="0" borderId="0">
      <alignment vertical="center"/>
    </xf>
    <xf numFmtId="0" fontId="47" fillId="0" borderId="0"/>
    <xf numFmtId="0" fontId="105" fillId="0" borderId="0"/>
    <xf numFmtId="0" fontId="105" fillId="0" borderId="0"/>
    <xf numFmtId="200" fontId="1" fillId="0" borderId="0">
      <alignment vertical="center"/>
    </xf>
  </cellStyleXfs>
  <cellXfs count="439">
    <xf numFmtId="0" fontId="0" fillId="0" borderId="0" xfId="0">
      <protection locked="0"/>
    </xf>
    <xf numFmtId="0" fontId="3" fillId="0" borderId="0" xfId="0" applyFont="1" applyAlignment="1">
      <alignment vertical="center"/>
      <protection locked="0"/>
    </xf>
    <xf numFmtId="0" fontId="6" fillId="0" borderId="0" xfId="218" applyFont="1" applyBorder="1" applyAlignment="1">
      <alignment vertical="center"/>
    </xf>
    <xf numFmtId="0" fontId="6" fillId="0" borderId="0" xfId="218" applyFont="1" applyBorder="1" applyAlignment="1">
      <alignment horizontal="left" vertical="center"/>
    </xf>
    <xf numFmtId="0" fontId="7" fillId="2" borderId="1" xfId="201" applyFont="1" applyFill="1" applyBorder="1" applyAlignment="1" applyProtection="1">
      <alignment horizontal="center" vertical="center"/>
    </xf>
    <xf numFmtId="0" fontId="7" fillId="2" borderId="1" xfId="201" applyFont="1" applyFill="1" applyBorder="1" applyAlignment="1" applyProtection="1">
      <alignment horizontal="center" vertical="center" wrapText="1"/>
    </xf>
    <xf numFmtId="0" fontId="8" fillId="2" borderId="1" xfId="208" applyFont="1" applyFill="1" applyBorder="1" applyAlignment="1" applyProtection="1">
      <alignment horizontal="center" vertical="center" wrapText="1"/>
      <protection locked="0"/>
    </xf>
    <xf numFmtId="0" fontId="9" fillId="2" borderId="1" xfId="208" applyFont="1" applyFill="1" applyBorder="1" applyAlignment="1" applyProtection="1">
      <alignment horizontal="center" vertical="center" wrapText="1"/>
      <protection locked="0"/>
    </xf>
    <xf numFmtId="0" fontId="10" fillId="0" borderId="1" xfId="201" applyFont="1" applyBorder="1" applyAlignment="1" applyProtection="1">
      <alignment vertical="center"/>
    </xf>
    <xf numFmtId="0" fontId="6" fillId="0" borderId="1" xfId="201" applyFont="1" applyBorder="1" applyAlignment="1" applyProtection="1">
      <alignment vertical="center"/>
    </xf>
    <xf numFmtId="0" fontId="11" fillId="0" borderId="1" xfId="201" applyFont="1" applyBorder="1" applyAlignment="1" applyProtection="1">
      <alignment horizontal="left" vertical="center"/>
    </xf>
    <xf numFmtId="0" fontId="7" fillId="0" borderId="1" xfId="201" applyFont="1" applyBorder="1" applyAlignment="1" applyProtection="1">
      <alignment horizontal="center" vertical="center"/>
    </xf>
    <xf numFmtId="0" fontId="8" fillId="0" borderId="0" xfId="218" applyFont="1" applyBorder="1" applyAlignment="1">
      <alignment horizontal="left" vertical="center"/>
    </xf>
    <xf numFmtId="0" fontId="6" fillId="0" borderId="0" xfId="216" applyFont="1" applyAlignment="1">
      <alignment vertical="center"/>
    </xf>
    <xf numFmtId="0" fontId="6" fillId="0" borderId="0" xfId="216" applyFont="1" applyAlignment="1">
      <alignment horizontal="left" vertical="center"/>
    </xf>
    <xf numFmtId="0" fontId="6" fillId="0" borderId="0" xfId="218" applyFont="1" applyFill="1" applyBorder="1" applyAlignment="1">
      <alignment vertical="center"/>
    </xf>
    <xf numFmtId="0" fontId="8" fillId="0" borderId="0" xfId="216" applyFont="1" applyAlignment="1">
      <alignment vertical="center"/>
    </xf>
    <xf numFmtId="0" fontId="12" fillId="0" borderId="0" xfId="201" applyFont="1" applyAlignment="1">
      <alignment vertical="center"/>
      <protection locked="0"/>
    </xf>
    <xf numFmtId="0" fontId="6" fillId="0" borderId="0" xfId="201" applyFont="1" applyAlignment="1">
      <alignment vertical="center"/>
      <protection locked="0"/>
    </xf>
    <xf numFmtId="0" fontId="3" fillId="0" borderId="0" xfId="201" applyFont="1" applyAlignment="1">
      <alignment vertical="center"/>
      <protection locked="0"/>
    </xf>
    <xf numFmtId="0" fontId="6" fillId="0" borderId="0" xfId="218" applyFont="1" applyBorder="1" applyAlignment="1">
      <alignment horizontal="right" vertical="center"/>
    </xf>
    <xf numFmtId="0" fontId="105" fillId="0" borderId="0" xfId="215">
      <alignment vertical="center"/>
    </xf>
    <xf numFmtId="0" fontId="13" fillId="0" borderId="0" xfId="201" applyFont="1" applyAlignment="1">
      <alignment vertical="center"/>
      <protection locked="0"/>
    </xf>
    <xf numFmtId="0" fontId="14" fillId="0" borderId="0" xfId="201" applyFont="1" applyAlignment="1">
      <alignment horizontal="center" vertical="center"/>
      <protection locked="0"/>
    </xf>
    <xf numFmtId="0" fontId="105" fillId="0" borderId="0" xfId="201" applyAlignment="1">
      <alignment vertical="center"/>
      <protection locked="0"/>
    </xf>
    <xf numFmtId="14" fontId="13" fillId="0" borderId="0" xfId="201" applyNumberFormat="1" applyFont="1" applyAlignment="1">
      <alignment vertical="center"/>
      <protection locked="0"/>
    </xf>
    <xf numFmtId="0" fontId="13" fillId="0" borderId="0" xfId="201" applyFont="1" applyAlignment="1">
      <alignment horizontal="right" vertical="center"/>
      <protection locked="0"/>
    </xf>
    <xf numFmtId="0" fontId="14" fillId="0" borderId="0" xfId="201" applyFont="1" applyAlignment="1">
      <alignment vertical="center"/>
      <protection locked="0"/>
    </xf>
    <xf numFmtId="0" fontId="13" fillId="0" borderId="0" xfId="219" applyFont="1">
      <alignment vertical="center"/>
    </xf>
    <xf numFmtId="0" fontId="14" fillId="3" borderId="1" xfId="201" applyFont="1" applyFill="1" applyBorder="1" applyAlignment="1">
      <alignment horizontal="center" vertical="center"/>
      <protection locked="0"/>
    </xf>
    <xf numFmtId="0" fontId="13" fillId="0" borderId="1" xfId="201" applyFont="1" applyBorder="1" applyAlignment="1">
      <alignment horizontal="justify" vertical="center" wrapText="1"/>
      <protection locked="0"/>
    </xf>
    <xf numFmtId="43" fontId="17" fillId="3" borderId="1" xfId="201" applyNumberFormat="1" applyFont="1" applyFill="1" applyBorder="1" applyAlignment="1">
      <alignment vertical="center" wrapText="1"/>
      <protection locked="0"/>
    </xf>
    <xf numFmtId="0" fontId="17" fillId="0" borderId="1" xfId="201" applyFont="1" applyBorder="1" applyAlignment="1">
      <alignment vertical="center"/>
      <protection locked="0"/>
    </xf>
    <xf numFmtId="43" fontId="17" fillId="0" borderId="1" xfId="201" applyNumberFormat="1" applyFont="1" applyBorder="1" applyAlignment="1">
      <alignment vertical="center" wrapText="1"/>
      <protection locked="0"/>
    </xf>
    <xf numFmtId="0" fontId="13" fillId="0" borderId="1" xfId="201" applyFont="1" applyBorder="1" applyAlignment="1">
      <alignment vertical="center"/>
      <protection locked="0"/>
    </xf>
    <xf numFmtId="43" fontId="13" fillId="0" borderId="1" xfId="241" applyFont="1" applyBorder="1" applyAlignment="1">
      <alignment horizontal="center" vertical="center"/>
    </xf>
    <xf numFmtId="43" fontId="17" fillId="3" borderId="1" xfId="241" applyFont="1" applyFill="1" applyBorder="1" applyAlignment="1" applyProtection="1">
      <alignment horizontal="right" vertical="center" wrapText="1"/>
      <protection locked="0"/>
    </xf>
    <xf numFmtId="221" fontId="17" fillId="3" borderId="1" xfId="201" applyNumberFormat="1" applyFont="1" applyFill="1" applyBorder="1" applyAlignment="1">
      <alignment horizontal="right" vertical="center" wrapText="1"/>
      <protection locked="0"/>
    </xf>
    <xf numFmtId="9" fontId="13" fillId="0" borderId="1" xfId="241" applyNumberFormat="1" applyFont="1" applyBorder="1" applyAlignment="1">
      <alignment horizontal="center" vertical="center"/>
    </xf>
    <xf numFmtId="0" fontId="14" fillId="0" borderId="1" xfId="201" applyFont="1" applyBorder="1" applyAlignment="1">
      <alignment horizontal="justify" vertical="center" wrapText="1"/>
      <protection locked="0"/>
    </xf>
    <xf numFmtId="4" fontId="18" fillId="0" borderId="1" xfId="201" applyNumberFormat="1" applyFont="1" applyBorder="1" applyAlignment="1">
      <alignment horizontal="right" vertical="center" wrapText="1"/>
      <protection locked="0"/>
    </xf>
    <xf numFmtId="0" fontId="14" fillId="0" borderId="1" xfId="201" applyFont="1" applyBorder="1" applyAlignment="1">
      <alignment vertical="center"/>
      <protection locked="0"/>
    </xf>
    <xf numFmtId="43" fontId="18" fillId="0" borderId="1" xfId="201" applyNumberFormat="1" applyFont="1" applyBorder="1" applyAlignment="1">
      <alignment vertical="center" wrapText="1"/>
      <protection locked="0"/>
    </xf>
    <xf numFmtId="200" fontId="19" fillId="0" borderId="0" xfId="200" applyFont="1" applyAlignment="1">
      <alignment vertical="center"/>
      <protection locked="0"/>
    </xf>
    <xf numFmtId="200" fontId="20" fillId="0" borderId="0" xfId="200" applyFont="1" applyAlignment="1">
      <alignment vertical="center"/>
      <protection locked="0"/>
    </xf>
    <xf numFmtId="200" fontId="19" fillId="0" borderId="0" xfId="200" applyFont="1">
      <protection locked="0"/>
    </xf>
    <xf numFmtId="200" fontId="21" fillId="0" borderId="0" xfId="200" applyFont="1" applyAlignment="1">
      <alignment horizontal="left"/>
      <protection locked="0"/>
    </xf>
    <xf numFmtId="0" fontId="22" fillId="0" borderId="0" xfId="0" applyFont="1">
      <protection locked="0"/>
    </xf>
    <xf numFmtId="0" fontId="23" fillId="0" borderId="0" xfId="205" applyFont="1" applyAlignment="1">
      <alignment vertical="center"/>
      <protection locked="0"/>
    </xf>
    <xf numFmtId="43" fontId="17" fillId="0" borderId="0" xfId="218" applyNumberFormat="1" applyFont="1" applyBorder="1" applyAlignment="1">
      <alignment vertical="center"/>
    </xf>
    <xf numFmtId="0" fontId="17" fillId="0" borderId="0" xfId="205" applyFont="1" applyAlignment="1">
      <alignment horizontal="left" vertical="center"/>
      <protection locked="0"/>
    </xf>
    <xf numFmtId="0" fontId="17" fillId="0" borderId="0" xfId="205" applyFont="1" applyAlignment="1">
      <alignment vertical="center"/>
      <protection locked="0"/>
    </xf>
    <xf numFmtId="0" fontId="25" fillId="0" borderId="0" xfId="205" applyFont="1">
      <protection locked="0"/>
    </xf>
    <xf numFmtId="0" fontId="22" fillId="0" borderId="0" xfId="205" applyFont="1">
      <protection locked="0"/>
    </xf>
    <xf numFmtId="0" fontId="25" fillId="0" borderId="0" xfId="0" applyFont="1" applyAlignment="1">
      <alignment horizontal="left"/>
      <protection locked="0"/>
    </xf>
    <xf numFmtId="0" fontId="25" fillId="0" borderId="0" xfId="0" applyFont="1">
      <protection locked="0"/>
    </xf>
    <xf numFmtId="0" fontId="26" fillId="0" borderId="0" xfId="0" applyFont="1">
      <protection locked="0"/>
    </xf>
    <xf numFmtId="0" fontId="27" fillId="0" borderId="2" xfId="0" applyFont="1" applyBorder="1" applyAlignment="1">
      <alignment horizontal="justify" wrapText="1"/>
      <protection locked="0"/>
    </xf>
    <xf numFmtId="0" fontId="27" fillId="0" borderId="2" xfId="0" applyFont="1" applyBorder="1" applyAlignment="1">
      <alignment horizontal="right" wrapText="1"/>
      <protection locked="0"/>
    </xf>
    <xf numFmtId="0" fontId="25" fillId="0" borderId="0" xfId="0" applyFont="1" applyAlignment="1">
      <alignment horizontal="justify" wrapText="1"/>
      <protection locked="0"/>
    </xf>
    <xf numFmtId="43" fontId="25" fillId="0" borderId="0" xfId="0" applyNumberFormat="1" applyFont="1" applyAlignment="1">
      <alignment horizontal="right" wrapText="1"/>
      <protection locked="0"/>
    </xf>
    <xf numFmtId="0" fontId="25" fillId="0" borderId="3" xfId="0" applyFont="1" applyBorder="1" applyAlignment="1">
      <alignment horizontal="justify" wrapText="1"/>
      <protection locked="0"/>
    </xf>
    <xf numFmtId="0" fontId="25" fillId="0" borderId="3" xfId="0" applyFont="1" applyBorder="1" applyAlignment="1">
      <alignment horizontal="right" wrapText="1"/>
      <protection locked="0"/>
    </xf>
    <xf numFmtId="0" fontId="27" fillId="0" borderId="3" xfId="0" applyFont="1" applyBorder="1" applyAlignment="1">
      <alignment horizontal="justify" wrapText="1"/>
      <protection locked="0"/>
    </xf>
    <xf numFmtId="43" fontId="27" fillId="0" borderId="3" xfId="0" applyNumberFormat="1" applyFont="1" applyBorder="1" applyAlignment="1">
      <alignment horizontal="right" wrapText="1"/>
      <protection locked="0"/>
    </xf>
    <xf numFmtId="0" fontId="28" fillId="0" borderId="0" xfId="0" applyFont="1" applyAlignment="1" applyProtection="1">
      <alignment horizontal="left" vertical="center"/>
    </xf>
    <xf numFmtId="0" fontId="22" fillId="0" borderId="0" xfId="0" applyFont="1" applyAlignment="1">
      <alignment horizontal="justify" vertical="center"/>
      <protection locked="0"/>
    </xf>
    <xf numFmtId="0" fontId="22" fillId="0" borderId="0" xfId="0" applyFont="1" applyAlignment="1">
      <alignment vertical="center"/>
      <protection locked="0"/>
    </xf>
    <xf numFmtId="0" fontId="24" fillId="0" borderId="2" xfId="0" applyFont="1" applyBorder="1" applyAlignment="1">
      <alignment horizontal="justify" vertical="center" wrapText="1"/>
      <protection locked="0"/>
    </xf>
    <xf numFmtId="0" fontId="24" fillId="0" borderId="2" xfId="0" applyFont="1" applyBorder="1" applyAlignment="1">
      <alignment horizontal="right" vertical="center" wrapText="1"/>
      <protection locked="0"/>
    </xf>
    <xf numFmtId="0" fontId="26" fillId="0" borderId="0" xfId="0" applyFont="1" applyAlignment="1">
      <alignment horizontal="right" vertical="center"/>
      <protection locked="0"/>
    </xf>
    <xf numFmtId="0" fontId="26" fillId="0" borderId="0" xfId="0" applyFont="1" applyAlignment="1">
      <alignment vertical="center"/>
      <protection locked="0"/>
    </xf>
    <xf numFmtId="0" fontId="29" fillId="0" borderId="0" xfId="0" applyFont="1" applyAlignment="1" applyProtection="1">
      <alignment horizontal="left" vertical="center"/>
    </xf>
    <xf numFmtId="0" fontId="24" fillId="0" borderId="0" xfId="205" applyFont="1" applyAlignment="1">
      <alignment vertical="center"/>
      <protection locked="0"/>
    </xf>
    <xf numFmtId="0" fontId="23" fillId="0" borderId="0" xfId="216" applyFont="1" applyAlignment="1">
      <alignment vertical="center"/>
    </xf>
    <xf numFmtId="43" fontId="17" fillId="0" borderId="0" xfId="218" applyNumberFormat="1" applyFont="1" applyBorder="1" applyAlignment="1">
      <alignment horizontal="left" vertical="center"/>
    </xf>
    <xf numFmtId="0" fontId="22" fillId="0" borderId="0" xfId="0" applyFont="1" applyAlignment="1">
      <alignment horizontal="left" vertical="center"/>
      <protection locked="0"/>
    </xf>
    <xf numFmtId="0" fontId="22" fillId="0" borderId="0" xfId="0" applyFont="1" applyAlignment="1">
      <alignment horizontal="justify" vertical="center" wrapText="1"/>
      <protection locked="0"/>
    </xf>
    <xf numFmtId="43" fontId="22" fillId="0" borderId="0" xfId="0" applyNumberFormat="1" applyFont="1" applyAlignment="1">
      <alignment horizontal="right" vertical="center" wrapText="1"/>
      <protection locked="0"/>
    </xf>
    <xf numFmtId="0" fontId="22" fillId="0" borderId="3" xfId="0" applyFont="1" applyBorder="1" applyAlignment="1">
      <alignment horizontal="left" vertical="center"/>
      <protection locked="0"/>
    </xf>
    <xf numFmtId="0" fontId="22" fillId="0" borderId="3" xfId="0" applyFont="1" applyBorder="1" applyAlignment="1">
      <alignment horizontal="justify" vertical="center" wrapText="1"/>
      <protection locked="0"/>
    </xf>
    <xf numFmtId="0" fontId="24" fillId="0" borderId="3" xfId="0" applyFont="1" applyBorder="1" applyAlignment="1">
      <alignment horizontal="justify" vertical="center" wrapText="1"/>
      <protection locked="0"/>
    </xf>
    <xf numFmtId="43" fontId="24" fillId="0" borderId="2" xfId="0" applyNumberFormat="1" applyFont="1" applyBorder="1" applyAlignment="1">
      <alignment horizontal="right" vertical="center" wrapText="1"/>
      <protection locked="0"/>
    </xf>
    <xf numFmtId="49" fontId="17" fillId="0" borderId="0" xfId="218" applyNumberFormat="1" applyFont="1" applyBorder="1" applyAlignment="1">
      <alignment vertical="center"/>
    </xf>
    <xf numFmtId="0" fontId="8" fillId="0" borderId="0" xfId="218" applyFont="1" applyBorder="1" applyAlignment="1">
      <alignment vertical="center"/>
    </xf>
    <xf numFmtId="0" fontId="6" fillId="0" borderId="0" xfId="218" applyFont="1" applyBorder="1" applyAlignment="1">
      <alignment horizontal="center" vertical="center"/>
    </xf>
    <xf numFmtId="0" fontId="8" fillId="2" borderId="1" xfId="207" applyFont="1" applyFill="1" applyBorder="1" applyAlignment="1" applyProtection="1">
      <alignment horizontal="center" vertical="center" wrapText="1"/>
      <protection locked="0"/>
    </xf>
    <xf numFmtId="0" fontId="6" fillId="0" borderId="7" xfId="1" applyNumberFormat="1" applyFont="1" applyFill="1" applyBorder="1" applyAlignment="1">
      <alignment vertical="center"/>
    </xf>
    <xf numFmtId="43" fontId="17" fillId="3" borderId="8" xfId="1" applyFont="1" applyFill="1" applyBorder="1" applyAlignment="1">
      <alignment horizontal="center" vertical="center"/>
    </xf>
    <xf numFmtId="43" fontId="17" fillId="0" borderId="8" xfId="1" applyFont="1" applyFill="1" applyBorder="1" applyAlignment="1">
      <alignment horizontal="center" vertical="center"/>
    </xf>
    <xf numFmtId="0" fontId="8" fillId="3" borderId="9" xfId="1" applyNumberFormat="1" applyFont="1" applyFill="1" applyBorder="1" applyAlignment="1">
      <alignment horizontal="center" vertical="center"/>
    </xf>
    <xf numFmtId="43" fontId="23" fillId="3" borderId="10" xfId="1" applyFont="1" applyFill="1" applyBorder="1" applyAlignment="1">
      <alignment horizontal="right" vertical="center"/>
    </xf>
    <xf numFmtId="43" fontId="17" fillId="3" borderId="10" xfId="1" applyFont="1" applyFill="1" applyBorder="1" applyAlignment="1">
      <alignment horizontal="center" vertical="center"/>
    </xf>
    <xf numFmtId="0" fontId="8" fillId="0" borderId="11" xfId="1" applyNumberFormat="1" applyFont="1" applyFill="1" applyBorder="1" applyAlignment="1">
      <alignment horizontal="left" vertical="center"/>
    </xf>
    <xf numFmtId="43" fontId="8" fillId="0" borderId="11" xfId="1" applyFont="1" applyFill="1" applyBorder="1" applyAlignment="1">
      <alignment horizontal="right" vertical="center"/>
    </xf>
    <xf numFmtId="43" fontId="6" fillId="0" borderId="11" xfId="1" applyFont="1" applyFill="1" applyBorder="1" applyAlignment="1">
      <alignment horizontal="center" vertical="center"/>
    </xf>
    <xf numFmtId="0" fontId="8" fillId="0" borderId="0" xfId="1" applyNumberFormat="1" applyFont="1" applyFill="1" applyBorder="1" applyAlignment="1">
      <alignment horizontal="left" vertical="center"/>
    </xf>
    <xf numFmtId="43" fontId="8" fillId="0" borderId="0" xfId="1" applyFont="1" applyFill="1" applyBorder="1" applyAlignment="1">
      <alignment horizontal="right" vertical="center"/>
    </xf>
    <xf numFmtId="43" fontId="6" fillId="3" borderId="0" xfId="1" applyFont="1" applyFill="1" applyBorder="1" applyAlignment="1">
      <alignment horizontal="center" vertical="center"/>
    </xf>
    <xf numFmtId="0" fontId="30" fillId="0" borderId="0" xfId="3" applyNumberFormat="1" applyFont="1" applyBorder="1" applyAlignment="1" applyProtection="1">
      <alignment horizontal="center" vertical="center"/>
    </xf>
    <xf numFmtId="0" fontId="6" fillId="0" borderId="0" xfId="216" applyFont="1" applyBorder="1" applyAlignment="1">
      <alignment vertical="center"/>
    </xf>
    <xf numFmtId="0" fontId="6" fillId="0" borderId="0" xfId="216" applyFont="1" applyBorder="1" applyAlignment="1">
      <alignment horizontal="left" vertical="center"/>
    </xf>
    <xf numFmtId="0" fontId="8" fillId="0" borderId="0" xfId="216" applyFont="1" applyBorder="1" applyAlignment="1">
      <alignment vertical="center"/>
    </xf>
    <xf numFmtId="0" fontId="12" fillId="0" borderId="0" xfId="216" applyFont="1" applyAlignment="1">
      <alignment vertical="center"/>
    </xf>
    <xf numFmtId="0" fontId="32" fillId="0" borderId="0" xfId="218" applyFont="1" applyBorder="1" applyAlignment="1">
      <alignment vertical="center"/>
    </xf>
    <xf numFmtId="0" fontId="12" fillId="0" borderId="0" xfId="218" applyFont="1" applyBorder="1" applyAlignment="1">
      <alignment horizontal="right" vertical="center"/>
    </xf>
    <xf numFmtId="0" fontId="12" fillId="0" borderId="0" xfId="218" applyFont="1" applyBorder="1" applyAlignment="1">
      <alignment vertical="center"/>
    </xf>
    <xf numFmtId="0" fontId="7" fillId="2" borderId="1" xfId="205" applyFont="1" applyFill="1" applyBorder="1" applyAlignment="1">
      <alignment horizontal="center" vertical="center" wrapText="1"/>
      <protection locked="0"/>
    </xf>
    <xf numFmtId="0" fontId="8" fillId="2" borderId="1" xfId="205" applyFont="1" applyFill="1" applyBorder="1" applyAlignment="1">
      <alignment horizontal="center" vertical="center"/>
      <protection locked="0"/>
    </xf>
    <xf numFmtId="43" fontId="17" fillId="3" borderId="1" xfId="1" applyFont="1" applyFill="1" applyBorder="1" applyAlignment="1">
      <alignment horizontal="right" vertical="center" wrapText="1"/>
    </xf>
    <xf numFmtId="43" fontId="17" fillId="3" borderId="1" xfId="2" applyNumberFormat="1" applyFont="1" applyFill="1" applyBorder="1" applyAlignment="1">
      <alignment horizontal="right" vertical="center" wrapText="1"/>
    </xf>
    <xf numFmtId="0" fontId="6" fillId="0" borderId="8" xfId="1" applyNumberFormat="1" applyFont="1" applyFill="1" applyBorder="1" applyAlignment="1">
      <alignment horizontal="center" vertical="center"/>
    </xf>
    <xf numFmtId="43" fontId="17" fillId="3" borderId="12" xfId="1" applyFont="1" applyFill="1" applyBorder="1" applyAlignment="1">
      <alignment horizontal="right" vertical="center" wrapText="1"/>
    </xf>
    <xf numFmtId="43" fontId="17" fillId="3" borderId="12" xfId="2" applyNumberFormat="1" applyFont="1" applyFill="1" applyBorder="1" applyAlignment="1">
      <alignment horizontal="right" vertical="center" wrapText="1"/>
    </xf>
    <xf numFmtId="0" fontId="6" fillId="3" borderId="10" xfId="1" applyNumberFormat="1" applyFont="1" applyFill="1" applyBorder="1" applyAlignment="1">
      <alignment horizontal="center" vertical="center"/>
    </xf>
    <xf numFmtId="43" fontId="6" fillId="0" borderId="11" xfId="1" applyFont="1" applyFill="1" applyBorder="1" applyAlignment="1">
      <alignment horizontal="right" vertical="center" wrapText="1"/>
    </xf>
    <xf numFmtId="43" fontId="6" fillId="0" borderId="11" xfId="2" applyNumberFormat="1" applyFont="1" applyFill="1" applyBorder="1" applyAlignment="1">
      <alignment horizontal="right" vertical="center" wrapText="1"/>
    </xf>
    <xf numFmtId="43" fontId="6" fillId="0" borderId="0" xfId="1" applyFont="1" applyFill="1" applyBorder="1" applyAlignment="1">
      <alignment horizontal="right" vertical="center" wrapText="1"/>
    </xf>
    <xf numFmtId="43" fontId="6" fillId="0" borderId="0" xfId="2" applyNumberFormat="1" applyFont="1" applyFill="1" applyBorder="1" applyAlignment="1">
      <alignment horizontal="right" vertical="center" wrapText="1"/>
    </xf>
    <xf numFmtId="43" fontId="6" fillId="0" borderId="0" xfId="1" applyFont="1" applyFill="1" applyBorder="1" applyAlignment="1">
      <alignment horizontal="center" vertical="center"/>
    </xf>
    <xf numFmtId="0" fontId="105" fillId="0" borderId="0" xfId="201">
      <protection locked="0"/>
    </xf>
    <xf numFmtId="0" fontId="34" fillId="0" borderId="0" xfId="201" applyFont="1" applyAlignment="1">
      <alignment vertical="center"/>
      <protection locked="0"/>
    </xf>
    <xf numFmtId="0" fontId="35" fillId="0" borderId="0" xfId="201" applyFont="1" applyAlignment="1">
      <alignment vertical="center"/>
      <protection locked="0"/>
    </xf>
    <xf numFmtId="0" fontId="36" fillId="0" borderId="0" xfId="201" applyFont="1" applyAlignment="1">
      <alignment horizontal="left" vertical="center"/>
      <protection locked="0"/>
    </xf>
    <xf numFmtId="0" fontId="34" fillId="0" borderId="0" xfId="219" applyFont="1">
      <alignment vertical="center"/>
    </xf>
    <xf numFmtId="0" fontId="35" fillId="0" borderId="0" xfId="219" applyFont="1">
      <alignment vertical="center"/>
    </xf>
    <xf numFmtId="49" fontId="36" fillId="0" borderId="0" xfId="201" applyNumberFormat="1" applyFont="1" applyAlignment="1">
      <alignment horizontal="left" vertical="center"/>
      <protection locked="0"/>
    </xf>
    <xf numFmtId="0" fontId="36" fillId="0" borderId="0" xfId="201" applyFont="1" applyAlignment="1">
      <alignment horizontal="justify" vertical="center"/>
      <protection locked="0"/>
    </xf>
    <xf numFmtId="0" fontId="34" fillId="0" borderId="1" xfId="201" applyFont="1" applyBorder="1" applyAlignment="1">
      <alignment horizontal="center" vertical="center" wrapText="1"/>
      <protection locked="0"/>
    </xf>
    <xf numFmtId="0" fontId="35" fillId="0" borderId="1" xfId="201" applyFont="1" applyBorder="1" applyAlignment="1">
      <alignment horizontal="center" vertical="center" wrapText="1"/>
      <protection locked="0"/>
    </xf>
    <xf numFmtId="0" fontId="34" fillId="0" borderId="1" xfId="201" applyFont="1" applyBorder="1" applyAlignment="1">
      <alignment horizontal="left" vertical="center" wrapText="1"/>
      <protection locked="0"/>
    </xf>
    <xf numFmtId="49" fontId="36" fillId="2" borderId="1" xfId="201" applyNumberFormat="1" applyFont="1" applyFill="1" applyBorder="1" applyAlignment="1">
      <alignment horizontal="left" vertical="center"/>
      <protection locked="0"/>
    </xf>
    <xf numFmtId="0" fontId="36" fillId="2" borderId="1" xfId="201" applyFont="1" applyFill="1" applyBorder="1" applyAlignment="1">
      <alignment horizontal="center" vertical="center" wrapText="1"/>
      <protection locked="0"/>
    </xf>
    <xf numFmtId="0" fontId="14" fillId="2" borderId="1" xfId="201" applyFont="1" applyFill="1" applyBorder="1" applyAlignment="1">
      <alignment horizontal="left" vertical="center"/>
      <protection locked="0"/>
    </xf>
    <xf numFmtId="0" fontId="23" fillId="2" borderId="1" xfId="201" applyFont="1" applyFill="1" applyBorder="1" applyAlignment="1">
      <alignment horizontal="left" vertical="center" wrapText="1"/>
      <protection locked="0"/>
    </xf>
    <xf numFmtId="0" fontId="17" fillId="2" borderId="1" xfId="201" applyFont="1" applyFill="1" applyBorder="1" applyAlignment="1">
      <alignment horizontal="center" vertical="center" wrapText="1"/>
      <protection locked="0"/>
    </xf>
    <xf numFmtId="0" fontId="14" fillId="2" borderId="1" xfId="219" applyFont="1" applyFill="1" applyBorder="1" applyAlignment="1">
      <alignment horizontal="left" vertical="center"/>
    </xf>
    <xf numFmtId="0" fontId="37" fillId="2" borderId="1" xfId="201" applyFont="1" applyFill="1" applyBorder="1" applyAlignment="1">
      <alignment horizontal="left" vertical="center" wrapText="1"/>
      <protection locked="0"/>
    </xf>
    <xf numFmtId="0" fontId="23" fillId="0" borderId="1" xfId="219" applyFont="1" applyBorder="1" applyAlignment="1">
      <alignment horizontal="center" vertical="center"/>
    </xf>
    <xf numFmtId="0" fontId="17" fillId="0" borderId="1" xfId="219" applyFont="1" applyBorder="1" applyAlignment="1">
      <alignment horizontal="left" vertical="center"/>
    </xf>
    <xf numFmtId="0" fontId="17" fillId="0" borderId="1" xfId="201" applyFont="1" applyBorder="1" applyAlignment="1">
      <alignment horizontal="left" vertical="center" wrapText="1"/>
      <protection locked="0"/>
    </xf>
    <xf numFmtId="0" fontId="38" fillId="0" borderId="1" xfId="201" applyFont="1" applyBorder="1" applyAlignment="1" applyProtection="1">
      <alignment horizontal="center" vertical="center" wrapText="1"/>
    </xf>
    <xf numFmtId="0" fontId="17" fillId="0" borderId="1" xfId="219" applyFont="1" applyBorder="1" applyAlignment="1">
      <alignment horizontal="center" vertical="center"/>
    </xf>
    <xf numFmtId="0" fontId="38" fillId="0" borderId="1" xfId="201" applyFont="1" applyBorder="1" applyAlignment="1">
      <alignment horizontal="left" vertical="center" wrapText="1"/>
      <protection locked="0"/>
    </xf>
    <xf numFmtId="0" fontId="17" fillId="0" borderId="1" xfId="201" applyFont="1" applyBorder="1" applyAlignment="1">
      <alignment horizontal="center" vertical="center" wrapText="1"/>
      <protection locked="0"/>
    </xf>
    <xf numFmtId="200" fontId="36" fillId="2" borderId="1" xfId="200" applyFont="1" applyFill="1" applyBorder="1" applyAlignment="1">
      <alignment horizontal="left" vertical="center" wrapText="1"/>
      <protection locked="0"/>
    </xf>
    <xf numFmtId="200" fontId="34" fillId="0" borderId="1" xfId="200" applyFont="1" applyBorder="1" applyAlignment="1">
      <alignment horizontal="left" vertical="center" wrapText="1"/>
      <protection locked="0"/>
    </xf>
    <xf numFmtId="0" fontId="13" fillId="0" borderId="1" xfId="201" applyFont="1" applyBorder="1" applyAlignment="1">
      <alignment horizontal="center" vertical="center" wrapText="1"/>
      <protection locked="0"/>
    </xf>
    <xf numFmtId="0" fontId="37" fillId="2" borderId="1" xfId="201" applyFont="1" applyFill="1" applyBorder="1" applyAlignment="1" applyProtection="1">
      <alignment horizontal="left" vertical="center" wrapText="1"/>
    </xf>
    <xf numFmtId="0" fontId="23" fillId="2" borderId="1" xfId="201" applyFont="1" applyFill="1" applyBorder="1" applyAlignment="1">
      <alignment horizontal="center" vertical="center" wrapText="1"/>
      <protection locked="0"/>
    </xf>
    <xf numFmtId="0" fontId="23" fillId="0" borderId="1" xfId="201" applyFont="1" applyBorder="1" applyAlignment="1">
      <alignment horizontal="center" vertical="center"/>
      <protection locked="0"/>
    </xf>
    <xf numFmtId="49" fontId="17" fillId="0" borderId="1" xfId="201" applyNumberFormat="1" applyFont="1" applyBorder="1" applyAlignment="1">
      <alignment horizontal="left" vertical="center"/>
      <protection locked="0"/>
    </xf>
    <xf numFmtId="0" fontId="39" fillId="0" borderId="1" xfId="201" applyFont="1" applyBorder="1" applyAlignment="1" applyProtection="1">
      <alignment horizontal="left" vertical="center" wrapText="1"/>
    </xf>
    <xf numFmtId="0" fontId="17" fillId="0" borderId="1" xfId="201" applyFont="1" applyBorder="1" applyAlignment="1" applyProtection="1">
      <alignment horizontal="left" vertical="center" wrapText="1"/>
    </xf>
    <xf numFmtId="0" fontId="13" fillId="0" borderId="1" xfId="201" applyFont="1" applyBorder="1" applyAlignment="1">
      <alignment horizontal="left" vertical="center" wrapText="1"/>
      <protection locked="0"/>
    </xf>
    <xf numFmtId="0" fontId="14" fillId="2" borderId="1" xfId="201" applyFont="1" applyFill="1" applyBorder="1" applyAlignment="1" applyProtection="1">
      <alignment horizontal="left" vertical="center" wrapText="1"/>
    </xf>
    <xf numFmtId="0" fontId="14" fillId="2" borderId="1" xfId="201" applyFont="1" applyFill="1" applyBorder="1" applyAlignment="1">
      <alignment horizontal="left" vertical="center" wrapText="1"/>
      <protection locked="0"/>
    </xf>
    <xf numFmtId="0" fontId="36" fillId="0" borderId="0" xfId="201" applyFont="1" applyAlignment="1">
      <alignment horizontal="right" vertical="center"/>
      <protection locked="0"/>
    </xf>
    <xf numFmtId="0" fontId="36" fillId="0" borderId="0" xfId="201" applyFont="1" applyAlignment="1">
      <alignment vertical="center"/>
      <protection locked="0"/>
    </xf>
    <xf numFmtId="0" fontId="36" fillId="0" borderId="0" xfId="219" applyFont="1">
      <alignment vertical="center"/>
    </xf>
    <xf numFmtId="0" fontId="36" fillId="0" borderId="1" xfId="201" applyFont="1" applyBorder="1" applyAlignment="1">
      <alignment horizontal="center" vertical="center" wrapText="1"/>
      <protection locked="0"/>
    </xf>
    <xf numFmtId="0" fontId="40" fillId="0" borderId="1" xfId="201" applyFont="1" applyBorder="1" applyAlignment="1">
      <alignment horizontal="center" vertical="center" wrapText="1"/>
      <protection locked="0"/>
    </xf>
    <xf numFmtId="0" fontId="6" fillId="0" borderId="0" xfId="0" applyFont="1" applyAlignment="1">
      <alignment vertical="center"/>
      <protection locked="0"/>
    </xf>
    <xf numFmtId="0" fontId="41" fillId="0" borderId="0" xfId="0" applyFont="1" applyAlignment="1">
      <alignment vertical="center"/>
      <protection locked="0"/>
    </xf>
    <xf numFmtId="0" fontId="8" fillId="0" borderId="0" xfId="0" applyFont="1" applyAlignment="1">
      <alignment horizontal="left" vertical="center"/>
      <protection locked="0"/>
    </xf>
    <xf numFmtId="0" fontId="6" fillId="0" borderId="0" xfId="219" applyFont="1">
      <alignment vertical="center"/>
    </xf>
    <xf numFmtId="0" fontId="41" fillId="0" borderId="0" xfId="219" applyFont="1">
      <alignment vertical="center"/>
    </xf>
    <xf numFmtId="0" fontId="6" fillId="0" borderId="0" xfId="0" applyFont="1" applyBorder="1" applyAlignment="1">
      <alignment vertical="center"/>
      <protection locked="0"/>
    </xf>
    <xf numFmtId="0" fontId="6" fillId="0" borderId="0" xfId="0" applyFont="1" applyBorder="1" applyAlignment="1">
      <alignment vertical="center" wrapText="1"/>
      <protection locked="0"/>
    </xf>
    <xf numFmtId="0" fontId="8" fillId="0" borderId="0" xfId="0" applyFont="1" applyAlignment="1">
      <alignment horizontal="justify" vertical="center"/>
      <protection locked="0"/>
    </xf>
    <xf numFmtId="200" fontId="8" fillId="3" borderId="1" xfId="203" applyFont="1" applyFill="1" applyBorder="1" applyAlignment="1">
      <alignment horizontal="center" vertical="center" wrapText="1"/>
      <protection locked="0"/>
    </xf>
    <xf numFmtId="0" fontId="17" fillId="0" borderId="1" xfId="0" applyFont="1" applyBorder="1" applyAlignment="1">
      <alignment horizontal="center" vertical="center"/>
      <protection locked="0"/>
    </xf>
    <xf numFmtId="0" fontId="6" fillId="0" borderId="1" xfId="0" applyFont="1" applyBorder="1" applyAlignment="1">
      <alignment horizontal="left" vertical="center" wrapText="1"/>
      <protection locked="0"/>
    </xf>
    <xf numFmtId="0" fontId="41" fillId="0" borderId="1" xfId="0" applyFont="1" applyBorder="1" applyAlignment="1">
      <alignment horizontal="left" vertical="center" wrapText="1"/>
      <protection locked="0"/>
    </xf>
    <xf numFmtId="0" fontId="6" fillId="0" borderId="1" xfId="0" applyFont="1" applyBorder="1" applyAlignment="1">
      <alignment horizontal="center" vertical="center" wrapText="1"/>
      <protection locked="0"/>
    </xf>
    <xf numFmtId="0" fontId="13" fillId="0" borderId="1" xfId="202" applyFont="1" applyBorder="1" applyAlignment="1">
      <alignment horizontal="center" vertical="center" wrapText="1"/>
      <protection locked="0"/>
    </xf>
    <xf numFmtId="0" fontId="14" fillId="0" borderId="1" xfId="202" applyFont="1" applyBorder="1" applyAlignment="1">
      <alignment horizontal="center" vertical="center" wrapText="1"/>
      <protection locked="0"/>
    </xf>
    <xf numFmtId="0" fontId="17" fillId="0" borderId="1" xfId="0" applyFont="1" applyBorder="1" applyAlignment="1">
      <alignment horizontal="center" vertical="center" wrapText="1"/>
      <protection locked="0"/>
    </xf>
    <xf numFmtId="0" fontId="13" fillId="0" borderId="1" xfId="204" applyFont="1" applyFill="1" applyBorder="1" applyAlignment="1">
      <alignment horizontal="left" vertical="center" wrapText="1"/>
      <protection locked="0"/>
    </xf>
    <xf numFmtId="0" fontId="6" fillId="0" borderId="1" xfId="0" applyFont="1" applyBorder="1" applyAlignment="1" applyProtection="1">
      <alignment horizontal="left" vertical="center" wrapText="1"/>
    </xf>
    <xf numFmtId="0" fontId="23" fillId="0" borderId="1" xfId="0" applyFont="1" applyBorder="1" applyAlignment="1">
      <alignment horizontal="center" vertical="center" wrapText="1"/>
      <protection locked="0"/>
    </xf>
    <xf numFmtId="0" fontId="6" fillId="0" borderId="1" xfId="219" applyFont="1" applyBorder="1" applyAlignment="1">
      <alignment horizontal="left" vertical="center" wrapText="1"/>
    </xf>
    <xf numFmtId="200" fontId="13" fillId="0" borderId="1" xfId="203" applyFont="1" applyFill="1" applyBorder="1" applyAlignment="1">
      <alignment horizontal="left" vertical="center" wrapText="1"/>
      <protection locked="0"/>
    </xf>
    <xf numFmtId="0" fontId="6" fillId="0" borderId="0" xfId="0" applyFont="1" applyAlignment="1">
      <alignment horizontal="right" vertical="center"/>
      <protection locked="0"/>
    </xf>
    <xf numFmtId="0" fontId="8" fillId="0" borderId="0" xfId="219" applyFont="1">
      <alignment vertical="center"/>
    </xf>
    <xf numFmtId="0" fontId="8" fillId="0" borderId="0" xfId="0" applyFont="1" applyAlignment="1">
      <alignment vertical="center"/>
      <protection locked="0"/>
    </xf>
    <xf numFmtId="0" fontId="42" fillId="0" borderId="1" xfId="0" applyFont="1" applyBorder="1" applyAlignment="1">
      <alignment horizontal="center" vertical="center" wrapText="1"/>
      <protection locked="0"/>
    </xf>
    <xf numFmtId="0" fontId="43" fillId="4" borderId="0" xfId="214" applyFont="1" applyFill="1" applyAlignment="1" applyProtection="1">
      <alignment horizontal="left" vertical="top" wrapText="1"/>
      <protection locked="0"/>
    </xf>
    <xf numFmtId="0" fontId="17" fillId="0" borderId="1" xfId="214" applyFont="1" applyFill="1" applyBorder="1" applyAlignment="1">
      <alignment horizontal="center" vertical="center" wrapText="1"/>
    </xf>
    <xf numFmtId="0" fontId="105" fillId="0" borderId="0" xfId="217" applyAlignment="1">
      <alignment vertical="center"/>
      <protection locked="0"/>
    </xf>
    <xf numFmtId="0" fontId="44" fillId="0" borderId="0" xfId="217" applyFont="1" applyAlignment="1">
      <alignment vertical="center"/>
      <protection locked="0"/>
    </xf>
    <xf numFmtId="0" fontId="15" fillId="0" borderId="0" xfId="217" applyFont="1" applyAlignment="1">
      <alignment vertical="center"/>
      <protection locked="0"/>
    </xf>
    <xf numFmtId="0" fontId="13" fillId="5" borderId="0" xfId="217" applyFont="1" applyFill="1" applyAlignment="1">
      <alignment horizontal="justify" vertical="center" wrapText="1"/>
      <protection locked="0"/>
    </xf>
    <xf numFmtId="0" fontId="45" fillId="0" borderId="0" xfId="217" applyFont="1" applyAlignment="1">
      <alignment horizontal="justify" vertical="center" wrapText="1"/>
      <protection locked="0"/>
    </xf>
    <xf numFmtId="0" fontId="105" fillId="0" borderId="14" xfId="217" applyBorder="1" applyAlignment="1">
      <alignment horizontal="center" vertical="center"/>
      <protection locked="0"/>
    </xf>
    <xf numFmtId="0" fontId="13" fillId="0" borderId="14" xfId="217" applyFont="1" applyBorder="1" applyAlignment="1">
      <alignment horizontal="center" vertical="center"/>
      <protection locked="0"/>
    </xf>
    <xf numFmtId="0" fontId="22" fillId="0" borderId="14" xfId="217" applyFont="1" applyBorder="1" applyAlignment="1">
      <alignment horizontal="center" vertical="center"/>
      <protection locked="0"/>
    </xf>
    <xf numFmtId="0" fontId="17" fillId="0" borderId="14" xfId="217" applyFont="1" applyBorder="1" applyAlignment="1">
      <alignment horizontal="center" vertical="center"/>
      <protection locked="0"/>
    </xf>
    <xf numFmtId="0" fontId="46" fillId="0" borderId="0" xfId="201" applyFont="1" applyAlignment="1">
      <alignment vertical="center"/>
      <protection locked="0"/>
    </xf>
    <xf numFmtId="0" fontId="15" fillId="0" borderId="0" xfId="0" applyFont="1" applyAlignment="1">
      <alignment horizontal="justify" vertical="center"/>
      <protection locked="0"/>
    </xf>
    <xf numFmtId="0" fontId="0" fillId="0" borderId="0" xfId="0" applyFont="1" applyAlignment="1">
      <alignment vertical="center"/>
      <protection locked="0"/>
    </xf>
    <xf numFmtId="0" fontId="0" fillId="0" borderId="0" xfId="0" applyFont="1" applyAlignment="1">
      <alignment horizontal="justify" vertical="center" wrapText="1"/>
      <protection locked="0"/>
    </xf>
    <xf numFmtId="0" fontId="0" fillId="0" borderId="0" xfId="0" applyFont="1" applyAlignment="1">
      <alignment horizontal="left" vertical="center"/>
      <protection locked="0"/>
    </xf>
    <xf numFmtId="200" fontId="38" fillId="0" borderId="21" xfId="256" applyFont="1" applyFill="1" applyBorder="1" applyAlignment="1">
      <alignment horizontal="center" vertical="center" wrapText="1"/>
    </xf>
    <xf numFmtId="0" fontId="105" fillId="0" borderId="0" xfId="0" applyFont="1" applyAlignment="1">
      <alignment vertical="center"/>
      <protection locked="0"/>
    </xf>
    <xf numFmtId="0" fontId="13" fillId="0" borderId="0" xfId="257" applyFont="1" applyAlignment="1">
      <alignment vertical="center"/>
      <protection locked="0"/>
    </xf>
    <xf numFmtId="0" fontId="17" fillId="0" borderId="0" xfId="257" applyFont="1" applyAlignment="1">
      <alignment vertical="center"/>
      <protection locked="0"/>
    </xf>
    <xf numFmtId="0" fontId="17" fillId="0" borderId="0" xfId="257" applyFont="1" applyAlignment="1">
      <alignment horizontal="right" vertical="center"/>
      <protection locked="0"/>
    </xf>
    <xf numFmtId="0" fontId="14" fillId="0" borderId="0" xfId="257" applyFont="1" applyAlignment="1">
      <alignment vertical="center" wrapText="1"/>
      <protection locked="0"/>
    </xf>
    <xf numFmtId="0" fontId="13" fillId="0" borderId="0" xfId="257" applyFont="1" applyAlignment="1">
      <alignment horizontal="left" vertical="center"/>
      <protection locked="0"/>
    </xf>
    <xf numFmtId="0" fontId="99" fillId="0" borderId="0" xfId="257" applyFont="1" applyAlignment="1">
      <alignment vertical="center"/>
      <protection locked="0"/>
    </xf>
    <xf numFmtId="0" fontId="14" fillId="3" borderId="21" xfId="257" applyFont="1" applyFill="1" applyBorder="1" applyAlignment="1">
      <alignment horizontal="center" vertical="center" wrapText="1"/>
      <protection locked="0"/>
    </xf>
    <xf numFmtId="0" fontId="14" fillId="3" borderId="21" xfId="257" applyFont="1" applyFill="1" applyBorder="1" applyAlignment="1">
      <alignment horizontal="center" vertical="center"/>
      <protection locked="0"/>
    </xf>
    <xf numFmtId="0" fontId="14" fillId="0" borderId="0" xfId="257" applyFont="1" applyAlignment="1">
      <alignment vertical="center"/>
      <protection locked="0"/>
    </xf>
    <xf numFmtId="0" fontId="14" fillId="3" borderId="21" xfId="257" applyFont="1" applyFill="1" applyBorder="1" applyAlignment="1">
      <alignment horizontal="left" vertical="center" wrapText="1"/>
      <protection locked="0"/>
    </xf>
    <xf numFmtId="0" fontId="13" fillId="0" borderId="21" xfId="257" applyFont="1" applyBorder="1" applyAlignment="1">
      <alignment vertical="center" wrapText="1"/>
      <protection locked="0"/>
    </xf>
    <xf numFmtId="43" fontId="17" fillId="0" borderId="21" xfId="259" applyNumberFormat="1" applyFont="1" applyBorder="1" applyAlignment="1" applyProtection="1">
      <alignment vertical="center"/>
      <protection locked="0"/>
    </xf>
    <xf numFmtId="43" fontId="17" fillId="3" borderId="21" xfId="259" applyNumberFormat="1" applyFont="1" applyFill="1" applyBorder="1" applyAlignment="1" applyProtection="1">
      <alignment vertical="center"/>
      <protection locked="0"/>
    </xf>
    <xf numFmtId="0" fontId="13" fillId="0" borderId="21" xfId="257" applyFont="1" applyBorder="1" applyAlignment="1">
      <alignment vertical="center"/>
      <protection locked="0"/>
    </xf>
    <xf numFmtId="43" fontId="17" fillId="0" borderId="21" xfId="259" applyNumberFormat="1" applyFont="1" applyFill="1" applyBorder="1" applyAlignment="1" applyProtection="1">
      <alignment horizontal="right" vertical="center"/>
      <protection locked="0"/>
    </xf>
    <xf numFmtId="43" fontId="17" fillId="0" borderId="21" xfId="259" applyNumberFormat="1" applyFont="1" applyFill="1" applyBorder="1" applyAlignment="1" applyProtection="1">
      <alignment vertical="center"/>
      <protection locked="0"/>
    </xf>
    <xf numFmtId="0" fontId="14" fillId="0" borderId="21" xfId="257" applyFont="1" applyBorder="1" applyAlignment="1">
      <alignment vertical="center" wrapText="1"/>
      <protection locked="0"/>
    </xf>
    <xf numFmtId="43" fontId="23" fillId="3" borderId="21" xfId="259" applyNumberFormat="1" applyFont="1" applyFill="1" applyBorder="1" applyAlignment="1" applyProtection="1">
      <alignment vertical="center"/>
      <protection locked="0"/>
    </xf>
    <xf numFmtId="0" fontId="13" fillId="0" borderId="21" xfId="257" applyFont="1" applyBorder="1" applyAlignment="1">
      <alignment horizontal="center" vertical="center"/>
      <protection locked="0"/>
    </xf>
    <xf numFmtId="43" fontId="23" fillId="0" borderId="21" xfId="259" applyNumberFormat="1" applyFont="1" applyBorder="1" applyAlignment="1" applyProtection="1">
      <alignment vertical="center"/>
      <protection locked="0"/>
    </xf>
    <xf numFmtId="0" fontId="14" fillId="0" borderId="21" xfId="257" applyFont="1" applyBorder="1" applyAlignment="1">
      <alignment vertical="center"/>
      <protection locked="0"/>
    </xf>
    <xf numFmtId="0" fontId="13" fillId="0" borderId="0" xfId="259" applyNumberFormat="1" applyFont="1" applyBorder="1" applyAlignment="1" applyProtection="1">
      <alignment vertical="center"/>
      <protection locked="0"/>
    </xf>
    <xf numFmtId="0" fontId="13" fillId="0" borderId="21" xfId="257" applyFont="1" applyBorder="1" applyAlignment="1">
      <alignment vertical="center" shrinkToFit="1"/>
      <protection locked="0"/>
    </xf>
    <xf numFmtId="43" fontId="17" fillId="0" borderId="21" xfId="192" applyNumberFormat="1" applyFont="1" applyBorder="1" applyAlignment="1" applyProtection="1">
      <alignment horizontal="right" vertical="center"/>
      <protection locked="0"/>
    </xf>
    <xf numFmtId="43" fontId="17" fillId="0" borderId="21" xfId="192" applyNumberFormat="1" applyFont="1" applyBorder="1" applyAlignment="1" applyProtection="1">
      <alignment vertical="center"/>
      <protection locked="0"/>
    </xf>
    <xf numFmtId="0" fontId="14" fillId="0" borderId="0" xfId="257" applyFont="1" applyAlignment="1">
      <alignment horizontal="right" vertical="center"/>
      <protection locked="0"/>
    </xf>
    <xf numFmtId="0" fontId="19" fillId="0" borderId="0" xfId="200" applyNumberFormat="1" applyFont="1" applyAlignment="1">
      <alignment vertical="center"/>
      <protection locked="0"/>
    </xf>
    <xf numFmtId="0" fontId="13" fillId="0" borderId="0" xfId="257" applyFont="1" applyAlignment="1">
      <alignment vertical="center" wrapText="1"/>
      <protection locked="0"/>
    </xf>
    <xf numFmtId="0" fontId="13" fillId="0" borderId="0" xfId="205" applyFont="1" applyAlignment="1">
      <alignment vertical="center"/>
      <protection locked="0"/>
    </xf>
    <xf numFmtId="0" fontId="17" fillId="0" borderId="0" xfId="205" applyFont="1" applyAlignment="1">
      <alignment horizontal="right" vertical="center"/>
      <protection locked="0"/>
    </xf>
    <xf numFmtId="0" fontId="14" fillId="0" borderId="0" xfId="205" applyFont="1" applyAlignment="1">
      <alignment vertical="center"/>
      <protection locked="0"/>
    </xf>
    <xf numFmtId="0" fontId="14" fillId="3" borderId="21" xfId="205" applyFont="1" applyFill="1" applyBorder="1" applyAlignment="1">
      <alignment horizontal="center" vertical="center"/>
      <protection locked="0"/>
    </xf>
    <xf numFmtId="0" fontId="13" fillId="0" borderId="21" xfId="205" applyFont="1" applyBorder="1" applyAlignment="1">
      <alignment vertical="center"/>
      <protection locked="0"/>
    </xf>
    <xf numFmtId="43" fontId="13" fillId="0" borderId="21" xfId="205" applyNumberFormat="1" applyFont="1" applyBorder="1" applyAlignment="1">
      <alignment vertical="center"/>
      <protection locked="0"/>
    </xf>
    <xf numFmtId="0" fontId="108" fillId="0" borderId="0" xfId="205" applyFont="1" applyAlignment="1">
      <alignment vertical="center"/>
      <protection locked="0"/>
    </xf>
    <xf numFmtId="43" fontId="13" fillId="3" borderId="21" xfId="205" applyNumberFormat="1" applyFont="1" applyFill="1" applyBorder="1" applyAlignment="1">
      <alignment vertical="center"/>
      <protection locked="0"/>
    </xf>
    <xf numFmtId="9" fontId="13" fillId="0" borderId="21" xfId="205" applyNumberFormat="1" applyFont="1" applyBorder="1" applyAlignment="1">
      <alignment horizontal="center" vertical="center"/>
      <protection locked="0"/>
    </xf>
    <xf numFmtId="0" fontId="19" fillId="0" borderId="0" xfId="205" applyFont="1" applyAlignment="1">
      <alignment vertical="center"/>
      <protection locked="0"/>
    </xf>
    <xf numFmtId="222" fontId="13" fillId="0" borderId="21" xfId="205" applyNumberFormat="1" applyFont="1" applyBorder="1" applyAlignment="1">
      <alignment horizontal="center" vertical="center"/>
      <protection locked="0"/>
    </xf>
    <xf numFmtId="0" fontId="13" fillId="0" borderId="21" xfId="205" applyFont="1" applyBorder="1" applyAlignment="1">
      <alignment vertical="center" shrinkToFit="1"/>
      <protection locked="0"/>
    </xf>
    <xf numFmtId="0" fontId="13" fillId="0" borderId="0" xfId="205" applyFont="1" applyAlignment="1">
      <alignment vertical="center" wrapText="1"/>
      <protection locked="0"/>
    </xf>
    <xf numFmtId="0" fontId="14" fillId="3" borderId="21" xfId="205" applyFont="1" applyFill="1" applyBorder="1" applyAlignment="1">
      <alignment horizontal="center" vertical="center" shrinkToFit="1"/>
      <protection locked="0"/>
    </xf>
    <xf numFmtId="43" fontId="13" fillId="0" borderId="0" xfId="205" applyNumberFormat="1" applyFont="1" applyAlignment="1">
      <alignment vertical="center"/>
      <protection locked="0"/>
    </xf>
    <xf numFmtId="43" fontId="109" fillId="3" borderId="0" xfId="205" applyNumberFormat="1" applyFont="1" applyFill="1" applyAlignment="1">
      <alignment vertical="center"/>
      <protection locked="0"/>
    </xf>
    <xf numFmtId="43" fontId="17" fillId="3" borderId="21" xfId="205" applyNumberFormat="1" applyFont="1" applyFill="1" applyBorder="1" applyAlignment="1">
      <alignment vertical="center"/>
      <protection locked="0"/>
    </xf>
    <xf numFmtId="43" fontId="23" fillId="3" borderId="21" xfId="205" applyNumberFormat="1" applyFont="1" applyFill="1" applyBorder="1" applyAlignment="1">
      <alignment vertical="center"/>
      <protection locked="0"/>
    </xf>
    <xf numFmtId="0" fontId="13" fillId="3" borderId="21" xfId="205" applyFont="1" applyFill="1" applyBorder="1" applyAlignment="1">
      <alignment horizontal="center" vertical="center"/>
      <protection locked="0"/>
    </xf>
    <xf numFmtId="0" fontId="13" fillId="3" borderId="21" xfId="205" applyFont="1" applyFill="1" applyBorder="1" applyAlignment="1">
      <alignment horizontal="left" vertical="center"/>
      <protection locked="0"/>
    </xf>
    <xf numFmtId="0" fontId="13" fillId="3" borderId="21" xfId="205" applyFont="1" applyFill="1" applyBorder="1" applyAlignment="1">
      <alignment horizontal="center" vertical="center" shrinkToFit="1"/>
      <protection locked="0"/>
    </xf>
    <xf numFmtId="0" fontId="14" fillId="27" borderId="21" xfId="205" applyFont="1" applyFill="1" applyBorder="1" applyAlignment="1">
      <alignment horizontal="center" vertical="center"/>
      <protection locked="0"/>
    </xf>
    <xf numFmtId="0" fontId="14" fillId="27" borderId="21" xfId="205" applyFont="1" applyFill="1" applyBorder="1" applyAlignment="1">
      <alignment horizontal="center" vertical="center" shrinkToFit="1"/>
      <protection locked="0"/>
    </xf>
    <xf numFmtId="200" fontId="108" fillId="0" borderId="0" xfId="200" applyFont="1" applyAlignment="1">
      <alignment vertical="center"/>
      <protection locked="0"/>
    </xf>
    <xf numFmtId="0" fontId="13" fillId="0" borderId="0" xfId="260" applyFont="1" applyProtection="1">
      <alignment vertical="center"/>
      <protection locked="0"/>
    </xf>
    <xf numFmtId="0" fontId="14" fillId="3" borderId="21" xfId="260" applyFont="1" applyFill="1" applyBorder="1" applyAlignment="1" applyProtection="1">
      <alignment horizontal="center" vertical="center"/>
      <protection locked="0"/>
    </xf>
    <xf numFmtId="0" fontId="14" fillId="3" borderId="21" xfId="261" applyFont="1" applyFill="1" applyBorder="1" applyAlignment="1" applyProtection="1">
      <alignment horizontal="center" vertical="center"/>
      <protection locked="0"/>
    </xf>
    <xf numFmtId="0" fontId="14" fillId="3" borderId="21" xfId="261" applyFont="1" applyFill="1" applyBorder="1" applyAlignment="1" applyProtection="1">
      <alignment horizontal="center" vertical="center" wrapText="1"/>
      <protection locked="0"/>
    </xf>
    <xf numFmtId="0" fontId="13" fillId="0" borderId="21" xfId="260" applyFont="1" applyBorder="1" applyAlignment="1" applyProtection="1">
      <alignment horizontal="center" vertical="center"/>
      <protection locked="0"/>
    </xf>
    <xf numFmtId="0" fontId="14" fillId="0" borderId="4" xfId="260" applyFont="1" applyBorder="1" applyAlignment="1" applyProtection="1">
      <alignment horizontal="left" vertical="center"/>
      <protection locked="0"/>
    </xf>
    <xf numFmtId="0" fontId="14" fillId="0" borderId="6" xfId="260" applyFont="1" applyBorder="1" applyAlignment="1" applyProtection="1">
      <alignment vertical="center" wrapText="1"/>
      <protection locked="0"/>
    </xf>
    <xf numFmtId="43" fontId="23" fillId="3" borderId="21" xfId="262" applyNumberFormat="1" applyFont="1" applyFill="1" applyBorder="1" applyAlignment="1">
      <alignment horizontal="justify" vertical="center" wrapText="1"/>
    </xf>
    <xf numFmtId="43" fontId="23" fillId="3" borderId="21" xfId="262" applyNumberFormat="1" applyFont="1" applyFill="1" applyBorder="1">
      <alignment vertical="center"/>
    </xf>
    <xf numFmtId="0" fontId="13" fillId="0" borderId="4" xfId="260" applyFont="1" applyBorder="1" applyAlignment="1" applyProtection="1">
      <alignment horizontal="left" vertical="center"/>
      <protection locked="0"/>
    </xf>
    <xf numFmtId="0" fontId="13" fillId="0" borderId="6" xfId="260" applyFont="1" applyBorder="1" applyAlignment="1" applyProtection="1">
      <alignment vertical="center" wrapText="1"/>
      <protection locked="0"/>
    </xf>
    <xf numFmtId="43" fontId="13" fillId="0" borderId="21" xfId="262" applyNumberFormat="1" applyFont="1" applyBorder="1" applyAlignment="1">
      <alignment horizontal="justify" vertical="center" wrapText="1"/>
    </xf>
    <xf numFmtId="43" fontId="13" fillId="0" borderId="21" xfId="262" applyNumberFormat="1" applyFont="1" applyBorder="1">
      <alignment vertical="center"/>
    </xf>
    <xf numFmtId="43" fontId="17" fillId="3" borderId="21" xfId="262" applyNumberFormat="1" applyFont="1" applyFill="1" applyBorder="1" applyAlignment="1">
      <alignment horizontal="justify" vertical="center" wrapText="1"/>
    </xf>
    <xf numFmtId="43" fontId="17" fillId="3" borderId="21" xfId="262" applyNumberFormat="1" applyFont="1" applyFill="1" applyBorder="1">
      <alignment vertical="center"/>
    </xf>
    <xf numFmtId="43" fontId="14" fillId="0" borderId="21" xfId="262" applyNumberFormat="1" applyFont="1" applyBorder="1" applyAlignment="1">
      <alignment horizontal="justify" vertical="center" wrapText="1"/>
    </xf>
    <xf numFmtId="43" fontId="14" fillId="0" borderId="21" xfId="262" applyNumberFormat="1" applyFont="1" applyBorder="1">
      <alignment vertical="center"/>
    </xf>
    <xf numFmtId="0" fontId="13" fillId="0" borderId="4" xfId="261" applyFont="1" applyBorder="1" applyAlignment="1" applyProtection="1">
      <alignment horizontal="left" vertical="center"/>
      <protection locked="0"/>
    </xf>
    <xf numFmtId="0" fontId="13" fillId="0" borderId="6" xfId="261" applyFont="1" applyBorder="1" applyAlignment="1" applyProtection="1">
      <alignment vertical="center" wrapText="1"/>
      <protection locked="0"/>
    </xf>
    <xf numFmtId="0" fontId="13" fillId="0" borderId="21" xfId="261" applyFont="1" applyBorder="1" applyAlignment="1" applyProtection="1">
      <alignment horizontal="center" vertical="center"/>
      <protection locked="0"/>
    </xf>
    <xf numFmtId="0" fontId="13" fillId="0" borderId="0" xfId="261" applyFont="1" applyAlignment="1" applyProtection="1">
      <alignment horizontal="center" vertical="center"/>
      <protection locked="0"/>
    </xf>
    <xf numFmtId="0" fontId="13" fillId="0" borderId="0" xfId="260" applyFont="1" applyAlignment="1" applyProtection="1">
      <alignment vertical="center" wrapText="1"/>
      <protection locked="0"/>
    </xf>
    <xf numFmtId="0" fontId="13" fillId="0" borderId="0" xfId="261" applyFont="1" applyAlignment="1" applyProtection="1">
      <alignment vertical="center"/>
      <protection locked="0"/>
    </xf>
    <xf numFmtId="0" fontId="15" fillId="0" borderId="0" xfId="215" applyFont="1">
      <alignment vertical="center"/>
    </xf>
    <xf numFmtId="0" fontId="105" fillId="0" borderId="0" xfId="205" applyAlignment="1">
      <alignment vertical="center"/>
      <protection locked="0"/>
    </xf>
    <xf numFmtId="0" fontId="14" fillId="3" borderId="21" xfId="263" applyFont="1" applyFill="1" applyBorder="1" applyAlignment="1">
      <alignment horizontal="center" vertical="center"/>
    </xf>
    <xf numFmtId="0" fontId="14" fillId="3" borderId="21" xfId="263" applyFont="1" applyFill="1" applyBorder="1" applyAlignment="1">
      <alignment horizontal="center" vertical="center" shrinkToFit="1"/>
    </xf>
    <xf numFmtId="0" fontId="17" fillId="0" borderId="21" xfId="262" applyFont="1" applyBorder="1" applyAlignment="1">
      <alignment horizontal="center" vertical="center" wrapText="1"/>
    </xf>
    <xf numFmtId="0" fontId="14" fillId="0" borderId="21" xfId="262" applyFont="1" applyBorder="1" applyAlignment="1">
      <alignment horizontal="justify" vertical="center" shrinkToFit="1"/>
    </xf>
    <xf numFmtId="0" fontId="14" fillId="0" borderId="21" xfId="262" applyFont="1" applyBorder="1">
      <alignment vertical="center"/>
    </xf>
    <xf numFmtId="0" fontId="15" fillId="0" borderId="0" xfId="205" applyFont="1" applyAlignment="1">
      <alignment vertical="center"/>
      <protection locked="0"/>
    </xf>
    <xf numFmtId="0" fontId="13" fillId="0" borderId="21" xfId="262" applyFont="1" applyBorder="1" applyAlignment="1">
      <alignment horizontal="justify" vertical="center" shrinkToFit="1"/>
    </xf>
    <xf numFmtId="0" fontId="13" fillId="0" borderId="21" xfId="262" applyFont="1" applyBorder="1">
      <alignment vertical="center"/>
    </xf>
    <xf numFmtId="43" fontId="23" fillId="3" borderId="21" xfId="262" applyNumberFormat="1" applyFont="1" applyFill="1" applyBorder="1" applyAlignment="1">
      <alignment vertical="center" wrapText="1"/>
    </xf>
    <xf numFmtId="0" fontId="105" fillId="0" borderId="0" xfId="206" applyAlignment="1">
      <alignment vertical="center"/>
    </xf>
    <xf numFmtId="14" fontId="17" fillId="0" borderId="0" xfId="205" applyNumberFormat="1" applyFont="1" applyAlignment="1">
      <alignment vertical="center"/>
      <protection locked="0"/>
    </xf>
    <xf numFmtId="223" fontId="14" fillId="3" borderId="21" xfId="264" applyNumberFormat="1" applyFont="1" applyFill="1" applyBorder="1" applyAlignment="1">
      <alignment horizontal="center" vertical="center"/>
    </xf>
    <xf numFmtId="0" fontId="14" fillId="3" borderId="21" xfId="264" applyFont="1" applyFill="1" applyBorder="1" applyAlignment="1">
      <alignment horizontal="center" vertical="center"/>
    </xf>
    <xf numFmtId="0" fontId="105" fillId="0" borderId="21" xfId="206" applyBorder="1" applyAlignment="1">
      <alignment vertical="center"/>
    </xf>
    <xf numFmtId="4" fontId="13" fillId="0" borderId="21" xfId="264" applyNumberFormat="1" applyFont="1" applyBorder="1" applyAlignment="1">
      <alignment vertical="center" wrapText="1"/>
    </xf>
    <xf numFmtId="4" fontId="13" fillId="0" borderId="21" xfId="264" applyNumberFormat="1" applyFont="1" applyBorder="1" applyAlignment="1">
      <alignment vertical="center"/>
    </xf>
    <xf numFmtId="0" fontId="13" fillId="0" borderId="21" xfId="264" applyFont="1" applyBorder="1" applyAlignment="1">
      <alignment vertical="center"/>
    </xf>
    <xf numFmtId="10" fontId="17" fillId="3" borderId="21" xfId="265" applyNumberFormat="1" applyFont="1" applyFill="1" applyBorder="1" applyAlignment="1">
      <alignment vertical="center"/>
    </xf>
    <xf numFmtId="0" fontId="17" fillId="0" borderId="21" xfId="264" applyFont="1" applyBorder="1" applyAlignment="1">
      <alignment vertical="center"/>
    </xf>
    <xf numFmtId="0" fontId="13" fillId="0" borderId="0" xfId="264" applyFont="1" applyAlignment="1">
      <alignment vertical="center"/>
    </xf>
    <xf numFmtId="0" fontId="14" fillId="3" borderId="21" xfId="205" applyFont="1" applyFill="1" applyBorder="1" applyAlignment="1" applyProtection="1">
      <alignment horizontal="center" vertical="center"/>
    </xf>
    <xf numFmtId="223" fontId="13" fillId="0" borderId="21" xfId="266" applyNumberFormat="1" applyFont="1" applyBorder="1" applyAlignment="1">
      <alignment horizontal="justify" vertical="center" wrapText="1"/>
    </xf>
    <xf numFmtId="43" fontId="13" fillId="0" borderId="21" xfId="266" applyNumberFormat="1" applyFont="1" applyBorder="1" applyAlignment="1">
      <alignment horizontal="justify" vertical="center" wrapText="1"/>
    </xf>
    <xf numFmtId="49" fontId="13" fillId="0" borderId="21" xfId="266" applyNumberFormat="1" applyFont="1" applyBorder="1" applyAlignment="1">
      <alignment horizontal="right" vertical="center" wrapText="1"/>
    </xf>
    <xf numFmtId="43" fontId="13" fillId="0" borderId="21" xfId="266" applyNumberFormat="1" applyFont="1" applyBorder="1">
      <alignment vertical="center"/>
    </xf>
    <xf numFmtId="43" fontId="17" fillId="3" borderId="21" xfId="266" applyNumberFormat="1" applyFont="1" applyFill="1" applyBorder="1">
      <alignment vertical="center"/>
    </xf>
    <xf numFmtId="49" fontId="13" fillId="0" borderId="21" xfId="266" applyNumberFormat="1" applyFont="1" applyBorder="1" applyAlignment="1">
      <alignment horizontal="justify" vertical="center" wrapText="1"/>
    </xf>
    <xf numFmtId="0" fontId="13" fillId="0" borderId="21" xfId="205" applyFont="1" applyBorder="1" applyAlignment="1" applyProtection="1">
      <alignment horizontal="center" vertical="center"/>
    </xf>
    <xf numFmtId="43" fontId="13" fillId="0" borderId="21" xfId="205" applyNumberFormat="1" applyFont="1" applyBorder="1" applyAlignment="1" applyProtection="1">
      <alignment horizontal="center" vertical="center"/>
    </xf>
    <xf numFmtId="49" fontId="13" fillId="0" borderId="21" xfId="205" applyNumberFormat="1" applyFont="1" applyBorder="1" applyAlignment="1" applyProtection="1">
      <alignment horizontal="center" vertical="center"/>
    </xf>
    <xf numFmtId="0" fontId="14" fillId="3" borderId="21" xfId="266" applyFont="1" applyFill="1" applyBorder="1" applyAlignment="1">
      <alignment horizontal="center" vertical="center" wrapText="1"/>
    </xf>
    <xf numFmtId="0" fontId="14" fillId="3" borderId="21" xfId="266" applyFont="1" applyFill="1" applyBorder="1" applyAlignment="1">
      <alignment horizontal="justify" vertical="center" wrapText="1"/>
    </xf>
    <xf numFmtId="43" fontId="23" fillId="3" borderId="21" xfId="266" applyNumberFormat="1" applyFont="1" applyFill="1" applyBorder="1" applyAlignment="1">
      <alignment horizontal="justify" vertical="center" wrapText="1"/>
    </xf>
    <xf numFmtId="49" fontId="13" fillId="3" borderId="21" xfId="205" applyNumberFormat="1" applyFont="1" applyFill="1" applyBorder="1" applyAlignment="1" applyProtection="1">
      <alignment horizontal="center" vertical="center"/>
    </xf>
    <xf numFmtId="43" fontId="23" fillId="3" borderId="21" xfId="266" applyNumberFormat="1" applyFont="1" applyFill="1" applyBorder="1">
      <alignment vertical="center"/>
    </xf>
    <xf numFmtId="0" fontId="41" fillId="0" borderId="0" xfId="267" applyFont="1" applyAlignment="1">
      <alignment vertical="center"/>
    </xf>
    <xf numFmtId="0" fontId="39" fillId="0" borderId="0" xfId="267" applyFont="1" applyAlignment="1">
      <alignment vertical="center"/>
    </xf>
    <xf numFmtId="0" fontId="96" fillId="0" borderId="0" xfId="267" applyFont="1" applyAlignment="1">
      <alignment vertical="center"/>
    </xf>
    <xf numFmtId="0" fontId="38" fillId="0" borderId="0" xfId="267" applyFont="1" applyAlignment="1">
      <alignment vertical="center"/>
    </xf>
    <xf numFmtId="0" fontId="14" fillId="3" borderId="21" xfId="268" applyFont="1" applyFill="1" applyBorder="1" applyAlignment="1">
      <alignment horizontal="center" vertical="center" wrapText="1"/>
    </xf>
    <xf numFmtId="0" fontId="14" fillId="3" borderId="21" xfId="269" applyFont="1" applyFill="1" applyBorder="1" applyAlignment="1">
      <alignment horizontal="center" vertical="center" wrapText="1"/>
    </xf>
    <xf numFmtId="0" fontId="13" fillId="0" borderId="21" xfId="268" applyFont="1" applyBorder="1" applyAlignment="1">
      <alignment horizontal="left" vertical="center"/>
    </xf>
    <xf numFmtId="43" fontId="34" fillId="0" borderId="21" xfId="267" applyNumberFormat="1" applyFont="1" applyBorder="1" applyAlignment="1">
      <alignment vertical="center"/>
    </xf>
    <xf numFmtId="43" fontId="34" fillId="3" borderId="21" xfId="267" applyNumberFormat="1" applyFont="1" applyFill="1" applyBorder="1" applyAlignment="1">
      <alignment vertical="center"/>
    </xf>
    <xf numFmtId="0" fontId="13" fillId="0" borderId="21" xfId="268" applyFont="1" applyBorder="1" applyAlignment="1">
      <alignment vertical="center"/>
    </xf>
    <xf numFmtId="0" fontId="13" fillId="0" borderId="21" xfId="269" applyFont="1" applyBorder="1" applyAlignment="1">
      <alignment horizontal="left" vertical="center"/>
    </xf>
    <xf numFmtId="0" fontId="13" fillId="3" borderId="21" xfId="268" applyFont="1" applyFill="1" applyBorder="1" applyAlignment="1">
      <alignment horizontal="center" vertical="center"/>
    </xf>
    <xf numFmtId="0" fontId="24" fillId="0" borderId="22" xfId="0" applyFont="1" applyBorder="1" applyAlignment="1">
      <alignment horizontal="justify" vertical="center" wrapText="1"/>
      <protection locked="0"/>
    </xf>
    <xf numFmtId="0" fontId="24" fillId="0" borderId="22" xfId="0" applyFont="1" applyBorder="1" applyAlignment="1">
      <alignment horizontal="right" vertical="center" wrapText="1"/>
      <protection locked="0"/>
    </xf>
    <xf numFmtId="0" fontId="110" fillId="0" borderId="15" xfId="0" applyFont="1" applyBorder="1" applyAlignment="1">
      <alignment horizontal="justify" vertical="center"/>
      <protection locked="0"/>
    </xf>
    <xf numFmtId="43" fontId="110" fillId="0" borderId="15" xfId="0" applyNumberFormat="1" applyFont="1" applyBorder="1" applyAlignment="1">
      <alignment horizontal="center" vertical="center"/>
      <protection locked="0"/>
    </xf>
    <xf numFmtId="0" fontId="111" fillId="0" borderId="0" xfId="0" applyFont="1" applyAlignment="1">
      <protection locked="0"/>
    </xf>
    <xf numFmtId="0" fontId="110" fillId="0" borderId="0" xfId="0" applyFont="1" applyBorder="1" applyAlignment="1">
      <alignment horizontal="justify" vertical="center"/>
      <protection locked="0"/>
    </xf>
    <xf numFmtId="43" fontId="110" fillId="0" borderId="0" xfId="0" applyNumberFormat="1" applyFont="1" applyBorder="1" applyAlignment="1">
      <alignment horizontal="center" vertical="center"/>
      <protection locked="0"/>
    </xf>
    <xf numFmtId="0" fontId="110" fillId="0" borderId="0" xfId="0" applyFont="1" applyAlignment="1">
      <alignment horizontal="right" vertical="center"/>
      <protection locked="0"/>
    </xf>
    <xf numFmtId="0" fontId="110" fillId="0" borderId="3" xfId="0" applyFont="1" applyBorder="1" applyAlignment="1">
      <alignment horizontal="justify" vertical="center"/>
      <protection locked="0"/>
    </xf>
    <xf numFmtId="43" fontId="110" fillId="0" borderId="3" xfId="0" applyNumberFormat="1" applyFont="1" applyBorder="1" applyAlignment="1">
      <alignment horizontal="center" vertical="center"/>
      <protection locked="0"/>
    </xf>
    <xf numFmtId="0" fontId="110" fillId="0" borderId="23" xfId="0" applyFont="1" applyBorder="1" applyAlignment="1">
      <alignment horizontal="justify" vertical="center"/>
      <protection locked="0"/>
    </xf>
    <xf numFmtId="43" fontId="110" fillId="0" borderId="23" xfId="0" applyNumberFormat="1" applyFont="1" applyBorder="1" applyAlignment="1">
      <alignment horizontal="center" vertical="center"/>
      <protection locked="0"/>
    </xf>
    <xf numFmtId="0" fontId="111" fillId="0" borderId="0" xfId="0" applyFont="1" applyAlignment="1">
      <alignment vertical="center"/>
      <protection locked="0"/>
    </xf>
    <xf numFmtId="0" fontId="13" fillId="0" borderId="21" xfId="257" applyFont="1" applyBorder="1" applyAlignment="1">
      <alignment horizontal="left" vertical="center" wrapText="1"/>
      <protection locked="0"/>
    </xf>
    <xf numFmtId="0" fontId="44" fillId="0" borderId="14" xfId="217" applyFont="1" applyBorder="1" applyAlignment="1">
      <alignment horizontal="center" vertical="center"/>
      <protection locked="0"/>
    </xf>
    <xf numFmtId="0" fontId="112" fillId="0" borderId="14" xfId="3" applyFont="1" applyBorder="1" applyAlignment="1">
      <alignment horizontal="left" vertical="center"/>
      <protection locked="0"/>
    </xf>
    <xf numFmtId="0" fontId="112" fillId="0" borderId="14" xfId="3" applyFont="1" applyBorder="1" applyAlignment="1">
      <alignment vertical="center"/>
      <protection locked="0"/>
    </xf>
    <xf numFmtId="0" fontId="16" fillId="0" borderId="0" xfId="0" applyFont="1" applyAlignment="1">
      <alignment horizontal="center" vertical="center"/>
      <protection locked="0"/>
    </xf>
    <xf numFmtId="200" fontId="108" fillId="0" borderId="0" xfId="270" applyFont="1" applyFill="1" applyAlignment="1">
      <alignment horizontal="left" vertical="center"/>
    </xf>
    <xf numFmtId="43" fontId="115" fillId="3" borderId="1" xfId="201" applyNumberFormat="1" applyFont="1" applyFill="1" applyBorder="1" applyAlignment="1">
      <alignment horizontal="right" vertical="center" wrapText="1"/>
      <protection locked="0"/>
    </xf>
    <xf numFmtId="4" fontId="115" fillId="0" borderId="1" xfId="201" applyNumberFormat="1" applyFont="1" applyBorder="1" applyAlignment="1">
      <alignment horizontal="right" vertical="center" wrapText="1"/>
      <protection locked="0"/>
    </xf>
    <xf numFmtId="0" fontId="116" fillId="0" borderId="0" xfId="258" applyFont="1" applyAlignment="1" applyProtection="1">
      <alignment vertical="center"/>
      <protection locked="0"/>
    </xf>
    <xf numFmtId="0" fontId="24" fillId="0" borderId="0" xfId="0" applyFont="1" applyAlignment="1">
      <alignment horizontal="left" vertical="center" wrapText="1"/>
      <protection locked="0"/>
    </xf>
    <xf numFmtId="0" fontId="22" fillId="0" borderId="0" xfId="0" applyFont="1" applyAlignment="1">
      <alignment horizontal="left" vertical="center" wrapText="1"/>
      <protection locked="0"/>
    </xf>
    <xf numFmtId="0" fontId="4" fillId="0" borderId="0" xfId="215" applyFont="1" applyAlignment="1">
      <alignment horizontal="center" vertical="center"/>
    </xf>
    <xf numFmtId="0" fontId="5" fillId="0" borderId="0" xfId="215" applyFont="1" applyAlignment="1">
      <alignment horizontal="center" vertical="center"/>
    </xf>
    <xf numFmtId="0" fontId="6" fillId="0" borderId="0" xfId="0" applyFont="1" applyAlignment="1">
      <alignment horizontal="left" vertical="center"/>
      <protection locked="0"/>
    </xf>
    <xf numFmtId="0" fontId="8" fillId="0" borderId="0" xfId="0" applyFont="1" applyAlignment="1">
      <alignment horizontal="left" vertical="center"/>
      <protection locked="0"/>
    </xf>
    <xf numFmtId="200" fontId="6" fillId="0" borderId="1" xfId="203" applyFont="1" applyBorder="1" applyAlignment="1">
      <alignment horizontal="left" vertical="center" wrapText="1"/>
      <protection locked="0"/>
    </xf>
    <xf numFmtId="0" fontId="8" fillId="2" borderId="1" xfId="0" applyFont="1" applyFill="1" applyBorder="1" applyAlignment="1">
      <alignment horizontal="center" vertical="center" wrapText="1"/>
      <protection locked="0"/>
    </xf>
    <xf numFmtId="0" fontId="8" fillId="2" borderId="1" xfId="0" applyFont="1" applyFill="1" applyBorder="1" applyAlignment="1">
      <alignment horizontal="center" vertical="center"/>
      <protection locked="0"/>
    </xf>
    <xf numFmtId="0" fontId="14" fillId="28" borderId="21" xfId="214" applyFont="1" applyFill="1" applyBorder="1" applyAlignment="1" applyProtection="1">
      <alignment horizontal="center" vertical="center" wrapText="1"/>
      <protection locked="0"/>
    </xf>
    <xf numFmtId="0" fontId="14" fillId="2" borderId="1" xfId="214" applyFont="1" applyFill="1" applyBorder="1" applyAlignment="1" applyProtection="1">
      <alignment horizontal="center" vertical="center" wrapText="1"/>
      <protection locked="0"/>
    </xf>
    <xf numFmtId="0" fontId="23" fillId="2" borderId="1" xfId="214" applyFont="1" applyFill="1" applyBorder="1" applyAlignment="1" applyProtection="1">
      <alignment horizontal="center" vertical="center" wrapText="1"/>
      <protection locked="0"/>
    </xf>
    <xf numFmtId="200" fontId="6" fillId="0" borderId="1" xfId="203" applyFont="1" applyBorder="1" applyAlignment="1">
      <alignment horizontal="center" vertical="center" wrapText="1"/>
      <protection locked="0"/>
    </xf>
    <xf numFmtId="0" fontId="15" fillId="0" borderId="0" xfId="215" applyFont="1" applyAlignment="1">
      <alignment horizontal="center" vertical="center"/>
    </xf>
    <xf numFmtId="0" fontId="33" fillId="0" borderId="0" xfId="215" applyFont="1" applyAlignment="1">
      <alignment horizontal="center" vertical="center"/>
    </xf>
    <xf numFmtId="0" fontId="34" fillId="0" borderId="0" xfId="201" applyFont="1" applyAlignment="1">
      <alignment horizontal="left" vertical="center"/>
      <protection locked="0"/>
    </xf>
    <xf numFmtId="0" fontId="36" fillId="0" borderId="0" xfId="201" applyFont="1" applyAlignment="1">
      <alignment horizontal="left" vertical="center"/>
      <protection locked="0"/>
    </xf>
    <xf numFmtId="0" fontId="13" fillId="0" borderId="4" xfId="201" applyFont="1" applyBorder="1" applyAlignment="1">
      <alignment horizontal="left" vertical="center" wrapText="1"/>
      <protection locked="0"/>
    </xf>
    <xf numFmtId="0" fontId="13" fillId="0" borderId="5" xfId="201" applyFont="1" applyBorder="1" applyAlignment="1">
      <alignment horizontal="left" vertical="center" wrapText="1"/>
      <protection locked="0"/>
    </xf>
    <xf numFmtId="0" fontId="34" fillId="0" borderId="5" xfId="201" applyFont="1" applyBorder="1" applyAlignment="1">
      <alignment horizontal="left" vertical="center" wrapText="1"/>
      <protection locked="0"/>
    </xf>
    <xf numFmtId="0" fontId="34" fillId="0" borderId="6" xfId="201" applyFont="1" applyBorder="1" applyAlignment="1">
      <alignment horizontal="left" vertical="center" wrapText="1"/>
      <protection locked="0"/>
    </xf>
    <xf numFmtId="0" fontId="36" fillId="0" borderId="1" xfId="201" applyFont="1" applyBorder="1" applyAlignment="1">
      <alignment horizontal="center" vertical="center"/>
      <protection locked="0"/>
    </xf>
    <xf numFmtId="0" fontId="6" fillId="0" borderId="1" xfId="201" applyFont="1" applyBorder="1" applyAlignment="1">
      <alignment horizontal="left" vertical="center" wrapText="1"/>
      <protection locked="0"/>
    </xf>
    <xf numFmtId="0" fontId="36" fillId="0" borderId="1" xfId="201" applyFont="1" applyBorder="1" applyAlignment="1">
      <alignment horizontal="left" vertical="center" wrapText="1"/>
      <protection locked="0"/>
    </xf>
    <xf numFmtId="0" fontId="36" fillId="2" borderId="4" xfId="201" applyFont="1" applyFill="1" applyBorder="1" applyAlignment="1">
      <alignment horizontal="center" vertical="center"/>
      <protection locked="0"/>
    </xf>
    <xf numFmtId="0" fontId="36" fillId="2" borderId="5" xfId="201" applyFont="1" applyFill="1" applyBorder="1" applyAlignment="1">
      <alignment horizontal="center" vertical="center"/>
      <protection locked="0"/>
    </xf>
    <xf numFmtId="0" fontId="36" fillId="2" borderId="6" xfId="201" applyFont="1" applyFill="1" applyBorder="1" applyAlignment="1">
      <alignment horizontal="center" vertical="center"/>
      <protection locked="0"/>
    </xf>
    <xf numFmtId="0" fontId="36" fillId="2" borderId="1" xfId="201" applyFont="1" applyFill="1" applyBorder="1" applyAlignment="1">
      <alignment horizontal="center" vertical="center" wrapText="1"/>
      <protection locked="0"/>
    </xf>
    <xf numFmtId="0" fontId="14" fillId="2" borderId="4" xfId="201" applyFont="1" applyFill="1" applyBorder="1" applyAlignment="1">
      <alignment horizontal="center" vertical="center" wrapText="1"/>
      <protection locked="0"/>
    </xf>
    <xf numFmtId="0" fontId="23" fillId="2" borderId="5" xfId="201" applyFont="1" applyFill="1" applyBorder="1" applyAlignment="1">
      <alignment horizontal="center" vertical="center" wrapText="1"/>
      <protection locked="0"/>
    </xf>
    <xf numFmtId="0" fontId="17" fillId="2" borderId="1" xfId="201" applyFont="1" applyFill="1" applyBorder="1" applyAlignment="1">
      <alignment horizontal="center" vertical="center" wrapText="1"/>
      <protection locked="0"/>
    </xf>
    <xf numFmtId="0" fontId="17" fillId="0" borderId="4" xfId="201" applyFont="1" applyBorder="1" applyAlignment="1">
      <alignment vertical="center" wrapText="1"/>
      <protection locked="0"/>
    </xf>
    <xf numFmtId="0" fontId="17" fillId="0" borderId="5" xfId="201" applyFont="1" applyBorder="1" applyAlignment="1">
      <alignment vertical="center" wrapText="1"/>
      <protection locked="0"/>
    </xf>
    <xf numFmtId="0" fontId="17" fillId="0" borderId="1" xfId="201" applyFont="1" applyBorder="1" applyAlignment="1">
      <alignment horizontal="center" vertical="center" wrapText="1"/>
      <protection locked="0"/>
    </xf>
    <xf numFmtId="0" fontId="17" fillId="0" borderId="4" xfId="201" applyFont="1" applyBorder="1" applyAlignment="1">
      <alignment horizontal="left" vertical="center" wrapText="1"/>
      <protection locked="0"/>
    </xf>
    <xf numFmtId="0" fontId="17" fillId="0" borderId="5" xfId="201" applyFont="1" applyBorder="1" applyAlignment="1">
      <alignment horizontal="left" vertical="center" wrapText="1"/>
      <protection locked="0"/>
    </xf>
    <xf numFmtId="0" fontId="13" fillId="2" borderId="4" xfId="201" applyFont="1" applyFill="1" applyBorder="1" applyAlignment="1">
      <alignment horizontal="center" vertical="center" wrapText="1"/>
      <protection locked="0"/>
    </xf>
    <xf numFmtId="0" fontId="17" fillId="2" borderId="5" xfId="201" applyFont="1" applyFill="1" applyBorder="1" applyAlignment="1">
      <alignment horizontal="center" vertical="center" wrapText="1"/>
      <protection locked="0"/>
    </xf>
    <xf numFmtId="0" fontId="17" fillId="2" borderId="4" xfId="201" applyFont="1" applyFill="1" applyBorder="1" applyAlignment="1">
      <alignment horizontal="center" vertical="center" wrapText="1"/>
      <protection locked="0"/>
    </xf>
    <xf numFmtId="0" fontId="17" fillId="2" borderId="6" xfId="201" applyFont="1" applyFill="1" applyBorder="1" applyAlignment="1">
      <alignment horizontal="center" vertical="center" wrapText="1"/>
      <protection locked="0"/>
    </xf>
    <xf numFmtId="0" fontId="17" fillId="0" borderId="4" xfId="201" applyFont="1" applyBorder="1" applyAlignment="1">
      <alignment horizontal="center" vertical="center" wrapText="1"/>
      <protection locked="0"/>
    </xf>
    <xf numFmtId="0" fontId="17" fillId="0" borderId="5" xfId="201" applyFont="1" applyBorder="1" applyAlignment="1">
      <alignment horizontal="center" vertical="center" wrapText="1"/>
      <protection locked="0"/>
    </xf>
    <xf numFmtId="0" fontId="17" fillId="0" borderId="6" xfId="201" applyFont="1" applyBorder="1" applyAlignment="1">
      <alignment horizontal="center" vertical="center" wrapText="1"/>
      <protection locked="0"/>
    </xf>
    <xf numFmtId="0" fontId="23" fillId="2" borderId="4" xfId="201" applyFont="1" applyFill="1" applyBorder="1" applyAlignment="1">
      <alignment horizontal="center" vertical="center" wrapText="1"/>
      <protection locked="0"/>
    </xf>
    <xf numFmtId="0" fontId="23" fillId="2" borderId="1" xfId="201" applyFont="1" applyFill="1" applyBorder="1" applyAlignment="1">
      <alignment horizontal="center" vertical="center" wrapText="1"/>
      <protection locked="0"/>
    </xf>
    <xf numFmtId="0" fontId="14" fillId="0" borderId="12" xfId="201" applyFont="1" applyBorder="1" applyAlignment="1">
      <alignment horizontal="center" vertical="center" wrapText="1"/>
      <protection locked="0"/>
    </xf>
    <xf numFmtId="0" fontId="14" fillId="0" borderId="13" xfId="201" applyFont="1" applyBorder="1" applyAlignment="1">
      <alignment horizontal="center" vertical="center" wrapText="1"/>
      <protection locked="0"/>
    </xf>
    <xf numFmtId="0" fontId="36" fillId="0" borderId="12" xfId="201" applyFont="1" applyBorder="1" applyAlignment="1">
      <alignment horizontal="center" vertical="center" wrapText="1"/>
      <protection locked="0"/>
    </xf>
    <xf numFmtId="0" fontId="36" fillId="0" borderId="13" xfId="201" applyFont="1" applyBorder="1" applyAlignment="1">
      <alignment horizontal="center" vertical="center" wrapText="1"/>
      <protection locked="0"/>
    </xf>
    <xf numFmtId="0" fontId="31" fillId="0" borderId="0" xfId="2" applyNumberFormat="1" applyFont="1" applyBorder="1" applyAlignment="1">
      <alignment horizontal="left" vertical="center"/>
    </xf>
    <xf numFmtId="0" fontId="7" fillId="2" borderId="1" xfId="0" applyFont="1" applyFill="1" applyBorder="1" applyAlignment="1" applyProtection="1">
      <alignment horizontal="center" vertical="center"/>
    </xf>
    <xf numFmtId="0" fontId="7" fillId="2" borderId="1" xfId="0" applyFont="1" applyFill="1" applyBorder="1" applyAlignment="1" applyProtection="1">
      <alignment vertical="center"/>
    </xf>
    <xf numFmtId="0" fontId="10" fillId="2" borderId="1" xfId="0" applyFont="1" applyFill="1" applyBorder="1" applyAlignment="1" applyProtection="1">
      <alignment vertical="center"/>
    </xf>
    <xf numFmtId="0" fontId="4" fillId="0" borderId="0" xfId="218" applyFont="1" applyBorder="1" applyAlignment="1">
      <alignment horizontal="center" vertical="center"/>
    </xf>
    <xf numFmtId="0" fontId="5" fillId="0" borderId="0" xfId="218" applyFont="1" applyBorder="1" applyAlignment="1">
      <alignment horizontal="center" vertical="center"/>
    </xf>
    <xf numFmtId="0" fontId="8" fillId="2" borderId="4" xfId="207" applyFont="1" applyFill="1" applyBorder="1" applyAlignment="1" applyProtection="1">
      <alignment horizontal="center" vertical="center" wrapText="1"/>
      <protection locked="0"/>
    </xf>
    <xf numFmtId="0" fontId="8" fillId="2" borderId="5" xfId="207" applyFont="1" applyFill="1" applyBorder="1" applyAlignment="1" applyProtection="1">
      <alignment horizontal="center" vertical="center" wrapText="1"/>
      <protection locked="0"/>
    </xf>
    <xf numFmtId="0" fontId="8" fillId="2" borderId="6" xfId="207" applyFont="1" applyFill="1" applyBorder="1" applyAlignment="1" applyProtection="1">
      <alignment horizontal="center" vertical="center" wrapText="1"/>
      <protection locked="0"/>
    </xf>
    <xf numFmtId="0" fontId="7" fillId="2" borderId="4" xfId="205" applyFont="1" applyFill="1" applyBorder="1" applyAlignment="1">
      <alignment horizontal="center" vertical="center" wrapText="1"/>
      <protection locked="0"/>
    </xf>
    <xf numFmtId="0" fontId="7" fillId="2" borderId="6" xfId="205" applyFont="1" applyFill="1" applyBorder="1" applyAlignment="1">
      <alignment horizontal="center" vertical="center" wrapText="1"/>
      <protection locked="0"/>
    </xf>
    <xf numFmtId="0" fontId="7" fillId="2" borderId="1" xfId="205" applyFont="1" applyFill="1" applyBorder="1" applyAlignment="1">
      <alignment horizontal="center" vertical="center" wrapText="1"/>
      <protection locked="0"/>
    </xf>
    <xf numFmtId="0" fontId="8" fillId="2" borderId="1" xfId="205" applyFont="1" applyFill="1" applyBorder="1" applyAlignment="1">
      <alignment horizontal="center" vertical="center" wrapText="1"/>
      <protection locked="0"/>
    </xf>
    <xf numFmtId="0" fontId="23" fillId="0" borderId="0" xfId="216" applyFont="1" applyAlignment="1">
      <alignment horizontal="center" vertical="center"/>
    </xf>
    <xf numFmtId="0" fontId="24" fillId="0" borderId="0" xfId="216" applyFont="1" applyAlignment="1">
      <alignment horizontal="center" vertical="center"/>
    </xf>
    <xf numFmtId="0" fontId="23" fillId="0" borderId="0" xfId="205" applyFont="1" applyAlignment="1">
      <alignment horizontal="center" vertical="center"/>
      <protection locked="0"/>
    </xf>
    <xf numFmtId="0" fontId="24" fillId="0" borderId="0" xfId="205" applyFont="1" applyAlignment="1">
      <alignment horizontal="center" vertical="center"/>
      <protection locked="0"/>
    </xf>
    <xf numFmtId="0" fontId="16" fillId="0" borderId="0" xfId="215" applyFont="1" applyAlignment="1">
      <alignment horizontal="center" vertical="center"/>
    </xf>
    <xf numFmtId="0" fontId="15" fillId="0" borderId="0" xfId="216" applyFont="1" applyAlignment="1">
      <alignment horizontal="center" vertical="center"/>
    </xf>
    <xf numFmtId="0" fontId="16" fillId="0" borderId="0" xfId="257" applyFont="1" applyAlignment="1">
      <alignment horizontal="center" vertical="center"/>
      <protection locked="0"/>
    </xf>
    <xf numFmtId="0" fontId="108" fillId="0" borderId="0" xfId="205" applyFont="1" applyAlignment="1">
      <alignment horizontal="left" vertical="center" wrapText="1"/>
      <protection locked="0"/>
    </xf>
    <xf numFmtId="0" fontId="19" fillId="0" borderId="0" xfId="205" applyFont="1" applyAlignment="1">
      <alignment horizontal="left" vertical="center" wrapText="1"/>
      <protection locked="0"/>
    </xf>
    <xf numFmtId="0" fontId="15" fillId="0" borderId="0" xfId="215" applyFont="1" applyAlignment="1" applyProtection="1">
      <alignment horizontal="center" vertical="center"/>
      <protection locked="0"/>
    </xf>
    <xf numFmtId="0" fontId="16" fillId="0" borderId="0" xfId="215" applyFont="1" applyAlignment="1" applyProtection="1">
      <alignment horizontal="center" vertical="center"/>
      <protection locked="0"/>
    </xf>
    <xf numFmtId="0" fontId="14" fillId="3" borderId="4" xfId="260" applyFont="1" applyFill="1" applyBorder="1" applyAlignment="1" applyProtection="1">
      <alignment horizontal="center" vertical="center" wrapText="1"/>
      <protection locked="0"/>
    </xf>
    <xf numFmtId="0" fontId="14" fillId="3" borderId="5" xfId="260" applyFont="1" applyFill="1" applyBorder="1" applyAlignment="1" applyProtection="1">
      <alignment horizontal="center" vertical="center" wrapText="1"/>
      <protection locked="0"/>
    </xf>
    <xf numFmtId="0" fontId="14" fillId="3" borderId="6" xfId="260" applyFont="1" applyFill="1" applyBorder="1" applyAlignment="1" applyProtection="1">
      <alignment horizontal="center" vertical="center" wrapText="1"/>
      <protection locked="0"/>
    </xf>
    <xf numFmtId="0" fontId="16" fillId="0" borderId="0" xfId="262" applyFont="1" applyAlignment="1">
      <alignment horizontal="center" vertical="center"/>
    </xf>
    <xf numFmtId="0" fontId="16" fillId="0" borderId="0" xfId="264" applyFont="1" applyAlignment="1">
      <alignment horizontal="center" vertical="center"/>
    </xf>
    <xf numFmtId="0" fontId="14" fillId="3" borderId="21" xfId="264" applyFont="1" applyFill="1" applyBorder="1" applyAlignment="1">
      <alignment horizontal="center" vertical="center"/>
    </xf>
    <xf numFmtId="0" fontId="13" fillId="0" borderId="21" xfId="264" applyFont="1" applyBorder="1" applyAlignment="1">
      <alignment horizontal="left" vertical="center"/>
    </xf>
    <xf numFmtId="4" fontId="13" fillId="0" borderId="21" xfId="264" applyNumberFormat="1" applyFont="1" applyBorder="1" applyAlignment="1">
      <alignment vertical="center"/>
    </xf>
    <xf numFmtId="0" fontId="13" fillId="0" borderId="21" xfId="264" applyFont="1" applyBorder="1" applyAlignment="1">
      <alignment horizontal="left" vertical="center" wrapText="1"/>
    </xf>
    <xf numFmtId="4" fontId="13" fillId="0" borderId="21" xfId="264" applyNumberFormat="1" applyFont="1" applyBorder="1" applyAlignment="1">
      <alignment vertical="center" wrapText="1"/>
    </xf>
    <xf numFmtId="0" fontId="13" fillId="0" borderId="21" xfId="264" applyFont="1" applyBorder="1" applyAlignment="1">
      <alignment vertical="center"/>
    </xf>
    <xf numFmtId="0" fontId="16" fillId="0" borderId="0" xfId="266" applyFont="1" applyAlignment="1">
      <alignment horizontal="center" vertical="center"/>
    </xf>
    <xf numFmtId="0" fontId="14" fillId="3" borderId="21" xfId="266" applyFont="1" applyFill="1" applyBorder="1" applyAlignment="1">
      <alignment horizontal="center" vertical="center" wrapText="1"/>
    </xf>
    <xf numFmtId="0" fontId="14" fillId="3" borderId="21" xfId="205" applyFont="1" applyFill="1" applyBorder="1" applyAlignment="1" applyProtection="1">
      <alignment horizontal="center" vertical="center"/>
    </xf>
    <xf numFmtId="0" fontId="14" fillId="3" borderId="21" xfId="268" applyFont="1" applyFill="1" applyBorder="1" applyAlignment="1">
      <alignment horizontal="center" vertical="center" wrapText="1"/>
    </xf>
  </cellXfs>
  <cellStyles count="271">
    <cellStyle name=" 3]_x000d__x000a_Zoomed=1_x000d__x000a_Row=128_x000d__x000a_Column=101_x000d__x000a_Height=300_x000d__x000a_Width=301_x000d__x000a_FontName=System_x000d__x000a_FontStyle=1_x000d__x000a_FontSize=12_x000d__x000a_PrtFontNa" xfId="4"/>
    <cellStyle name="@_text" xfId="5"/>
    <cellStyle name="_2005审计报表及附注-中国建材股份模板（房屋）" xfId="6"/>
    <cellStyle name="_宝丽华房地产20051231" xfId="7"/>
    <cellStyle name="_北新房屋2004年审-刘" xfId="8"/>
    <cellStyle name="_北新股份2005年审工作底稿" xfId="9"/>
    <cellStyle name="_北新建材关连交易基础表051230（10－12月版）更新稿" xfId="10"/>
    <cellStyle name="_北新建材-会计报表附注模版" xfId="11"/>
    <cellStyle name="_北新龙之星2004年审工作底稿" xfId="12"/>
    <cellStyle name="_北新物流2005底稿-刘" xfId="13"/>
    <cellStyle name="_北新置换memo" xfId="14"/>
    <cellStyle name="_存货" xfId="15"/>
    <cellStyle name="_存货结转测试" xfId="16"/>
    <cellStyle name="_存货数量与明细05.12" xfId="17"/>
    <cellStyle name="_多彩2007年度审计报表系统" xfId="18"/>
    <cellStyle name="_关联交易" xfId="19"/>
    <cellStyle name="_海螺进出口2006年新旧准则报表转换" xfId="20"/>
    <cellStyle name="_汉利2007年度审计报表系统" xfId="21"/>
    <cellStyle name="_汉欣2006年新旧准则报表转换" xfId="22"/>
    <cellStyle name="_汉欣2007年审计底稿－林烨" xfId="23"/>
    <cellStyle name="_汉亚2007年度审计报表系统" xfId="24"/>
    <cellStyle name="_汉亚2007年审计底稿－林烨" xfId="25"/>
    <cellStyle name="_长期借款－江阴" xfId="26"/>
    <cellStyle name="_兆旺底稿2006" xfId="27"/>
    <cellStyle name="{Comma [0]}" xfId="28"/>
    <cellStyle name="{Comma}" xfId="29"/>
    <cellStyle name="{Date}" xfId="30"/>
    <cellStyle name="{Month}" xfId="31"/>
    <cellStyle name="{Percent}" xfId="32"/>
    <cellStyle name="{Thousand [0]}" xfId="33"/>
    <cellStyle name="{Thousand}" xfId="34"/>
    <cellStyle name="{Z'0000(1 dec)}" xfId="35"/>
    <cellStyle name="{Z'0000(4 dec)}" xfId="36"/>
    <cellStyle name="0,0_x000d__x000a_NA_x000d__x000a_" xfId="37"/>
    <cellStyle name="00" xfId="38"/>
    <cellStyle name="Black" xfId="39"/>
    <cellStyle name="Border" xfId="40"/>
    <cellStyle name="Calc Currency (0)" xfId="41"/>
    <cellStyle name="Calc Currency (2)" xfId="42"/>
    <cellStyle name="Calc Percent (0)" xfId="43"/>
    <cellStyle name="Calc Percent (1)" xfId="44"/>
    <cellStyle name="Calc Percent (2)" xfId="45"/>
    <cellStyle name="Calc Units (0)" xfId="46"/>
    <cellStyle name="Calc Units (1)" xfId="47"/>
    <cellStyle name="Calc Units (2)" xfId="48"/>
    <cellStyle name="Column_Title" xfId="49"/>
    <cellStyle name="Comma  - Style1" xfId="50"/>
    <cellStyle name="Comma  - Style2" xfId="51"/>
    <cellStyle name="Comma  - Style3" xfId="52"/>
    <cellStyle name="Comma  - Style4" xfId="53"/>
    <cellStyle name="Comma  - Style5" xfId="54"/>
    <cellStyle name="Comma  - Style6" xfId="55"/>
    <cellStyle name="Comma  - Style7" xfId="56"/>
    <cellStyle name="Comma  - Style8" xfId="57"/>
    <cellStyle name="Comma [0]_ rislugp" xfId="58"/>
    <cellStyle name="Comma [00]" xfId="59"/>
    <cellStyle name="comma zerodec" xfId="60"/>
    <cellStyle name="Comma_ rislugp" xfId="61"/>
    <cellStyle name="Currency [0]_ rislugp" xfId="62"/>
    <cellStyle name="Currency [00]" xfId="63"/>
    <cellStyle name="Currency_ rislugp" xfId="64"/>
    <cellStyle name="Currency1" xfId="65"/>
    <cellStyle name="Date" xfId="66"/>
    <cellStyle name="Date Short" xfId="67"/>
    <cellStyle name="Date_capinves" xfId="68"/>
    <cellStyle name="Dezimal [0]_laroux" xfId="69"/>
    <cellStyle name="Dezimal_laroux" xfId="70"/>
    <cellStyle name="Dollar (zero dec)" xfId="71"/>
    <cellStyle name="Enter Currency (0)" xfId="72"/>
    <cellStyle name="Enter Currency (2)" xfId="73"/>
    <cellStyle name="Enter Units (0)" xfId="74"/>
    <cellStyle name="Enter Units (1)" xfId="75"/>
    <cellStyle name="Enter Units (2)" xfId="76"/>
    <cellStyle name="entry" xfId="77"/>
    <cellStyle name="entry box" xfId="78"/>
    <cellStyle name="Euro" xfId="79"/>
    <cellStyle name="F2" xfId="80"/>
    <cellStyle name="F3" xfId="81"/>
    <cellStyle name="F4" xfId="82"/>
    <cellStyle name="F5" xfId="83"/>
    <cellStyle name="F6" xfId="84"/>
    <cellStyle name="F7" xfId="85"/>
    <cellStyle name="F8" xfId="86"/>
    <cellStyle name="Fixed" xfId="87"/>
    <cellStyle name="Followed Hyperlink_AheadBehind.xls Chart 23" xfId="88"/>
    <cellStyle name="Gary Text" xfId="89"/>
    <cellStyle name="Grey" xfId="90"/>
    <cellStyle name="Header1" xfId="91"/>
    <cellStyle name="Header2" xfId="92"/>
    <cellStyle name="HEADING1" xfId="93"/>
    <cellStyle name="HEADING2" xfId="94"/>
    <cellStyle name="Hyperlink_AheadBehind.xls Chart 23" xfId="95"/>
    <cellStyle name="Input [yellow]" xfId="96"/>
    <cellStyle name="left" xfId="97"/>
    <cellStyle name="Link Currency (0)" xfId="98"/>
    <cellStyle name="Link Currency (2)" xfId="99"/>
    <cellStyle name="Link Units (0)" xfId="100"/>
    <cellStyle name="Link Units (1)" xfId="101"/>
    <cellStyle name="Link Units (2)" xfId="102"/>
    <cellStyle name="Migliaia (0)_S10" xfId="103"/>
    <cellStyle name="Migliaia_S10" xfId="104"/>
    <cellStyle name="Millares [0]_laroux" xfId="105"/>
    <cellStyle name="Millares_laroux" xfId="106"/>
    <cellStyle name="Milliers [0]_laroux" xfId="107"/>
    <cellStyle name="Milliers_laroux" xfId="108"/>
    <cellStyle name="Moneda [0]_laroux" xfId="109"/>
    <cellStyle name="Moneda_laroux" xfId="110"/>
    <cellStyle name="Monétaire [0]_PERSONAL" xfId="111"/>
    <cellStyle name="Monétaire_PERSONAL" xfId="112"/>
    <cellStyle name="Mon閠aire [0]_laroux" xfId="113"/>
    <cellStyle name="Mon閠aire_laroux" xfId="114"/>
    <cellStyle name="no dec" xfId="115"/>
    <cellStyle name="Non défini" xfId="116"/>
    <cellStyle name="Norm੎੎" xfId="117"/>
    <cellStyle name="Normal - Style1" xfId="118"/>
    <cellStyle name="Normal_ rislugp" xfId="119"/>
    <cellStyle name="Normale_S10" xfId="120"/>
    <cellStyle name="Normalny_Arkusz1" xfId="121"/>
    <cellStyle name="Percent [0]" xfId="122"/>
    <cellStyle name="Percent [00]" xfId="123"/>
    <cellStyle name="Percent [2]" xfId="124"/>
    <cellStyle name="Percent_#6 Temps &amp; Contractors" xfId="125"/>
    <cellStyle name="Prefilled" xfId="126"/>
    <cellStyle name="PrePop Currency (0)" xfId="127"/>
    <cellStyle name="PrePop Currency (2)" xfId="128"/>
    <cellStyle name="PrePop Units (0)" xfId="129"/>
    <cellStyle name="PrePop Units (1)" xfId="130"/>
    <cellStyle name="PrePop Units (2)" xfId="131"/>
    <cellStyle name="price" xfId="132"/>
    <cellStyle name="Red" xfId="133"/>
    <cellStyle name="revised" xfId="134"/>
    <cellStyle name="row_def_array" xfId="135"/>
    <cellStyle name="SAPBEXaggData" xfId="136"/>
    <cellStyle name="SAPBEXaggDataEmph" xfId="137"/>
    <cellStyle name="SAPBEXaggItem" xfId="138"/>
    <cellStyle name="SAPBEXaggItemX" xfId="139"/>
    <cellStyle name="SAPBEXchaText" xfId="140"/>
    <cellStyle name="SAPBEXexcBad7" xfId="141"/>
    <cellStyle name="SAPBEXexcBad8" xfId="142"/>
    <cellStyle name="SAPBEXexcBad9" xfId="143"/>
    <cellStyle name="SAPBEXexcCritical4" xfId="144"/>
    <cellStyle name="SAPBEXexcCritical5" xfId="145"/>
    <cellStyle name="SAPBEXexcCritical6" xfId="146"/>
    <cellStyle name="SAPBEXexcGood1" xfId="147"/>
    <cellStyle name="SAPBEXexcGood2" xfId="148"/>
    <cellStyle name="SAPBEXexcGood3" xfId="149"/>
    <cellStyle name="SAPBEXfilterDrill" xfId="150"/>
    <cellStyle name="SAPBEXfilterItem" xfId="151"/>
    <cellStyle name="SAPBEXfilterText" xfId="152"/>
    <cellStyle name="SAPBEXformats" xfId="153"/>
    <cellStyle name="SAPBEXheaderItem" xfId="154"/>
    <cellStyle name="SAPBEXheaderText" xfId="155"/>
    <cellStyle name="SAPBEXHLevel0" xfId="156"/>
    <cellStyle name="SAPBEXHLevel0X" xfId="157"/>
    <cellStyle name="SAPBEXHLevel1" xfId="158"/>
    <cellStyle name="SAPBEXHLevel1X" xfId="159"/>
    <cellStyle name="SAPBEXHLevel2" xfId="160"/>
    <cellStyle name="SAPBEXHLevel2X" xfId="161"/>
    <cellStyle name="SAPBEXHLevel3" xfId="162"/>
    <cellStyle name="SAPBEXHLevel3X" xfId="163"/>
    <cellStyle name="SAPBEXresData" xfId="164"/>
    <cellStyle name="SAPBEXresDataEmph" xfId="165"/>
    <cellStyle name="SAPBEXresItem" xfId="166"/>
    <cellStyle name="SAPBEXresItemX" xfId="167"/>
    <cellStyle name="SAPBEXstdData" xfId="168"/>
    <cellStyle name="SAPBEXstdDataEmph" xfId="169"/>
    <cellStyle name="SAPBEXstdItem" xfId="170"/>
    <cellStyle name="SAPBEXstdItemX" xfId="171"/>
    <cellStyle name="SAPBEXtitle" xfId="172"/>
    <cellStyle name="SAPBEXundefined" xfId="173"/>
    <cellStyle name="section" xfId="174"/>
    <cellStyle name="style" xfId="175"/>
    <cellStyle name="style1" xfId="176"/>
    <cellStyle name="style2" xfId="177"/>
    <cellStyle name="Text Indent A" xfId="178"/>
    <cellStyle name="Text Indent B" xfId="179"/>
    <cellStyle name="Text Indent C" xfId="180"/>
    <cellStyle name="title" xfId="181"/>
    <cellStyle name="Total" xfId="182"/>
    <cellStyle name="Tusental (0)_pldt" xfId="183"/>
    <cellStyle name="Tusental_pldt" xfId="184"/>
    <cellStyle name="Valuta (0)_pldt" xfId="185"/>
    <cellStyle name="Valuta_pldt" xfId="186"/>
    <cellStyle name="wrap" xfId="187"/>
    <cellStyle name="パーセント_laroux" xfId="188"/>
    <cellStyle name="_laroux" xfId="189"/>
    <cellStyle name="だ_laroux" xfId="190"/>
    <cellStyle name="百分比" xfId="2" builtinId="5"/>
    <cellStyle name="百分比 2" xfId="191"/>
    <cellStyle name="百分比 2 2" xfId="192"/>
    <cellStyle name="百分比 2 2 2" xfId="265"/>
    <cellStyle name="百分比 3" xfId="193"/>
    <cellStyle name="百分比 4" xfId="194"/>
    <cellStyle name="捠壿 [0.00]_PRODUCT DETAIL Q1" xfId="195"/>
    <cellStyle name="捠壿_PRODUCT DETAIL Q1" xfId="196"/>
    <cellStyle name="標準_１１月価格表" xfId="197"/>
    <cellStyle name="差_StartUp" xfId="198"/>
    <cellStyle name="常?_1" xfId="199"/>
    <cellStyle name="常规" xfId="0" builtinId="0"/>
    <cellStyle name="常规 11 5" xfId="270"/>
    <cellStyle name="常规 13" xfId="256"/>
    <cellStyle name="常规 2" xfId="200"/>
    <cellStyle name="常规 2 2" xfId="201"/>
    <cellStyle name="常规 2 2 4" xfId="202"/>
    <cellStyle name="常规 2 4 3" xfId="203"/>
    <cellStyle name="常规 2 8" xfId="204"/>
    <cellStyle name="常规 3" xfId="205"/>
    <cellStyle name="常规 3 2" xfId="206"/>
    <cellStyle name="常规 4" xfId="207"/>
    <cellStyle name="常规 4 2" xfId="208"/>
    <cellStyle name="常规 4 2 2" xfId="209"/>
    <cellStyle name="常规 5" xfId="210"/>
    <cellStyle name="常规 5 2" xfId="211"/>
    <cellStyle name="常规 6" xfId="212"/>
    <cellStyle name="常规 6 2" xfId="213"/>
    <cellStyle name="常规 7" xfId="214"/>
    <cellStyle name="常规 8" xfId="267"/>
    <cellStyle name="常规_2005年3月房产经营工作底稿-饶" xfId="264"/>
    <cellStyle name="常规_2006年年报安排计划-新" xfId="268"/>
    <cellStyle name="常规_Book1" xfId="215"/>
    <cellStyle name="常规_c-资产类" xfId="216"/>
    <cellStyle name="常规_n8470589" xfId="260"/>
    <cellStyle name="常规_Sheet1" xfId="261"/>
    <cellStyle name="常规_递延所得税计算明细表（桑）" xfId="269"/>
    <cellStyle name="常规_工作底稿城乡" xfId="266"/>
    <cellStyle name="常规_所得税纳税调整" xfId="257"/>
    <cellStyle name="常规_通用表" xfId="217"/>
    <cellStyle name="常规_新审定表" xfId="218"/>
    <cellStyle name="常规_新所得税底稿目录文件" xfId="263"/>
    <cellStyle name="常规_研发费加计扣除" xfId="262"/>
    <cellStyle name="常规_制造费用" xfId="219"/>
    <cellStyle name="超级链接_0106固定资产减值明细(提减值准备)" xfId="220"/>
    <cellStyle name="超链接" xfId="3" builtinId="8"/>
    <cellStyle name="超链接 2" xfId="221"/>
    <cellStyle name="超链接 3" xfId="258"/>
    <cellStyle name="分级显示行_1_4附件二凯旋评估表" xfId="222"/>
    <cellStyle name="好_StartUp" xfId="223"/>
    <cellStyle name="桁区切り [0.00]_１１月価格表" xfId="224"/>
    <cellStyle name="桁区切り_１１月価格表" xfId="225"/>
    <cellStyle name="后继超级链接_0106固定资产减值明细(提减值准备)" xfId="226"/>
    <cellStyle name="貨幣 [0]_1" xfId="227"/>
    <cellStyle name="貨幣_1" xfId="228"/>
    <cellStyle name="霓付 [0]_1202" xfId="229"/>
    <cellStyle name="霓付_1202" xfId="230"/>
    <cellStyle name="烹拳 [0]_1202" xfId="231"/>
    <cellStyle name="烹拳_1202" xfId="232"/>
    <cellStyle name="普通_ 白土" xfId="233"/>
    <cellStyle name="千分位[0]_ 白土" xfId="234"/>
    <cellStyle name="千分位_ 白土" xfId="235"/>
    <cellStyle name="千位[0]_ 预 付 帐 款" xfId="236"/>
    <cellStyle name="千位_ 预 付 帐 款" xfId="237"/>
    <cellStyle name="千位分隔" xfId="1" builtinId="3"/>
    <cellStyle name="千位分隔 2" xfId="238"/>
    <cellStyle name="千位分隔 2 2" xfId="239"/>
    <cellStyle name="千位分隔 2 2 2" xfId="240"/>
    <cellStyle name="千位分隔 2 3" xfId="241"/>
    <cellStyle name="千位分隔 3" xfId="242"/>
    <cellStyle name="千位分隔_所得税纳税调整" xfId="259"/>
    <cellStyle name="钎霖_(沥焊何巩)岿喊牢盔拌裙" xfId="243"/>
    <cellStyle name="通貨 [0.00]_１１月価格表" xfId="244"/>
    <cellStyle name="通貨_１１月価格表" xfId="245"/>
    <cellStyle name="样式 1" xfId="246"/>
    <cellStyle name="一般_1" xfId="247"/>
    <cellStyle name="昗弨_BOOKSHIP" xfId="248"/>
    <cellStyle name="寘嬫愗傝 [0.00]_PRODUCT DETAIL Q1" xfId="249"/>
    <cellStyle name="寘嬫愗傝_PRODUCT DETAIL Q1" xfId="250"/>
    <cellStyle name="콤마 [0]_BOILER-CO1" xfId="251"/>
    <cellStyle name="콤마_BOILER-CO1" xfId="252"/>
    <cellStyle name="통화 [0]_BOILER-CO1" xfId="253"/>
    <cellStyle name="통화_BOILER-CO1" xfId="254"/>
    <cellStyle name="표준_0N-HANDLING " xfId="255"/>
  </cellStyles>
  <dxfs count="2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colors>
    <mruColors>
      <color rgb="FF0000FF"/>
      <color rgb="FF0066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3457;&#35745;/2006&#24180;&#24230;&#23457;&#35745;/&#23478;&#21270;&#32929;&#20221;/&#20336;&#33609;&#38598;/2006&#27491;&#24335;&#24213;&#31295;/2006&#20336;&#33609;&#38598;&#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1227;&#21160;&#25991;&#20214;/C&#30424;&#25991;&#20214;/chxyw/2004/&#27719;&#24635;&#36807;&#31243;&#34920;/&#23458;&#25143;&#36164;&#26009;/&#20027;&#26495;/&#27743;&#33487;&#21556;&#20013;/&#38271;&#24449;&#21046;&#33647;&#21378;/12-31/&#24212;&#25910;&#20184;&#24080;&#40836;.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Startup" Target="MASTERS/AR/AREEFY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25253;&#21578;&#27169;&#26495;/2024&#24180;&#33268;&#21516;&#36890;&#29992;&#23457;&#35745;&#31243;&#24207;&#21450;&#24213;&#31295;&#27169;&#26495;%20(1)/1.&#33268;&#21516;&#23457;&#35745;&#31243;&#24207;&#21450;&#24213;&#31295;&#27169;&#26495;&#65288;2024&#24180;&#65289;/4.&#39118;&#38505;&#24212;&#23545;-&#23454;&#36136;&#24615;&#31243;&#24207;&#65288;D-Q&#65289;/N%20&#25152;&#24471;&#31246;&#24490;&#29615;/N3&#25152;&#24471;&#31246;&#36153;&#29992;/N3&#25152;&#24471;&#31246;&#36153;&#29992;-%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备忘事项"/>
      <sheetName val="关联方"/>
      <sheetName val="其他货币"/>
      <sheetName val="其他货币查验"/>
      <sheetName val="其他货币明细"/>
      <sheetName val="短期投资查验"/>
      <sheetName val="短期投资分类明细表"/>
      <sheetName val="短期投资分析"/>
      <sheetName val="投资收益复核"/>
      <sheetName val="短期投资跌价准备"/>
      <sheetName val="应收账款查验"/>
      <sheetName val="应收账款发生额"/>
      <sheetName val="货款回笼汇总"/>
      <sheetName val="货款回笼明细表"/>
      <sheetName val="12月收款"/>
      <sheetName val="应收账款期后收款"/>
      <sheetName val="应收函询结果汇总表"/>
      <sheetName val="其他应收款"/>
      <sheetName val="其他应收款明细"/>
      <sheetName val="其他应收款期初期末"/>
      <sheetName val="其他函询结果汇总表"/>
      <sheetName val="坏账准备审核表"/>
      <sheetName val="存货总帐余额表"/>
      <sheetName val="存货说明书"/>
      <sheetName val="存货查验"/>
      <sheetName val="存货明细"/>
      <sheetName val="库存商品余额"/>
      <sheetName val="P004"/>
      <sheetName val="P005"/>
      <sheetName val="发出商品明细"/>
      <sheetName val="各库发生额核对"/>
      <sheetName val="P004与P005单价核对"/>
      <sheetName val="期末单价测试"/>
      <sheetName val="内部及关联方采购"/>
      <sheetName val="存货盘点"/>
      <sheetName val="存货盘点清单"/>
      <sheetName val="存货跌价准备"/>
      <sheetName val="长期投资明细表"/>
      <sheetName val="其他股权投资"/>
      <sheetName val="长期股权1"/>
      <sheetName val="长期股权2"/>
      <sheetName val="预收账款查验"/>
      <sheetName val="预收账款"/>
      <sheetName val="股本"/>
      <sheetName val="法定盈余公积"/>
      <sheetName val="利润分配"/>
      <sheetName val="收入确认"/>
      <sheetName val="收入、成本"/>
      <sheetName val="毛利率"/>
      <sheetName val="三年收入比较"/>
      <sheetName val="收入明细－按客户"/>
      <sheetName val="销售毛利分析"/>
      <sheetName val="收入现金分析"/>
      <sheetName val="收入与发票核对"/>
      <sheetName val="期初、期末比较"/>
      <sheetName val="合同查验"/>
      <sheetName val="测试－销售"/>
      <sheetName val="成本结转"/>
      <sheetName val="主营业务税金及附加"/>
      <sheetName val="投资收益(未审数）"/>
      <sheetName val="投资收益（审定数)"/>
      <sheetName val="股票收益"/>
      <sheetName val="权益法"/>
      <sheetName val="所得税"/>
      <sheetName val="纳税调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s>
    <sheetDataSet>
      <sheetData sheetId="0" refreshError="1"/>
      <sheetData sheetId="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onomic evaluation - FY98 base"/>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所得税审计程序表N3A"/>
      <sheetName val="所得税费用审定表N3"/>
      <sheetName val="所得税费用附注披露信息（上市公司）N3-1"/>
      <sheetName val="所得税费用附注披露信息（国企）N3-1"/>
      <sheetName val="所得税费用明细表N3-2"/>
      <sheetName val="调整分录汇总表N3-2-1"/>
      <sheetName val="GT_Custom"/>
    </sheetNames>
    <sheetDataSet>
      <sheetData sheetId="0">
        <row r="2">
          <cell r="A2" t="str">
            <v>客户名称：</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4"/>
  <sheetViews>
    <sheetView tabSelected="1" zoomScaleNormal="100" zoomScaleSheetLayoutView="100" workbookViewId="0"/>
  </sheetViews>
  <sheetFormatPr defaultColWidth="9" defaultRowHeight="20.100000000000001" customHeight="1"/>
  <cols>
    <col min="1" max="1" width="77.59765625" style="189" customWidth="1"/>
    <col min="2" max="2" width="2" style="189" customWidth="1"/>
    <col min="3" max="3" width="2.09765625" style="189" customWidth="1"/>
    <col min="4" max="4" width="6.09765625" style="189" customWidth="1"/>
    <col min="5" max="5" width="27.09765625" style="190" customWidth="1"/>
    <col min="6" max="6" width="6.5" style="190" customWidth="1"/>
    <col min="7" max="16384" width="9" style="189"/>
  </cols>
  <sheetData>
    <row r="1" spans="1:8" ht="20.100000000000001" customHeight="1">
      <c r="A1" s="191" t="s">
        <v>0</v>
      </c>
    </row>
    <row r="2" spans="1:8" ht="20.100000000000001" customHeight="1">
      <c r="A2" s="192" t="s">
        <v>1</v>
      </c>
      <c r="B2" s="193"/>
      <c r="C2" s="193"/>
      <c r="D2" s="194" t="s">
        <v>2</v>
      </c>
      <c r="E2" s="343" t="s">
        <v>3</v>
      </c>
      <c r="F2" s="195" t="s">
        <v>4</v>
      </c>
      <c r="G2" s="193"/>
      <c r="H2" s="193"/>
    </row>
    <row r="3" spans="1:8" ht="20.100000000000001" customHeight="1">
      <c r="A3" s="192" t="s">
        <v>5</v>
      </c>
      <c r="B3" s="193"/>
      <c r="C3" s="193"/>
      <c r="D3" s="196">
        <v>1</v>
      </c>
      <c r="E3" s="344" t="s">
        <v>6</v>
      </c>
      <c r="F3" s="197" t="s">
        <v>260</v>
      </c>
      <c r="G3" s="193"/>
      <c r="H3" s="193"/>
    </row>
    <row r="4" spans="1:8" ht="20.100000000000001" customHeight="1">
      <c r="A4" s="192" t="s">
        <v>7</v>
      </c>
      <c r="D4" s="196">
        <v>2</v>
      </c>
      <c r="E4" s="345" t="s">
        <v>8</v>
      </c>
      <c r="F4" s="197" t="s">
        <v>261</v>
      </c>
      <c r="G4" s="193"/>
      <c r="H4" s="193"/>
    </row>
    <row r="5" spans="1:8" ht="20.100000000000001" customHeight="1">
      <c r="A5" s="192" t="s">
        <v>9</v>
      </c>
      <c r="D5" s="196">
        <v>3</v>
      </c>
      <c r="E5" s="345" t="s">
        <v>10</v>
      </c>
      <c r="F5" s="197"/>
      <c r="G5" s="198" t="s">
        <v>11</v>
      </c>
    </row>
    <row r="6" spans="1:8" ht="20.100000000000001" customHeight="1">
      <c r="A6" s="192" t="s">
        <v>12</v>
      </c>
      <c r="D6" s="196">
        <v>4</v>
      </c>
      <c r="E6" s="345" t="s">
        <v>13</v>
      </c>
      <c r="F6" s="197"/>
      <c r="G6" s="198" t="s">
        <v>11</v>
      </c>
    </row>
    <row r="7" spans="1:8" ht="20.100000000000001" customHeight="1">
      <c r="A7" s="192" t="s">
        <v>14</v>
      </c>
      <c r="D7" s="196">
        <v>5</v>
      </c>
      <c r="E7" s="345" t="s">
        <v>15</v>
      </c>
      <c r="F7" s="197" t="s">
        <v>262</v>
      </c>
    </row>
    <row r="8" spans="1:8" ht="20.100000000000001" customHeight="1">
      <c r="A8" s="199"/>
      <c r="D8" s="196">
        <v>6</v>
      </c>
      <c r="E8" s="345" t="s">
        <v>16</v>
      </c>
      <c r="F8" s="197" t="s">
        <v>263</v>
      </c>
    </row>
    <row r="9" spans="1:8" ht="20.100000000000001" customHeight="1">
      <c r="A9" s="346" t="s">
        <v>612</v>
      </c>
      <c r="D9" s="196">
        <v>7</v>
      </c>
      <c r="E9" s="345" t="s">
        <v>264</v>
      </c>
      <c r="F9" s="197" t="s">
        <v>271</v>
      </c>
    </row>
    <row r="10" spans="1:8" ht="20.100000000000001" customHeight="1">
      <c r="A10" s="351" t="s">
        <v>613</v>
      </c>
      <c r="D10" s="196">
        <v>8</v>
      </c>
      <c r="E10" s="345" t="s">
        <v>265</v>
      </c>
      <c r="F10" s="197" t="s">
        <v>272</v>
      </c>
    </row>
    <row r="11" spans="1:8" ht="20.100000000000001" customHeight="1">
      <c r="A11" s="351"/>
      <c r="D11" s="196">
        <v>9</v>
      </c>
      <c r="E11" s="345" t="s">
        <v>266</v>
      </c>
      <c r="F11" s="197" t="s">
        <v>273</v>
      </c>
    </row>
    <row r="12" spans="1:8" ht="20.100000000000001" customHeight="1">
      <c r="A12" s="351"/>
      <c r="D12" s="196">
        <v>10</v>
      </c>
      <c r="E12" s="345" t="s">
        <v>267</v>
      </c>
      <c r="F12" s="197" t="s">
        <v>274</v>
      </c>
    </row>
    <row r="13" spans="1:8" ht="20.100000000000001" customHeight="1">
      <c r="A13" s="351"/>
      <c r="D13" s="196">
        <v>11</v>
      </c>
      <c r="E13" s="345" t="s">
        <v>268</v>
      </c>
      <c r="F13" s="197" t="s">
        <v>275</v>
      </c>
    </row>
    <row r="14" spans="1:8" ht="20.100000000000001" customHeight="1">
      <c r="A14" s="351" t="s">
        <v>614</v>
      </c>
      <c r="D14" s="196">
        <v>12</v>
      </c>
      <c r="E14" s="345" t="s">
        <v>269</v>
      </c>
      <c r="F14" s="197" t="s">
        <v>276</v>
      </c>
    </row>
    <row r="15" spans="1:8" ht="20.100000000000001" customHeight="1">
      <c r="A15" s="351"/>
      <c r="D15" s="196">
        <v>13</v>
      </c>
      <c r="E15" s="345" t="s">
        <v>270</v>
      </c>
      <c r="F15" s="197" t="s">
        <v>277</v>
      </c>
    </row>
    <row r="16" spans="1:8" ht="20.100000000000001" customHeight="1">
      <c r="A16" s="351"/>
    </row>
    <row r="17" spans="1:1" ht="20.100000000000001" customHeight="1">
      <c r="A17" s="352" t="s">
        <v>615</v>
      </c>
    </row>
    <row r="18" spans="1:1" ht="20.100000000000001" customHeight="1">
      <c r="A18" s="352"/>
    </row>
    <row r="19" spans="1:1" ht="20.100000000000001" customHeight="1">
      <c r="A19" s="352"/>
    </row>
    <row r="20" spans="1:1" ht="20.100000000000001" customHeight="1">
      <c r="A20" s="204"/>
    </row>
    <row r="21" spans="1:1" ht="20.100000000000001" customHeight="1">
      <c r="A21" s="199"/>
    </row>
    <row r="22" spans="1:1" ht="20.100000000000001" customHeight="1">
      <c r="A22" s="201"/>
    </row>
    <row r="23" spans="1:1" ht="20.100000000000001" customHeight="1">
      <c r="A23" s="202"/>
    </row>
    <row r="24" spans="1:1" ht="20.100000000000001" customHeight="1">
      <c r="A24" s="200"/>
    </row>
  </sheetData>
  <mergeCells count="3">
    <mergeCell ref="A10:A13"/>
    <mergeCell ref="A14:A16"/>
    <mergeCell ref="A17:A19"/>
  </mergeCells>
  <phoneticPr fontId="104" type="noConversion"/>
  <hyperlinks>
    <hyperlink ref="E4" location="'所得税费用审定表N5-1'!A1" display="所得税费用审定表"/>
    <hyperlink ref="E5" location="'附注披露信息（上市公司）'!A1" display="附注披露信息（上市公司）"/>
    <hyperlink ref="E6" location="'附注披露信息（国企'!A1" display="附注披露信息（国企）"/>
    <hyperlink ref="E7" location="'所得税费用明细表N5-2'!A1" display="所得税费用明细表"/>
    <hyperlink ref="E3" location="所得税审计程序表N5A!A1" display="所得税审计程序表"/>
    <hyperlink ref="E8" location="'调整分录汇总表N5-3'!A1" display="调整分录汇总表"/>
    <hyperlink ref="E9" location="'当期所得税费用计算表N5-4'!A1" display="当期所得税费用计算表"/>
    <hyperlink ref="E10" location="'纳税调整明细表N5-5'!A1" display="纳税调整明细表"/>
    <hyperlink ref="E11" location="'税收优惠明细表N5-6'!A1" display="税收优惠明细表"/>
    <hyperlink ref="E12" location="'加计扣除研发费用情况明细表N5-6-1'!A1" display="加计扣除研发费用情况明细表"/>
    <hyperlink ref="E13" location="'高新技术企业认定条件检查表N5-6-2'!A1" display="高新技术企业认定条件检查表"/>
    <hyperlink ref="E14" location="'财产损失明细表N5-7'!A1" display="财产损失明细表"/>
    <hyperlink ref="E15" location="'递延所得税费用核对表N5-8'!A1" display="递延所得税费用计算表"/>
  </hyperlinks>
  <pageMargins left="0.70833333333333304" right="0.70833333333333304" top="0.74791666666666701" bottom="0.74791666666666701" header="0.31458333333333299" footer="0.31458333333333299"/>
  <pageSetup paperSize="9" scale="67" orientation="portrait" blackAndWhite="1" horizontalDpi="1200" verticalDpi="1200" r:id="rId1"/>
  <headerFooter alignWithMargins="0">
    <oddFooter>&amp;C&amp;P/&amp;N</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K28"/>
  <sheetViews>
    <sheetView view="pageBreakPreview" zoomScaleNormal="100" workbookViewId="0">
      <selection sqref="A1:J1"/>
    </sheetView>
  </sheetViews>
  <sheetFormatPr defaultColWidth="9" defaultRowHeight="20.100000000000001" customHeight="1"/>
  <cols>
    <col min="1" max="1" width="4.5" style="162" customWidth="1"/>
    <col min="2" max="2" width="7.796875" style="162" customWidth="1"/>
    <col min="3" max="3" width="55.296875" style="162" customWidth="1"/>
    <col min="4" max="4" width="8.59765625" style="162" customWidth="1"/>
    <col min="5" max="5" width="5.796875" style="162" customWidth="1"/>
    <col min="6" max="6" width="6.69921875" style="162" customWidth="1"/>
    <col min="7" max="7" width="7.09765625" style="162" customWidth="1"/>
    <col min="8" max="8" width="7" style="162" customWidth="1"/>
    <col min="9" max="9" width="5.69921875" style="162" customWidth="1"/>
    <col min="10" max="10" width="7.296875" style="162" customWidth="1"/>
    <col min="11" max="11" width="50" style="162" customWidth="1"/>
    <col min="12" max="16384" width="9" style="162"/>
  </cols>
  <sheetData>
    <row r="1" spans="1:11" ht="20.100000000000001" customHeight="1">
      <c r="A1" s="353" t="s">
        <v>17</v>
      </c>
      <c r="B1" s="353"/>
      <c r="C1" s="353"/>
      <c r="D1" s="353"/>
      <c r="E1" s="353"/>
      <c r="F1" s="353"/>
      <c r="G1" s="353"/>
      <c r="H1" s="353"/>
      <c r="I1" s="353"/>
      <c r="J1" s="353"/>
    </row>
    <row r="2" spans="1:11" ht="20.100000000000001" customHeight="1">
      <c r="A2" s="354" t="s">
        <v>18</v>
      </c>
      <c r="B2" s="354"/>
      <c r="C2" s="354"/>
      <c r="D2" s="354"/>
      <c r="E2" s="354"/>
      <c r="F2" s="354"/>
      <c r="G2" s="354"/>
      <c r="H2" s="354"/>
      <c r="I2" s="354"/>
      <c r="J2" s="354"/>
    </row>
    <row r="3" spans="1:11" ht="20.100000000000001" customHeight="1">
      <c r="A3" s="355" t="str">
        <f>底稿目录!A2</f>
        <v>被审计单位：</v>
      </c>
      <c r="B3" s="355"/>
      <c r="C3" s="355"/>
      <c r="D3" s="162" t="str">
        <f>底稿目录!A4</f>
        <v>编制人：</v>
      </c>
      <c r="G3" s="163" t="str">
        <f>底稿目录!A5</f>
        <v>编制日期：</v>
      </c>
      <c r="I3" s="183" t="s">
        <v>19</v>
      </c>
      <c r="J3" s="350" t="s">
        <v>260</v>
      </c>
    </row>
    <row r="4" spans="1:11" ht="20.100000000000001" customHeight="1">
      <c r="A4" s="355" t="str">
        <f>底稿目录!A3</f>
        <v>会计期间：202X年度</v>
      </c>
      <c r="B4" s="355"/>
      <c r="C4" s="355"/>
      <c r="D4" s="162" t="str">
        <f>底稿目录!A6</f>
        <v>复核人:</v>
      </c>
      <c r="G4" s="163" t="str">
        <f>底稿目录!A7</f>
        <v>复核日期:</v>
      </c>
      <c r="I4" s="183" t="s">
        <v>20</v>
      </c>
    </row>
    <row r="5" spans="1:11" ht="20.100000000000001" customHeight="1">
      <c r="A5" s="356" t="s">
        <v>21</v>
      </c>
      <c r="B5" s="356"/>
      <c r="C5" s="356"/>
      <c r="D5" s="165"/>
      <c r="E5" s="165"/>
      <c r="F5" s="165"/>
      <c r="G5" s="166"/>
      <c r="H5" s="165"/>
      <c r="I5" s="165"/>
      <c r="J5" s="184"/>
    </row>
    <row r="6" spans="1:11" ht="20.100000000000001" customHeight="1">
      <c r="A6" s="167" t="s">
        <v>22</v>
      </c>
      <c r="B6" s="168"/>
      <c r="C6" s="168"/>
      <c r="D6" s="168"/>
      <c r="E6" s="168"/>
      <c r="F6" s="168"/>
      <c r="G6" s="168"/>
      <c r="H6" s="168"/>
      <c r="I6" s="168"/>
      <c r="J6" s="168"/>
    </row>
    <row r="7" spans="1:11" ht="20.100000000000001" customHeight="1">
      <c r="A7" s="164" t="s">
        <v>23</v>
      </c>
      <c r="B7" s="164"/>
      <c r="C7" s="164"/>
      <c r="D7" s="169"/>
    </row>
    <row r="8" spans="1:11" ht="19.95" customHeight="1">
      <c r="A8" s="358" t="s">
        <v>24</v>
      </c>
      <c r="B8" s="358"/>
      <c r="C8" s="358"/>
      <c r="D8" s="358"/>
      <c r="E8" s="358"/>
      <c r="F8" s="358"/>
      <c r="G8" s="358"/>
      <c r="H8" s="359" t="s">
        <v>25</v>
      </c>
      <c r="I8" s="359"/>
      <c r="J8" s="359"/>
    </row>
    <row r="9" spans="1:11" ht="19.95" customHeight="1">
      <c r="A9" s="357" t="s">
        <v>26</v>
      </c>
      <c r="B9" s="357"/>
      <c r="C9" s="357"/>
      <c r="D9" s="357"/>
      <c r="E9" s="357"/>
      <c r="F9" s="357"/>
      <c r="G9" s="357"/>
      <c r="H9" s="363" t="s">
        <v>27</v>
      </c>
      <c r="I9" s="363"/>
      <c r="J9" s="363"/>
    </row>
    <row r="10" spans="1:11" ht="19.95" customHeight="1">
      <c r="A10" s="357" t="s">
        <v>28</v>
      </c>
      <c r="B10" s="357"/>
      <c r="C10" s="357"/>
      <c r="D10" s="357"/>
      <c r="E10" s="357"/>
      <c r="F10" s="357"/>
      <c r="G10" s="357"/>
      <c r="H10" s="363" t="s">
        <v>29</v>
      </c>
      <c r="I10" s="363"/>
      <c r="J10" s="363"/>
    </row>
    <row r="11" spans="1:11" ht="19.95" customHeight="1">
      <c r="A11" s="357" t="s">
        <v>30</v>
      </c>
      <c r="B11" s="357"/>
      <c r="C11" s="357"/>
      <c r="D11" s="357"/>
      <c r="E11" s="357"/>
      <c r="F11" s="357"/>
      <c r="G11" s="357"/>
      <c r="H11" s="363" t="s">
        <v>31</v>
      </c>
      <c r="I11" s="363"/>
      <c r="J11" s="363"/>
    </row>
    <row r="12" spans="1:11" ht="19.95" customHeight="1">
      <c r="A12" s="357" t="s">
        <v>32</v>
      </c>
      <c r="B12" s="357"/>
      <c r="C12" s="357"/>
      <c r="D12" s="357"/>
      <c r="E12" s="357"/>
      <c r="F12" s="357"/>
      <c r="G12" s="357"/>
      <c r="H12" s="363" t="s">
        <v>33</v>
      </c>
      <c r="I12" s="363"/>
      <c r="J12" s="363"/>
    </row>
    <row r="13" spans="1:11" ht="19.95" customHeight="1">
      <c r="A13" s="357" t="s">
        <v>34</v>
      </c>
      <c r="B13" s="357"/>
      <c r="C13" s="357"/>
      <c r="D13" s="357"/>
      <c r="E13" s="357"/>
      <c r="F13" s="357"/>
      <c r="G13" s="357"/>
      <c r="H13" s="363" t="s">
        <v>35</v>
      </c>
      <c r="I13" s="363"/>
      <c r="J13" s="363"/>
    </row>
    <row r="14" spans="1:11" ht="20.100000000000001" customHeight="1">
      <c r="A14" s="356" t="s">
        <v>36</v>
      </c>
      <c r="B14" s="356"/>
      <c r="C14" s="356"/>
      <c r="D14" s="169"/>
      <c r="G14" s="163"/>
      <c r="J14" s="185"/>
    </row>
    <row r="15" spans="1:11" ht="20.100000000000001" customHeight="1">
      <c r="A15" s="359" t="s">
        <v>2</v>
      </c>
      <c r="B15" s="358" t="s">
        <v>37</v>
      </c>
      <c r="C15" s="360" t="s">
        <v>617</v>
      </c>
      <c r="D15" s="358" t="s">
        <v>38</v>
      </c>
      <c r="E15" s="359" t="s">
        <v>39</v>
      </c>
      <c r="F15" s="359"/>
      <c r="G15" s="359"/>
      <c r="H15" s="359"/>
      <c r="I15" s="359"/>
      <c r="J15" s="361" t="s">
        <v>40</v>
      </c>
    </row>
    <row r="16" spans="1:11" ht="20.100000000000001" customHeight="1">
      <c r="A16" s="359"/>
      <c r="B16" s="358"/>
      <c r="C16" s="360"/>
      <c r="D16" s="358"/>
      <c r="E16" s="170" t="s">
        <v>27</v>
      </c>
      <c r="F16" s="170" t="s">
        <v>29</v>
      </c>
      <c r="G16" s="170" t="s">
        <v>31</v>
      </c>
      <c r="H16" s="170" t="s">
        <v>33</v>
      </c>
      <c r="I16" s="170" t="s">
        <v>35</v>
      </c>
      <c r="J16" s="362"/>
      <c r="K16" s="347" t="s">
        <v>616</v>
      </c>
    </row>
    <row r="17" spans="1:11" ht="77.400000000000006" customHeight="1">
      <c r="A17" s="171">
        <v>1</v>
      </c>
      <c r="B17" s="172" t="s">
        <v>41</v>
      </c>
      <c r="C17" s="173" t="s">
        <v>256</v>
      </c>
      <c r="D17" s="174" t="s">
        <v>42</v>
      </c>
      <c r="E17" s="175" t="s">
        <v>43</v>
      </c>
      <c r="F17" s="175" t="s">
        <v>43</v>
      </c>
      <c r="G17" s="176" t="s">
        <v>43</v>
      </c>
      <c r="H17" s="177"/>
      <c r="I17" s="177"/>
      <c r="J17" s="177" t="s">
        <v>609</v>
      </c>
    </row>
    <row r="18" spans="1:11" ht="52.8" customHeight="1">
      <c r="A18" s="171">
        <v>2</v>
      </c>
      <c r="B18" s="172" t="s">
        <v>44</v>
      </c>
      <c r="C18" s="178" t="s">
        <v>45</v>
      </c>
      <c r="D18" s="174" t="s">
        <v>42</v>
      </c>
      <c r="E18" s="177"/>
      <c r="F18" s="176" t="s">
        <v>43</v>
      </c>
      <c r="G18" s="175" t="s">
        <v>43</v>
      </c>
      <c r="H18" s="177"/>
      <c r="I18" s="177"/>
      <c r="J18" s="186" t="s">
        <v>46</v>
      </c>
      <c r="K18" s="187" t="s">
        <v>47</v>
      </c>
    </row>
    <row r="19" spans="1:11" ht="58.8" customHeight="1">
      <c r="A19" s="171">
        <v>3</v>
      </c>
      <c r="B19" s="172" t="s">
        <v>48</v>
      </c>
      <c r="C19" s="179" t="s">
        <v>257</v>
      </c>
      <c r="D19" s="203" t="s">
        <v>258</v>
      </c>
      <c r="E19" s="177" t="s">
        <v>49</v>
      </c>
      <c r="F19" s="180" t="s">
        <v>50</v>
      </c>
      <c r="G19" s="177" t="s">
        <v>49</v>
      </c>
      <c r="H19" s="177" t="s">
        <v>49</v>
      </c>
      <c r="I19" s="177"/>
      <c r="J19" s="177"/>
      <c r="K19" s="187" t="s">
        <v>51</v>
      </c>
    </row>
    <row r="20" spans="1:11" ht="33.6" customHeight="1">
      <c r="A20" s="171">
        <v>4</v>
      </c>
      <c r="B20" s="181" t="s">
        <v>52</v>
      </c>
      <c r="C20" s="179" t="s">
        <v>53</v>
      </c>
      <c r="D20" s="174" t="s">
        <v>42</v>
      </c>
      <c r="E20" s="177" t="s">
        <v>49</v>
      </c>
      <c r="F20" s="180" t="s">
        <v>50</v>
      </c>
      <c r="G20" s="180" t="s">
        <v>50</v>
      </c>
      <c r="H20" s="177" t="s">
        <v>49</v>
      </c>
      <c r="I20" s="177"/>
      <c r="J20" s="177"/>
    </row>
    <row r="21" spans="1:11" ht="56.4" customHeight="1">
      <c r="A21" s="171">
        <v>5</v>
      </c>
      <c r="B21" s="181" t="s">
        <v>52</v>
      </c>
      <c r="C21" s="179" t="s">
        <v>54</v>
      </c>
      <c r="D21" s="174" t="s">
        <v>42</v>
      </c>
      <c r="E21" s="177"/>
      <c r="F21" s="177"/>
      <c r="G21" s="180" t="s">
        <v>50</v>
      </c>
      <c r="H21" s="177"/>
      <c r="I21" s="177"/>
      <c r="J21" s="177" t="s">
        <v>610</v>
      </c>
    </row>
    <row r="22" spans="1:11" ht="181.2" customHeight="1">
      <c r="A22" s="171">
        <v>6</v>
      </c>
      <c r="B22" s="181" t="s">
        <v>52</v>
      </c>
      <c r="C22" s="172" t="s">
        <v>55</v>
      </c>
      <c r="D22" s="174" t="s">
        <v>42</v>
      </c>
      <c r="E22" s="177" t="s">
        <v>49</v>
      </c>
      <c r="F22" s="180" t="s">
        <v>50</v>
      </c>
      <c r="G22" s="180" t="s">
        <v>50</v>
      </c>
      <c r="H22" s="177"/>
      <c r="I22" s="177"/>
      <c r="J22" s="177" t="s">
        <v>611</v>
      </c>
    </row>
    <row r="23" spans="1:11" ht="61.2" customHeight="1">
      <c r="A23" s="171">
        <v>7</v>
      </c>
      <c r="B23" s="181" t="s">
        <v>52</v>
      </c>
      <c r="C23" s="172" t="s">
        <v>259</v>
      </c>
      <c r="D23" s="174" t="s">
        <v>42</v>
      </c>
      <c r="E23" s="177" t="s">
        <v>49</v>
      </c>
      <c r="F23" s="180" t="s">
        <v>50</v>
      </c>
      <c r="G23" s="180" t="s">
        <v>50</v>
      </c>
      <c r="H23" s="177"/>
      <c r="I23" s="177"/>
      <c r="J23" s="177"/>
    </row>
    <row r="24" spans="1:11" ht="30" customHeight="1">
      <c r="A24" s="171">
        <v>8</v>
      </c>
      <c r="B24" s="181" t="s">
        <v>52</v>
      </c>
      <c r="C24" s="172" t="s">
        <v>56</v>
      </c>
      <c r="D24" s="174" t="s">
        <v>42</v>
      </c>
      <c r="E24" s="177"/>
      <c r="F24" s="177"/>
      <c r="G24" s="180" t="s">
        <v>50</v>
      </c>
      <c r="H24" s="177"/>
      <c r="I24" s="177"/>
      <c r="J24" s="177" t="s">
        <v>271</v>
      </c>
    </row>
    <row r="25" spans="1:11" ht="51" customHeight="1">
      <c r="A25" s="171">
        <v>9</v>
      </c>
      <c r="B25" s="181" t="s">
        <v>57</v>
      </c>
      <c r="C25" s="172" t="s">
        <v>58</v>
      </c>
      <c r="D25" s="174" t="s">
        <v>59</v>
      </c>
      <c r="E25" s="177" t="s">
        <v>49</v>
      </c>
      <c r="F25" s="180" t="s">
        <v>50</v>
      </c>
      <c r="G25" s="180" t="s">
        <v>50</v>
      </c>
      <c r="H25" s="177"/>
      <c r="I25" s="177"/>
      <c r="J25" s="177"/>
    </row>
    <row r="26" spans="1:11" ht="46.2" customHeight="1">
      <c r="A26" s="171">
        <v>10</v>
      </c>
      <c r="B26" s="181" t="s">
        <v>57</v>
      </c>
      <c r="C26" s="172" t="s">
        <v>60</v>
      </c>
      <c r="D26" s="174" t="s">
        <v>59</v>
      </c>
      <c r="E26" s="177" t="s">
        <v>49</v>
      </c>
      <c r="F26" s="180" t="s">
        <v>50</v>
      </c>
      <c r="G26" s="180" t="s">
        <v>50</v>
      </c>
      <c r="H26" s="177"/>
      <c r="I26" s="177"/>
      <c r="J26" s="177"/>
    </row>
    <row r="27" spans="1:11" ht="49.2" customHeight="1">
      <c r="A27" s="171">
        <v>11</v>
      </c>
      <c r="B27" s="181"/>
      <c r="C27" s="172" t="s">
        <v>61</v>
      </c>
      <c r="D27" s="174" t="s">
        <v>59</v>
      </c>
      <c r="E27" s="177"/>
      <c r="F27" s="177"/>
      <c r="G27" s="177"/>
      <c r="H27" s="177"/>
      <c r="I27" s="177"/>
      <c r="J27" s="177"/>
    </row>
    <row r="28" spans="1:11" ht="45.75" customHeight="1">
      <c r="A28" s="171">
        <v>12</v>
      </c>
      <c r="B28" s="181" t="s">
        <v>41</v>
      </c>
      <c r="C28" s="182" t="s">
        <v>62</v>
      </c>
      <c r="D28" s="174" t="s">
        <v>42</v>
      </c>
      <c r="E28" s="177"/>
      <c r="F28" s="177"/>
      <c r="G28" s="177"/>
      <c r="H28" s="177"/>
      <c r="I28" s="177" t="s">
        <v>49</v>
      </c>
      <c r="J28" s="188" t="s">
        <v>63</v>
      </c>
    </row>
  </sheetData>
  <mergeCells count="24">
    <mergeCell ref="J15:J16"/>
    <mergeCell ref="H8:J8"/>
    <mergeCell ref="H9:J9"/>
    <mergeCell ref="H10:J10"/>
    <mergeCell ref="H11:J11"/>
    <mergeCell ref="H12:J12"/>
    <mergeCell ref="H13:J13"/>
    <mergeCell ref="A14:C14"/>
    <mergeCell ref="E15:I15"/>
    <mergeCell ref="A15:A16"/>
    <mergeCell ref="B15:B16"/>
    <mergeCell ref="C15:C16"/>
    <mergeCell ref="D15:D16"/>
    <mergeCell ref="A11:G11"/>
    <mergeCell ref="A12:G12"/>
    <mergeCell ref="A13:G13"/>
    <mergeCell ref="A8:G8"/>
    <mergeCell ref="A9:G9"/>
    <mergeCell ref="A10:G10"/>
    <mergeCell ref="A1:J1"/>
    <mergeCell ref="A2:J2"/>
    <mergeCell ref="A3:C3"/>
    <mergeCell ref="A4:C4"/>
    <mergeCell ref="A5:C5"/>
  </mergeCells>
  <phoneticPr fontId="104" type="noConversion"/>
  <hyperlinks>
    <hyperlink ref="J3" location="底稿目录!A1" display="D12A"/>
  </hyperlinks>
  <pageMargins left="0.70833333333333304" right="0.70833333333333304" top="0.74791666666666701" bottom="0.74791666666666701" header="0.31458333333333299" footer="0.31458333333333299"/>
  <pageSetup paperSize="9" scale="70" orientation="portrait" blackAndWhite="1" horizontalDpi="1200" verticalDpi="12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1"/>
  <sheetViews>
    <sheetView view="pageBreakPreview" topLeftCell="A25" zoomScale="85" zoomScaleNormal="100" workbookViewId="0">
      <selection activeCell="A25" sqref="A25"/>
    </sheetView>
  </sheetViews>
  <sheetFormatPr defaultColWidth="9" defaultRowHeight="15.6"/>
  <cols>
    <col min="1" max="1" width="9" style="120"/>
    <col min="2" max="2" width="16.19921875" style="120" customWidth="1"/>
    <col min="3" max="3" width="43.69921875" style="120" customWidth="1"/>
    <col min="4" max="9" width="9" style="120"/>
    <col min="10" max="10" width="26.09765625" style="120" customWidth="1"/>
    <col min="11" max="16384" width="9" style="120"/>
  </cols>
  <sheetData>
    <row r="1" spans="1:10" ht="20.25" customHeight="1">
      <c r="A1" s="364" t="s">
        <v>17</v>
      </c>
      <c r="B1" s="364"/>
      <c r="C1" s="365"/>
      <c r="D1" s="365"/>
      <c r="E1" s="365"/>
      <c r="F1" s="365"/>
      <c r="G1" s="365"/>
      <c r="H1" s="365"/>
      <c r="I1" s="365"/>
      <c r="J1" s="365"/>
    </row>
    <row r="2" spans="1:10" ht="20.25" customHeight="1">
      <c r="A2" s="364" t="s">
        <v>64</v>
      </c>
      <c r="B2" s="364"/>
      <c r="C2" s="365"/>
      <c r="D2" s="365"/>
      <c r="E2" s="365"/>
      <c r="F2" s="365"/>
      <c r="G2" s="365"/>
      <c r="H2" s="365"/>
      <c r="I2" s="365"/>
      <c r="J2" s="365"/>
    </row>
    <row r="3" spans="1:10" ht="18.75" customHeight="1">
      <c r="A3" s="366" t="str">
        <f>[4]底稿目录!A2</f>
        <v>客户名称：</v>
      </c>
      <c r="B3" s="366"/>
      <c r="C3" s="366"/>
      <c r="D3" s="121" t="str">
        <f>[4]底稿目录!A4</f>
        <v>编制人：</v>
      </c>
      <c r="E3" s="121"/>
      <c r="F3" s="121"/>
      <c r="G3" s="122" t="str">
        <f>[4]底稿目录!A5</f>
        <v>编制日期：</v>
      </c>
      <c r="H3" s="121"/>
      <c r="I3" s="157"/>
      <c r="J3" s="158" t="s">
        <v>65</v>
      </c>
    </row>
    <row r="4" spans="1:10" ht="18" customHeight="1">
      <c r="A4" s="366" t="str">
        <f>[4]底稿目录!A3</f>
        <v>会计期间：202X年度</v>
      </c>
      <c r="B4" s="366"/>
      <c r="C4" s="366"/>
      <c r="D4" s="121" t="str">
        <f>[4]底稿目录!A6</f>
        <v>复核人:</v>
      </c>
      <c r="E4" s="121"/>
      <c r="F4" s="121"/>
      <c r="G4" s="122" t="str">
        <f>[4]底稿目录!A7</f>
        <v>复核日期:</v>
      </c>
      <c r="H4" s="121"/>
      <c r="I4" s="157"/>
      <c r="J4" s="123" t="s">
        <v>66</v>
      </c>
    </row>
    <row r="5" spans="1:10">
      <c r="A5" s="367" t="s">
        <v>67</v>
      </c>
      <c r="B5" s="367"/>
      <c r="C5" s="367"/>
      <c r="D5" s="124"/>
      <c r="E5" s="124"/>
      <c r="F5" s="124"/>
      <c r="G5" s="125"/>
      <c r="H5" s="124"/>
      <c r="I5" s="159"/>
      <c r="J5" s="159"/>
    </row>
    <row r="6" spans="1:10">
      <c r="A6" s="368" t="s">
        <v>22</v>
      </c>
      <c r="B6" s="369"/>
      <c r="C6" s="370"/>
      <c r="D6" s="370"/>
      <c r="E6" s="370"/>
      <c r="F6" s="370"/>
      <c r="G6" s="370"/>
      <c r="H6" s="370"/>
      <c r="I6" s="370"/>
      <c r="J6" s="371"/>
    </row>
    <row r="7" spans="1:10">
      <c r="A7" s="126" t="s">
        <v>68</v>
      </c>
      <c r="B7" s="126"/>
      <c r="C7" s="123"/>
      <c r="D7" s="127"/>
      <c r="E7" s="121"/>
      <c r="F7" s="121"/>
      <c r="G7" s="122"/>
      <c r="H7" s="121"/>
      <c r="I7" s="158"/>
      <c r="J7" s="158"/>
    </row>
    <row r="8" spans="1:10">
      <c r="A8" s="374" t="s">
        <v>69</v>
      </c>
      <c r="B8" s="374"/>
      <c r="C8" s="374"/>
      <c r="D8" s="372" t="s">
        <v>70</v>
      </c>
      <c r="E8" s="372"/>
      <c r="F8" s="372"/>
      <c r="G8" s="372"/>
      <c r="H8" s="372"/>
      <c r="I8" s="396" t="s">
        <v>71</v>
      </c>
      <c r="J8" s="398" t="s">
        <v>72</v>
      </c>
    </row>
    <row r="9" spans="1:10">
      <c r="A9" s="374"/>
      <c r="B9" s="374"/>
      <c r="C9" s="374"/>
      <c r="D9" s="128" t="s">
        <v>27</v>
      </c>
      <c r="E9" s="128" t="s">
        <v>29</v>
      </c>
      <c r="F9" s="128" t="s">
        <v>31</v>
      </c>
      <c r="G9" s="129" t="s">
        <v>73</v>
      </c>
      <c r="H9" s="128" t="s">
        <v>35</v>
      </c>
      <c r="I9" s="397"/>
      <c r="J9" s="399"/>
    </row>
    <row r="10" spans="1:10">
      <c r="A10" s="373" t="s">
        <v>74</v>
      </c>
      <c r="B10" s="373"/>
      <c r="C10" s="373"/>
      <c r="D10" s="128" t="s">
        <v>49</v>
      </c>
      <c r="E10" s="128"/>
      <c r="F10" s="128"/>
      <c r="G10" s="129"/>
      <c r="H10" s="128"/>
      <c r="I10" s="160"/>
      <c r="J10" s="161"/>
    </row>
    <row r="11" spans="1:10">
      <c r="A11" s="373" t="s">
        <v>75</v>
      </c>
      <c r="B11" s="373"/>
      <c r="C11" s="373"/>
      <c r="D11" s="130"/>
      <c r="E11" s="128" t="s">
        <v>49</v>
      </c>
      <c r="F11" s="128"/>
      <c r="G11" s="129"/>
      <c r="H11" s="128"/>
      <c r="I11" s="160"/>
      <c r="J11" s="161"/>
    </row>
    <row r="12" spans="1:10">
      <c r="A12" s="373" t="s">
        <v>76</v>
      </c>
      <c r="B12" s="373"/>
      <c r="C12" s="373"/>
      <c r="D12" s="130"/>
      <c r="E12" s="128"/>
      <c r="F12" s="128" t="s">
        <v>49</v>
      </c>
      <c r="G12" s="129"/>
      <c r="H12" s="128"/>
      <c r="I12" s="160"/>
      <c r="J12" s="161"/>
    </row>
    <row r="13" spans="1:10">
      <c r="A13" s="373" t="s">
        <v>77</v>
      </c>
      <c r="B13" s="373"/>
      <c r="C13" s="373"/>
      <c r="D13" s="130"/>
      <c r="E13" s="128"/>
      <c r="F13" s="128"/>
      <c r="G13" s="129" t="s">
        <v>78</v>
      </c>
      <c r="H13" s="128"/>
      <c r="I13" s="160"/>
      <c r="J13" s="161"/>
    </row>
    <row r="14" spans="1:10">
      <c r="A14" s="373" t="s">
        <v>79</v>
      </c>
      <c r="B14" s="373"/>
      <c r="C14" s="373"/>
      <c r="D14" s="130"/>
      <c r="E14" s="128"/>
      <c r="F14" s="128"/>
      <c r="G14" s="129"/>
      <c r="H14" s="128" t="s">
        <v>49</v>
      </c>
      <c r="I14" s="160"/>
      <c r="J14" s="160"/>
    </row>
    <row r="15" spans="1:10">
      <c r="A15" s="367" t="s">
        <v>80</v>
      </c>
      <c r="B15" s="367"/>
      <c r="C15" s="367"/>
      <c r="D15" s="127"/>
      <c r="E15" s="121"/>
      <c r="F15" s="121"/>
      <c r="G15" s="122"/>
      <c r="H15" s="121"/>
      <c r="I15" s="158"/>
      <c r="J15" s="158"/>
    </row>
    <row r="16" spans="1:10" ht="24" customHeight="1">
      <c r="A16" s="131" t="s">
        <v>81</v>
      </c>
      <c r="B16" s="131" t="s">
        <v>82</v>
      </c>
      <c r="C16" s="132" t="s">
        <v>83</v>
      </c>
      <c r="D16" s="132" t="s">
        <v>84</v>
      </c>
      <c r="E16" s="375" t="s">
        <v>85</v>
      </c>
      <c r="F16" s="376"/>
      <c r="G16" s="376"/>
      <c r="H16" s="377"/>
      <c r="I16" s="378" t="s">
        <v>86</v>
      </c>
      <c r="J16" s="378"/>
    </row>
    <row r="17" spans="1:10">
      <c r="A17" s="133" t="s">
        <v>87</v>
      </c>
      <c r="B17" s="133" t="s">
        <v>41</v>
      </c>
      <c r="C17" s="134" t="s">
        <v>88</v>
      </c>
      <c r="D17" s="135" t="s">
        <v>42</v>
      </c>
      <c r="E17" s="379" t="s">
        <v>89</v>
      </c>
      <c r="F17" s="380"/>
      <c r="G17" s="380"/>
      <c r="H17" s="380"/>
      <c r="I17" s="381" t="s">
        <v>90</v>
      </c>
      <c r="J17" s="381"/>
    </row>
    <row r="18" spans="1:10">
      <c r="A18" s="136" t="s">
        <v>91</v>
      </c>
      <c r="B18" s="133" t="s">
        <v>41</v>
      </c>
      <c r="C18" s="137" t="s">
        <v>92</v>
      </c>
      <c r="D18" s="135" t="s">
        <v>42</v>
      </c>
      <c r="E18" s="379" t="s">
        <v>89</v>
      </c>
      <c r="F18" s="380"/>
      <c r="G18" s="380"/>
      <c r="H18" s="380"/>
      <c r="I18" s="381" t="s">
        <v>93</v>
      </c>
      <c r="J18" s="381"/>
    </row>
    <row r="19" spans="1:10">
      <c r="A19" s="138">
        <v>1</v>
      </c>
      <c r="B19" s="139" t="s">
        <v>41</v>
      </c>
      <c r="C19" s="140" t="s">
        <v>94</v>
      </c>
      <c r="D19" s="141" t="s">
        <v>42</v>
      </c>
      <c r="E19" s="382"/>
      <c r="F19" s="383"/>
      <c r="G19" s="383"/>
      <c r="H19" s="383"/>
      <c r="I19" s="384"/>
      <c r="J19" s="384"/>
    </row>
    <row r="20" spans="1:10">
      <c r="A20" s="138">
        <v>2</v>
      </c>
      <c r="B20" s="139" t="s">
        <v>41</v>
      </c>
      <c r="C20" s="140" t="s">
        <v>95</v>
      </c>
      <c r="D20" s="141" t="s">
        <v>42</v>
      </c>
      <c r="E20" s="382"/>
      <c r="F20" s="383"/>
      <c r="G20" s="383"/>
      <c r="H20" s="383"/>
      <c r="I20" s="384"/>
      <c r="J20" s="384"/>
    </row>
    <row r="21" spans="1:10" ht="24">
      <c r="A21" s="142">
        <v>3</v>
      </c>
      <c r="B21" s="139" t="s">
        <v>41</v>
      </c>
      <c r="C21" s="143" t="s">
        <v>96</v>
      </c>
      <c r="D21" s="144" t="s">
        <v>97</v>
      </c>
      <c r="E21" s="385"/>
      <c r="F21" s="386"/>
      <c r="G21" s="386"/>
      <c r="H21" s="386"/>
      <c r="I21" s="384"/>
      <c r="J21" s="384"/>
    </row>
    <row r="22" spans="1:10" ht="24">
      <c r="A22" s="142">
        <v>4</v>
      </c>
      <c r="B22" s="139" t="s">
        <v>41</v>
      </c>
      <c r="C22" s="143" t="s">
        <v>98</v>
      </c>
      <c r="D22" s="144" t="s">
        <v>97</v>
      </c>
      <c r="E22" s="385"/>
      <c r="F22" s="386"/>
      <c r="G22" s="386"/>
      <c r="H22" s="386"/>
      <c r="I22" s="384"/>
      <c r="J22" s="384"/>
    </row>
    <row r="23" spans="1:10" ht="37.200000000000003">
      <c r="A23" s="133" t="s">
        <v>99</v>
      </c>
      <c r="B23" s="133" t="s">
        <v>44</v>
      </c>
      <c r="C23" s="145" t="s">
        <v>100</v>
      </c>
      <c r="D23" s="135" t="s">
        <v>42</v>
      </c>
      <c r="E23" s="387" t="s">
        <v>101</v>
      </c>
      <c r="F23" s="388"/>
      <c r="G23" s="388"/>
      <c r="H23" s="388"/>
      <c r="I23" s="389" t="s">
        <v>46</v>
      </c>
      <c r="J23" s="390"/>
    </row>
    <row r="24" spans="1:10">
      <c r="A24" s="138">
        <v>1</v>
      </c>
      <c r="B24" s="139" t="s">
        <v>44</v>
      </c>
      <c r="C24" s="146" t="s">
        <v>102</v>
      </c>
      <c r="D24" s="147"/>
      <c r="E24" s="391"/>
      <c r="F24" s="392"/>
      <c r="G24" s="392"/>
      <c r="H24" s="392"/>
      <c r="I24" s="391"/>
      <c r="J24" s="393"/>
    </row>
    <row r="25" spans="1:10">
      <c r="A25" s="138">
        <v>2</v>
      </c>
      <c r="B25" s="139" t="s">
        <v>44</v>
      </c>
      <c r="C25" s="146" t="s">
        <v>103</v>
      </c>
      <c r="D25" s="147"/>
      <c r="E25" s="391"/>
      <c r="F25" s="392"/>
      <c r="G25" s="392"/>
      <c r="H25" s="392"/>
      <c r="I25" s="391"/>
      <c r="J25" s="393"/>
    </row>
    <row r="26" spans="1:10" ht="25.8">
      <c r="A26" s="133" t="s">
        <v>104</v>
      </c>
      <c r="B26" s="133" t="s">
        <v>48</v>
      </c>
      <c r="C26" s="148" t="s">
        <v>105</v>
      </c>
      <c r="D26" s="149" t="s">
        <v>106</v>
      </c>
      <c r="E26" s="394" t="s">
        <v>107</v>
      </c>
      <c r="F26" s="380"/>
      <c r="G26" s="380"/>
      <c r="H26" s="380"/>
      <c r="I26" s="395" t="s">
        <v>108</v>
      </c>
      <c r="J26" s="395"/>
    </row>
    <row r="27" spans="1:10">
      <c r="A27" s="150">
        <v>1</v>
      </c>
      <c r="B27" s="151" t="s">
        <v>48</v>
      </c>
      <c r="C27" s="152" t="s">
        <v>109</v>
      </c>
      <c r="D27" s="144" t="s">
        <v>110</v>
      </c>
      <c r="E27" s="385"/>
      <c r="F27" s="386"/>
      <c r="G27" s="386"/>
      <c r="H27" s="386"/>
      <c r="I27" s="384"/>
      <c r="J27" s="384"/>
    </row>
    <row r="28" spans="1:10">
      <c r="A28" s="150">
        <v>2</v>
      </c>
      <c r="B28" s="151" t="s">
        <v>48</v>
      </c>
      <c r="C28" s="153" t="s">
        <v>111</v>
      </c>
      <c r="D28" s="144" t="s">
        <v>110</v>
      </c>
      <c r="E28" s="385"/>
      <c r="F28" s="386"/>
      <c r="G28" s="386"/>
      <c r="H28" s="386"/>
      <c r="I28" s="384"/>
      <c r="J28" s="384"/>
    </row>
    <row r="29" spans="1:10">
      <c r="A29" s="150">
        <v>3</v>
      </c>
      <c r="B29" s="151" t="s">
        <v>48</v>
      </c>
      <c r="C29" s="153" t="s">
        <v>112</v>
      </c>
      <c r="D29" s="144" t="s">
        <v>110</v>
      </c>
      <c r="E29" s="385"/>
      <c r="F29" s="386"/>
      <c r="G29" s="386"/>
      <c r="H29" s="386"/>
      <c r="I29" s="384"/>
      <c r="J29" s="384"/>
    </row>
    <row r="30" spans="1:10">
      <c r="A30" s="150">
        <v>4</v>
      </c>
      <c r="B30" s="151" t="s">
        <v>48</v>
      </c>
      <c r="C30" s="153" t="s">
        <v>113</v>
      </c>
      <c r="D30" s="144" t="s">
        <v>110</v>
      </c>
      <c r="E30" s="385"/>
      <c r="F30" s="386"/>
      <c r="G30" s="386"/>
      <c r="H30" s="386"/>
      <c r="I30" s="384"/>
      <c r="J30" s="384"/>
    </row>
    <row r="31" spans="1:10">
      <c r="A31" s="150">
        <v>5</v>
      </c>
      <c r="B31" s="151" t="s">
        <v>48</v>
      </c>
      <c r="C31" s="153" t="s">
        <v>114</v>
      </c>
      <c r="D31" s="144" t="s">
        <v>110</v>
      </c>
      <c r="E31" s="385"/>
      <c r="F31" s="386"/>
      <c r="G31" s="386"/>
      <c r="H31" s="386"/>
      <c r="I31" s="384"/>
      <c r="J31" s="384"/>
    </row>
    <row r="32" spans="1:10" ht="24">
      <c r="A32" s="150">
        <v>6</v>
      </c>
      <c r="B32" s="151" t="s">
        <v>48</v>
      </c>
      <c r="C32" s="154" t="s">
        <v>115</v>
      </c>
      <c r="D32" s="144" t="s">
        <v>110</v>
      </c>
      <c r="E32" s="385"/>
      <c r="F32" s="386"/>
      <c r="G32" s="386"/>
      <c r="H32" s="386"/>
      <c r="I32" s="384"/>
      <c r="J32" s="384"/>
    </row>
    <row r="33" spans="1:10" ht="36">
      <c r="A33" s="136" t="s">
        <v>116</v>
      </c>
      <c r="B33" s="136" t="s">
        <v>52</v>
      </c>
      <c r="C33" s="155" t="s">
        <v>117</v>
      </c>
      <c r="D33" s="135" t="s">
        <v>42</v>
      </c>
      <c r="E33" s="394" t="s">
        <v>118</v>
      </c>
      <c r="F33" s="380"/>
      <c r="G33" s="380"/>
      <c r="H33" s="380"/>
      <c r="I33" s="381" t="s">
        <v>119</v>
      </c>
      <c r="J33" s="381"/>
    </row>
    <row r="34" spans="1:10" ht="36">
      <c r="A34" s="136" t="s">
        <v>120</v>
      </c>
      <c r="B34" s="136" t="s">
        <v>52</v>
      </c>
      <c r="C34" s="155" t="s">
        <v>121</v>
      </c>
      <c r="D34" s="135" t="s">
        <v>42</v>
      </c>
      <c r="E34" s="394" t="s">
        <v>118</v>
      </c>
      <c r="F34" s="380"/>
      <c r="G34" s="380"/>
      <c r="H34" s="380"/>
      <c r="I34" s="395" t="s">
        <v>122</v>
      </c>
      <c r="J34" s="395"/>
    </row>
    <row r="35" spans="1:10">
      <c r="A35" s="136" t="s">
        <v>123</v>
      </c>
      <c r="B35" s="136" t="s">
        <v>52</v>
      </c>
      <c r="C35" s="134" t="s">
        <v>124</v>
      </c>
      <c r="D35" s="135" t="s">
        <v>110</v>
      </c>
      <c r="E35" s="394" t="s">
        <v>107</v>
      </c>
      <c r="F35" s="380"/>
      <c r="G35" s="380"/>
      <c r="H35" s="380"/>
      <c r="I35" s="395" t="s">
        <v>125</v>
      </c>
      <c r="J35" s="395"/>
    </row>
    <row r="36" spans="1:10" ht="72">
      <c r="A36" s="138">
        <v>1</v>
      </c>
      <c r="B36" s="139" t="s">
        <v>52</v>
      </c>
      <c r="C36" s="154" t="s">
        <v>126</v>
      </c>
      <c r="D36" s="144" t="s">
        <v>110</v>
      </c>
      <c r="E36" s="385"/>
      <c r="F36" s="386"/>
      <c r="G36" s="386"/>
      <c r="H36" s="386"/>
      <c r="I36" s="384"/>
      <c r="J36" s="384"/>
    </row>
    <row r="37" spans="1:10" ht="36">
      <c r="A37" s="138">
        <v>2</v>
      </c>
      <c r="B37" s="139" t="s">
        <v>52</v>
      </c>
      <c r="C37" s="140" t="s">
        <v>127</v>
      </c>
      <c r="D37" s="144" t="s">
        <v>110</v>
      </c>
      <c r="E37" s="385"/>
      <c r="F37" s="386"/>
      <c r="G37" s="386"/>
      <c r="H37" s="386"/>
      <c r="I37" s="384"/>
      <c r="J37" s="384"/>
    </row>
    <row r="38" spans="1:10" ht="24">
      <c r="A38" s="138">
        <v>3</v>
      </c>
      <c r="B38" s="139" t="s">
        <v>52</v>
      </c>
      <c r="C38" s="140" t="s">
        <v>128</v>
      </c>
      <c r="D38" s="144" t="s">
        <v>110</v>
      </c>
      <c r="E38" s="385"/>
      <c r="F38" s="386"/>
      <c r="G38" s="386"/>
      <c r="H38" s="386"/>
      <c r="I38" s="384"/>
      <c r="J38" s="384"/>
    </row>
    <row r="39" spans="1:10" ht="36">
      <c r="A39" s="138">
        <v>4</v>
      </c>
      <c r="B39" s="139" t="s">
        <v>52</v>
      </c>
      <c r="C39" s="154" t="s">
        <v>129</v>
      </c>
      <c r="D39" s="144" t="s">
        <v>110</v>
      </c>
      <c r="E39" s="385"/>
      <c r="F39" s="386"/>
      <c r="G39" s="386"/>
      <c r="H39" s="386"/>
      <c r="I39" s="384"/>
      <c r="J39" s="384"/>
    </row>
    <row r="40" spans="1:10" ht="24">
      <c r="A40" s="136" t="s">
        <v>130</v>
      </c>
      <c r="B40" s="136" t="s">
        <v>52</v>
      </c>
      <c r="C40" s="156" t="s">
        <v>131</v>
      </c>
      <c r="D40" s="135" t="s">
        <v>97</v>
      </c>
      <c r="E40" s="394" t="s">
        <v>107</v>
      </c>
      <c r="F40" s="380"/>
      <c r="G40" s="380"/>
      <c r="H40" s="380"/>
      <c r="I40" s="381"/>
      <c r="J40" s="381"/>
    </row>
    <row r="41" spans="1:10" ht="24">
      <c r="A41" s="138">
        <v>1</v>
      </c>
      <c r="B41" s="139" t="s">
        <v>52</v>
      </c>
      <c r="C41" s="140" t="s">
        <v>132</v>
      </c>
      <c r="D41" s="144" t="s">
        <v>97</v>
      </c>
      <c r="E41" s="385"/>
      <c r="F41" s="386"/>
      <c r="G41" s="386"/>
      <c r="H41" s="386"/>
      <c r="I41" s="384"/>
      <c r="J41" s="384"/>
    </row>
    <row r="42" spans="1:10">
      <c r="A42" s="138">
        <v>2</v>
      </c>
      <c r="B42" s="139" t="s">
        <v>52</v>
      </c>
      <c r="C42" s="154" t="s">
        <v>133</v>
      </c>
      <c r="D42" s="144" t="s">
        <v>97</v>
      </c>
      <c r="E42" s="385"/>
      <c r="F42" s="386"/>
      <c r="G42" s="386"/>
      <c r="H42" s="386"/>
      <c r="I42" s="384"/>
      <c r="J42" s="384"/>
    </row>
    <row r="43" spans="1:10">
      <c r="A43" s="138">
        <v>3</v>
      </c>
      <c r="B43" s="139" t="s">
        <v>52</v>
      </c>
      <c r="C43" s="140" t="s">
        <v>134</v>
      </c>
      <c r="D43" s="144" t="s">
        <v>97</v>
      </c>
      <c r="E43" s="385"/>
      <c r="F43" s="386"/>
      <c r="G43" s="386"/>
      <c r="H43" s="386"/>
      <c r="I43" s="384"/>
      <c r="J43" s="384"/>
    </row>
    <row r="44" spans="1:10">
      <c r="A44" s="138">
        <v>4</v>
      </c>
      <c r="B44" s="139" t="s">
        <v>52</v>
      </c>
      <c r="C44" s="154" t="s">
        <v>135</v>
      </c>
      <c r="D44" s="144" t="s">
        <v>97</v>
      </c>
      <c r="E44" s="385"/>
      <c r="F44" s="386"/>
      <c r="G44" s="386"/>
      <c r="H44" s="386"/>
      <c r="I44" s="384"/>
      <c r="J44" s="384"/>
    </row>
    <row r="45" spans="1:10">
      <c r="A45" s="136" t="s">
        <v>136</v>
      </c>
      <c r="B45" s="136" t="s">
        <v>52</v>
      </c>
      <c r="C45" s="156" t="s">
        <v>137</v>
      </c>
      <c r="D45" s="135" t="s">
        <v>42</v>
      </c>
      <c r="E45" s="394" t="s">
        <v>107</v>
      </c>
      <c r="F45" s="380"/>
      <c r="G45" s="380"/>
      <c r="H45" s="380"/>
      <c r="I45" s="381" t="s">
        <v>138</v>
      </c>
      <c r="J45" s="381"/>
    </row>
    <row r="46" spans="1:10" ht="63.6">
      <c r="A46" s="136" t="s">
        <v>139</v>
      </c>
      <c r="B46" s="136" t="s">
        <v>57</v>
      </c>
      <c r="C46" s="134" t="s">
        <v>140</v>
      </c>
      <c r="D46" s="135" t="s">
        <v>141</v>
      </c>
      <c r="E46" s="394" t="s">
        <v>107</v>
      </c>
      <c r="F46" s="380"/>
      <c r="G46" s="380"/>
      <c r="H46" s="380"/>
      <c r="I46" s="381" t="s">
        <v>142</v>
      </c>
      <c r="J46" s="381"/>
    </row>
    <row r="47" spans="1:10" ht="25.8">
      <c r="A47" s="136" t="s">
        <v>143</v>
      </c>
      <c r="B47" s="136" t="s">
        <v>57</v>
      </c>
      <c r="C47" s="134" t="s">
        <v>144</v>
      </c>
      <c r="D47" s="135" t="s">
        <v>141</v>
      </c>
      <c r="E47" s="394" t="s">
        <v>107</v>
      </c>
      <c r="F47" s="380"/>
      <c r="G47" s="380"/>
      <c r="H47" s="380"/>
      <c r="I47" s="389" t="s">
        <v>142</v>
      </c>
      <c r="J47" s="390"/>
    </row>
    <row r="48" spans="1:10" ht="25.8">
      <c r="A48" s="142">
        <v>1</v>
      </c>
      <c r="B48" s="139" t="s">
        <v>52</v>
      </c>
      <c r="C48" s="140" t="s">
        <v>145</v>
      </c>
      <c r="D48" s="144" t="s">
        <v>141</v>
      </c>
      <c r="E48" s="385"/>
      <c r="F48" s="386"/>
      <c r="G48" s="386"/>
      <c r="H48" s="386"/>
      <c r="I48" s="391"/>
      <c r="J48" s="393"/>
    </row>
    <row r="49" spans="1:10" ht="37.799999999999997">
      <c r="A49" s="142">
        <v>2</v>
      </c>
      <c r="B49" s="139" t="s">
        <v>52</v>
      </c>
      <c r="C49" s="140" t="s">
        <v>146</v>
      </c>
      <c r="D49" s="144" t="s">
        <v>141</v>
      </c>
      <c r="E49" s="385"/>
      <c r="F49" s="386"/>
      <c r="G49" s="386"/>
      <c r="H49" s="386"/>
      <c r="I49" s="391"/>
      <c r="J49" s="393"/>
    </row>
    <row r="50" spans="1:10">
      <c r="A50" s="136" t="s">
        <v>147</v>
      </c>
      <c r="B50" s="136"/>
      <c r="C50" s="134" t="s">
        <v>148</v>
      </c>
      <c r="D50" s="149" t="s">
        <v>149</v>
      </c>
      <c r="E50" s="394" t="s">
        <v>107</v>
      </c>
      <c r="F50" s="380"/>
      <c r="G50" s="380"/>
      <c r="H50" s="380"/>
      <c r="I50" s="395"/>
      <c r="J50" s="395"/>
    </row>
    <row r="51" spans="1:10" ht="24">
      <c r="A51" s="136" t="s">
        <v>150</v>
      </c>
      <c r="B51" s="136" t="s">
        <v>41</v>
      </c>
      <c r="C51" s="134" t="s">
        <v>151</v>
      </c>
      <c r="D51" s="135" t="s">
        <v>42</v>
      </c>
      <c r="E51" s="379" t="s">
        <v>152</v>
      </c>
      <c r="F51" s="380"/>
      <c r="G51" s="380"/>
      <c r="H51" s="380"/>
      <c r="I51" s="381" t="s">
        <v>153</v>
      </c>
      <c r="J51" s="381"/>
    </row>
  </sheetData>
  <mergeCells count="88">
    <mergeCell ref="E50:H50"/>
    <mergeCell ref="I50:J50"/>
    <mergeCell ref="E51:H51"/>
    <mergeCell ref="I51:J51"/>
    <mergeCell ref="I8:I9"/>
    <mergeCell ref="J8:J9"/>
    <mergeCell ref="E47:H47"/>
    <mergeCell ref="I47:J47"/>
    <mergeCell ref="E48:H48"/>
    <mergeCell ref="I48:J48"/>
    <mergeCell ref="E49:H49"/>
    <mergeCell ref="I49:J49"/>
    <mergeCell ref="E44:H44"/>
    <mergeCell ref="I44:J44"/>
    <mergeCell ref="E45:H45"/>
    <mergeCell ref="I45:J45"/>
    <mergeCell ref="E46:H46"/>
    <mergeCell ref="I46:J46"/>
    <mergeCell ref="E41:H41"/>
    <mergeCell ref="I41:J41"/>
    <mergeCell ref="E42:H42"/>
    <mergeCell ref="I42:J42"/>
    <mergeCell ref="E43:H43"/>
    <mergeCell ref="I43:J43"/>
    <mergeCell ref="E38:H38"/>
    <mergeCell ref="I38:J38"/>
    <mergeCell ref="E39:H39"/>
    <mergeCell ref="I39:J39"/>
    <mergeCell ref="E40:H40"/>
    <mergeCell ref="I40:J40"/>
    <mergeCell ref="E35:H35"/>
    <mergeCell ref="I35:J35"/>
    <mergeCell ref="E36:H36"/>
    <mergeCell ref="I36:J36"/>
    <mergeCell ref="E37:H37"/>
    <mergeCell ref="I37:J37"/>
    <mergeCell ref="E32:H32"/>
    <mergeCell ref="I32:J32"/>
    <mergeCell ref="E33:H33"/>
    <mergeCell ref="I33:J33"/>
    <mergeCell ref="E34:H34"/>
    <mergeCell ref="I34:J34"/>
    <mergeCell ref="E29:H29"/>
    <mergeCell ref="I29:J29"/>
    <mergeCell ref="E30:H30"/>
    <mergeCell ref="I30:J30"/>
    <mergeCell ref="E31:H31"/>
    <mergeCell ref="I31:J31"/>
    <mergeCell ref="E26:H26"/>
    <mergeCell ref="I26:J26"/>
    <mergeCell ref="E27:H27"/>
    <mergeCell ref="I27:J27"/>
    <mergeCell ref="E28:H28"/>
    <mergeCell ref="I28:J28"/>
    <mergeCell ref="E23:H23"/>
    <mergeCell ref="I23:J23"/>
    <mergeCell ref="E24:H24"/>
    <mergeCell ref="I24:J24"/>
    <mergeCell ref="E25:H25"/>
    <mergeCell ref="I25:J25"/>
    <mergeCell ref="E20:H20"/>
    <mergeCell ref="I20:J20"/>
    <mergeCell ref="E21:H21"/>
    <mergeCell ref="I21:J21"/>
    <mergeCell ref="E22:H22"/>
    <mergeCell ref="I22:J22"/>
    <mergeCell ref="E17:H17"/>
    <mergeCell ref="I17:J17"/>
    <mergeCell ref="E18:H18"/>
    <mergeCell ref="I18:J18"/>
    <mergeCell ref="E19:H19"/>
    <mergeCell ref="I19:J19"/>
    <mergeCell ref="A13:C13"/>
    <mergeCell ref="A14:C14"/>
    <mergeCell ref="A15:C15"/>
    <mergeCell ref="E16:H16"/>
    <mergeCell ref="I16:J16"/>
    <mergeCell ref="A6:J6"/>
    <mergeCell ref="D8:H8"/>
    <mergeCell ref="A10:C10"/>
    <mergeCell ref="A11:C11"/>
    <mergeCell ref="A12:C12"/>
    <mergeCell ref="A8:C9"/>
    <mergeCell ref="A1:J1"/>
    <mergeCell ref="A2:J2"/>
    <mergeCell ref="A3:C3"/>
    <mergeCell ref="A4:C4"/>
    <mergeCell ref="A5:C5"/>
  </mergeCells>
  <phoneticPr fontId="104" type="noConversion"/>
  <pageMargins left="0.70866141732283505" right="0.70866141732283505" top="0.74803149606299202" bottom="0.74803149606299202" header="0.31496062992126" footer="0.31496062992126"/>
  <pageSetup paperSize="9" scale="57" orientation="portrait" blackAndWhite="1" horizontalDpi="300" verticalDpi="300"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28"/>
  <sheetViews>
    <sheetView view="pageBreakPreview" zoomScaleNormal="130" workbookViewId="0">
      <selection sqref="A1:N1"/>
    </sheetView>
  </sheetViews>
  <sheetFormatPr defaultColWidth="9" defaultRowHeight="20.100000000000001" customHeight="1"/>
  <cols>
    <col min="1" max="1" width="19.19921875" style="2" customWidth="1"/>
    <col min="2" max="13" width="10" style="2" customWidth="1"/>
    <col min="14" max="16384" width="9" style="2"/>
  </cols>
  <sheetData>
    <row r="1" spans="1:14" ht="20.100000000000001" customHeight="1">
      <c r="A1" s="404" t="s">
        <v>17</v>
      </c>
      <c r="B1" s="404"/>
      <c r="C1" s="404"/>
      <c r="D1" s="404"/>
      <c r="E1" s="404"/>
      <c r="F1" s="404"/>
      <c r="G1" s="404"/>
      <c r="H1" s="404"/>
      <c r="I1" s="404"/>
      <c r="J1" s="404"/>
      <c r="K1" s="404"/>
      <c r="L1" s="404"/>
      <c r="M1" s="404"/>
      <c r="N1" s="404"/>
    </row>
    <row r="2" spans="1:14" ht="20.100000000000001" customHeight="1">
      <c r="A2" s="405" t="s">
        <v>8</v>
      </c>
      <c r="B2" s="405"/>
      <c r="C2" s="405"/>
      <c r="D2" s="405"/>
      <c r="E2" s="405"/>
      <c r="F2" s="405"/>
      <c r="G2" s="405"/>
      <c r="H2" s="405"/>
      <c r="I2" s="405"/>
      <c r="J2" s="405"/>
      <c r="K2" s="405"/>
      <c r="L2" s="405"/>
      <c r="M2" s="405"/>
      <c r="N2" s="405"/>
    </row>
    <row r="3" spans="1:14" ht="20.100000000000001" customHeight="1">
      <c r="A3" s="2" t="str">
        <f>底稿目录!A2</f>
        <v>被审计单位：</v>
      </c>
      <c r="E3" s="3" t="str">
        <f>底稿目录!A4</f>
        <v>编制人：</v>
      </c>
      <c r="H3" s="85"/>
      <c r="I3" s="2" t="str">
        <f>底稿目录!A5</f>
        <v>编制日期：</v>
      </c>
      <c r="M3" s="20" t="s">
        <v>19</v>
      </c>
      <c r="N3" s="350" t="s">
        <v>261</v>
      </c>
    </row>
    <row r="4" spans="1:14" ht="20.100000000000001" customHeight="1">
      <c r="A4" s="2" t="str">
        <f>底稿目录!A3</f>
        <v>会计期间：202X年度</v>
      </c>
      <c r="E4" s="3" t="str">
        <f>底稿目录!A6</f>
        <v>复核人:</v>
      </c>
      <c r="H4" s="85"/>
      <c r="I4" s="2" t="str">
        <f>底稿目录!A7</f>
        <v>复核日期:</v>
      </c>
      <c r="M4" s="20" t="s">
        <v>20</v>
      </c>
    </row>
    <row r="5" spans="1:14" s="84" customFormat="1" ht="31.5" customHeight="1">
      <c r="A5" s="401" t="s">
        <v>154</v>
      </c>
      <c r="B5" s="406" t="s">
        <v>155</v>
      </c>
      <c r="C5" s="407"/>
      <c r="D5" s="407"/>
      <c r="E5" s="408"/>
      <c r="F5" s="406" t="s">
        <v>156</v>
      </c>
      <c r="G5" s="407"/>
      <c r="H5" s="407"/>
      <c r="I5" s="408"/>
      <c r="J5" s="409" t="s">
        <v>157</v>
      </c>
      <c r="K5" s="410"/>
      <c r="L5" s="411" t="s">
        <v>158</v>
      </c>
      <c r="M5" s="412"/>
      <c r="N5" s="401" t="s">
        <v>159</v>
      </c>
    </row>
    <row r="6" spans="1:14" ht="20.100000000000001" customHeight="1">
      <c r="A6" s="402"/>
      <c r="B6" s="86" t="s">
        <v>160</v>
      </c>
      <c r="C6" s="86" t="s">
        <v>161</v>
      </c>
      <c r="D6" s="86" t="s">
        <v>162</v>
      </c>
      <c r="E6" s="86" t="s">
        <v>163</v>
      </c>
      <c r="F6" s="86" t="s">
        <v>160</v>
      </c>
      <c r="G6" s="86" t="s">
        <v>161</v>
      </c>
      <c r="H6" s="86" t="s">
        <v>162</v>
      </c>
      <c r="I6" s="86" t="s">
        <v>163</v>
      </c>
      <c r="J6" s="108" t="s">
        <v>164</v>
      </c>
      <c r="K6" s="108" t="s">
        <v>165</v>
      </c>
      <c r="L6" s="108" t="s">
        <v>164</v>
      </c>
      <c r="M6" s="107" t="s">
        <v>165</v>
      </c>
      <c r="N6" s="403"/>
    </row>
    <row r="7" spans="1:14" ht="20.100000000000001" customHeight="1">
      <c r="A7" s="87" t="s">
        <v>166</v>
      </c>
      <c r="B7" s="88">
        <f>'所得税费用明细表N5-2'!D22</f>
        <v>0</v>
      </c>
      <c r="C7" s="89"/>
      <c r="D7" s="89"/>
      <c r="E7" s="88">
        <f>B7+C7+D7</f>
        <v>0</v>
      </c>
      <c r="F7" s="88">
        <f>'所得税费用明细表N5-2'!B22</f>
        <v>0</v>
      </c>
      <c r="G7" s="89"/>
      <c r="H7" s="89"/>
      <c r="I7" s="88">
        <f>F7+G7+H7</f>
        <v>0</v>
      </c>
      <c r="J7" s="109">
        <f>F7-B7</f>
        <v>0</v>
      </c>
      <c r="K7" s="110">
        <f>IF(AND(B7=0,J7=0),0,IF(AND(B7=0,J7&gt;0),1,J7/B7))</f>
        <v>0</v>
      </c>
      <c r="L7" s="109">
        <f>I7-E7</f>
        <v>0</v>
      </c>
      <c r="M7" s="110">
        <f>IF(AND(E7=0,L7=0),0,IF(AND(E7=0,L7&gt;0),1,L7/E7))</f>
        <v>0</v>
      </c>
      <c r="N7" s="111"/>
    </row>
    <row r="8" spans="1:14" ht="20.100000000000001" customHeight="1">
      <c r="A8" s="87" t="s">
        <v>167</v>
      </c>
      <c r="B8" s="88">
        <f>'所得税费用明细表N5-2'!D22-'所得税费用审定表N5-1'!B7</f>
        <v>0</v>
      </c>
      <c r="C8" s="89"/>
      <c r="D8" s="89"/>
      <c r="E8" s="88">
        <f>B8+C8+D8</f>
        <v>0</v>
      </c>
      <c r="F8" s="88">
        <f>'所得税费用明细表N5-2'!B22-'所得税费用审定表N5-1'!F7</f>
        <v>0</v>
      </c>
      <c r="G8" s="89"/>
      <c r="H8" s="89"/>
      <c r="I8" s="88">
        <f t="shared" ref="I8:I9" si="0">F8+G8+H8</f>
        <v>0</v>
      </c>
      <c r="J8" s="109">
        <f t="shared" ref="J8" si="1">F8-B8</f>
        <v>0</v>
      </c>
      <c r="K8" s="110">
        <f t="shared" ref="K8:K9" si="2">IF(AND(B8=0,J8=0),0,IF(AND(B8=0,J8&gt;0),1,J8/B8))</f>
        <v>0</v>
      </c>
      <c r="L8" s="109">
        <f t="shared" ref="L8" si="3">I8-E8</f>
        <v>0</v>
      </c>
      <c r="M8" s="110">
        <f t="shared" ref="M8:M9" si="4">IF(AND(E8=0,L8=0),0,IF(AND(E8=0,L8&gt;0),1,L8/E8))</f>
        <v>0</v>
      </c>
      <c r="N8" s="111"/>
    </row>
    <row r="9" spans="1:14" ht="20.100000000000001" customHeight="1">
      <c r="A9" s="90" t="s">
        <v>168</v>
      </c>
      <c r="B9" s="91">
        <f>SUM(B7:B8)</f>
        <v>0</v>
      </c>
      <c r="C9" s="91">
        <f t="shared" ref="C9:D9" si="5">SUM(C7:C8)</f>
        <v>0</v>
      </c>
      <c r="D9" s="91">
        <f t="shared" si="5"/>
        <v>0</v>
      </c>
      <c r="E9" s="92">
        <f t="shared" ref="E9" si="6">B9+C9+D9</f>
        <v>0</v>
      </c>
      <c r="F9" s="91">
        <f t="shared" ref="F9:H9" si="7">SUM(F7:F8)</f>
        <v>0</v>
      </c>
      <c r="G9" s="91">
        <f t="shared" si="7"/>
        <v>0</v>
      </c>
      <c r="H9" s="91">
        <f t="shared" si="7"/>
        <v>0</v>
      </c>
      <c r="I9" s="92">
        <f t="shared" si="0"/>
        <v>0</v>
      </c>
      <c r="J9" s="112">
        <f t="shared" ref="J9" si="8">F9-B9</f>
        <v>0</v>
      </c>
      <c r="K9" s="113">
        <f t="shared" si="2"/>
        <v>0</v>
      </c>
      <c r="L9" s="112">
        <f t="shared" ref="L9" si="9">I9-E9</f>
        <v>0</v>
      </c>
      <c r="M9" s="113">
        <f t="shared" si="4"/>
        <v>0</v>
      </c>
      <c r="N9" s="114"/>
    </row>
    <row r="10" spans="1:14" s="15" customFormat="1" ht="20.100000000000001" customHeight="1">
      <c r="A10" s="93" t="s">
        <v>169</v>
      </c>
      <c r="B10" s="94"/>
      <c r="C10" s="94"/>
      <c r="D10" s="94"/>
      <c r="E10" s="95"/>
      <c r="F10" s="94"/>
      <c r="G10" s="94"/>
      <c r="H10" s="94"/>
      <c r="I10" s="95"/>
      <c r="J10" s="115"/>
      <c r="K10" s="116"/>
      <c r="L10" s="115"/>
      <c r="M10" s="116"/>
      <c r="N10" s="95"/>
    </row>
    <row r="11" spans="1:14" s="15" customFormat="1" ht="20.100000000000001" customHeight="1">
      <c r="A11" s="96" t="s">
        <v>170</v>
      </c>
      <c r="B11" s="97"/>
      <c r="C11" s="97"/>
      <c r="D11" s="97"/>
      <c r="E11" s="98">
        <f>E9-E10</f>
        <v>0</v>
      </c>
      <c r="F11" s="97"/>
      <c r="G11" s="97"/>
      <c r="H11" s="97"/>
      <c r="I11" s="98">
        <f>I9-I10</f>
        <v>0</v>
      </c>
      <c r="J11" s="117"/>
      <c r="K11" s="118"/>
      <c r="L11" s="117"/>
      <c r="M11" s="118"/>
      <c r="N11" s="119"/>
    </row>
    <row r="12" spans="1:14" ht="20.100000000000001" customHeight="1">
      <c r="A12" s="12" t="s">
        <v>171</v>
      </c>
      <c r="B12" s="3"/>
      <c r="C12" s="3"/>
      <c r="D12" s="3"/>
      <c r="E12" s="3"/>
      <c r="F12" s="99"/>
      <c r="G12" s="3"/>
      <c r="H12" s="3"/>
    </row>
    <row r="13" spans="1:14" ht="20.100000000000001" customHeight="1">
      <c r="A13" s="100" t="s">
        <v>172</v>
      </c>
      <c r="B13" s="100"/>
      <c r="C13" s="100"/>
      <c r="D13" s="400"/>
      <c r="E13" s="400"/>
      <c r="F13" s="100"/>
      <c r="G13" s="100"/>
      <c r="H13" s="100"/>
    </row>
    <row r="14" spans="1:14" ht="20.100000000000001" customHeight="1">
      <c r="A14" s="100" t="s">
        <v>173</v>
      </c>
      <c r="B14" s="100"/>
      <c r="C14" s="100"/>
      <c r="D14" s="100"/>
      <c r="E14" s="100"/>
      <c r="F14" s="100"/>
      <c r="G14" s="100"/>
      <c r="H14" s="100"/>
    </row>
    <row r="15" spans="1:14" ht="20.100000000000001" customHeight="1">
      <c r="A15" s="100"/>
      <c r="B15" s="100"/>
      <c r="C15" s="100"/>
      <c r="D15" s="100"/>
      <c r="E15" s="100"/>
      <c r="F15" s="100"/>
      <c r="G15" s="100"/>
      <c r="H15" s="100"/>
    </row>
    <row r="16" spans="1:14" ht="20.100000000000001" customHeight="1">
      <c r="A16" s="100"/>
      <c r="B16" s="100"/>
      <c r="C16" s="100"/>
      <c r="D16" s="100"/>
      <c r="E16" s="100"/>
      <c r="F16" s="100"/>
      <c r="G16" s="100"/>
      <c r="H16" s="100"/>
    </row>
    <row r="17" spans="1:8" ht="20.100000000000001" customHeight="1">
      <c r="A17" s="100" t="s">
        <v>174</v>
      </c>
      <c r="B17" s="101"/>
      <c r="C17" s="101"/>
      <c r="D17" s="101"/>
      <c r="E17" s="101"/>
      <c r="F17" s="101"/>
      <c r="G17" s="101"/>
      <c r="H17" s="101"/>
    </row>
    <row r="18" spans="1:8" ht="20.100000000000001" customHeight="1">
      <c r="A18" s="100"/>
      <c r="B18" s="100"/>
      <c r="C18" s="100"/>
      <c r="D18" s="100"/>
      <c r="E18" s="100"/>
      <c r="F18" s="100"/>
      <c r="G18" s="100"/>
      <c r="H18" s="100"/>
    </row>
    <row r="19" spans="1:8" ht="20.100000000000001" customHeight="1">
      <c r="A19" s="100"/>
      <c r="B19" s="100"/>
      <c r="C19" s="100"/>
      <c r="D19" s="100"/>
      <c r="E19" s="100"/>
      <c r="F19" s="100"/>
      <c r="G19" s="100"/>
      <c r="H19" s="100"/>
    </row>
    <row r="20" spans="1:8" ht="20.100000000000001" customHeight="1">
      <c r="A20" s="100"/>
      <c r="B20" s="100"/>
      <c r="C20" s="100"/>
      <c r="D20" s="100"/>
      <c r="E20" s="100"/>
      <c r="F20" s="100"/>
      <c r="G20" s="100"/>
      <c r="H20" s="100"/>
    </row>
    <row r="21" spans="1:8" ht="20.100000000000001" customHeight="1">
      <c r="A21" s="102" t="s">
        <v>175</v>
      </c>
      <c r="B21" s="100"/>
      <c r="C21" s="100"/>
      <c r="D21" s="100"/>
      <c r="E21" s="100"/>
      <c r="F21" s="99"/>
      <c r="G21" s="100"/>
      <c r="H21" s="100"/>
    </row>
    <row r="22" spans="1:8" ht="20.100000000000001" customHeight="1">
      <c r="A22" s="102"/>
      <c r="B22" s="100"/>
      <c r="C22" s="100"/>
      <c r="D22" s="100"/>
      <c r="E22" s="100"/>
      <c r="F22" s="100"/>
      <c r="G22" s="100"/>
      <c r="H22" s="100"/>
    </row>
    <row r="23" spans="1:8" ht="20.100000000000001" customHeight="1">
      <c r="A23" s="16"/>
      <c r="B23" s="13"/>
      <c r="C23" s="13"/>
      <c r="D23" s="13"/>
      <c r="E23" s="13"/>
      <c r="F23" s="13"/>
      <c r="G23" s="13"/>
      <c r="H23" s="13"/>
    </row>
    <row r="24" spans="1:8" ht="20.100000000000001" customHeight="1">
      <c r="A24" s="103" t="s">
        <v>176</v>
      </c>
      <c r="B24" s="13"/>
      <c r="C24" s="13"/>
      <c r="D24" s="13"/>
      <c r="E24" s="13"/>
      <c r="F24" s="13"/>
      <c r="G24" s="13"/>
      <c r="H24" s="13"/>
    </row>
    <row r="25" spans="1:8" ht="20.100000000000001" customHeight="1">
      <c r="A25" s="104"/>
    </row>
    <row r="26" spans="1:8" ht="20.100000000000001" customHeight="1">
      <c r="A26" s="105"/>
      <c r="B26" s="106"/>
    </row>
    <row r="27" spans="1:8" ht="20.100000000000001" customHeight="1">
      <c r="A27" s="105"/>
      <c r="B27" s="106"/>
    </row>
    <row r="28" spans="1:8" ht="20.100000000000001" customHeight="1">
      <c r="A28" s="105"/>
      <c r="B28" s="106"/>
    </row>
  </sheetData>
  <mergeCells count="9">
    <mergeCell ref="D13:E13"/>
    <mergeCell ref="A5:A6"/>
    <mergeCell ref="N5:N6"/>
    <mergeCell ref="A1:N1"/>
    <mergeCell ref="A2:N2"/>
    <mergeCell ref="B5:E5"/>
    <mergeCell ref="F5:I5"/>
    <mergeCell ref="J5:K5"/>
    <mergeCell ref="L5:M5"/>
  </mergeCells>
  <phoneticPr fontId="104" type="noConversion"/>
  <hyperlinks>
    <hyperlink ref="N3" location="底稿目录!Print_Area" display="D12-1"/>
  </hyperlinks>
  <pageMargins left="0.70833333333333304" right="0.70833333333333304" top="0.74791666666666701" bottom="0.74791666666666701" header="0.31458333333333299" footer="0.31458333333333299"/>
  <pageSetup paperSize="9" scale="55" orientation="portrait" blackAndWhite="1" horizontalDpi="1200" verticalDpi="1200"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9"/>
  <sheetViews>
    <sheetView view="pageBreakPreview" zoomScaleNormal="100" workbookViewId="0">
      <selection sqref="A1:D1"/>
    </sheetView>
  </sheetViews>
  <sheetFormatPr defaultColWidth="9" defaultRowHeight="15.6"/>
  <cols>
    <col min="1" max="1" width="28.69921875" style="67" customWidth="1"/>
    <col min="2" max="3" width="19" style="67" customWidth="1"/>
    <col min="4" max="4" width="18.3984375" style="67" customWidth="1"/>
    <col min="5" max="16384" width="9" style="67"/>
  </cols>
  <sheetData>
    <row r="1" spans="1:12" s="49" customFormat="1" ht="20.100000000000001" customHeight="1">
      <c r="A1" s="413" t="s">
        <v>177</v>
      </c>
      <c r="B1" s="413"/>
      <c r="C1" s="413"/>
      <c r="D1" s="413"/>
      <c r="E1" s="74"/>
      <c r="F1" s="74"/>
      <c r="G1" s="74"/>
      <c r="H1" s="74"/>
      <c r="I1" s="74"/>
      <c r="J1" s="74"/>
      <c r="K1" s="74"/>
      <c r="L1" s="74"/>
    </row>
    <row r="2" spans="1:12" s="49" customFormat="1" ht="24.9" customHeight="1">
      <c r="A2" s="414" t="s">
        <v>178</v>
      </c>
      <c r="B2" s="414"/>
      <c r="C2" s="414"/>
      <c r="D2" s="414"/>
      <c r="E2" s="74"/>
      <c r="F2" s="74"/>
      <c r="G2" s="413"/>
      <c r="H2" s="413"/>
      <c r="I2" s="413"/>
      <c r="J2" s="413"/>
      <c r="K2" s="413"/>
      <c r="L2" s="413"/>
    </row>
    <row r="3" spans="1:12" s="49" customFormat="1" ht="20.100000000000001" customHeight="1">
      <c r="A3" s="49" t="str">
        <f>底稿目录!A2</f>
        <v>被审计单位：</v>
      </c>
      <c r="B3" s="49" t="str">
        <f>底稿目录!A4</f>
        <v>编制人：</v>
      </c>
      <c r="C3" s="49" t="str">
        <f>底稿目录!A5</f>
        <v>编制日期：</v>
      </c>
      <c r="D3" s="49" t="s">
        <v>179</v>
      </c>
    </row>
    <row r="4" spans="1:12" s="49" customFormat="1" ht="20.100000000000001" customHeight="1">
      <c r="A4" s="49" t="str">
        <f>底稿目录!A3</f>
        <v>会计期间：202X年度</v>
      </c>
      <c r="B4" s="49" t="str">
        <f>底稿目录!A6</f>
        <v>复核人:</v>
      </c>
      <c r="C4" s="49" t="str">
        <f>底稿目录!A7</f>
        <v>复核日期:</v>
      </c>
      <c r="D4" s="75" t="s">
        <v>180</v>
      </c>
      <c r="L4" s="83"/>
    </row>
    <row r="5" spans="1:12" ht="20.100000000000001" customHeight="1">
      <c r="A5" s="67" t="s">
        <v>181</v>
      </c>
    </row>
    <row r="6" spans="1:12" ht="20.100000000000001" customHeight="1">
      <c r="A6" s="66" t="s">
        <v>182</v>
      </c>
      <c r="B6" s="66"/>
    </row>
    <row r="7" spans="1:12" ht="20.100000000000001" customHeight="1">
      <c r="A7" s="66" t="s">
        <v>183</v>
      </c>
      <c r="B7" s="66"/>
    </row>
    <row r="8" spans="1:12" ht="20.100000000000001" customHeight="1">
      <c r="A8" s="68" t="s">
        <v>184</v>
      </c>
      <c r="B8" s="68"/>
      <c r="C8" s="69" t="s">
        <v>185</v>
      </c>
      <c r="D8" s="69" t="s">
        <v>186</v>
      </c>
    </row>
    <row r="9" spans="1:12" ht="20.100000000000001" customHeight="1">
      <c r="A9" s="76" t="s">
        <v>187</v>
      </c>
      <c r="B9" s="77"/>
      <c r="C9" s="78">
        <f>'所得税费用审定表N5-1'!I7</f>
        <v>0</v>
      </c>
      <c r="D9" s="78">
        <f>'所得税费用审定表N5-1'!E7</f>
        <v>0</v>
      </c>
    </row>
    <row r="10" spans="1:12" ht="20.100000000000001" customHeight="1">
      <c r="A10" s="79" t="s">
        <v>188</v>
      </c>
      <c r="B10" s="80"/>
      <c r="C10" s="78">
        <f>'所得税费用审定表N5-1'!I8</f>
        <v>0</v>
      </c>
      <c r="D10" s="78">
        <f>'所得税费用审定表N5-1'!E8</f>
        <v>0</v>
      </c>
    </row>
    <row r="11" spans="1:12" ht="20.100000000000001" customHeight="1">
      <c r="A11" s="81" t="s">
        <v>189</v>
      </c>
      <c r="B11" s="81"/>
      <c r="C11" s="82">
        <f>SUM(C9:C10)</f>
        <v>0</v>
      </c>
      <c r="D11" s="82">
        <f>SUM(D9:D10)</f>
        <v>0</v>
      </c>
    </row>
    <row r="12" spans="1:12" ht="20.100000000000001" customHeight="1" thickBot="1">
      <c r="A12" s="76" t="s">
        <v>190</v>
      </c>
      <c r="B12" s="66"/>
    </row>
    <row r="13" spans="1:12" ht="20.100000000000001" customHeight="1">
      <c r="A13" s="329" t="s">
        <v>184</v>
      </c>
      <c r="B13" s="329"/>
      <c r="C13" s="330" t="s">
        <v>185</v>
      </c>
      <c r="D13" s="330" t="s">
        <v>186</v>
      </c>
    </row>
    <row r="14" spans="1:12" s="341" customFormat="1" ht="29.55" customHeight="1">
      <c r="A14" s="339" t="str">
        <f>'所得税费用明细表N5-2'!A9</f>
        <v>审定利润总额</v>
      </c>
      <c r="B14" s="339"/>
      <c r="C14" s="340">
        <f>'所得税费用明细表N5-2'!B9</f>
        <v>0</v>
      </c>
      <c r="D14" s="340">
        <f>'所得税费用明细表N5-2'!D9</f>
        <v>0</v>
      </c>
    </row>
    <row r="15" spans="1:12" s="341" customFormat="1" ht="29.55" customHeight="1">
      <c r="A15" s="334" t="str">
        <f>'所得税费用明细表N5-2'!A10</f>
        <v>按法定（或适用）税率计算的所得税费用（利润总额*xx%）</v>
      </c>
      <c r="B15" s="334"/>
      <c r="C15" s="335">
        <f>'所得税费用明细表N5-2'!B10</f>
        <v>0</v>
      </c>
      <c r="D15" s="335">
        <f>'所得税费用明细表N5-2'!D10</f>
        <v>0</v>
      </c>
    </row>
    <row r="16" spans="1:12" s="341" customFormat="1" ht="14.4">
      <c r="A16" s="334" t="str">
        <f>'所得税费用明细表N5-2'!A11</f>
        <v>某些子公司适用不同税率的影响</v>
      </c>
      <c r="B16" s="334"/>
      <c r="C16" s="335">
        <f>'所得税费用明细表N5-2'!B11</f>
        <v>0</v>
      </c>
      <c r="D16" s="335">
        <f>'所得税费用明细表N5-2'!D11</f>
        <v>0</v>
      </c>
    </row>
    <row r="17" spans="1:4" s="341" customFormat="1" ht="14.4">
      <c r="A17" s="334" t="str">
        <f>'所得税费用明细表N5-2'!A12</f>
        <v>对以前期间当期税项的调整</v>
      </c>
      <c r="B17" s="334"/>
      <c r="C17" s="335">
        <f>'所得税费用明细表N5-2'!B12</f>
        <v>0</v>
      </c>
      <c r="D17" s="335">
        <f>'所得税费用明细表N5-2'!D12</f>
        <v>0</v>
      </c>
    </row>
    <row r="18" spans="1:4" s="341" customFormat="1" ht="28.8">
      <c r="A18" s="334" t="str">
        <f>'所得税费用明细表N5-2'!A13</f>
        <v>权益法核算的合营企业和联营企业损益</v>
      </c>
      <c r="B18" s="334"/>
      <c r="C18" s="335">
        <f>'所得税费用明细表N5-2'!B13</f>
        <v>0</v>
      </c>
      <c r="D18" s="335">
        <f>'所得税费用明细表N5-2'!D13</f>
        <v>0</v>
      </c>
    </row>
    <row r="19" spans="1:4" s="341" customFormat="1" ht="14.4">
      <c r="A19" s="334" t="str">
        <f>'所得税费用明细表N5-2'!A14</f>
        <v>无须纳税的收入</v>
      </c>
      <c r="B19" s="334"/>
      <c r="C19" s="335">
        <f>'所得税费用明细表N5-2'!B14</f>
        <v>0</v>
      </c>
      <c r="D19" s="335">
        <f>'所得税费用明细表N5-2'!D14</f>
        <v>0</v>
      </c>
    </row>
    <row r="20" spans="1:4" s="341" customFormat="1" ht="14.4">
      <c r="A20" s="334" t="str">
        <f>'所得税费用明细表N5-2'!A15</f>
        <v>不可抵扣的税项费用的纳税影响</v>
      </c>
      <c r="B20" s="334"/>
      <c r="C20" s="335">
        <f>'所得税费用明细表N5-2'!B15</f>
        <v>0</v>
      </c>
      <c r="D20" s="335">
        <f>'所得税费用明细表N5-2'!D15</f>
        <v>0</v>
      </c>
    </row>
    <row r="21" spans="1:4" s="341" customFormat="1" ht="29.55" customHeight="1">
      <c r="A21" s="334" t="str">
        <f>'所得税费用明细表N5-2'!A16</f>
        <v>税率变动对期初递延所得税余额的影响</v>
      </c>
      <c r="B21" s="334"/>
      <c r="C21" s="335">
        <f>'所得税费用明细表N5-2'!B16</f>
        <v>0</v>
      </c>
      <c r="D21" s="335">
        <f>'所得税费用明细表N5-2'!D16</f>
        <v>0</v>
      </c>
    </row>
    <row r="22" spans="1:4" s="341" customFormat="1" ht="29.55" customHeight="1">
      <c r="A22" s="334" t="str">
        <f>'所得税费用明细表N5-2'!A17</f>
        <v>利用以前年度未确认可抵扣亏损和可抵扣暂时性差异的纳税影响</v>
      </c>
      <c r="B22" s="334"/>
      <c r="C22" s="335">
        <f>'所得税费用明细表N5-2'!B17</f>
        <v>0</v>
      </c>
      <c r="D22" s="335">
        <f>'所得税费用明细表N5-2'!D17</f>
        <v>0</v>
      </c>
    </row>
    <row r="23" spans="1:4" s="341" customFormat="1" ht="29.55" customHeight="1">
      <c r="A23" s="334" t="str">
        <f>'所得税费用明细表N5-2'!A18</f>
        <v>未确认可抵扣亏损和可抵扣暂时性差异的纳税影响</v>
      </c>
      <c r="B23" s="334"/>
      <c r="C23" s="335">
        <f>'所得税费用明细表N5-2'!B18</f>
        <v>0</v>
      </c>
      <c r="D23" s="335">
        <f>'所得税费用明细表N5-2'!D18</f>
        <v>0</v>
      </c>
    </row>
    <row r="24" spans="1:4" s="341" customFormat="1" ht="14.4">
      <c r="A24" s="334" t="str">
        <f>'所得税费用明细表N5-2'!A19</f>
        <v>研究开发费加成扣除的纳税影响</v>
      </c>
      <c r="B24" s="334"/>
      <c r="C24" s="335">
        <f>'所得税费用明细表N5-2'!B19</f>
        <v>0</v>
      </c>
      <c r="D24" s="335">
        <f>'所得税费用明细表N5-2'!D19</f>
        <v>0</v>
      </c>
    </row>
    <row r="25" spans="1:4" s="341" customFormat="1" ht="15" thickBot="1">
      <c r="A25" s="337" t="str">
        <f>'所得税费用明细表N5-2'!A20</f>
        <v>其他</v>
      </c>
      <c r="B25" s="337"/>
      <c r="C25" s="338">
        <f>'所得税费用明细表N5-2'!B20</f>
        <v>0</v>
      </c>
      <c r="D25" s="338">
        <f>'所得税费用明细表N5-2'!D20</f>
        <v>0</v>
      </c>
    </row>
    <row r="26" spans="1:4" ht="20.100000000000001" customHeight="1">
      <c r="A26" s="71"/>
      <c r="B26" s="71"/>
      <c r="C26" s="70"/>
      <c r="D26" s="70"/>
    </row>
    <row r="27" spans="1:4">
      <c r="A27" s="65" t="s">
        <v>191</v>
      </c>
    </row>
    <row r="28" spans="1:4">
      <c r="A28" s="65" t="s">
        <v>192</v>
      </c>
    </row>
    <row r="29" spans="1:4">
      <c r="A29" s="72" t="s">
        <v>193</v>
      </c>
    </row>
  </sheetData>
  <mergeCells count="4">
    <mergeCell ref="A1:D1"/>
    <mergeCell ref="A2:D2"/>
    <mergeCell ref="G2:I2"/>
    <mergeCell ref="J2:L2"/>
  </mergeCells>
  <phoneticPr fontId="104" type="noConversion"/>
  <pageMargins left="0.70833333333333304" right="0.70833333333333304" top="0.74791666666666701" bottom="0.74791666666666701" header="0.31458333333333299" footer="0.31458333333333299"/>
  <pageSetup paperSize="9" scale="90" orientation="portrait" blackAndWhite="1" horizontalDpi="1200" verticalDpi="1200"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U32"/>
  <sheetViews>
    <sheetView view="pageBreakPreview" zoomScaleNormal="100" workbookViewId="0">
      <selection sqref="A1:D1"/>
    </sheetView>
  </sheetViews>
  <sheetFormatPr defaultColWidth="9" defaultRowHeight="13.35" customHeight="1"/>
  <cols>
    <col min="1" max="1" width="23.19921875" style="47" customWidth="1"/>
    <col min="2" max="2" width="17" style="47" customWidth="1"/>
    <col min="3" max="3" width="18.19921875" style="47" customWidth="1"/>
    <col min="4" max="4" width="17.8984375" style="47" customWidth="1"/>
    <col min="5" max="16384" width="9" style="47"/>
  </cols>
  <sheetData>
    <row r="1" spans="1:255" ht="13.35" customHeight="1">
      <c r="A1" s="415" t="s">
        <v>17</v>
      </c>
      <c r="B1" s="415"/>
      <c r="C1" s="415"/>
      <c r="D1" s="415"/>
      <c r="E1" s="48"/>
      <c r="F1" s="48"/>
      <c r="G1" s="48"/>
      <c r="H1" s="48"/>
      <c r="I1" s="48"/>
      <c r="J1" s="48"/>
      <c r="K1" s="48"/>
      <c r="L1" s="48"/>
      <c r="M1" s="48"/>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3"/>
      <c r="EB1" s="73"/>
      <c r="EC1" s="73"/>
      <c r="ED1" s="73"/>
      <c r="EE1" s="73"/>
      <c r="EF1" s="73"/>
      <c r="EG1" s="73"/>
      <c r="EH1" s="73"/>
      <c r="EI1" s="73"/>
      <c r="EJ1" s="73"/>
      <c r="EK1" s="73"/>
      <c r="EL1" s="73"/>
      <c r="EM1" s="73"/>
      <c r="EN1" s="73"/>
      <c r="EO1" s="73"/>
      <c r="EP1" s="73"/>
      <c r="EQ1" s="73"/>
      <c r="ER1" s="73"/>
      <c r="ES1" s="73"/>
      <c r="ET1" s="73"/>
      <c r="EU1" s="73"/>
      <c r="EV1" s="73"/>
      <c r="EW1" s="73"/>
      <c r="EX1" s="73"/>
      <c r="EY1" s="73"/>
      <c r="EZ1" s="73"/>
      <c r="FA1" s="73"/>
      <c r="FB1" s="73"/>
      <c r="FC1" s="73"/>
      <c r="FD1" s="73"/>
      <c r="FE1" s="73"/>
      <c r="FF1" s="73"/>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3"/>
      <c r="HT1" s="73"/>
      <c r="HU1" s="73"/>
      <c r="HV1" s="73"/>
      <c r="HW1" s="73"/>
      <c r="HX1" s="73"/>
      <c r="HY1" s="73"/>
      <c r="HZ1" s="73"/>
      <c r="IA1" s="73"/>
      <c r="IB1" s="73"/>
      <c r="IC1" s="73"/>
      <c r="ID1" s="73"/>
      <c r="IE1" s="73"/>
      <c r="IF1" s="73"/>
      <c r="IG1" s="73"/>
      <c r="IH1" s="73"/>
      <c r="II1" s="73"/>
      <c r="IJ1" s="73"/>
      <c r="IK1" s="73"/>
      <c r="IL1" s="73"/>
      <c r="IM1" s="73"/>
      <c r="IN1" s="73"/>
      <c r="IO1" s="73"/>
      <c r="IP1" s="73"/>
      <c r="IQ1" s="73"/>
      <c r="IR1" s="73"/>
      <c r="IS1" s="73"/>
      <c r="IT1" s="73"/>
      <c r="IU1" s="73"/>
    </row>
    <row r="2" spans="1:255" ht="13.35" customHeight="1">
      <c r="A2" s="416" t="s">
        <v>13</v>
      </c>
      <c r="B2" s="416"/>
      <c r="C2" s="416"/>
      <c r="D2" s="416"/>
      <c r="E2" s="48"/>
      <c r="F2" s="415"/>
      <c r="G2" s="415"/>
      <c r="H2" s="415"/>
      <c r="I2" s="415"/>
      <c r="J2" s="415"/>
      <c r="K2" s="415"/>
      <c r="L2" s="415"/>
      <c r="M2" s="415"/>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3"/>
      <c r="EB2" s="73"/>
      <c r="EC2" s="73"/>
      <c r="ED2" s="73"/>
      <c r="EE2" s="73"/>
      <c r="EF2" s="73"/>
      <c r="EG2" s="73"/>
      <c r="EH2" s="73"/>
      <c r="EI2" s="73"/>
      <c r="EJ2" s="73"/>
      <c r="EK2" s="73"/>
      <c r="EL2" s="73"/>
      <c r="EM2" s="73"/>
      <c r="EN2" s="73"/>
      <c r="EO2" s="73"/>
      <c r="EP2" s="73"/>
      <c r="EQ2" s="73"/>
      <c r="ER2" s="73"/>
      <c r="ES2" s="73"/>
      <c r="ET2" s="73"/>
      <c r="EU2" s="73"/>
      <c r="EV2" s="73"/>
      <c r="EW2" s="73"/>
      <c r="EX2" s="73"/>
      <c r="EY2" s="73"/>
      <c r="EZ2" s="73"/>
      <c r="FA2" s="73"/>
      <c r="FB2" s="73"/>
      <c r="FC2" s="73"/>
      <c r="FD2" s="73"/>
      <c r="FE2" s="73"/>
      <c r="FF2" s="73"/>
      <c r="FG2" s="73"/>
      <c r="FH2" s="73"/>
      <c r="FI2" s="73"/>
      <c r="FJ2" s="73"/>
      <c r="FK2" s="73"/>
      <c r="FL2" s="73"/>
      <c r="FM2" s="73"/>
      <c r="FN2" s="73"/>
      <c r="FO2" s="73"/>
      <c r="FP2" s="73"/>
      <c r="FQ2" s="73"/>
      <c r="FR2" s="73"/>
      <c r="FS2" s="73"/>
      <c r="FT2" s="73"/>
      <c r="FU2" s="73"/>
      <c r="FV2" s="73"/>
      <c r="FW2" s="73"/>
      <c r="FX2" s="73"/>
      <c r="FY2" s="73"/>
      <c r="FZ2" s="73"/>
      <c r="GA2" s="73"/>
      <c r="GB2" s="73"/>
      <c r="GC2" s="73"/>
      <c r="GD2" s="73"/>
      <c r="GE2" s="73"/>
      <c r="GF2" s="73"/>
      <c r="GG2" s="73"/>
      <c r="GH2" s="73"/>
      <c r="GI2" s="73"/>
      <c r="GJ2" s="73"/>
      <c r="GK2" s="73"/>
      <c r="GL2" s="73"/>
      <c r="GM2" s="73"/>
      <c r="GN2" s="73"/>
      <c r="GO2" s="73"/>
      <c r="GP2" s="73"/>
      <c r="GQ2" s="73"/>
      <c r="GR2" s="73"/>
      <c r="GS2" s="73"/>
      <c r="GT2" s="73"/>
      <c r="GU2" s="73"/>
      <c r="GV2" s="73"/>
      <c r="GW2" s="73"/>
      <c r="GX2" s="73"/>
      <c r="GY2" s="73"/>
      <c r="GZ2" s="73"/>
      <c r="HA2" s="73"/>
      <c r="HB2" s="73"/>
      <c r="HC2" s="73"/>
      <c r="HD2" s="73"/>
      <c r="HE2" s="73"/>
      <c r="HF2" s="73"/>
      <c r="HG2" s="73"/>
      <c r="HH2" s="73"/>
      <c r="HI2" s="73"/>
      <c r="HJ2" s="73"/>
      <c r="HK2" s="73"/>
      <c r="HL2" s="73"/>
      <c r="HM2" s="73"/>
      <c r="HN2" s="73"/>
      <c r="HO2" s="73"/>
      <c r="HP2" s="73"/>
      <c r="HQ2" s="73"/>
      <c r="HR2" s="73"/>
      <c r="HS2" s="73"/>
      <c r="HT2" s="73"/>
      <c r="HU2" s="73"/>
      <c r="HV2" s="73"/>
      <c r="HW2" s="73"/>
      <c r="HX2" s="73"/>
      <c r="HY2" s="73"/>
      <c r="HZ2" s="73"/>
      <c r="IA2" s="73"/>
      <c r="IB2" s="73"/>
      <c r="IC2" s="73"/>
      <c r="ID2" s="73"/>
      <c r="IE2" s="73"/>
      <c r="IF2" s="73"/>
      <c r="IG2" s="73"/>
      <c r="IH2" s="73"/>
      <c r="II2" s="73"/>
      <c r="IJ2" s="73"/>
      <c r="IK2" s="73"/>
      <c r="IL2" s="73"/>
      <c r="IM2" s="73"/>
      <c r="IN2" s="73"/>
      <c r="IO2" s="73"/>
      <c r="IP2" s="73"/>
      <c r="IQ2" s="73"/>
      <c r="IR2" s="73"/>
      <c r="IS2" s="73"/>
      <c r="IT2" s="73"/>
      <c r="IU2" s="73"/>
    </row>
    <row r="3" spans="1:255" ht="13.35" customHeight="1">
      <c r="A3" s="49" t="str">
        <f>底稿目录!A2</f>
        <v>被审计单位：</v>
      </c>
      <c r="B3" s="49" t="str">
        <f>底稿目录!A4</f>
        <v>编制人：</v>
      </c>
      <c r="C3" s="49" t="str">
        <f>底稿目录!A5</f>
        <v>编制日期：</v>
      </c>
      <c r="D3" s="50" t="s">
        <v>194</v>
      </c>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c r="HK3" s="51"/>
      <c r="HL3" s="51"/>
      <c r="HM3" s="51"/>
      <c r="HN3" s="51"/>
      <c r="HO3" s="51"/>
      <c r="HP3" s="51"/>
      <c r="HQ3" s="51"/>
      <c r="HR3" s="51"/>
      <c r="HS3" s="51"/>
      <c r="HT3" s="51"/>
      <c r="HU3" s="51"/>
      <c r="HV3" s="51"/>
      <c r="HW3" s="51"/>
      <c r="HX3" s="51"/>
      <c r="HY3" s="51"/>
      <c r="HZ3" s="51"/>
      <c r="IA3" s="51"/>
      <c r="IB3" s="51"/>
      <c r="IC3" s="51"/>
      <c r="ID3" s="51"/>
      <c r="IE3" s="51"/>
      <c r="IF3" s="51"/>
      <c r="IG3" s="51"/>
      <c r="IH3" s="51"/>
      <c r="II3" s="51"/>
      <c r="IJ3" s="51"/>
      <c r="IK3" s="51"/>
      <c r="IL3" s="51"/>
      <c r="IM3" s="51"/>
      <c r="IN3" s="51"/>
      <c r="IO3" s="51"/>
      <c r="IP3" s="51"/>
      <c r="IQ3" s="51"/>
      <c r="IR3" s="51"/>
      <c r="IS3" s="51"/>
      <c r="IT3" s="51"/>
      <c r="IU3" s="51"/>
    </row>
    <row r="4" spans="1:255" ht="13.35" customHeight="1">
      <c r="A4" s="49" t="str">
        <f>底稿目录!A3</f>
        <v>会计期间：202X年度</v>
      </c>
      <c r="B4" s="49" t="str">
        <f>底稿目录!A6</f>
        <v>复核人:</v>
      </c>
      <c r="C4" s="49" t="str">
        <f>底稿目录!A7</f>
        <v>复核日期:</v>
      </c>
      <c r="D4" s="50" t="s">
        <v>20</v>
      </c>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c r="FO4" s="51"/>
      <c r="FP4" s="51"/>
      <c r="FQ4" s="51"/>
      <c r="FR4" s="51"/>
      <c r="FS4" s="51"/>
      <c r="FT4" s="51"/>
      <c r="FU4" s="51"/>
      <c r="FV4" s="51"/>
      <c r="FW4" s="51"/>
      <c r="FX4" s="51"/>
      <c r="FY4" s="51"/>
      <c r="FZ4" s="51"/>
      <c r="GA4" s="51"/>
      <c r="GB4" s="51"/>
      <c r="GC4" s="51"/>
      <c r="GD4" s="51"/>
      <c r="GE4" s="51"/>
      <c r="GF4" s="51"/>
      <c r="GG4" s="51"/>
      <c r="GH4" s="51"/>
      <c r="GI4" s="51"/>
      <c r="GJ4" s="51"/>
      <c r="GK4" s="51"/>
      <c r="GL4" s="51"/>
      <c r="GM4" s="51"/>
      <c r="GN4" s="51"/>
      <c r="GO4" s="51"/>
      <c r="GP4" s="51"/>
      <c r="GQ4" s="51"/>
      <c r="GR4" s="51"/>
      <c r="GS4" s="51"/>
      <c r="GT4" s="51"/>
      <c r="GU4" s="51"/>
      <c r="GV4" s="51"/>
      <c r="GW4" s="51"/>
      <c r="GX4" s="51"/>
      <c r="GY4" s="51"/>
      <c r="GZ4" s="51"/>
      <c r="HA4" s="51"/>
      <c r="HB4" s="51"/>
      <c r="HC4" s="51"/>
      <c r="HD4" s="51"/>
      <c r="HE4" s="51"/>
      <c r="HF4" s="51"/>
      <c r="HG4" s="51"/>
      <c r="HH4" s="51"/>
      <c r="HI4" s="51"/>
      <c r="HJ4" s="51"/>
      <c r="HK4" s="51"/>
      <c r="HL4" s="51"/>
      <c r="HM4" s="51"/>
      <c r="HN4" s="51"/>
      <c r="HO4" s="51"/>
      <c r="HP4" s="51"/>
      <c r="HQ4" s="51"/>
      <c r="HR4" s="51"/>
      <c r="HS4" s="51"/>
      <c r="HT4" s="51"/>
      <c r="HU4" s="51"/>
      <c r="HV4" s="51"/>
      <c r="HW4" s="51"/>
      <c r="HX4" s="51"/>
      <c r="HY4" s="51"/>
      <c r="HZ4" s="51"/>
      <c r="IA4" s="51"/>
      <c r="IB4" s="51"/>
      <c r="IC4" s="51"/>
      <c r="ID4" s="51"/>
      <c r="IE4" s="51"/>
      <c r="IF4" s="51"/>
      <c r="IG4" s="51"/>
      <c r="IH4" s="51"/>
      <c r="II4" s="51"/>
      <c r="IJ4" s="51"/>
      <c r="IK4" s="51"/>
      <c r="IL4" s="51"/>
      <c r="IM4" s="51"/>
      <c r="IN4" s="51"/>
      <c r="IO4" s="51"/>
      <c r="IP4" s="51"/>
      <c r="IQ4" s="51"/>
      <c r="IR4" s="51"/>
      <c r="IS4" s="51"/>
      <c r="IT4" s="51"/>
      <c r="IU4" s="51"/>
    </row>
    <row r="5" spans="1:255" ht="13.35" customHeight="1">
      <c r="A5" s="52" t="s">
        <v>195</v>
      </c>
      <c r="B5" s="52"/>
      <c r="C5" s="52"/>
      <c r="D5" s="52"/>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row>
    <row r="6" spans="1:255" ht="13.35" customHeight="1">
      <c r="A6" s="54" t="s">
        <v>22</v>
      </c>
      <c r="B6" s="54"/>
      <c r="C6" s="55"/>
      <c r="D6" s="55"/>
      <c r="G6" s="56"/>
    </row>
    <row r="7" spans="1:255" ht="13.35" customHeight="1">
      <c r="A7" s="57" t="s">
        <v>196</v>
      </c>
      <c r="B7" s="57"/>
      <c r="C7" s="58" t="s">
        <v>197</v>
      </c>
      <c r="D7" s="58" t="s">
        <v>198</v>
      </c>
    </row>
    <row r="8" spans="1:255" ht="13.35" customHeight="1">
      <c r="A8" s="54" t="s">
        <v>166</v>
      </c>
      <c r="B8" s="59"/>
      <c r="C8" s="60">
        <f>'所得税费用审定表N5-1'!I7</f>
        <v>0</v>
      </c>
      <c r="D8" s="60">
        <f>'所得税费用审定表N5-1'!E7</f>
        <v>0</v>
      </c>
    </row>
    <row r="9" spans="1:255" ht="13.35" customHeight="1">
      <c r="A9" s="59" t="s">
        <v>199</v>
      </c>
      <c r="B9" s="59"/>
      <c r="C9" s="60">
        <f>'所得税费用审定表N5-1'!I8</f>
        <v>0</v>
      </c>
      <c r="D9" s="60">
        <f>'所得税费用审定表N5-1'!E8</f>
        <v>0</v>
      </c>
    </row>
    <row r="10" spans="1:255" ht="13.35" customHeight="1">
      <c r="A10" s="61" t="s">
        <v>200</v>
      </c>
      <c r="B10" s="61"/>
      <c r="C10" s="62"/>
      <c r="D10" s="62"/>
    </row>
    <row r="11" spans="1:255" ht="13.35" customHeight="1">
      <c r="A11" s="63" t="s">
        <v>201</v>
      </c>
      <c r="B11" s="63"/>
      <c r="C11" s="64">
        <f>SUM(C8:C10)</f>
        <v>0</v>
      </c>
      <c r="D11" s="64">
        <f>SUM(D8:D10)</f>
        <v>0</v>
      </c>
    </row>
    <row r="13" spans="1:255" ht="13.35" customHeight="1" thickBot="1">
      <c r="A13" s="65" t="s">
        <v>202</v>
      </c>
      <c r="B13" s="66"/>
      <c r="C13" s="67"/>
      <c r="D13" s="67"/>
    </row>
    <row r="14" spans="1:255" ht="13.35" customHeight="1">
      <c r="A14" s="329" t="s">
        <v>184</v>
      </c>
      <c r="B14" s="329"/>
      <c r="C14" s="330" t="s">
        <v>185</v>
      </c>
      <c r="D14" s="330" t="s">
        <v>186</v>
      </c>
    </row>
    <row r="15" spans="1:255" s="333" customFormat="1" ht="28.05" customHeight="1">
      <c r="A15" s="331" t="str">
        <f>'所得税费用明细表N5-2'!A9</f>
        <v>审定利润总额</v>
      </c>
      <c r="B15" s="331"/>
      <c r="C15" s="332">
        <f>'所得税费用明细表N5-2'!B9</f>
        <v>0</v>
      </c>
      <c r="D15" s="332">
        <f>'所得税费用明细表N5-2'!D9</f>
        <v>0</v>
      </c>
    </row>
    <row r="16" spans="1:255" s="333" customFormat="1" ht="28.05" customHeight="1">
      <c r="A16" s="334" t="str">
        <f>'所得税费用明细表N5-2'!A10</f>
        <v>按法定（或适用）税率计算的所得税费用（利润总额*xx%）</v>
      </c>
      <c r="B16" s="334"/>
      <c r="C16" s="335">
        <f>'所得税费用明细表N5-2'!B10</f>
        <v>0</v>
      </c>
      <c r="D16" s="335">
        <f>'所得税费用明细表N5-2'!D10</f>
        <v>0</v>
      </c>
      <c r="F16" s="336"/>
    </row>
    <row r="17" spans="1:4" s="333" customFormat="1" ht="28.05" customHeight="1">
      <c r="A17" s="334" t="str">
        <f>'所得税费用明细表N5-2'!A11</f>
        <v>某些子公司适用不同税率的影响</v>
      </c>
      <c r="B17" s="334"/>
      <c r="C17" s="335">
        <f>'所得税费用明细表N5-2'!B11</f>
        <v>0</v>
      </c>
      <c r="D17" s="335">
        <f>'所得税费用明细表N5-2'!D11</f>
        <v>0</v>
      </c>
    </row>
    <row r="18" spans="1:4" s="333" customFormat="1" ht="28.05" customHeight="1">
      <c r="A18" s="334" t="str">
        <f>'所得税费用明细表N5-2'!A12</f>
        <v>对以前期间当期税项的调整</v>
      </c>
      <c r="B18" s="334"/>
      <c r="C18" s="335">
        <f>'所得税费用明细表N5-2'!B12</f>
        <v>0</v>
      </c>
      <c r="D18" s="335">
        <f>'所得税费用明细表N5-2'!D12</f>
        <v>0</v>
      </c>
    </row>
    <row r="19" spans="1:4" s="333" customFormat="1" ht="28.05" customHeight="1">
      <c r="A19" s="334" t="str">
        <f>'所得税费用明细表N5-2'!A13</f>
        <v>权益法核算的合营企业和联营企业损益</v>
      </c>
      <c r="B19" s="334"/>
      <c r="C19" s="335">
        <f>'所得税费用明细表N5-2'!B13</f>
        <v>0</v>
      </c>
      <c r="D19" s="335">
        <f>'所得税费用明细表N5-2'!D13</f>
        <v>0</v>
      </c>
    </row>
    <row r="20" spans="1:4" s="333" customFormat="1" ht="28.05" customHeight="1">
      <c r="A20" s="334" t="str">
        <f>'所得税费用明细表N5-2'!A14</f>
        <v>无须纳税的收入</v>
      </c>
      <c r="B20" s="334"/>
      <c r="C20" s="335">
        <f>'所得税费用明细表N5-2'!B14</f>
        <v>0</v>
      </c>
      <c r="D20" s="335">
        <f>'所得税费用明细表N5-2'!D14</f>
        <v>0</v>
      </c>
    </row>
    <row r="21" spans="1:4" s="333" customFormat="1" ht="28.05" customHeight="1">
      <c r="A21" s="334" t="str">
        <f>'所得税费用明细表N5-2'!A15</f>
        <v>不可抵扣的税项费用的纳税影响</v>
      </c>
      <c r="B21" s="334"/>
      <c r="C21" s="335">
        <f>'所得税费用明细表N5-2'!B15</f>
        <v>0</v>
      </c>
      <c r="D21" s="335">
        <f>'所得税费用明细表N5-2'!D15</f>
        <v>0</v>
      </c>
    </row>
    <row r="22" spans="1:4" s="333" customFormat="1" ht="28.05" customHeight="1">
      <c r="A22" s="334" t="str">
        <f>'所得税费用明细表N5-2'!A16</f>
        <v>税率变动对期初递延所得税余额的影响</v>
      </c>
      <c r="B22" s="334"/>
      <c r="C22" s="335">
        <f>'所得税费用明细表N5-2'!B16</f>
        <v>0</v>
      </c>
      <c r="D22" s="335">
        <f>'所得税费用明细表N5-2'!D16</f>
        <v>0</v>
      </c>
    </row>
    <row r="23" spans="1:4" s="333" customFormat="1" ht="28.05" customHeight="1">
      <c r="A23" s="334" t="str">
        <f>'所得税费用明细表N5-2'!A17</f>
        <v>利用以前年度未确认可抵扣亏损和可抵扣暂时性差异的纳税影响</v>
      </c>
      <c r="B23" s="334"/>
      <c r="C23" s="335">
        <f>'所得税费用明细表N5-2'!B17</f>
        <v>0</v>
      </c>
      <c r="D23" s="335">
        <f>'所得税费用明细表N5-2'!D17</f>
        <v>0</v>
      </c>
    </row>
    <row r="24" spans="1:4" s="333" customFormat="1" ht="28.05" customHeight="1">
      <c r="A24" s="334" t="str">
        <f>'所得税费用明细表N5-2'!A18</f>
        <v>未确认可抵扣亏损和可抵扣暂时性差异的纳税影响</v>
      </c>
      <c r="B24" s="334"/>
      <c r="C24" s="335">
        <f>'所得税费用明细表N5-2'!B18</f>
        <v>0</v>
      </c>
      <c r="D24" s="335">
        <f>'所得税费用明细表N5-2'!D18</f>
        <v>0</v>
      </c>
    </row>
    <row r="25" spans="1:4" s="333" customFormat="1" ht="28.05" customHeight="1">
      <c r="A25" s="334" t="str">
        <f>'所得税费用明细表N5-2'!A19</f>
        <v>研究开发费加成扣除的纳税影响</v>
      </c>
      <c r="B25" s="334"/>
      <c r="C25" s="335">
        <f>'所得税费用明细表N5-2'!B19</f>
        <v>0</v>
      </c>
      <c r="D25" s="335">
        <f>'所得税费用明细表N5-2'!D19</f>
        <v>0</v>
      </c>
    </row>
    <row r="26" spans="1:4" s="333" customFormat="1" ht="28.05" customHeight="1">
      <c r="A26" s="334" t="str">
        <f>'所得税费用明细表N5-2'!A20</f>
        <v>其他</v>
      </c>
      <c r="B26" s="334"/>
      <c r="C26" s="335">
        <f>'所得税费用明细表N5-2'!B20</f>
        <v>0</v>
      </c>
      <c r="D26" s="335">
        <f>'所得税费用明细表N5-2'!D20</f>
        <v>0</v>
      </c>
    </row>
    <row r="27" spans="1:4" s="333" customFormat="1" ht="28.05" customHeight="1">
      <c r="A27" s="334" t="str">
        <f>'所得税费用明细表N5-2'!A21</f>
        <v>所得税费用审定数</v>
      </c>
      <c r="B27" s="334"/>
      <c r="C27" s="335">
        <f>'所得税费用明细表N5-2'!B21</f>
        <v>0</v>
      </c>
      <c r="D27" s="335">
        <f>'所得税费用明细表N5-2'!D21</f>
        <v>0</v>
      </c>
    </row>
    <row r="28" spans="1:4" s="333" customFormat="1" ht="28.05" customHeight="1" thickBot="1">
      <c r="A28" s="337" t="str">
        <f>'所得税费用明细表N5-2'!A22</f>
        <v>所得税费用未审数</v>
      </c>
      <c r="B28" s="337"/>
      <c r="C28" s="338">
        <f>'所得税费用明细表N5-2'!B22</f>
        <v>0</v>
      </c>
      <c r="D28" s="338">
        <f>'所得税费用明细表N5-2'!D22</f>
        <v>0</v>
      </c>
    </row>
    <row r="29" spans="1:4" ht="13.35" customHeight="1">
      <c r="A29" s="71"/>
      <c r="B29" s="71"/>
      <c r="C29" s="70"/>
      <c r="D29" s="70"/>
    </row>
    <row r="30" spans="1:4" ht="13.35" customHeight="1">
      <c r="A30" s="65" t="s">
        <v>191</v>
      </c>
      <c r="B30" s="67"/>
      <c r="C30" s="67"/>
      <c r="D30" s="67"/>
    </row>
    <row r="31" spans="1:4" ht="13.35" customHeight="1">
      <c r="A31" s="65" t="s">
        <v>192</v>
      </c>
      <c r="B31" s="67"/>
      <c r="C31" s="67"/>
      <c r="D31" s="67"/>
    </row>
    <row r="32" spans="1:4" ht="13.35" customHeight="1">
      <c r="A32" s="72" t="s">
        <v>193</v>
      </c>
      <c r="B32" s="67"/>
      <c r="C32" s="67"/>
      <c r="D32" s="67"/>
    </row>
  </sheetData>
  <mergeCells count="5">
    <mergeCell ref="A1:D1"/>
    <mergeCell ref="A2:D2"/>
    <mergeCell ref="F2:H2"/>
    <mergeCell ref="I2:K2"/>
    <mergeCell ref="L2:M2"/>
  </mergeCells>
  <phoneticPr fontId="104" type="noConversion"/>
  <pageMargins left="0.70833333333333304" right="0.70833333333333304" top="0.74791666666666701" bottom="0.74791666666666701" header="0.31458333333333299" footer="0.31458333333333299"/>
  <pageSetup paperSize="9" scale="107" orientation="portrait" blackAndWhite="1" horizontalDpi="1200" verticalDpi="1200"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J38"/>
  <sheetViews>
    <sheetView view="pageBreakPreview" zoomScaleNormal="100" workbookViewId="0">
      <selection activeCell="H20" sqref="H20"/>
    </sheetView>
  </sheetViews>
  <sheetFormatPr defaultColWidth="9.59765625" defaultRowHeight="15.6"/>
  <cols>
    <col min="1" max="1" width="45" style="24" customWidth="1"/>
    <col min="2" max="2" width="14.69921875" style="24" customWidth="1"/>
    <col min="3" max="3" width="13.8984375" style="24" customWidth="1"/>
    <col min="4" max="4" width="13.69921875" style="24" customWidth="1"/>
    <col min="5" max="5" width="13" style="24" customWidth="1"/>
    <col min="6" max="6" width="13.5" style="24" customWidth="1"/>
    <col min="7" max="16384" width="9.59765625" style="24"/>
  </cols>
  <sheetData>
    <row r="1" spans="1:10" s="21" customFormat="1" ht="20.100000000000001" customHeight="1">
      <c r="A1" s="364" t="s">
        <v>17</v>
      </c>
      <c r="B1" s="364"/>
      <c r="C1" s="364"/>
      <c r="D1" s="364"/>
      <c r="E1" s="364"/>
      <c r="F1" s="364"/>
    </row>
    <row r="2" spans="1:10" s="21" customFormat="1" ht="24.9" customHeight="1">
      <c r="A2" s="417" t="s">
        <v>15</v>
      </c>
      <c r="B2" s="417"/>
      <c r="C2" s="417"/>
      <c r="D2" s="417"/>
      <c r="E2" s="417"/>
      <c r="F2" s="417"/>
    </row>
    <row r="3" spans="1:10" s="22" customFormat="1" ht="20.100000000000001" customHeight="1">
      <c r="A3" s="22" t="str">
        <f>底稿目录!A2</f>
        <v>被审计单位：</v>
      </c>
      <c r="B3" s="22" t="str">
        <f>底稿目录!A4</f>
        <v>编制人：</v>
      </c>
      <c r="D3" s="25" t="str">
        <f>底稿目录!A5</f>
        <v>编制日期：</v>
      </c>
      <c r="E3" s="26" t="s">
        <v>19</v>
      </c>
      <c r="F3" s="350" t="s">
        <v>262</v>
      </c>
    </row>
    <row r="4" spans="1:10" s="22" customFormat="1" ht="20.100000000000001" customHeight="1">
      <c r="A4" s="22" t="str">
        <f>底稿目录!A3</f>
        <v>会计期间：202X年度</v>
      </c>
      <c r="B4" s="22" t="str">
        <f>底稿目录!A6</f>
        <v>复核人:</v>
      </c>
      <c r="D4" s="25" t="str">
        <f>底稿目录!A7</f>
        <v>复核日期:</v>
      </c>
      <c r="E4" s="26" t="s">
        <v>20</v>
      </c>
    </row>
    <row r="5" spans="1:10" s="22" customFormat="1" ht="20.100000000000001" customHeight="1">
      <c r="A5" s="27" t="s">
        <v>203</v>
      </c>
      <c r="D5" s="28"/>
      <c r="E5" s="28"/>
      <c r="J5" s="26"/>
    </row>
    <row r="6" spans="1:10" s="22" customFormat="1" ht="20.100000000000001" customHeight="1">
      <c r="A6" s="22" t="s">
        <v>204</v>
      </c>
      <c r="D6" s="28"/>
      <c r="E6" s="28"/>
      <c r="J6" s="26"/>
    </row>
    <row r="7" spans="1:10" s="22" customFormat="1" ht="20.100000000000001" customHeight="1">
      <c r="A7" s="27" t="s">
        <v>205</v>
      </c>
      <c r="D7" s="28"/>
      <c r="E7" s="28"/>
      <c r="J7" s="26"/>
    </row>
    <row r="8" spans="1:10" s="23" customFormat="1" ht="20.100000000000001" customHeight="1">
      <c r="A8" s="29" t="s">
        <v>154</v>
      </c>
      <c r="B8" s="29" t="s">
        <v>156</v>
      </c>
      <c r="C8" s="29" t="s">
        <v>4</v>
      </c>
      <c r="D8" s="29" t="s">
        <v>155</v>
      </c>
      <c r="E8" s="29" t="s">
        <v>4</v>
      </c>
      <c r="F8" s="29" t="s">
        <v>206</v>
      </c>
    </row>
    <row r="9" spans="1:10" s="22" customFormat="1" ht="20.100000000000001" customHeight="1">
      <c r="A9" s="30" t="s">
        <v>207</v>
      </c>
      <c r="B9" s="31">
        <v>0</v>
      </c>
      <c r="C9" s="32"/>
      <c r="D9" s="33"/>
      <c r="E9" s="34"/>
      <c r="F9" s="35" t="s">
        <v>208</v>
      </c>
    </row>
    <row r="10" spans="1:10" s="22" customFormat="1" ht="32.25" customHeight="1">
      <c r="A10" s="30" t="s">
        <v>209</v>
      </c>
      <c r="B10" s="36">
        <f>B9*25%</f>
        <v>0</v>
      </c>
      <c r="C10" s="32"/>
      <c r="D10" s="37">
        <f>D9*25%</f>
        <v>0</v>
      </c>
      <c r="E10" s="34"/>
      <c r="F10" s="38">
        <v>0.25</v>
      </c>
    </row>
    <row r="11" spans="1:10" s="22" customFormat="1" ht="20.100000000000001" customHeight="1">
      <c r="A11" s="30" t="s">
        <v>210</v>
      </c>
      <c r="B11" s="33"/>
      <c r="C11" s="32"/>
      <c r="D11" s="33"/>
      <c r="E11" s="34"/>
      <c r="F11" s="35"/>
    </row>
    <row r="12" spans="1:10" s="22" customFormat="1" ht="20.100000000000001" customHeight="1">
      <c r="A12" s="30" t="s">
        <v>211</v>
      </c>
      <c r="B12" s="33"/>
      <c r="C12" s="32"/>
      <c r="D12" s="33"/>
      <c r="E12" s="34"/>
      <c r="F12" s="35"/>
    </row>
    <row r="13" spans="1:10" s="22" customFormat="1" ht="20.100000000000001" customHeight="1">
      <c r="A13" s="30" t="s">
        <v>212</v>
      </c>
      <c r="B13" s="33"/>
      <c r="C13" s="32"/>
      <c r="D13" s="33"/>
      <c r="E13" s="34"/>
      <c r="F13" s="35"/>
    </row>
    <row r="14" spans="1:10" s="22" customFormat="1" ht="20.100000000000001" customHeight="1">
      <c r="A14" s="30" t="s">
        <v>213</v>
      </c>
      <c r="B14" s="33"/>
      <c r="C14" s="32"/>
      <c r="D14" s="33"/>
      <c r="E14" s="34"/>
      <c r="F14" s="35"/>
    </row>
    <row r="15" spans="1:10" s="22" customFormat="1" ht="20.100000000000001" customHeight="1">
      <c r="A15" s="30" t="s">
        <v>214</v>
      </c>
      <c r="B15" s="33"/>
      <c r="C15" s="32"/>
      <c r="D15" s="33"/>
      <c r="E15" s="34"/>
      <c r="F15" s="35"/>
    </row>
    <row r="16" spans="1:10" s="22" customFormat="1" ht="20.100000000000001" customHeight="1">
      <c r="A16" s="30" t="s">
        <v>215</v>
      </c>
      <c r="B16" s="33"/>
      <c r="C16" s="32"/>
      <c r="D16" s="33"/>
      <c r="E16" s="34"/>
      <c r="F16" s="35"/>
    </row>
    <row r="17" spans="1:6" s="22" customFormat="1" ht="27.75" customHeight="1">
      <c r="A17" s="30" t="s">
        <v>216</v>
      </c>
      <c r="B17" s="33"/>
      <c r="C17" s="32"/>
      <c r="D17" s="33"/>
      <c r="E17" s="34"/>
      <c r="F17" s="35"/>
    </row>
    <row r="18" spans="1:6" s="22" customFormat="1" ht="20.100000000000001" customHeight="1">
      <c r="A18" s="30" t="s">
        <v>217</v>
      </c>
      <c r="B18" s="33"/>
      <c r="C18" s="32"/>
      <c r="D18" s="33"/>
      <c r="E18" s="34"/>
      <c r="F18" s="35"/>
    </row>
    <row r="19" spans="1:6" s="22" customFormat="1" ht="20.100000000000001" customHeight="1">
      <c r="A19" s="30" t="s">
        <v>218</v>
      </c>
      <c r="B19" s="33"/>
      <c r="C19" s="32"/>
      <c r="D19" s="33"/>
      <c r="E19" s="34"/>
      <c r="F19" s="35"/>
    </row>
    <row r="20" spans="1:6" s="22" customFormat="1" ht="20.100000000000001" customHeight="1">
      <c r="A20" s="30" t="s">
        <v>200</v>
      </c>
      <c r="B20" s="33"/>
      <c r="C20" s="32"/>
      <c r="D20" s="33"/>
      <c r="E20" s="34"/>
      <c r="F20" s="35"/>
    </row>
    <row r="21" spans="1:6" s="22" customFormat="1" ht="20.100000000000001" customHeight="1">
      <c r="A21" s="39" t="s">
        <v>219</v>
      </c>
      <c r="B21" s="348">
        <f>SUM(B10:B20)</f>
        <v>0</v>
      </c>
      <c r="C21" s="349"/>
      <c r="D21" s="348">
        <f>SUM(D10:D20)</f>
        <v>0</v>
      </c>
      <c r="E21" s="41"/>
      <c r="F21" s="41"/>
    </row>
    <row r="22" spans="1:6" s="22" customFormat="1" ht="20.100000000000001" customHeight="1">
      <c r="A22" s="39" t="s">
        <v>220</v>
      </c>
      <c r="B22" s="42"/>
      <c r="C22" s="40"/>
      <c r="D22" s="42"/>
      <c r="E22" s="41"/>
      <c r="F22" s="41"/>
    </row>
    <row r="23" spans="1:6" s="22" customFormat="1" ht="20.100000000000001" customHeight="1">
      <c r="A23" s="39" t="s">
        <v>221</v>
      </c>
      <c r="B23" s="31">
        <f>B21-B22</f>
        <v>0</v>
      </c>
      <c r="C23" s="33"/>
      <c r="D23" s="31">
        <f>D21-D22</f>
        <v>0</v>
      </c>
      <c r="E23" s="41"/>
      <c r="F23" s="41"/>
    </row>
    <row r="24" spans="1:6" s="22" customFormat="1" ht="20.100000000000001" customHeight="1">
      <c r="A24" s="27" t="s">
        <v>222</v>
      </c>
    </row>
    <row r="25" spans="1:6" s="22" customFormat="1" ht="20.100000000000001" customHeight="1">
      <c r="A25" s="27"/>
    </row>
    <row r="26" spans="1:6" s="22" customFormat="1" ht="20.100000000000001" customHeight="1">
      <c r="A26" s="27"/>
    </row>
    <row r="27" spans="1:6" ht="20.100000000000001" customHeight="1">
      <c r="A27" s="22"/>
    </row>
    <row r="28" spans="1:6" ht="20.100000000000001" customHeight="1">
      <c r="A28" s="27" t="s">
        <v>223</v>
      </c>
    </row>
    <row r="29" spans="1:6" s="22" customFormat="1" ht="20.100000000000001" customHeight="1"/>
    <row r="30" spans="1:6">
      <c r="A30" s="43" t="s">
        <v>224</v>
      </c>
      <c r="B30" s="44"/>
    </row>
    <row r="31" spans="1:6">
      <c r="A31" s="43" t="s">
        <v>225</v>
      </c>
      <c r="B31" s="43"/>
    </row>
    <row r="32" spans="1:6">
      <c r="A32" s="43" t="s">
        <v>226</v>
      </c>
      <c r="B32" s="45"/>
    </row>
    <row r="33" spans="1:2">
      <c r="A33" s="43" t="s">
        <v>227</v>
      </c>
      <c r="B33" s="46"/>
    </row>
    <row r="34" spans="1:2">
      <c r="A34" s="43" t="s">
        <v>228</v>
      </c>
      <c r="B34" s="45"/>
    </row>
    <row r="35" spans="1:2">
      <c r="A35" s="43"/>
      <c r="B35" s="45"/>
    </row>
    <row r="36" spans="1:2">
      <c r="A36" s="43"/>
      <c r="B36" s="45"/>
    </row>
    <row r="37" spans="1:2">
      <c r="A37" s="43"/>
    </row>
    <row r="38" spans="1:2">
      <c r="A38" s="43"/>
    </row>
  </sheetData>
  <mergeCells count="2">
    <mergeCell ref="A1:F1"/>
    <mergeCell ref="A2:F2"/>
  </mergeCells>
  <phoneticPr fontId="104" type="noConversion"/>
  <hyperlinks>
    <hyperlink ref="F3" location="底稿目录!A1" display="D12-2"/>
  </hyperlinks>
  <pageMargins left="0.70833333333333304" right="0.70833333333333304" top="0.74791666666666701" bottom="0.74791666666666701" header="0.31458333333333299" footer="0.31458333333333299"/>
  <pageSetup paperSize="9" scale="72" orientation="portrait" blackAndWhite="1" horizontalDpi="1200" verticalDpi="1200"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39"/>
  <sheetViews>
    <sheetView view="pageBreakPreview" zoomScaleNormal="100" workbookViewId="0">
      <selection sqref="A1:J1"/>
    </sheetView>
  </sheetViews>
  <sheetFormatPr defaultColWidth="9" defaultRowHeight="20.100000000000001" customHeight="1"/>
  <cols>
    <col min="1" max="1" width="13.5" style="1" customWidth="1"/>
    <col min="2" max="2" width="12.19921875" style="1" customWidth="1"/>
    <col min="3" max="3" width="9.5" style="1" customWidth="1"/>
    <col min="4" max="16384" width="9" style="1"/>
  </cols>
  <sheetData>
    <row r="1" spans="1:10" ht="20.100000000000001" customHeight="1">
      <c r="A1" s="404" t="s">
        <v>17</v>
      </c>
      <c r="B1" s="404"/>
      <c r="C1" s="404"/>
      <c r="D1" s="404"/>
      <c r="E1" s="404"/>
      <c r="F1" s="404"/>
      <c r="G1" s="404"/>
      <c r="H1" s="404"/>
      <c r="I1" s="404"/>
      <c r="J1" s="404"/>
    </row>
    <row r="2" spans="1:10" ht="20.100000000000001" customHeight="1">
      <c r="A2" s="405" t="s">
        <v>229</v>
      </c>
      <c r="B2" s="405"/>
      <c r="C2" s="405"/>
      <c r="D2" s="405"/>
      <c r="E2" s="405"/>
      <c r="F2" s="405"/>
      <c r="G2" s="405"/>
      <c r="H2" s="405"/>
      <c r="I2" s="405"/>
      <c r="J2" s="405"/>
    </row>
    <row r="3" spans="1:10" ht="20.100000000000001" customHeight="1">
      <c r="A3" s="51" t="str">
        <f>底稿目录!A2</f>
        <v>被审计单位：</v>
      </c>
      <c r="B3" s="2"/>
      <c r="C3" s="2"/>
      <c r="D3" s="51" t="str">
        <f>底稿目录!$A$4</f>
        <v>编制人：</v>
      </c>
      <c r="E3" s="2"/>
      <c r="F3" s="3"/>
      <c r="G3" s="51" t="str">
        <f>底稿目录!$A$5</f>
        <v>编制日期：</v>
      </c>
      <c r="H3" s="2"/>
      <c r="I3" s="20" t="s">
        <v>19</v>
      </c>
      <c r="J3" s="350" t="s">
        <v>263</v>
      </c>
    </row>
    <row r="4" spans="1:10" ht="20.100000000000001" customHeight="1">
      <c r="A4" s="51" t="str">
        <f>底稿目录!A3</f>
        <v>会计期间：202X年度</v>
      </c>
      <c r="B4" s="2"/>
      <c r="C4" s="2"/>
      <c r="D4" s="51" t="str">
        <f>底稿目录!$A$6</f>
        <v>复核人:</v>
      </c>
      <c r="E4" s="2"/>
      <c r="F4" s="3"/>
      <c r="G4" s="51" t="str">
        <f>底稿目录!$A$7</f>
        <v>复核日期:</v>
      </c>
      <c r="H4" s="2"/>
      <c r="I4" s="20" t="s">
        <v>20</v>
      </c>
      <c r="J4" s="3"/>
    </row>
    <row r="5" spans="1:10" ht="43.5" customHeight="1">
      <c r="A5" s="4" t="s">
        <v>230</v>
      </c>
      <c r="B5" s="5" t="s">
        <v>231</v>
      </c>
      <c r="C5" s="5" t="s">
        <v>232</v>
      </c>
      <c r="D5" s="6" t="s">
        <v>233</v>
      </c>
      <c r="E5" s="6" t="s">
        <v>234</v>
      </c>
      <c r="F5" s="7" t="s">
        <v>235</v>
      </c>
      <c r="G5" s="6" t="s">
        <v>236</v>
      </c>
      <c r="H5" s="6" t="s">
        <v>237</v>
      </c>
      <c r="I5" s="6" t="s">
        <v>238</v>
      </c>
      <c r="J5" s="6" t="s">
        <v>206</v>
      </c>
    </row>
    <row r="6" spans="1:10" ht="20.100000000000001" customHeight="1">
      <c r="A6" s="8"/>
      <c r="B6" s="8"/>
      <c r="C6" s="8"/>
      <c r="D6" s="8"/>
      <c r="E6" s="8"/>
      <c r="F6" s="8"/>
      <c r="G6" s="8"/>
      <c r="H6" s="8"/>
      <c r="I6" s="8"/>
      <c r="J6" s="8"/>
    </row>
    <row r="7" spans="1:10" ht="20.100000000000001" customHeight="1">
      <c r="A7" s="9"/>
      <c r="B7" s="8"/>
      <c r="C7" s="8"/>
      <c r="D7" s="8"/>
      <c r="E7" s="8"/>
      <c r="F7" s="8"/>
      <c r="G7" s="8"/>
      <c r="H7" s="8"/>
      <c r="I7" s="8"/>
      <c r="J7" s="8"/>
    </row>
    <row r="8" spans="1:10" ht="20.100000000000001" customHeight="1">
      <c r="A8" s="10"/>
      <c r="B8" s="8"/>
      <c r="C8" s="8"/>
      <c r="D8" s="8"/>
      <c r="E8" s="8"/>
      <c r="F8" s="8"/>
      <c r="G8" s="8"/>
      <c r="H8" s="8"/>
      <c r="I8" s="8"/>
      <c r="J8" s="8"/>
    </row>
    <row r="9" spans="1:10" ht="20.100000000000001" customHeight="1">
      <c r="A9" s="10"/>
      <c r="B9" s="8"/>
      <c r="C9" s="8"/>
      <c r="D9" s="8"/>
      <c r="E9" s="8"/>
      <c r="F9" s="8"/>
      <c r="G9" s="8"/>
      <c r="H9" s="8"/>
      <c r="I9" s="8"/>
      <c r="J9" s="8"/>
    </row>
    <row r="10" spans="1:10" ht="20.100000000000001" customHeight="1">
      <c r="A10" s="10"/>
      <c r="B10" s="8"/>
      <c r="C10" s="8"/>
      <c r="D10" s="8"/>
      <c r="E10" s="8"/>
      <c r="F10" s="8"/>
      <c r="G10" s="8"/>
      <c r="H10" s="8"/>
      <c r="I10" s="8"/>
      <c r="J10" s="8"/>
    </row>
    <row r="11" spans="1:10" ht="20.100000000000001" customHeight="1">
      <c r="A11" s="11"/>
      <c r="B11" s="8"/>
      <c r="C11" s="8"/>
      <c r="D11" s="8"/>
      <c r="E11" s="8"/>
      <c r="F11" s="8"/>
      <c r="G11" s="8"/>
      <c r="H11" s="8"/>
      <c r="I11" s="8"/>
      <c r="J11" s="8"/>
    </row>
    <row r="12" spans="1:10" ht="20.100000000000001" customHeight="1">
      <c r="A12" s="10"/>
      <c r="B12" s="8"/>
      <c r="C12" s="8"/>
      <c r="D12" s="8"/>
      <c r="E12" s="8"/>
      <c r="F12" s="8"/>
      <c r="G12" s="8"/>
      <c r="H12" s="8"/>
      <c r="I12" s="8"/>
      <c r="J12" s="8"/>
    </row>
    <row r="13" spans="1:10" ht="20.100000000000001" customHeight="1">
      <c r="A13" s="10"/>
      <c r="B13" s="8"/>
      <c r="C13" s="8"/>
      <c r="D13" s="8"/>
      <c r="E13" s="8"/>
      <c r="F13" s="8"/>
      <c r="G13" s="8"/>
      <c r="H13" s="8"/>
      <c r="I13" s="8"/>
      <c r="J13" s="8"/>
    </row>
    <row r="14" spans="1:10" ht="20.100000000000001" customHeight="1">
      <c r="A14" s="10"/>
      <c r="B14" s="8"/>
      <c r="C14" s="8"/>
      <c r="D14" s="8"/>
      <c r="E14" s="8"/>
      <c r="F14" s="8"/>
      <c r="G14" s="8"/>
      <c r="H14" s="8"/>
      <c r="I14" s="8"/>
      <c r="J14" s="8"/>
    </row>
    <row r="15" spans="1:10" ht="20.100000000000001" customHeight="1">
      <c r="A15" s="10"/>
      <c r="B15" s="8"/>
      <c r="C15" s="8"/>
      <c r="D15" s="8"/>
      <c r="E15" s="8"/>
      <c r="F15" s="8"/>
      <c r="G15" s="8"/>
      <c r="H15" s="8"/>
      <c r="I15" s="8"/>
      <c r="J15" s="8"/>
    </row>
    <row r="16" spans="1:10" ht="20.100000000000001" customHeight="1">
      <c r="A16" s="10"/>
      <c r="B16" s="8"/>
      <c r="C16" s="8"/>
      <c r="D16" s="8"/>
      <c r="E16" s="8"/>
      <c r="F16" s="8"/>
      <c r="G16" s="8"/>
      <c r="H16" s="8"/>
      <c r="I16" s="8"/>
      <c r="J16" s="8"/>
    </row>
    <row r="17" spans="1:10" ht="20.100000000000001" customHeight="1">
      <c r="A17" s="10"/>
      <c r="B17" s="8"/>
      <c r="C17" s="8"/>
      <c r="D17" s="8"/>
      <c r="E17" s="8"/>
      <c r="F17" s="8"/>
      <c r="G17" s="8"/>
      <c r="H17" s="8"/>
      <c r="I17" s="8"/>
      <c r="J17" s="8"/>
    </row>
    <row r="18" spans="1:10" ht="20.100000000000001" customHeight="1">
      <c r="A18" s="10"/>
      <c r="B18" s="8"/>
      <c r="C18" s="8"/>
      <c r="D18" s="8"/>
      <c r="E18" s="8"/>
      <c r="F18" s="8"/>
      <c r="G18" s="8"/>
      <c r="H18" s="8"/>
      <c r="I18" s="8"/>
      <c r="J18" s="8"/>
    </row>
    <row r="19" spans="1:10" ht="20.100000000000001" customHeight="1">
      <c r="A19" s="10"/>
      <c r="B19" s="8"/>
      <c r="C19" s="8"/>
      <c r="D19" s="8"/>
      <c r="E19" s="8"/>
      <c r="F19" s="8"/>
      <c r="G19" s="8"/>
      <c r="H19" s="8"/>
      <c r="I19" s="8"/>
      <c r="J19" s="8"/>
    </row>
    <row r="20" spans="1:10" ht="20.100000000000001" customHeight="1">
      <c r="A20" s="10"/>
      <c r="B20" s="8"/>
      <c r="C20" s="8"/>
      <c r="D20" s="8"/>
      <c r="E20" s="8"/>
      <c r="F20" s="8"/>
      <c r="G20" s="8"/>
      <c r="H20" s="8"/>
      <c r="I20" s="8"/>
      <c r="J20" s="8"/>
    </row>
    <row r="21" spans="1:10" ht="20.100000000000001" customHeight="1">
      <c r="A21" s="12" t="s">
        <v>171</v>
      </c>
      <c r="B21" s="13"/>
      <c r="C21" s="13"/>
      <c r="D21" s="13"/>
      <c r="E21" s="13"/>
      <c r="F21" s="13"/>
      <c r="G21" s="13"/>
      <c r="H21" s="13"/>
      <c r="I21" s="13"/>
      <c r="J21" s="13"/>
    </row>
    <row r="22" spans="1:10" ht="20.100000000000001" customHeight="1">
      <c r="A22" s="13"/>
      <c r="B22" s="13"/>
      <c r="C22" s="13"/>
      <c r="D22" s="13"/>
      <c r="E22" s="13"/>
      <c r="F22" s="13"/>
      <c r="G22" s="13"/>
      <c r="H22" s="13"/>
      <c r="I22" s="13"/>
      <c r="J22" s="13"/>
    </row>
    <row r="23" spans="1:10" ht="20.100000000000001" customHeight="1">
      <c r="A23" s="14"/>
      <c r="B23" s="14"/>
      <c r="C23" s="14"/>
      <c r="D23" s="13"/>
      <c r="E23" s="13"/>
      <c r="F23" s="13"/>
      <c r="G23" s="13"/>
      <c r="H23" s="13"/>
      <c r="I23" s="13"/>
      <c r="J23" s="13"/>
    </row>
    <row r="24" spans="1:10" ht="20.100000000000001" customHeight="1">
      <c r="A24" s="15"/>
      <c r="B24" s="15"/>
      <c r="C24" s="15"/>
      <c r="D24" s="14"/>
      <c r="E24" s="14"/>
      <c r="F24" s="14"/>
      <c r="G24" s="14"/>
      <c r="H24" s="14"/>
      <c r="I24" s="14"/>
      <c r="J24" s="14"/>
    </row>
    <row r="25" spans="1:10" ht="20.100000000000001" customHeight="1">
      <c r="A25" s="16" t="s">
        <v>175</v>
      </c>
      <c r="B25" s="16"/>
      <c r="C25" s="16"/>
      <c r="D25" s="14"/>
      <c r="E25" s="14"/>
      <c r="F25" s="14"/>
      <c r="G25" s="14"/>
      <c r="H25" s="14"/>
      <c r="I25" s="14"/>
      <c r="J25" s="14"/>
    </row>
    <row r="26" spans="1:10" ht="20.100000000000001" customHeight="1">
      <c r="A26" s="16"/>
      <c r="B26" s="16"/>
      <c r="C26" s="16"/>
      <c r="D26" s="13"/>
      <c r="E26" s="13"/>
      <c r="F26" s="13"/>
      <c r="G26" s="13"/>
      <c r="H26" s="13"/>
      <c r="I26" s="13"/>
      <c r="J26" s="13"/>
    </row>
    <row r="27" spans="1:10" ht="20.100000000000001" customHeight="1">
      <c r="A27" s="17" t="s">
        <v>239</v>
      </c>
      <c r="B27" s="18"/>
      <c r="C27" s="18"/>
      <c r="D27" s="18"/>
      <c r="E27" s="18"/>
      <c r="F27" s="18"/>
      <c r="G27" s="18"/>
      <c r="H27" s="18"/>
      <c r="I27" s="18"/>
      <c r="J27" s="18"/>
    </row>
    <row r="28" spans="1:10" ht="20.100000000000001" customHeight="1">
      <c r="A28" s="19"/>
      <c r="B28" s="19"/>
      <c r="C28" s="19"/>
      <c r="D28" s="19"/>
      <c r="E28" s="19"/>
      <c r="F28" s="19"/>
      <c r="G28" s="19"/>
      <c r="H28" s="19"/>
      <c r="I28" s="19"/>
      <c r="J28" s="19"/>
    </row>
    <row r="29" spans="1:10" ht="32.700000000000003" customHeight="1"/>
    <row r="30" spans="1:10" ht="20.100000000000001" customHeight="1">
      <c r="A30" s="19"/>
      <c r="B30" s="19"/>
      <c r="C30" s="19"/>
      <c r="D30" s="19"/>
      <c r="E30" s="19"/>
      <c r="F30" s="19"/>
      <c r="G30" s="19"/>
      <c r="H30" s="19"/>
      <c r="I30" s="19"/>
      <c r="J30" s="19"/>
    </row>
    <row r="31" spans="1:10" ht="20.100000000000001" customHeight="1">
      <c r="A31" s="19"/>
      <c r="B31" s="19"/>
      <c r="C31" s="19"/>
      <c r="D31" s="19"/>
      <c r="E31" s="19"/>
      <c r="F31" s="19"/>
      <c r="G31" s="19"/>
      <c r="H31" s="19"/>
      <c r="I31" s="19"/>
      <c r="J31" s="19"/>
    </row>
    <row r="32" spans="1:10" ht="20.100000000000001" customHeight="1">
      <c r="A32" s="19"/>
      <c r="B32" s="19"/>
      <c r="C32" s="19"/>
      <c r="D32" s="19"/>
      <c r="E32" s="19"/>
      <c r="F32" s="19"/>
      <c r="G32" s="19"/>
      <c r="H32" s="19"/>
      <c r="I32" s="19"/>
      <c r="J32" s="19"/>
    </row>
    <row r="33" spans="1:10" ht="20.100000000000001" customHeight="1">
      <c r="A33" s="19"/>
      <c r="B33" s="19"/>
      <c r="C33" s="19"/>
      <c r="D33" s="19"/>
      <c r="E33" s="19"/>
      <c r="F33" s="19"/>
      <c r="G33" s="19"/>
      <c r="H33" s="19"/>
      <c r="I33" s="19"/>
      <c r="J33" s="19"/>
    </row>
    <row r="34" spans="1:10" ht="20.100000000000001" customHeight="1">
      <c r="A34" s="19"/>
      <c r="B34" s="19"/>
      <c r="C34" s="19"/>
      <c r="D34" s="19"/>
      <c r="E34" s="19"/>
      <c r="F34" s="19"/>
      <c r="G34" s="19"/>
      <c r="H34" s="19"/>
      <c r="I34" s="19"/>
      <c r="J34" s="19"/>
    </row>
    <row r="35" spans="1:10" ht="20.100000000000001" customHeight="1">
      <c r="A35" s="19"/>
      <c r="B35" s="19"/>
      <c r="C35" s="19"/>
      <c r="D35" s="19"/>
      <c r="E35" s="19"/>
      <c r="F35" s="19"/>
      <c r="G35" s="19"/>
      <c r="H35" s="19"/>
      <c r="I35" s="19"/>
      <c r="J35" s="19"/>
    </row>
    <row r="36" spans="1:10" ht="20.100000000000001" customHeight="1">
      <c r="A36" s="19"/>
      <c r="B36" s="19"/>
      <c r="C36" s="19"/>
      <c r="D36" s="19"/>
      <c r="E36" s="19"/>
      <c r="F36" s="19"/>
      <c r="G36" s="19"/>
      <c r="H36" s="19"/>
      <c r="I36" s="19"/>
      <c r="J36" s="19"/>
    </row>
    <row r="37" spans="1:10" ht="20.100000000000001" customHeight="1">
      <c r="A37" s="19"/>
      <c r="B37" s="19"/>
      <c r="C37" s="19"/>
      <c r="D37" s="19"/>
      <c r="E37" s="19"/>
      <c r="F37" s="19"/>
      <c r="G37" s="19"/>
      <c r="H37" s="19"/>
      <c r="I37" s="19"/>
      <c r="J37" s="19"/>
    </row>
    <row r="38" spans="1:10" ht="20.100000000000001" customHeight="1">
      <c r="A38" s="19"/>
      <c r="B38" s="19"/>
      <c r="C38" s="19"/>
      <c r="D38" s="19"/>
      <c r="E38" s="19"/>
      <c r="F38" s="19"/>
      <c r="G38" s="19"/>
      <c r="H38" s="19"/>
      <c r="I38" s="19"/>
      <c r="J38" s="19"/>
    </row>
    <row r="39" spans="1:10" ht="20.100000000000001" customHeight="1">
      <c r="A39" s="19"/>
      <c r="B39" s="19"/>
      <c r="C39" s="19"/>
      <c r="D39" s="19"/>
      <c r="E39" s="19"/>
      <c r="F39" s="19"/>
      <c r="G39" s="19"/>
      <c r="H39" s="19"/>
      <c r="I39" s="19"/>
      <c r="J39" s="19"/>
    </row>
  </sheetData>
  <mergeCells count="2">
    <mergeCell ref="A1:J1"/>
    <mergeCell ref="A2:J2"/>
  </mergeCells>
  <phoneticPr fontId="104" type="noConversion"/>
  <conditionalFormatting sqref="G3:G4">
    <cfRule type="cellIs" dxfId="26" priority="3" operator="equal">
      <formula>0</formula>
    </cfRule>
  </conditionalFormatting>
  <conditionalFormatting sqref="D3:D4">
    <cfRule type="cellIs" dxfId="25" priority="2" operator="equal">
      <formula>0</formula>
    </cfRule>
  </conditionalFormatting>
  <conditionalFormatting sqref="A3:A4">
    <cfRule type="cellIs" dxfId="24" priority="1" operator="equal">
      <formula>0</formula>
    </cfRule>
  </conditionalFormatting>
  <dataValidations count="1">
    <dataValidation type="list" allowBlank="1" showInputMessage="1" showErrorMessage="1" sqref="B6:B20">
      <formula1>"账项调整,报表调整,其他"</formula1>
    </dataValidation>
  </dataValidations>
  <hyperlinks>
    <hyperlink ref="J3" location="底稿目录!A1" display="D12-3"/>
  </hyperlinks>
  <pageMargins left="0.70833333333333304" right="0.70833333333333304" top="0.74791666666666701" bottom="0.74791666666666701" header="0.31458333333333299" footer="0.31458333333333299"/>
  <pageSetup paperSize="9" scale="83" orientation="portrait" blackAndWhite="1" horizontalDpi="1200" verticalDpi="1200"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G82"/>
  <sheetViews>
    <sheetView view="pageBreakPreview" zoomScaleNormal="115" workbookViewId="0">
      <selection sqref="A1:E1"/>
    </sheetView>
  </sheetViews>
  <sheetFormatPr defaultColWidth="10" defaultRowHeight="20.100000000000001" customHeight="1"/>
  <cols>
    <col min="1" max="1" width="29.3984375" style="232" customWidth="1"/>
    <col min="2" max="2" width="15.69921875" style="205" customWidth="1"/>
    <col min="3" max="3" width="16" style="205" customWidth="1"/>
    <col min="4" max="4" width="15.69921875" style="205" customWidth="1"/>
    <col min="5" max="5" width="13.296875" style="205" customWidth="1"/>
    <col min="6" max="6" width="10" style="205"/>
    <col min="7" max="7" width="14.8984375" style="205" customWidth="1"/>
    <col min="8" max="16384" width="10" style="205"/>
  </cols>
  <sheetData>
    <row r="1" spans="1:5" ht="20.100000000000001" customHeight="1">
      <c r="A1" s="418" t="s">
        <v>17</v>
      </c>
      <c r="B1" s="418"/>
      <c r="C1" s="418"/>
      <c r="D1" s="418"/>
      <c r="E1" s="418"/>
    </row>
    <row r="2" spans="1:5" ht="20.100000000000001" customHeight="1">
      <c r="A2" s="419" t="s">
        <v>264</v>
      </c>
      <c r="B2" s="419"/>
      <c r="C2" s="419"/>
      <c r="D2" s="419"/>
      <c r="E2" s="419"/>
    </row>
    <row r="3" spans="1:5" s="206" customFormat="1" ht="20.100000000000001" customHeight="1">
      <c r="A3" s="51" t="str">
        <f>底稿目录!A2</f>
        <v>被审计单位：</v>
      </c>
      <c r="B3" s="51" t="str">
        <f>底稿目录!$A$4</f>
        <v>编制人：</v>
      </c>
      <c r="C3" s="51" t="str">
        <f>底稿目录!$A$5</f>
        <v>编制日期：</v>
      </c>
      <c r="D3" s="207" t="s">
        <v>278</v>
      </c>
      <c r="E3" s="350" t="s">
        <v>271</v>
      </c>
    </row>
    <row r="4" spans="1:5" s="206" customFormat="1" ht="20.100000000000001" customHeight="1">
      <c r="A4" s="51" t="str">
        <f>底稿目录!A3</f>
        <v>会计期间：202X年度</v>
      </c>
      <c r="B4" s="51" t="str">
        <f>底稿目录!$A$6</f>
        <v>复核人:</v>
      </c>
      <c r="C4" s="51" t="str">
        <f>底稿目录!$A$7</f>
        <v>复核日期:</v>
      </c>
      <c r="D4" s="207" t="s">
        <v>279</v>
      </c>
    </row>
    <row r="5" spans="1:5" ht="20.100000000000001" customHeight="1">
      <c r="A5" s="208" t="s">
        <v>203</v>
      </c>
      <c r="B5" s="209"/>
      <c r="D5" s="209"/>
    </row>
    <row r="6" spans="1:5" ht="20.100000000000001" customHeight="1">
      <c r="A6" s="205" t="s">
        <v>280</v>
      </c>
      <c r="B6" s="209"/>
      <c r="D6" s="209"/>
    </row>
    <row r="7" spans="1:5" ht="20.100000000000001" customHeight="1">
      <c r="A7" s="205" t="s">
        <v>281</v>
      </c>
      <c r="B7" s="209"/>
      <c r="D7" s="209"/>
    </row>
    <row r="8" spans="1:5" ht="20.100000000000001" customHeight="1">
      <c r="A8" s="205" t="s">
        <v>282</v>
      </c>
      <c r="B8" s="209"/>
      <c r="D8" s="209"/>
    </row>
    <row r="9" spans="1:5" ht="20.100000000000001" customHeight="1">
      <c r="A9" s="208" t="s">
        <v>205</v>
      </c>
      <c r="B9" s="209"/>
      <c r="D9" s="209"/>
    </row>
    <row r="10" spans="1:5" ht="20.100000000000001" customHeight="1">
      <c r="A10" s="210" t="s">
        <v>283</v>
      </c>
      <c r="B10" s="209"/>
      <c r="D10" s="209"/>
    </row>
    <row r="11" spans="1:5" ht="20.100000000000001" customHeight="1">
      <c r="A11" s="210" t="s">
        <v>284</v>
      </c>
      <c r="B11" s="209"/>
      <c r="D11" s="209"/>
    </row>
    <row r="12" spans="1:5" ht="20.100000000000001" customHeight="1">
      <c r="A12" s="210" t="s">
        <v>285</v>
      </c>
      <c r="B12" s="209"/>
      <c r="D12" s="209"/>
    </row>
    <row r="13" spans="1:5" ht="20.100000000000001" customHeight="1">
      <c r="A13" s="210" t="s">
        <v>286</v>
      </c>
      <c r="B13" s="209"/>
      <c r="D13" s="209"/>
    </row>
    <row r="14" spans="1:5" ht="20.100000000000001" customHeight="1">
      <c r="A14" s="210" t="s">
        <v>287</v>
      </c>
      <c r="B14" s="209"/>
      <c r="D14" s="209"/>
    </row>
    <row r="15" spans="1:5" ht="20.100000000000001" customHeight="1">
      <c r="A15" s="210" t="s">
        <v>288</v>
      </c>
      <c r="B15" s="209"/>
      <c r="D15" s="209"/>
    </row>
    <row r="16" spans="1:5" ht="20.100000000000001" customHeight="1">
      <c r="A16" s="210" t="s">
        <v>289</v>
      </c>
      <c r="B16" s="209"/>
      <c r="D16" s="209"/>
    </row>
    <row r="17" spans="1:5" ht="20.100000000000001" customHeight="1">
      <c r="A17" s="210" t="s">
        <v>290</v>
      </c>
      <c r="B17" s="209"/>
      <c r="D17" s="209"/>
    </row>
    <row r="18" spans="1:5" ht="20.100000000000001" customHeight="1">
      <c r="A18" s="210" t="s">
        <v>291</v>
      </c>
      <c r="B18" s="209"/>
      <c r="D18" s="209"/>
    </row>
    <row r="19" spans="1:5" s="213" customFormat="1" ht="20.100000000000001" customHeight="1">
      <c r="A19" s="211" t="s">
        <v>154</v>
      </c>
      <c r="B19" s="212" t="s">
        <v>160</v>
      </c>
      <c r="C19" s="212" t="s">
        <v>292</v>
      </c>
      <c r="D19" s="212" t="s">
        <v>163</v>
      </c>
      <c r="E19" s="212" t="s">
        <v>4</v>
      </c>
    </row>
    <row r="20" spans="1:5" s="213" customFormat="1" ht="20.100000000000001" customHeight="1">
      <c r="A20" s="214" t="s">
        <v>293</v>
      </c>
      <c r="B20" s="212"/>
      <c r="C20" s="212"/>
      <c r="D20" s="212"/>
      <c r="E20" s="212"/>
    </row>
    <row r="21" spans="1:5" ht="20.100000000000001" customHeight="1">
      <c r="A21" s="215" t="s">
        <v>294</v>
      </c>
      <c r="B21" s="216"/>
      <c r="C21" s="216"/>
      <c r="D21" s="217">
        <f>B21+C21</f>
        <v>0</v>
      </c>
      <c r="E21" s="218"/>
    </row>
    <row r="22" spans="1:5" ht="20.100000000000001" customHeight="1">
      <c r="A22" s="215" t="s">
        <v>295</v>
      </c>
      <c r="B22" s="219" t="s">
        <v>296</v>
      </c>
      <c r="C22" s="219" t="s">
        <v>296</v>
      </c>
      <c r="D22" s="219" t="s">
        <v>296</v>
      </c>
      <c r="E22" s="218"/>
    </row>
    <row r="23" spans="1:5" ht="20.100000000000001" customHeight="1">
      <c r="A23" s="215" t="s">
        <v>297</v>
      </c>
      <c r="B23" s="216"/>
      <c r="C23" s="220"/>
      <c r="D23" s="217">
        <f>B23+C23</f>
        <v>0</v>
      </c>
      <c r="E23" s="218"/>
    </row>
    <row r="24" spans="1:5" ht="20.100000000000001" customHeight="1">
      <c r="A24" s="221" t="s">
        <v>298</v>
      </c>
      <c r="B24" s="222">
        <f>SUM(B25:B44)</f>
        <v>0</v>
      </c>
      <c r="C24" s="222">
        <f>SUM(C25:C44)</f>
        <v>0</v>
      </c>
      <c r="D24" s="222">
        <f>SUM(D25:D44)</f>
        <v>0</v>
      </c>
      <c r="E24" s="218"/>
    </row>
    <row r="25" spans="1:5" ht="20.100000000000001" customHeight="1">
      <c r="A25" s="215" t="s">
        <v>299</v>
      </c>
      <c r="B25" s="216"/>
      <c r="C25" s="217">
        <f>'纳税调整明细表N5-5'!G7</f>
        <v>0</v>
      </c>
      <c r="D25" s="217">
        <f t="shared" ref="D25:D44" si="0">B25+C25</f>
        <v>0</v>
      </c>
      <c r="E25" s="218"/>
    </row>
    <row r="26" spans="1:5" ht="20.100000000000001" customHeight="1">
      <c r="A26" s="215" t="s">
        <v>300</v>
      </c>
      <c r="B26" s="216"/>
      <c r="C26" s="217">
        <f>'纳税调整明细表N5-5'!G14</f>
        <v>0</v>
      </c>
      <c r="D26" s="217">
        <f t="shared" si="0"/>
        <v>0</v>
      </c>
      <c r="E26" s="218"/>
    </row>
    <row r="27" spans="1:5" ht="20.100000000000001" customHeight="1">
      <c r="A27" s="215" t="s">
        <v>301</v>
      </c>
      <c r="B27" s="216"/>
      <c r="C27" s="217">
        <f>'纳税调整明细表N5-5'!G20</f>
        <v>0</v>
      </c>
      <c r="D27" s="217">
        <f t="shared" si="0"/>
        <v>0</v>
      </c>
      <c r="E27" s="218"/>
    </row>
    <row r="28" spans="1:5" ht="20.100000000000001" customHeight="1">
      <c r="A28" s="215" t="s">
        <v>302</v>
      </c>
      <c r="B28" s="216"/>
      <c r="C28" s="217">
        <f>'纳税调整明细表N5-5'!G27</f>
        <v>0</v>
      </c>
      <c r="D28" s="217">
        <f t="shared" si="0"/>
        <v>0</v>
      </c>
      <c r="E28" s="218"/>
    </row>
    <row r="29" spans="1:5" ht="20.100000000000001" customHeight="1">
      <c r="A29" s="215" t="s">
        <v>303</v>
      </c>
      <c r="B29" s="216"/>
      <c r="C29" s="217">
        <f>'纳税调整明细表N5-5'!G33</f>
        <v>0</v>
      </c>
      <c r="D29" s="217">
        <f t="shared" si="0"/>
        <v>0</v>
      </c>
      <c r="E29" s="218"/>
    </row>
    <row r="30" spans="1:5" ht="20.100000000000001" customHeight="1">
      <c r="A30" s="215" t="s">
        <v>304</v>
      </c>
      <c r="B30" s="216"/>
      <c r="C30" s="217">
        <f>'纳税调整明细表N5-5'!G38</f>
        <v>0</v>
      </c>
      <c r="D30" s="217">
        <f t="shared" si="0"/>
        <v>0</v>
      </c>
      <c r="E30" s="218"/>
    </row>
    <row r="31" spans="1:5" ht="20.100000000000001" customHeight="1">
      <c r="A31" s="215" t="s">
        <v>305</v>
      </c>
      <c r="B31" s="216"/>
      <c r="C31" s="217">
        <f>'纳税调整明细表N5-5'!G44</f>
        <v>0</v>
      </c>
      <c r="D31" s="217">
        <f t="shared" si="0"/>
        <v>0</v>
      </c>
      <c r="E31" s="218"/>
    </row>
    <row r="32" spans="1:5" ht="20.100000000000001" customHeight="1">
      <c r="A32" s="215" t="s">
        <v>306</v>
      </c>
      <c r="B32" s="216"/>
      <c r="C32" s="217">
        <f>'纳税调整明细表N5-5'!G50</f>
        <v>0</v>
      </c>
      <c r="D32" s="217">
        <f t="shared" si="0"/>
        <v>0</v>
      </c>
      <c r="E32" s="218"/>
    </row>
    <row r="33" spans="1:5" ht="20.100000000000001" customHeight="1">
      <c r="A33" s="215" t="s">
        <v>307</v>
      </c>
      <c r="B33" s="216"/>
      <c r="C33" s="217">
        <f>'纳税调整明细表N5-5'!G55</f>
        <v>0</v>
      </c>
      <c r="D33" s="217">
        <f t="shared" si="0"/>
        <v>0</v>
      </c>
      <c r="E33" s="218"/>
    </row>
    <row r="34" spans="1:5" ht="20.100000000000001" customHeight="1">
      <c r="A34" s="215" t="s">
        <v>308</v>
      </c>
      <c r="B34" s="216"/>
      <c r="C34" s="217">
        <f>'纳税调整明细表N5-5'!G63</f>
        <v>0</v>
      </c>
      <c r="D34" s="217">
        <f t="shared" si="0"/>
        <v>0</v>
      </c>
      <c r="E34" s="218"/>
    </row>
    <row r="35" spans="1:5" ht="20.100000000000001" customHeight="1">
      <c r="A35" s="215" t="s">
        <v>309</v>
      </c>
      <c r="B35" s="216"/>
      <c r="C35" s="217">
        <f>'纳税调整明细表N5-5'!G72</f>
        <v>0</v>
      </c>
      <c r="D35" s="217">
        <f t="shared" si="0"/>
        <v>0</v>
      </c>
      <c r="E35" s="218"/>
    </row>
    <row r="36" spans="1:5" ht="20.100000000000001" customHeight="1">
      <c r="A36" s="215" t="s">
        <v>310</v>
      </c>
      <c r="B36" s="216"/>
      <c r="C36" s="217">
        <f>'纳税调整明细表N5-5'!G78</f>
        <v>0</v>
      </c>
      <c r="D36" s="217">
        <f t="shared" si="0"/>
        <v>0</v>
      </c>
      <c r="E36" s="218"/>
    </row>
    <row r="37" spans="1:5" ht="20.100000000000001" customHeight="1">
      <c r="A37" s="215" t="s">
        <v>311</v>
      </c>
      <c r="B37" s="216"/>
      <c r="C37" s="217">
        <f>'纳税调整明细表N5-5'!G88+'纳税调整明细表N5-5'!G96</f>
        <v>0</v>
      </c>
      <c r="D37" s="217">
        <f t="shared" si="0"/>
        <v>0</v>
      </c>
      <c r="E37" s="218"/>
    </row>
    <row r="38" spans="1:5" ht="20.100000000000001" customHeight="1">
      <c r="A38" s="215" t="s">
        <v>312</v>
      </c>
      <c r="B38" s="216"/>
      <c r="C38" s="216"/>
      <c r="D38" s="217">
        <f t="shared" si="0"/>
        <v>0</v>
      </c>
      <c r="E38" s="218"/>
    </row>
    <row r="39" spans="1:5" ht="20.100000000000001" customHeight="1">
      <c r="A39" s="215" t="s">
        <v>313</v>
      </c>
      <c r="B39" s="216"/>
      <c r="C39" s="216"/>
      <c r="D39" s="217">
        <f t="shared" si="0"/>
        <v>0</v>
      </c>
      <c r="E39" s="218"/>
    </row>
    <row r="40" spans="1:5" ht="20.100000000000001" customHeight="1">
      <c r="A40" s="215" t="s">
        <v>314</v>
      </c>
      <c r="B40" s="216"/>
      <c r="C40" s="216"/>
      <c r="D40" s="217">
        <f t="shared" si="0"/>
        <v>0</v>
      </c>
      <c r="E40" s="218"/>
    </row>
    <row r="41" spans="1:5" ht="20.100000000000001" customHeight="1">
      <c r="A41" s="215" t="s">
        <v>315</v>
      </c>
      <c r="B41" s="216"/>
      <c r="C41" s="216"/>
      <c r="D41" s="217">
        <f t="shared" si="0"/>
        <v>0</v>
      </c>
      <c r="E41" s="218"/>
    </row>
    <row r="42" spans="1:5" ht="20.100000000000001" customHeight="1">
      <c r="A42" s="215" t="s">
        <v>316</v>
      </c>
      <c r="B42" s="216"/>
      <c r="C42" s="216"/>
      <c r="D42" s="217">
        <f t="shared" si="0"/>
        <v>0</v>
      </c>
      <c r="E42" s="218"/>
    </row>
    <row r="43" spans="1:5" ht="20.100000000000001" customHeight="1">
      <c r="A43" s="215" t="s">
        <v>317</v>
      </c>
      <c r="B43" s="216"/>
      <c r="C43" s="216"/>
      <c r="D43" s="217">
        <f t="shared" si="0"/>
        <v>0</v>
      </c>
      <c r="E43" s="218"/>
    </row>
    <row r="44" spans="1:5" ht="20.100000000000001" customHeight="1">
      <c r="A44" s="215" t="s">
        <v>318</v>
      </c>
      <c r="B44" s="216"/>
      <c r="C44" s="216"/>
      <c r="D44" s="217">
        <f t="shared" si="0"/>
        <v>0</v>
      </c>
      <c r="E44" s="218"/>
    </row>
    <row r="45" spans="1:5" ht="20.100000000000001" customHeight="1">
      <c r="A45" s="221" t="s">
        <v>319</v>
      </c>
      <c r="B45" s="222">
        <f>SUM(B46:B59)</f>
        <v>0</v>
      </c>
      <c r="C45" s="222">
        <f>SUM(C46:C59)</f>
        <v>0</v>
      </c>
      <c r="D45" s="222">
        <f>SUM(D46:D59)</f>
        <v>0</v>
      </c>
      <c r="E45" s="218"/>
    </row>
    <row r="46" spans="1:5" ht="20.100000000000001" customHeight="1">
      <c r="A46" s="215" t="s">
        <v>320</v>
      </c>
      <c r="B46" s="220"/>
      <c r="C46" s="217">
        <f t="shared" ref="C46:C59" si="1">D46-B46</f>
        <v>0</v>
      </c>
      <c r="D46" s="217">
        <f>'税收优惠明细表N5-6'!F6</f>
        <v>0</v>
      </c>
      <c r="E46" s="223" t="s">
        <v>272</v>
      </c>
    </row>
    <row r="47" spans="1:5" ht="20.100000000000001" customHeight="1">
      <c r="A47" s="342" t="s">
        <v>321</v>
      </c>
      <c r="B47" s="220"/>
      <c r="C47" s="217">
        <f t="shared" si="1"/>
        <v>0</v>
      </c>
      <c r="D47" s="217">
        <f>'税收优惠明细表N5-6'!F11</f>
        <v>0</v>
      </c>
      <c r="E47" s="223" t="s">
        <v>272</v>
      </c>
    </row>
    <row r="48" spans="1:5" ht="20.100000000000001" customHeight="1">
      <c r="A48" s="342" t="s">
        <v>322</v>
      </c>
      <c r="B48" s="220"/>
      <c r="C48" s="217">
        <f t="shared" si="1"/>
        <v>0</v>
      </c>
      <c r="D48" s="217">
        <f>'税收优惠明细表N5-6'!F14</f>
        <v>0</v>
      </c>
      <c r="E48" s="223" t="s">
        <v>272</v>
      </c>
    </row>
    <row r="49" spans="1:7" ht="20.100000000000001" customHeight="1">
      <c r="A49" s="342" t="s">
        <v>323</v>
      </c>
      <c r="B49" s="220"/>
      <c r="C49" s="217">
        <f t="shared" si="1"/>
        <v>0</v>
      </c>
      <c r="D49" s="217">
        <f>'税收优惠明细表N5-6'!F19</f>
        <v>0</v>
      </c>
      <c r="E49" s="223" t="s">
        <v>272</v>
      </c>
    </row>
    <row r="50" spans="1:7" ht="20.100000000000001" customHeight="1">
      <c r="A50" s="342" t="s">
        <v>324</v>
      </c>
      <c r="B50" s="220"/>
      <c r="C50" s="217">
        <f t="shared" si="1"/>
        <v>0</v>
      </c>
      <c r="D50" s="217">
        <f>'税收优惠明细表N5-6'!F38</f>
        <v>0</v>
      </c>
      <c r="E50" s="223" t="s">
        <v>272</v>
      </c>
    </row>
    <row r="51" spans="1:7" ht="20.100000000000001" customHeight="1">
      <c r="A51" s="342" t="s">
        <v>325</v>
      </c>
      <c r="B51" s="220"/>
      <c r="C51" s="217">
        <f t="shared" si="1"/>
        <v>0</v>
      </c>
      <c r="D51" s="217">
        <f>'税收优惠明细表N5-6'!F44</f>
        <v>0</v>
      </c>
      <c r="E51" s="223" t="s">
        <v>272</v>
      </c>
    </row>
    <row r="52" spans="1:7" ht="20.100000000000001" customHeight="1">
      <c r="A52" s="342" t="s">
        <v>326</v>
      </c>
      <c r="B52" s="220"/>
      <c r="C52" s="217">
        <f t="shared" si="1"/>
        <v>0</v>
      </c>
      <c r="D52" s="217">
        <f>'税收优惠明细表N5-6'!F45</f>
        <v>0</v>
      </c>
      <c r="E52" s="223" t="s">
        <v>272</v>
      </c>
    </row>
    <row r="53" spans="1:7" ht="42" customHeight="1">
      <c r="A53" s="342" t="s">
        <v>327</v>
      </c>
      <c r="B53" s="216"/>
      <c r="C53" s="217">
        <f t="shared" si="1"/>
        <v>0</v>
      </c>
      <c r="D53" s="216"/>
      <c r="E53" s="218"/>
    </row>
    <row r="54" spans="1:7" ht="36" customHeight="1">
      <c r="A54" s="342" t="s">
        <v>328</v>
      </c>
      <c r="B54" s="216"/>
      <c r="C54" s="217">
        <f t="shared" si="1"/>
        <v>0</v>
      </c>
      <c r="D54" s="216"/>
      <c r="E54" s="218"/>
    </row>
    <row r="55" spans="1:7" ht="33" customHeight="1">
      <c r="A55" s="342" t="s">
        <v>329</v>
      </c>
      <c r="B55" s="216"/>
      <c r="C55" s="217">
        <f t="shared" si="1"/>
        <v>0</v>
      </c>
      <c r="D55" s="216"/>
      <c r="E55" s="218"/>
    </row>
    <row r="56" spans="1:7" ht="31.5" customHeight="1">
      <c r="A56" s="342" t="s">
        <v>330</v>
      </c>
      <c r="B56" s="216"/>
      <c r="C56" s="217">
        <f t="shared" si="1"/>
        <v>0</v>
      </c>
      <c r="D56" s="216"/>
      <c r="E56" s="218"/>
    </row>
    <row r="57" spans="1:7" ht="34.950000000000003" customHeight="1">
      <c r="A57" s="342" t="s">
        <v>331</v>
      </c>
      <c r="B57" s="216"/>
      <c r="C57" s="217">
        <f t="shared" si="1"/>
        <v>0</v>
      </c>
      <c r="D57" s="216"/>
      <c r="E57" s="218"/>
    </row>
    <row r="58" spans="1:7" ht="20.100000000000001" customHeight="1">
      <c r="A58" s="342" t="s">
        <v>332</v>
      </c>
      <c r="B58" s="216"/>
      <c r="C58" s="217">
        <f t="shared" si="1"/>
        <v>0</v>
      </c>
      <c r="D58" s="216"/>
      <c r="E58" s="218"/>
    </row>
    <row r="59" spans="1:7" ht="20.100000000000001" customHeight="1">
      <c r="A59" s="342" t="s">
        <v>333</v>
      </c>
      <c r="B59" s="216"/>
      <c r="C59" s="217">
        <f t="shared" si="1"/>
        <v>0</v>
      </c>
      <c r="D59" s="216"/>
      <c r="E59" s="218"/>
    </row>
    <row r="60" spans="1:7" ht="20.100000000000001" customHeight="1">
      <c r="A60" s="221" t="s">
        <v>334</v>
      </c>
      <c r="B60" s="224">
        <f>B23+B24-B45</f>
        <v>0</v>
      </c>
      <c r="C60" s="222">
        <f>C23+C24-C45</f>
        <v>0</v>
      </c>
      <c r="D60" s="222">
        <f>D23+D24-D45</f>
        <v>0</v>
      </c>
      <c r="E60" s="225"/>
    </row>
    <row r="61" spans="1:7" ht="20.100000000000001" customHeight="1">
      <c r="A61" s="221" t="s">
        <v>335</v>
      </c>
      <c r="B61" s="224">
        <f>SUM(B62:B66)</f>
        <v>0</v>
      </c>
      <c r="C61" s="222">
        <f>SUM(C62:C66)</f>
        <v>0</v>
      </c>
      <c r="D61" s="222">
        <f>SUM(D62:D66)</f>
        <v>0</v>
      </c>
      <c r="E61" s="218"/>
      <c r="G61" s="226"/>
    </row>
    <row r="62" spans="1:7" ht="20.100000000000001" customHeight="1">
      <c r="A62" s="215" t="s">
        <v>336</v>
      </c>
      <c r="B62" s="216"/>
      <c r="C62" s="217">
        <f>D62-B62</f>
        <v>0</v>
      </c>
      <c r="D62" s="216"/>
      <c r="E62" s="227" t="s">
        <v>337</v>
      </c>
    </row>
    <row r="63" spans="1:7" ht="20.100000000000001" customHeight="1">
      <c r="A63" s="215" t="s">
        <v>338</v>
      </c>
      <c r="B63" s="216"/>
      <c r="C63" s="217">
        <f>D63-B63</f>
        <v>0</v>
      </c>
      <c r="D63" s="216"/>
      <c r="E63" s="227" t="s">
        <v>337</v>
      </c>
      <c r="G63" s="226"/>
    </row>
    <row r="64" spans="1:7" ht="20.100000000000001" customHeight="1">
      <c r="A64" s="215" t="s">
        <v>339</v>
      </c>
      <c r="B64" s="216"/>
      <c r="C64" s="217">
        <f>D64-B64</f>
        <v>0</v>
      </c>
      <c r="D64" s="216"/>
      <c r="E64" s="227" t="s">
        <v>337</v>
      </c>
      <c r="G64" s="226"/>
    </row>
    <row r="65" spans="1:7" ht="20.100000000000001" customHeight="1">
      <c r="A65" s="215" t="s">
        <v>340</v>
      </c>
      <c r="B65" s="216"/>
      <c r="C65" s="217">
        <f>D65-B65</f>
        <v>0</v>
      </c>
      <c r="D65" s="216"/>
      <c r="E65" s="227" t="s">
        <v>337</v>
      </c>
      <c r="G65" s="226"/>
    </row>
    <row r="66" spans="1:7" ht="20.100000000000001" customHeight="1">
      <c r="A66" s="215" t="s">
        <v>341</v>
      </c>
      <c r="B66" s="216"/>
      <c r="C66" s="217">
        <f>D66-B66</f>
        <v>0</v>
      </c>
      <c r="D66" s="216"/>
      <c r="E66" s="227" t="s">
        <v>337</v>
      </c>
    </row>
    <row r="67" spans="1:7" ht="20.100000000000001" customHeight="1">
      <c r="A67" s="221" t="s">
        <v>342</v>
      </c>
      <c r="B67" s="222">
        <f>B23+B24-B45-B61</f>
        <v>0</v>
      </c>
      <c r="C67" s="222">
        <f>C23+C24-C45-C61</f>
        <v>0</v>
      </c>
      <c r="D67" s="222">
        <f>D23+D24-D45-D61</f>
        <v>0</v>
      </c>
      <c r="E67" s="218"/>
    </row>
    <row r="68" spans="1:7" ht="20.100000000000001" customHeight="1">
      <c r="A68" s="215" t="s">
        <v>208</v>
      </c>
      <c r="B68" s="228">
        <v>0.25</v>
      </c>
      <c r="C68" s="229"/>
      <c r="D68" s="228">
        <v>0.25</v>
      </c>
      <c r="E68" s="218"/>
    </row>
    <row r="69" spans="1:7" ht="20.100000000000001" customHeight="1">
      <c r="A69" s="215" t="s">
        <v>343</v>
      </c>
      <c r="B69" s="217">
        <f>B67*B68</f>
        <v>0</v>
      </c>
      <c r="C69" s="217">
        <f>D69-B69</f>
        <v>0</v>
      </c>
      <c r="D69" s="217">
        <f>D67*D68</f>
        <v>0</v>
      </c>
      <c r="E69" s="218"/>
    </row>
    <row r="70" spans="1:7" ht="20.100000000000001" customHeight="1">
      <c r="A70" s="215" t="s">
        <v>344</v>
      </c>
      <c r="B70" s="216"/>
      <c r="C70" s="216"/>
      <c r="D70" s="217">
        <f>B70</f>
        <v>0</v>
      </c>
      <c r="E70" s="218"/>
    </row>
    <row r="71" spans="1:7" ht="20.100000000000001" customHeight="1">
      <c r="A71" s="215" t="s">
        <v>345</v>
      </c>
      <c r="B71" s="217">
        <f>B21+B69-B70</f>
        <v>0</v>
      </c>
      <c r="C71" s="217">
        <f>D71-B71</f>
        <v>0</v>
      </c>
      <c r="D71" s="217">
        <f>D21+D69-D70</f>
        <v>0</v>
      </c>
      <c r="E71" s="218"/>
    </row>
    <row r="72" spans="1:7" ht="20.100000000000001" customHeight="1">
      <c r="A72" s="221" t="s">
        <v>346</v>
      </c>
      <c r="B72" s="220"/>
      <c r="C72" s="220"/>
      <c r="D72" s="217">
        <f>B72+C72</f>
        <v>0</v>
      </c>
      <c r="E72" s="218"/>
    </row>
    <row r="73" spans="1:7" s="213" customFormat="1" ht="20.100000000000001" customHeight="1">
      <c r="A73" s="208" t="s">
        <v>222</v>
      </c>
      <c r="E73" s="230"/>
    </row>
    <row r="74" spans="1:7" s="213" customFormat="1" ht="20.100000000000001" customHeight="1">
      <c r="A74" s="208"/>
      <c r="E74" s="230"/>
    </row>
    <row r="75" spans="1:7" s="213" customFormat="1" ht="20.100000000000001" customHeight="1">
      <c r="A75" s="208"/>
      <c r="E75" s="230"/>
    </row>
    <row r="77" spans="1:7" s="213" customFormat="1" ht="20.100000000000001" customHeight="1">
      <c r="A77" s="208" t="s">
        <v>223</v>
      </c>
    </row>
    <row r="78" spans="1:7" s="213" customFormat="1" ht="20.100000000000001" customHeight="1">
      <c r="A78" s="208"/>
    </row>
    <row r="79" spans="1:7" s="213" customFormat="1" ht="20.100000000000001" customHeight="1">
      <c r="A79" s="231" t="s">
        <v>347</v>
      </c>
    </row>
    <row r="82" spans="1:1" ht="20.100000000000001" customHeight="1">
      <c r="A82" s="231"/>
    </row>
  </sheetData>
  <mergeCells count="2">
    <mergeCell ref="A1:E1"/>
    <mergeCell ref="A2:E2"/>
  </mergeCells>
  <phoneticPr fontId="104" type="noConversion"/>
  <conditionalFormatting sqref="C3:C4">
    <cfRule type="cellIs" dxfId="23" priority="3" operator="equal">
      <formula>0</formula>
    </cfRule>
  </conditionalFormatting>
  <conditionalFormatting sqref="B3:B4">
    <cfRule type="cellIs" dxfId="22" priority="2" operator="equal">
      <formula>0</formula>
    </cfRule>
  </conditionalFormatting>
  <conditionalFormatting sqref="A3:A4">
    <cfRule type="cellIs" dxfId="21" priority="1" operator="equal">
      <formula>0</formula>
    </cfRule>
  </conditionalFormatting>
  <hyperlinks>
    <hyperlink ref="E3" location="底稿目录!A1" display="D12-4"/>
  </hyperlinks>
  <printOptions horizontalCentered="1"/>
  <pageMargins left="0.70833333333333304" right="0.70833333333333304" top="0.74791666666666701" bottom="0.74791666666666701" header="0.31458333333333299" footer="0.31458333333333299"/>
  <pageSetup paperSize="9" scale="88" orientation="portrait" blackAndWhite="1" r:id="rId1"/>
  <headerFooter alignWithMargins="0">
    <oddFooter>&amp;C&amp;P/&amp;N</oddFooter>
  </headerFooter>
  <rowBreaks count="1" manualBreakCount="1">
    <brk id="42" max="4"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H107"/>
  <sheetViews>
    <sheetView view="pageBreakPreview" zoomScaleNormal="100" workbookViewId="0">
      <selection sqref="A1:H1"/>
    </sheetView>
  </sheetViews>
  <sheetFormatPr defaultColWidth="10" defaultRowHeight="17.25" customHeight="1"/>
  <cols>
    <col min="1" max="1" width="3.8984375" style="233" customWidth="1"/>
    <col min="2" max="2" width="15.69921875" style="233" customWidth="1"/>
    <col min="3" max="4" width="14.3984375" style="233" customWidth="1"/>
    <col min="5" max="5" width="16.09765625" style="233" customWidth="1"/>
    <col min="6" max="6" width="14.09765625" style="233" customWidth="1"/>
    <col min="7" max="7" width="14.3984375" style="233" customWidth="1"/>
    <col min="8" max="8" width="16.3984375" style="233" customWidth="1"/>
    <col min="9" max="10" width="12.19921875" style="233" customWidth="1"/>
    <col min="11" max="11" width="7.8984375" style="233" customWidth="1"/>
    <col min="12" max="12" width="13.3984375" style="233" customWidth="1"/>
    <col min="13" max="13" width="14.69921875" style="233" customWidth="1"/>
    <col min="14" max="14" width="12.3984375" style="233" customWidth="1"/>
    <col min="15" max="16384" width="10" style="233"/>
  </cols>
  <sheetData>
    <row r="1" spans="1:8" ht="20.100000000000001" customHeight="1">
      <c r="A1" s="364" t="s">
        <v>17</v>
      </c>
      <c r="B1" s="364"/>
      <c r="C1" s="364"/>
      <c r="D1" s="364"/>
      <c r="E1" s="364"/>
      <c r="F1" s="364"/>
      <c r="G1" s="364"/>
      <c r="H1" s="364"/>
    </row>
    <row r="2" spans="1:8" ht="24.9" customHeight="1">
      <c r="A2" s="417" t="s">
        <v>265</v>
      </c>
      <c r="B2" s="417"/>
      <c r="C2" s="417"/>
      <c r="D2" s="417"/>
      <c r="E2" s="417"/>
      <c r="F2" s="417"/>
      <c r="G2" s="417"/>
      <c r="H2" s="417"/>
    </row>
    <row r="3" spans="1:8" s="51" customFormat="1" ht="20.100000000000001" customHeight="1">
      <c r="A3" s="51" t="str">
        <f>底稿目录!A2</f>
        <v>被审计单位：</v>
      </c>
      <c r="D3" s="51" t="str">
        <f>底稿目录!$A$4</f>
        <v>编制人：</v>
      </c>
      <c r="F3" s="51" t="str">
        <f>底稿目录!$A$5</f>
        <v>编制日期：</v>
      </c>
      <c r="G3" s="234" t="s">
        <v>278</v>
      </c>
      <c r="H3" s="350" t="s">
        <v>272</v>
      </c>
    </row>
    <row r="4" spans="1:8" s="51" customFormat="1" ht="20.100000000000001" customHeight="1">
      <c r="A4" s="51" t="str">
        <f>底稿目录!A3</f>
        <v>会计期间：202X年度</v>
      </c>
      <c r="D4" s="51" t="str">
        <f>底稿目录!$A$6</f>
        <v>复核人:</v>
      </c>
      <c r="F4" s="51" t="str">
        <f>底稿目录!$A$7</f>
        <v>复核日期:</v>
      </c>
      <c r="G4" s="234" t="s">
        <v>279</v>
      </c>
    </row>
    <row r="5" spans="1:8" ht="20.100000000000001" customHeight="1">
      <c r="A5" s="235" t="s">
        <v>348</v>
      </c>
    </row>
    <row r="6" spans="1:8" ht="20.100000000000001" customHeight="1">
      <c r="B6" s="236" t="s">
        <v>154</v>
      </c>
      <c r="C6" s="236"/>
      <c r="D6" s="236"/>
      <c r="E6" s="236" t="s">
        <v>349</v>
      </c>
      <c r="F6" s="236" t="s">
        <v>350</v>
      </c>
      <c r="G6" s="236" t="s">
        <v>351</v>
      </c>
      <c r="H6" s="236" t="s">
        <v>206</v>
      </c>
    </row>
    <row r="7" spans="1:8" ht="20.100000000000001" customHeight="1">
      <c r="B7" s="237" t="s">
        <v>352</v>
      </c>
      <c r="C7" s="237"/>
      <c r="D7" s="237"/>
      <c r="E7" s="238"/>
      <c r="F7" s="238"/>
      <c r="G7" s="240">
        <f>E7-F7</f>
        <v>0</v>
      </c>
      <c r="H7" s="237"/>
    </row>
    <row r="8" spans="1:8" ht="20.100000000000001" customHeight="1">
      <c r="B8" s="239" t="s">
        <v>353</v>
      </c>
    </row>
    <row r="9" spans="1:8" ht="20.100000000000001" customHeight="1">
      <c r="B9" s="239" t="s">
        <v>354</v>
      </c>
    </row>
    <row r="10" spans="1:8" ht="41.25" customHeight="1">
      <c r="B10" s="420" t="s">
        <v>448</v>
      </c>
      <c r="C10" s="420"/>
      <c r="D10" s="420"/>
      <c r="E10" s="420"/>
      <c r="F10" s="420"/>
      <c r="G10" s="420"/>
      <c r="H10" s="420"/>
    </row>
    <row r="11" spans="1:8" ht="30" customHeight="1">
      <c r="B11" s="420" t="s">
        <v>355</v>
      </c>
      <c r="C11" s="420"/>
      <c r="D11" s="420"/>
      <c r="E11" s="420"/>
      <c r="F11" s="420"/>
      <c r="G11" s="420"/>
      <c r="H11" s="420"/>
    </row>
    <row r="12" spans="1:8" ht="20.100000000000001" customHeight="1">
      <c r="A12" s="235" t="s">
        <v>356</v>
      </c>
    </row>
    <row r="13" spans="1:8" ht="20.100000000000001" customHeight="1">
      <c r="B13" s="236" t="s">
        <v>154</v>
      </c>
      <c r="C13" s="236" t="s">
        <v>357</v>
      </c>
      <c r="D13" s="236" t="s">
        <v>358</v>
      </c>
      <c r="E13" s="236" t="s">
        <v>359</v>
      </c>
      <c r="F13" s="236" t="s">
        <v>360</v>
      </c>
      <c r="G13" s="236" t="s">
        <v>351</v>
      </c>
      <c r="H13" s="236" t="s">
        <v>206</v>
      </c>
    </row>
    <row r="14" spans="1:8" ht="20.100000000000001" customHeight="1">
      <c r="B14" s="237" t="s">
        <v>300</v>
      </c>
      <c r="C14" s="240">
        <f>F7</f>
        <v>0</v>
      </c>
      <c r="D14" s="241">
        <v>0.14000000000000001</v>
      </c>
      <c r="E14" s="238"/>
      <c r="F14" s="240">
        <f>ROUND(C14*D14,2)</f>
        <v>0</v>
      </c>
      <c r="G14" s="240">
        <f>IF(E14&gt;F14,E14-F14,0)</f>
        <v>0</v>
      </c>
      <c r="H14" s="237"/>
    </row>
    <row r="15" spans="1:8" ht="20.100000000000001" customHeight="1">
      <c r="B15" s="242" t="s">
        <v>361</v>
      </c>
    </row>
    <row r="16" spans="1:8" ht="20.100000000000001" customHeight="1">
      <c r="B16" s="242" t="s">
        <v>362</v>
      </c>
    </row>
    <row r="17" spans="1:8" ht="27.75" customHeight="1">
      <c r="B17" s="421" t="s">
        <v>363</v>
      </c>
      <c r="C17" s="421"/>
      <c r="D17" s="421"/>
      <c r="E17" s="421"/>
      <c r="F17" s="421"/>
      <c r="G17" s="421"/>
      <c r="H17" s="421"/>
    </row>
    <row r="18" spans="1:8" ht="20.100000000000001" customHeight="1">
      <c r="A18" s="235" t="s">
        <v>364</v>
      </c>
    </row>
    <row r="19" spans="1:8" ht="20.100000000000001" customHeight="1">
      <c r="B19" s="236" t="s">
        <v>154</v>
      </c>
      <c r="C19" s="236" t="s">
        <v>357</v>
      </c>
      <c r="D19" s="236" t="s">
        <v>358</v>
      </c>
      <c r="E19" s="236" t="s">
        <v>359</v>
      </c>
      <c r="F19" s="236" t="s">
        <v>360</v>
      </c>
      <c r="G19" s="236" t="s">
        <v>351</v>
      </c>
      <c r="H19" s="236" t="s">
        <v>206</v>
      </c>
    </row>
    <row r="20" spans="1:8" ht="20.100000000000001" customHeight="1">
      <c r="B20" s="237" t="s">
        <v>301</v>
      </c>
      <c r="C20" s="240">
        <f>E7</f>
        <v>0</v>
      </c>
      <c r="D20" s="243">
        <v>2.5000000000000001E-2</v>
      </c>
      <c r="E20" s="238"/>
      <c r="F20" s="240">
        <f>ROUND(C20*D20,2)</f>
        <v>0</v>
      </c>
      <c r="G20" s="240">
        <f>IF(E20&gt;F20,E20-F20,0)</f>
        <v>0</v>
      </c>
      <c r="H20" s="237"/>
    </row>
    <row r="21" spans="1:8" ht="20.100000000000001" customHeight="1">
      <c r="B21" s="242" t="s">
        <v>365</v>
      </c>
    </row>
    <row r="22" spans="1:8" ht="20.100000000000001" customHeight="1">
      <c r="B22" s="242" t="s">
        <v>366</v>
      </c>
    </row>
    <row r="23" spans="1:8" ht="27" customHeight="1">
      <c r="B23" s="421" t="s">
        <v>367</v>
      </c>
      <c r="C23" s="421"/>
      <c r="D23" s="421"/>
      <c r="E23" s="421"/>
      <c r="F23" s="421"/>
      <c r="G23" s="421"/>
      <c r="H23" s="421"/>
    </row>
    <row r="24" spans="1:8" ht="20.100000000000001" customHeight="1">
      <c r="B24" s="242" t="s">
        <v>368</v>
      </c>
    </row>
    <row r="25" spans="1:8" ht="20.100000000000001" customHeight="1">
      <c r="A25" s="235" t="s">
        <v>369</v>
      </c>
    </row>
    <row r="26" spans="1:8" ht="20.100000000000001" customHeight="1">
      <c r="B26" s="236" t="s">
        <v>154</v>
      </c>
      <c r="C26" s="236" t="s">
        <v>357</v>
      </c>
      <c r="D26" s="236" t="s">
        <v>358</v>
      </c>
      <c r="E26" s="236" t="s">
        <v>359</v>
      </c>
      <c r="F26" s="236" t="s">
        <v>360</v>
      </c>
      <c r="G26" s="236" t="s">
        <v>351</v>
      </c>
      <c r="H26" s="236" t="s">
        <v>206</v>
      </c>
    </row>
    <row r="27" spans="1:8" ht="20.100000000000001" customHeight="1">
      <c r="B27" s="237" t="s">
        <v>302</v>
      </c>
      <c r="C27" s="240">
        <f>E7</f>
        <v>0</v>
      </c>
      <c r="D27" s="243">
        <v>0.02</v>
      </c>
      <c r="E27" s="238"/>
      <c r="F27" s="240">
        <f>ROUND(C27*D27,2)</f>
        <v>0</v>
      </c>
      <c r="G27" s="240">
        <f>IF(E27&gt;F27,E27-F27,0)</f>
        <v>0</v>
      </c>
      <c r="H27" s="237"/>
    </row>
    <row r="28" spans="1:8" ht="20.100000000000001" customHeight="1">
      <c r="B28" s="239" t="s">
        <v>370</v>
      </c>
    </row>
    <row r="29" spans="1:8" ht="20.100000000000001" customHeight="1">
      <c r="B29" s="239" t="s">
        <v>371</v>
      </c>
    </row>
    <row r="30" spans="1:8" ht="20.100000000000001" customHeight="1">
      <c r="B30" s="239" t="s">
        <v>372</v>
      </c>
    </row>
    <row r="31" spans="1:8" ht="20.100000000000001" customHeight="1">
      <c r="A31" s="235" t="s">
        <v>373</v>
      </c>
    </row>
    <row r="32" spans="1:8" ht="20.100000000000001" customHeight="1">
      <c r="B32" s="236" t="s">
        <v>154</v>
      </c>
      <c r="C32" s="236" t="s">
        <v>374</v>
      </c>
      <c r="D32" s="236" t="s">
        <v>358</v>
      </c>
      <c r="E32" s="236" t="s">
        <v>359</v>
      </c>
      <c r="F32" s="236" t="s">
        <v>360</v>
      </c>
      <c r="G32" s="236" t="s">
        <v>351</v>
      </c>
      <c r="H32" s="236" t="s">
        <v>206</v>
      </c>
    </row>
    <row r="33" spans="1:8" ht="20.100000000000001" customHeight="1">
      <c r="B33" s="237" t="s">
        <v>303</v>
      </c>
      <c r="C33" s="238"/>
      <c r="D33" s="243">
        <v>5.0000000000000001E-3</v>
      </c>
      <c r="E33" s="238"/>
      <c r="F33" s="240">
        <f>MIN(E33*60%,ROUND(C33*D33,2))</f>
        <v>0</v>
      </c>
      <c r="G33" s="240">
        <f>E33-F33</f>
        <v>0</v>
      </c>
      <c r="H33" s="237"/>
    </row>
    <row r="34" spans="1:8" ht="20.100000000000001" customHeight="1">
      <c r="B34" s="239" t="s">
        <v>375</v>
      </c>
    </row>
    <row r="35" spans="1:8" ht="20.100000000000001" customHeight="1">
      <c r="B35" s="239" t="s">
        <v>376</v>
      </c>
    </row>
    <row r="36" spans="1:8" ht="20.100000000000001" customHeight="1">
      <c r="A36" s="235" t="s">
        <v>377</v>
      </c>
    </row>
    <row r="37" spans="1:8" ht="20.100000000000001" customHeight="1">
      <c r="B37" s="236" t="s">
        <v>154</v>
      </c>
      <c r="C37" s="236" t="s">
        <v>374</v>
      </c>
      <c r="D37" s="236" t="s">
        <v>358</v>
      </c>
      <c r="E37" s="236" t="s">
        <v>359</v>
      </c>
      <c r="F37" s="236" t="s">
        <v>360</v>
      </c>
      <c r="G37" s="236" t="s">
        <v>351</v>
      </c>
      <c r="H37" s="236" t="s">
        <v>206</v>
      </c>
    </row>
    <row r="38" spans="1:8" ht="20.100000000000001" customHeight="1">
      <c r="B38" s="244" t="s">
        <v>304</v>
      </c>
      <c r="C38" s="240">
        <f>C33</f>
        <v>0</v>
      </c>
      <c r="D38" s="243">
        <v>0.15</v>
      </c>
      <c r="E38" s="238"/>
      <c r="F38" s="240">
        <f>MIN(E38,ROUND(C38*D38,2))</f>
        <v>0</v>
      </c>
      <c r="G38" s="240">
        <f>E38-F38</f>
        <v>0</v>
      </c>
      <c r="H38" s="237"/>
    </row>
    <row r="39" spans="1:8" ht="20.100000000000001" customHeight="1">
      <c r="B39" s="239" t="s">
        <v>378</v>
      </c>
    </row>
    <row r="40" spans="1:8" s="245" customFormat="1" ht="29.25" customHeight="1">
      <c r="B40" s="420" t="s">
        <v>379</v>
      </c>
      <c r="C40" s="420"/>
      <c r="D40" s="420"/>
      <c r="E40" s="420"/>
      <c r="F40" s="420"/>
      <c r="G40" s="420"/>
      <c r="H40" s="420"/>
    </row>
    <row r="41" spans="1:8" s="245" customFormat="1" ht="30" customHeight="1">
      <c r="B41" s="420" t="s">
        <v>380</v>
      </c>
      <c r="C41" s="420"/>
      <c r="D41" s="420"/>
      <c r="E41" s="420"/>
      <c r="F41" s="420"/>
      <c r="G41" s="420"/>
      <c r="H41" s="420"/>
    </row>
    <row r="42" spans="1:8" ht="20.100000000000001" customHeight="1">
      <c r="A42" s="235" t="s">
        <v>381</v>
      </c>
    </row>
    <row r="43" spans="1:8" ht="20.100000000000001" customHeight="1">
      <c r="B43" s="236" t="s">
        <v>154</v>
      </c>
      <c r="C43" s="236" t="s">
        <v>382</v>
      </c>
      <c r="D43" s="236" t="s">
        <v>358</v>
      </c>
      <c r="E43" s="236" t="s">
        <v>359</v>
      </c>
      <c r="F43" s="236" t="s">
        <v>360</v>
      </c>
      <c r="G43" s="236" t="s">
        <v>351</v>
      </c>
      <c r="H43" s="236" t="s">
        <v>206</v>
      </c>
    </row>
    <row r="44" spans="1:8" ht="20.100000000000001" customHeight="1">
      <c r="B44" s="244" t="s">
        <v>305</v>
      </c>
      <c r="C44" s="238"/>
      <c r="D44" s="243">
        <v>0.12</v>
      </c>
      <c r="E44" s="238"/>
      <c r="F44" s="240">
        <f>MIN(E44,ROUND(C44*D44,2))</f>
        <v>0</v>
      </c>
      <c r="G44" s="240">
        <f>E44-F44</f>
        <v>0</v>
      </c>
      <c r="H44" s="237"/>
    </row>
    <row r="45" spans="1:8" ht="20.100000000000001" customHeight="1">
      <c r="B45" s="239" t="s">
        <v>383</v>
      </c>
    </row>
    <row r="46" spans="1:8" ht="20.100000000000001" customHeight="1">
      <c r="B46" s="239" t="s">
        <v>384</v>
      </c>
    </row>
    <row r="47" spans="1:8" ht="20.100000000000001" customHeight="1">
      <c r="B47" s="239" t="s">
        <v>385</v>
      </c>
    </row>
    <row r="48" spans="1:8" ht="20.100000000000001" customHeight="1">
      <c r="A48" s="235" t="s">
        <v>386</v>
      </c>
    </row>
    <row r="49" spans="1:8" ht="20.100000000000001" customHeight="1">
      <c r="B49" s="236" t="s">
        <v>154</v>
      </c>
      <c r="C49" s="236" t="s">
        <v>387</v>
      </c>
      <c r="D49" s="236" t="s">
        <v>388</v>
      </c>
      <c r="E49" s="246" t="s">
        <v>389</v>
      </c>
      <c r="F49" s="236" t="s">
        <v>390</v>
      </c>
      <c r="G49" s="236" t="s">
        <v>351</v>
      </c>
      <c r="H49" s="236" t="s">
        <v>206</v>
      </c>
    </row>
    <row r="50" spans="1:8" ht="20.100000000000001" customHeight="1">
      <c r="B50" s="244" t="s">
        <v>306</v>
      </c>
      <c r="C50" s="237"/>
      <c r="D50" s="237"/>
      <c r="E50" s="238"/>
      <c r="F50" s="238"/>
      <c r="G50" s="240">
        <f>SUM(C50:F50)</f>
        <v>0</v>
      </c>
      <c r="H50" s="237"/>
    </row>
    <row r="51" spans="1:8" ht="20.100000000000001" customHeight="1">
      <c r="B51" s="242" t="s">
        <v>391</v>
      </c>
      <c r="E51" s="247"/>
      <c r="F51" s="247"/>
      <c r="G51" s="247"/>
    </row>
    <row r="52" spans="1:8" ht="20.100000000000001" customHeight="1">
      <c r="B52" s="242"/>
      <c r="E52" s="247"/>
      <c r="F52" s="247"/>
      <c r="G52" s="247"/>
    </row>
    <row r="53" spans="1:8" ht="20.100000000000001" customHeight="1">
      <c r="A53" s="235" t="s">
        <v>392</v>
      </c>
    </row>
    <row r="54" spans="1:8" ht="20.100000000000001" customHeight="1">
      <c r="B54" s="236" t="s">
        <v>154</v>
      </c>
      <c r="C54" s="236" t="s">
        <v>307</v>
      </c>
      <c r="D54" s="246" t="s">
        <v>393</v>
      </c>
      <c r="E54" s="246" t="s">
        <v>313</v>
      </c>
      <c r="F54" s="246" t="s">
        <v>394</v>
      </c>
      <c r="G54" s="236" t="s">
        <v>351</v>
      </c>
      <c r="H54" s="236" t="s">
        <v>206</v>
      </c>
    </row>
    <row r="55" spans="1:8" ht="20.100000000000001" customHeight="1">
      <c r="B55" s="244" t="s">
        <v>395</v>
      </c>
      <c r="C55" s="237"/>
      <c r="D55" s="237"/>
      <c r="E55" s="238"/>
      <c r="F55" s="238"/>
      <c r="G55" s="240">
        <f>SUM(C55:F55)</f>
        <v>0</v>
      </c>
      <c r="H55" s="237"/>
    </row>
    <row r="56" spans="1:8" ht="20.100000000000001" customHeight="1">
      <c r="B56" s="242" t="s">
        <v>396</v>
      </c>
      <c r="E56" s="247"/>
      <c r="F56" s="247"/>
      <c r="G56" s="247"/>
    </row>
    <row r="57" spans="1:8" ht="20.100000000000001" customHeight="1">
      <c r="A57" s="235" t="s">
        <v>397</v>
      </c>
      <c r="G57" s="248">
        <f>SUM(G59:G62)</f>
        <v>0</v>
      </c>
    </row>
    <row r="58" spans="1:8" ht="20.100000000000001" customHeight="1">
      <c r="B58" s="236" t="s">
        <v>154</v>
      </c>
      <c r="C58" s="236" t="s">
        <v>398</v>
      </c>
      <c r="D58" s="236" t="s">
        <v>358</v>
      </c>
      <c r="E58" s="236" t="s">
        <v>359</v>
      </c>
      <c r="F58" s="236" t="s">
        <v>360</v>
      </c>
      <c r="G58" s="236" t="s">
        <v>351</v>
      </c>
      <c r="H58" s="236" t="s">
        <v>206</v>
      </c>
    </row>
    <row r="59" spans="1:8" ht="20.100000000000001" customHeight="1">
      <c r="B59" s="244" t="s">
        <v>399</v>
      </c>
      <c r="C59" s="237"/>
      <c r="D59" s="237"/>
      <c r="E59" s="238"/>
      <c r="F59" s="249">
        <f>ROUND(C59*D59,2)</f>
        <v>0</v>
      </c>
      <c r="G59" s="249">
        <f>IF(E59&gt;F59,E59-F59,0)</f>
        <v>0</v>
      </c>
      <c r="H59" s="237"/>
    </row>
    <row r="60" spans="1:8" ht="20.100000000000001" customHeight="1">
      <c r="B60" s="244" t="s">
        <v>400</v>
      </c>
      <c r="C60" s="237"/>
      <c r="D60" s="237"/>
      <c r="E60" s="238"/>
      <c r="F60" s="249">
        <f>ROUND(C60*D60,2)</f>
        <v>0</v>
      </c>
      <c r="G60" s="249">
        <f>IF(E60&gt;F60,E60-F60,0)</f>
        <v>0</v>
      </c>
      <c r="H60" s="237"/>
    </row>
    <row r="61" spans="1:8" ht="20.100000000000001" customHeight="1">
      <c r="B61" s="244" t="s">
        <v>401</v>
      </c>
      <c r="C61" s="237"/>
      <c r="D61" s="237"/>
      <c r="E61" s="238"/>
      <c r="F61" s="249">
        <f>ROUND(C61*D61,2)</f>
        <v>0</v>
      </c>
      <c r="G61" s="249">
        <f>IF(E61&gt;F61,E61-F61,0)</f>
        <v>0</v>
      </c>
      <c r="H61" s="237"/>
    </row>
    <row r="62" spans="1:8" ht="20.100000000000001" customHeight="1">
      <c r="B62" s="244" t="s">
        <v>402</v>
      </c>
      <c r="C62" s="237"/>
      <c r="D62" s="237"/>
      <c r="E62" s="238"/>
      <c r="F62" s="249">
        <f>ROUND(C62*D62,2)</f>
        <v>0</v>
      </c>
      <c r="G62" s="249">
        <f>IF(E62&gt;F62,E62-F62,0)</f>
        <v>0</v>
      </c>
      <c r="H62" s="237"/>
    </row>
    <row r="63" spans="1:8" ht="20.100000000000001" customHeight="1">
      <c r="B63" s="244" t="s">
        <v>403</v>
      </c>
      <c r="C63" s="244"/>
      <c r="D63" s="244"/>
      <c r="E63" s="244"/>
      <c r="F63" s="249">
        <f>SUM(F59:F62)</f>
        <v>0</v>
      </c>
      <c r="G63" s="250">
        <f>SUM(G59:G62)</f>
        <v>0</v>
      </c>
      <c r="H63" s="244"/>
    </row>
    <row r="64" spans="1:8" ht="20.100000000000001" customHeight="1">
      <c r="B64" s="239" t="s">
        <v>404</v>
      </c>
    </row>
    <row r="65" spans="1:8" ht="30" customHeight="1">
      <c r="B65" s="420" t="s">
        <v>405</v>
      </c>
      <c r="C65" s="420"/>
      <c r="D65" s="420"/>
      <c r="E65" s="420"/>
      <c r="F65" s="420"/>
      <c r="G65" s="420"/>
      <c r="H65" s="420"/>
    </row>
    <row r="66" spans="1:8" ht="20.100000000000001" customHeight="1">
      <c r="B66" s="239" t="s">
        <v>406</v>
      </c>
    </row>
    <row r="67" spans="1:8" ht="20.100000000000001" customHeight="1">
      <c r="B67" s="239" t="s">
        <v>407</v>
      </c>
    </row>
    <row r="68" spans="1:8" ht="29.25" customHeight="1">
      <c r="B68" s="420" t="s">
        <v>408</v>
      </c>
      <c r="C68" s="420"/>
      <c r="D68" s="420"/>
      <c r="E68" s="420"/>
      <c r="F68" s="420"/>
      <c r="G68" s="420"/>
      <c r="H68" s="420"/>
    </row>
    <row r="69" spans="1:8" ht="30.75" customHeight="1">
      <c r="B69" s="420" t="s">
        <v>409</v>
      </c>
      <c r="C69" s="420"/>
      <c r="D69" s="420"/>
      <c r="E69" s="420"/>
      <c r="F69" s="420"/>
      <c r="G69" s="420"/>
      <c r="H69" s="420"/>
    </row>
    <row r="70" spans="1:8" ht="20.100000000000001" customHeight="1">
      <c r="A70" s="235" t="s">
        <v>410</v>
      </c>
    </row>
    <row r="71" spans="1:8" ht="20.100000000000001" customHeight="1">
      <c r="B71" s="251" t="s">
        <v>154</v>
      </c>
      <c r="C71" s="252" t="s">
        <v>309</v>
      </c>
      <c r="D71" s="253"/>
      <c r="E71" s="253"/>
      <c r="F71" s="251"/>
      <c r="G71" s="251" t="s">
        <v>351</v>
      </c>
      <c r="H71" s="251" t="s">
        <v>206</v>
      </c>
    </row>
    <row r="72" spans="1:8" ht="20.100000000000001" customHeight="1">
      <c r="B72" s="237"/>
      <c r="C72" s="237"/>
      <c r="D72" s="237"/>
      <c r="E72" s="238"/>
      <c r="F72" s="238"/>
      <c r="G72" s="240">
        <f>SUM(C72:F72)</f>
        <v>0</v>
      </c>
      <c r="H72" s="237"/>
    </row>
    <row r="73" spans="1:8" ht="20.100000000000001" customHeight="1">
      <c r="B73" s="242" t="s">
        <v>411</v>
      </c>
      <c r="E73" s="247"/>
      <c r="F73" s="247"/>
      <c r="G73" s="247"/>
    </row>
    <row r="74" spans="1:8" ht="20.100000000000001" customHeight="1">
      <c r="B74" s="242" t="s">
        <v>412</v>
      </c>
    </row>
    <row r="75" spans="1:8" ht="20.100000000000001" customHeight="1">
      <c r="B75" s="242" t="s">
        <v>413</v>
      </c>
    </row>
    <row r="76" spans="1:8" ht="20.100000000000001" customHeight="1">
      <c r="B76" s="242" t="s">
        <v>414</v>
      </c>
      <c r="E76" s="247"/>
      <c r="F76" s="247"/>
      <c r="G76" s="247"/>
    </row>
    <row r="77" spans="1:8" ht="20.100000000000001" customHeight="1">
      <c r="B77" s="242" t="s">
        <v>415</v>
      </c>
    </row>
    <row r="78" spans="1:8" ht="20.100000000000001" customHeight="1">
      <c r="A78" s="235" t="s">
        <v>416</v>
      </c>
      <c r="G78" s="248">
        <f>SUM(G80,G82,G84)</f>
        <v>0</v>
      </c>
    </row>
    <row r="79" spans="1:8" ht="20.100000000000001" customHeight="1">
      <c r="B79" s="236" t="s">
        <v>154</v>
      </c>
      <c r="C79" s="236" t="s">
        <v>417</v>
      </c>
      <c r="D79" s="246" t="s">
        <v>418</v>
      </c>
      <c r="E79" s="246" t="s">
        <v>419</v>
      </c>
      <c r="F79" s="246" t="s">
        <v>420</v>
      </c>
      <c r="G79" s="236" t="s">
        <v>351</v>
      </c>
      <c r="H79" s="236" t="s">
        <v>206</v>
      </c>
    </row>
    <row r="80" spans="1:8" ht="20.100000000000001" customHeight="1">
      <c r="B80" s="244" t="s">
        <v>310</v>
      </c>
      <c r="C80" s="237"/>
      <c r="D80" s="237"/>
      <c r="E80" s="238"/>
      <c r="F80" s="238"/>
      <c r="G80" s="240">
        <f>SUM(C80:F80)</f>
        <v>0</v>
      </c>
      <c r="H80" s="237"/>
    </row>
    <row r="81" spans="1:8" ht="20.100000000000001" customHeight="1">
      <c r="B81" s="236" t="s">
        <v>154</v>
      </c>
      <c r="C81" s="246" t="s">
        <v>421</v>
      </c>
      <c r="D81" s="246" t="s">
        <v>422</v>
      </c>
      <c r="E81" s="246" t="s">
        <v>423</v>
      </c>
      <c r="F81" s="246" t="s">
        <v>424</v>
      </c>
      <c r="G81" s="236" t="s">
        <v>351</v>
      </c>
      <c r="H81" s="236" t="s">
        <v>206</v>
      </c>
    </row>
    <row r="82" spans="1:8" ht="20.100000000000001" customHeight="1">
      <c r="B82" s="244" t="s">
        <v>310</v>
      </c>
      <c r="C82" s="237"/>
      <c r="D82" s="237"/>
      <c r="E82" s="238"/>
      <c r="F82" s="238"/>
      <c r="G82" s="240">
        <f>SUM(C82:F82)</f>
        <v>0</v>
      </c>
      <c r="H82" s="237"/>
    </row>
    <row r="83" spans="1:8" ht="20.100000000000001" customHeight="1">
      <c r="B83" s="236" t="s">
        <v>154</v>
      </c>
      <c r="C83" s="246" t="s">
        <v>425</v>
      </c>
      <c r="D83" s="246" t="s">
        <v>426</v>
      </c>
      <c r="E83" s="246" t="s">
        <v>427</v>
      </c>
      <c r="F83" s="246" t="s">
        <v>200</v>
      </c>
      <c r="G83" s="236" t="s">
        <v>351</v>
      </c>
      <c r="H83" s="236" t="s">
        <v>206</v>
      </c>
    </row>
    <row r="84" spans="1:8" ht="20.100000000000001" customHeight="1">
      <c r="B84" s="244" t="s">
        <v>310</v>
      </c>
      <c r="C84" s="237"/>
      <c r="D84" s="237"/>
      <c r="E84" s="238"/>
      <c r="F84" s="238"/>
      <c r="G84" s="240">
        <f>SUM(C84:F84)</f>
        <v>0</v>
      </c>
      <c r="H84" s="237"/>
    </row>
    <row r="85" spans="1:8" ht="20.100000000000001" customHeight="1">
      <c r="B85" s="242" t="s">
        <v>428</v>
      </c>
    </row>
    <row r="86" spans="1:8" ht="20.100000000000001" customHeight="1">
      <c r="A86" s="235" t="s">
        <v>429</v>
      </c>
    </row>
    <row r="87" spans="1:8" ht="20.100000000000001" customHeight="1">
      <c r="B87" s="236" t="s">
        <v>154</v>
      </c>
      <c r="C87" s="236" t="s">
        <v>430</v>
      </c>
      <c r="D87" s="246" t="s">
        <v>431</v>
      </c>
      <c r="E87" s="236" t="s">
        <v>359</v>
      </c>
      <c r="F87" s="236" t="s">
        <v>360</v>
      </c>
      <c r="G87" s="236" t="s">
        <v>351</v>
      </c>
      <c r="H87" s="236" t="s">
        <v>206</v>
      </c>
    </row>
    <row r="88" spans="1:8" ht="20.100000000000001" customHeight="1">
      <c r="B88" s="237" t="s">
        <v>432</v>
      </c>
      <c r="C88" s="237"/>
      <c r="D88" s="237"/>
      <c r="E88" s="240">
        <f>C88+D88</f>
        <v>0</v>
      </c>
      <c r="F88" s="238"/>
      <c r="G88" s="240">
        <f>IF(E88&gt;F88,E88-F88,0)</f>
        <v>0</v>
      </c>
      <c r="H88" s="237"/>
    </row>
    <row r="89" spans="1:8" ht="20.100000000000001" customHeight="1">
      <c r="B89" s="239" t="s">
        <v>433</v>
      </c>
    </row>
    <row r="90" spans="1:8" ht="20.100000000000001" customHeight="1">
      <c r="B90" s="239" t="s">
        <v>434</v>
      </c>
    </row>
    <row r="91" spans="1:8" ht="42" customHeight="1">
      <c r="B91" s="420" t="s">
        <v>435</v>
      </c>
      <c r="C91" s="420"/>
      <c r="D91" s="420"/>
      <c r="E91" s="420"/>
      <c r="F91" s="420"/>
      <c r="G91" s="420"/>
      <c r="H91" s="420"/>
    </row>
    <row r="92" spans="1:8" ht="20.100000000000001" customHeight="1">
      <c r="B92" s="239" t="s">
        <v>436</v>
      </c>
    </row>
    <row r="93" spans="1:8" ht="20.100000000000001" customHeight="1">
      <c r="B93" s="239" t="s">
        <v>437</v>
      </c>
    </row>
    <row r="94" spans="1:8" ht="20.100000000000001" customHeight="1">
      <c r="A94" s="235" t="s">
        <v>438</v>
      </c>
    </row>
    <row r="95" spans="1:8" ht="20.100000000000001" customHeight="1">
      <c r="B95" s="254" t="s">
        <v>154</v>
      </c>
      <c r="C95" s="254" t="s">
        <v>439</v>
      </c>
      <c r="D95" s="255"/>
      <c r="E95" s="254" t="s">
        <v>359</v>
      </c>
      <c r="F95" s="254" t="s">
        <v>360</v>
      </c>
      <c r="G95" s="254" t="s">
        <v>351</v>
      </c>
      <c r="H95" s="254" t="s">
        <v>206</v>
      </c>
    </row>
    <row r="96" spans="1:8" ht="20.100000000000001" customHeight="1">
      <c r="B96" s="237" t="s">
        <v>440</v>
      </c>
      <c r="C96" s="237"/>
      <c r="D96" s="237"/>
      <c r="E96" s="240">
        <f>C96+D96</f>
        <v>0</v>
      </c>
      <c r="F96" s="238"/>
      <c r="G96" s="240">
        <f>IF(E96&gt;F96,E96-F96,0)</f>
        <v>0</v>
      </c>
      <c r="H96" s="237"/>
    </row>
    <row r="97" spans="1:2" ht="20.100000000000001" customHeight="1">
      <c r="B97" s="239" t="s">
        <v>441</v>
      </c>
    </row>
    <row r="98" spans="1:2" ht="20.100000000000001" customHeight="1">
      <c r="B98" s="239" t="s">
        <v>442</v>
      </c>
    </row>
    <row r="99" spans="1:2" ht="20.100000000000001" customHeight="1">
      <c r="B99" s="239" t="s">
        <v>443</v>
      </c>
    </row>
    <row r="100" spans="1:2" ht="20.100000000000001" customHeight="1">
      <c r="B100" s="239" t="s">
        <v>444</v>
      </c>
    </row>
    <row r="101" spans="1:2" ht="17.25" customHeight="1">
      <c r="A101" s="256" t="s">
        <v>224</v>
      </c>
    </row>
    <row r="102" spans="1:2" ht="17.25" customHeight="1">
      <c r="A102" s="43" t="s">
        <v>445</v>
      </c>
    </row>
    <row r="103" spans="1:2" ht="17.25" customHeight="1">
      <c r="A103" s="43" t="s">
        <v>446</v>
      </c>
    </row>
    <row r="104" spans="1:2" ht="17.25" customHeight="1">
      <c r="A104" s="239" t="s">
        <v>447</v>
      </c>
    </row>
    <row r="105" spans="1:2" ht="17.25" customHeight="1">
      <c r="B105" s="43"/>
    </row>
    <row r="106" spans="1:2" ht="17.25" customHeight="1">
      <c r="B106" s="43"/>
    </row>
    <row r="107" spans="1:2" ht="17.25" customHeight="1">
      <c r="B107" s="43"/>
    </row>
  </sheetData>
  <mergeCells count="12">
    <mergeCell ref="B91:H91"/>
    <mergeCell ref="A1:H1"/>
    <mergeCell ref="A2:H2"/>
    <mergeCell ref="B10:H10"/>
    <mergeCell ref="B11:H11"/>
    <mergeCell ref="B17:H17"/>
    <mergeCell ref="B23:H23"/>
    <mergeCell ref="B40:H40"/>
    <mergeCell ref="B41:H41"/>
    <mergeCell ref="B65:H65"/>
    <mergeCell ref="B68:H68"/>
    <mergeCell ref="B69:H69"/>
  </mergeCells>
  <phoneticPr fontId="104" type="noConversion"/>
  <conditionalFormatting sqref="F3:F4">
    <cfRule type="cellIs" dxfId="20" priority="3" operator="equal">
      <formula>0</formula>
    </cfRule>
  </conditionalFormatting>
  <conditionalFormatting sqref="D3:D4">
    <cfRule type="cellIs" dxfId="19" priority="2" operator="equal">
      <formula>0</formula>
    </cfRule>
  </conditionalFormatting>
  <conditionalFormatting sqref="A3:A4">
    <cfRule type="cellIs" dxfId="18" priority="1" operator="equal">
      <formula>0</formula>
    </cfRule>
  </conditionalFormatting>
  <hyperlinks>
    <hyperlink ref="H3" location="底稿目录!A1" display="D12-5"/>
  </hyperlinks>
  <printOptions horizontalCentered="1"/>
  <pageMargins left="0.70833333333333304" right="0.70833333333333304" top="0.74791666666666701" bottom="0.74791666666666701" header="0.31458333333333299" footer="0.31458333333333299"/>
  <pageSetup paperSize="9" scale="74" orientation="portrait" blackAndWhite="1" r:id="rId1"/>
  <headerFooter alignWithMargins="0">
    <oddFooter>&amp;C&amp;P/&amp;N</oddFooter>
  </headerFooter>
  <rowBreaks count="2" manualBreakCount="2">
    <brk id="41" max="7" man="1"/>
    <brk id="85" max="7"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54"/>
  <sheetViews>
    <sheetView view="pageBreakPreview" zoomScaleNormal="100" workbookViewId="0">
      <selection sqref="A1:F1"/>
    </sheetView>
  </sheetViews>
  <sheetFormatPr defaultColWidth="10" defaultRowHeight="20.100000000000001" customHeight="1"/>
  <cols>
    <col min="1" max="1" width="4.8984375" style="257" customWidth="1"/>
    <col min="2" max="2" width="43.3984375" style="278" customWidth="1"/>
    <col min="3" max="3" width="15.3984375" style="278" customWidth="1"/>
    <col min="4" max="4" width="11.09765625" style="278" customWidth="1"/>
    <col min="5" max="5" width="11" style="257" customWidth="1"/>
    <col min="6" max="6" width="10.8984375" style="257" customWidth="1"/>
    <col min="7" max="16384" width="10" style="257"/>
  </cols>
  <sheetData>
    <row r="1" spans="1:6" s="233" customFormat="1" ht="20.100000000000001" customHeight="1">
      <c r="A1" s="422" t="s">
        <v>17</v>
      </c>
      <c r="B1" s="422"/>
      <c r="C1" s="422"/>
      <c r="D1" s="422"/>
      <c r="E1" s="422"/>
      <c r="F1" s="422"/>
    </row>
    <row r="2" spans="1:6" ht="20.100000000000001" customHeight="1">
      <c r="A2" s="423" t="s">
        <v>266</v>
      </c>
      <c r="B2" s="423"/>
      <c r="C2" s="423"/>
      <c r="D2" s="423"/>
      <c r="E2" s="423"/>
      <c r="F2" s="423"/>
    </row>
    <row r="3" spans="1:6" s="51" customFormat="1" ht="20.100000000000001" customHeight="1">
      <c r="A3" s="51" t="str">
        <f>底稿目录!A2</f>
        <v>被审计单位：</v>
      </c>
      <c r="C3" s="51" t="str">
        <f>底稿目录!$A$4</f>
        <v>编制人：</v>
      </c>
      <c r="D3" s="51" t="str">
        <f>底稿目录!$A$5</f>
        <v>编制日期：</v>
      </c>
      <c r="E3" s="234" t="s">
        <v>278</v>
      </c>
      <c r="F3" s="350" t="s">
        <v>273</v>
      </c>
    </row>
    <row r="4" spans="1:6" s="51" customFormat="1" ht="20.100000000000001" customHeight="1">
      <c r="A4" s="51" t="str">
        <f>底稿目录!A3</f>
        <v>会计期间：202X年度</v>
      </c>
      <c r="C4" s="51" t="str">
        <f>底稿目录!$A$6</f>
        <v>复核人:</v>
      </c>
      <c r="D4" s="51" t="str">
        <f>底稿目录!$A$7</f>
        <v>复核日期:</v>
      </c>
      <c r="E4" s="234" t="s">
        <v>279</v>
      </c>
    </row>
    <row r="5" spans="1:6" ht="36" customHeight="1">
      <c r="A5" s="258" t="s">
        <v>449</v>
      </c>
      <c r="B5" s="424" t="s">
        <v>154</v>
      </c>
      <c r="C5" s="425"/>
      <c r="D5" s="426"/>
      <c r="E5" s="259" t="s">
        <v>450</v>
      </c>
      <c r="F5" s="260" t="s">
        <v>451</v>
      </c>
    </row>
    <row r="6" spans="1:6" ht="20.100000000000001" customHeight="1">
      <c r="A6" s="261">
        <v>1</v>
      </c>
      <c r="B6" s="262" t="s">
        <v>452</v>
      </c>
      <c r="C6" s="263"/>
      <c r="D6" s="263"/>
      <c r="E6" s="264">
        <f>E7+E8+E9+E10</f>
        <v>0</v>
      </c>
      <c r="F6" s="265">
        <f>F7+F8+F9+F10</f>
        <v>0</v>
      </c>
    </row>
    <row r="7" spans="1:6" ht="20.100000000000001" customHeight="1">
      <c r="A7" s="261">
        <v>2</v>
      </c>
      <c r="B7" s="266" t="s">
        <v>453</v>
      </c>
      <c r="C7" s="267"/>
      <c r="D7" s="267"/>
      <c r="E7" s="268"/>
      <c r="F7" s="269"/>
    </row>
    <row r="8" spans="1:6" ht="20.100000000000001" customHeight="1">
      <c r="A8" s="261">
        <v>3</v>
      </c>
      <c r="B8" s="266" t="s">
        <v>454</v>
      </c>
      <c r="C8" s="267"/>
      <c r="D8" s="267"/>
      <c r="E8" s="268"/>
      <c r="F8" s="269"/>
    </row>
    <row r="9" spans="1:6" ht="20.100000000000001" customHeight="1">
      <c r="A9" s="261">
        <v>4</v>
      </c>
      <c r="B9" s="266" t="s">
        <v>455</v>
      </c>
      <c r="C9" s="267"/>
      <c r="D9" s="267"/>
      <c r="E9" s="268"/>
      <c r="F9" s="269"/>
    </row>
    <row r="10" spans="1:6" ht="20.100000000000001" customHeight="1">
      <c r="A10" s="261">
        <v>5</v>
      </c>
      <c r="B10" s="266" t="s">
        <v>456</v>
      </c>
      <c r="C10" s="267"/>
      <c r="D10" s="267"/>
      <c r="E10" s="268"/>
      <c r="F10" s="269"/>
    </row>
    <row r="11" spans="1:6" ht="20.100000000000001" customHeight="1">
      <c r="A11" s="261">
        <v>6</v>
      </c>
      <c r="B11" s="262" t="s">
        <v>457</v>
      </c>
      <c r="C11" s="263"/>
      <c r="D11" s="263"/>
      <c r="E11" s="264">
        <f>E12+E13</f>
        <v>0</v>
      </c>
      <c r="F11" s="265">
        <f>F12+F13</f>
        <v>0</v>
      </c>
    </row>
    <row r="12" spans="1:6" ht="20.100000000000001" customHeight="1">
      <c r="A12" s="261">
        <v>7</v>
      </c>
      <c r="B12" s="266" t="s">
        <v>458</v>
      </c>
      <c r="C12" s="267"/>
      <c r="D12" s="267"/>
      <c r="E12" s="268"/>
      <c r="F12" s="269"/>
    </row>
    <row r="13" spans="1:6" ht="20.100000000000001" customHeight="1">
      <c r="A13" s="261">
        <v>8</v>
      </c>
      <c r="B13" s="266" t="s">
        <v>459</v>
      </c>
      <c r="C13" s="267"/>
      <c r="D13" s="267"/>
      <c r="E13" s="268"/>
      <c r="F13" s="269"/>
    </row>
    <row r="14" spans="1:6" ht="20.100000000000001" customHeight="1">
      <c r="A14" s="261">
        <v>9</v>
      </c>
      <c r="B14" s="262" t="s">
        <v>460</v>
      </c>
      <c r="C14" s="263"/>
      <c r="D14" s="263"/>
      <c r="E14" s="264">
        <f>E15+E16+E17+E18</f>
        <v>0</v>
      </c>
      <c r="F14" s="265">
        <f>F15+F16+F17+F18</f>
        <v>0</v>
      </c>
    </row>
    <row r="15" spans="1:6" ht="20.100000000000001" customHeight="1">
      <c r="A15" s="261">
        <v>10</v>
      </c>
      <c r="B15" s="266" t="s">
        <v>461</v>
      </c>
      <c r="C15" s="267"/>
      <c r="D15" s="267"/>
      <c r="E15" s="268"/>
      <c r="F15" s="269"/>
    </row>
    <row r="16" spans="1:6" ht="20.100000000000001" customHeight="1">
      <c r="A16" s="261">
        <v>11</v>
      </c>
      <c r="B16" s="266" t="s">
        <v>462</v>
      </c>
      <c r="C16" s="267"/>
      <c r="D16" s="267"/>
      <c r="E16" s="268"/>
      <c r="F16" s="269"/>
    </row>
    <row r="17" spans="1:6" ht="20.100000000000001" customHeight="1">
      <c r="A17" s="261">
        <v>12</v>
      </c>
      <c r="B17" s="266" t="s">
        <v>463</v>
      </c>
      <c r="C17" s="267"/>
      <c r="D17" s="267"/>
      <c r="E17" s="268"/>
      <c r="F17" s="269"/>
    </row>
    <row r="18" spans="1:6" ht="20.100000000000001" customHeight="1">
      <c r="A18" s="261">
        <v>13</v>
      </c>
      <c r="B18" s="266" t="s">
        <v>456</v>
      </c>
      <c r="C18" s="267"/>
      <c r="D18" s="267"/>
      <c r="E18" s="268"/>
      <c r="F18" s="269"/>
    </row>
    <row r="19" spans="1:6" ht="20.100000000000001" customHeight="1">
      <c r="A19" s="261">
        <v>14</v>
      </c>
      <c r="B19" s="262" t="s">
        <v>464</v>
      </c>
      <c r="C19" s="263"/>
      <c r="D19" s="263"/>
      <c r="E19" s="264">
        <f>E20+E30+E34+E35+E36+E37</f>
        <v>0</v>
      </c>
      <c r="F19" s="265">
        <f>F20+F30+F34+F35+F36+F37</f>
        <v>0</v>
      </c>
    </row>
    <row r="20" spans="1:6" ht="20.100000000000001" customHeight="1">
      <c r="A20" s="261">
        <v>15</v>
      </c>
      <c r="B20" s="266" t="s">
        <v>465</v>
      </c>
      <c r="C20" s="267"/>
      <c r="D20" s="267"/>
      <c r="E20" s="270">
        <f>E21+E22+E23+E24+E25+E26+E27+E28+E29</f>
        <v>0</v>
      </c>
      <c r="F20" s="271">
        <f>F21+F22+F23+F24+F25+F26+F27+F28+F29</f>
        <v>0</v>
      </c>
    </row>
    <row r="21" spans="1:6" ht="20.100000000000001" customHeight="1">
      <c r="A21" s="261">
        <v>16</v>
      </c>
      <c r="B21" s="266" t="s">
        <v>466</v>
      </c>
      <c r="C21" s="267"/>
      <c r="D21" s="267"/>
      <c r="E21" s="268"/>
      <c r="F21" s="269"/>
    </row>
    <row r="22" spans="1:6" ht="20.100000000000001" customHeight="1">
      <c r="A22" s="261">
        <v>17</v>
      </c>
      <c r="B22" s="266" t="s">
        <v>467</v>
      </c>
      <c r="C22" s="267"/>
      <c r="D22" s="267"/>
      <c r="E22" s="268"/>
      <c r="F22" s="269"/>
    </row>
    <row r="23" spans="1:6" ht="20.100000000000001" customHeight="1">
      <c r="A23" s="261">
        <v>18</v>
      </c>
      <c r="B23" s="266" t="s">
        <v>468</v>
      </c>
      <c r="C23" s="267"/>
      <c r="D23" s="267"/>
      <c r="E23" s="268"/>
      <c r="F23" s="269"/>
    </row>
    <row r="24" spans="1:6" ht="20.100000000000001" customHeight="1">
      <c r="A24" s="261">
        <v>19</v>
      </c>
      <c r="B24" s="266" t="s">
        <v>469</v>
      </c>
      <c r="C24" s="267"/>
      <c r="D24" s="267"/>
      <c r="E24" s="268"/>
      <c r="F24" s="269"/>
    </row>
    <row r="25" spans="1:6" ht="20.100000000000001" customHeight="1">
      <c r="A25" s="261">
        <v>20</v>
      </c>
      <c r="B25" s="266" t="s">
        <v>470</v>
      </c>
      <c r="C25" s="267"/>
      <c r="D25" s="267"/>
      <c r="E25" s="268"/>
      <c r="F25" s="269"/>
    </row>
    <row r="26" spans="1:6" ht="20.100000000000001" customHeight="1">
      <c r="A26" s="261">
        <v>21</v>
      </c>
      <c r="B26" s="266" t="s">
        <v>471</v>
      </c>
      <c r="C26" s="267"/>
      <c r="D26" s="267"/>
      <c r="E26" s="268"/>
      <c r="F26" s="269"/>
    </row>
    <row r="27" spans="1:6" ht="20.100000000000001" customHeight="1">
      <c r="A27" s="261">
        <v>22</v>
      </c>
      <c r="B27" s="266" t="s">
        <v>472</v>
      </c>
      <c r="C27" s="267"/>
      <c r="D27" s="267"/>
      <c r="E27" s="268"/>
      <c r="F27" s="269"/>
    </row>
    <row r="28" spans="1:6" ht="20.100000000000001" customHeight="1">
      <c r="A28" s="261">
        <v>23</v>
      </c>
      <c r="B28" s="266" t="s">
        <v>473</v>
      </c>
      <c r="C28" s="267"/>
      <c r="D28" s="267"/>
      <c r="E28" s="268"/>
      <c r="F28" s="269"/>
    </row>
    <row r="29" spans="1:6" ht="20.100000000000001" customHeight="1">
      <c r="A29" s="261">
        <v>24</v>
      </c>
      <c r="B29" s="266" t="s">
        <v>474</v>
      </c>
      <c r="C29" s="267"/>
      <c r="D29" s="267"/>
      <c r="E29" s="268"/>
      <c r="F29" s="269"/>
    </row>
    <row r="30" spans="1:6" ht="20.100000000000001" customHeight="1">
      <c r="A30" s="261">
        <v>25</v>
      </c>
      <c r="B30" s="266" t="s">
        <v>475</v>
      </c>
      <c r="C30" s="267"/>
      <c r="D30" s="267"/>
      <c r="E30" s="270">
        <f>E31+E32+E33</f>
        <v>0</v>
      </c>
      <c r="F30" s="271">
        <f>F31+F32+F33</f>
        <v>0</v>
      </c>
    </row>
    <row r="31" spans="1:6" ht="20.100000000000001" customHeight="1">
      <c r="A31" s="261">
        <v>26</v>
      </c>
      <c r="B31" s="266" t="s">
        <v>476</v>
      </c>
      <c r="C31" s="267"/>
      <c r="D31" s="267"/>
      <c r="E31" s="268"/>
      <c r="F31" s="269"/>
    </row>
    <row r="32" spans="1:6" ht="20.100000000000001" customHeight="1">
      <c r="A32" s="261">
        <v>27</v>
      </c>
      <c r="B32" s="266" t="s">
        <v>477</v>
      </c>
      <c r="C32" s="267"/>
      <c r="D32" s="267"/>
      <c r="E32" s="268"/>
      <c r="F32" s="269"/>
    </row>
    <row r="33" spans="1:6" ht="20.100000000000001" customHeight="1">
      <c r="A33" s="261">
        <v>28</v>
      </c>
      <c r="B33" s="266" t="s">
        <v>478</v>
      </c>
      <c r="C33" s="267"/>
      <c r="D33" s="267"/>
      <c r="E33" s="268"/>
      <c r="F33" s="269"/>
    </row>
    <row r="34" spans="1:6" ht="20.100000000000001" customHeight="1">
      <c r="A34" s="261">
        <v>29</v>
      </c>
      <c r="B34" s="266" t="s">
        <v>479</v>
      </c>
      <c r="C34" s="267"/>
      <c r="D34" s="267"/>
      <c r="E34" s="268"/>
      <c r="F34" s="269"/>
    </row>
    <row r="35" spans="1:6" ht="20.100000000000001" customHeight="1">
      <c r="A35" s="261">
        <v>30</v>
      </c>
      <c r="B35" s="266" t="s">
        <v>480</v>
      </c>
      <c r="C35" s="267"/>
      <c r="D35" s="267"/>
      <c r="E35" s="268"/>
      <c r="F35" s="269"/>
    </row>
    <row r="36" spans="1:6" ht="20.100000000000001" customHeight="1">
      <c r="A36" s="261">
        <v>31</v>
      </c>
      <c r="B36" s="266" t="s">
        <v>481</v>
      </c>
      <c r="C36" s="267"/>
      <c r="D36" s="267"/>
      <c r="E36" s="268"/>
      <c r="F36" s="269"/>
    </row>
    <row r="37" spans="1:6" ht="20.100000000000001" customHeight="1">
      <c r="A37" s="261">
        <v>32</v>
      </c>
      <c r="B37" s="266" t="s">
        <v>482</v>
      </c>
      <c r="C37" s="267"/>
      <c r="D37" s="267"/>
      <c r="E37" s="268"/>
      <c r="F37" s="269"/>
    </row>
    <row r="38" spans="1:6" ht="20.100000000000001" customHeight="1">
      <c r="A38" s="261">
        <v>33</v>
      </c>
      <c r="B38" s="262" t="s">
        <v>483</v>
      </c>
      <c r="C38" s="263"/>
      <c r="D38" s="263"/>
      <c r="E38" s="264">
        <f>E39+E40+E41+E42+E43</f>
        <v>0</v>
      </c>
      <c r="F38" s="265">
        <f>F39+F40+F41+F42+F43</f>
        <v>0</v>
      </c>
    </row>
    <row r="39" spans="1:6" ht="20.100000000000001" customHeight="1">
      <c r="A39" s="261">
        <v>34</v>
      </c>
      <c r="B39" s="266" t="s">
        <v>484</v>
      </c>
      <c r="C39" s="267"/>
      <c r="D39" s="267"/>
      <c r="E39" s="268"/>
      <c r="F39" s="269"/>
    </row>
    <row r="40" spans="1:6" ht="20.100000000000001" customHeight="1">
      <c r="A40" s="261">
        <v>35</v>
      </c>
      <c r="B40" s="266" t="s">
        <v>485</v>
      </c>
      <c r="C40" s="267"/>
      <c r="D40" s="267"/>
      <c r="E40" s="268"/>
      <c r="F40" s="269"/>
    </row>
    <row r="41" spans="1:6" ht="20.100000000000001" customHeight="1">
      <c r="A41" s="261">
        <v>36</v>
      </c>
      <c r="B41" s="266" t="s">
        <v>486</v>
      </c>
      <c r="C41" s="267"/>
      <c r="D41" s="267"/>
      <c r="E41" s="268"/>
      <c r="F41" s="269"/>
    </row>
    <row r="42" spans="1:6" ht="20.100000000000001" customHeight="1">
      <c r="A42" s="261">
        <v>37</v>
      </c>
      <c r="B42" s="266" t="s">
        <v>487</v>
      </c>
      <c r="C42" s="267"/>
      <c r="D42" s="267"/>
      <c r="E42" s="268"/>
      <c r="F42" s="269"/>
    </row>
    <row r="43" spans="1:6" ht="20.100000000000001" customHeight="1">
      <c r="A43" s="261">
        <v>38</v>
      </c>
      <c r="B43" s="266" t="s">
        <v>488</v>
      </c>
      <c r="C43" s="267"/>
      <c r="D43" s="267"/>
      <c r="E43" s="268"/>
      <c r="F43" s="269"/>
    </row>
    <row r="44" spans="1:6" ht="20.100000000000001" customHeight="1">
      <c r="A44" s="261">
        <v>39</v>
      </c>
      <c r="B44" s="262" t="s">
        <v>489</v>
      </c>
      <c r="C44" s="263"/>
      <c r="D44" s="263"/>
      <c r="E44" s="272"/>
      <c r="F44" s="273"/>
    </row>
    <row r="45" spans="1:6" ht="20.100000000000001" customHeight="1">
      <c r="A45" s="261">
        <v>40</v>
      </c>
      <c r="B45" s="262" t="s">
        <v>490</v>
      </c>
      <c r="C45" s="263"/>
      <c r="D45" s="263"/>
      <c r="E45" s="264">
        <f>E46+E47+E48+E49</f>
        <v>0</v>
      </c>
      <c r="F45" s="265">
        <f>F46+F47+F48+F49</f>
        <v>0</v>
      </c>
    </row>
    <row r="46" spans="1:6" ht="20.100000000000001" customHeight="1">
      <c r="A46" s="261">
        <v>41</v>
      </c>
      <c r="B46" s="266" t="s">
        <v>491</v>
      </c>
      <c r="C46" s="267"/>
      <c r="D46" s="267"/>
      <c r="E46" s="268"/>
      <c r="F46" s="269"/>
    </row>
    <row r="47" spans="1:6" ht="20.100000000000001" customHeight="1">
      <c r="A47" s="261">
        <v>42</v>
      </c>
      <c r="B47" s="266" t="s">
        <v>492</v>
      </c>
      <c r="C47" s="267"/>
      <c r="D47" s="267"/>
      <c r="E47" s="268"/>
      <c r="F47" s="269"/>
    </row>
    <row r="48" spans="1:6" ht="20.100000000000001" customHeight="1">
      <c r="A48" s="261">
        <v>43</v>
      </c>
      <c r="B48" s="266" t="s">
        <v>493</v>
      </c>
      <c r="C48" s="267"/>
      <c r="D48" s="267"/>
      <c r="E48" s="268"/>
      <c r="F48" s="269"/>
    </row>
    <row r="49" spans="1:6" ht="20.100000000000001" customHeight="1">
      <c r="A49" s="261">
        <v>44</v>
      </c>
      <c r="B49" s="266" t="s">
        <v>494</v>
      </c>
      <c r="C49" s="267"/>
      <c r="D49" s="267"/>
      <c r="E49" s="268"/>
      <c r="F49" s="269"/>
    </row>
    <row r="50" spans="1:6" ht="20.100000000000001" customHeight="1">
      <c r="A50" s="261">
        <v>45</v>
      </c>
      <c r="B50" s="274" t="s">
        <v>495</v>
      </c>
      <c r="C50" s="275"/>
      <c r="D50" s="275"/>
      <c r="E50" s="268"/>
      <c r="F50" s="269"/>
    </row>
    <row r="51" spans="1:6" ht="20.100000000000001" customHeight="1">
      <c r="A51" s="276">
        <v>46</v>
      </c>
      <c r="B51" s="274" t="s">
        <v>496</v>
      </c>
      <c r="C51" s="275"/>
      <c r="D51" s="275"/>
      <c r="E51" s="268"/>
      <c r="F51" s="269"/>
    </row>
    <row r="52" spans="1:6" ht="20.100000000000001" customHeight="1">
      <c r="A52" s="276">
        <v>47</v>
      </c>
      <c r="B52" s="274" t="s">
        <v>497</v>
      </c>
      <c r="C52" s="275"/>
      <c r="D52" s="275"/>
      <c r="E52" s="268"/>
      <c r="F52" s="269"/>
    </row>
    <row r="53" spans="1:6" ht="20.100000000000001" customHeight="1">
      <c r="A53" s="277"/>
      <c r="F53" s="279"/>
    </row>
    <row r="54" spans="1:6" ht="20.100000000000001" customHeight="1">
      <c r="A54" s="257" t="s">
        <v>498</v>
      </c>
    </row>
  </sheetData>
  <mergeCells count="3">
    <mergeCell ref="A1:F1"/>
    <mergeCell ref="A2:F2"/>
    <mergeCell ref="B5:D5"/>
  </mergeCells>
  <phoneticPr fontId="104" type="noConversion"/>
  <conditionalFormatting sqref="A1:A2 G1:XFD1048576 B2:F2 E4 E5:F5 B6:D1048576 E53:F1048576 B3:B5 A5:A1048576">
    <cfRule type="cellIs" dxfId="17" priority="4" operator="equal">
      <formula>0</formula>
    </cfRule>
  </conditionalFormatting>
  <conditionalFormatting sqref="D3:D4">
    <cfRule type="cellIs" dxfId="16" priority="3" operator="equal">
      <formula>0</formula>
    </cfRule>
  </conditionalFormatting>
  <conditionalFormatting sqref="C3:C4">
    <cfRule type="cellIs" dxfId="15" priority="2" operator="equal">
      <formula>0</formula>
    </cfRule>
  </conditionalFormatting>
  <conditionalFormatting sqref="A3:A4">
    <cfRule type="cellIs" dxfId="14" priority="1" operator="equal">
      <formula>0</formula>
    </cfRule>
  </conditionalFormatting>
  <hyperlinks>
    <hyperlink ref="F3" location="底稿目录!A1" display="D12-6"/>
  </hyperlinks>
  <printOptions horizontalCentered="1"/>
  <pageMargins left="0.70833333333333304" right="0.70833333333333304" top="0.74791666666666701" bottom="0.74791666666666701" header="0.31458333333333299" footer="0.31458333333333299"/>
  <pageSetup paperSize="9" scale="84" orientation="portrait"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G43"/>
  <sheetViews>
    <sheetView view="pageBreakPreview" zoomScaleNormal="100" workbookViewId="0">
      <selection sqref="A1:F1"/>
    </sheetView>
  </sheetViews>
  <sheetFormatPr defaultColWidth="10" defaultRowHeight="20.100000000000001" customHeight="1"/>
  <cols>
    <col min="1" max="1" width="10" style="281"/>
    <col min="2" max="2" width="33.3984375" style="281" customWidth="1"/>
    <col min="3" max="3" width="14" style="281" customWidth="1"/>
    <col min="4" max="4" width="12.69921875" style="281" customWidth="1"/>
    <col min="5" max="6" width="13.296875" style="281" customWidth="1"/>
    <col min="7" max="16384" width="10" style="281"/>
  </cols>
  <sheetData>
    <row r="1" spans="1:7" s="233" customFormat="1" ht="20.100000000000001" customHeight="1">
      <c r="A1" s="364" t="s">
        <v>17</v>
      </c>
      <c r="B1" s="364"/>
      <c r="C1" s="364"/>
      <c r="D1" s="364"/>
      <c r="E1" s="364"/>
      <c r="F1" s="364"/>
      <c r="G1" s="280"/>
    </row>
    <row r="2" spans="1:7" ht="20.100000000000001" customHeight="1">
      <c r="A2" s="427" t="s">
        <v>499</v>
      </c>
      <c r="B2" s="427"/>
      <c r="C2" s="427"/>
      <c r="D2" s="427"/>
      <c r="E2" s="427"/>
      <c r="F2" s="427"/>
    </row>
    <row r="3" spans="1:7" s="51" customFormat="1" ht="20.100000000000001" customHeight="1">
      <c r="A3" s="51" t="str">
        <f>底稿目录!A2</f>
        <v>被审计单位：</v>
      </c>
      <c r="C3" s="51" t="str">
        <f>底稿目录!$A$4</f>
        <v>编制人：</v>
      </c>
      <c r="D3" s="51" t="str">
        <f>底稿目录!$A$5</f>
        <v>编制日期：</v>
      </c>
      <c r="E3" s="234" t="s">
        <v>278</v>
      </c>
      <c r="F3" s="350" t="s">
        <v>274</v>
      </c>
    </row>
    <row r="4" spans="1:7" s="51" customFormat="1" ht="20.100000000000001" customHeight="1">
      <c r="A4" s="51" t="str">
        <f>底稿目录!A3</f>
        <v>会计期间：202X年度</v>
      </c>
      <c r="C4" s="51" t="str">
        <f>底稿目录!$A$6</f>
        <v>复核人:</v>
      </c>
      <c r="D4" s="51" t="str">
        <f>底稿目录!$A$7</f>
        <v>复核日期:</v>
      </c>
      <c r="E4" s="234" t="s">
        <v>279</v>
      </c>
    </row>
    <row r="5" spans="1:7" ht="20.100000000000001" customHeight="1">
      <c r="A5" s="282" t="s">
        <v>2</v>
      </c>
      <c r="B5" s="283" t="s">
        <v>500</v>
      </c>
      <c r="C5" s="282" t="s">
        <v>501</v>
      </c>
      <c r="D5" s="282" t="s">
        <v>502</v>
      </c>
      <c r="E5" s="282" t="s">
        <v>503</v>
      </c>
      <c r="F5" s="282" t="s">
        <v>206</v>
      </c>
    </row>
    <row r="6" spans="1:7" s="287" customFormat="1" ht="24">
      <c r="A6" s="284">
        <v>1</v>
      </c>
      <c r="B6" s="285" t="s">
        <v>504</v>
      </c>
      <c r="C6" s="264">
        <f>SUM(C7:C10)</f>
        <v>0</v>
      </c>
      <c r="D6" s="264">
        <f>SUM(D7:D10)</f>
        <v>0</v>
      </c>
      <c r="E6" s="264">
        <f t="shared" ref="E6:E43" si="0">C6+D6</f>
        <v>0</v>
      </c>
      <c r="F6" s="286"/>
    </row>
    <row r="7" spans="1:7" ht="20.100000000000001" customHeight="1">
      <c r="A7" s="284">
        <v>2</v>
      </c>
      <c r="B7" s="288" t="s">
        <v>505</v>
      </c>
      <c r="C7" s="268"/>
      <c r="D7" s="269"/>
      <c r="E7" s="270">
        <f t="shared" si="0"/>
        <v>0</v>
      </c>
      <c r="F7" s="289"/>
    </row>
    <row r="8" spans="1:7" ht="20.100000000000001" customHeight="1">
      <c r="A8" s="284">
        <v>3</v>
      </c>
      <c r="B8" s="288" t="s">
        <v>506</v>
      </c>
      <c r="C8" s="268"/>
      <c r="D8" s="269"/>
      <c r="E8" s="270">
        <f t="shared" si="0"/>
        <v>0</v>
      </c>
      <c r="F8" s="289"/>
    </row>
    <row r="9" spans="1:7" ht="20.100000000000001" customHeight="1">
      <c r="A9" s="284">
        <v>4</v>
      </c>
      <c r="B9" s="288" t="s">
        <v>507</v>
      </c>
      <c r="C9" s="268"/>
      <c r="D9" s="269"/>
      <c r="E9" s="270">
        <f t="shared" si="0"/>
        <v>0</v>
      </c>
      <c r="F9" s="289"/>
    </row>
    <row r="10" spans="1:7" ht="20.100000000000001" customHeight="1">
      <c r="A10" s="284">
        <v>5</v>
      </c>
      <c r="B10" s="288"/>
      <c r="C10" s="268"/>
      <c r="D10" s="269"/>
      <c r="E10" s="270">
        <f t="shared" si="0"/>
        <v>0</v>
      </c>
      <c r="F10" s="289"/>
    </row>
    <row r="11" spans="1:7" ht="24">
      <c r="A11" s="284">
        <v>6</v>
      </c>
      <c r="B11" s="285" t="s">
        <v>508</v>
      </c>
      <c r="C11" s="264">
        <f>SUM(C12:C16)</f>
        <v>0</v>
      </c>
      <c r="D11" s="264">
        <f ca="1">SUM(D5:N16)</f>
        <v>0</v>
      </c>
      <c r="E11" s="264">
        <f t="shared" ca="1" si="0"/>
        <v>0</v>
      </c>
      <c r="F11" s="286"/>
    </row>
    <row r="12" spans="1:7" ht="20.100000000000001" customHeight="1">
      <c r="A12" s="284">
        <v>7</v>
      </c>
      <c r="B12" s="288" t="s">
        <v>509</v>
      </c>
      <c r="C12" s="268"/>
      <c r="D12" s="269"/>
      <c r="E12" s="270">
        <f>C12+N5</f>
        <v>0</v>
      </c>
      <c r="F12" s="289"/>
    </row>
    <row r="13" spans="1:7" ht="20.100000000000001" customHeight="1">
      <c r="A13" s="284">
        <v>8</v>
      </c>
      <c r="B13" s="288" t="s">
        <v>510</v>
      </c>
      <c r="C13" s="268"/>
      <c r="D13" s="269"/>
      <c r="E13" s="270">
        <f t="shared" si="0"/>
        <v>0</v>
      </c>
      <c r="F13" s="289"/>
    </row>
    <row r="14" spans="1:7" ht="20.100000000000001" customHeight="1">
      <c r="A14" s="284">
        <v>9</v>
      </c>
      <c r="B14" s="288" t="s">
        <v>511</v>
      </c>
      <c r="C14" s="268"/>
      <c r="D14" s="269"/>
      <c r="E14" s="270">
        <f t="shared" si="0"/>
        <v>0</v>
      </c>
      <c r="F14" s="289"/>
    </row>
    <row r="15" spans="1:7" ht="20.100000000000001" customHeight="1">
      <c r="A15" s="284">
        <v>10</v>
      </c>
      <c r="B15" s="288"/>
      <c r="C15" s="268"/>
      <c r="D15" s="269"/>
      <c r="E15" s="270">
        <f t="shared" si="0"/>
        <v>0</v>
      </c>
      <c r="F15" s="289"/>
    </row>
    <row r="16" spans="1:7" ht="20.100000000000001" customHeight="1">
      <c r="A16" s="284">
        <v>11</v>
      </c>
      <c r="B16" s="288"/>
      <c r="C16" s="268"/>
      <c r="D16" s="269"/>
      <c r="E16" s="270">
        <f t="shared" si="0"/>
        <v>0</v>
      </c>
      <c r="F16" s="289"/>
    </row>
    <row r="17" spans="1:6" ht="36">
      <c r="A17" s="284">
        <v>12</v>
      </c>
      <c r="B17" s="285" t="s">
        <v>512</v>
      </c>
      <c r="C17" s="290">
        <f>SUM(C18:C20)</f>
        <v>0</v>
      </c>
      <c r="D17" s="290">
        <f>SUM(D18:D20)</f>
        <v>0</v>
      </c>
      <c r="E17" s="264">
        <f t="shared" si="0"/>
        <v>0</v>
      </c>
      <c r="F17" s="286"/>
    </row>
    <row r="18" spans="1:6" ht="20.100000000000001" customHeight="1">
      <c r="A18" s="284">
        <v>13</v>
      </c>
      <c r="B18" s="288" t="s">
        <v>513</v>
      </c>
      <c r="C18" s="268"/>
      <c r="D18" s="269"/>
      <c r="E18" s="270">
        <f t="shared" si="0"/>
        <v>0</v>
      </c>
      <c r="F18" s="289"/>
    </row>
    <row r="19" spans="1:6" ht="20.100000000000001" customHeight="1">
      <c r="A19" s="284">
        <v>14</v>
      </c>
      <c r="B19" s="288" t="s">
        <v>514</v>
      </c>
      <c r="C19" s="268"/>
      <c r="D19" s="269"/>
      <c r="E19" s="270">
        <f t="shared" si="0"/>
        <v>0</v>
      </c>
      <c r="F19" s="289"/>
    </row>
    <row r="20" spans="1:6" ht="20.100000000000001" customHeight="1">
      <c r="A20" s="284">
        <v>15</v>
      </c>
      <c r="B20" s="288"/>
      <c r="C20" s="272"/>
      <c r="D20" s="269"/>
      <c r="E20" s="270">
        <f t="shared" si="0"/>
        <v>0</v>
      </c>
      <c r="F20" s="289"/>
    </row>
    <row r="21" spans="1:6" ht="20.100000000000001" customHeight="1">
      <c r="A21" s="284">
        <v>16</v>
      </c>
      <c r="B21" s="285" t="s">
        <v>515</v>
      </c>
      <c r="C21" s="264">
        <f>SUM(C22:C24)</f>
        <v>0</v>
      </c>
      <c r="D21" s="264">
        <f>SUM(D22:D24)</f>
        <v>0</v>
      </c>
      <c r="E21" s="264">
        <f t="shared" si="0"/>
        <v>0</v>
      </c>
      <c r="F21" s="286"/>
    </row>
    <row r="22" spans="1:6" ht="20.100000000000001" customHeight="1">
      <c r="A22" s="284">
        <v>17</v>
      </c>
      <c r="B22" s="288" t="s">
        <v>513</v>
      </c>
      <c r="C22" s="268"/>
      <c r="D22" s="269"/>
      <c r="E22" s="270">
        <f t="shared" si="0"/>
        <v>0</v>
      </c>
      <c r="F22" s="289"/>
    </row>
    <row r="23" spans="1:6" ht="20.100000000000001" customHeight="1">
      <c r="A23" s="284">
        <v>18</v>
      </c>
      <c r="B23" s="288" t="s">
        <v>514</v>
      </c>
      <c r="C23" s="268"/>
      <c r="D23" s="269"/>
      <c r="E23" s="270">
        <f t="shared" si="0"/>
        <v>0</v>
      </c>
      <c r="F23" s="289"/>
    </row>
    <row r="24" spans="1:6" ht="20.100000000000001" customHeight="1">
      <c r="A24" s="284">
        <v>19</v>
      </c>
      <c r="B24" s="285"/>
      <c r="C24" s="272"/>
      <c r="D24" s="269"/>
      <c r="E24" s="270">
        <f t="shared" si="0"/>
        <v>0</v>
      </c>
      <c r="F24" s="289"/>
    </row>
    <row r="25" spans="1:6" ht="28.5" customHeight="1">
      <c r="A25" s="284">
        <v>20</v>
      </c>
      <c r="B25" s="285" t="s">
        <v>516</v>
      </c>
      <c r="C25" s="264">
        <f>SUM(C26:C29)</f>
        <v>0</v>
      </c>
      <c r="D25" s="264">
        <f>SUM(D26:D29)</f>
        <v>0</v>
      </c>
      <c r="E25" s="264">
        <f t="shared" si="0"/>
        <v>0</v>
      </c>
      <c r="F25" s="286"/>
    </row>
    <row r="26" spans="1:6" ht="20.100000000000001" customHeight="1">
      <c r="A26" s="284">
        <v>21</v>
      </c>
      <c r="B26" s="288" t="s">
        <v>517</v>
      </c>
      <c r="C26" s="268"/>
      <c r="D26" s="269"/>
      <c r="E26" s="270">
        <f t="shared" si="0"/>
        <v>0</v>
      </c>
      <c r="F26" s="289"/>
    </row>
    <row r="27" spans="1:6" ht="20.100000000000001" customHeight="1">
      <c r="A27" s="284">
        <v>22</v>
      </c>
      <c r="B27" s="288" t="s">
        <v>518</v>
      </c>
      <c r="C27" s="268"/>
      <c r="D27" s="269"/>
      <c r="E27" s="270">
        <f t="shared" si="0"/>
        <v>0</v>
      </c>
      <c r="F27" s="289"/>
    </row>
    <row r="28" spans="1:6" ht="20.100000000000001" customHeight="1">
      <c r="A28" s="284">
        <v>23</v>
      </c>
      <c r="B28" s="288" t="s">
        <v>519</v>
      </c>
      <c r="C28" s="268"/>
      <c r="D28" s="269"/>
      <c r="E28" s="270">
        <f t="shared" si="0"/>
        <v>0</v>
      </c>
      <c r="F28" s="289"/>
    </row>
    <row r="29" spans="1:6" ht="20.100000000000001" customHeight="1">
      <c r="A29" s="284">
        <v>24</v>
      </c>
      <c r="B29" s="288"/>
      <c r="C29" s="268"/>
      <c r="D29" s="269"/>
      <c r="E29" s="270">
        <f t="shared" si="0"/>
        <v>0</v>
      </c>
      <c r="F29" s="289"/>
    </row>
    <row r="30" spans="1:6" ht="30.75" customHeight="1">
      <c r="A30" s="284">
        <v>25</v>
      </c>
      <c r="B30" s="285" t="s">
        <v>520</v>
      </c>
      <c r="C30" s="272"/>
      <c r="D30" s="272"/>
      <c r="E30" s="264">
        <f t="shared" si="0"/>
        <v>0</v>
      </c>
      <c r="F30" s="286"/>
    </row>
    <row r="31" spans="1:6" ht="20.100000000000001" customHeight="1">
      <c r="A31" s="284">
        <v>26</v>
      </c>
      <c r="B31" s="288"/>
      <c r="C31" s="272"/>
      <c r="D31" s="269"/>
      <c r="E31" s="270">
        <f t="shared" si="0"/>
        <v>0</v>
      </c>
      <c r="F31" s="289"/>
    </row>
    <row r="32" spans="1:6" ht="24">
      <c r="A32" s="284">
        <v>27</v>
      </c>
      <c r="B32" s="285" t="s">
        <v>521</v>
      </c>
      <c r="C32" s="272"/>
      <c r="D32" s="272"/>
      <c r="E32" s="264">
        <f t="shared" si="0"/>
        <v>0</v>
      </c>
      <c r="F32" s="286"/>
    </row>
    <row r="33" spans="1:6" ht="20.100000000000001" customHeight="1">
      <c r="A33" s="284">
        <v>28</v>
      </c>
      <c r="B33" s="288"/>
      <c r="C33" s="268"/>
      <c r="D33" s="269"/>
      <c r="E33" s="270">
        <f t="shared" si="0"/>
        <v>0</v>
      </c>
      <c r="F33" s="289"/>
    </row>
    <row r="34" spans="1:6" ht="20.100000000000001" customHeight="1">
      <c r="A34" s="284">
        <v>29</v>
      </c>
      <c r="B34" s="285" t="s">
        <v>522</v>
      </c>
      <c r="C34" s="264">
        <f>SUM(C35:C39)</f>
        <v>0</v>
      </c>
      <c r="D34" s="264">
        <f>SUM(D35:D39)</f>
        <v>0</v>
      </c>
      <c r="E34" s="264">
        <f t="shared" si="0"/>
        <v>0</v>
      </c>
      <c r="F34" s="286"/>
    </row>
    <row r="35" spans="1:6" ht="20.100000000000001" customHeight="1">
      <c r="A35" s="284">
        <v>30</v>
      </c>
      <c r="B35" s="288" t="s">
        <v>523</v>
      </c>
      <c r="C35" s="268"/>
      <c r="D35" s="269"/>
      <c r="E35" s="270">
        <f t="shared" si="0"/>
        <v>0</v>
      </c>
      <c r="F35" s="289"/>
    </row>
    <row r="36" spans="1:6" ht="20.100000000000001" customHeight="1">
      <c r="A36" s="284">
        <v>31</v>
      </c>
      <c r="B36" s="288" t="s">
        <v>524</v>
      </c>
      <c r="C36" s="268"/>
      <c r="D36" s="269"/>
      <c r="E36" s="270">
        <f t="shared" si="0"/>
        <v>0</v>
      </c>
      <c r="F36" s="289"/>
    </row>
    <row r="37" spans="1:6" ht="20.100000000000001" customHeight="1">
      <c r="A37" s="284">
        <v>32</v>
      </c>
      <c r="B37" s="288" t="s">
        <v>525</v>
      </c>
      <c r="C37" s="272"/>
      <c r="D37" s="269"/>
      <c r="E37" s="270">
        <f t="shared" si="0"/>
        <v>0</v>
      </c>
      <c r="F37" s="289"/>
    </row>
    <row r="38" spans="1:6" ht="20.100000000000001" customHeight="1">
      <c r="A38" s="284">
        <v>33</v>
      </c>
      <c r="B38" s="288" t="s">
        <v>526</v>
      </c>
      <c r="C38" s="268"/>
      <c r="D38" s="269"/>
      <c r="E38" s="270">
        <f t="shared" si="0"/>
        <v>0</v>
      </c>
      <c r="F38" s="289"/>
    </row>
    <row r="39" spans="1:6" ht="20.100000000000001" customHeight="1">
      <c r="A39" s="284">
        <v>34</v>
      </c>
      <c r="B39" s="288" t="s">
        <v>527</v>
      </c>
      <c r="C39" s="268"/>
      <c r="D39" s="269"/>
      <c r="E39" s="270">
        <f t="shared" si="0"/>
        <v>0</v>
      </c>
      <c r="F39" s="289"/>
    </row>
    <row r="40" spans="1:6" ht="20.100000000000001" customHeight="1">
      <c r="A40" s="284">
        <v>35</v>
      </c>
      <c r="B40" s="285" t="s">
        <v>168</v>
      </c>
      <c r="C40" s="264">
        <f>C6+C11+C17+C21+C25+C30+C32+C34</f>
        <v>0</v>
      </c>
      <c r="D40" s="264">
        <f ca="1">D6+D11+D17+D21+D25+D30+D32+D34</f>
        <v>0</v>
      </c>
      <c r="E40" s="264">
        <f t="shared" ca="1" si="0"/>
        <v>0</v>
      </c>
      <c r="F40" s="286"/>
    </row>
    <row r="41" spans="1:6" ht="24">
      <c r="A41" s="284">
        <v>36</v>
      </c>
      <c r="B41" s="285" t="s">
        <v>528</v>
      </c>
      <c r="C41" s="272"/>
      <c r="D41" s="273"/>
      <c r="E41" s="264">
        <f t="shared" si="0"/>
        <v>0</v>
      </c>
      <c r="F41" s="286"/>
    </row>
    <row r="42" spans="1:6" ht="20.100000000000001" customHeight="1">
      <c r="A42" s="284"/>
      <c r="B42" s="285" t="s">
        <v>529</v>
      </c>
      <c r="C42" s="264">
        <f>C40-C41</f>
        <v>0</v>
      </c>
      <c r="D42" s="264">
        <f ca="1">D40-D41</f>
        <v>0</v>
      </c>
      <c r="E42" s="264">
        <f t="shared" ca="1" si="0"/>
        <v>0</v>
      </c>
      <c r="F42" s="286"/>
    </row>
    <row r="43" spans="1:6" ht="20.100000000000001" customHeight="1">
      <c r="A43" s="284">
        <v>37</v>
      </c>
      <c r="B43" s="285" t="s">
        <v>530</v>
      </c>
      <c r="C43" s="264">
        <f>C42*0.5</f>
        <v>0</v>
      </c>
      <c r="D43" s="264">
        <f ca="1">D42*0.5</f>
        <v>0</v>
      </c>
      <c r="E43" s="264">
        <f t="shared" ca="1" si="0"/>
        <v>0</v>
      </c>
      <c r="F43" s="286"/>
    </row>
  </sheetData>
  <mergeCells count="2">
    <mergeCell ref="A1:F1"/>
    <mergeCell ref="A2:F2"/>
  </mergeCells>
  <phoneticPr fontId="104" type="noConversion"/>
  <conditionalFormatting sqref="A1 G1:XFD1">
    <cfRule type="cellIs" dxfId="13" priority="4" operator="equal">
      <formula>0</formula>
    </cfRule>
  </conditionalFormatting>
  <conditionalFormatting sqref="D3:D4">
    <cfRule type="cellIs" dxfId="12" priority="3" operator="equal">
      <formula>0</formula>
    </cfRule>
  </conditionalFormatting>
  <conditionalFormatting sqref="C3:C4">
    <cfRule type="cellIs" dxfId="11" priority="2" operator="equal">
      <formula>0</formula>
    </cfRule>
  </conditionalFormatting>
  <conditionalFormatting sqref="A3:A4">
    <cfRule type="cellIs" dxfId="10" priority="1" operator="equal">
      <formula>0</formula>
    </cfRule>
  </conditionalFormatting>
  <hyperlinks>
    <hyperlink ref="F3" location="底稿目录!A1" display="D12-6-1"/>
  </hyperlinks>
  <printOptions horizontalCentered="1"/>
  <pageMargins left="0.70833333333333304" right="0.70833333333333304" top="0.74791666666666701" bottom="0.74791666666666701" header="0.31458333333333299" footer="0.31458333333333299"/>
  <pageSetup paperSize="9" scale="84" orientation="portrait"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M18"/>
  <sheetViews>
    <sheetView view="pageBreakPreview" zoomScaleNormal="100" workbookViewId="0">
      <selection sqref="A1:M1"/>
    </sheetView>
  </sheetViews>
  <sheetFormatPr defaultColWidth="9" defaultRowHeight="20.100000000000001" customHeight="1"/>
  <cols>
    <col min="1" max="1" width="9" style="291"/>
    <col min="2" max="2" width="12.69921875" style="291" customWidth="1"/>
    <col min="3" max="3" width="9" style="291"/>
    <col min="4" max="4" width="15.69921875" style="291" customWidth="1"/>
    <col min="5" max="5" width="19.3984375" style="291" customWidth="1"/>
    <col min="6" max="6" width="13.69921875" style="291" customWidth="1"/>
    <col min="7" max="7" width="12.3984375" style="291" customWidth="1"/>
    <col min="8" max="8" width="14.8984375" style="291" customWidth="1"/>
    <col min="9" max="9" width="12.69921875" style="291" customWidth="1"/>
    <col min="10" max="10" width="10.69921875" style="291" customWidth="1"/>
    <col min="11" max="11" width="11.296875" style="301" customWidth="1"/>
    <col min="12" max="12" width="12.69921875" style="301" customWidth="1"/>
    <col min="13" max="13" width="12.69921875" style="291" customWidth="1"/>
    <col min="14" max="257" width="9" style="291"/>
    <col min="258" max="258" width="12.69921875" style="291" customWidth="1"/>
    <col min="259" max="259" width="9" style="291"/>
    <col min="260" max="260" width="15.69921875" style="291" customWidth="1"/>
    <col min="261" max="261" width="19.3984375" style="291" customWidth="1"/>
    <col min="262" max="262" width="13.69921875" style="291" customWidth="1"/>
    <col min="263" max="263" width="15.09765625" style="291" customWidth="1"/>
    <col min="264" max="264" width="14.8984375" style="291" customWidth="1"/>
    <col min="265" max="265" width="12.69921875" style="291" customWidth="1"/>
    <col min="266" max="267" width="9" style="291"/>
    <col min="268" max="269" width="12.69921875" style="291" customWidth="1"/>
    <col min="270" max="513" width="9" style="291"/>
    <col min="514" max="514" width="12.69921875" style="291" customWidth="1"/>
    <col min="515" max="515" width="9" style="291"/>
    <col min="516" max="516" width="15.69921875" style="291" customWidth="1"/>
    <col min="517" max="517" width="19.3984375" style="291" customWidth="1"/>
    <col min="518" max="518" width="13.69921875" style="291" customWidth="1"/>
    <col min="519" max="519" width="15.09765625" style="291" customWidth="1"/>
    <col min="520" max="520" width="14.8984375" style="291" customWidth="1"/>
    <col min="521" max="521" width="12.69921875" style="291" customWidth="1"/>
    <col min="522" max="523" width="9" style="291"/>
    <col min="524" max="525" width="12.69921875" style="291" customWidth="1"/>
    <col min="526" max="769" width="9" style="291"/>
    <col min="770" max="770" width="12.69921875" style="291" customWidth="1"/>
    <col min="771" max="771" width="9" style="291"/>
    <col min="772" max="772" width="15.69921875" style="291" customWidth="1"/>
    <col min="773" max="773" width="19.3984375" style="291" customWidth="1"/>
    <col min="774" max="774" width="13.69921875" style="291" customWidth="1"/>
    <col min="775" max="775" width="15.09765625" style="291" customWidth="1"/>
    <col min="776" max="776" width="14.8984375" style="291" customWidth="1"/>
    <col min="777" max="777" width="12.69921875" style="291" customWidth="1"/>
    <col min="778" max="779" width="9" style="291"/>
    <col min="780" max="781" width="12.69921875" style="291" customWidth="1"/>
    <col min="782" max="1025" width="9" style="291"/>
    <col min="1026" max="1026" width="12.69921875" style="291" customWidth="1"/>
    <col min="1027" max="1027" width="9" style="291"/>
    <col min="1028" max="1028" width="15.69921875" style="291" customWidth="1"/>
    <col min="1029" max="1029" width="19.3984375" style="291" customWidth="1"/>
    <col min="1030" max="1030" width="13.69921875" style="291" customWidth="1"/>
    <col min="1031" max="1031" width="15.09765625" style="291" customWidth="1"/>
    <col min="1032" max="1032" width="14.8984375" style="291" customWidth="1"/>
    <col min="1033" max="1033" width="12.69921875" style="291" customWidth="1"/>
    <col min="1034" max="1035" width="9" style="291"/>
    <col min="1036" max="1037" width="12.69921875" style="291" customWidth="1"/>
    <col min="1038" max="1281" width="9" style="291"/>
    <col min="1282" max="1282" width="12.69921875" style="291" customWidth="1"/>
    <col min="1283" max="1283" width="9" style="291"/>
    <col min="1284" max="1284" width="15.69921875" style="291" customWidth="1"/>
    <col min="1285" max="1285" width="19.3984375" style="291" customWidth="1"/>
    <col min="1286" max="1286" width="13.69921875" style="291" customWidth="1"/>
    <col min="1287" max="1287" width="15.09765625" style="291" customWidth="1"/>
    <col min="1288" max="1288" width="14.8984375" style="291" customWidth="1"/>
    <col min="1289" max="1289" width="12.69921875" style="291" customWidth="1"/>
    <col min="1290" max="1291" width="9" style="291"/>
    <col min="1292" max="1293" width="12.69921875" style="291" customWidth="1"/>
    <col min="1294" max="1537" width="9" style="291"/>
    <col min="1538" max="1538" width="12.69921875" style="291" customWidth="1"/>
    <col min="1539" max="1539" width="9" style="291"/>
    <col min="1540" max="1540" width="15.69921875" style="291" customWidth="1"/>
    <col min="1541" max="1541" width="19.3984375" style="291" customWidth="1"/>
    <col min="1542" max="1542" width="13.69921875" style="291" customWidth="1"/>
    <col min="1543" max="1543" width="15.09765625" style="291" customWidth="1"/>
    <col min="1544" max="1544" width="14.8984375" style="291" customWidth="1"/>
    <col min="1545" max="1545" width="12.69921875" style="291" customWidth="1"/>
    <col min="1546" max="1547" width="9" style="291"/>
    <col min="1548" max="1549" width="12.69921875" style="291" customWidth="1"/>
    <col min="1550" max="1793" width="9" style="291"/>
    <col min="1794" max="1794" width="12.69921875" style="291" customWidth="1"/>
    <col min="1795" max="1795" width="9" style="291"/>
    <col min="1796" max="1796" width="15.69921875" style="291" customWidth="1"/>
    <col min="1797" max="1797" width="19.3984375" style="291" customWidth="1"/>
    <col min="1798" max="1798" width="13.69921875" style="291" customWidth="1"/>
    <col min="1799" max="1799" width="15.09765625" style="291" customWidth="1"/>
    <col min="1800" max="1800" width="14.8984375" style="291" customWidth="1"/>
    <col min="1801" max="1801" width="12.69921875" style="291" customWidth="1"/>
    <col min="1802" max="1803" width="9" style="291"/>
    <col min="1804" max="1805" width="12.69921875" style="291" customWidth="1"/>
    <col min="1806" max="2049" width="9" style="291"/>
    <col min="2050" max="2050" width="12.69921875" style="291" customWidth="1"/>
    <col min="2051" max="2051" width="9" style="291"/>
    <col min="2052" max="2052" width="15.69921875" style="291" customWidth="1"/>
    <col min="2053" max="2053" width="19.3984375" style="291" customWidth="1"/>
    <col min="2054" max="2054" width="13.69921875" style="291" customWidth="1"/>
    <col min="2055" max="2055" width="15.09765625" style="291" customWidth="1"/>
    <col min="2056" max="2056" width="14.8984375" style="291" customWidth="1"/>
    <col min="2057" max="2057" width="12.69921875" style="291" customWidth="1"/>
    <col min="2058" max="2059" width="9" style="291"/>
    <col min="2060" max="2061" width="12.69921875" style="291" customWidth="1"/>
    <col min="2062" max="2305" width="9" style="291"/>
    <col min="2306" max="2306" width="12.69921875" style="291" customWidth="1"/>
    <col min="2307" max="2307" width="9" style="291"/>
    <col min="2308" max="2308" width="15.69921875" style="291" customWidth="1"/>
    <col min="2309" max="2309" width="19.3984375" style="291" customWidth="1"/>
    <col min="2310" max="2310" width="13.69921875" style="291" customWidth="1"/>
    <col min="2311" max="2311" width="15.09765625" style="291" customWidth="1"/>
    <col min="2312" max="2312" width="14.8984375" style="291" customWidth="1"/>
    <col min="2313" max="2313" width="12.69921875" style="291" customWidth="1"/>
    <col min="2314" max="2315" width="9" style="291"/>
    <col min="2316" max="2317" width="12.69921875" style="291" customWidth="1"/>
    <col min="2318" max="2561" width="9" style="291"/>
    <col min="2562" max="2562" width="12.69921875" style="291" customWidth="1"/>
    <col min="2563" max="2563" width="9" style="291"/>
    <col min="2564" max="2564" width="15.69921875" style="291" customWidth="1"/>
    <col min="2565" max="2565" width="19.3984375" style="291" customWidth="1"/>
    <col min="2566" max="2566" width="13.69921875" style="291" customWidth="1"/>
    <col min="2567" max="2567" width="15.09765625" style="291" customWidth="1"/>
    <col min="2568" max="2568" width="14.8984375" style="291" customWidth="1"/>
    <col min="2569" max="2569" width="12.69921875" style="291" customWidth="1"/>
    <col min="2570" max="2571" width="9" style="291"/>
    <col min="2572" max="2573" width="12.69921875" style="291" customWidth="1"/>
    <col min="2574" max="2817" width="9" style="291"/>
    <col min="2818" max="2818" width="12.69921875" style="291" customWidth="1"/>
    <col min="2819" max="2819" width="9" style="291"/>
    <col min="2820" max="2820" width="15.69921875" style="291" customWidth="1"/>
    <col min="2821" max="2821" width="19.3984375" style="291" customWidth="1"/>
    <col min="2822" max="2822" width="13.69921875" style="291" customWidth="1"/>
    <col min="2823" max="2823" width="15.09765625" style="291" customWidth="1"/>
    <col min="2824" max="2824" width="14.8984375" style="291" customWidth="1"/>
    <col min="2825" max="2825" width="12.69921875" style="291" customWidth="1"/>
    <col min="2826" max="2827" width="9" style="291"/>
    <col min="2828" max="2829" width="12.69921875" style="291" customWidth="1"/>
    <col min="2830" max="3073" width="9" style="291"/>
    <col min="3074" max="3074" width="12.69921875" style="291" customWidth="1"/>
    <col min="3075" max="3075" width="9" style="291"/>
    <col min="3076" max="3076" width="15.69921875" style="291" customWidth="1"/>
    <col min="3077" max="3077" width="19.3984375" style="291" customWidth="1"/>
    <col min="3078" max="3078" width="13.69921875" style="291" customWidth="1"/>
    <col min="3079" max="3079" width="15.09765625" style="291" customWidth="1"/>
    <col min="3080" max="3080" width="14.8984375" style="291" customWidth="1"/>
    <col min="3081" max="3081" width="12.69921875" style="291" customWidth="1"/>
    <col min="3082" max="3083" width="9" style="291"/>
    <col min="3084" max="3085" width="12.69921875" style="291" customWidth="1"/>
    <col min="3086" max="3329" width="9" style="291"/>
    <col min="3330" max="3330" width="12.69921875" style="291" customWidth="1"/>
    <col min="3331" max="3331" width="9" style="291"/>
    <col min="3332" max="3332" width="15.69921875" style="291" customWidth="1"/>
    <col min="3333" max="3333" width="19.3984375" style="291" customWidth="1"/>
    <col min="3334" max="3334" width="13.69921875" style="291" customWidth="1"/>
    <col min="3335" max="3335" width="15.09765625" style="291" customWidth="1"/>
    <col min="3336" max="3336" width="14.8984375" style="291" customWidth="1"/>
    <col min="3337" max="3337" width="12.69921875" style="291" customWidth="1"/>
    <col min="3338" max="3339" width="9" style="291"/>
    <col min="3340" max="3341" width="12.69921875" style="291" customWidth="1"/>
    <col min="3342" max="3585" width="9" style="291"/>
    <col min="3586" max="3586" width="12.69921875" style="291" customWidth="1"/>
    <col min="3587" max="3587" width="9" style="291"/>
    <col min="3588" max="3588" width="15.69921875" style="291" customWidth="1"/>
    <col min="3589" max="3589" width="19.3984375" style="291" customWidth="1"/>
    <col min="3590" max="3590" width="13.69921875" style="291" customWidth="1"/>
    <col min="3591" max="3591" width="15.09765625" style="291" customWidth="1"/>
    <col min="3592" max="3592" width="14.8984375" style="291" customWidth="1"/>
    <col min="3593" max="3593" width="12.69921875" style="291" customWidth="1"/>
    <col min="3594" max="3595" width="9" style="291"/>
    <col min="3596" max="3597" width="12.69921875" style="291" customWidth="1"/>
    <col min="3598" max="3841" width="9" style="291"/>
    <col min="3842" max="3842" width="12.69921875" style="291" customWidth="1"/>
    <col min="3843" max="3843" width="9" style="291"/>
    <col min="3844" max="3844" width="15.69921875" style="291" customWidth="1"/>
    <col min="3845" max="3845" width="19.3984375" style="291" customWidth="1"/>
    <col min="3846" max="3846" width="13.69921875" style="291" customWidth="1"/>
    <col min="3847" max="3847" width="15.09765625" style="291" customWidth="1"/>
    <col min="3848" max="3848" width="14.8984375" style="291" customWidth="1"/>
    <col min="3849" max="3849" width="12.69921875" style="291" customWidth="1"/>
    <col min="3850" max="3851" width="9" style="291"/>
    <col min="3852" max="3853" width="12.69921875" style="291" customWidth="1"/>
    <col min="3854" max="4097" width="9" style="291"/>
    <col min="4098" max="4098" width="12.69921875" style="291" customWidth="1"/>
    <col min="4099" max="4099" width="9" style="291"/>
    <col min="4100" max="4100" width="15.69921875" style="291" customWidth="1"/>
    <col min="4101" max="4101" width="19.3984375" style="291" customWidth="1"/>
    <col min="4102" max="4102" width="13.69921875" style="291" customWidth="1"/>
    <col min="4103" max="4103" width="15.09765625" style="291" customWidth="1"/>
    <col min="4104" max="4104" width="14.8984375" style="291" customWidth="1"/>
    <col min="4105" max="4105" width="12.69921875" style="291" customWidth="1"/>
    <col min="4106" max="4107" width="9" style="291"/>
    <col min="4108" max="4109" width="12.69921875" style="291" customWidth="1"/>
    <col min="4110" max="4353" width="9" style="291"/>
    <col min="4354" max="4354" width="12.69921875" style="291" customWidth="1"/>
    <col min="4355" max="4355" width="9" style="291"/>
    <col min="4356" max="4356" width="15.69921875" style="291" customWidth="1"/>
    <col min="4357" max="4357" width="19.3984375" style="291" customWidth="1"/>
    <col min="4358" max="4358" width="13.69921875" style="291" customWidth="1"/>
    <col min="4359" max="4359" width="15.09765625" style="291" customWidth="1"/>
    <col min="4360" max="4360" width="14.8984375" style="291" customWidth="1"/>
    <col min="4361" max="4361" width="12.69921875" style="291" customWidth="1"/>
    <col min="4362" max="4363" width="9" style="291"/>
    <col min="4364" max="4365" width="12.69921875" style="291" customWidth="1"/>
    <col min="4366" max="4609" width="9" style="291"/>
    <col min="4610" max="4610" width="12.69921875" style="291" customWidth="1"/>
    <col min="4611" max="4611" width="9" style="291"/>
    <col min="4612" max="4612" width="15.69921875" style="291" customWidth="1"/>
    <col min="4613" max="4613" width="19.3984375" style="291" customWidth="1"/>
    <col min="4614" max="4614" width="13.69921875" style="291" customWidth="1"/>
    <col min="4615" max="4615" width="15.09765625" style="291" customWidth="1"/>
    <col min="4616" max="4616" width="14.8984375" style="291" customWidth="1"/>
    <col min="4617" max="4617" width="12.69921875" style="291" customWidth="1"/>
    <col min="4618" max="4619" width="9" style="291"/>
    <col min="4620" max="4621" width="12.69921875" style="291" customWidth="1"/>
    <col min="4622" max="4865" width="9" style="291"/>
    <col min="4866" max="4866" width="12.69921875" style="291" customWidth="1"/>
    <col min="4867" max="4867" width="9" style="291"/>
    <col min="4868" max="4868" width="15.69921875" style="291" customWidth="1"/>
    <col min="4869" max="4869" width="19.3984375" style="291" customWidth="1"/>
    <col min="4870" max="4870" width="13.69921875" style="291" customWidth="1"/>
    <col min="4871" max="4871" width="15.09765625" style="291" customWidth="1"/>
    <col min="4872" max="4872" width="14.8984375" style="291" customWidth="1"/>
    <col min="4873" max="4873" width="12.69921875" style="291" customWidth="1"/>
    <col min="4874" max="4875" width="9" style="291"/>
    <col min="4876" max="4877" width="12.69921875" style="291" customWidth="1"/>
    <col min="4878" max="5121" width="9" style="291"/>
    <col min="5122" max="5122" width="12.69921875" style="291" customWidth="1"/>
    <col min="5123" max="5123" width="9" style="291"/>
    <col min="5124" max="5124" width="15.69921875" style="291" customWidth="1"/>
    <col min="5125" max="5125" width="19.3984375" style="291" customWidth="1"/>
    <col min="5126" max="5126" width="13.69921875" style="291" customWidth="1"/>
    <col min="5127" max="5127" width="15.09765625" style="291" customWidth="1"/>
    <col min="5128" max="5128" width="14.8984375" style="291" customWidth="1"/>
    <col min="5129" max="5129" width="12.69921875" style="291" customWidth="1"/>
    <col min="5130" max="5131" width="9" style="291"/>
    <col min="5132" max="5133" width="12.69921875" style="291" customWidth="1"/>
    <col min="5134" max="5377" width="9" style="291"/>
    <col min="5378" max="5378" width="12.69921875" style="291" customWidth="1"/>
    <col min="5379" max="5379" width="9" style="291"/>
    <col min="5380" max="5380" width="15.69921875" style="291" customWidth="1"/>
    <col min="5381" max="5381" width="19.3984375" style="291" customWidth="1"/>
    <col min="5382" max="5382" width="13.69921875" style="291" customWidth="1"/>
    <col min="5383" max="5383" width="15.09765625" style="291" customWidth="1"/>
    <col min="5384" max="5384" width="14.8984375" style="291" customWidth="1"/>
    <col min="5385" max="5385" width="12.69921875" style="291" customWidth="1"/>
    <col min="5386" max="5387" width="9" style="291"/>
    <col min="5388" max="5389" width="12.69921875" style="291" customWidth="1"/>
    <col min="5390" max="5633" width="9" style="291"/>
    <col min="5634" max="5634" width="12.69921875" style="291" customWidth="1"/>
    <col min="5635" max="5635" width="9" style="291"/>
    <col min="5636" max="5636" width="15.69921875" style="291" customWidth="1"/>
    <col min="5637" max="5637" width="19.3984375" style="291" customWidth="1"/>
    <col min="5638" max="5638" width="13.69921875" style="291" customWidth="1"/>
    <col min="5639" max="5639" width="15.09765625" style="291" customWidth="1"/>
    <col min="5640" max="5640" width="14.8984375" style="291" customWidth="1"/>
    <col min="5641" max="5641" width="12.69921875" style="291" customWidth="1"/>
    <col min="5642" max="5643" width="9" style="291"/>
    <col min="5644" max="5645" width="12.69921875" style="291" customWidth="1"/>
    <col min="5646" max="5889" width="9" style="291"/>
    <col min="5890" max="5890" width="12.69921875" style="291" customWidth="1"/>
    <col min="5891" max="5891" width="9" style="291"/>
    <col min="5892" max="5892" width="15.69921875" style="291" customWidth="1"/>
    <col min="5893" max="5893" width="19.3984375" style="291" customWidth="1"/>
    <col min="5894" max="5894" width="13.69921875" style="291" customWidth="1"/>
    <col min="5895" max="5895" width="15.09765625" style="291" customWidth="1"/>
    <col min="5896" max="5896" width="14.8984375" style="291" customWidth="1"/>
    <col min="5897" max="5897" width="12.69921875" style="291" customWidth="1"/>
    <col min="5898" max="5899" width="9" style="291"/>
    <col min="5900" max="5901" width="12.69921875" style="291" customWidth="1"/>
    <col min="5902" max="6145" width="9" style="291"/>
    <col min="6146" max="6146" width="12.69921875" style="291" customWidth="1"/>
    <col min="6147" max="6147" width="9" style="291"/>
    <col min="6148" max="6148" width="15.69921875" style="291" customWidth="1"/>
    <col min="6149" max="6149" width="19.3984375" style="291" customWidth="1"/>
    <col min="6150" max="6150" width="13.69921875" style="291" customWidth="1"/>
    <col min="6151" max="6151" width="15.09765625" style="291" customWidth="1"/>
    <col min="6152" max="6152" width="14.8984375" style="291" customWidth="1"/>
    <col min="6153" max="6153" width="12.69921875" style="291" customWidth="1"/>
    <col min="6154" max="6155" width="9" style="291"/>
    <col min="6156" max="6157" width="12.69921875" style="291" customWidth="1"/>
    <col min="6158" max="6401" width="9" style="291"/>
    <col min="6402" max="6402" width="12.69921875" style="291" customWidth="1"/>
    <col min="6403" max="6403" width="9" style="291"/>
    <col min="6404" max="6404" width="15.69921875" style="291" customWidth="1"/>
    <col min="6405" max="6405" width="19.3984375" style="291" customWidth="1"/>
    <col min="6406" max="6406" width="13.69921875" style="291" customWidth="1"/>
    <col min="6407" max="6407" width="15.09765625" style="291" customWidth="1"/>
    <col min="6408" max="6408" width="14.8984375" style="291" customWidth="1"/>
    <col min="6409" max="6409" width="12.69921875" style="291" customWidth="1"/>
    <col min="6410" max="6411" width="9" style="291"/>
    <col min="6412" max="6413" width="12.69921875" style="291" customWidth="1"/>
    <col min="6414" max="6657" width="9" style="291"/>
    <col min="6658" max="6658" width="12.69921875" style="291" customWidth="1"/>
    <col min="6659" max="6659" width="9" style="291"/>
    <col min="6660" max="6660" width="15.69921875" style="291" customWidth="1"/>
    <col min="6661" max="6661" width="19.3984375" style="291" customWidth="1"/>
    <col min="6662" max="6662" width="13.69921875" style="291" customWidth="1"/>
    <col min="6663" max="6663" width="15.09765625" style="291" customWidth="1"/>
    <col min="6664" max="6664" width="14.8984375" style="291" customWidth="1"/>
    <col min="6665" max="6665" width="12.69921875" style="291" customWidth="1"/>
    <col min="6666" max="6667" width="9" style="291"/>
    <col min="6668" max="6669" width="12.69921875" style="291" customWidth="1"/>
    <col min="6670" max="6913" width="9" style="291"/>
    <col min="6914" max="6914" width="12.69921875" style="291" customWidth="1"/>
    <col min="6915" max="6915" width="9" style="291"/>
    <col min="6916" max="6916" width="15.69921875" style="291" customWidth="1"/>
    <col min="6917" max="6917" width="19.3984375" style="291" customWidth="1"/>
    <col min="6918" max="6918" width="13.69921875" style="291" customWidth="1"/>
    <col min="6919" max="6919" width="15.09765625" style="291" customWidth="1"/>
    <col min="6920" max="6920" width="14.8984375" style="291" customWidth="1"/>
    <col min="6921" max="6921" width="12.69921875" style="291" customWidth="1"/>
    <col min="6922" max="6923" width="9" style="291"/>
    <col min="6924" max="6925" width="12.69921875" style="291" customWidth="1"/>
    <col min="6926" max="7169" width="9" style="291"/>
    <col min="7170" max="7170" width="12.69921875" style="291" customWidth="1"/>
    <col min="7171" max="7171" width="9" style="291"/>
    <col min="7172" max="7172" width="15.69921875" style="291" customWidth="1"/>
    <col min="7173" max="7173" width="19.3984375" style="291" customWidth="1"/>
    <col min="7174" max="7174" width="13.69921875" style="291" customWidth="1"/>
    <col min="7175" max="7175" width="15.09765625" style="291" customWidth="1"/>
    <col min="7176" max="7176" width="14.8984375" style="291" customWidth="1"/>
    <col min="7177" max="7177" width="12.69921875" style="291" customWidth="1"/>
    <col min="7178" max="7179" width="9" style="291"/>
    <col min="7180" max="7181" width="12.69921875" style="291" customWidth="1"/>
    <col min="7182" max="7425" width="9" style="291"/>
    <col min="7426" max="7426" width="12.69921875" style="291" customWidth="1"/>
    <col min="7427" max="7427" width="9" style="291"/>
    <col min="7428" max="7428" width="15.69921875" style="291" customWidth="1"/>
    <col min="7429" max="7429" width="19.3984375" style="291" customWidth="1"/>
    <col min="7430" max="7430" width="13.69921875" style="291" customWidth="1"/>
    <col min="7431" max="7431" width="15.09765625" style="291" customWidth="1"/>
    <col min="7432" max="7432" width="14.8984375" style="291" customWidth="1"/>
    <col min="7433" max="7433" width="12.69921875" style="291" customWidth="1"/>
    <col min="7434" max="7435" width="9" style="291"/>
    <col min="7436" max="7437" width="12.69921875" style="291" customWidth="1"/>
    <col min="7438" max="7681" width="9" style="291"/>
    <col min="7682" max="7682" width="12.69921875" style="291" customWidth="1"/>
    <col min="7683" max="7683" width="9" style="291"/>
    <col min="7684" max="7684" width="15.69921875" style="291" customWidth="1"/>
    <col min="7685" max="7685" width="19.3984375" style="291" customWidth="1"/>
    <col min="7686" max="7686" width="13.69921875" style="291" customWidth="1"/>
    <col min="7687" max="7687" width="15.09765625" style="291" customWidth="1"/>
    <col min="7688" max="7688" width="14.8984375" style="291" customWidth="1"/>
    <col min="7689" max="7689" width="12.69921875" style="291" customWidth="1"/>
    <col min="7690" max="7691" width="9" style="291"/>
    <col min="7692" max="7693" width="12.69921875" style="291" customWidth="1"/>
    <col min="7694" max="7937" width="9" style="291"/>
    <col min="7938" max="7938" width="12.69921875" style="291" customWidth="1"/>
    <col min="7939" max="7939" width="9" style="291"/>
    <col min="7940" max="7940" width="15.69921875" style="291" customWidth="1"/>
    <col min="7941" max="7941" width="19.3984375" style="291" customWidth="1"/>
    <col min="7942" max="7942" width="13.69921875" style="291" customWidth="1"/>
    <col min="7943" max="7943" width="15.09765625" style="291" customWidth="1"/>
    <col min="7944" max="7944" width="14.8984375" style="291" customWidth="1"/>
    <col min="7945" max="7945" width="12.69921875" style="291" customWidth="1"/>
    <col min="7946" max="7947" width="9" style="291"/>
    <col min="7948" max="7949" width="12.69921875" style="291" customWidth="1"/>
    <col min="7950" max="8193" width="9" style="291"/>
    <col min="8194" max="8194" width="12.69921875" style="291" customWidth="1"/>
    <col min="8195" max="8195" width="9" style="291"/>
    <col min="8196" max="8196" width="15.69921875" style="291" customWidth="1"/>
    <col min="8197" max="8197" width="19.3984375" style="291" customWidth="1"/>
    <col min="8198" max="8198" width="13.69921875" style="291" customWidth="1"/>
    <col min="8199" max="8199" width="15.09765625" style="291" customWidth="1"/>
    <col min="8200" max="8200" width="14.8984375" style="291" customWidth="1"/>
    <col min="8201" max="8201" width="12.69921875" style="291" customWidth="1"/>
    <col min="8202" max="8203" width="9" style="291"/>
    <col min="8204" max="8205" width="12.69921875" style="291" customWidth="1"/>
    <col min="8206" max="8449" width="9" style="291"/>
    <col min="8450" max="8450" width="12.69921875" style="291" customWidth="1"/>
    <col min="8451" max="8451" width="9" style="291"/>
    <col min="8452" max="8452" width="15.69921875" style="291" customWidth="1"/>
    <col min="8453" max="8453" width="19.3984375" style="291" customWidth="1"/>
    <col min="8454" max="8454" width="13.69921875" style="291" customWidth="1"/>
    <col min="8455" max="8455" width="15.09765625" style="291" customWidth="1"/>
    <col min="8456" max="8456" width="14.8984375" style="291" customWidth="1"/>
    <col min="8457" max="8457" width="12.69921875" style="291" customWidth="1"/>
    <col min="8458" max="8459" width="9" style="291"/>
    <col min="8460" max="8461" width="12.69921875" style="291" customWidth="1"/>
    <col min="8462" max="8705" width="9" style="291"/>
    <col min="8706" max="8706" width="12.69921875" style="291" customWidth="1"/>
    <col min="8707" max="8707" width="9" style="291"/>
    <col min="8708" max="8708" width="15.69921875" style="291" customWidth="1"/>
    <col min="8709" max="8709" width="19.3984375" style="291" customWidth="1"/>
    <col min="8710" max="8710" width="13.69921875" style="291" customWidth="1"/>
    <col min="8711" max="8711" width="15.09765625" style="291" customWidth="1"/>
    <col min="8712" max="8712" width="14.8984375" style="291" customWidth="1"/>
    <col min="8713" max="8713" width="12.69921875" style="291" customWidth="1"/>
    <col min="8714" max="8715" width="9" style="291"/>
    <col min="8716" max="8717" width="12.69921875" style="291" customWidth="1"/>
    <col min="8718" max="8961" width="9" style="291"/>
    <col min="8962" max="8962" width="12.69921875" style="291" customWidth="1"/>
    <col min="8963" max="8963" width="9" style="291"/>
    <col min="8964" max="8964" width="15.69921875" style="291" customWidth="1"/>
    <col min="8965" max="8965" width="19.3984375" style="291" customWidth="1"/>
    <col min="8966" max="8966" width="13.69921875" style="291" customWidth="1"/>
    <col min="8967" max="8967" width="15.09765625" style="291" customWidth="1"/>
    <col min="8968" max="8968" width="14.8984375" style="291" customWidth="1"/>
    <col min="8969" max="8969" width="12.69921875" style="291" customWidth="1"/>
    <col min="8970" max="8971" width="9" style="291"/>
    <col min="8972" max="8973" width="12.69921875" style="291" customWidth="1"/>
    <col min="8974" max="9217" width="9" style="291"/>
    <col min="9218" max="9218" width="12.69921875" style="291" customWidth="1"/>
    <col min="9219" max="9219" width="9" style="291"/>
    <col min="9220" max="9220" width="15.69921875" style="291" customWidth="1"/>
    <col min="9221" max="9221" width="19.3984375" style="291" customWidth="1"/>
    <col min="9222" max="9222" width="13.69921875" style="291" customWidth="1"/>
    <col min="9223" max="9223" width="15.09765625" style="291" customWidth="1"/>
    <col min="9224" max="9224" width="14.8984375" style="291" customWidth="1"/>
    <col min="9225" max="9225" width="12.69921875" style="291" customWidth="1"/>
    <col min="9226" max="9227" width="9" style="291"/>
    <col min="9228" max="9229" width="12.69921875" style="291" customWidth="1"/>
    <col min="9230" max="9473" width="9" style="291"/>
    <col min="9474" max="9474" width="12.69921875" style="291" customWidth="1"/>
    <col min="9475" max="9475" width="9" style="291"/>
    <col min="9476" max="9476" width="15.69921875" style="291" customWidth="1"/>
    <col min="9477" max="9477" width="19.3984375" style="291" customWidth="1"/>
    <col min="9478" max="9478" width="13.69921875" style="291" customWidth="1"/>
    <col min="9479" max="9479" width="15.09765625" style="291" customWidth="1"/>
    <col min="9480" max="9480" width="14.8984375" style="291" customWidth="1"/>
    <col min="9481" max="9481" width="12.69921875" style="291" customWidth="1"/>
    <col min="9482" max="9483" width="9" style="291"/>
    <col min="9484" max="9485" width="12.69921875" style="291" customWidth="1"/>
    <col min="9486" max="9729" width="9" style="291"/>
    <col min="9730" max="9730" width="12.69921875" style="291" customWidth="1"/>
    <col min="9731" max="9731" width="9" style="291"/>
    <col min="9732" max="9732" width="15.69921875" style="291" customWidth="1"/>
    <col min="9733" max="9733" width="19.3984375" style="291" customWidth="1"/>
    <col min="9734" max="9734" width="13.69921875" style="291" customWidth="1"/>
    <col min="9735" max="9735" width="15.09765625" style="291" customWidth="1"/>
    <col min="9736" max="9736" width="14.8984375" style="291" customWidth="1"/>
    <col min="9737" max="9737" width="12.69921875" style="291" customWidth="1"/>
    <col min="9738" max="9739" width="9" style="291"/>
    <col min="9740" max="9741" width="12.69921875" style="291" customWidth="1"/>
    <col min="9742" max="9985" width="9" style="291"/>
    <col min="9986" max="9986" width="12.69921875" style="291" customWidth="1"/>
    <col min="9987" max="9987" width="9" style="291"/>
    <col min="9988" max="9988" width="15.69921875" style="291" customWidth="1"/>
    <col min="9989" max="9989" width="19.3984375" style="291" customWidth="1"/>
    <col min="9990" max="9990" width="13.69921875" style="291" customWidth="1"/>
    <col min="9991" max="9991" width="15.09765625" style="291" customWidth="1"/>
    <col min="9992" max="9992" width="14.8984375" style="291" customWidth="1"/>
    <col min="9993" max="9993" width="12.69921875" style="291" customWidth="1"/>
    <col min="9994" max="9995" width="9" style="291"/>
    <col min="9996" max="9997" width="12.69921875" style="291" customWidth="1"/>
    <col min="9998" max="10241" width="9" style="291"/>
    <col min="10242" max="10242" width="12.69921875" style="291" customWidth="1"/>
    <col min="10243" max="10243" width="9" style="291"/>
    <col min="10244" max="10244" width="15.69921875" style="291" customWidth="1"/>
    <col min="10245" max="10245" width="19.3984375" style="291" customWidth="1"/>
    <col min="10246" max="10246" width="13.69921875" style="291" customWidth="1"/>
    <col min="10247" max="10247" width="15.09765625" style="291" customWidth="1"/>
    <col min="10248" max="10248" width="14.8984375" style="291" customWidth="1"/>
    <col min="10249" max="10249" width="12.69921875" style="291" customWidth="1"/>
    <col min="10250" max="10251" width="9" style="291"/>
    <col min="10252" max="10253" width="12.69921875" style="291" customWidth="1"/>
    <col min="10254" max="10497" width="9" style="291"/>
    <col min="10498" max="10498" width="12.69921875" style="291" customWidth="1"/>
    <col min="10499" max="10499" width="9" style="291"/>
    <col min="10500" max="10500" width="15.69921875" style="291" customWidth="1"/>
    <col min="10501" max="10501" width="19.3984375" style="291" customWidth="1"/>
    <col min="10502" max="10502" width="13.69921875" style="291" customWidth="1"/>
    <col min="10503" max="10503" width="15.09765625" style="291" customWidth="1"/>
    <col min="10504" max="10504" width="14.8984375" style="291" customWidth="1"/>
    <col min="10505" max="10505" width="12.69921875" style="291" customWidth="1"/>
    <col min="10506" max="10507" width="9" style="291"/>
    <col min="10508" max="10509" width="12.69921875" style="291" customWidth="1"/>
    <col min="10510" max="10753" width="9" style="291"/>
    <col min="10754" max="10754" width="12.69921875" style="291" customWidth="1"/>
    <col min="10755" max="10755" width="9" style="291"/>
    <col min="10756" max="10756" width="15.69921875" style="291" customWidth="1"/>
    <col min="10757" max="10757" width="19.3984375" style="291" customWidth="1"/>
    <col min="10758" max="10758" width="13.69921875" style="291" customWidth="1"/>
    <col min="10759" max="10759" width="15.09765625" style="291" customWidth="1"/>
    <col min="10760" max="10760" width="14.8984375" style="291" customWidth="1"/>
    <col min="10761" max="10761" width="12.69921875" style="291" customWidth="1"/>
    <col min="10762" max="10763" width="9" style="291"/>
    <col min="10764" max="10765" width="12.69921875" style="291" customWidth="1"/>
    <col min="10766" max="11009" width="9" style="291"/>
    <col min="11010" max="11010" width="12.69921875" style="291" customWidth="1"/>
    <col min="11011" max="11011" width="9" style="291"/>
    <col min="11012" max="11012" width="15.69921875" style="291" customWidth="1"/>
    <col min="11013" max="11013" width="19.3984375" style="291" customWidth="1"/>
    <col min="11014" max="11014" width="13.69921875" style="291" customWidth="1"/>
    <col min="11015" max="11015" width="15.09765625" style="291" customWidth="1"/>
    <col min="11016" max="11016" width="14.8984375" style="291" customWidth="1"/>
    <col min="11017" max="11017" width="12.69921875" style="291" customWidth="1"/>
    <col min="11018" max="11019" width="9" style="291"/>
    <col min="11020" max="11021" width="12.69921875" style="291" customWidth="1"/>
    <col min="11022" max="11265" width="9" style="291"/>
    <col min="11266" max="11266" width="12.69921875" style="291" customWidth="1"/>
    <col min="11267" max="11267" width="9" style="291"/>
    <col min="11268" max="11268" width="15.69921875" style="291" customWidth="1"/>
    <col min="11269" max="11269" width="19.3984375" style="291" customWidth="1"/>
    <col min="11270" max="11270" width="13.69921875" style="291" customWidth="1"/>
    <col min="11271" max="11271" width="15.09765625" style="291" customWidth="1"/>
    <col min="11272" max="11272" width="14.8984375" style="291" customWidth="1"/>
    <col min="11273" max="11273" width="12.69921875" style="291" customWidth="1"/>
    <col min="11274" max="11275" width="9" style="291"/>
    <col min="11276" max="11277" width="12.69921875" style="291" customWidth="1"/>
    <col min="11278" max="11521" width="9" style="291"/>
    <col min="11522" max="11522" width="12.69921875" style="291" customWidth="1"/>
    <col min="11523" max="11523" width="9" style="291"/>
    <col min="11524" max="11524" width="15.69921875" style="291" customWidth="1"/>
    <col min="11525" max="11525" width="19.3984375" style="291" customWidth="1"/>
    <col min="11526" max="11526" width="13.69921875" style="291" customWidth="1"/>
    <col min="11527" max="11527" width="15.09765625" style="291" customWidth="1"/>
    <col min="11528" max="11528" width="14.8984375" style="291" customWidth="1"/>
    <col min="11529" max="11529" width="12.69921875" style="291" customWidth="1"/>
    <col min="11530" max="11531" width="9" style="291"/>
    <col min="11532" max="11533" width="12.69921875" style="291" customWidth="1"/>
    <col min="11534" max="11777" width="9" style="291"/>
    <col min="11778" max="11778" width="12.69921875" style="291" customWidth="1"/>
    <col min="11779" max="11779" width="9" style="291"/>
    <col min="11780" max="11780" width="15.69921875" style="291" customWidth="1"/>
    <col min="11781" max="11781" width="19.3984375" style="291" customWidth="1"/>
    <col min="11782" max="11782" width="13.69921875" style="291" customWidth="1"/>
    <col min="11783" max="11783" width="15.09765625" style="291" customWidth="1"/>
    <col min="11784" max="11784" width="14.8984375" style="291" customWidth="1"/>
    <col min="11785" max="11785" width="12.69921875" style="291" customWidth="1"/>
    <col min="11786" max="11787" width="9" style="291"/>
    <col min="11788" max="11789" width="12.69921875" style="291" customWidth="1"/>
    <col min="11790" max="12033" width="9" style="291"/>
    <col min="12034" max="12034" width="12.69921875" style="291" customWidth="1"/>
    <col min="12035" max="12035" width="9" style="291"/>
    <col min="12036" max="12036" width="15.69921875" style="291" customWidth="1"/>
    <col min="12037" max="12037" width="19.3984375" style="291" customWidth="1"/>
    <col min="12038" max="12038" width="13.69921875" style="291" customWidth="1"/>
    <col min="12039" max="12039" width="15.09765625" style="291" customWidth="1"/>
    <col min="12040" max="12040" width="14.8984375" style="291" customWidth="1"/>
    <col min="12041" max="12041" width="12.69921875" style="291" customWidth="1"/>
    <col min="12042" max="12043" width="9" style="291"/>
    <col min="12044" max="12045" width="12.69921875" style="291" customWidth="1"/>
    <col min="12046" max="12289" width="9" style="291"/>
    <col min="12290" max="12290" width="12.69921875" style="291" customWidth="1"/>
    <col min="12291" max="12291" width="9" style="291"/>
    <col min="12292" max="12292" width="15.69921875" style="291" customWidth="1"/>
    <col min="12293" max="12293" width="19.3984375" style="291" customWidth="1"/>
    <col min="12294" max="12294" width="13.69921875" style="291" customWidth="1"/>
    <col min="12295" max="12295" width="15.09765625" style="291" customWidth="1"/>
    <col min="12296" max="12296" width="14.8984375" style="291" customWidth="1"/>
    <col min="12297" max="12297" width="12.69921875" style="291" customWidth="1"/>
    <col min="12298" max="12299" width="9" style="291"/>
    <col min="12300" max="12301" width="12.69921875" style="291" customWidth="1"/>
    <col min="12302" max="12545" width="9" style="291"/>
    <col min="12546" max="12546" width="12.69921875" style="291" customWidth="1"/>
    <col min="12547" max="12547" width="9" style="291"/>
    <col min="12548" max="12548" width="15.69921875" style="291" customWidth="1"/>
    <col min="12549" max="12549" width="19.3984375" style="291" customWidth="1"/>
    <col min="12550" max="12550" width="13.69921875" style="291" customWidth="1"/>
    <col min="12551" max="12551" width="15.09765625" style="291" customWidth="1"/>
    <col min="12552" max="12552" width="14.8984375" style="291" customWidth="1"/>
    <col min="12553" max="12553" width="12.69921875" style="291" customWidth="1"/>
    <col min="12554" max="12555" width="9" style="291"/>
    <col min="12556" max="12557" width="12.69921875" style="291" customWidth="1"/>
    <col min="12558" max="12801" width="9" style="291"/>
    <col min="12802" max="12802" width="12.69921875" style="291" customWidth="1"/>
    <col min="12803" max="12803" width="9" style="291"/>
    <col min="12804" max="12804" width="15.69921875" style="291" customWidth="1"/>
    <col min="12805" max="12805" width="19.3984375" style="291" customWidth="1"/>
    <col min="12806" max="12806" width="13.69921875" style="291" customWidth="1"/>
    <col min="12807" max="12807" width="15.09765625" style="291" customWidth="1"/>
    <col min="12808" max="12808" width="14.8984375" style="291" customWidth="1"/>
    <col min="12809" max="12809" width="12.69921875" style="291" customWidth="1"/>
    <col min="12810" max="12811" width="9" style="291"/>
    <col min="12812" max="12813" width="12.69921875" style="291" customWidth="1"/>
    <col min="12814" max="13057" width="9" style="291"/>
    <col min="13058" max="13058" width="12.69921875" style="291" customWidth="1"/>
    <col min="13059" max="13059" width="9" style="291"/>
    <col min="13060" max="13060" width="15.69921875" style="291" customWidth="1"/>
    <col min="13061" max="13061" width="19.3984375" style="291" customWidth="1"/>
    <col min="13062" max="13062" width="13.69921875" style="291" customWidth="1"/>
    <col min="13063" max="13063" width="15.09765625" style="291" customWidth="1"/>
    <col min="13064" max="13064" width="14.8984375" style="291" customWidth="1"/>
    <col min="13065" max="13065" width="12.69921875" style="291" customWidth="1"/>
    <col min="13066" max="13067" width="9" style="291"/>
    <col min="13068" max="13069" width="12.69921875" style="291" customWidth="1"/>
    <col min="13070" max="13313" width="9" style="291"/>
    <col min="13314" max="13314" width="12.69921875" style="291" customWidth="1"/>
    <col min="13315" max="13315" width="9" style="291"/>
    <col min="13316" max="13316" width="15.69921875" style="291" customWidth="1"/>
    <col min="13317" max="13317" width="19.3984375" style="291" customWidth="1"/>
    <col min="13318" max="13318" width="13.69921875" style="291" customWidth="1"/>
    <col min="13319" max="13319" width="15.09765625" style="291" customWidth="1"/>
    <col min="13320" max="13320" width="14.8984375" style="291" customWidth="1"/>
    <col min="13321" max="13321" width="12.69921875" style="291" customWidth="1"/>
    <col min="13322" max="13323" width="9" style="291"/>
    <col min="13324" max="13325" width="12.69921875" style="291" customWidth="1"/>
    <col min="13326" max="13569" width="9" style="291"/>
    <col min="13570" max="13570" width="12.69921875" style="291" customWidth="1"/>
    <col min="13571" max="13571" width="9" style="291"/>
    <col min="13572" max="13572" width="15.69921875" style="291" customWidth="1"/>
    <col min="13573" max="13573" width="19.3984375" style="291" customWidth="1"/>
    <col min="13574" max="13574" width="13.69921875" style="291" customWidth="1"/>
    <col min="13575" max="13575" width="15.09765625" style="291" customWidth="1"/>
    <col min="13576" max="13576" width="14.8984375" style="291" customWidth="1"/>
    <col min="13577" max="13577" width="12.69921875" style="291" customWidth="1"/>
    <col min="13578" max="13579" width="9" style="291"/>
    <col min="13580" max="13581" width="12.69921875" style="291" customWidth="1"/>
    <col min="13582" max="13825" width="9" style="291"/>
    <col min="13826" max="13826" width="12.69921875" style="291" customWidth="1"/>
    <col min="13827" max="13827" width="9" style="291"/>
    <col min="13828" max="13828" width="15.69921875" style="291" customWidth="1"/>
    <col min="13829" max="13829" width="19.3984375" style="291" customWidth="1"/>
    <col min="13830" max="13830" width="13.69921875" style="291" customWidth="1"/>
    <col min="13831" max="13831" width="15.09765625" style="291" customWidth="1"/>
    <col min="13832" max="13832" width="14.8984375" style="291" customWidth="1"/>
    <col min="13833" max="13833" width="12.69921875" style="291" customWidth="1"/>
    <col min="13834" max="13835" width="9" style="291"/>
    <col min="13836" max="13837" width="12.69921875" style="291" customWidth="1"/>
    <col min="13838" max="14081" width="9" style="291"/>
    <col min="14082" max="14082" width="12.69921875" style="291" customWidth="1"/>
    <col min="14083" max="14083" width="9" style="291"/>
    <col min="14084" max="14084" width="15.69921875" style="291" customWidth="1"/>
    <col min="14085" max="14085" width="19.3984375" style="291" customWidth="1"/>
    <col min="14086" max="14086" width="13.69921875" style="291" customWidth="1"/>
    <col min="14087" max="14087" width="15.09765625" style="291" customWidth="1"/>
    <col min="14088" max="14088" width="14.8984375" style="291" customWidth="1"/>
    <col min="14089" max="14089" width="12.69921875" style="291" customWidth="1"/>
    <col min="14090" max="14091" width="9" style="291"/>
    <col min="14092" max="14093" width="12.69921875" style="291" customWidth="1"/>
    <col min="14094" max="14337" width="9" style="291"/>
    <col min="14338" max="14338" width="12.69921875" style="291" customWidth="1"/>
    <col min="14339" max="14339" width="9" style="291"/>
    <col min="14340" max="14340" width="15.69921875" style="291" customWidth="1"/>
    <col min="14341" max="14341" width="19.3984375" style="291" customWidth="1"/>
    <col min="14342" max="14342" width="13.69921875" style="291" customWidth="1"/>
    <col min="14343" max="14343" width="15.09765625" style="291" customWidth="1"/>
    <col min="14344" max="14344" width="14.8984375" style="291" customWidth="1"/>
    <col min="14345" max="14345" width="12.69921875" style="291" customWidth="1"/>
    <col min="14346" max="14347" width="9" style="291"/>
    <col min="14348" max="14349" width="12.69921875" style="291" customWidth="1"/>
    <col min="14350" max="14593" width="9" style="291"/>
    <col min="14594" max="14594" width="12.69921875" style="291" customWidth="1"/>
    <col min="14595" max="14595" width="9" style="291"/>
    <col min="14596" max="14596" width="15.69921875" style="291" customWidth="1"/>
    <col min="14597" max="14597" width="19.3984375" style="291" customWidth="1"/>
    <col min="14598" max="14598" width="13.69921875" style="291" customWidth="1"/>
    <col min="14599" max="14599" width="15.09765625" style="291" customWidth="1"/>
    <col min="14600" max="14600" width="14.8984375" style="291" customWidth="1"/>
    <col min="14601" max="14601" width="12.69921875" style="291" customWidth="1"/>
    <col min="14602" max="14603" width="9" style="291"/>
    <col min="14604" max="14605" width="12.69921875" style="291" customWidth="1"/>
    <col min="14606" max="14849" width="9" style="291"/>
    <col min="14850" max="14850" width="12.69921875" style="291" customWidth="1"/>
    <col min="14851" max="14851" width="9" style="291"/>
    <col min="14852" max="14852" width="15.69921875" style="291" customWidth="1"/>
    <col min="14853" max="14853" width="19.3984375" style="291" customWidth="1"/>
    <col min="14854" max="14854" width="13.69921875" style="291" customWidth="1"/>
    <col min="14855" max="14855" width="15.09765625" style="291" customWidth="1"/>
    <col min="14856" max="14856" width="14.8984375" style="291" customWidth="1"/>
    <col min="14857" max="14857" width="12.69921875" style="291" customWidth="1"/>
    <col min="14858" max="14859" width="9" style="291"/>
    <col min="14860" max="14861" width="12.69921875" style="291" customWidth="1"/>
    <col min="14862" max="15105" width="9" style="291"/>
    <col min="15106" max="15106" width="12.69921875" style="291" customWidth="1"/>
    <col min="15107" max="15107" width="9" style="291"/>
    <col min="15108" max="15108" width="15.69921875" style="291" customWidth="1"/>
    <col min="15109" max="15109" width="19.3984375" style="291" customWidth="1"/>
    <col min="15110" max="15110" width="13.69921875" style="291" customWidth="1"/>
    <col min="15111" max="15111" width="15.09765625" style="291" customWidth="1"/>
    <col min="15112" max="15112" width="14.8984375" style="291" customWidth="1"/>
    <col min="15113" max="15113" width="12.69921875" style="291" customWidth="1"/>
    <col min="15114" max="15115" width="9" style="291"/>
    <col min="15116" max="15117" width="12.69921875" style="291" customWidth="1"/>
    <col min="15118" max="15361" width="9" style="291"/>
    <col min="15362" max="15362" width="12.69921875" style="291" customWidth="1"/>
    <col min="15363" max="15363" width="9" style="291"/>
    <col min="15364" max="15364" width="15.69921875" style="291" customWidth="1"/>
    <col min="15365" max="15365" width="19.3984375" style="291" customWidth="1"/>
    <col min="15366" max="15366" width="13.69921875" style="291" customWidth="1"/>
    <col min="15367" max="15367" width="15.09765625" style="291" customWidth="1"/>
    <col min="15368" max="15368" width="14.8984375" style="291" customWidth="1"/>
    <col min="15369" max="15369" width="12.69921875" style="291" customWidth="1"/>
    <col min="15370" max="15371" width="9" style="291"/>
    <col min="15372" max="15373" width="12.69921875" style="291" customWidth="1"/>
    <col min="15374" max="15617" width="9" style="291"/>
    <col min="15618" max="15618" width="12.69921875" style="291" customWidth="1"/>
    <col min="15619" max="15619" width="9" style="291"/>
    <col min="15620" max="15620" width="15.69921875" style="291" customWidth="1"/>
    <col min="15621" max="15621" width="19.3984375" style="291" customWidth="1"/>
    <col min="15622" max="15622" width="13.69921875" style="291" customWidth="1"/>
    <col min="15623" max="15623" width="15.09765625" style="291" customWidth="1"/>
    <col min="15624" max="15624" width="14.8984375" style="291" customWidth="1"/>
    <col min="15625" max="15625" width="12.69921875" style="291" customWidth="1"/>
    <col min="15626" max="15627" width="9" style="291"/>
    <col min="15628" max="15629" width="12.69921875" style="291" customWidth="1"/>
    <col min="15630" max="15873" width="9" style="291"/>
    <col min="15874" max="15874" width="12.69921875" style="291" customWidth="1"/>
    <col min="15875" max="15875" width="9" style="291"/>
    <col min="15876" max="15876" width="15.69921875" style="291" customWidth="1"/>
    <col min="15877" max="15877" width="19.3984375" style="291" customWidth="1"/>
    <col min="15878" max="15878" width="13.69921875" style="291" customWidth="1"/>
    <col min="15879" max="15879" width="15.09765625" style="291" customWidth="1"/>
    <col min="15880" max="15880" width="14.8984375" style="291" customWidth="1"/>
    <col min="15881" max="15881" width="12.69921875" style="291" customWidth="1"/>
    <col min="15882" max="15883" width="9" style="291"/>
    <col min="15884" max="15885" width="12.69921875" style="291" customWidth="1"/>
    <col min="15886" max="16129" width="9" style="291"/>
    <col min="16130" max="16130" width="12.69921875" style="291" customWidth="1"/>
    <col min="16131" max="16131" width="9" style="291"/>
    <col min="16132" max="16132" width="15.69921875" style="291" customWidth="1"/>
    <col min="16133" max="16133" width="19.3984375" style="291" customWidth="1"/>
    <col min="16134" max="16134" width="13.69921875" style="291" customWidth="1"/>
    <col min="16135" max="16135" width="15.09765625" style="291" customWidth="1"/>
    <col min="16136" max="16136" width="14.8984375" style="291" customWidth="1"/>
    <col min="16137" max="16137" width="12.69921875" style="291" customWidth="1"/>
    <col min="16138" max="16139" width="9" style="291"/>
    <col min="16140" max="16141" width="12.69921875" style="291" customWidth="1"/>
    <col min="16142" max="16384" width="9" style="291"/>
  </cols>
  <sheetData>
    <row r="1" spans="1:13" s="233" customFormat="1" ht="20.100000000000001" customHeight="1">
      <c r="A1" s="364" t="s">
        <v>17</v>
      </c>
      <c r="B1" s="364"/>
      <c r="C1" s="364"/>
      <c r="D1" s="364"/>
      <c r="E1" s="364"/>
      <c r="F1" s="364"/>
      <c r="G1" s="364"/>
      <c r="H1" s="364"/>
      <c r="I1" s="364"/>
      <c r="J1" s="364"/>
      <c r="K1" s="364"/>
      <c r="L1" s="364"/>
      <c r="M1" s="364"/>
    </row>
    <row r="2" spans="1:13" ht="20.100000000000001" customHeight="1">
      <c r="A2" s="428" t="s">
        <v>268</v>
      </c>
      <c r="B2" s="428"/>
      <c r="C2" s="428"/>
      <c r="D2" s="428"/>
      <c r="E2" s="428"/>
      <c r="F2" s="428"/>
      <c r="G2" s="428"/>
      <c r="H2" s="428"/>
      <c r="I2" s="428"/>
      <c r="J2" s="428"/>
      <c r="K2" s="428"/>
      <c r="L2" s="428"/>
      <c r="M2" s="428"/>
    </row>
    <row r="3" spans="1:13" s="51" customFormat="1" ht="20.100000000000001" customHeight="1">
      <c r="A3" s="51" t="str">
        <f>底稿目录!A2</f>
        <v>被审计单位：</v>
      </c>
      <c r="E3" s="51" t="str">
        <f>底稿目录!$A$4</f>
        <v>编制人：</v>
      </c>
      <c r="H3" s="51" t="str">
        <f>底稿目录!$A$5</f>
        <v>编制日期：</v>
      </c>
      <c r="I3" s="292"/>
      <c r="L3" s="234" t="s">
        <v>278</v>
      </c>
      <c r="M3" s="350" t="s">
        <v>275</v>
      </c>
    </row>
    <row r="4" spans="1:13" s="51" customFormat="1" ht="20.100000000000001" customHeight="1">
      <c r="A4" s="51" t="str">
        <f>底稿目录!A3</f>
        <v>会计期间：202X年度</v>
      </c>
      <c r="E4" s="51" t="str">
        <f>底稿目录!$A$6</f>
        <v>复核人:</v>
      </c>
      <c r="H4" s="51" t="str">
        <f>底稿目录!$A$7</f>
        <v>复核日期:</v>
      </c>
      <c r="I4" s="292"/>
      <c r="L4" s="234" t="s">
        <v>279</v>
      </c>
    </row>
    <row r="5" spans="1:13" ht="20.100000000000001" customHeight="1">
      <c r="A5" s="429" t="s">
        <v>531</v>
      </c>
      <c r="B5" s="429"/>
      <c r="C5" s="429"/>
      <c r="D5" s="429"/>
      <c r="E5" s="429"/>
      <c r="F5" s="429" t="s">
        <v>532</v>
      </c>
      <c r="G5" s="429"/>
      <c r="H5" s="429"/>
      <c r="I5" s="429"/>
      <c r="J5" s="429"/>
      <c r="K5" s="429"/>
      <c r="L5" s="293" t="s">
        <v>533</v>
      </c>
      <c r="M5" s="294" t="s">
        <v>534</v>
      </c>
    </row>
    <row r="6" spans="1:13" ht="20.100000000000001" customHeight="1">
      <c r="A6" s="430" t="s">
        <v>535</v>
      </c>
      <c r="B6" s="430"/>
      <c r="C6" s="430"/>
      <c r="D6" s="430"/>
      <c r="E6" s="430"/>
      <c r="F6" s="431"/>
      <c r="G6" s="431"/>
      <c r="H6" s="431"/>
      <c r="I6" s="431"/>
      <c r="J6" s="431"/>
      <c r="K6" s="431"/>
      <c r="L6" s="295"/>
      <c r="M6" s="295"/>
    </row>
    <row r="7" spans="1:13" ht="20.100000000000001" customHeight="1">
      <c r="A7" s="430" t="s">
        <v>536</v>
      </c>
      <c r="B7" s="430"/>
      <c r="C7" s="430"/>
      <c r="D7" s="430"/>
      <c r="E7" s="430"/>
      <c r="F7" s="431"/>
      <c r="G7" s="431"/>
      <c r="H7" s="431"/>
      <c r="I7" s="431"/>
      <c r="J7" s="431"/>
      <c r="K7" s="431"/>
      <c r="L7" s="295"/>
      <c r="M7" s="295"/>
    </row>
    <row r="8" spans="1:13" ht="29.25" customHeight="1">
      <c r="A8" s="432" t="s">
        <v>537</v>
      </c>
      <c r="B8" s="432"/>
      <c r="C8" s="432"/>
      <c r="D8" s="432"/>
      <c r="E8" s="432"/>
      <c r="F8" s="433" t="s">
        <v>538</v>
      </c>
      <c r="G8" s="431"/>
      <c r="H8" s="296" t="s">
        <v>539</v>
      </c>
      <c r="I8" s="297"/>
      <c r="J8" s="298" t="s">
        <v>540</v>
      </c>
      <c r="K8" s="299">
        <f>IF(G8=0,0,I8/G8)</f>
        <v>0</v>
      </c>
      <c r="L8" s="295"/>
      <c r="M8" s="295"/>
    </row>
    <row r="9" spans="1:13" ht="20.100000000000001" customHeight="1">
      <c r="A9" s="432"/>
      <c r="B9" s="432"/>
      <c r="C9" s="432"/>
      <c r="D9" s="432"/>
      <c r="E9" s="432"/>
      <c r="F9" s="433"/>
      <c r="G9" s="431"/>
      <c r="H9" s="297" t="s">
        <v>541</v>
      </c>
      <c r="I9" s="297"/>
      <c r="J9" s="298" t="s">
        <v>540</v>
      </c>
      <c r="K9" s="299">
        <f>IF(G8=0,0,I9/G8)</f>
        <v>0</v>
      </c>
      <c r="L9" s="295"/>
      <c r="M9" s="295"/>
    </row>
    <row r="10" spans="1:13" ht="20.100000000000001" customHeight="1">
      <c r="A10" s="432" t="s">
        <v>542</v>
      </c>
      <c r="B10" s="432"/>
      <c r="C10" s="432"/>
      <c r="D10" s="432"/>
      <c r="E10" s="432"/>
      <c r="F10" s="431"/>
      <c r="G10" s="431"/>
      <c r="H10" s="431"/>
      <c r="I10" s="431"/>
      <c r="J10" s="431"/>
      <c r="K10" s="431"/>
      <c r="L10" s="295"/>
      <c r="M10" s="295"/>
    </row>
    <row r="11" spans="1:13" ht="46.5" customHeight="1">
      <c r="A11" s="432" t="s">
        <v>543</v>
      </c>
      <c r="B11" s="432"/>
      <c r="C11" s="432"/>
      <c r="D11" s="432"/>
      <c r="E11" s="432"/>
      <c r="F11" s="296" t="s">
        <v>544</v>
      </c>
      <c r="G11" s="295"/>
      <c r="H11" s="433" t="s">
        <v>545</v>
      </c>
      <c r="I11" s="433"/>
      <c r="J11" s="298"/>
      <c r="K11" s="300"/>
      <c r="L11" s="295"/>
      <c r="M11" s="295"/>
    </row>
    <row r="12" spans="1:13" ht="35.25" customHeight="1">
      <c r="A12" s="432" t="s">
        <v>546</v>
      </c>
      <c r="B12" s="432"/>
      <c r="C12" s="432"/>
      <c r="D12" s="432"/>
      <c r="E12" s="432"/>
      <c r="F12" s="296" t="s">
        <v>547</v>
      </c>
      <c r="G12" s="297"/>
      <c r="H12" s="297"/>
      <c r="I12" s="297"/>
      <c r="J12" s="298"/>
      <c r="K12" s="300"/>
      <c r="L12" s="295"/>
      <c r="M12" s="295"/>
    </row>
    <row r="13" spans="1:13" ht="20.100000000000001" customHeight="1">
      <c r="A13" s="432" t="s">
        <v>548</v>
      </c>
      <c r="B13" s="432"/>
      <c r="C13" s="432"/>
      <c r="D13" s="432"/>
      <c r="E13" s="432"/>
      <c r="F13" s="297" t="s">
        <v>540</v>
      </c>
      <c r="G13" s="299">
        <f>IF(G12=0,0,G11/G12)</f>
        <v>0</v>
      </c>
      <c r="H13" s="297"/>
      <c r="I13" s="297"/>
      <c r="J13" s="298"/>
      <c r="K13" s="300"/>
      <c r="L13" s="295"/>
      <c r="M13" s="295"/>
    </row>
    <row r="14" spans="1:13" ht="32.700000000000003" customHeight="1">
      <c r="A14" s="432" t="s">
        <v>549</v>
      </c>
      <c r="B14" s="432"/>
      <c r="C14" s="432"/>
      <c r="D14" s="432"/>
      <c r="E14" s="432"/>
      <c r="F14" s="297"/>
      <c r="G14" s="297"/>
      <c r="H14" s="297"/>
      <c r="I14" s="297"/>
      <c r="J14" s="298"/>
      <c r="K14" s="300"/>
      <c r="L14" s="295"/>
      <c r="M14" s="295"/>
    </row>
    <row r="15" spans="1:13" ht="20.100000000000001" customHeight="1">
      <c r="A15" s="432" t="s">
        <v>550</v>
      </c>
      <c r="B15" s="432"/>
      <c r="C15" s="432"/>
      <c r="D15" s="432"/>
      <c r="E15" s="432"/>
      <c r="F15" s="296" t="s">
        <v>551</v>
      </c>
      <c r="G15" s="297"/>
      <c r="H15" s="297" t="s">
        <v>552</v>
      </c>
      <c r="I15" s="297"/>
      <c r="J15" s="298" t="s">
        <v>540</v>
      </c>
      <c r="K15" s="299">
        <f>IF(I15=0,0,I15/G15)</f>
        <v>0</v>
      </c>
      <c r="L15" s="295"/>
      <c r="M15" s="295"/>
    </row>
    <row r="16" spans="1:13" ht="35.25" customHeight="1">
      <c r="A16" s="432" t="s">
        <v>553</v>
      </c>
      <c r="B16" s="432"/>
      <c r="C16" s="432"/>
      <c r="D16" s="432"/>
      <c r="E16" s="432"/>
      <c r="F16" s="431"/>
      <c r="G16" s="431"/>
      <c r="H16" s="431"/>
      <c r="I16" s="431"/>
      <c r="J16" s="431"/>
      <c r="K16" s="431"/>
      <c r="L16" s="295"/>
      <c r="M16" s="295"/>
    </row>
    <row r="17" spans="1:13" ht="20.100000000000001" customHeight="1">
      <c r="A17" s="434" t="s">
        <v>554</v>
      </c>
      <c r="B17" s="434"/>
      <c r="C17" s="434"/>
      <c r="D17" s="434"/>
      <c r="E17" s="434"/>
      <c r="F17" s="431"/>
      <c r="G17" s="431"/>
      <c r="H17" s="431"/>
      <c r="I17" s="431"/>
      <c r="J17" s="431"/>
      <c r="K17" s="431"/>
      <c r="L17" s="295"/>
      <c r="M17" s="295"/>
    </row>
    <row r="18" spans="1:13" ht="20.100000000000001" customHeight="1">
      <c r="A18" s="434" t="s">
        <v>555</v>
      </c>
      <c r="B18" s="434"/>
      <c r="C18" s="434"/>
      <c r="D18" s="434"/>
      <c r="E18" s="434"/>
      <c r="F18" s="431"/>
      <c r="G18" s="431"/>
      <c r="H18" s="431"/>
      <c r="I18" s="431"/>
      <c r="J18" s="431"/>
      <c r="K18" s="431"/>
      <c r="L18" s="295"/>
      <c r="M18" s="295"/>
    </row>
  </sheetData>
  <mergeCells count="25">
    <mergeCell ref="A16:E16"/>
    <mergeCell ref="F16:K16"/>
    <mergeCell ref="A17:E17"/>
    <mergeCell ref="F17:K17"/>
    <mergeCell ref="A18:E18"/>
    <mergeCell ref="F18:K18"/>
    <mergeCell ref="A15:E15"/>
    <mergeCell ref="A7:E7"/>
    <mergeCell ref="F7:K7"/>
    <mergeCell ref="A8:E9"/>
    <mergeCell ref="F8:F9"/>
    <mergeCell ref="G8:G9"/>
    <mergeCell ref="A10:E10"/>
    <mergeCell ref="F10:K10"/>
    <mergeCell ref="A11:E11"/>
    <mergeCell ref="H11:I11"/>
    <mergeCell ref="A12:E12"/>
    <mergeCell ref="A13:E13"/>
    <mergeCell ref="A14:E14"/>
    <mergeCell ref="A1:M1"/>
    <mergeCell ref="A2:M2"/>
    <mergeCell ref="A5:E5"/>
    <mergeCell ref="F5:K5"/>
    <mergeCell ref="A6:E6"/>
    <mergeCell ref="F6:K6"/>
  </mergeCells>
  <phoneticPr fontId="104" type="noConversion"/>
  <conditionalFormatting sqref="A1 N1:XFD1">
    <cfRule type="cellIs" dxfId="9" priority="5" operator="equal">
      <formula>0</formula>
    </cfRule>
  </conditionalFormatting>
  <conditionalFormatting sqref="H3:H4">
    <cfRule type="cellIs" dxfId="8" priority="4" operator="equal">
      <formula>0</formula>
    </cfRule>
  </conditionalFormatting>
  <conditionalFormatting sqref="E3:E4">
    <cfRule type="cellIs" dxfId="7" priority="3" operator="equal">
      <formula>0</formula>
    </cfRule>
  </conditionalFormatting>
  <conditionalFormatting sqref="B3:B4">
    <cfRule type="cellIs" dxfId="6" priority="2" operator="equal">
      <formula>0</formula>
    </cfRule>
  </conditionalFormatting>
  <conditionalFormatting sqref="A3:A4">
    <cfRule type="cellIs" dxfId="5" priority="1" operator="equal">
      <formula>0</formula>
    </cfRule>
  </conditionalFormatting>
  <hyperlinks>
    <hyperlink ref="M3" location="底稿目录!A1" display="D12-6-2"/>
  </hyperlinks>
  <printOptions horizontalCentered="1"/>
  <pageMargins left="0.70833333333333304" right="0.70833333333333304" top="0.74791666666666701" bottom="0.74791666666666701" header="0.31458333333333299" footer="0.31458333333333299"/>
  <pageSetup paperSize="9" scale="70" orientation="landscape"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G15"/>
  <sheetViews>
    <sheetView view="pageBreakPreview" zoomScaleNormal="100" workbookViewId="0">
      <selection sqref="A1:F1"/>
    </sheetView>
  </sheetViews>
  <sheetFormatPr defaultColWidth="10" defaultRowHeight="20.100000000000001" customHeight="1"/>
  <cols>
    <col min="1" max="1" width="15.19921875" style="281" customWidth="1"/>
    <col min="2" max="2" width="12.69921875" style="281" customWidth="1"/>
    <col min="3" max="3" width="12.8984375" style="281" customWidth="1"/>
    <col min="4" max="4" width="13.8984375" style="281" customWidth="1"/>
    <col min="5" max="5" width="15.09765625" style="281" customWidth="1"/>
    <col min="6" max="6" width="15.296875" style="281" customWidth="1"/>
    <col min="7" max="16384" width="10" style="281"/>
  </cols>
  <sheetData>
    <row r="1" spans="1:7" s="233" customFormat="1" ht="20.100000000000001" customHeight="1">
      <c r="A1" s="364" t="s">
        <v>17</v>
      </c>
      <c r="B1" s="364"/>
      <c r="C1" s="364"/>
      <c r="D1" s="364"/>
      <c r="E1" s="364"/>
      <c r="F1" s="364"/>
      <c r="G1" s="280"/>
    </row>
    <row r="2" spans="1:7" ht="20.100000000000001" customHeight="1">
      <c r="A2" s="435" t="s">
        <v>269</v>
      </c>
      <c r="B2" s="435"/>
      <c r="C2" s="435"/>
      <c r="D2" s="435"/>
      <c r="E2" s="435"/>
      <c r="F2" s="435"/>
    </row>
    <row r="3" spans="1:7" s="51" customFormat="1" ht="20.100000000000001" customHeight="1">
      <c r="A3" s="51" t="str">
        <f>底稿目录!A2</f>
        <v>被审计单位：</v>
      </c>
      <c r="C3" s="51" t="str">
        <f>底稿目录!$A$4</f>
        <v>编制人：</v>
      </c>
      <c r="D3" s="51" t="str">
        <f>底稿目录!$A$5</f>
        <v>编制日期：</v>
      </c>
      <c r="E3" s="234" t="s">
        <v>278</v>
      </c>
      <c r="F3" s="350" t="s">
        <v>276</v>
      </c>
    </row>
    <row r="4" spans="1:7" s="51" customFormat="1" ht="20.100000000000001" customHeight="1">
      <c r="A4" s="51" t="str">
        <f>底稿目录!A3</f>
        <v>会计期间：202X年度</v>
      </c>
      <c r="C4" s="51" t="str">
        <f>底稿目录!$A$6</f>
        <v>复核人:</v>
      </c>
      <c r="D4" s="51" t="str">
        <f>底稿目录!$A$7</f>
        <v>复核日期:</v>
      </c>
      <c r="E4" s="234" t="s">
        <v>279</v>
      </c>
    </row>
    <row r="5" spans="1:7" ht="20.100000000000001" customHeight="1">
      <c r="A5" s="436" t="s">
        <v>556</v>
      </c>
      <c r="B5" s="436" t="s">
        <v>557</v>
      </c>
      <c r="C5" s="436" t="s">
        <v>558</v>
      </c>
      <c r="D5" s="436" t="s">
        <v>559</v>
      </c>
      <c r="E5" s="436"/>
      <c r="F5" s="437" t="s">
        <v>560</v>
      </c>
    </row>
    <row r="6" spans="1:7" ht="20.100000000000001" customHeight="1">
      <c r="A6" s="436"/>
      <c r="B6" s="436"/>
      <c r="C6" s="436"/>
      <c r="D6" s="302" t="s">
        <v>561</v>
      </c>
      <c r="E6" s="302" t="s">
        <v>562</v>
      </c>
      <c r="F6" s="437"/>
    </row>
    <row r="7" spans="1:7" ht="20.100000000000001" customHeight="1">
      <c r="A7" s="303"/>
      <c r="B7" s="304"/>
      <c r="C7" s="304"/>
      <c r="D7" s="305"/>
      <c r="E7" s="306"/>
      <c r="F7" s="307">
        <f t="shared" ref="F7:F14" si="0">C7-E7</f>
        <v>0</v>
      </c>
    </row>
    <row r="8" spans="1:7" ht="20.100000000000001" customHeight="1">
      <c r="A8" s="303"/>
      <c r="B8" s="304"/>
      <c r="C8" s="304"/>
      <c r="D8" s="308"/>
      <c r="E8" s="306"/>
      <c r="F8" s="307">
        <f t="shared" si="0"/>
        <v>0</v>
      </c>
    </row>
    <row r="9" spans="1:7" ht="20.100000000000001" customHeight="1">
      <c r="A9" s="303"/>
      <c r="B9" s="304"/>
      <c r="C9" s="304"/>
      <c r="E9" s="306"/>
      <c r="F9" s="307">
        <f t="shared" si="0"/>
        <v>0</v>
      </c>
    </row>
    <row r="10" spans="1:7" ht="20.100000000000001" customHeight="1">
      <c r="A10" s="303"/>
      <c r="B10" s="304"/>
      <c r="C10" s="304"/>
      <c r="D10" s="308"/>
      <c r="E10" s="306"/>
      <c r="F10" s="307">
        <f t="shared" si="0"/>
        <v>0</v>
      </c>
    </row>
    <row r="11" spans="1:7" ht="20.100000000000001" customHeight="1">
      <c r="A11" s="309"/>
      <c r="B11" s="309"/>
      <c r="C11" s="310"/>
      <c r="D11" s="311"/>
      <c r="E11" s="306"/>
      <c r="F11" s="307">
        <f t="shared" si="0"/>
        <v>0</v>
      </c>
    </row>
    <row r="12" spans="1:7" ht="20.100000000000001" customHeight="1">
      <c r="A12" s="309"/>
      <c r="B12" s="309"/>
      <c r="C12" s="310"/>
      <c r="D12" s="311"/>
      <c r="E12" s="306"/>
      <c r="F12" s="307">
        <f t="shared" si="0"/>
        <v>0</v>
      </c>
    </row>
    <row r="13" spans="1:7" ht="20.100000000000001" customHeight="1">
      <c r="A13" s="309"/>
      <c r="B13" s="309"/>
      <c r="C13" s="310"/>
      <c r="D13" s="311"/>
      <c r="E13" s="306"/>
      <c r="F13" s="307">
        <f t="shared" si="0"/>
        <v>0</v>
      </c>
    </row>
    <row r="14" spans="1:7" ht="20.100000000000001" customHeight="1">
      <c r="A14" s="309"/>
      <c r="B14" s="309"/>
      <c r="C14" s="310"/>
      <c r="D14" s="311"/>
      <c r="E14" s="306"/>
      <c r="F14" s="307">
        <f t="shared" si="0"/>
        <v>0</v>
      </c>
    </row>
    <row r="15" spans="1:7" s="287" customFormat="1" ht="20.100000000000001" customHeight="1">
      <c r="A15" s="312" t="s">
        <v>168</v>
      </c>
      <c r="B15" s="313"/>
      <c r="C15" s="314">
        <f>SUM(C7:C14)</f>
        <v>0</v>
      </c>
      <c r="D15" s="315"/>
      <c r="E15" s="314">
        <f>SUM(E7:E14)</f>
        <v>0</v>
      </c>
      <c r="F15" s="316">
        <f>SUM(F7:F14)</f>
        <v>0</v>
      </c>
    </row>
  </sheetData>
  <mergeCells count="7">
    <mergeCell ref="A1:F1"/>
    <mergeCell ref="A2:F2"/>
    <mergeCell ref="A5:A6"/>
    <mergeCell ref="B5:B6"/>
    <mergeCell ref="C5:C6"/>
    <mergeCell ref="D5:E5"/>
    <mergeCell ref="F5:F6"/>
  </mergeCells>
  <phoneticPr fontId="104" type="noConversion"/>
  <conditionalFormatting sqref="A1 G1:XFD1 B3:B4 G3:XFD4 E3:E4">
    <cfRule type="cellIs" dxfId="4" priority="4" operator="equal">
      <formula>0</formula>
    </cfRule>
  </conditionalFormatting>
  <conditionalFormatting sqref="D3:D4">
    <cfRule type="cellIs" dxfId="3" priority="3" operator="equal">
      <formula>0</formula>
    </cfRule>
  </conditionalFormatting>
  <conditionalFormatting sqref="C3:C4">
    <cfRule type="cellIs" dxfId="2" priority="2" operator="equal">
      <formula>0</formula>
    </cfRule>
  </conditionalFormatting>
  <conditionalFormatting sqref="A3:A4">
    <cfRule type="cellIs" dxfId="1" priority="1" operator="equal">
      <formula>0</formula>
    </cfRule>
  </conditionalFormatting>
  <hyperlinks>
    <hyperlink ref="F3" location="底稿目录!A1" display="D12-7"/>
  </hyperlinks>
  <printOptions horizontalCentered="1"/>
  <pageMargins left="0.70833333333333304" right="0.70833333333333304" top="0.74791666666666701" bottom="0.74791666666666701" header="0.31458333333333299" footer="0.31458333333333299"/>
  <pageSetup paperSize="9" scale="96" orientation="portrait" blackAndWhite="1"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J44"/>
  <sheetViews>
    <sheetView view="pageBreakPreview" zoomScaleNormal="100" workbookViewId="0">
      <selection activeCell="J3" sqref="J3"/>
    </sheetView>
  </sheetViews>
  <sheetFormatPr defaultColWidth="9" defaultRowHeight="20.100000000000001" customHeight="1"/>
  <cols>
    <col min="1" max="1" width="36.8984375" style="317" customWidth="1"/>
    <col min="2" max="2" width="10" style="317" customWidth="1"/>
    <col min="3" max="3" width="10.3984375" style="317" customWidth="1"/>
    <col min="4" max="4" width="10.19921875" style="317" customWidth="1"/>
    <col min="5" max="5" width="10.09765625" style="317" customWidth="1"/>
    <col min="6" max="8" width="9" style="317"/>
    <col min="9" max="9" width="10.09765625" style="317" customWidth="1"/>
    <col min="10" max="16384" width="9" style="317"/>
  </cols>
  <sheetData>
    <row r="1" spans="1:10" ht="20.100000000000001" customHeight="1">
      <c r="A1" s="364" t="s">
        <v>17</v>
      </c>
      <c r="B1" s="364"/>
      <c r="C1" s="364"/>
      <c r="D1" s="364"/>
      <c r="E1" s="364"/>
      <c r="F1" s="364"/>
      <c r="G1" s="364"/>
      <c r="H1" s="364"/>
      <c r="I1" s="364"/>
      <c r="J1" s="364"/>
    </row>
    <row r="2" spans="1:10" ht="20.100000000000001" customHeight="1">
      <c r="A2" s="435" t="s">
        <v>563</v>
      </c>
      <c r="B2" s="435"/>
      <c r="C2" s="435"/>
      <c r="D2" s="435"/>
      <c r="E2" s="435"/>
      <c r="F2" s="435"/>
      <c r="G2" s="435"/>
      <c r="H2" s="435"/>
      <c r="I2" s="435"/>
      <c r="J2" s="435"/>
    </row>
    <row r="3" spans="1:10" s="318" customFormat="1" ht="20.100000000000001" customHeight="1">
      <c r="A3" s="51" t="str">
        <f>底稿目录!A2</f>
        <v>被审计单位：</v>
      </c>
      <c r="B3" s="51"/>
      <c r="C3" s="51" t="str">
        <f>底稿目录!$A$4</f>
        <v>编制人：</v>
      </c>
      <c r="F3" s="51" t="str">
        <f>底稿目录!$A$5</f>
        <v>编制日期：</v>
      </c>
      <c r="I3" s="234" t="s">
        <v>278</v>
      </c>
      <c r="J3" s="350" t="s">
        <v>277</v>
      </c>
    </row>
    <row r="4" spans="1:10" s="318" customFormat="1" ht="20.100000000000001" customHeight="1">
      <c r="A4" s="51" t="str">
        <f>底稿目录!A3</f>
        <v>会计期间：202X年度</v>
      </c>
      <c r="B4" s="51"/>
      <c r="C4" s="51" t="str">
        <f>底稿目录!$A$6</f>
        <v>复核人:</v>
      </c>
      <c r="F4" s="51" t="str">
        <f>底稿目录!$A$7</f>
        <v>复核日期:</v>
      </c>
      <c r="I4" s="234" t="s">
        <v>279</v>
      </c>
      <c r="J4" s="51"/>
    </row>
    <row r="5" spans="1:10" ht="20.100000000000001" customHeight="1">
      <c r="A5" s="319" t="s">
        <v>203</v>
      </c>
    </row>
    <row r="6" spans="1:10" ht="20.100000000000001" customHeight="1">
      <c r="A6" s="320" t="s">
        <v>204</v>
      </c>
    </row>
    <row r="7" spans="1:10" ht="20.100000000000001" customHeight="1">
      <c r="A7" s="319" t="s">
        <v>205</v>
      </c>
    </row>
    <row r="8" spans="1:10" ht="72.45" customHeight="1">
      <c r="A8" s="438" t="s">
        <v>154</v>
      </c>
      <c r="B8" s="321" t="s">
        <v>564</v>
      </c>
      <c r="C8" s="321" t="s">
        <v>565</v>
      </c>
      <c r="D8" s="321" t="s">
        <v>566</v>
      </c>
      <c r="E8" s="321" t="s">
        <v>567</v>
      </c>
      <c r="F8" s="321" t="s">
        <v>568</v>
      </c>
      <c r="G8" s="321" t="s">
        <v>569</v>
      </c>
      <c r="H8" s="321" t="s">
        <v>570</v>
      </c>
      <c r="I8" s="321" t="s">
        <v>571</v>
      </c>
      <c r="J8" s="321" t="s">
        <v>572</v>
      </c>
    </row>
    <row r="9" spans="1:10" ht="39" customHeight="1">
      <c r="A9" s="438"/>
      <c r="B9" s="321" t="s">
        <v>573</v>
      </c>
      <c r="C9" s="321" t="s">
        <v>574</v>
      </c>
      <c r="D9" s="321" t="s">
        <v>575</v>
      </c>
      <c r="E9" s="321" t="s">
        <v>576</v>
      </c>
      <c r="F9" s="321" t="s">
        <v>577</v>
      </c>
      <c r="G9" s="321" t="s">
        <v>578</v>
      </c>
      <c r="H9" s="322" t="s">
        <v>579</v>
      </c>
      <c r="I9" s="322" t="s">
        <v>580</v>
      </c>
      <c r="J9" s="322" t="s">
        <v>581</v>
      </c>
    </row>
    <row r="10" spans="1:10" ht="20.100000000000001" customHeight="1">
      <c r="A10" s="323" t="s">
        <v>582</v>
      </c>
      <c r="B10" s="324"/>
      <c r="C10" s="324"/>
      <c r="D10" s="324"/>
      <c r="E10" s="324"/>
      <c r="F10" s="324"/>
      <c r="G10" s="324"/>
      <c r="H10" s="325">
        <f>C10-B10+D10-E10-F10+G10</f>
        <v>0</v>
      </c>
      <c r="I10" s="324"/>
      <c r="J10" s="325">
        <f>H10-I10</f>
        <v>0</v>
      </c>
    </row>
    <row r="11" spans="1:10" ht="20.100000000000001" customHeight="1">
      <c r="A11" s="326" t="s">
        <v>583</v>
      </c>
      <c r="B11" s="324"/>
      <c r="C11" s="324"/>
      <c r="D11" s="324"/>
      <c r="E11" s="324"/>
      <c r="F11" s="324"/>
      <c r="G11" s="324"/>
      <c r="H11" s="325">
        <f>C11-B11+D11-E11-F11+G11</f>
        <v>0</v>
      </c>
      <c r="I11" s="324"/>
      <c r="J11" s="325">
        <f t="shared" ref="J11:J38" si="0">H11-I11</f>
        <v>0</v>
      </c>
    </row>
    <row r="12" spans="1:10" ht="20.100000000000001" customHeight="1">
      <c r="A12" s="326" t="s">
        <v>584</v>
      </c>
      <c r="B12" s="324"/>
      <c r="C12" s="324"/>
      <c r="D12" s="324"/>
      <c r="E12" s="324"/>
      <c r="F12" s="324"/>
      <c r="G12" s="324"/>
      <c r="H12" s="325">
        <f>C12-B12+N5-E12-F12+G12</f>
        <v>0</v>
      </c>
      <c r="I12" s="324"/>
      <c r="J12" s="325">
        <f t="shared" si="0"/>
        <v>0</v>
      </c>
    </row>
    <row r="13" spans="1:10" ht="20.100000000000001" customHeight="1">
      <c r="A13" s="323" t="s">
        <v>585</v>
      </c>
      <c r="B13" s="324"/>
      <c r="C13" s="324"/>
      <c r="D13" s="324"/>
      <c r="E13" s="324"/>
      <c r="F13" s="324"/>
      <c r="G13" s="324"/>
      <c r="H13" s="325">
        <f t="shared" ref="H13:H38" si="1">C13-B13+D13-E13-F13+G13</f>
        <v>0</v>
      </c>
      <c r="I13" s="324"/>
      <c r="J13" s="325">
        <f t="shared" si="0"/>
        <v>0</v>
      </c>
    </row>
    <row r="14" spans="1:10" ht="20.100000000000001" customHeight="1">
      <c r="A14" s="323" t="s">
        <v>586</v>
      </c>
      <c r="B14" s="324"/>
      <c r="C14" s="324"/>
      <c r="D14" s="324"/>
      <c r="E14" s="324"/>
      <c r="F14" s="324"/>
      <c r="G14" s="324"/>
      <c r="H14" s="325">
        <f t="shared" si="1"/>
        <v>0</v>
      </c>
      <c r="I14" s="324"/>
      <c r="J14" s="325">
        <f t="shared" si="0"/>
        <v>0</v>
      </c>
    </row>
    <row r="15" spans="1:10" ht="20.100000000000001" customHeight="1">
      <c r="A15" s="323" t="s">
        <v>587</v>
      </c>
      <c r="B15" s="324"/>
      <c r="C15" s="324"/>
      <c r="D15" s="324"/>
      <c r="E15" s="324"/>
      <c r="F15" s="324"/>
      <c r="G15" s="324"/>
      <c r="H15" s="325">
        <f t="shared" si="1"/>
        <v>0</v>
      </c>
      <c r="I15" s="324"/>
      <c r="J15" s="325">
        <f t="shared" si="0"/>
        <v>0</v>
      </c>
    </row>
    <row r="16" spans="1:10" ht="20.100000000000001" customHeight="1">
      <c r="A16" s="323" t="s">
        <v>588</v>
      </c>
      <c r="B16" s="324"/>
      <c r="C16" s="324"/>
      <c r="D16" s="324"/>
      <c r="E16" s="324"/>
      <c r="F16" s="324"/>
      <c r="G16" s="324"/>
      <c r="H16" s="325">
        <f t="shared" si="1"/>
        <v>0</v>
      </c>
      <c r="I16" s="324"/>
      <c r="J16" s="325">
        <f t="shared" si="0"/>
        <v>0</v>
      </c>
    </row>
    <row r="17" spans="1:10" ht="20.100000000000001" customHeight="1">
      <c r="A17" s="323" t="s">
        <v>589</v>
      </c>
      <c r="B17" s="324"/>
      <c r="C17" s="324"/>
      <c r="D17" s="324"/>
      <c r="E17" s="324"/>
      <c r="F17" s="324"/>
      <c r="G17" s="324"/>
      <c r="H17" s="325">
        <f t="shared" si="1"/>
        <v>0</v>
      </c>
      <c r="I17" s="324"/>
      <c r="J17" s="325">
        <f t="shared" si="0"/>
        <v>0</v>
      </c>
    </row>
    <row r="18" spans="1:10" ht="20.100000000000001" customHeight="1">
      <c r="A18" s="323" t="s">
        <v>590</v>
      </c>
      <c r="B18" s="324"/>
      <c r="C18" s="324"/>
      <c r="D18" s="324"/>
      <c r="E18" s="324"/>
      <c r="F18" s="324"/>
      <c r="G18" s="324"/>
      <c r="H18" s="325">
        <f t="shared" si="1"/>
        <v>0</v>
      </c>
      <c r="I18" s="324"/>
      <c r="J18" s="325">
        <f t="shared" si="0"/>
        <v>0</v>
      </c>
    </row>
    <row r="19" spans="1:10" ht="20.100000000000001" customHeight="1">
      <c r="A19" s="323" t="s">
        <v>591</v>
      </c>
      <c r="B19" s="324"/>
      <c r="C19" s="324"/>
      <c r="D19" s="324"/>
      <c r="E19" s="324"/>
      <c r="F19" s="324"/>
      <c r="G19" s="324"/>
      <c r="H19" s="325">
        <f t="shared" si="1"/>
        <v>0</v>
      </c>
      <c r="I19" s="324"/>
      <c r="J19" s="325">
        <f t="shared" si="0"/>
        <v>0</v>
      </c>
    </row>
    <row r="20" spans="1:10" ht="20.100000000000001" customHeight="1">
      <c r="A20" s="323" t="s">
        <v>592</v>
      </c>
      <c r="B20" s="324"/>
      <c r="C20" s="324"/>
      <c r="D20" s="324"/>
      <c r="E20" s="324"/>
      <c r="F20" s="324"/>
      <c r="G20" s="324"/>
      <c r="H20" s="325">
        <f t="shared" si="1"/>
        <v>0</v>
      </c>
      <c r="I20" s="324"/>
      <c r="J20" s="325">
        <f t="shared" si="0"/>
        <v>0</v>
      </c>
    </row>
    <row r="21" spans="1:10" ht="20.100000000000001" customHeight="1">
      <c r="A21" s="323" t="s">
        <v>593</v>
      </c>
      <c r="B21" s="324"/>
      <c r="C21" s="324"/>
      <c r="D21" s="324"/>
      <c r="E21" s="324"/>
      <c r="F21" s="324"/>
      <c r="G21" s="324"/>
      <c r="H21" s="325">
        <f t="shared" si="1"/>
        <v>0</v>
      </c>
      <c r="I21" s="324"/>
      <c r="J21" s="325">
        <f t="shared" si="0"/>
        <v>0</v>
      </c>
    </row>
    <row r="22" spans="1:10" ht="20.100000000000001" customHeight="1">
      <c r="A22" s="323" t="s">
        <v>594</v>
      </c>
      <c r="B22" s="324"/>
      <c r="C22" s="324"/>
      <c r="D22" s="324"/>
      <c r="E22" s="324"/>
      <c r="F22" s="324"/>
      <c r="G22" s="324"/>
      <c r="H22" s="325">
        <f t="shared" si="1"/>
        <v>0</v>
      </c>
      <c r="I22" s="324"/>
      <c r="J22" s="325">
        <f t="shared" si="0"/>
        <v>0</v>
      </c>
    </row>
    <row r="23" spans="1:10" ht="20.100000000000001" customHeight="1">
      <c r="A23" s="323" t="s">
        <v>595</v>
      </c>
      <c r="B23" s="324"/>
      <c r="C23" s="324"/>
      <c r="D23" s="324"/>
      <c r="E23" s="324"/>
      <c r="F23" s="324"/>
      <c r="G23" s="324"/>
      <c r="H23" s="325">
        <f t="shared" si="1"/>
        <v>0</v>
      </c>
      <c r="I23" s="324"/>
      <c r="J23" s="325"/>
    </row>
    <row r="24" spans="1:10" ht="20.100000000000001" customHeight="1">
      <c r="A24" s="323" t="s">
        <v>596</v>
      </c>
      <c r="B24" s="324"/>
      <c r="C24" s="324"/>
      <c r="D24" s="324"/>
      <c r="E24" s="324"/>
      <c r="F24" s="324"/>
      <c r="G24" s="324"/>
      <c r="H24" s="325">
        <f t="shared" si="1"/>
        <v>0</v>
      </c>
      <c r="I24" s="324"/>
      <c r="J24" s="325">
        <f t="shared" si="0"/>
        <v>0</v>
      </c>
    </row>
    <row r="25" spans="1:10" ht="20.100000000000001" customHeight="1">
      <c r="A25" s="323" t="s">
        <v>597</v>
      </c>
      <c r="B25" s="324"/>
      <c r="C25" s="324"/>
      <c r="D25" s="324"/>
      <c r="E25" s="324"/>
      <c r="F25" s="324"/>
      <c r="G25" s="324"/>
      <c r="H25" s="325">
        <f t="shared" si="1"/>
        <v>0</v>
      </c>
      <c r="I25" s="324"/>
      <c r="J25" s="325">
        <f t="shared" si="0"/>
        <v>0</v>
      </c>
    </row>
    <row r="26" spans="1:10" ht="20.100000000000001" customHeight="1">
      <c r="A26" s="323" t="s">
        <v>598</v>
      </c>
      <c r="B26" s="324"/>
      <c r="C26" s="324"/>
      <c r="D26" s="324"/>
      <c r="E26" s="324"/>
      <c r="F26" s="324"/>
      <c r="G26" s="324"/>
      <c r="H26" s="325">
        <f t="shared" si="1"/>
        <v>0</v>
      </c>
      <c r="I26" s="324"/>
      <c r="J26" s="325">
        <f t="shared" si="0"/>
        <v>0</v>
      </c>
    </row>
    <row r="27" spans="1:10" ht="20.100000000000001" customHeight="1">
      <c r="A27" s="323" t="s">
        <v>599</v>
      </c>
      <c r="B27" s="324"/>
      <c r="C27" s="324"/>
      <c r="D27" s="324"/>
      <c r="E27" s="324"/>
      <c r="F27" s="324"/>
      <c r="G27" s="324"/>
      <c r="H27" s="325">
        <f t="shared" si="1"/>
        <v>0</v>
      </c>
      <c r="I27" s="324"/>
      <c r="J27" s="325">
        <f t="shared" si="0"/>
        <v>0</v>
      </c>
    </row>
    <row r="28" spans="1:10" ht="20.100000000000001" customHeight="1">
      <c r="A28" s="326" t="s">
        <v>600</v>
      </c>
      <c r="B28" s="324"/>
      <c r="C28" s="324"/>
      <c r="D28" s="324"/>
      <c r="E28" s="324"/>
      <c r="F28" s="324"/>
      <c r="G28" s="324"/>
      <c r="H28" s="325">
        <f t="shared" si="1"/>
        <v>0</v>
      </c>
      <c r="I28" s="324"/>
      <c r="J28" s="325">
        <f t="shared" si="0"/>
        <v>0</v>
      </c>
    </row>
    <row r="29" spans="1:10" ht="20.100000000000001" customHeight="1">
      <c r="A29" s="327" t="s">
        <v>601</v>
      </c>
      <c r="B29" s="324"/>
      <c r="C29" s="324"/>
      <c r="D29" s="324"/>
      <c r="E29" s="324"/>
      <c r="F29" s="324"/>
      <c r="G29" s="324"/>
      <c r="H29" s="325">
        <f t="shared" si="1"/>
        <v>0</v>
      </c>
      <c r="I29" s="324"/>
      <c r="J29" s="325">
        <f t="shared" si="0"/>
        <v>0</v>
      </c>
    </row>
    <row r="30" spans="1:10" ht="20.100000000000001" customHeight="1">
      <c r="A30" s="327" t="s">
        <v>602</v>
      </c>
      <c r="B30" s="324"/>
      <c r="C30" s="324"/>
      <c r="D30" s="324"/>
      <c r="E30" s="324"/>
      <c r="F30" s="324"/>
      <c r="G30" s="324"/>
      <c r="H30" s="325">
        <f t="shared" si="1"/>
        <v>0</v>
      </c>
      <c r="I30" s="324"/>
      <c r="J30" s="325">
        <f t="shared" si="0"/>
        <v>0</v>
      </c>
    </row>
    <row r="31" spans="1:10" ht="20.100000000000001" customHeight="1">
      <c r="A31" s="323" t="s">
        <v>603</v>
      </c>
      <c r="B31" s="324"/>
      <c r="C31" s="324"/>
      <c r="D31" s="324"/>
      <c r="E31" s="324"/>
      <c r="F31" s="324"/>
      <c r="G31" s="324"/>
      <c r="H31" s="325">
        <f t="shared" si="1"/>
        <v>0</v>
      </c>
      <c r="I31" s="324"/>
      <c r="J31" s="325">
        <f t="shared" si="0"/>
        <v>0</v>
      </c>
    </row>
    <row r="32" spans="1:10" ht="20.100000000000001" customHeight="1">
      <c r="A32" s="326" t="s">
        <v>604</v>
      </c>
      <c r="B32" s="324"/>
      <c r="C32" s="324"/>
      <c r="D32" s="324"/>
      <c r="E32" s="324"/>
      <c r="F32" s="324"/>
      <c r="G32" s="324"/>
      <c r="H32" s="325">
        <f t="shared" si="1"/>
        <v>0</v>
      </c>
      <c r="I32" s="324"/>
      <c r="J32" s="325">
        <f t="shared" si="0"/>
        <v>0</v>
      </c>
    </row>
    <row r="33" spans="1:10" ht="20.100000000000001" customHeight="1">
      <c r="A33" s="323" t="s">
        <v>605</v>
      </c>
      <c r="B33" s="324"/>
      <c r="C33" s="324"/>
      <c r="D33" s="324"/>
      <c r="E33" s="324"/>
      <c r="F33" s="324"/>
      <c r="G33" s="324"/>
      <c r="H33" s="325">
        <f t="shared" si="1"/>
        <v>0</v>
      </c>
      <c r="I33" s="324"/>
      <c r="J33" s="325">
        <f t="shared" si="0"/>
        <v>0</v>
      </c>
    </row>
    <row r="34" spans="1:10" ht="20.100000000000001" customHeight="1">
      <c r="A34" s="326" t="s">
        <v>606</v>
      </c>
      <c r="B34" s="324"/>
      <c r="C34" s="324"/>
      <c r="D34" s="324"/>
      <c r="E34" s="324"/>
      <c r="F34" s="324"/>
      <c r="G34" s="324"/>
      <c r="H34" s="325">
        <f t="shared" si="1"/>
        <v>0</v>
      </c>
      <c r="I34" s="324"/>
      <c r="J34" s="325">
        <f t="shared" si="0"/>
        <v>0</v>
      </c>
    </row>
    <row r="35" spans="1:10" ht="20.100000000000001" customHeight="1">
      <c r="A35" s="326" t="s">
        <v>607</v>
      </c>
      <c r="B35" s="324"/>
      <c r="C35" s="324"/>
      <c r="D35" s="324"/>
      <c r="E35" s="324"/>
      <c r="F35" s="324"/>
      <c r="G35" s="324"/>
      <c r="H35" s="325">
        <f t="shared" si="1"/>
        <v>0</v>
      </c>
      <c r="I35" s="324"/>
      <c r="J35" s="325">
        <f t="shared" si="0"/>
        <v>0</v>
      </c>
    </row>
    <row r="36" spans="1:10" ht="20.100000000000001" customHeight="1">
      <c r="A36" s="327" t="s">
        <v>608</v>
      </c>
      <c r="B36" s="324"/>
      <c r="C36" s="324"/>
      <c r="D36" s="324"/>
      <c r="E36" s="324"/>
      <c r="F36" s="324"/>
      <c r="G36" s="324"/>
      <c r="H36" s="325">
        <f t="shared" si="1"/>
        <v>0</v>
      </c>
      <c r="I36" s="324"/>
      <c r="J36" s="325">
        <f t="shared" si="0"/>
        <v>0</v>
      </c>
    </row>
    <row r="37" spans="1:10" ht="20.100000000000001" customHeight="1">
      <c r="A37" s="327" t="s">
        <v>200</v>
      </c>
      <c r="B37" s="324"/>
      <c r="C37" s="324"/>
      <c r="D37" s="324"/>
      <c r="E37" s="324"/>
      <c r="F37" s="324"/>
      <c r="G37" s="324"/>
      <c r="H37" s="325">
        <f t="shared" si="1"/>
        <v>0</v>
      </c>
      <c r="I37" s="324"/>
      <c r="J37" s="325">
        <f t="shared" si="0"/>
        <v>0</v>
      </c>
    </row>
    <row r="38" spans="1:10" ht="20.100000000000001" customHeight="1">
      <c r="A38" s="326" t="s">
        <v>235</v>
      </c>
      <c r="B38" s="324"/>
      <c r="C38" s="324"/>
      <c r="D38" s="324"/>
      <c r="E38" s="324"/>
      <c r="F38" s="324"/>
      <c r="G38" s="324"/>
      <c r="H38" s="325">
        <f t="shared" si="1"/>
        <v>0</v>
      </c>
      <c r="I38" s="324"/>
      <c r="J38" s="325">
        <f t="shared" si="0"/>
        <v>0</v>
      </c>
    </row>
    <row r="39" spans="1:10" ht="20.100000000000001" customHeight="1">
      <c r="A39" s="328" t="s">
        <v>168</v>
      </c>
      <c r="B39" s="325">
        <f t="shared" ref="B39:E39" si="2">SUM(B10:B38)</f>
        <v>0</v>
      </c>
      <c r="C39" s="325">
        <f t="shared" si="2"/>
        <v>0</v>
      </c>
      <c r="D39" s="325">
        <f t="shared" si="2"/>
        <v>0</v>
      </c>
      <c r="E39" s="325">
        <f t="shared" si="2"/>
        <v>0</v>
      </c>
      <c r="F39" s="325"/>
      <c r="G39" s="325"/>
      <c r="H39" s="325">
        <f>SUM(H10:H38)</f>
        <v>0</v>
      </c>
      <c r="I39" s="325">
        <f>SUM(I10:I38)</f>
        <v>0</v>
      </c>
      <c r="J39" s="325">
        <f>SUM(J10:J38)</f>
        <v>0</v>
      </c>
    </row>
    <row r="40" spans="1:10" s="213" customFormat="1" ht="20.100000000000001" customHeight="1">
      <c r="A40" s="208" t="s">
        <v>222</v>
      </c>
      <c r="E40" s="230"/>
    </row>
    <row r="41" spans="1:10" s="213" customFormat="1" ht="20.100000000000001" customHeight="1">
      <c r="A41" s="208"/>
      <c r="E41" s="230"/>
    </row>
    <row r="42" spans="1:10" s="213" customFormat="1" ht="20.100000000000001" customHeight="1">
      <c r="A42" s="208"/>
      <c r="E42" s="230"/>
    </row>
    <row r="43" spans="1:10" s="205" customFormat="1" ht="20.100000000000001" customHeight="1">
      <c r="A43" s="232"/>
    </row>
    <row r="44" spans="1:10" s="213" customFormat="1" ht="20.100000000000001" customHeight="1">
      <c r="A44" s="208" t="s">
        <v>223</v>
      </c>
    </row>
  </sheetData>
  <mergeCells count="3">
    <mergeCell ref="A1:J1"/>
    <mergeCell ref="A2:J2"/>
    <mergeCell ref="A8:A9"/>
  </mergeCells>
  <phoneticPr fontId="104" type="noConversion"/>
  <conditionalFormatting sqref="A1 A3:C4 F3:F4 I3:I4">
    <cfRule type="cellIs" dxfId="0" priority="1" operator="equal">
      <formula>0</formula>
    </cfRule>
  </conditionalFormatting>
  <hyperlinks>
    <hyperlink ref="J3" location="底稿目录!A1" display="D12-8"/>
  </hyperlinks>
  <printOptions horizontalCentered="1"/>
  <pageMargins left="0.70833333333333304" right="0.70833333333333304" top="0.74791666666666701" bottom="0.74791666666666701" header="0.31458333333333299" footer="0.31458333333333299"/>
  <pageSetup paperSize="9" scale="99" orientation="landscape" blackAndWhite="1" r:id="rId1"/>
  <headerFooter alignWithMargins="0">
    <oddFooter>&amp;C&amp;P/&amp;N</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B8"/>
  <sheetViews>
    <sheetView workbookViewId="0"/>
  </sheetViews>
  <sheetFormatPr defaultColWidth="9" defaultRowHeight="15.6"/>
  <sheetData>
    <row r="1" spans="1:2">
      <c r="A1" t="s">
        <v>240</v>
      </c>
      <c r="B1" t="s">
        <v>241</v>
      </c>
    </row>
    <row r="2" spans="1:2">
      <c r="A2" t="s">
        <v>242</v>
      </c>
      <c r="B2" t="s">
        <v>243</v>
      </c>
    </row>
    <row r="3" spans="1:2">
      <c r="A3" t="s">
        <v>244</v>
      </c>
      <c r="B3" t="s">
        <v>245</v>
      </c>
    </row>
    <row r="4" spans="1:2">
      <c r="A4" t="s">
        <v>246</v>
      </c>
      <c r="B4" t="s">
        <v>247</v>
      </c>
    </row>
    <row r="5" spans="1:2">
      <c r="A5" t="s">
        <v>248</v>
      </c>
      <c r="B5" t="s">
        <v>249</v>
      </c>
    </row>
    <row r="6" spans="1:2">
      <c r="A6" t="s">
        <v>250</v>
      </c>
      <c r="B6" t="s">
        <v>251</v>
      </c>
    </row>
    <row r="7" spans="1:2">
      <c r="A7" t="s">
        <v>252</v>
      </c>
      <c r="B7" t="s">
        <v>253</v>
      </c>
    </row>
    <row r="8" spans="1:2">
      <c r="A8" t="s">
        <v>254</v>
      </c>
      <c r="B8" t="s">
        <v>255</v>
      </c>
    </row>
  </sheetData>
  <phoneticPr fontId="10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12</vt:i4>
      </vt:variant>
    </vt:vector>
  </HeadingPairs>
  <TitlesOfParts>
    <vt:vector size="28" baseType="lpstr">
      <vt:lpstr>底稿目录</vt:lpstr>
      <vt:lpstr>所得税审计程序表N5A</vt:lpstr>
      <vt:lpstr>所得税审计程序表N3A (原底稿)</vt:lpstr>
      <vt:lpstr>所得税费用审定表N5-1</vt:lpstr>
      <vt:lpstr>附注披露信息（上市公司）</vt:lpstr>
      <vt:lpstr>附注披露信息（国企</vt:lpstr>
      <vt:lpstr>所得税费用明细表N5-2</vt:lpstr>
      <vt:lpstr>调整分录汇总表N5-3</vt:lpstr>
      <vt:lpstr>当期所得税费用计算表N5-4</vt:lpstr>
      <vt:lpstr>纳税调整明细表N5-5</vt:lpstr>
      <vt:lpstr>税收优惠明细表N5-6</vt:lpstr>
      <vt:lpstr>加计扣除研发费用情况明细表N5-6-1</vt:lpstr>
      <vt:lpstr>高新技术企业认定条件检查表N5-6-2</vt:lpstr>
      <vt:lpstr>财产损失明细表N5-7</vt:lpstr>
      <vt:lpstr>递延所得税费用核对表N5-8</vt:lpstr>
      <vt:lpstr>GT_Custom</vt:lpstr>
      <vt:lpstr>'当期所得税费用计算表N5-4'!Print_Area</vt:lpstr>
      <vt:lpstr>'递延所得税费用核对表N5-8'!Print_Area</vt:lpstr>
      <vt:lpstr>'调整分录汇总表N5-3'!Print_Area</vt:lpstr>
      <vt:lpstr>'附注披露信息（国企'!Print_Area</vt:lpstr>
      <vt:lpstr>'附注披露信息（上市公司）'!Print_Area</vt:lpstr>
      <vt:lpstr>'加计扣除研发费用情况明细表N5-6-1'!Print_Area</vt:lpstr>
      <vt:lpstr>'纳税调整明细表N5-5'!Print_Area</vt:lpstr>
      <vt:lpstr>'税收优惠明细表N5-6'!Print_Area</vt:lpstr>
      <vt:lpstr>'所得税费用明细表N5-2'!Print_Area</vt:lpstr>
      <vt:lpstr>'所得税费用审定表N5-1'!Print_Area</vt:lpstr>
      <vt:lpstr>'所得税审计程序表N3A (原底稿)'!Print_Area</vt:lpstr>
      <vt:lpstr>所得税审计程序表N5A!Print_Area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2025-10-30T08:09:19Z</cp:lastPrinted>
  <dcterms:created xsi:type="dcterms:W3CDTF">2007-05-20T08:51:00Z</dcterms:created>
  <dcterms:modified xsi:type="dcterms:W3CDTF">2025-12-02T07:45:44Z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95CEF7972ABC4B80AFC89C86E2630934_12</vt:lpwstr>
  </property>
  <property fmtid="{D5CDD505-2E9C-101B-9397-08002B2CF9AE}" pid="3" name="KSOProductBuildVer">
    <vt:lpwstr>2052-12.1.0.22529</vt:lpwstr>
  </property>
</Properties>
</file>