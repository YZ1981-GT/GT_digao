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N 税金循环\"/>
    </mc:Choice>
  </mc:AlternateContent>
  <bookViews>
    <workbookView xWindow="0" yWindow="0" windowWidth="22188" windowHeight="9180" tabRatio="869"/>
  </bookViews>
  <sheets>
    <sheet name="底稿目录" sheetId="1" r:id="rId1"/>
    <sheet name="递延所得税资产审计程序表的N1A" sheetId="27" r:id="rId2"/>
    <sheet name="递延所得税资产审定表N1-1" sheetId="18" r:id="rId3"/>
    <sheet name="附注披露信息（上市公司）" sheetId="23" r:id="rId4"/>
    <sheet name="附注披露信息（国企）" sheetId="22" r:id="rId5"/>
    <sheet name="递延所得税资产明细表N1-2" sheetId="29" r:id="rId6"/>
    <sheet name="调整分录汇总N1-3" sheetId="28" r:id="rId7"/>
    <sheet name="递延所得税资产（负债）测算表N1-4" sheetId="31" r:id="rId8"/>
    <sheet name="可用以后年度税前利润弥补的亏损检查表的N1-5" sheetId="32" r:id="rId9"/>
    <sheet name="GT_Custom" sheetId="24" state="hidden" r:id="rId10"/>
  </sheets>
  <externalReferences>
    <externalReference r:id="rId11"/>
    <externalReference r:id="rId12"/>
    <externalReference r:id="rId13"/>
  </externalReferences>
  <definedNames>
    <definedName name="_xlnm._FilterDatabase" localSheetId="5" hidden="1">'递延所得税资产明细表N1-2'!$A$10:$N$40</definedName>
    <definedName name="AS2DocOpenMode" hidden="1">"AS2DocumentEdit"</definedName>
    <definedName name="bs" localSheetId="7" hidden="1">{#N/A,#N/A,FALSE,"BBPREP"}</definedName>
    <definedName name="bs" localSheetId="8" hidden="1">{#N/A,#N/A,FALSE,"BBPREP"}</definedName>
    <definedName name="bs" hidden="1">{#N/A,#N/A,FALSE,"BBPREP"}</definedName>
    <definedName name="bs_1" localSheetId="7" hidden="1">{#N/A,#N/A,FALSE,"BBPREP"}</definedName>
    <definedName name="bs_1" localSheetId="8" hidden="1">{#N/A,#N/A,FALSE,"BBPREP"}</definedName>
    <definedName name="bs_1" hidden="1">{#N/A,#N/A,FALSE,"BBPREP"}</definedName>
    <definedName name="gg" localSheetId="7" hidden="1">{#N/A,#N/A,FALSE,"BBPREP"}</definedName>
    <definedName name="gg" localSheetId="8" hidden="1">{#N/A,#N/A,FALSE,"BBPREP"}</definedName>
    <definedName name="gg" hidden="1">{#N/A,#N/A,FALSE,"BBPREP"}</definedName>
    <definedName name="_xlnm.Print_Area" localSheetId="7">'递延所得税资产（负债）测算表N1-4'!$A$1:$N$45</definedName>
    <definedName name="_xlnm.Print_Area" localSheetId="5">'递延所得税资产明细表N1-2'!$A$1:$N$48</definedName>
    <definedName name="_xlnm.Print_Area" localSheetId="2">'递延所得税资产审定表N1-1'!$A$1:$N$28</definedName>
    <definedName name="_xlnm.Print_Area" localSheetId="1">递延所得税资产审计程序表的N1A!$A$1:$J$25</definedName>
    <definedName name="_xlnm.Print_Area" localSheetId="6">'调整分录汇总N1-3'!$A$1:$J$26</definedName>
    <definedName name="_xlnm.Print_Area" localSheetId="4">'附注披露信息（国企）'!$A$1:$E$74</definedName>
    <definedName name="_xlnm.Print_Area" localSheetId="3">'附注披露信息（上市公司）'!$A$1:$E$54</definedName>
    <definedName name="_xlnm.Print_Area" localSheetId="8">'可用以后年度税前利润弥补的亏损检查表的N1-5'!$A$1:$M$31</definedName>
    <definedName name="TextRefCopyRangeCount" hidden="1">136</definedName>
    <definedName name="XREF_COLUMN_1" localSheetId="7" hidden="1">#REF!</definedName>
    <definedName name="XREF_COLUMN_1" localSheetId="8" hidden="1">#REF!</definedName>
    <definedName name="XREF_COLUMN_1" hidden="1">#REF!</definedName>
    <definedName name="XREF_COLUMN_2" localSheetId="7" hidden="1">[1]Breakdown!#REF!</definedName>
    <definedName name="XREF_COLUMN_2" localSheetId="8" hidden="1">[1]Breakdown!#REF!</definedName>
    <definedName name="XREF_COLUMN_2" hidden="1">[1]Breakdown!#REF!</definedName>
    <definedName name="XREF_COLUMN_3" localSheetId="7" hidden="1">#REF!</definedName>
    <definedName name="XREF_COLUMN_3" localSheetId="8" hidden="1">#REF!</definedName>
    <definedName name="XREF_COLUMN_3" hidden="1">#REF!</definedName>
    <definedName name="XREF_COLUMN_5" localSheetId="7" hidden="1">'[2]2004'!#REF!</definedName>
    <definedName name="XREF_COLUMN_5" localSheetId="8" hidden="1">'[2]2004'!#REF!</definedName>
    <definedName name="XREF_COLUMN_5" hidden="1">'[2]2004'!#REF!</definedName>
    <definedName name="XRefActiveRow" localSheetId="7" hidden="1">#REF!</definedName>
    <definedName name="XRefActiveRow" localSheetId="8" hidden="1">#REF!</definedName>
    <definedName name="XRefActiveRow" hidden="1">#REF!</definedName>
    <definedName name="XRefColumnsCount" hidden="1">2</definedName>
    <definedName name="XRefCopy1" localSheetId="7" hidden="1">#REF!</definedName>
    <definedName name="XRefCopy1" localSheetId="8" hidden="1">#REF!</definedName>
    <definedName name="XRefCopy1" hidden="1">#REF!</definedName>
    <definedName name="XRefCopy1Row" localSheetId="7" hidden="1">#REF!</definedName>
    <definedName name="XRefCopy1Row" localSheetId="8" hidden="1">#REF!</definedName>
    <definedName name="XRefCopy1Row" hidden="1">#REF!</definedName>
    <definedName name="XRefCopy2Row" localSheetId="7" hidden="1">#REF!</definedName>
    <definedName name="XRefCopy2Row" localSheetId="8" hidden="1">#REF!</definedName>
    <definedName name="XRefCopy2Row" hidden="1">#REF!</definedName>
    <definedName name="XRefCopyRangeCount" hidden="1">2</definedName>
    <definedName name="XRefPaste1" localSheetId="7" hidden="1">#REF!</definedName>
    <definedName name="XRefPaste1" localSheetId="8" hidden="1">#REF!</definedName>
    <definedName name="XRefPaste1" hidden="1">#REF!</definedName>
    <definedName name="XRefPaste1Row" localSheetId="7" hidden="1">#REF!</definedName>
    <definedName name="XRefPaste1Row" localSheetId="8" hidden="1">#REF!</definedName>
    <definedName name="XRefPaste1Row" hidden="1">#REF!</definedName>
    <definedName name="XRefPaste2" localSheetId="7" hidden="1">#REF!</definedName>
    <definedName name="XRefPaste2" localSheetId="8" hidden="1">#REF!</definedName>
    <definedName name="XRefPaste2" hidden="1">#REF!</definedName>
    <definedName name="XRefPaste2Row" localSheetId="7" hidden="1">#REF!</definedName>
    <definedName name="XRefPaste2Row" localSheetId="8" hidden="1">#REF!</definedName>
    <definedName name="XRefPaste2Row" hidden="1">#REF!</definedName>
    <definedName name="XRefPaste3" localSheetId="7" hidden="1">#REF!</definedName>
    <definedName name="XRefPaste3" localSheetId="8" hidden="1">#REF!</definedName>
    <definedName name="XRefPaste3" hidden="1">#REF!</definedName>
    <definedName name="XRefPaste3Row" localSheetId="7" hidden="1">#REF!</definedName>
    <definedName name="XRefPaste3Row" localSheetId="8" hidden="1">#REF!</definedName>
    <definedName name="XRefPaste3Row" hidden="1">#REF!</definedName>
    <definedName name="XRefPasteRangeCount" hidden="1">2</definedName>
    <definedName name="本循环科目" hidden="1">[3]索引!$D$15:$D$76</definedName>
    <definedName name="发的撒发" localSheetId="7" hidden="1">{#N/A,#N/A,FALSE,"BBPREP"}</definedName>
    <definedName name="发的撒发" localSheetId="8" hidden="1">{#N/A,#N/A,FALSE,"BBPREP"}</definedName>
    <definedName name="发的撒发" hidden="1">{#N/A,#N/A,FALSE,"BBPREP"}</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18" l="1"/>
  <c r="G8" i="18"/>
  <c r="H8" i="18"/>
  <c r="I8" i="18"/>
  <c r="F9" i="18"/>
  <c r="G9" i="18"/>
  <c r="H9" i="18"/>
  <c r="I9" i="18"/>
  <c r="F10" i="18"/>
  <c r="G10" i="18"/>
  <c r="H10" i="18"/>
  <c r="I10" i="18"/>
  <c r="F11" i="18"/>
  <c r="G11" i="18"/>
  <c r="H11" i="18"/>
  <c r="I11" i="18"/>
  <c r="F12" i="18"/>
  <c r="G12" i="18"/>
  <c r="H12" i="18"/>
  <c r="I12" i="18"/>
  <c r="F13" i="18"/>
  <c r="G13" i="18"/>
  <c r="H13" i="18"/>
  <c r="I13" i="18"/>
  <c r="F14" i="18"/>
  <c r="G14" i="18"/>
  <c r="H14" i="18"/>
  <c r="I14" i="18"/>
  <c r="F15" i="18"/>
  <c r="G15" i="18"/>
  <c r="H15" i="18"/>
  <c r="I15" i="18"/>
  <c r="B8" i="18"/>
  <c r="E8" i="18" s="1"/>
  <c r="C8" i="18"/>
  <c r="D8" i="18"/>
  <c r="B9" i="18"/>
  <c r="C9" i="18"/>
  <c r="D9" i="18"/>
  <c r="E9" i="18"/>
  <c r="B10" i="18"/>
  <c r="E10" i="18" s="1"/>
  <c r="C10" i="18"/>
  <c r="D10" i="18"/>
  <c r="B11" i="18"/>
  <c r="C11" i="18"/>
  <c r="D11" i="18"/>
  <c r="E11" i="18"/>
  <c r="B12" i="18"/>
  <c r="E12" i="18" s="1"/>
  <c r="C12" i="18"/>
  <c r="D12" i="18"/>
  <c r="B13" i="18"/>
  <c r="C13" i="18"/>
  <c r="D13" i="18"/>
  <c r="E13" i="18" s="1"/>
  <c r="B14" i="18"/>
  <c r="E14" i="18" s="1"/>
  <c r="C14" i="18"/>
  <c r="D14" i="18"/>
  <c r="B15" i="18"/>
  <c r="E15" i="18" s="1"/>
  <c r="C15" i="18"/>
  <c r="D15" i="18"/>
  <c r="G7" i="18"/>
  <c r="H7" i="18"/>
  <c r="E7" i="18"/>
  <c r="F7" i="18"/>
  <c r="C7" i="18"/>
  <c r="D7" i="18"/>
  <c r="B7" i="18"/>
  <c r="A39" i="31" l="1"/>
  <c r="A40" i="31"/>
  <c r="A12" i="31"/>
  <c r="A13" i="31"/>
  <c r="A14" i="31"/>
  <c r="A15" i="31"/>
  <c r="A16" i="31"/>
  <c r="A17" i="31"/>
  <c r="A18" i="31"/>
  <c r="A19" i="31"/>
  <c r="A20" i="31"/>
  <c r="A21" i="31"/>
  <c r="A22" i="31"/>
  <c r="A23" i="31"/>
  <c r="A24" i="31"/>
  <c r="A25" i="31"/>
  <c r="A26" i="31"/>
  <c r="A27" i="31"/>
  <c r="A28" i="31"/>
  <c r="A29" i="31"/>
  <c r="A30" i="31"/>
  <c r="A31" i="31"/>
  <c r="A32" i="31"/>
  <c r="A33" i="31"/>
  <c r="A34" i="31"/>
  <c r="A35" i="31"/>
  <c r="A36" i="31"/>
  <c r="A37" i="31"/>
  <c r="A38" i="31"/>
  <c r="A11" i="31"/>
  <c r="I4" i="32" l="1"/>
  <c r="I3" i="32"/>
  <c r="E4" i="32"/>
  <c r="E3" i="32"/>
  <c r="A4" i="32"/>
  <c r="A3" i="32"/>
  <c r="I4" i="31"/>
  <c r="I3" i="31"/>
  <c r="E4" i="31"/>
  <c r="E3" i="31"/>
  <c r="A4" i="31"/>
  <c r="A3" i="31"/>
  <c r="G27" i="32" l="1"/>
  <c r="F27" i="32"/>
  <c r="D27" i="32"/>
  <c r="C27" i="32"/>
  <c r="B27" i="32"/>
  <c r="E26" i="32"/>
  <c r="E25" i="32"/>
  <c r="E24" i="32"/>
  <c r="E23" i="32"/>
  <c r="E22" i="32"/>
  <c r="E21" i="32"/>
  <c r="E20" i="32"/>
  <c r="E19" i="32"/>
  <c r="E18" i="32"/>
  <c r="E17" i="32"/>
  <c r="E15" i="32"/>
  <c r="E14" i="32"/>
  <c r="E27" i="32" s="1"/>
  <c r="M41" i="31"/>
  <c r="L41" i="31"/>
  <c r="H41" i="31"/>
  <c r="C41" i="31"/>
  <c r="B41" i="31"/>
  <c r="N40" i="31"/>
  <c r="K40" i="31"/>
  <c r="G40" i="31"/>
  <c r="J40" i="31" s="1"/>
  <c r="F40" i="31"/>
  <c r="E40" i="31"/>
  <c r="N39" i="31"/>
  <c r="K39" i="31"/>
  <c r="F39" i="31"/>
  <c r="E39" i="31"/>
  <c r="G39" i="31" s="1"/>
  <c r="J39" i="31" s="1"/>
  <c r="F38" i="31"/>
  <c r="K38" i="31" s="1"/>
  <c r="N38" i="31" s="1"/>
  <c r="E38" i="31"/>
  <c r="G38" i="31" s="1"/>
  <c r="J38" i="31" s="1"/>
  <c r="K37" i="31"/>
  <c r="N37" i="31" s="1"/>
  <c r="F37" i="31"/>
  <c r="E37" i="31"/>
  <c r="G37" i="31" s="1"/>
  <c r="J37" i="31" s="1"/>
  <c r="N36" i="31"/>
  <c r="K36" i="31"/>
  <c r="G36" i="31"/>
  <c r="J36" i="31" s="1"/>
  <c r="F36" i="31"/>
  <c r="E36" i="31"/>
  <c r="N35" i="31"/>
  <c r="K35" i="31"/>
  <c r="F35" i="31"/>
  <c r="E35" i="31"/>
  <c r="G35" i="31" s="1"/>
  <c r="J35" i="31" s="1"/>
  <c r="F34" i="31"/>
  <c r="K34" i="31" s="1"/>
  <c r="N34" i="31" s="1"/>
  <c r="E34" i="31"/>
  <c r="G34" i="31" s="1"/>
  <c r="J34" i="31" s="1"/>
  <c r="K33" i="31"/>
  <c r="N33" i="31" s="1"/>
  <c r="F33" i="31"/>
  <c r="E33" i="31"/>
  <c r="G33" i="31" s="1"/>
  <c r="J33" i="31" s="1"/>
  <c r="N32" i="31"/>
  <c r="K32" i="31"/>
  <c r="G32" i="31"/>
  <c r="J32" i="31" s="1"/>
  <c r="F32" i="31"/>
  <c r="E32" i="31"/>
  <c r="N31" i="31"/>
  <c r="K31" i="31"/>
  <c r="F31" i="31"/>
  <c r="E31" i="31"/>
  <c r="G31" i="31" s="1"/>
  <c r="J31" i="31" s="1"/>
  <c r="J30" i="31"/>
  <c r="G30" i="31"/>
  <c r="F30" i="31"/>
  <c r="K30" i="31" s="1"/>
  <c r="N30" i="31" s="1"/>
  <c r="E30" i="31"/>
  <c r="F29" i="31"/>
  <c r="K29" i="31" s="1"/>
  <c r="N29" i="31" s="1"/>
  <c r="E29" i="31"/>
  <c r="G29" i="31" s="1"/>
  <c r="J29" i="31" s="1"/>
  <c r="N28" i="31"/>
  <c r="K28" i="31"/>
  <c r="G28" i="31"/>
  <c r="J28" i="31" s="1"/>
  <c r="F28" i="31"/>
  <c r="E28" i="31"/>
  <c r="N27" i="31"/>
  <c r="K27" i="31"/>
  <c r="F27" i="31"/>
  <c r="E27" i="31"/>
  <c r="G27" i="31" s="1"/>
  <c r="J27" i="31" s="1"/>
  <c r="F26" i="31"/>
  <c r="K26" i="31" s="1"/>
  <c r="E26" i="31"/>
  <c r="G26" i="31" s="1"/>
  <c r="J26" i="31" s="1"/>
  <c r="F25" i="31"/>
  <c r="K25" i="31" s="1"/>
  <c r="N25" i="31" s="1"/>
  <c r="E25" i="31"/>
  <c r="G25" i="31" s="1"/>
  <c r="J25" i="31" s="1"/>
  <c r="K24" i="31"/>
  <c r="N24" i="31" s="1"/>
  <c r="F24" i="31"/>
  <c r="E24" i="31"/>
  <c r="G24" i="31" s="1"/>
  <c r="J24" i="31" s="1"/>
  <c r="K23" i="31"/>
  <c r="N23" i="31" s="1"/>
  <c r="G23" i="31"/>
  <c r="J23" i="31" s="1"/>
  <c r="F23" i="31"/>
  <c r="E23" i="31"/>
  <c r="F22" i="31"/>
  <c r="K22" i="31" s="1"/>
  <c r="N22" i="31" s="1"/>
  <c r="E22" i="31"/>
  <c r="G22" i="31" s="1"/>
  <c r="J22" i="31" s="1"/>
  <c r="F21" i="31"/>
  <c r="K21" i="31" s="1"/>
  <c r="N21" i="31" s="1"/>
  <c r="E21" i="31"/>
  <c r="G21" i="31" s="1"/>
  <c r="J21" i="31" s="1"/>
  <c r="K20" i="31"/>
  <c r="N20" i="31" s="1"/>
  <c r="F20" i="31"/>
  <c r="E20" i="31"/>
  <c r="G20" i="31" s="1"/>
  <c r="J20" i="31" s="1"/>
  <c r="K19" i="31"/>
  <c r="N19" i="31" s="1"/>
  <c r="G19" i="31"/>
  <c r="J19" i="31" s="1"/>
  <c r="F19" i="31"/>
  <c r="E19" i="31"/>
  <c r="F18" i="31"/>
  <c r="K18" i="31" s="1"/>
  <c r="N18" i="31" s="1"/>
  <c r="E18" i="31"/>
  <c r="G18" i="31" s="1"/>
  <c r="J18" i="31" s="1"/>
  <c r="F17" i="31"/>
  <c r="K17" i="31" s="1"/>
  <c r="N17" i="31" s="1"/>
  <c r="E17" i="31"/>
  <c r="G17" i="31" s="1"/>
  <c r="J17" i="31" s="1"/>
  <c r="K16" i="31"/>
  <c r="F16" i="31"/>
  <c r="E16" i="31"/>
  <c r="G16" i="31" s="1"/>
  <c r="J16" i="31" s="1"/>
  <c r="J15" i="31"/>
  <c r="G15" i="31"/>
  <c r="F15" i="31"/>
  <c r="K15" i="31" s="1"/>
  <c r="N15" i="31" s="1"/>
  <c r="E15" i="31"/>
  <c r="F14" i="31"/>
  <c r="K14" i="31" s="1"/>
  <c r="N14" i="31" s="1"/>
  <c r="E14" i="31"/>
  <c r="G14" i="31" s="1"/>
  <c r="J14" i="31" s="1"/>
  <c r="N13" i="31"/>
  <c r="K13" i="31"/>
  <c r="G13" i="31"/>
  <c r="J13" i="31" s="1"/>
  <c r="F13" i="31"/>
  <c r="E13" i="31"/>
  <c r="N12" i="31"/>
  <c r="K12" i="31"/>
  <c r="F12" i="31"/>
  <c r="E12" i="31"/>
  <c r="G12" i="31" s="1"/>
  <c r="J12" i="31" s="1"/>
  <c r="I11" i="31"/>
  <c r="I41" i="31" s="1"/>
  <c r="G11" i="31"/>
  <c r="J11" i="31" s="1"/>
  <c r="F11" i="31"/>
  <c r="F41" i="31" s="1"/>
  <c r="E11" i="31"/>
  <c r="E41" i="31" s="1"/>
  <c r="J41" i="31" l="1"/>
  <c r="G41" i="31"/>
  <c r="K11" i="31"/>
  <c r="G4" i="28"/>
  <c r="D4" i="28"/>
  <c r="A4" i="28"/>
  <c r="G3" i="28"/>
  <c r="D3" i="28"/>
  <c r="A3" i="28"/>
  <c r="L42" i="29"/>
  <c r="I42" i="29"/>
  <c r="F42" i="29"/>
  <c r="C42" i="29"/>
  <c r="K40" i="29"/>
  <c r="N40" i="29" s="1"/>
  <c r="E40" i="29"/>
  <c r="H40" i="29" s="1"/>
  <c r="K39" i="29"/>
  <c r="N39" i="29" s="1"/>
  <c r="E39" i="29"/>
  <c r="H39" i="29" s="1"/>
  <c r="K38" i="29"/>
  <c r="N38" i="29" s="1"/>
  <c r="E38" i="29"/>
  <c r="K37" i="29"/>
  <c r="N37" i="29" s="1"/>
  <c r="E37" i="29"/>
  <c r="H37" i="29" s="1"/>
  <c r="K36" i="29"/>
  <c r="N36" i="29" s="1"/>
  <c r="E36" i="29"/>
  <c r="H36" i="29" s="1"/>
  <c r="K35" i="29"/>
  <c r="N35" i="29" s="1"/>
  <c r="E35" i="29"/>
  <c r="H35" i="29" s="1"/>
  <c r="K34" i="29"/>
  <c r="N34" i="29" s="1"/>
  <c r="E34" i="29"/>
  <c r="H34" i="29" s="1"/>
  <c r="K33" i="29"/>
  <c r="N33" i="29" s="1"/>
  <c r="E33" i="29"/>
  <c r="H33" i="29" s="1"/>
  <c r="K32" i="29"/>
  <c r="N32" i="29" s="1"/>
  <c r="E32" i="29"/>
  <c r="H32" i="29" s="1"/>
  <c r="K31" i="29"/>
  <c r="N31" i="29" s="1"/>
  <c r="E31" i="29"/>
  <c r="H31" i="29" s="1"/>
  <c r="K30" i="29"/>
  <c r="N30" i="29" s="1"/>
  <c r="E30" i="29"/>
  <c r="H30" i="29" s="1"/>
  <c r="K29" i="29"/>
  <c r="N29" i="29" s="1"/>
  <c r="E29" i="29"/>
  <c r="H29" i="29" s="1"/>
  <c r="K28" i="29"/>
  <c r="N28" i="29" s="1"/>
  <c r="E28" i="29"/>
  <c r="H28" i="29" s="1"/>
  <c r="K27" i="29"/>
  <c r="N27" i="29" s="1"/>
  <c r="E27" i="29"/>
  <c r="H27" i="29" s="1"/>
  <c r="K26" i="29"/>
  <c r="N26" i="29" s="1"/>
  <c r="E26" i="29"/>
  <c r="H26" i="29" s="1"/>
  <c r="K25" i="29"/>
  <c r="N25" i="29" s="1"/>
  <c r="E25" i="29"/>
  <c r="H25" i="29" s="1"/>
  <c r="K24" i="29"/>
  <c r="N24" i="29" s="1"/>
  <c r="E24" i="29"/>
  <c r="H24" i="29" s="1"/>
  <c r="K23" i="29"/>
  <c r="N23" i="29" s="1"/>
  <c r="E23" i="29"/>
  <c r="H23" i="29" s="1"/>
  <c r="K22" i="29"/>
  <c r="N22" i="29" s="1"/>
  <c r="E22" i="29"/>
  <c r="H22" i="29" s="1"/>
  <c r="K21" i="29"/>
  <c r="N21" i="29" s="1"/>
  <c r="E21" i="29"/>
  <c r="H21" i="29" s="1"/>
  <c r="K20" i="29"/>
  <c r="N20" i="29" s="1"/>
  <c r="E20" i="29"/>
  <c r="H20" i="29" s="1"/>
  <c r="K19" i="29"/>
  <c r="N19" i="29" s="1"/>
  <c r="E19" i="29"/>
  <c r="H19" i="29" s="1"/>
  <c r="K18" i="29"/>
  <c r="N18" i="29" s="1"/>
  <c r="E18" i="29"/>
  <c r="H18" i="29" s="1"/>
  <c r="K17" i="29"/>
  <c r="N17" i="29" s="1"/>
  <c r="E17" i="29"/>
  <c r="H17" i="29" s="1"/>
  <c r="K16" i="29"/>
  <c r="N16" i="29" s="1"/>
  <c r="E16" i="29"/>
  <c r="K15" i="29"/>
  <c r="N15" i="29" s="1"/>
  <c r="E15" i="29"/>
  <c r="H15" i="29" s="1"/>
  <c r="K14" i="29"/>
  <c r="N14" i="29" s="1"/>
  <c r="E14" i="29"/>
  <c r="K13" i="29"/>
  <c r="N13" i="29" s="1"/>
  <c r="E13" i="29"/>
  <c r="H13" i="29" s="1"/>
  <c r="K12" i="29"/>
  <c r="N12" i="29" s="1"/>
  <c r="E12" i="29"/>
  <c r="K11" i="29"/>
  <c r="N11" i="29" s="1"/>
  <c r="E11" i="29"/>
  <c r="H4" i="29"/>
  <c r="D4" i="29"/>
  <c r="A4" i="29"/>
  <c r="H3" i="29"/>
  <c r="D3" i="29"/>
  <c r="A3" i="29"/>
  <c r="C74" i="22"/>
  <c r="B74" i="22"/>
  <c r="C72" i="22"/>
  <c r="B72" i="22"/>
  <c r="C63" i="22"/>
  <c r="B63" i="22"/>
  <c r="E52" i="22"/>
  <c r="D52" i="22"/>
  <c r="C52" i="22"/>
  <c r="B52" i="22"/>
  <c r="A50" i="22"/>
  <c r="A49" i="22"/>
  <c r="A48" i="22"/>
  <c r="A47" i="22"/>
  <c r="A46" i="22"/>
  <c r="E44" i="22"/>
  <c r="D44" i="22"/>
  <c r="C44" i="22"/>
  <c r="B44" i="22"/>
  <c r="A42" i="22"/>
  <c r="A41" i="22"/>
  <c r="A40" i="22"/>
  <c r="A39" i="22"/>
  <c r="A38" i="22"/>
  <c r="A37" i="22"/>
  <c r="A36" i="22"/>
  <c r="E29" i="22"/>
  <c r="D29" i="22"/>
  <c r="C29" i="22"/>
  <c r="B29" i="22"/>
  <c r="E21" i="22"/>
  <c r="D21" i="22"/>
  <c r="C21" i="22"/>
  <c r="B21" i="22"/>
  <c r="G20" i="22"/>
  <c r="A19" i="22"/>
  <c r="A18" i="22"/>
  <c r="A17" i="22"/>
  <c r="A16" i="22"/>
  <c r="A15" i="22"/>
  <c r="A14" i="22"/>
  <c r="A13" i="22"/>
  <c r="D4" i="22"/>
  <c r="B4" i="22"/>
  <c r="A4" i="22"/>
  <c r="D3" i="22"/>
  <c r="B3" i="22"/>
  <c r="A3" i="22"/>
  <c r="C54" i="23"/>
  <c r="C52" i="23"/>
  <c r="B52" i="23"/>
  <c r="B54" i="23" s="1"/>
  <c r="C42" i="23"/>
  <c r="B42" i="23"/>
  <c r="E29" i="23"/>
  <c r="D29" i="23"/>
  <c r="C29" i="23"/>
  <c r="B29" i="23"/>
  <c r="E21" i="23"/>
  <c r="D21" i="23"/>
  <c r="C21" i="23"/>
  <c r="B21" i="23"/>
  <c r="D4" i="23"/>
  <c r="B4" i="23"/>
  <c r="A4" i="23"/>
  <c r="D3" i="23"/>
  <c r="B3" i="23"/>
  <c r="A3" i="23"/>
  <c r="H4" i="18"/>
  <c r="C4" i="18"/>
  <c r="A4" i="18"/>
  <c r="H3" i="18"/>
  <c r="C3" i="18"/>
  <c r="A3" i="18"/>
  <c r="G4" i="27"/>
  <c r="D4" i="27"/>
  <c r="A4" i="27"/>
  <c r="G3" i="27"/>
  <c r="D3" i="27"/>
  <c r="A3" i="27"/>
  <c r="H12" i="29" l="1"/>
  <c r="J13" i="18"/>
  <c r="K13" i="18" s="1"/>
  <c r="J9" i="18"/>
  <c r="K9" i="18" s="1"/>
  <c r="H16" i="29"/>
  <c r="I7" i="18"/>
  <c r="H38" i="29"/>
  <c r="G16" i="18"/>
  <c r="K42" i="29"/>
  <c r="E42" i="29"/>
  <c r="H14" i="29"/>
  <c r="N42" i="29"/>
  <c r="J12" i="18"/>
  <c r="K12" i="18" s="1"/>
  <c r="J15" i="18"/>
  <c r="K15" i="18" s="1"/>
  <c r="H11" i="29"/>
  <c r="J10" i="18"/>
  <c r="K10" i="18" s="1"/>
  <c r="L8" i="18"/>
  <c r="M8" i="18" s="1"/>
  <c r="C16" i="18"/>
  <c r="D16" i="18"/>
  <c r="J14" i="18"/>
  <c r="K14" i="18" s="1"/>
  <c r="H16" i="18"/>
  <c r="N11" i="31"/>
  <c r="N41" i="31" s="1"/>
  <c r="K41" i="31"/>
  <c r="H42" i="29" l="1"/>
  <c r="L12" i="18"/>
  <c r="M12" i="18" s="1"/>
  <c r="J8" i="18"/>
  <c r="K8" i="18" s="1"/>
  <c r="L13" i="18"/>
  <c r="M13" i="18" s="1"/>
  <c r="L14" i="18"/>
  <c r="M14" i="18" s="1"/>
  <c r="L10" i="18"/>
  <c r="M10" i="18" s="1"/>
  <c r="L9" i="18"/>
  <c r="M9" i="18" s="1"/>
  <c r="F16" i="18"/>
  <c r="L15" i="18"/>
  <c r="J7" i="18"/>
  <c r="K7" i="18" s="1"/>
  <c r="B16" i="18"/>
  <c r="J11" i="18"/>
  <c r="K11" i="18" s="1"/>
  <c r="L11" i="18"/>
  <c r="M11" i="18" s="1"/>
  <c r="L7" i="18"/>
  <c r="M7" i="18" s="1"/>
  <c r="I16" i="18"/>
  <c r="E16" i="18" l="1"/>
  <c r="L16" i="18" s="1"/>
  <c r="M16" i="18" s="1"/>
  <c r="M15" i="18"/>
  <c r="J16" i="18"/>
  <c r="K16" i="18" s="1"/>
  <c r="I18" i="18"/>
  <c r="E18" i="18" l="1"/>
</calcChain>
</file>

<file path=xl/comments1.xml><?xml version="1.0" encoding="utf-8"?>
<comments xmlns="http://schemas.openxmlformats.org/spreadsheetml/2006/main">
  <authors>
    <author>何先琴</author>
  </authors>
  <commentList>
    <comment ref="C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huaxiangmin</author>
  </authors>
  <commentList>
    <comment ref="A12" authorId="0" shapeId="0">
      <text>
        <r>
          <rPr>
            <b/>
            <sz val="9"/>
            <rFont val="宋体"/>
            <family val="3"/>
            <charset val="134"/>
          </rPr>
          <t>jsbzb:</t>
        </r>
        <r>
          <rPr>
            <sz val="9"/>
            <rFont val="宋体"/>
            <family val="3"/>
            <charset val="134"/>
          </rPr>
          <t xml:space="preserve">
考虑包括流动资产和非流动资产部分</t>
        </r>
      </text>
    </comment>
  </commentList>
</comments>
</file>

<file path=xl/comments3.xml><?xml version="1.0" encoding="utf-8"?>
<comments xmlns="http://schemas.openxmlformats.org/spreadsheetml/2006/main">
  <authors>
    <author>huaxiangmin</author>
  </authors>
  <commentList>
    <comment ref="A16" authorId="0" shapeId="0">
      <text>
        <r>
          <rPr>
            <b/>
            <sz val="9"/>
            <rFont val="宋体"/>
            <family val="3"/>
            <charset val="134"/>
          </rPr>
          <t>jsbzb:</t>
        </r>
        <r>
          <rPr>
            <sz val="9"/>
            <rFont val="宋体"/>
            <family val="3"/>
            <charset val="134"/>
          </rPr>
          <t xml:space="preserve">
考虑包括流动资产和非流动资产部分</t>
        </r>
      </text>
    </comment>
  </commentList>
</comments>
</file>

<file path=xl/comments4.xml><?xml version="1.0" encoding="utf-8"?>
<comments xmlns="http://schemas.openxmlformats.org/spreadsheetml/2006/main">
  <authors>
    <author>admin</author>
  </authors>
  <commentList>
    <comment ref="A16" authorId="0" shapeId="0">
      <text>
        <r>
          <rPr>
            <b/>
            <sz val="9"/>
            <rFont val="Tahoma"/>
            <family val="2"/>
          </rPr>
          <t>jsbzb:</t>
        </r>
        <r>
          <rPr>
            <sz val="9"/>
            <rFont val="Tahoma"/>
            <family val="2"/>
          </rPr>
          <t xml:space="preserve">
</t>
        </r>
        <r>
          <rPr>
            <sz val="9"/>
            <rFont val="宋体"/>
            <family val="3"/>
            <charset val="134"/>
          </rPr>
          <t>考虑包括流动资产和非流动资产部分</t>
        </r>
      </text>
    </comment>
  </commentList>
</comments>
</file>

<file path=xl/sharedStrings.xml><?xml version="1.0" encoding="utf-8"?>
<sst xmlns="http://schemas.openxmlformats.org/spreadsheetml/2006/main" count="495" uniqueCount="315">
  <si>
    <t>底稿开列时，可先在以下单元格填写有关内容，以便其他底稿引用有关数据：</t>
  </si>
  <si>
    <t>被审计单位名称：</t>
  </si>
  <si>
    <t>序号</t>
  </si>
  <si>
    <t>内容</t>
  </si>
  <si>
    <t>索引号</t>
  </si>
  <si>
    <t>递延所得税资产审计程序表</t>
  </si>
  <si>
    <t>编制人：</t>
  </si>
  <si>
    <t>递延所得税资产审定表</t>
  </si>
  <si>
    <t>编制日期：</t>
  </si>
  <si>
    <t>附注披露信息（上市公司）</t>
  </si>
  <si>
    <t>无需打印</t>
  </si>
  <si>
    <t>复核人：</t>
  </si>
  <si>
    <t>附注披露信息（国企）</t>
  </si>
  <si>
    <t>复核日期：</t>
  </si>
  <si>
    <t>递延所得税资产明细表</t>
  </si>
  <si>
    <t>调整分录汇总</t>
  </si>
  <si>
    <t>致同会计师事务所</t>
  </si>
  <si>
    <t>递延所得税资产实质性程序表</t>
  </si>
  <si>
    <t>索引号：</t>
  </si>
  <si>
    <t>页次：</t>
  </si>
  <si>
    <t>一、本账户涉及的科目</t>
  </si>
  <si>
    <t>递延所得税资产</t>
  </si>
  <si>
    <t>二、审计目标与财务报表认定的关系</t>
  </si>
  <si>
    <t>审计目标</t>
  </si>
  <si>
    <t>财务报表的认定　</t>
  </si>
  <si>
    <t>A.资产负债表中记录的递延所得税资产是存在的，且已经记录在恰当的账户中</t>
  </si>
  <si>
    <t>存在</t>
  </si>
  <si>
    <t>B.所有应记录的递延所得税资产均已记录，所有应当包括在财务报表中的相关披露均已包括</t>
  </si>
  <si>
    <t>完整性</t>
  </si>
  <si>
    <t>C.记录的递延所得税资产由被审计单位拥有或控制。</t>
  </si>
  <si>
    <t>权利和义务</t>
  </si>
  <si>
    <t xml:space="preserve">D.递延所得税资产以恰当的金额包括在财务报表中，与之相关的计价或分摊调整已恰当记录，相关披露已得到恰当计量和描述 </t>
  </si>
  <si>
    <t>准确性、计价和分摊</t>
  </si>
  <si>
    <t>E.递延所得税资产已被恰当地汇总或分解且表述清楚，相关披露在按照企业会计准则的编制基础下是相关的、可理解的</t>
  </si>
  <si>
    <t>列报</t>
  </si>
  <si>
    <t>三、计划实施的实质性程序</t>
  </si>
  <si>
    <t>对应LEAP程序</t>
  </si>
  <si>
    <t>程序分类</t>
  </si>
  <si>
    <t>财务报表的认定</t>
  </si>
  <si>
    <t>底稿索引号</t>
  </si>
  <si>
    <t>权利和
义务</t>
  </si>
  <si>
    <t>常规程序</t>
  </si>
  <si>
    <t>常规★</t>
  </si>
  <si>
    <r>
      <rPr>
        <sz val="10"/>
        <rFont val="宋体"/>
        <family val="3"/>
        <charset val="134"/>
      </rPr>
      <t>√</t>
    </r>
  </si>
  <si>
    <t>期初余额</t>
  </si>
  <si>
    <t>备选</t>
  </si>
  <si>
    <r>
      <rPr>
        <b/>
        <sz val="10"/>
        <rFont val="宋体"/>
        <family val="3"/>
        <charset val="134"/>
      </rPr>
      <t>√</t>
    </r>
  </si>
  <si>
    <t>应对措施-检查</t>
  </si>
  <si>
    <t>检查被审计单位采用的会计政策是否为资产负债表债务法。检查被审计单位用于确认递延所得税资产的税率是否根据税法的规定，按照预期收回该资产期间的适用税率计量。</t>
  </si>
  <si>
    <t>重新计算各项可抵扣暂时性差异，检查其会计处理是否正确</t>
  </si>
  <si>
    <t>检查是否以未来期间很可能取得用来抵扣可抵扣暂时性差异的应纳税所得额为限，确认由可抵扣暂时性差异产生的递延所得税资产，并检查提供证据是否充分，如果预计未来期间很可能无法获得足够的应纳税所得额用以抵扣递延所得税资产，检查是否减记递延所得税资产的账面价值。</t>
  </si>
  <si>
    <t>根据评估的舞弊风险等因素增加的审计程序。</t>
  </si>
  <si>
    <t>IPO/上市/新三板/重组/舞弊应对</t>
  </si>
  <si>
    <t>检查递延所得税资产是否已按企业会计准则或其他适用的规定在财务报表中做出恰当列报和披露。</t>
  </si>
  <si>
    <r>
      <rPr>
        <sz val="10"/>
        <rFont val="Arial Narrow"/>
        <family val="2"/>
      </rPr>
      <t>A1-1/</t>
    </r>
    <r>
      <rPr>
        <sz val="10"/>
        <color rgb="FFFF0000"/>
        <rFont val="Arial Narrow"/>
        <family val="2"/>
      </rPr>
      <t>A1-15 /A1-16</t>
    </r>
  </si>
  <si>
    <t>IPE程序</t>
  </si>
  <si>
    <t>T1</t>
  </si>
  <si>
    <r>
      <rPr>
        <b/>
        <sz val="10"/>
        <color indexed="8"/>
        <rFont val="宋体"/>
        <family val="3"/>
        <charset val="134"/>
      </rPr>
      <t>项目</t>
    </r>
  </si>
  <si>
    <r>
      <rPr>
        <b/>
        <sz val="10"/>
        <rFont val="宋体"/>
        <family val="3"/>
        <charset val="134"/>
      </rPr>
      <t>期初数</t>
    </r>
  </si>
  <si>
    <r>
      <rPr>
        <b/>
        <sz val="10"/>
        <rFont val="宋体"/>
        <family val="3"/>
        <charset val="134"/>
      </rPr>
      <t>期末数</t>
    </r>
  </si>
  <si>
    <r>
      <rPr>
        <b/>
        <sz val="10"/>
        <color indexed="8"/>
        <rFont val="宋体"/>
        <family val="3"/>
        <charset val="134"/>
      </rPr>
      <t>本期未审数与上期
未审数的比较</t>
    </r>
  </si>
  <si>
    <r>
      <rPr>
        <b/>
        <sz val="10"/>
        <color indexed="8"/>
        <rFont val="宋体"/>
        <family val="3"/>
        <charset val="134"/>
      </rPr>
      <t>本期审定数与上期
审定数的比较</t>
    </r>
  </si>
  <si>
    <r>
      <rPr>
        <b/>
        <sz val="10"/>
        <color indexed="8"/>
        <rFont val="宋体"/>
        <family val="3"/>
        <charset val="134"/>
      </rPr>
      <t>原因分析</t>
    </r>
  </si>
  <si>
    <t>提示：根据被审计单位税收项目具体情况增减项目明细</t>
  </si>
  <si>
    <r>
      <rPr>
        <b/>
        <sz val="10"/>
        <rFont val="宋体"/>
        <family val="3"/>
        <charset val="134"/>
      </rPr>
      <t>未审数</t>
    </r>
  </si>
  <si>
    <r>
      <rPr>
        <b/>
        <sz val="10"/>
        <rFont val="宋体"/>
        <family val="3"/>
        <charset val="134"/>
      </rPr>
      <t>账项调整</t>
    </r>
  </si>
  <si>
    <r>
      <rPr>
        <b/>
        <sz val="10"/>
        <rFont val="宋体"/>
        <family val="3"/>
        <charset val="134"/>
      </rPr>
      <t>重分类调整</t>
    </r>
  </si>
  <si>
    <r>
      <rPr>
        <b/>
        <sz val="10"/>
        <rFont val="宋体"/>
        <family val="3"/>
        <charset val="134"/>
      </rPr>
      <t>审定数</t>
    </r>
  </si>
  <si>
    <r>
      <rPr>
        <b/>
        <sz val="10"/>
        <rFont val="宋体"/>
        <family val="3"/>
        <charset val="134"/>
      </rPr>
      <t>变动额</t>
    </r>
  </si>
  <si>
    <r>
      <rPr>
        <b/>
        <sz val="10"/>
        <rFont val="宋体"/>
        <family val="3"/>
        <charset val="134"/>
      </rPr>
      <t>变动率</t>
    </r>
  </si>
  <si>
    <r>
      <rPr>
        <b/>
        <sz val="10"/>
        <color indexed="8"/>
        <rFont val="宋体"/>
        <family val="3"/>
        <charset val="134"/>
      </rPr>
      <t>变动率</t>
    </r>
  </si>
  <si>
    <t>合计</t>
  </si>
  <si>
    <t>试算平衡表数</t>
  </si>
  <si>
    <t>差异数</t>
  </si>
  <si>
    <r>
      <rPr>
        <b/>
        <sz val="10"/>
        <rFont val="宋体"/>
        <family val="3"/>
        <charset val="134"/>
        <scheme val="minor"/>
      </rPr>
      <t>1.审计说明</t>
    </r>
  </si>
  <si>
    <t>（1）期末余额较期初余额增加（负数为减少）：</t>
  </si>
  <si>
    <r>
      <rPr>
        <sz val="10"/>
        <rFont val="宋体"/>
        <family val="3"/>
        <charset val="134"/>
        <scheme val="minor"/>
      </rPr>
      <t>主要原因</t>
    </r>
    <r>
      <rPr>
        <sz val="10"/>
        <color indexed="10"/>
        <rFont val="宋体"/>
        <family val="3"/>
        <charset val="134"/>
        <scheme val="minor"/>
      </rPr>
      <t>（比例超过30%的）</t>
    </r>
    <r>
      <rPr>
        <sz val="10"/>
        <rFont val="宋体"/>
        <family val="3"/>
        <charset val="134"/>
        <scheme val="minor"/>
      </rPr>
      <t>：</t>
    </r>
  </si>
  <si>
    <t>（2）未确认递延所得税资产的可抵扣暂时性差异、可抵扣亏损等的金额（存在到期日的，应披露到期日）</t>
  </si>
  <si>
    <t>（3）情况说明</t>
  </si>
  <si>
    <t>2.审计结论</t>
  </si>
  <si>
    <t>[注1]取得税务同意抵扣依据的开办费摊销差异。</t>
  </si>
  <si>
    <t>[注2]预计辞退福利费须解除劳动关系。</t>
  </si>
  <si>
    <t>[注3]若有其他项目，需详加说明内容。如税款抵减等。</t>
  </si>
  <si>
    <t>[注4] 预计递延所得税资产（负债）转回时适用的所得税税率。相关证明文件索引号为：</t>
  </si>
  <si>
    <r>
      <rPr>
        <sz val="10"/>
        <rFont val="宋体"/>
        <family val="3"/>
        <charset val="134"/>
      </rPr>
      <t>页次：</t>
    </r>
    <r>
      <rPr>
        <sz val="10"/>
        <rFont val="Arial Narrow"/>
        <family val="2"/>
      </rPr>
      <t>1</t>
    </r>
  </si>
  <si>
    <t>附注披露信息：</t>
  </si>
  <si>
    <t>递延所得税资产与递延所得税负债</t>
  </si>
  <si>
    <r>
      <rPr>
        <sz val="12"/>
        <rFont val="仿宋_GB2312"/>
        <family val="3"/>
        <charset val="134"/>
      </rPr>
      <t>（</t>
    </r>
    <r>
      <rPr>
        <sz val="12"/>
        <rFont val="Arial Narrow"/>
        <family val="2"/>
      </rPr>
      <t>1</t>
    </r>
    <r>
      <rPr>
        <sz val="12"/>
        <rFont val="仿宋_GB2312"/>
        <family val="3"/>
        <charset val="134"/>
      </rPr>
      <t>）未经抵销的递延所得税资产和递延所得税负债</t>
    </r>
  </si>
  <si>
    <r>
      <rPr>
        <b/>
        <sz val="12"/>
        <rFont val="仿宋_GB2312"/>
        <family val="3"/>
        <charset val="134"/>
      </rPr>
      <t>项</t>
    </r>
    <r>
      <rPr>
        <b/>
        <sz val="12"/>
        <rFont val="Arial Narrow"/>
        <family val="2"/>
      </rPr>
      <t xml:space="preserve">  </t>
    </r>
    <r>
      <rPr>
        <b/>
        <sz val="12"/>
        <rFont val="仿宋_GB2312"/>
        <family val="3"/>
        <charset val="134"/>
      </rPr>
      <t>目</t>
    </r>
  </si>
  <si>
    <t>期末余额</t>
  </si>
  <si>
    <t>上年年末余额</t>
  </si>
  <si>
    <r>
      <rPr>
        <b/>
        <sz val="12"/>
        <rFont val="仿宋_GB2312"/>
        <family val="3"/>
        <charset val="134"/>
      </rPr>
      <t>可抵扣</t>
    </r>
    <r>
      <rPr>
        <b/>
        <sz val="12"/>
        <rFont val="Arial Narrow"/>
        <family val="2"/>
      </rPr>
      <t>/</t>
    </r>
    <r>
      <rPr>
        <b/>
        <sz val="12"/>
        <rFont val="仿宋_GB2312"/>
        <family val="3"/>
        <charset val="134"/>
      </rPr>
      <t>应纳税暂时性差异</t>
    </r>
  </si>
  <si>
    <r>
      <rPr>
        <b/>
        <sz val="12"/>
        <rFont val="仿宋_GB2312"/>
        <family val="3"/>
        <charset val="134"/>
      </rPr>
      <t>递延所得税资产</t>
    </r>
    <r>
      <rPr>
        <b/>
        <sz val="12"/>
        <rFont val="Arial Narrow"/>
        <family val="2"/>
      </rPr>
      <t>/</t>
    </r>
    <r>
      <rPr>
        <b/>
        <sz val="12"/>
        <rFont val="仿宋_GB2312"/>
        <family val="3"/>
        <charset val="134"/>
      </rPr>
      <t>负债</t>
    </r>
  </si>
  <si>
    <t>递延所得税资产：</t>
  </si>
  <si>
    <t>资产减值准备</t>
  </si>
  <si>
    <t>可抵扣亏损</t>
  </si>
  <si>
    <t>内部交易未实现利润</t>
  </si>
  <si>
    <t>公允价值变动</t>
  </si>
  <si>
    <t>租赁负债</t>
  </si>
  <si>
    <t>购入摊销年限小于税法规定的资产</t>
  </si>
  <si>
    <t>其他</t>
  </si>
  <si>
    <r>
      <rPr>
        <b/>
        <sz val="12"/>
        <rFont val="仿宋_GB2312"/>
        <family val="3"/>
        <charset val="134"/>
      </rPr>
      <t>小</t>
    </r>
    <r>
      <rPr>
        <b/>
        <sz val="12"/>
        <rFont val="Arial Narrow"/>
        <family val="2"/>
      </rPr>
      <t xml:space="preserve">  </t>
    </r>
    <r>
      <rPr>
        <b/>
        <sz val="12"/>
        <rFont val="仿宋_GB2312"/>
        <family val="3"/>
        <charset val="134"/>
      </rPr>
      <t>计</t>
    </r>
  </si>
  <si>
    <t>递延所得税负债：</t>
  </si>
  <si>
    <t>递延所得税负债数据来源于递延所得税负债底稿</t>
  </si>
  <si>
    <t>购入摊销年限大于税法规定的资产</t>
  </si>
  <si>
    <t>可供出售金融资产公允价值变动</t>
  </si>
  <si>
    <t>投资性房地产公允价值变动</t>
  </si>
  <si>
    <t>使用权资产</t>
  </si>
  <si>
    <t>小计</t>
  </si>
  <si>
    <t>说明：其中一年后预期转回的递延所得税资产和递延所得税负债分别为X.XX元、X.XX元。</t>
  </si>
  <si>
    <t>【提示：连续亏损的情况下，仍将较大金额的未抵扣亏损确认递延所得税资产，对当期净利润影响较大，甚至扭亏为盈，应当披露相关判断依据】</t>
  </si>
  <si>
    <t>【提示：产生递延所得税资产的资产减值准备中包括持有待售资产的资产减值准备。】</t>
  </si>
  <si>
    <r>
      <rPr>
        <sz val="12"/>
        <rFont val="仿宋_GB2312"/>
        <family val="3"/>
        <charset val="134"/>
      </rPr>
      <t>（</t>
    </r>
    <r>
      <rPr>
        <sz val="12"/>
        <rFont val="Arial Narrow"/>
        <family val="2"/>
      </rPr>
      <t>2</t>
    </r>
    <r>
      <rPr>
        <sz val="12"/>
        <rFont val="仿宋_GB2312"/>
        <family val="3"/>
        <charset val="134"/>
      </rPr>
      <t>）以抵销后净额列示的递延所得税资产或负债</t>
    </r>
    <r>
      <rPr>
        <sz val="12"/>
        <color rgb="FF0000FF"/>
        <rFont val="仿宋_GB2312"/>
        <family val="3"/>
        <charset val="134"/>
      </rPr>
      <t>（不适用的删除</t>
    </r>
    <r>
      <rPr>
        <sz val="12"/>
        <rFont val="仿宋_GB2312"/>
        <family val="3"/>
        <charset val="134"/>
      </rPr>
      <t>）</t>
    </r>
  </si>
  <si>
    <t>递延所得税资产和负债期末互抵金额</t>
  </si>
  <si>
    <t>抵销后递延所得税资产或负债期末余额</t>
  </si>
  <si>
    <t>递延所得税资产和负债期初互抵金额</t>
  </si>
  <si>
    <t>抵销后递延所得税资产或负债期初余额</t>
  </si>
  <si>
    <t>递延所得税负债</t>
  </si>
  <si>
    <r>
      <rPr>
        <sz val="12"/>
        <rFont val="仿宋_GB2312"/>
        <family val="3"/>
        <charset val="134"/>
      </rPr>
      <t>（</t>
    </r>
    <r>
      <rPr>
        <sz val="12"/>
        <rFont val="Arial Narrow"/>
        <family val="2"/>
      </rPr>
      <t>3</t>
    </r>
    <r>
      <rPr>
        <sz val="12"/>
        <rFont val="仿宋_GB2312"/>
        <family val="3"/>
        <charset val="134"/>
      </rPr>
      <t>）未确认递延所得税资产的可抵扣暂时性差异及可抵扣亏损明细</t>
    </r>
  </si>
  <si>
    <t>可抵扣暂时性差异</t>
  </si>
  <si>
    <r>
      <rPr>
        <b/>
        <sz val="12"/>
        <rFont val="仿宋_GB2312"/>
        <family val="3"/>
        <charset val="134"/>
      </rPr>
      <t>合</t>
    </r>
    <r>
      <rPr>
        <b/>
        <sz val="12"/>
        <rFont val="Arial Narrow"/>
        <family val="2"/>
      </rPr>
      <t xml:space="preserve">  </t>
    </r>
    <r>
      <rPr>
        <b/>
        <sz val="12"/>
        <rFont val="仿宋_GB2312"/>
        <family val="3"/>
        <charset val="134"/>
      </rPr>
      <t>计</t>
    </r>
  </si>
  <si>
    <t>注：列示由于未来能否获得足够的应纳税所得额具有不确定性，因此没有确认为递延所得税资产的可抵扣暂时性差异和可抵扣亏损。</t>
  </si>
  <si>
    <r>
      <rPr>
        <sz val="12"/>
        <rFont val="仿宋_GB2312"/>
        <family val="3"/>
        <charset val="134"/>
      </rPr>
      <t>（</t>
    </r>
    <r>
      <rPr>
        <sz val="12"/>
        <rFont val="Arial Narrow"/>
        <family val="2"/>
      </rPr>
      <t>4</t>
    </r>
    <r>
      <rPr>
        <sz val="12"/>
        <rFont val="仿宋_GB2312"/>
        <family val="3"/>
        <charset val="134"/>
      </rPr>
      <t>）未确认递延所得税资产的可抵扣亏损将于以下年度到期</t>
    </r>
  </si>
  <si>
    <r>
      <rPr>
        <b/>
        <sz val="12"/>
        <rFont val="仿宋_GB2312"/>
        <family val="3"/>
        <charset val="134"/>
      </rPr>
      <t>年</t>
    </r>
    <r>
      <rPr>
        <b/>
        <sz val="12"/>
        <rFont val="Arial Narrow"/>
        <family val="2"/>
      </rPr>
      <t xml:space="preserve">  </t>
    </r>
    <r>
      <rPr>
        <b/>
        <sz val="12"/>
        <rFont val="仿宋_GB2312"/>
        <family val="3"/>
        <charset val="134"/>
      </rPr>
      <t>份</t>
    </r>
  </si>
  <si>
    <t>备注</t>
  </si>
  <si>
    <r>
      <rPr>
        <sz val="12"/>
        <rFont val="Arial Narrow"/>
        <family val="2"/>
      </rPr>
      <t>2022</t>
    </r>
    <r>
      <rPr>
        <sz val="12"/>
        <rFont val="仿宋_GB2312"/>
        <family val="3"/>
        <charset val="134"/>
      </rPr>
      <t>年</t>
    </r>
  </si>
  <si>
    <t>——</t>
  </si>
  <si>
    <r>
      <rPr>
        <sz val="12"/>
        <rFont val="Arial Narrow"/>
        <family val="2"/>
      </rPr>
      <t>2023年</t>
    </r>
  </si>
  <si>
    <r>
      <rPr>
        <sz val="12"/>
        <rFont val="Arial Narrow"/>
        <family val="2"/>
      </rPr>
      <t>2024年</t>
    </r>
  </si>
  <si>
    <r>
      <rPr>
        <sz val="12"/>
        <rFont val="Arial Narrow"/>
        <family val="2"/>
      </rPr>
      <t>2025年</t>
    </r>
  </si>
  <si>
    <r>
      <rPr>
        <sz val="12"/>
        <rFont val="Arial Narrow"/>
        <family val="2"/>
      </rPr>
      <t>2026</t>
    </r>
    <r>
      <rPr>
        <sz val="12"/>
        <rFont val="宋体"/>
        <family val="3"/>
        <charset val="134"/>
      </rPr>
      <t>年</t>
    </r>
  </si>
  <si>
    <r>
      <rPr>
        <sz val="12"/>
        <rFont val="Arial Narrow"/>
        <family val="2"/>
      </rPr>
      <t>2027</t>
    </r>
    <r>
      <rPr>
        <sz val="12"/>
        <rFont val="宋体"/>
        <family val="3"/>
        <charset val="134"/>
      </rPr>
      <t>年</t>
    </r>
  </si>
  <si>
    <r>
      <rPr>
        <b/>
        <sz val="12"/>
        <color rgb="FF000000"/>
        <rFont val="Arial Narrow"/>
        <family val="2"/>
      </rPr>
      <t>合</t>
    </r>
    <r>
      <rPr>
        <b/>
        <sz val="12"/>
        <rFont val="Arial Narrow"/>
        <family val="2"/>
      </rPr>
      <t xml:space="preserve">  </t>
    </r>
    <r>
      <rPr>
        <b/>
        <sz val="12"/>
        <rFont val="仿宋_GB2312"/>
        <family val="3"/>
        <charset val="134"/>
      </rPr>
      <t>计</t>
    </r>
  </si>
  <si>
    <t>注：无法在资产负债表日确定全部可抵扣亏损情况的，可只填写能确定部分的金额及其到期年度，并在备注栏予以说明。</t>
  </si>
  <si>
    <t>附注披露信息:</t>
  </si>
  <si>
    <t>递延所得税资产和递延所得税负债</t>
  </si>
  <si>
    <r>
      <rPr>
        <sz val="12"/>
        <color rgb="FF0000FF"/>
        <rFont val="仿宋_GB2312"/>
        <family val="3"/>
        <charset val="134"/>
      </rPr>
      <t>递延所得税资产和递延所得税负债不以抵销后的净额列示的，按（</t>
    </r>
    <r>
      <rPr>
        <sz val="12"/>
        <color rgb="FF0000FF"/>
        <rFont val="Arial Narrow"/>
        <family val="2"/>
      </rPr>
      <t>1</t>
    </r>
    <r>
      <rPr>
        <sz val="12"/>
        <color rgb="FF0000FF"/>
        <rFont val="仿宋_GB2312"/>
        <family val="3"/>
        <charset val="134"/>
      </rPr>
      <t>）披露；若递延所得税资产和递延所得税负债以抵销后的净额列示的，按（</t>
    </r>
    <r>
      <rPr>
        <sz val="12"/>
        <color rgb="FF0000FF"/>
        <rFont val="Arial Narrow"/>
        <family val="2"/>
      </rPr>
      <t>2</t>
    </r>
    <r>
      <rPr>
        <sz val="12"/>
        <color rgb="FF0000FF"/>
        <rFont val="仿宋_GB2312"/>
        <family val="3"/>
        <charset val="134"/>
      </rPr>
      <t>）披露。</t>
    </r>
  </si>
  <si>
    <r>
      <rPr>
        <sz val="12"/>
        <rFont val="仿宋_GB2312"/>
        <family val="3"/>
        <charset val="134"/>
      </rPr>
      <t>（</t>
    </r>
    <r>
      <rPr>
        <sz val="12"/>
        <rFont val="Arial Narrow"/>
        <family val="2"/>
      </rPr>
      <t>1</t>
    </r>
    <r>
      <rPr>
        <sz val="12"/>
        <rFont val="仿宋_GB2312"/>
        <family val="3"/>
        <charset val="134"/>
      </rPr>
      <t>）递延所得税资产和递延所得税负债不以抵销后的净额列示</t>
    </r>
  </si>
  <si>
    <t>A、已确认递延所得税资产和递延所得税负债</t>
  </si>
  <si>
    <t>年初余额</t>
  </si>
  <si>
    <t>递延所得税资产/负债</t>
  </si>
  <si>
    <t>一、递延所得税资产</t>
  </si>
  <si>
    <t>,</t>
  </si>
  <si>
    <r>
      <rPr>
        <b/>
        <sz val="12"/>
        <rFont val="仿宋_GB2312"/>
        <family val="3"/>
        <charset val="134"/>
      </rPr>
      <t>小</t>
    </r>
    <r>
      <rPr>
        <b/>
        <sz val="12"/>
        <rFont val="Arial Narrow"/>
        <family val="2"/>
      </rPr>
      <t xml:space="preserve"> </t>
    </r>
    <r>
      <rPr>
        <b/>
        <sz val="12"/>
        <rFont val="仿宋_GB2312"/>
        <family val="3"/>
        <charset val="134"/>
      </rPr>
      <t>计</t>
    </r>
  </si>
  <si>
    <t>租赁形成</t>
  </si>
  <si>
    <t>【提示：资产减值准备，含“持有待售资产减值准备”】</t>
  </si>
  <si>
    <t>【注：计入其他综合收益的其他金融资产为计入其他综合收益的其他债权投资、其他权益工具投资。】</t>
  </si>
  <si>
    <r>
      <rPr>
        <sz val="12"/>
        <rFont val="仿宋_GB2312"/>
        <family val="3"/>
        <charset val="134"/>
      </rPr>
      <t>（</t>
    </r>
    <r>
      <rPr>
        <sz val="12"/>
        <rFont val="Arial Narrow"/>
        <family val="2"/>
      </rPr>
      <t>2</t>
    </r>
    <r>
      <rPr>
        <sz val="12"/>
        <rFont val="仿宋_GB2312"/>
        <family val="3"/>
        <charset val="134"/>
      </rPr>
      <t>）递延所得税资产和递延所得税负债以抵销后的净额列示</t>
    </r>
  </si>
  <si>
    <r>
      <rPr>
        <sz val="12"/>
        <rFont val="Arial Narrow"/>
        <family val="2"/>
      </rPr>
      <t>A</t>
    </r>
    <r>
      <rPr>
        <sz val="12"/>
        <rFont val="仿宋_GB2312"/>
        <family val="3"/>
        <charset val="134"/>
      </rPr>
      <t>、互抵后的递延所得税资产或负债及对应的互抵后可抵扣或应纳税暂时性差异</t>
    </r>
  </si>
  <si>
    <t>报告期末互抵后的递延所得税资产或负债</t>
  </si>
  <si>
    <t>报告期末互抵后的可抵扣或应纳税暂时性差异</t>
  </si>
  <si>
    <t>报告年初互抵后的递延所得税资产或负债</t>
  </si>
  <si>
    <t>报告年初互抵后的可抵扣或应纳税暂时性差异</t>
  </si>
  <si>
    <t>小 计</t>
  </si>
  <si>
    <t>二、递延所得税负债</t>
  </si>
  <si>
    <r>
      <rPr>
        <sz val="12"/>
        <rFont val="Arial Narrow"/>
        <family val="2"/>
      </rPr>
      <t>B</t>
    </r>
    <r>
      <rPr>
        <sz val="12"/>
        <rFont val="仿宋_GB2312"/>
        <family val="3"/>
        <charset val="134"/>
      </rPr>
      <t>、递延所得税资产和递延所得税负债互抵明细：</t>
    </r>
  </si>
  <si>
    <t>本期互抵金额</t>
  </si>
  <si>
    <r>
      <rPr>
        <sz val="12"/>
        <rFont val="仿宋_GB2312"/>
        <family val="3"/>
        <charset val="134"/>
      </rPr>
      <t>（</t>
    </r>
    <r>
      <rPr>
        <sz val="12"/>
        <rFont val="Arial Narrow"/>
        <family val="2"/>
      </rPr>
      <t>3</t>
    </r>
    <r>
      <rPr>
        <sz val="12"/>
        <rFont val="仿宋_GB2312"/>
        <family val="3"/>
        <charset val="134"/>
      </rPr>
      <t>）未确认递延所得税资产明细</t>
    </r>
  </si>
  <si>
    <t>一、审计目标</t>
  </si>
  <si>
    <t>递延所得税资产以恰当的金额包括在财务报表中，与之相关的计价调整已恰当记录。</t>
  </si>
  <si>
    <t>二、审计过程</t>
  </si>
  <si>
    <t>【项目组根据被审计单位税收情况增减项目】</t>
  </si>
  <si>
    <t>项  目</t>
  </si>
  <si>
    <t>期初</t>
  </si>
  <si>
    <t>期末</t>
  </si>
  <si>
    <t>暂时性差异</t>
  </si>
  <si>
    <t>适用税率</t>
  </si>
  <si>
    <t>递延所得税资产期初余额</t>
  </si>
  <si>
    <t>递延所得税资产期初审定数</t>
  </si>
  <si>
    <t>递延所得税资产期末余额</t>
  </si>
  <si>
    <t>递延所得税资产期末审定数</t>
  </si>
  <si>
    <t>交易性金融资产（公允价值与初始账面成本差异）</t>
  </si>
  <si>
    <t>应收账款（坏账准备）</t>
  </si>
  <si>
    <t>其他应收款（坏账准备）</t>
  </si>
  <si>
    <t>存货（跌价准备）</t>
  </si>
  <si>
    <t>应收款项融资（公允价值与经实际利率法摊销后账面金额的差异）</t>
  </si>
  <si>
    <t>合同资产（减值准备）</t>
  </si>
  <si>
    <t>其他债权投资（公允价值与经实际利率法摊销后账面金额的差异）</t>
  </si>
  <si>
    <t>其他权益工具投资（公允价值与初始账面成本差异）</t>
  </si>
  <si>
    <t>债权投资（减值准备）</t>
  </si>
  <si>
    <t>长期股权投资（减值准备）</t>
  </si>
  <si>
    <t>投资性房地产（公允价值与账面差异）</t>
  </si>
  <si>
    <t>投资性房地产（折旧）</t>
  </si>
  <si>
    <t>固定资产（减值准备）</t>
  </si>
  <si>
    <t>固定资产折旧（年限、残值）</t>
  </si>
  <si>
    <t>在建工程（减值准备）</t>
  </si>
  <si>
    <t>使用权资产（减值准备）</t>
  </si>
  <si>
    <t>无形资产（减值准备、摊销）</t>
  </si>
  <si>
    <t>无形资产（研发费用资本化）</t>
  </si>
  <si>
    <t>开办费（摊销方法）[注1]</t>
  </si>
  <si>
    <t>交易性金融负债（公允价值与账面差异）</t>
  </si>
  <si>
    <t>应付职工薪酬（已计提未支付）</t>
  </si>
  <si>
    <t>应付职工薪酬（预计辞退福利费）[注2]</t>
  </si>
  <si>
    <t>预提费用</t>
  </si>
  <si>
    <t>递延收益</t>
  </si>
  <si>
    <t>预计负债（预计产品保修费用等）</t>
  </si>
  <si>
    <t>收入（预收款项）</t>
  </si>
  <si>
    <t>销售费用（广告费和业务宣传费）</t>
  </si>
  <si>
    <t>可用以后年度税前利润弥补的亏损</t>
  </si>
  <si>
    <t>除上述项目以外的其他[注3]</t>
  </si>
  <si>
    <t>三、审计说明</t>
  </si>
  <si>
    <t>四、审计结论</t>
  </si>
  <si>
    <t>递延所得税资产调整分录汇总表</t>
  </si>
  <si>
    <t>调整事项说明</t>
  </si>
  <si>
    <t>类别（报表调整/账项调整/其他）</t>
  </si>
  <si>
    <t>报表项目</t>
  </si>
  <si>
    <t>科目名称</t>
  </si>
  <si>
    <t>附注项目</t>
  </si>
  <si>
    <t>……</t>
  </si>
  <si>
    <t>借方调整金额</t>
  </si>
  <si>
    <t>贷方调整金额</t>
  </si>
  <si>
    <t>索引</t>
  </si>
  <si>
    <t>提示：本底稿适用于调整分录较多、较复杂的项目，且仅列示与本报表项目相关的审计调整。项目组可根据项目实际情况选择是否使用该底稿。</t>
  </si>
  <si>
    <t>N1-2</t>
  </si>
  <si>
    <t>C1</t>
  </si>
  <si>
    <t>Custom 1</t>
  </si>
  <si>
    <t>C2</t>
  </si>
  <si>
    <t>Custom 2</t>
  </si>
  <si>
    <t>C3</t>
  </si>
  <si>
    <t>Custom 3</t>
  </si>
  <si>
    <t>C4</t>
  </si>
  <si>
    <t>Custom 4</t>
  </si>
  <si>
    <t>C5</t>
  </si>
  <si>
    <t>Custom 5</t>
  </si>
  <si>
    <t>C6</t>
  </si>
  <si>
    <t>Custom 6</t>
  </si>
  <si>
    <t>C7</t>
  </si>
  <si>
    <t>Custom 7</t>
  </si>
  <si>
    <t>C8</t>
  </si>
  <si>
    <t>Custom 8</t>
  </si>
  <si>
    <t>获取递延所得税资产明细表，完成以下工作并编制审定表： 
(1)复核加计正确，与总账、明细账合计数核对是否相符，期初余额与上期审定期末余额是否相符；
(2)识别被审计单位期初递延所得税资产项目及金额，以及对当期经营损失以及未来期间的影响。</t>
    <phoneticPr fontId="31" type="noConversion"/>
  </si>
  <si>
    <r>
      <t xml:space="preserve">对期初余额的审计，获得并查阅账户余额明细表，确定采用的会计政策和程序是适当的，确定暂时性差异的合理性，必要时，向税务专家咨询。
</t>
    </r>
    <r>
      <rPr>
        <sz val="10"/>
        <color rgb="FFFF0000"/>
        <rFont val="宋体"/>
        <family val="3"/>
        <charset val="134"/>
      </rPr>
      <t>(适用于首次承接）</t>
    </r>
    <phoneticPr fontId="31" type="noConversion"/>
  </si>
  <si>
    <t>检查递延所得税资产增减变动记录，及可抵扣暂时性差额的形成原因，确定是否符合有关规定，计算是否正确，预计转销期是否适当，并特别关注下列事项：
(1)检查是否存在同时具有下列特征的交易因资产或负债的初始确认而产生的递延所得税资产不应予以确认，而被审计单位予以确认的情况
①该项交易不是企业合并
②交易发生时既不影响会计利润也不影响应纳税所得额或可抵扣亏损
(2)检查被审计单位对子公司、联营企业及合营企业投资相关的可抵扣暂时性差异，在同时满足下列条件时，是否确认相应的递延所得税资产
①暂时性差异在可预见的未来很可能转回
②未来很可能获得用来抵扣可抵扣暂时性差异的应纳税所得额</t>
    <phoneticPr fontId="31"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</si>
  <si>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</si>
  <si>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t>
  </si>
  <si>
    <t>递延所得税资产（负债）测算表</t>
  </si>
  <si>
    <t>递延所得税资产以恰当的金额包括在财务报表中，与之相关的计价或分摊调整已恰当记录，相关披露已得到恰当计量和描述 。</t>
  </si>
  <si>
    <t>项目</t>
  </si>
  <si>
    <t>账面价值                      (借方余额+/贷方余额-）</t>
  </si>
  <si>
    <t>计税基础                         (借方余额+/贷方余额-）</t>
  </si>
  <si>
    <t xml:space="preserve">适用税率 [注4] </t>
  </si>
  <si>
    <t>应确认递延所得税资产期末余额
（1）</t>
  </si>
  <si>
    <t>对方科目</t>
  </si>
  <si>
    <t>递延所得税资产期末账面余额
（2）</t>
  </si>
  <si>
    <t>差异
（3）=（1）-（2）</t>
  </si>
  <si>
    <t>应确认递延所得税负债期末余额
（4）</t>
  </si>
  <si>
    <t>递延所得税负债期末账面余额
（5）</t>
  </si>
  <si>
    <t>差异
（6）=（4）-（5）</t>
  </si>
  <si>
    <t>可抵扣</t>
  </si>
  <si>
    <t>应纳税</t>
  </si>
  <si>
    <t>提示：</t>
  </si>
  <si>
    <r>
      <rPr>
        <sz val="10"/>
        <color rgb="FF0000FF"/>
        <rFont val="宋体"/>
        <family val="3"/>
        <charset val="134"/>
      </rPr>
      <t>1</t>
    </r>
    <r>
      <rPr>
        <sz val="10"/>
        <color indexed="12"/>
        <rFont val="Arial Narrow"/>
        <family val="2"/>
      </rPr>
      <t>.</t>
    </r>
    <r>
      <rPr>
        <sz val="10"/>
        <color rgb="FF0000FF"/>
        <rFont val="宋体"/>
        <family val="3"/>
        <charset val="134"/>
      </rPr>
      <t>递延所得税资产的确认应以未来期间很可能取得的用来抵扣可抵扣暂时性差异的应纳税所得额为限；</t>
    </r>
    <r>
      <rPr>
        <sz val="10"/>
        <color rgb="FF0000FF"/>
        <rFont val="Arial Narrow"/>
        <family val="2"/>
      </rPr>
      <t xml:space="preserve"> </t>
    </r>
  </si>
  <si>
    <r>
      <rPr>
        <sz val="10"/>
        <color rgb="FF0000FF"/>
        <rFont val="Arial Narrow"/>
        <family val="2"/>
      </rPr>
      <t>2.</t>
    </r>
    <r>
      <rPr>
        <sz val="10"/>
        <color rgb="FF0000FF"/>
        <rFont val="宋体"/>
        <family val="3"/>
        <charset val="134"/>
      </rPr>
      <t>本期递延所得税资产的变动不一定都计入当期损益，也可能计入资本公积等项目，应分析填列；</t>
    </r>
  </si>
  <si>
    <r>
      <rPr>
        <sz val="10"/>
        <color rgb="FF0000FF"/>
        <rFont val="Arial Narrow"/>
        <family val="2"/>
      </rPr>
      <t>3</t>
    </r>
    <r>
      <rPr>
        <sz val="10"/>
        <color indexed="12"/>
        <rFont val="Arial Narrow"/>
        <family val="2"/>
      </rPr>
      <t>.</t>
    </r>
    <r>
      <rPr>
        <sz val="10"/>
        <color indexed="12"/>
        <rFont val="宋体"/>
        <family val="3"/>
        <charset val="134"/>
      </rPr>
      <t>大额递延所得税资产的确认或递延所得税资产余额与当前的盈利能力存在较大差异的，建议项目组取得公司未来数年的经营计划或盈利预测。</t>
    </r>
  </si>
  <si>
    <r>
      <rPr>
        <sz val="10"/>
        <color rgb="FF0000FF"/>
        <rFont val="Arial Narrow"/>
        <family val="2"/>
      </rPr>
      <t>4.</t>
    </r>
    <r>
      <rPr>
        <sz val="10"/>
        <color rgb="FF0000FF"/>
        <rFont val="宋体"/>
        <family val="3"/>
        <charset val="134"/>
      </rPr>
      <t>对于可抵扣亏损形成的递延所得税资产是否计提，判断依据应与商誉、其他长期资产等减值测试时采取的假设保持一致。</t>
    </r>
  </si>
  <si>
    <r>
      <rPr>
        <sz val="10"/>
        <color rgb="FF0000FF"/>
        <rFont val="Arial Narrow"/>
        <family val="2"/>
      </rPr>
      <t>5.</t>
    </r>
    <r>
      <rPr>
        <sz val="10"/>
        <color rgb="FF0000FF"/>
        <rFont val="宋体"/>
        <family val="3"/>
        <charset val="134"/>
      </rPr>
      <t>根据证监会</t>
    </r>
    <r>
      <rPr>
        <sz val="10"/>
        <color rgb="FF0000FF"/>
        <rFont val="Arial Narrow"/>
        <family val="2"/>
      </rPr>
      <t>2018</t>
    </r>
    <r>
      <rPr>
        <sz val="10"/>
        <color rgb="FF0000FF"/>
        <rFont val="宋体"/>
        <family val="3"/>
        <charset val="134"/>
      </rPr>
      <t>年度上市公司年报会计监管报告，拟出售的长期股权投资，应补确认权益法核算的税会差异形成的递延所得税资产。</t>
    </r>
  </si>
  <si>
    <t>a检查是否存在同时具有下列特征的交易因资产或负债的初始确认而产生的递延所得税资产不应予以确认，而被审计单位予以确认的情况：</t>
  </si>
  <si>
    <t>①该项交易不是企业合并；</t>
  </si>
  <si>
    <t>②交易发生时既不影响会计利润也不影响应纳税所得额（或可抵扣亏损）。</t>
  </si>
  <si>
    <t>b检查被审计单位对子公司、联营企业及合营企业投资相关的可抵扣暂时性差异，在同时满足下列条件时，是否确认相应的递延所得税资产：</t>
  </si>
  <si>
    <t>①暂时性差异在可预见的未来很可能转回；</t>
  </si>
  <si>
    <t>②未来很可能获得用来抵扣可抵扣暂时性差异的应纳税所得额。</t>
  </si>
  <si>
    <t>可用以后年度税前利润弥补的亏损检查表</t>
  </si>
  <si>
    <r>
      <rPr>
        <sz val="10"/>
        <color rgb="FFFF0000"/>
        <rFont val="Arial Narrow"/>
        <family val="2"/>
      </rPr>
      <t>1.</t>
    </r>
    <r>
      <rPr>
        <sz val="10"/>
        <color rgb="FFFF0000"/>
        <rFont val="宋体"/>
        <family val="3"/>
        <charset val="134"/>
      </rPr>
      <t>获取未弥补亏损清单：</t>
    </r>
  </si>
  <si>
    <r>
      <rPr>
        <sz val="10"/>
        <color rgb="FFFF0000"/>
        <rFont val="宋体"/>
        <family val="3"/>
        <charset val="134"/>
      </rPr>
      <t>（</t>
    </r>
    <r>
      <rPr>
        <sz val="10"/>
        <color rgb="FFFF0000"/>
        <rFont val="Arial Narrow"/>
        <family val="2"/>
      </rPr>
      <t>1</t>
    </r>
    <r>
      <rPr>
        <sz val="10"/>
        <color rgb="FFFF0000"/>
        <rFont val="宋体"/>
        <family val="3"/>
        <charset val="134"/>
      </rPr>
      <t>）确定已确认递延所得税资产的可抵扣亏损到期前是否有足够应纳税所得额；</t>
    </r>
  </si>
  <si>
    <r>
      <rPr>
        <sz val="10"/>
        <color rgb="FFFF0000"/>
        <rFont val="宋体"/>
        <family val="3"/>
        <charset val="134"/>
      </rPr>
      <t>（</t>
    </r>
    <r>
      <rPr>
        <sz val="10"/>
        <color rgb="FFFF0000"/>
        <rFont val="Arial Narrow"/>
        <family val="2"/>
      </rPr>
      <t>2</t>
    </r>
    <r>
      <rPr>
        <sz val="10"/>
        <color rgb="FFFF0000"/>
        <rFont val="宋体"/>
        <family val="3"/>
        <charset val="134"/>
      </rPr>
      <t>）确定未确认递延所得税资产的可抵扣亏损到期期间</t>
    </r>
  </si>
  <si>
    <t>2.……</t>
  </si>
  <si>
    <r>
      <rPr>
        <b/>
        <sz val="10"/>
        <rFont val="宋体"/>
        <family val="3"/>
        <charset val="134"/>
      </rPr>
      <t>项目</t>
    </r>
  </si>
  <si>
    <t>上期不确认递延所得税资产的可弥补亏损</t>
  </si>
  <si>
    <t>本期数</t>
  </si>
  <si>
    <t>确认递延所得税资产的可弥补亏损</t>
  </si>
  <si>
    <t>不确认递延所得税资产的可弥补亏损</t>
  </si>
  <si>
    <r>
      <rPr>
        <b/>
        <sz val="10"/>
        <rFont val="宋体"/>
        <family val="3"/>
        <charset val="134"/>
      </rPr>
      <t>依据</t>
    </r>
  </si>
  <si>
    <r>
      <rPr>
        <b/>
        <sz val="10"/>
        <rFont val="宋体"/>
        <family val="3"/>
        <charset val="134"/>
      </rPr>
      <t>可抵扣亏损到期前是否有足够的应纳税所得额（是或否）</t>
    </r>
  </si>
  <si>
    <r>
      <rPr>
        <b/>
        <sz val="10"/>
        <rFont val="宋体"/>
        <family val="3"/>
        <charset val="134"/>
      </rPr>
      <t>其中：预计应纳税所得额来源于生产经营所得（∨）</t>
    </r>
  </si>
  <si>
    <r>
      <rPr>
        <b/>
        <sz val="10"/>
        <rFont val="宋体"/>
        <family val="3"/>
        <charset val="134"/>
      </rPr>
      <t>其中：预计应纳税所得额来源于以前期间产生的应纳税暂时性差异转回（∨）</t>
    </r>
  </si>
  <si>
    <r>
      <rPr>
        <b/>
        <sz val="10"/>
        <rFont val="宋体"/>
        <family val="3"/>
        <charset val="134"/>
      </rPr>
      <t>其中：预计应纳税所得额来源于其他原因（∨）</t>
    </r>
  </si>
  <si>
    <r>
      <rPr>
        <b/>
        <sz val="10"/>
        <rFont val="宋体"/>
        <family val="3"/>
        <charset val="134"/>
      </rPr>
      <t>检查底稿索引</t>
    </r>
  </si>
  <si>
    <r>
      <rPr>
        <b/>
        <sz val="10"/>
        <rFont val="宋体"/>
        <family val="3"/>
        <charset val="134"/>
      </rPr>
      <t>账面金额</t>
    </r>
  </si>
  <si>
    <r>
      <rPr>
        <b/>
        <sz val="10"/>
        <rFont val="宋体"/>
        <family val="3"/>
        <charset val="134"/>
      </rPr>
      <t>审计调整</t>
    </r>
  </si>
  <si>
    <r>
      <rPr>
        <b/>
        <sz val="10"/>
        <rFont val="宋体"/>
        <family val="3"/>
        <charset val="134"/>
      </rPr>
      <t>审定金额</t>
    </r>
  </si>
  <si>
    <r>
      <rPr>
        <sz val="10"/>
        <rFont val="宋体"/>
        <family val="3"/>
        <charset val="134"/>
      </rPr>
      <t>期末未分配利润</t>
    </r>
  </si>
  <si>
    <r>
      <rPr>
        <sz val="10"/>
        <rFont val="宋体"/>
        <family val="3"/>
        <charset val="134"/>
      </rPr>
      <t>其中：可抵扣亏损</t>
    </r>
  </si>
  <si>
    <r>
      <rPr>
        <sz val="10"/>
        <rFont val="宋体"/>
        <family val="3"/>
        <charset val="134"/>
      </rPr>
      <t>可抵扣亏损到期年度</t>
    </r>
  </si>
  <si>
    <r>
      <rPr>
        <b/>
        <sz val="10"/>
        <rFont val="宋体"/>
        <family val="3"/>
        <charset val="134"/>
      </rPr>
      <t>合</t>
    </r>
    <r>
      <rPr>
        <b/>
        <sz val="10"/>
        <rFont val="Arial Narrow"/>
        <family val="2"/>
      </rPr>
      <t xml:space="preserve">    </t>
    </r>
    <r>
      <rPr>
        <b/>
        <sz val="10"/>
        <rFont val="宋体"/>
        <family val="3"/>
        <charset val="134"/>
      </rPr>
      <t>计</t>
    </r>
  </si>
  <si>
    <t>递延所得税资产（负债）测算表</t>
    <phoneticPr fontId="31" type="noConversion"/>
  </si>
  <si>
    <t>N1A</t>
  </si>
  <si>
    <t>N1-1</t>
  </si>
  <si>
    <t>N1-3</t>
  </si>
  <si>
    <t>N1-4</t>
  </si>
  <si>
    <t>N1-5</t>
  </si>
  <si>
    <t>N1-1
/N1-2</t>
  </si>
  <si>
    <t>N1-4</t>
    <phoneticPr fontId="31" type="noConversion"/>
  </si>
  <si>
    <t>N1-2</t>
    <phoneticPr fontId="31" type="noConversion"/>
  </si>
  <si>
    <t>N1-1</t>
    <phoneticPr fontId="31" type="noConversion"/>
  </si>
  <si>
    <t>索引：</t>
    <phoneticPr fontId="31" type="noConversion"/>
  </si>
  <si>
    <t>索引号：</t>
    <phoneticPr fontId="31" type="noConversion"/>
  </si>
  <si>
    <t>N1-4
/N1-5</t>
    <phoneticPr fontId="31"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</si>
  <si>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31" type="noConversion"/>
  </si>
  <si>
    <t>关于工作底稿与审计程序索引号对应的说明</t>
    <phoneticPr fontId="31"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</si>
  <si>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31"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</si>
  <si>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31"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</si>
  <si>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31" type="noConversion"/>
  </si>
  <si>
    <t>根据被审计单位实际情况和风险评估情况裁剪、修改或增加审计程序</t>
    <phoneticPr fontId="31" type="noConversion"/>
  </si>
  <si>
    <t>审计程序</t>
    <phoneticPr fontId="93" type="noConversion"/>
  </si>
  <si>
    <t>N1-3</t>
    <phoneticPr fontId="31" type="noConversion"/>
  </si>
  <si>
    <t>N1-5</t>
    <phoneticPr fontId="31" type="noConversion"/>
  </si>
  <si>
    <t>2023年</t>
  </si>
  <si>
    <t>2024年</t>
  </si>
  <si>
    <t>2025年</t>
  </si>
  <si>
    <t>2026年</t>
  </si>
  <si>
    <r>
      <t>2022</t>
    </r>
    <r>
      <rPr>
        <sz val="10"/>
        <color rgb="FFFF0000"/>
        <rFont val="宋体"/>
        <family val="3"/>
        <charset val="134"/>
      </rPr>
      <t>年</t>
    </r>
  </si>
  <si>
    <r>
      <t>2027</t>
    </r>
    <r>
      <rPr>
        <sz val="10"/>
        <color rgb="FFFF0000"/>
        <rFont val="宋体"/>
        <family val="3"/>
        <charset val="134"/>
      </rPr>
      <t>年</t>
    </r>
  </si>
  <si>
    <t>……</t>
    <phoneticPr fontId="31" type="noConversion"/>
  </si>
  <si>
    <t>类别</t>
    <phoneticPr fontId="3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</si>
</sst>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7">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0;\-\¥#,##0"/>
    <numFmt numFmtId="188" formatCode="&quot;$&quot;#,##0_);\(&quot;$&quot;#,##0\)"/>
    <numFmt numFmtId="189" formatCode="#,##0&quot; F&quot;_);\(#,##0&quot; F&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_([$€-2]* #,##0.00_);_([$€-2]* \(#,##0.00\);_([$€-2]* &quot;-&quot;??_)"/>
    <numFmt numFmtId="196" formatCode="&quot;\&quot;#,##0;[Red]&quot;\&quot;&quot;\&quot;\-#,##0"/>
    <numFmt numFmtId="197" formatCode="&quot;\&quot;#,##0.00;[Red]&quot;\&quot;&quot;\&quot;\-#,##0.00"/>
    <numFmt numFmtId="198" formatCode="_(&quot;$&quot;* #,##0_);_(&quot;$&quot;* \(#,##0\);_(&quot;$&quot;* &quot;-&quot;_);_(@_)"/>
    <numFmt numFmtId="199" formatCode="_(&quot;$&quot;* #,##0.00_);_(&quot;$&quot;* \(#,##0.00\);_(&quot;$&quot;* &quot;-&quot;??_);_(@_)"/>
    <numFmt numFmtId="200" formatCode="_-* #,##0_-;\-* #,##0_-;_-* &quot;-&quot;??_-;_-@_-"/>
    <numFmt numFmtId="201" formatCode="0.00000000000_);[Red]\(0.00000000000\)"/>
    <numFmt numFmtId="202" formatCode="&quot;\&quot;#,##0;&quot;\&quot;&quot;\&quot;\-#,##0"/>
    <numFmt numFmtId="203" formatCode="0%_);\(0%\)"/>
    <numFmt numFmtId="204" formatCode="&quot;\&quot;#,##0.00;[Red]&quot;\&quot;&quot;\&quot;&quot;\&quot;&quot;\&quot;&quot;\&quot;&quot;\&quot;\-#,##0.00"/>
    <numFmt numFmtId="205" formatCode="&quot;\&quot;#,##0.00;[Red]&quot;\&quot;\-#,##0.00"/>
    <numFmt numFmtId="206" formatCode="&quot;\&quot;#,##0;[Red]&quot;\&quot;\-#,##0"/>
    <numFmt numFmtId="207" formatCode="_(* #,##0_);_(* \(#,##0\);_(* &quot;-&quot;_);_(@_)"/>
    <numFmt numFmtId="208" formatCode="_(* #,##0.00_);_(* \(#,##0.00\);_(* &quot;-&quot;??_);_(@_)"/>
    <numFmt numFmtId="209" formatCode="_ * #,##0_)\ _F_ ;_ * \(#,##0\)\ _F_ ;_ * &quot;-&quot;_)\ _F_ ;_ @_ "/>
    <numFmt numFmtId="210" formatCode="#,##0.00_ "/>
  </numFmts>
  <fonts count="96">
    <font>
      <sz val="12"/>
      <name val="宋体"/>
      <charset val="134"/>
    </font>
    <font>
      <sz val="11"/>
      <color theme="1"/>
      <name val="宋体"/>
      <family val="2"/>
      <charset val="134"/>
      <scheme val="minor"/>
    </font>
    <font>
      <sz val="12"/>
      <name val="Arial Narrow"/>
      <family val="2"/>
    </font>
    <font>
      <sz val="10"/>
      <name val="Arial Narrow"/>
      <family val="2"/>
    </font>
    <font>
      <b/>
      <sz val="10"/>
      <name val="Arial Narrow"/>
      <family val="2"/>
    </font>
    <font>
      <b/>
      <sz val="10"/>
      <name val="宋体"/>
      <family val="3"/>
      <charset val="134"/>
    </font>
    <font>
      <b/>
      <sz val="12"/>
      <name val="宋体"/>
      <family val="3"/>
      <charset val="134"/>
    </font>
    <font>
      <sz val="10"/>
      <name val="宋体"/>
      <family val="3"/>
      <charset val="134"/>
    </font>
    <font>
      <sz val="12"/>
      <name val="宋体"/>
      <family val="3"/>
      <charset val="134"/>
      <scheme val="minor"/>
    </font>
    <font>
      <b/>
      <sz val="12"/>
      <name val="宋体"/>
      <family val="3"/>
      <charset val="134"/>
      <scheme val="minor"/>
    </font>
    <font>
      <b/>
      <sz val="14"/>
      <name val="宋体"/>
      <family val="3"/>
      <charset val="134"/>
      <scheme val="minor"/>
    </font>
    <font>
      <sz val="10"/>
      <name val="宋体"/>
      <family val="3"/>
      <charset val="134"/>
      <scheme val="minor"/>
    </font>
    <font>
      <b/>
      <sz val="10"/>
      <color indexed="8"/>
      <name val="宋体"/>
      <family val="3"/>
      <charset val="134"/>
      <scheme val="minor"/>
    </font>
    <font>
      <b/>
      <sz val="10"/>
      <name val="宋体"/>
      <family val="3"/>
      <charset val="134"/>
      <scheme val="minor"/>
    </font>
    <font>
      <b/>
      <sz val="10"/>
      <color rgb="FFE92841"/>
      <name val="宋体"/>
      <family val="3"/>
      <charset val="134"/>
      <scheme val="minor"/>
    </font>
    <font>
      <sz val="10"/>
      <color indexed="8"/>
      <name val="宋体"/>
      <family val="3"/>
      <charset val="134"/>
      <scheme val="minor"/>
    </font>
    <font>
      <sz val="10"/>
      <color indexed="8"/>
      <name val="Arial Narrow"/>
      <family val="2"/>
    </font>
    <font>
      <sz val="10"/>
      <color rgb="FFFF0000"/>
      <name val="宋体"/>
      <family val="3"/>
      <charset val="134"/>
      <scheme val="minor"/>
    </font>
    <font>
      <sz val="10"/>
      <color indexed="12"/>
      <name val="宋体"/>
      <family val="3"/>
      <charset val="134"/>
      <scheme val="minor"/>
    </font>
    <font>
      <sz val="10"/>
      <color rgb="FF0000FF"/>
      <name val="宋体"/>
      <family val="3"/>
      <charset val="134"/>
    </font>
    <font>
      <b/>
      <sz val="9"/>
      <name val="宋体"/>
      <family val="3"/>
      <charset val="134"/>
    </font>
    <font>
      <sz val="9"/>
      <color rgb="FFFF0000"/>
      <name val="宋体"/>
      <family val="3"/>
      <charset val="134"/>
    </font>
    <font>
      <sz val="9"/>
      <name val="Arial"/>
      <family val="2"/>
    </font>
    <font>
      <b/>
      <sz val="12"/>
      <name val="Arial Narrow"/>
      <family val="2"/>
    </font>
    <font>
      <sz val="12"/>
      <name val="仿宋_GB2312"/>
      <family val="3"/>
      <charset val="134"/>
    </font>
    <font>
      <sz val="12"/>
      <color rgb="FF0000FF"/>
      <name val="仿宋_GB2312"/>
      <family val="3"/>
      <charset val="134"/>
    </font>
    <font>
      <b/>
      <sz val="12"/>
      <name val="仿宋_GB2312"/>
      <family val="3"/>
      <charset val="134"/>
    </font>
    <font>
      <b/>
      <sz val="12"/>
      <color rgb="FF000000"/>
      <name val="仿宋_GB2312"/>
      <family val="3"/>
      <charset val="134"/>
    </font>
    <font>
      <b/>
      <sz val="12"/>
      <color rgb="FF000000"/>
      <name val="Arial Narrow"/>
      <family val="2"/>
    </font>
    <font>
      <b/>
      <sz val="14"/>
      <name val="宋体"/>
      <family val="3"/>
      <charset val="134"/>
    </font>
    <font>
      <b/>
      <sz val="10"/>
      <color indexed="8"/>
      <name val="Arial Narrow"/>
      <family val="2"/>
    </font>
    <font>
      <sz val="9"/>
      <name val="宋体"/>
      <family val="3"/>
      <charset val="134"/>
    </font>
    <font>
      <i/>
      <u/>
      <sz val="10"/>
      <color indexed="12"/>
      <name val="宋体"/>
      <family val="3"/>
      <charset val="134"/>
      <scheme val="minor"/>
    </font>
    <font>
      <u/>
      <sz val="10"/>
      <name val="宋体"/>
      <family val="3"/>
      <charset val="134"/>
      <scheme val="minor"/>
    </font>
    <font>
      <sz val="10"/>
      <color indexed="12"/>
      <name val="Arial Narrow"/>
      <family val="2"/>
    </font>
    <font>
      <b/>
      <sz val="10"/>
      <color indexed="12"/>
      <name val="宋体"/>
      <family val="3"/>
      <charset val="134"/>
    </font>
    <font>
      <b/>
      <sz val="10"/>
      <color rgb="FF0000FF"/>
      <name val="宋体"/>
      <family val="3"/>
      <charset val="134"/>
    </font>
    <font>
      <b/>
      <sz val="10"/>
      <name val="Arial"/>
      <family val="2"/>
    </font>
    <font>
      <b/>
      <sz val="12"/>
      <name val="Arial"/>
      <family val="2"/>
    </font>
    <font>
      <sz val="10"/>
      <name val="Arial"/>
      <family val="2"/>
    </font>
    <font>
      <sz val="10"/>
      <color theme="1"/>
      <name val="宋体"/>
      <family val="3"/>
      <charset val="134"/>
    </font>
    <font>
      <b/>
      <sz val="10"/>
      <color indexed="10"/>
      <name val="Arial"/>
      <family val="2"/>
    </font>
    <font>
      <sz val="10"/>
      <color rgb="FFFF0000"/>
      <name val="宋体"/>
      <family val="3"/>
      <charset val="134"/>
    </font>
    <font>
      <sz val="10"/>
      <name val="Times New Roman"/>
      <family val="1"/>
    </font>
    <font>
      <b/>
      <sz val="10"/>
      <name val="黑体"/>
      <family val="3"/>
      <charset val="134"/>
    </font>
    <font>
      <sz val="11"/>
      <color theme="1"/>
      <name val="宋体"/>
      <family val="3"/>
      <charset val="134"/>
      <scheme val="minor"/>
    </font>
    <font>
      <u/>
      <sz val="12"/>
      <color indexed="12"/>
      <name val="宋体"/>
      <family val="3"/>
      <charset val="134"/>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2"/>
      <name val="Times New Roman"/>
      <family val="1"/>
    </font>
    <font>
      <sz val="7"/>
      <name val="Helv"/>
      <family val="2"/>
    </font>
    <font>
      <b/>
      <sz val="10"/>
      <name val="MS Sans Serif"/>
      <family val="1"/>
    </font>
    <font>
      <b/>
      <sz val="13"/>
      <name val="Tms Rmn"/>
      <family val="1"/>
    </font>
    <font>
      <b/>
      <sz val="8"/>
      <name val="Arial"/>
      <family val="2"/>
    </font>
    <font>
      <sz val="10"/>
      <name val="MS Sans Serif"/>
      <family val="2"/>
    </font>
    <font>
      <sz val="9"/>
      <name val="Times New Roman"/>
      <family val="1"/>
    </font>
    <font>
      <sz val="8"/>
      <name val="Arial"/>
      <family val="2"/>
    </font>
    <font>
      <u/>
      <sz val="7.5"/>
      <color indexed="36"/>
      <name val="Arial"/>
      <family val="2"/>
    </font>
    <font>
      <u/>
      <sz val="7.5"/>
      <color indexed="12"/>
      <name val="Arial"/>
      <family val="2"/>
    </font>
    <font>
      <sz val="7"/>
      <name val="Small Fonts"/>
      <family val="2"/>
    </font>
    <font>
      <sz val="10"/>
      <name val="Courier"/>
      <family val="3"/>
    </font>
    <font>
      <sz val="10"/>
      <color indexed="8"/>
      <name val="MS Sans Serif"/>
      <family val="2"/>
    </font>
    <font>
      <sz val="7"/>
      <color indexed="10"/>
      <name val="Helv"/>
      <family val="2"/>
    </font>
    <font>
      <sz val="8"/>
      <color indexed="16"/>
      <name val="Century Schoolbook"/>
      <family val="1"/>
    </font>
    <font>
      <sz val="9"/>
      <color indexed="8"/>
      <name val="宋体"/>
      <family val="3"/>
      <charset val="134"/>
    </font>
    <font>
      <b/>
      <i/>
      <sz val="10"/>
      <name val="Times New Roman"/>
      <family val="1"/>
    </font>
    <font>
      <b/>
      <sz val="12"/>
      <name val="MS Sans Serif"/>
      <family val="2"/>
    </font>
    <font>
      <sz val="12"/>
      <name val="MS Sans Serif"/>
      <family val="2"/>
    </font>
    <font>
      <b/>
      <sz val="9"/>
      <name val="Times New Roman"/>
      <family val="1"/>
    </font>
    <font>
      <sz val="10"/>
      <name val="Geneva"/>
      <family val="1"/>
    </font>
    <font>
      <sz val="11"/>
      <name val="明朝"/>
      <family val="2"/>
    </font>
    <font>
      <sz val="14"/>
      <name val="柧挬"/>
      <family val="2"/>
    </font>
    <font>
      <sz val="8"/>
      <name val="Century Schoolbook"/>
      <family val="1"/>
    </font>
    <font>
      <u/>
      <sz val="10"/>
      <color indexed="12"/>
      <name val="宋体"/>
      <family val="3"/>
      <charset val="134"/>
    </font>
    <font>
      <sz val="12"/>
      <name val="官帕眉"/>
      <family val="2"/>
    </font>
    <font>
      <sz val="10"/>
      <name val="奔覆眉"/>
      <family val="2"/>
    </font>
    <font>
      <sz val="12"/>
      <name val="柧挬"/>
      <family val="2"/>
    </font>
    <font>
      <sz val="11"/>
      <name val="ＭＳ Ｐゴシック"/>
      <family val="2"/>
    </font>
    <font>
      <sz val="12"/>
      <name val="바탕체"/>
      <family val="3"/>
    </font>
    <font>
      <b/>
      <sz val="10"/>
      <color indexed="8"/>
      <name val="宋体"/>
      <family val="3"/>
      <charset val="134"/>
    </font>
    <font>
      <sz val="10"/>
      <color rgb="FFFF0000"/>
      <name val="Arial Narrow"/>
      <family val="2"/>
    </font>
    <font>
      <sz val="10"/>
      <color indexed="10"/>
      <name val="宋体"/>
      <family val="3"/>
      <charset val="134"/>
      <scheme val="minor"/>
    </font>
    <font>
      <sz val="12"/>
      <color rgb="FF0000FF"/>
      <name val="Arial Narrow"/>
      <family val="2"/>
    </font>
    <font>
      <sz val="12"/>
      <name val="宋体"/>
      <family val="3"/>
      <charset val="134"/>
    </font>
    <font>
      <u/>
      <sz val="11"/>
      <color theme="10"/>
      <name val="宋体"/>
      <family val="3"/>
      <charset val="134"/>
      <scheme val="minor"/>
    </font>
    <font>
      <sz val="10"/>
      <color rgb="FF0000FF"/>
      <name val="Arial Narrow"/>
      <family val="2"/>
    </font>
    <font>
      <sz val="10"/>
      <color indexed="12"/>
      <name val="宋体"/>
      <family val="3"/>
      <charset val="134"/>
    </font>
    <font>
      <b/>
      <sz val="9"/>
      <name val="Tahoma"/>
      <family val="2"/>
    </font>
    <font>
      <sz val="9"/>
      <name val="Tahoma"/>
      <family val="2"/>
    </font>
    <font>
      <u/>
      <sz val="11"/>
      <color indexed="12"/>
      <name val="宋体"/>
      <family val="3"/>
      <charset val="134"/>
    </font>
    <font>
      <sz val="11"/>
      <name val="Arial Narrow"/>
      <family val="2"/>
    </font>
    <font>
      <sz val="9"/>
      <name val="宋体"/>
      <family val="2"/>
      <charset val="134"/>
      <scheme val="minor"/>
    </font>
    <font>
      <b/>
      <sz val="9"/>
      <color indexed="81"/>
      <name val="宋体"/>
      <family val="3"/>
      <charset val="134"/>
    </font>
    <font>
      <sz val="9"/>
      <color indexed="81"/>
      <name val="宋体"/>
      <family val="3"/>
      <charset val="134"/>
    </font>
  </fonts>
  <fills count="13">
    <fill>
      <patternFill patternType="none"/>
    </fill>
    <fill>
      <patternFill patternType="gray125"/>
    </fill>
    <fill>
      <patternFill patternType="solid">
        <fgColor theme="7" tint="0.79995117038483843"/>
        <bgColor indexed="64"/>
      </patternFill>
    </fill>
    <fill>
      <patternFill patternType="solid">
        <fgColor rgb="FFE4DFEC"/>
        <bgColor indexed="64"/>
      </patternFill>
    </fill>
    <fill>
      <patternFill patternType="solid">
        <fgColor rgb="FFC0C0C0"/>
        <bgColor indexed="64"/>
      </patternFill>
    </fill>
    <fill>
      <patternFill patternType="solid">
        <fgColor indexed="14"/>
        <bgColor indexed="64"/>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bgColor indexed="64"/>
      </patternFill>
    </fill>
    <fill>
      <patternFill patternType="solid">
        <fgColor theme="0"/>
        <bgColor indexed="64"/>
      </patternFill>
    </fill>
    <fill>
      <patternFill patternType="solid">
        <fgColor theme="7" tint="0.79998168889431442"/>
        <bgColor indexed="64"/>
      </patternFill>
    </fill>
  </fills>
  <borders count="15">
    <border>
      <left/>
      <right/>
      <top/>
      <bottom/>
      <diagonal/>
    </border>
    <border>
      <left style="hair">
        <color auto="1"/>
      </left>
      <right/>
      <top style="hair">
        <color auto="1"/>
      </top>
      <bottom style="hair">
        <color auto="1"/>
      </bottom>
      <diagonal/>
    </border>
    <border>
      <left style="hair">
        <color auto="1"/>
      </left>
      <right style="hair">
        <color auto="1"/>
      </right>
      <top style="hair">
        <color auto="1"/>
      </top>
      <bottom style="hair">
        <color auto="1"/>
      </bottom>
      <diagonal/>
    </border>
    <border>
      <left/>
      <right/>
      <top style="hair">
        <color auto="1"/>
      </top>
      <bottom style="hair">
        <color auto="1"/>
      </bottom>
      <diagonal/>
    </border>
    <border>
      <left style="hair">
        <color auto="1"/>
      </left>
      <right style="hair">
        <color auto="1"/>
      </right>
      <top/>
      <bottom style="hair">
        <color auto="1"/>
      </bottom>
      <diagonal/>
    </border>
    <border>
      <left/>
      <right/>
      <top style="medium">
        <color auto="1"/>
      </top>
      <bottom/>
      <diagonal/>
    </border>
    <border>
      <left/>
      <right/>
      <top/>
      <bottom style="medium">
        <color auto="1"/>
      </bottom>
      <diagonal/>
    </border>
    <border>
      <left/>
      <right/>
      <top style="medium">
        <color auto="1"/>
      </top>
      <bottom style="medium">
        <color auto="1"/>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style="thin">
        <color auto="1"/>
      </left>
      <right style="thin">
        <color auto="1"/>
      </right>
      <top style="thin">
        <color auto="1"/>
      </top>
      <bottom style="thin">
        <color auto="1"/>
      </bottom>
      <diagonal/>
    </border>
    <border>
      <left/>
      <right/>
      <top style="thin">
        <color auto="1"/>
      </top>
      <bottom/>
      <diagonal/>
    </border>
    <border>
      <left/>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s>
  <cellStyleXfs count="182">
    <xf numFmtId="0" fontId="0" fillId="0" borderId="0">
      <protection locked="0"/>
    </xf>
    <xf numFmtId="43" fontId="85" fillId="0" borderId="0" applyFont="0" applyFill="0" applyBorder="0" applyAlignment="0" applyProtection="0"/>
    <xf numFmtId="9" fontId="85" fillId="0" borderId="0" applyFont="0" applyFill="0" applyBorder="0" applyAlignment="0" applyProtection="0">
      <alignment vertical="center"/>
    </xf>
    <xf numFmtId="0" fontId="46" fillId="0" borderId="0" applyNumberFormat="0" applyFill="0" applyBorder="0" applyAlignment="0" applyProtection="0">
      <alignment vertical="top"/>
      <protection locked="0"/>
    </xf>
    <xf numFmtId="0" fontId="39" fillId="0" borderId="0"/>
    <xf numFmtId="0" fontId="39" fillId="0" borderId="0"/>
    <xf numFmtId="0" fontId="39" fillId="0" borderId="0"/>
    <xf numFmtId="0" fontId="39" fillId="0" borderId="0"/>
    <xf numFmtId="49" fontId="43" fillId="0" borderId="0" applyProtection="0">
      <alignment horizontal="left"/>
    </xf>
    <xf numFmtId="0" fontId="47" fillId="0" borderId="0">
      <alignment vertical="top"/>
      <protection locked="0"/>
    </xf>
    <xf numFmtId="0" fontId="47" fillId="0" borderId="0">
      <alignment vertical="top"/>
      <protection locked="0"/>
    </xf>
    <xf numFmtId="0" fontId="47" fillId="0" borderId="0">
      <alignment vertical="top"/>
      <protection locked="0"/>
    </xf>
    <xf numFmtId="0" fontId="47" fillId="0" borderId="0">
      <alignment vertical="top"/>
      <protection locked="0"/>
    </xf>
    <xf numFmtId="0" fontId="47" fillId="0" borderId="0">
      <alignment vertical="top"/>
      <protection locked="0"/>
    </xf>
    <xf numFmtId="0" fontId="47" fillId="0" borderId="0">
      <alignment vertical="top"/>
      <protection locked="0"/>
    </xf>
    <xf numFmtId="0" fontId="47" fillId="0" borderId="0">
      <alignment vertical="top"/>
      <protection locked="0"/>
    </xf>
    <xf numFmtId="0" fontId="47" fillId="0" borderId="0">
      <alignment vertical="top"/>
    </xf>
    <xf numFmtId="0" fontId="47" fillId="0" borderId="0">
      <alignment vertical="top"/>
      <protection locked="0"/>
    </xf>
    <xf numFmtId="0" fontId="47" fillId="0" borderId="0">
      <alignment vertical="top"/>
    </xf>
    <xf numFmtId="0" fontId="47" fillId="0" borderId="0">
      <alignment vertical="top"/>
    </xf>
    <xf numFmtId="0" fontId="47" fillId="0" borderId="0">
      <alignment vertical="top"/>
      <protection locked="0"/>
    </xf>
    <xf numFmtId="0" fontId="47" fillId="0" borderId="0">
      <alignment vertical="top"/>
      <protection locked="0"/>
    </xf>
    <xf numFmtId="0" fontId="47" fillId="0" borderId="0">
      <alignment vertical="top"/>
      <protection locked="0"/>
    </xf>
    <xf numFmtId="0" fontId="47" fillId="0" borderId="0">
      <alignment vertical="top"/>
    </xf>
    <xf numFmtId="0" fontId="47" fillId="0" borderId="0">
      <alignment vertical="top"/>
    </xf>
    <xf numFmtId="0" fontId="47" fillId="0" borderId="0">
      <alignment vertical="top"/>
      <protection locked="0"/>
    </xf>
    <xf numFmtId="0" fontId="47" fillId="0" borderId="0">
      <alignment vertical="top"/>
    </xf>
    <xf numFmtId="0" fontId="47" fillId="0" borderId="0">
      <alignment vertical="top"/>
    </xf>
    <xf numFmtId="0" fontId="47" fillId="0" borderId="0">
      <alignment vertical="top"/>
    </xf>
    <xf numFmtId="0" fontId="47" fillId="0" borderId="0">
      <alignment vertical="top"/>
    </xf>
    <xf numFmtId="0" fontId="47" fillId="0" borderId="0">
      <alignment vertical="top"/>
      <protection locked="0"/>
    </xf>
    <xf numFmtId="0" fontId="47" fillId="0" borderId="0">
      <alignment vertical="top"/>
    </xf>
    <xf numFmtId="0" fontId="47" fillId="0" borderId="0">
      <alignment vertical="top"/>
      <protection locked="0"/>
    </xf>
    <xf numFmtId="0" fontId="47" fillId="0" borderId="0">
      <alignment vertical="top"/>
      <protection locked="0"/>
    </xf>
    <xf numFmtId="0" fontId="47" fillId="0" borderId="0">
      <alignment vertical="top"/>
      <protection locked="0"/>
    </xf>
    <xf numFmtId="0" fontId="47" fillId="0" borderId="0">
      <alignment vertical="top"/>
    </xf>
    <xf numFmtId="0" fontId="47" fillId="0" borderId="0">
      <alignment vertical="top"/>
    </xf>
    <xf numFmtId="0" fontId="47" fillId="0" borderId="0">
      <alignment vertical="top"/>
    </xf>
    <xf numFmtId="0" fontId="47" fillId="0" borderId="0">
      <alignment vertical="top"/>
    </xf>
    <xf numFmtId="0" fontId="47" fillId="0" borderId="0">
      <alignment vertical="top"/>
    </xf>
    <xf numFmtId="0" fontId="47" fillId="0" borderId="0">
      <alignment vertical="top"/>
    </xf>
    <xf numFmtId="0" fontId="47" fillId="0" borderId="0">
      <alignment vertical="top"/>
      <protection locked="0"/>
    </xf>
    <xf numFmtId="0" fontId="47" fillId="0" borderId="0">
      <alignment vertical="top"/>
      <protection locked="0"/>
    </xf>
    <xf numFmtId="0" fontId="47" fillId="0" borderId="0">
      <alignment vertical="top"/>
    </xf>
    <xf numFmtId="0" fontId="47" fillId="0" borderId="0">
      <alignment vertical="top"/>
    </xf>
    <xf numFmtId="0" fontId="47" fillId="0" borderId="0">
      <alignment vertical="top"/>
      <protection locked="0"/>
    </xf>
    <xf numFmtId="0" fontId="47" fillId="0" borderId="0">
      <alignment vertical="top"/>
    </xf>
    <xf numFmtId="176" fontId="43" fillId="0" borderId="0" applyFill="0" applyBorder="0" applyProtection="0">
      <alignment horizontal="right"/>
    </xf>
    <xf numFmtId="177" fontId="43" fillId="0" borderId="0" applyFill="0" applyBorder="0" applyProtection="0">
      <alignment horizontal="right"/>
    </xf>
    <xf numFmtId="178" fontId="48" fillId="0" borderId="0" applyFill="0" applyBorder="0" applyProtection="0">
      <alignment horizontal="center"/>
    </xf>
    <xf numFmtId="179" fontId="48" fillId="0" borderId="0" applyFill="0" applyBorder="0" applyProtection="0">
      <alignment horizontal="center"/>
    </xf>
    <xf numFmtId="180" fontId="49" fillId="0" borderId="0" applyFill="0" applyBorder="0" applyProtection="0">
      <alignment horizontal="right"/>
    </xf>
    <xf numFmtId="181" fontId="43" fillId="0" borderId="0" applyFill="0" applyBorder="0" applyProtection="0">
      <alignment horizontal="right"/>
    </xf>
    <xf numFmtId="182" fontId="43" fillId="0" borderId="0" applyFill="0" applyBorder="0" applyProtection="0">
      <alignment horizontal="right"/>
    </xf>
    <xf numFmtId="183" fontId="43" fillId="0" borderId="0" applyFill="0" applyBorder="0" applyProtection="0">
      <alignment horizontal="right"/>
    </xf>
    <xf numFmtId="184" fontId="43" fillId="0" borderId="0" applyFill="0" applyBorder="0" applyProtection="0">
      <alignment horizontal="right"/>
    </xf>
    <xf numFmtId="185" fontId="50" fillId="0" borderId="0" applyFont="0" applyFill="0" applyBorder="0" applyAlignment="0" applyProtection="0"/>
    <xf numFmtId="0" fontId="51" fillId="0" borderId="0"/>
    <xf numFmtId="186" fontId="50" fillId="0" borderId="0" applyFont="0" applyFill="0" applyBorder="0" applyAlignment="0" applyProtection="0"/>
    <xf numFmtId="10" fontId="50" fillId="0" borderId="0" applyFont="0" applyFill="0" applyBorder="0" applyAlignment="0" applyProtection="0"/>
    <xf numFmtId="187" fontId="85" fillId="0" borderId="0" applyFont="0" applyFill="0" applyBorder="0" applyAlignment="0" applyProtection="0"/>
    <xf numFmtId="3" fontId="52" fillId="0" borderId="0"/>
    <xf numFmtId="188" fontId="53" fillId="0" borderId="11" applyAlignment="0" applyProtection="0"/>
    <xf numFmtId="189" fontId="85" fillId="0" borderId="0" applyFill="0" applyBorder="0" applyAlignment="0"/>
    <xf numFmtId="0" fontId="54" fillId="0" borderId="12" applyNumberFormat="0" applyFill="0" applyProtection="0">
      <alignment horizontal="center"/>
    </xf>
    <xf numFmtId="0" fontId="55" fillId="0" borderId="13">
      <alignment horizontal="center"/>
    </xf>
    <xf numFmtId="190" fontId="39" fillId="0" borderId="0"/>
    <xf numFmtId="190" fontId="39" fillId="0" borderId="0"/>
    <xf numFmtId="190" fontId="39" fillId="0" borderId="0"/>
    <xf numFmtId="190" fontId="39" fillId="0" borderId="0"/>
    <xf numFmtId="190" fontId="39" fillId="0" borderId="0"/>
    <xf numFmtId="190" fontId="39" fillId="0" borderId="0"/>
    <xf numFmtId="190" fontId="39" fillId="0" borderId="0"/>
    <xf numFmtId="190" fontId="39" fillId="0" borderId="0"/>
    <xf numFmtId="38" fontId="56" fillId="0" borderId="0" applyFont="0" applyFill="0" applyBorder="0" applyAlignment="0" applyProtection="0"/>
    <xf numFmtId="37" fontId="50" fillId="0" borderId="0" applyFont="0" applyFill="0" applyBorder="0" applyAlignment="0" applyProtection="0"/>
    <xf numFmtId="191" fontId="50" fillId="0" borderId="0" applyFont="0" applyFill="0" applyBorder="0" applyAlignment="0" applyProtection="0"/>
    <xf numFmtId="39" fontId="50" fillId="0" borderId="0" applyFont="0" applyFill="0" applyBorder="0" applyAlignment="0" applyProtection="0"/>
    <xf numFmtId="40" fontId="56" fillId="0" borderId="0" applyFont="0" applyFill="0" applyBorder="0" applyAlignment="0" applyProtection="0"/>
    <xf numFmtId="192" fontId="85" fillId="0" borderId="0" applyFont="0" applyFill="0" applyBorder="0" applyAlignment="0" applyProtection="0"/>
    <xf numFmtId="188" fontId="50" fillId="0" borderId="0" applyFont="0" applyFill="0" applyBorder="0" applyAlignment="0" applyProtection="0"/>
    <xf numFmtId="193" fontId="50" fillId="0" borderId="0" applyFont="0" applyFill="0" applyBorder="0" applyAlignment="0" applyProtection="0"/>
    <xf numFmtId="194" fontId="85" fillId="0" borderId="0" applyFont="0" applyFill="0" applyBorder="0" applyAlignment="0" applyProtection="0"/>
    <xf numFmtId="41" fontId="39" fillId="0" borderId="0" applyFont="0" applyFill="0" applyBorder="0" applyAlignment="0" applyProtection="0"/>
    <xf numFmtId="43" fontId="39" fillId="0" borderId="0" applyFont="0" applyFill="0" applyBorder="0" applyAlignment="0" applyProtection="0"/>
    <xf numFmtId="0" fontId="57" fillId="0" borderId="0">
      <alignment horizontal="left"/>
    </xf>
    <xf numFmtId="0" fontId="58" fillId="6" borderId="10"/>
    <xf numFmtId="195" fontId="43" fillId="0" borderId="0" applyFont="0" applyFill="0" applyBorder="0" applyAlignment="0" applyProtection="0"/>
    <xf numFmtId="0" fontId="59" fillId="0" borderId="0" applyNumberFormat="0" applyFill="0" applyBorder="0" applyAlignment="0" applyProtection="0">
      <alignment vertical="top"/>
      <protection locked="0"/>
    </xf>
    <xf numFmtId="38" fontId="58" fillId="7" borderId="0" applyNumberFormat="0" applyBorder="0" applyAlignment="0" applyProtection="0"/>
    <xf numFmtId="0" fontId="38" fillId="0" borderId="7" applyNumberFormat="0" applyAlignment="0" applyProtection="0">
      <alignment horizontal="left" vertical="center"/>
    </xf>
    <xf numFmtId="0" fontId="38" fillId="0" borderId="14">
      <alignment horizontal="left" vertical="center"/>
    </xf>
    <xf numFmtId="14" fontId="37" fillId="8" borderId="6">
      <alignment horizontal="center" vertical="center" wrapText="1"/>
    </xf>
    <xf numFmtId="0" fontId="60" fillId="0" borderId="0" applyNumberFormat="0" applyFill="0" applyBorder="0" applyAlignment="0" applyProtection="0">
      <alignment vertical="top"/>
      <protection locked="0"/>
    </xf>
    <xf numFmtId="10" fontId="58" fillId="9" borderId="10" applyNumberFormat="0" applyBorder="0" applyAlignment="0" applyProtection="0"/>
    <xf numFmtId="0" fontId="43" fillId="0" borderId="0" applyNumberFormat="0" applyFont="0" applyFill="0" applyBorder="0" applyProtection="0">
      <alignment horizontal="left" vertical="center"/>
    </xf>
    <xf numFmtId="41" fontId="39" fillId="0" borderId="0" applyFont="0" applyFill="0" applyBorder="0" applyAlignment="0" applyProtection="0"/>
    <xf numFmtId="43" fontId="39" fillId="0" borderId="0" applyFont="0" applyFill="0" applyBorder="0" applyAlignment="0" applyProtection="0"/>
    <xf numFmtId="196" fontId="85" fillId="0" borderId="0" applyFont="0" applyFill="0" applyBorder="0" applyAlignment="0" applyProtection="0"/>
    <xf numFmtId="197" fontId="85" fillId="0" borderId="0" applyFont="0" applyFill="0" applyBorder="0" applyAlignment="0" applyProtection="0"/>
    <xf numFmtId="198" fontId="39" fillId="0" borderId="0" applyFont="0" applyFill="0" applyBorder="0" applyAlignment="0" applyProtection="0"/>
    <xf numFmtId="199" fontId="39" fillId="0" borderId="0" applyFont="0" applyFill="0" applyBorder="0" applyAlignment="0" applyProtection="0"/>
    <xf numFmtId="200" fontId="39" fillId="0" borderId="0" applyFont="0" applyFill="0" applyBorder="0" applyAlignment="0" applyProtection="0"/>
    <xf numFmtId="201" fontId="85" fillId="0" borderId="0" applyFont="0" applyFill="0" applyBorder="0" applyAlignment="0" applyProtection="0"/>
    <xf numFmtId="37" fontId="61" fillId="0" borderId="0"/>
    <xf numFmtId="0" fontId="62" fillId="0" borderId="0"/>
    <xf numFmtId="202" fontId="85" fillId="0" borderId="0"/>
    <xf numFmtId="0" fontId="7" fillId="0" borderId="0">
      <alignment vertical="center"/>
    </xf>
    <xf numFmtId="0" fontId="56" fillId="0" borderId="0"/>
    <xf numFmtId="0" fontId="63" fillId="0" borderId="0"/>
    <xf numFmtId="203" fontId="39" fillId="0" borderId="0" applyFont="0" applyFill="0" applyBorder="0" applyAlignment="0" applyProtection="0"/>
    <xf numFmtId="10" fontId="39" fillId="0" borderId="0" applyFont="0" applyFill="0" applyBorder="0" applyAlignment="0" applyProtection="0"/>
    <xf numFmtId="0" fontId="58" fillId="7" borderId="10"/>
    <xf numFmtId="4" fontId="57" fillId="0" borderId="0">
      <alignment horizontal="right"/>
    </xf>
    <xf numFmtId="3" fontId="64" fillId="0" borderId="0"/>
    <xf numFmtId="4" fontId="65" fillId="0" borderId="0">
      <alignment horizontal="right"/>
    </xf>
    <xf numFmtId="41" fontId="43" fillId="0" borderId="0" applyFont="0" applyFill="0" applyBorder="0" applyAlignment="0" applyProtection="0"/>
    <xf numFmtId="0" fontId="66" fillId="10" borderId="0">
      <alignment horizontal="left" vertical="center"/>
    </xf>
    <xf numFmtId="0" fontId="66" fillId="10" borderId="0">
      <alignment horizontal="right" vertical="center"/>
    </xf>
    <xf numFmtId="0" fontId="67" fillId="0" borderId="0">
      <alignment horizontal="left"/>
    </xf>
    <xf numFmtId="0" fontId="68" fillId="0" borderId="10">
      <alignment horizontal="center"/>
    </xf>
    <xf numFmtId="0" fontId="68" fillId="0" borderId="0">
      <alignment horizontal="center" vertical="center"/>
    </xf>
    <xf numFmtId="0" fontId="69" fillId="0" borderId="0" applyNumberFormat="0" applyFill="0">
      <alignment horizontal="left" vertical="center"/>
    </xf>
    <xf numFmtId="0" fontId="41" fillId="0" borderId="0" applyFill="0" applyBorder="0" applyProtection="0">
      <alignment horizontal="left" vertical="top"/>
    </xf>
    <xf numFmtId="0" fontId="70" fillId="0" borderId="0">
      <alignment horizontal="center"/>
    </xf>
    <xf numFmtId="0" fontId="71" fillId="0" borderId="0" applyNumberFormat="0" applyFont="0" applyFill="0" applyBorder="0" applyProtection="0">
      <alignment horizontal="center" vertical="center" wrapText="1"/>
    </xf>
    <xf numFmtId="9" fontId="72" fillId="0" borderId="0" applyFont="0" applyFill="0" applyBorder="0" applyAlignment="0" applyProtection="0"/>
    <xf numFmtId="0" fontId="3" fillId="0" borderId="0"/>
    <xf numFmtId="9" fontId="51" fillId="0" borderId="0" applyFont="0" applyFill="0" applyBorder="0" applyAlignment="0" applyProtection="0"/>
    <xf numFmtId="9" fontId="85" fillId="0" borderId="0" applyFont="0" applyFill="0" applyBorder="0" applyAlignment="0" applyProtection="0"/>
    <xf numFmtId="0" fontId="73" fillId="0" borderId="0" applyFont="0" applyFill="0" applyBorder="0" applyAlignment="0" applyProtection="0"/>
    <xf numFmtId="0" fontId="73" fillId="0" borderId="0" applyFont="0" applyFill="0" applyBorder="0" applyAlignment="0" applyProtection="0"/>
    <xf numFmtId="4" fontId="74" fillId="0" borderId="0">
      <alignment horizontal="right"/>
    </xf>
    <xf numFmtId="195" fontId="45" fillId="0" borderId="0">
      <alignment vertical="center"/>
    </xf>
    <xf numFmtId="0" fontId="85" fillId="0" borderId="0">
      <alignment vertical="center"/>
      <protection locked="0"/>
    </xf>
    <xf numFmtId="0" fontId="85" fillId="0" borderId="0">
      <protection locked="0"/>
    </xf>
    <xf numFmtId="0" fontId="85" fillId="0" borderId="0">
      <protection locked="0"/>
    </xf>
    <xf numFmtId="195" fontId="45" fillId="0" borderId="0">
      <alignment vertical="center"/>
    </xf>
    <xf numFmtId="195" fontId="85" fillId="0" borderId="0"/>
    <xf numFmtId="195" fontId="45" fillId="0" borderId="0">
      <alignment vertical="center"/>
    </xf>
    <xf numFmtId="0" fontId="85" fillId="0" borderId="0"/>
    <xf numFmtId="0" fontId="85" fillId="0" borderId="0">
      <alignment vertical="center"/>
    </xf>
    <xf numFmtId="0" fontId="51" fillId="0" borderId="0"/>
    <xf numFmtId="0" fontId="85" fillId="0" borderId="0"/>
    <xf numFmtId="0" fontId="85" fillId="0" borderId="0"/>
    <xf numFmtId="0" fontId="85" fillId="0" borderId="0" applyFill="0" applyBorder="0"/>
    <xf numFmtId="0" fontId="85" fillId="0" borderId="0">
      <alignment vertical="center"/>
    </xf>
    <xf numFmtId="0" fontId="75" fillId="0" borderId="0" applyNumberFormat="0" applyFill="0" applyBorder="0" applyAlignment="0" applyProtection="0">
      <alignment vertical="top"/>
      <protection locked="0"/>
    </xf>
    <xf numFmtId="0" fontId="46" fillId="0" borderId="0" applyNumberFormat="0" applyFill="0" applyBorder="0" applyAlignment="0" applyProtection="0">
      <alignment vertical="top"/>
      <protection locked="0"/>
    </xf>
    <xf numFmtId="0" fontId="53" fillId="0" borderId="0" applyNumberFormat="0" applyFill="0" applyBorder="0" applyAlignment="0" applyProtection="0"/>
    <xf numFmtId="4" fontId="71" fillId="0" borderId="0" applyFont="0" applyFill="0" applyBorder="0" applyAlignment="0" applyProtection="0"/>
    <xf numFmtId="41" fontId="39" fillId="0" borderId="0" applyFont="0" applyFill="0" applyBorder="0" applyAlignment="0" applyProtection="0"/>
    <xf numFmtId="196" fontId="39" fillId="0" borderId="0" applyFont="0" applyFill="0" applyBorder="0" applyAlignment="0" applyProtection="0"/>
    <xf numFmtId="204" fontId="39" fillId="0" borderId="0" applyFont="0" applyFill="0" applyBorder="0" applyAlignment="0" applyProtection="0"/>
    <xf numFmtId="205" fontId="76" fillId="0" borderId="0" applyFont="0" applyFill="0" applyBorder="0" applyAlignment="0" applyProtection="0"/>
    <xf numFmtId="206" fontId="76" fillId="0" borderId="0" applyFont="0" applyFill="0" applyBorder="0" applyAlignment="0" applyProtection="0"/>
    <xf numFmtId="0" fontId="43" fillId="0" borderId="0"/>
    <xf numFmtId="0" fontId="43" fillId="0" borderId="0" applyFont="0" applyFill="0" applyBorder="0" applyAlignment="0" applyProtection="0"/>
    <xf numFmtId="0" fontId="43" fillId="0" borderId="0" applyFont="0" applyFill="0" applyBorder="0" applyAlignment="0" applyProtection="0"/>
    <xf numFmtId="207" fontId="85" fillId="0" borderId="0" applyFont="0" applyFill="0" applyBorder="0" applyAlignment="0" applyProtection="0"/>
    <xf numFmtId="208" fontId="85" fillId="0" borderId="0" applyFont="0" applyFill="0" applyBorder="0" applyAlignment="0" applyProtection="0"/>
    <xf numFmtId="0" fontId="77" fillId="0" borderId="0"/>
    <xf numFmtId="199" fontId="39" fillId="0" borderId="0" applyFont="0" applyFill="0" applyBorder="0" applyAlignment="0" applyProtection="0"/>
    <xf numFmtId="209" fontId="85" fillId="0" borderId="0" applyFont="0" applyFill="0" applyBorder="0" applyAlignment="0" applyProtection="0"/>
    <xf numFmtId="0" fontId="47" fillId="0" borderId="0">
      <alignment vertical="top"/>
      <protection locked="0"/>
    </xf>
    <xf numFmtId="0" fontId="78" fillId="0" borderId="0"/>
    <xf numFmtId="40" fontId="73" fillId="0" borderId="0" applyFont="0" applyFill="0" applyBorder="0" applyAlignment="0" applyProtection="0"/>
    <xf numFmtId="38" fontId="73" fillId="0" borderId="0" applyFont="0" applyFill="0" applyBorder="0" applyAlignment="0" applyProtection="0"/>
    <xf numFmtId="38" fontId="79" fillId="0" borderId="0" applyFont="0" applyFill="0" applyBorder="0" applyAlignment="0" applyProtection="0"/>
    <xf numFmtId="40" fontId="79" fillId="0" borderId="0" applyFont="0" applyFill="0" applyBorder="0" applyAlignment="0" applyProtection="0"/>
    <xf numFmtId="0" fontId="79" fillId="0" borderId="0" applyFont="0" applyFill="0" applyBorder="0" applyAlignment="0" applyProtection="0"/>
    <xf numFmtId="0" fontId="79" fillId="0" borderId="0" applyFont="0" applyFill="0" applyBorder="0" applyAlignment="0" applyProtection="0"/>
    <xf numFmtId="0" fontId="80" fillId="0" borderId="0"/>
    <xf numFmtId="0" fontId="85" fillId="0" borderId="0">
      <protection locked="0"/>
    </xf>
    <xf numFmtId="0" fontId="85" fillId="0" borderId="0">
      <protection locked="0"/>
    </xf>
    <xf numFmtId="0" fontId="45" fillId="0" borderId="0"/>
    <xf numFmtId="0" fontId="86" fillId="0" borderId="0" applyNumberFormat="0" applyFill="0" applyBorder="0" applyAlignment="0" applyProtection="0"/>
    <xf numFmtId="9" fontId="85" fillId="0" borderId="0" applyFont="0" applyFill="0" applyBorder="0" applyAlignment="0" applyProtection="0">
      <alignment vertical="center"/>
    </xf>
    <xf numFmtId="0" fontId="85" fillId="0" borderId="0"/>
    <xf numFmtId="43" fontId="85" fillId="0" borderId="0" applyFont="0" applyFill="0" applyBorder="0" applyAlignment="0" applyProtection="0"/>
    <xf numFmtId="43" fontId="85" fillId="0" borderId="0" applyFont="0" applyFill="0" applyBorder="0" applyAlignment="0" applyProtection="0"/>
    <xf numFmtId="195" fontId="1" fillId="0" borderId="0">
      <alignment vertical="center"/>
    </xf>
  </cellStyleXfs>
  <cellXfs count="301">
    <xf numFmtId="0" fontId="0" fillId="0" borderId="0" xfId="0">
      <protection locked="0"/>
    </xf>
    <xf numFmtId="0" fontId="3" fillId="0" borderId="0" xfId="0" applyFont="1" applyAlignment="1">
      <alignment vertical="center"/>
      <protection locked="0"/>
    </xf>
    <xf numFmtId="0" fontId="3" fillId="0" borderId="0" xfId="146" applyFont="1">
      <alignment vertical="center"/>
    </xf>
    <xf numFmtId="0" fontId="7" fillId="0" borderId="0" xfId="0" applyFont="1" applyAlignment="1">
      <alignment vertical="center"/>
      <protection locked="0"/>
    </xf>
    <xf numFmtId="0" fontId="5" fillId="0" borderId="0" xfId="0" applyFont="1" applyAlignment="1">
      <alignment vertical="center"/>
      <protection locked="0"/>
    </xf>
    <xf numFmtId="0" fontId="7" fillId="0" borderId="0" xfId="0" applyFont="1" applyAlignment="1">
      <alignment horizontal="right" vertical="center"/>
      <protection locked="0"/>
    </xf>
    <xf numFmtId="0" fontId="8" fillId="0" borderId="0" xfId="0" applyNumberFormat="1" applyFont="1" applyAlignment="1">
      <alignment vertical="center"/>
      <protection locked="0"/>
    </xf>
    <xf numFmtId="0" fontId="11" fillId="0" borderId="0" xfId="145" applyNumberFormat="1" applyFont="1" applyBorder="1" applyAlignment="1">
      <alignment vertical="center"/>
    </xf>
    <xf numFmtId="0" fontId="11" fillId="0" borderId="0" xfId="145" applyNumberFormat="1" applyFont="1" applyBorder="1" applyAlignment="1">
      <alignment horizontal="left" vertical="center"/>
    </xf>
    <xf numFmtId="0" fontId="12" fillId="2" borderId="2" xfId="135" applyNumberFormat="1" applyFont="1" applyFill="1" applyBorder="1" applyAlignment="1" applyProtection="1">
      <alignment vertical="center"/>
    </xf>
    <xf numFmtId="0" fontId="12" fillId="2" borderId="2" xfId="135" applyNumberFormat="1" applyFont="1" applyFill="1" applyBorder="1" applyAlignment="1" applyProtection="1">
      <alignment vertical="center" wrapText="1"/>
    </xf>
    <xf numFmtId="0" fontId="12" fillId="2" borderId="2" xfId="135" applyNumberFormat="1" applyFont="1" applyFill="1" applyBorder="1" applyAlignment="1" applyProtection="1">
      <alignment horizontal="center" vertical="center" wrapText="1"/>
    </xf>
    <xf numFmtId="0" fontId="13" fillId="2" borderId="2" xfId="138" applyNumberFormat="1" applyFont="1" applyFill="1" applyBorder="1" applyAlignment="1" applyProtection="1">
      <alignment horizontal="center" vertical="center" wrapText="1"/>
      <protection locked="0"/>
    </xf>
    <xf numFmtId="0" fontId="14" fillId="2" borderId="2" xfId="138" applyNumberFormat="1" applyFont="1" applyFill="1" applyBorder="1" applyAlignment="1" applyProtection="1">
      <alignment horizontal="center" vertical="center" wrapText="1"/>
      <protection locked="0"/>
    </xf>
    <xf numFmtId="0" fontId="15" fillId="0" borderId="2" xfId="135" applyNumberFormat="1" applyFont="1" applyBorder="1" applyAlignment="1" applyProtection="1">
      <alignment vertical="center"/>
    </xf>
    <xf numFmtId="43" fontId="16" fillId="0" borderId="2" xfId="135" applyNumberFormat="1" applyFont="1" applyBorder="1" applyAlignment="1" applyProtection="1">
      <alignment vertical="center"/>
    </xf>
    <xf numFmtId="0" fontId="11" fillId="0" borderId="2" xfId="135" applyNumberFormat="1" applyFont="1" applyBorder="1" applyAlignment="1" applyProtection="1">
      <alignment vertical="center"/>
    </xf>
    <xf numFmtId="0" fontId="17" fillId="0" borderId="2" xfId="135" applyNumberFormat="1" applyFont="1" applyBorder="1" applyAlignment="1" applyProtection="1">
      <alignment horizontal="left" vertical="center"/>
    </xf>
    <xf numFmtId="0" fontId="12" fillId="0" borderId="2" xfId="135" applyNumberFormat="1" applyFont="1" applyBorder="1" applyAlignment="1" applyProtection="1">
      <alignment horizontal="center" vertical="center"/>
    </xf>
    <xf numFmtId="0" fontId="13" fillId="0" borderId="0" xfId="145" applyNumberFormat="1" applyFont="1" applyBorder="1" applyAlignment="1">
      <alignment horizontal="left" vertical="center"/>
    </xf>
    <xf numFmtId="0" fontId="11" fillId="0" borderId="0" xfId="142" applyNumberFormat="1" applyFont="1" applyAlignment="1">
      <alignment vertical="center"/>
    </xf>
    <xf numFmtId="0" fontId="11" fillId="0" borderId="0" xfId="142" applyNumberFormat="1" applyFont="1" applyAlignment="1">
      <alignment horizontal="left" vertical="center"/>
    </xf>
    <xf numFmtId="0" fontId="11" fillId="0" borderId="0" xfId="145" applyNumberFormat="1" applyFont="1" applyFill="1" applyBorder="1" applyAlignment="1">
      <alignment vertical="center"/>
    </xf>
    <xf numFmtId="0" fontId="13" fillId="0" borderId="0" xfId="142" applyNumberFormat="1" applyFont="1" applyAlignment="1">
      <alignment vertical="center"/>
    </xf>
    <xf numFmtId="0" fontId="18" fillId="0" borderId="0" xfId="135" applyNumberFormat="1" applyFont="1" applyAlignment="1">
      <alignment vertical="center"/>
      <protection locked="0"/>
    </xf>
    <xf numFmtId="0" fontId="8" fillId="0" borderId="0" xfId="135" applyNumberFormat="1" applyFont="1" applyAlignment="1">
      <alignment vertical="center"/>
      <protection locked="0"/>
    </xf>
    <xf numFmtId="0" fontId="8" fillId="0" borderId="0" xfId="135" applyNumberFormat="1" applyFont="1" applyAlignment="1">
      <alignment vertical="center" wrapText="1"/>
      <protection locked="0"/>
    </xf>
    <xf numFmtId="0" fontId="11" fillId="0" borderId="0" xfId="145" applyNumberFormat="1" applyFont="1" applyBorder="1" applyAlignment="1">
      <alignment horizontal="right" vertical="center"/>
    </xf>
    <xf numFmtId="0" fontId="16" fillId="0" borderId="2" xfId="135" applyNumberFormat="1" applyFont="1" applyBorder="1" applyAlignment="1" applyProtection="1">
      <alignment vertical="center"/>
    </xf>
    <xf numFmtId="0" fontId="11" fillId="0" borderId="0" xfId="0" applyFont="1" applyAlignment="1">
      <alignment vertical="center"/>
      <protection locked="0"/>
    </xf>
    <xf numFmtId="0" fontId="11" fillId="0" borderId="0" xfId="146" applyFont="1">
      <alignment vertical="center"/>
    </xf>
    <xf numFmtId="0" fontId="11" fillId="0" borderId="0" xfId="0" applyFont="1">
      <protection locked="0"/>
    </xf>
    <xf numFmtId="0" fontId="19" fillId="0" borderId="0" xfId="0" applyNumberFormat="1" applyFont="1" applyAlignment="1" applyProtection="1">
      <alignment vertical="center"/>
    </xf>
    <xf numFmtId="0" fontId="20" fillId="3" borderId="2" xfId="143" applyFont="1" applyFill="1" applyBorder="1" applyAlignment="1">
      <alignment horizontal="center" vertical="center" wrapText="1"/>
    </xf>
    <xf numFmtId="195" fontId="4" fillId="2" borderId="2" xfId="137" applyFont="1" applyFill="1" applyBorder="1" applyAlignment="1" applyProtection="1">
      <alignment horizontal="center" vertical="center" wrapText="1"/>
      <protection locked="0"/>
    </xf>
    <xf numFmtId="0" fontId="21" fillId="0" borderId="2" xfId="140" applyFont="1" applyFill="1" applyBorder="1" applyAlignment="1">
      <alignment horizontal="left" vertical="center"/>
    </xf>
    <xf numFmtId="43" fontId="22" fillId="0" borderId="2" xfId="1" applyFont="1" applyFill="1" applyBorder="1" applyAlignment="1" applyProtection="1">
      <alignment vertical="center"/>
      <protection locked="0"/>
    </xf>
    <xf numFmtId="43" fontId="22" fillId="0" borderId="2" xfId="1" applyFont="1" applyFill="1" applyBorder="1" applyAlignment="1" applyProtection="1">
      <alignment horizontal="center" vertical="center"/>
      <protection locked="0"/>
    </xf>
    <xf numFmtId="43" fontId="22" fillId="3" borderId="2" xfId="1" applyFont="1" applyFill="1" applyBorder="1" applyAlignment="1">
      <alignment vertical="center"/>
    </xf>
    <xf numFmtId="0" fontId="21" fillId="0" borderId="2" xfId="140" applyFont="1" applyFill="1" applyBorder="1" applyAlignment="1">
      <alignment vertical="center"/>
    </xf>
    <xf numFmtId="0" fontId="21" fillId="0" borderId="2" xfId="144" applyFont="1" applyFill="1" applyBorder="1" applyAlignment="1">
      <alignment horizontal="left" vertical="center"/>
    </xf>
    <xf numFmtId="0" fontId="21" fillId="0" borderId="2" xfId="143" applyFont="1" applyFill="1" applyBorder="1" applyAlignment="1" applyProtection="1">
      <alignment vertical="center"/>
      <protection locked="0"/>
    </xf>
    <xf numFmtId="43" fontId="22" fillId="3" borderId="2" xfId="1" applyFont="1" applyFill="1" applyBorder="1" applyAlignment="1" applyProtection="1">
      <alignment vertical="center"/>
      <protection locked="0"/>
    </xf>
    <xf numFmtId="43" fontId="22" fillId="3" borderId="2" xfId="1" applyFont="1" applyFill="1" applyBorder="1" applyAlignment="1" applyProtection="1">
      <alignment horizontal="center" vertical="center"/>
      <protection locked="0"/>
    </xf>
    <xf numFmtId="0" fontId="21" fillId="0" borderId="2" xfId="143" applyFont="1" applyFill="1" applyBorder="1" applyAlignment="1">
      <alignment horizontal="center" vertical="center"/>
    </xf>
    <xf numFmtId="0" fontId="19" fillId="4" borderId="0" xfId="144" applyNumberFormat="1" applyFont="1" applyFill="1" applyAlignment="1">
      <alignment horizontal="left" vertical="center"/>
    </xf>
    <xf numFmtId="0" fontId="19" fillId="4" borderId="0" xfId="140" applyNumberFormat="1" applyFont="1" applyFill="1" applyAlignment="1">
      <alignment vertical="center"/>
    </xf>
    <xf numFmtId="0" fontId="11" fillId="0" borderId="0" xfId="0" applyFont="1" applyAlignment="1">
      <alignment horizontal="right" vertical="center"/>
      <protection locked="0"/>
    </xf>
    <xf numFmtId="0" fontId="20" fillId="3" borderId="2" xfId="107" applyFont="1" applyFill="1" applyBorder="1" applyAlignment="1">
      <alignment horizontal="center" vertical="center" wrapText="1"/>
    </xf>
    <xf numFmtId="43" fontId="22" fillId="3" borderId="2" xfId="107" applyNumberFormat="1" applyFont="1" applyFill="1" applyBorder="1" applyAlignment="1">
      <alignment vertical="center"/>
    </xf>
    <xf numFmtId="0" fontId="0" fillId="0" borderId="0" xfId="0" applyFont="1" applyAlignment="1">
      <alignment vertical="center"/>
      <protection locked="0"/>
    </xf>
    <xf numFmtId="0" fontId="0" fillId="0" borderId="0" xfId="0" applyAlignment="1">
      <alignment vertical="center"/>
      <protection locked="0"/>
    </xf>
    <xf numFmtId="0" fontId="4" fillId="0" borderId="0" xfId="136" applyFont="1" applyAlignment="1">
      <alignment vertical="center"/>
      <protection locked="0"/>
    </xf>
    <xf numFmtId="0" fontId="23" fillId="0" borderId="0" xfId="136" applyFont="1" applyAlignment="1">
      <alignment vertical="center"/>
      <protection locked="0"/>
    </xf>
    <xf numFmtId="43" fontId="3" fillId="0" borderId="0" xfId="145" applyNumberFormat="1" applyFont="1" applyBorder="1" applyAlignment="1">
      <alignment vertical="center"/>
    </xf>
    <xf numFmtId="0" fontId="3" fillId="0" borderId="0" xfId="136" applyFont="1" applyAlignment="1">
      <alignment horizontal="left" vertical="center"/>
      <protection locked="0"/>
    </xf>
    <xf numFmtId="0" fontId="24" fillId="0" borderId="0" xfId="0" applyFont="1" applyAlignment="1">
      <alignment horizontal="left" vertical="center"/>
      <protection locked="0"/>
    </xf>
    <xf numFmtId="0" fontId="85" fillId="0" borderId="0" xfId="136" applyAlignment="1">
      <alignment vertical="center"/>
      <protection locked="0"/>
    </xf>
    <xf numFmtId="0" fontId="25" fillId="0" borderId="0" xfId="0" applyFont="1" applyAlignment="1">
      <alignment horizontal="left" vertical="center"/>
      <protection locked="0"/>
    </xf>
    <xf numFmtId="0" fontId="26" fillId="0" borderId="6" xfId="0" applyFont="1" applyBorder="1" applyAlignment="1">
      <alignment horizontal="justify" vertical="center" wrapText="1"/>
      <protection locked="0"/>
    </xf>
    <xf numFmtId="0" fontId="26" fillId="0" borderId="6" xfId="0" applyFont="1" applyBorder="1" applyAlignment="1">
      <alignment horizontal="right" vertical="center" wrapText="1"/>
      <protection locked="0"/>
    </xf>
    <xf numFmtId="0" fontId="26" fillId="0" borderId="0" xfId="0" applyFont="1" applyAlignment="1">
      <alignment horizontal="justify" vertical="center" wrapText="1"/>
      <protection locked="0"/>
    </xf>
    <xf numFmtId="0" fontId="23" fillId="0" borderId="0" xfId="0" applyFont="1" applyAlignment="1">
      <alignment horizontal="right" vertical="center" wrapText="1"/>
      <protection locked="0"/>
    </xf>
    <xf numFmtId="0" fontId="24" fillId="0" borderId="0" xfId="0" applyFont="1" applyAlignment="1">
      <alignment horizontal="justify" vertical="center" wrapText="1"/>
      <protection locked="0"/>
    </xf>
    <xf numFmtId="43" fontId="2" fillId="0" borderId="0" xfId="0" applyNumberFormat="1" applyFont="1" applyAlignment="1">
      <alignment horizontal="right" vertical="center" wrapText="1"/>
      <protection locked="0"/>
    </xf>
    <xf numFmtId="0" fontId="26" fillId="0" borderId="6" xfId="0" applyFont="1" applyBorder="1" applyAlignment="1">
      <alignment horizontal="left" vertical="center" wrapText="1"/>
      <protection locked="0"/>
    </xf>
    <xf numFmtId="43" fontId="23" fillId="0" borderId="6" xfId="1" applyFont="1" applyBorder="1" applyAlignment="1" applyProtection="1">
      <alignment horizontal="right" vertical="center" wrapText="1"/>
      <protection locked="0"/>
    </xf>
    <xf numFmtId="43" fontId="25" fillId="0" borderId="0" xfId="0" applyNumberFormat="1" applyFont="1" applyAlignment="1" applyProtection="1">
      <alignment vertical="center"/>
    </xf>
    <xf numFmtId="43" fontId="28" fillId="0" borderId="0" xfId="1" applyFont="1" applyBorder="1" applyAlignment="1" applyProtection="1">
      <alignment horizontal="right" vertical="center" wrapText="1"/>
      <protection locked="0"/>
    </xf>
    <xf numFmtId="43" fontId="28" fillId="0" borderId="6" xfId="1" applyFont="1" applyBorder="1" applyAlignment="1" applyProtection="1">
      <alignment horizontal="right" vertical="center" wrapText="1"/>
      <protection locked="0"/>
    </xf>
    <xf numFmtId="43" fontId="23" fillId="0" borderId="0" xfId="1" applyFont="1" applyBorder="1" applyAlignment="1" applyProtection="1">
      <alignment horizontal="right" vertical="center" wrapText="1"/>
      <protection locked="0"/>
    </xf>
    <xf numFmtId="0" fontId="2" fillId="0" borderId="0" xfId="0" applyFont="1" applyAlignment="1">
      <alignment horizontal="left" vertical="center"/>
      <protection locked="0"/>
    </xf>
    <xf numFmtId="0" fontId="26" fillId="0" borderId="7" xfId="0" applyFont="1" applyBorder="1" applyAlignment="1">
      <alignment horizontal="center" vertical="center" wrapText="1"/>
      <protection locked="0"/>
    </xf>
    <xf numFmtId="0" fontId="26" fillId="0" borderId="7" xfId="0" applyFont="1" applyBorder="1" applyAlignment="1">
      <alignment horizontal="right" vertical="center" wrapText="1"/>
      <protection locked="0"/>
    </xf>
    <xf numFmtId="0" fontId="24" fillId="0" borderId="6" xfId="0" applyFont="1" applyBorder="1" applyAlignment="1">
      <alignment horizontal="justify" vertical="center" wrapText="1"/>
      <protection locked="0"/>
    </xf>
    <xf numFmtId="43" fontId="2" fillId="0" borderId="6" xfId="1" applyFont="1" applyBorder="1" applyAlignment="1" applyProtection="1">
      <alignment vertical="center"/>
      <protection locked="0"/>
    </xf>
    <xf numFmtId="43" fontId="2" fillId="0" borderId="0" xfId="1" applyFont="1" applyBorder="1" applyAlignment="1" applyProtection="1">
      <alignment vertical="center"/>
      <protection locked="0"/>
    </xf>
    <xf numFmtId="0" fontId="2" fillId="0" borderId="0" xfId="0" applyFont="1" applyAlignment="1">
      <alignment horizontal="justify" vertical="center" wrapText="1"/>
      <protection locked="0"/>
    </xf>
    <xf numFmtId="0" fontId="2" fillId="0" borderId="6" xfId="0" applyFont="1" applyBorder="1" applyAlignment="1">
      <alignment horizontal="justify" vertical="center" wrapText="1"/>
      <protection locked="0"/>
    </xf>
    <xf numFmtId="0" fontId="27" fillId="0" borderId="7" xfId="0" applyFont="1" applyBorder="1" applyAlignment="1">
      <alignment horizontal="right" vertical="center" wrapText="1"/>
      <protection locked="0"/>
    </xf>
    <xf numFmtId="43" fontId="2" fillId="0" borderId="6" xfId="0" applyNumberFormat="1" applyFont="1" applyBorder="1" applyAlignment="1">
      <alignment horizontal="right" vertical="center" wrapText="1"/>
      <protection locked="0"/>
    </xf>
    <xf numFmtId="0" fontId="26" fillId="0" borderId="6" xfId="0" applyFont="1" applyBorder="1" applyAlignment="1">
      <alignment horizontal="center" vertical="center" wrapText="1"/>
      <protection locked="0"/>
    </xf>
    <xf numFmtId="0" fontId="3" fillId="0" borderId="0" xfId="136" applyFont="1" applyAlignment="1">
      <alignment vertical="center"/>
      <protection locked="0"/>
    </xf>
    <xf numFmtId="0" fontId="24" fillId="0" borderId="0" xfId="0" applyFont="1" applyAlignment="1">
      <alignment horizontal="right" vertical="center" wrapText="1"/>
      <protection locked="0"/>
    </xf>
    <xf numFmtId="0" fontId="2" fillId="0" borderId="0" xfId="0" applyFont="1" applyAlignment="1">
      <alignment horizontal="right" vertical="center" wrapText="1"/>
      <protection locked="0"/>
    </xf>
    <xf numFmtId="43" fontId="2" fillId="0" borderId="0" xfId="1" applyFont="1" applyAlignment="1" applyProtection="1">
      <alignment horizontal="right" vertical="center" wrapText="1"/>
      <protection locked="0"/>
    </xf>
    <xf numFmtId="43" fontId="2" fillId="0" borderId="6" xfId="1" applyFont="1" applyBorder="1" applyAlignment="1" applyProtection="1">
      <alignment horizontal="right" vertical="center" wrapText="1"/>
      <protection locked="0"/>
    </xf>
    <xf numFmtId="0" fontId="24" fillId="0" borderId="6" xfId="0" applyFont="1" applyBorder="1" applyAlignment="1">
      <alignment horizontal="right" vertical="center" wrapText="1"/>
      <protection locked="0"/>
    </xf>
    <xf numFmtId="0" fontId="2" fillId="0" borderId="6" xfId="0" applyFont="1" applyBorder="1" applyAlignment="1">
      <alignment horizontal="right" vertical="center" wrapText="1"/>
      <protection locked="0"/>
    </xf>
    <xf numFmtId="43" fontId="28" fillId="0" borderId="7" xfId="1" applyFont="1" applyBorder="1" applyAlignment="1" applyProtection="1">
      <alignment horizontal="right" vertical="center" wrapText="1"/>
      <protection locked="0"/>
    </xf>
    <xf numFmtId="0" fontId="23" fillId="0" borderId="6" xfId="0" applyFont="1" applyBorder="1" applyAlignment="1">
      <alignment horizontal="right" vertical="center" wrapText="1"/>
      <protection locked="0"/>
    </xf>
    <xf numFmtId="0" fontId="25" fillId="0" borderId="5" xfId="0" applyFont="1" applyBorder="1" applyAlignment="1">
      <alignment vertical="center"/>
      <protection locked="0"/>
    </xf>
    <xf numFmtId="0" fontId="2" fillId="0" borderId="0" xfId="0" applyFont="1" applyAlignment="1">
      <alignment horizontal="right" vertical="center"/>
      <protection locked="0"/>
    </xf>
    <xf numFmtId="43" fontId="7" fillId="0" borderId="0" xfId="145" applyNumberFormat="1" applyFont="1" applyBorder="1" applyAlignment="1">
      <alignment vertical="center"/>
    </xf>
    <xf numFmtId="0" fontId="5" fillId="0" borderId="0" xfId="142" applyFont="1" applyAlignment="1">
      <alignment vertical="center"/>
    </xf>
    <xf numFmtId="43" fontId="6" fillId="0" borderId="0" xfId="145" applyNumberFormat="1" applyFont="1" applyBorder="1" applyAlignment="1">
      <alignment vertical="center"/>
    </xf>
    <xf numFmtId="0" fontId="24" fillId="0" borderId="0" xfId="0" applyFont="1" applyAlignment="1">
      <alignment horizontal="justify" vertical="center"/>
      <protection locked="0"/>
    </xf>
    <xf numFmtId="0" fontId="25" fillId="0" borderId="0" xfId="0" applyFont="1" applyAlignment="1" applyProtection="1">
      <alignment horizontal="left" vertical="center"/>
    </xf>
    <xf numFmtId="0" fontId="26" fillId="0" borderId="7" xfId="0" applyFont="1" applyBorder="1" applyAlignment="1">
      <alignment horizontal="justify" vertical="center" wrapText="1"/>
      <protection locked="0"/>
    </xf>
    <xf numFmtId="0" fontId="2" fillId="0" borderId="0" xfId="0" applyFont="1" applyAlignment="1">
      <alignment horizontal="center" vertical="center" wrapText="1"/>
      <protection locked="0"/>
    </xf>
    <xf numFmtId="0" fontId="2" fillId="0" borderId="6" xfId="0" applyFont="1" applyBorder="1" applyAlignment="1">
      <alignment horizontal="center" vertical="center" wrapText="1"/>
      <protection locked="0"/>
    </xf>
    <xf numFmtId="0" fontId="23" fillId="0" borderId="7" xfId="0" applyFont="1" applyBorder="1" applyAlignment="1">
      <alignment horizontal="right" vertical="center" wrapText="1"/>
      <protection locked="0"/>
    </xf>
    <xf numFmtId="49" fontId="3" fillId="0" borderId="0" xfId="145" applyNumberFormat="1" applyFont="1" applyBorder="1" applyAlignment="1">
      <alignment vertical="center"/>
    </xf>
    <xf numFmtId="43" fontId="2" fillId="0" borderId="0" xfId="145" applyNumberFormat="1" applyFont="1" applyBorder="1" applyAlignment="1">
      <alignment vertical="center"/>
    </xf>
    <xf numFmtId="43" fontId="4" fillId="0" borderId="0" xfId="145" applyNumberFormat="1" applyFont="1" applyBorder="1" applyAlignment="1">
      <alignment vertical="center"/>
    </xf>
    <xf numFmtId="43" fontId="3" fillId="0" borderId="0" xfId="145" applyNumberFormat="1" applyFont="1" applyFill="1" applyBorder="1" applyAlignment="1">
      <alignment vertical="center"/>
    </xf>
    <xf numFmtId="43" fontId="7" fillId="0" borderId="0" xfId="145" applyNumberFormat="1" applyFont="1" applyBorder="1" applyAlignment="1">
      <alignment horizontal="left" vertical="center"/>
    </xf>
    <xf numFmtId="14" fontId="7" fillId="0" borderId="0" xfId="145" applyNumberFormat="1" applyFont="1" applyBorder="1" applyAlignment="1">
      <alignment vertical="center"/>
    </xf>
    <xf numFmtId="49" fontId="7" fillId="0" borderId="0" xfId="145" applyNumberFormat="1" applyFont="1" applyBorder="1" applyAlignment="1">
      <alignment vertical="center"/>
    </xf>
    <xf numFmtId="0" fontId="31" fillId="3" borderId="2" xfId="140" applyFont="1" applyFill="1" applyBorder="1" applyAlignment="1">
      <alignment horizontal="left" vertical="center"/>
    </xf>
    <xf numFmtId="43" fontId="3" fillId="3" borderId="2" xfId="1" applyFont="1" applyFill="1" applyBorder="1" applyAlignment="1">
      <alignment horizontal="center" vertical="center"/>
    </xf>
    <xf numFmtId="43" fontId="5" fillId="2" borderId="2" xfId="1" applyFont="1" applyFill="1" applyBorder="1" applyAlignment="1">
      <alignment horizontal="center" vertical="center"/>
    </xf>
    <xf numFmtId="43" fontId="4" fillId="3" borderId="2" xfId="1" applyFont="1" applyFill="1" applyBorder="1" applyAlignment="1">
      <alignment horizontal="center" vertical="center"/>
    </xf>
    <xf numFmtId="43" fontId="5" fillId="0" borderId="0" xfId="1" applyFont="1" applyFill="1" applyBorder="1" applyAlignment="1">
      <alignment horizontal="center" vertical="center"/>
    </xf>
    <xf numFmtId="43" fontId="4" fillId="0" borderId="0" xfId="1" applyFont="1" applyFill="1" applyBorder="1" applyAlignment="1">
      <alignment horizontal="center" vertical="center"/>
    </xf>
    <xf numFmtId="43" fontId="13" fillId="0" borderId="0" xfId="1" applyFont="1" applyFill="1" applyBorder="1" applyAlignment="1">
      <alignment horizontal="center" vertical="center"/>
    </xf>
    <xf numFmtId="43" fontId="13" fillId="3" borderId="0" xfId="1" applyFont="1" applyFill="1" applyBorder="1" applyAlignment="1">
      <alignment horizontal="center" vertical="center"/>
    </xf>
    <xf numFmtId="43" fontId="13" fillId="0" borderId="0" xfId="145" applyNumberFormat="1" applyFont="1" applyBorder="1" applyAlignment="1">
      <alignment vertical="center"/>
    </xf>
    <xf numFmtId="43" fontId="11" fillId="0" borderId="0" xfId="145" applyNumberFormat="1" applyFont="1" applyBorder="1" applyAlignment="1">
      <alignment horizontal="left" vertical="center"/>
    </xf>
    <xf numFmtId="43" fontId="32" fillId="0" borderId="0" xfId="3" applyNumberFormat="1" applyFont="1" applyBorder="1" applyAlignment="1" applyProtection="1">
      <alignment horizontal="center" vertical="center"/>
    </xf>
    <xf numFmtId="43" fontId="11" fillId="0" borderId="0" xfId="145" applyNumberFormat="1" applyFont="1" applyBorder="1" applyAlignment="1">
      <alignment vertical="center"/>
    </xf>
    <xf numFmtId="0" fontId="11" fillId="0" borderId="0" xfId="142" applyFont="1" applyAlignment="1">
      <alignment vertical="center"/>
    </xf>
    <xf numFmtId="0" fontId="11" fillId="0" borderId="0" xfId="142" applyFont="1" applyAlignment="1">
      <alignment horizontal="left" vertical="center"/>
    </xf>
    <xf numFmtId="0" fontId="13" fillId="0" borderId="0" xfId="142" applyFont="1" applyAlignment="1">
      <alignment vertical="center"/>
    </xf>
    <xf numFmtId="0" fontId="3" fillId="0" borderId="0" xfId="142" applyFont="1" applyAlignment="1">
      <alignment vertical="center"/>
    </xf>
    <xf numFmtId="43" fontId="34" fillId="0" borderId="0" xfId="145" applyNumberFormat="1" applyFont="1" applyBorder="1" applyAlignment="1">
      <alignment vertical="center"/>
    </xf>
    <xf numFmtId="43" fontId="34" fillId="0" borderId="0" xfId="145" applyNumberFormat="1" applyFont="1" applyBorder="1" applyAlignment="1">
      <alignment horizontal="right" vertical="center"/>
    </xf>
    <xf numFmtId="43" fontId="35" fillId="0" borderId="0" xfId="145" applyNumberFormat="1" applyFont="1" applyBorder="1" applyAlignment="1">
      <alignment vertical="center"/>
    </xf>
    <xf numFmtId="195" fontId="3" fillId="0" borderId="0" xfId="137" applyFont="1" applyAlignment="1" applyProtection="1">
      <alignment vertical="center" wrapText="1"/>
      <protection locked="0"/>
    </xf>
    <xf numFmtId="43" fontId="7" fillId="0" borderId="0" xfId="145" applyNumberFormat="1" applyFont="1" applyBorder="1" applyAlignment="1">
      <alignment horizontal="right" vertical="center"/>
    </xf>
    <xf numFmtId="0" fontId="3" fillId="0" borderId="0" xfId="145" applyFont="1" applyBorder="1" applyAlignment="1">
      <alignment horizontal="center" vertical="center"/>
    </xf>
    <xf numFmtId="195" fontId="30" fillId="2" borderId="2" xfId="136" applyNumberFormat="1" applyFont="1" applyFill="1" applyBorder="1" applyAlignment="1">
      <alignment horizontal="center" vertical="center" wrapText="1"/>
      <protection locked="0"/>
    </xf>
    <xf numFmtId="43" fontId="36" fillId="0" borderId="0" xfId="145" applyNumberFormat="1" applyFont="1" applyBorder="1" applyAlignment="1">
      <alignment vertical="center"/>
    </xf>
    <xf numFmtId="195" fontId="4" fillId="2" borderId="2" xfId="136" applyNumberFormat="1" applyFont="1" applyFill="1" applyBorder="1" applyAlignment="1">
      <alignment horizontal="center" vertical="center"/>
      <protection locked="0"/>
    </xf>
    <xf numFmtId="0" fontId="4" fillId="2" borderId="2" xfId="136" applyFont="1" applyFill="1" applyBorder="1" applyAlignment="1">
      <alignment horizontal="center" vertical="center"/>
      <protection locked="0"/>
    </xf>
    <xf numFmtId="43" fontId="3" fillId="3" borderId="2" xfId="1" applyFont="1" applyFill="1" applyBorder="1" applyAlignment="1">
      <alignment horizontal="right" vertical="center" wrapText="1"/>
    </xf>
    <xf numFmtId="10" fontId="3" fillId="3" borderId="2" xfId="2" applyNumberFormat="1" applyFont="1" applyFill="1" applyBorder="1" applyAlignment="1">
      <alignment horizontal="right" vertical="center" wrapText="1"/>
    </xf>
    <xf numFmtId="43" fontId="3" fillId="0" borderId="0" xfId="1" applyFont="1" applyFill="1" applyBorder="1" applyAlignment="1">
      <alignment horizontal="right" vertical="center" wrapText="1"/>
    </xf>
    <xf numFmtId="10" fontId="3" fillId="0" borderId="0" xfId="2" applyNumberFormat="1" applyFont="1" applyFill="1" applyBorder="1" applyAlignment="1">
      <alignment horizontal="right" vertical="center" wrapText="1"/>
    </xf>
    <xf numFmtId="43" fontId="3" fillId="0" borderId="0" xfId="1" applyFont="1" applyFill="1" applyBorder="1" applyAlignment="1">
      <alignment horizontal="center" vertical="center"/>
    </xf>
    <xf numFmtId="43" fontId="11" fillId="0" borderId="0" xfId="1" applyFont="1" applyFill="1" applyBorder="1" applyAlignment="1">
      <alignment horizontal="right" vertical="center" wrapText="1"/>
    </xf>
    <xf numFmtId="10" fontId="11" fillId="0" borderId="0" xfId="2" applyNumberFormat="1" applyFont="1" applyFill="1" applyBorder="1" applyAlignment="1">
      <alignment horizontal="right" vertical="center" wrapText="1"/>
    </xf>
    <xf numFmtId="43" fontId="11" fillId="0" borderId="0" xfId="1" applyFont="1" applyFill="1" applyBorder="1" applyAlignment="1">
      <alignment horizontal="center" vertical="center"/>
    </xf>
    <xf numFmtId="0" fontId="40" fillId="0" borderId="0" xfId="0" applyFont="1" applyAlignment="1">
      <alignment vertical="center"/>
      <protection locked="0"/>
    </xf>
    <xf numFmtId="0" fontId="5" fillId="0" borderId="0" xfId="0" applyFont="1" applyAlignment="1">
      <alignment horizontal="left" vertical="center"/>
      <protection locked="0"/>
    </xf>
    <xf numFmtId="0" fontId="7" fillId="0" borderId="0" xfId="146" applyFont="1" applyAlignment="1">
      <alignment vertical="center"/>
    </xf>
    <xf numFmtId="0" fontId="40" fillId="0" borderId="0" xfId="146" applyFont="1" applyAlignment="1">
      <alignment vertical="center"/>
    </xf>
    <xf numFmtId="0" fontId="7" fillId="0" borderId="0" xfId="0" applyFont="1" applyBorder="1" applyAlignment="1">
      <alignment vertical="center"/>
      <protection locked="0"/>
    </xf>
    <xf numFmtId="0" fontId="7" fillId="0" borderId="0" xfId="0" applyFont="1" applyBorder="1" applyAlignment="1">
      <alignment vertical="center" wrapText="1"/>
      <protection locked="0"/>
    </xf>
    <xf numFmtId="49" fontId="5" fillId="0" borderId="0" xfId="0" applyNumberFormat="1" applyFont="1" applyAlignment="1">
      <alignment horizontal="left" vertical="center"/>
      <protection locked="0"/>
    </xf>
    <xf numFmtId="0" fontId="5" fillId="0" borderId="0" xfId="0" applyFont="1" applyAlignment="1">
      <alignment horizontal="justify" vertical="center"/>
      <protection locked="0"/>
    </xf>
    <xf numFmtId="195" fontId="5" fillId="2" borderId="2" xfId="139" applyFont="1" applyFill="1" applyBorder="1" applyAlignment="1" applyProtection="1">
      <alignment horizontal="center" vertical="center"/>
      <protection locked="0"/>
    </xf>
    <xf numFmtId="195" fontId="5" fillId="2" borderId="2" xfId="139" applyFont="1" applyFill="1" applyBorder="1" applyAlignment="1" applyProtection="1">
      <alignment horizontal="center" vertical="center" wrapText="1"/>
      <protection locked="0"/>
    </xf>
    <xf numFmtId="0" fontId="3" fillId="0" borderId="2" xfId="0" applyFont="1" applyFill="1" applyBorder="1" applyAlignment="1">
      <alignment horizontal="center" vertical="center"/>
      <protection locked="0"/>
    </xf>
    <xf numFmtId="0" fontId="7" fillId="0" borderId="2" xfId="0" applyFont="1" applyFill="1" applyBorder="1" applyAlignment="1">
      <alignment horizontal="left" vertical="center" wrapText="1"/>
      <protection locked="0"/>
    </xf>
    <xf numFmtId="0" fontId="40" fillId="0" borderId="2" xfId="0" applyFont="1" applyFill="1" applyBorder="1" applyAlignment="1">
      <alignment horizontal="left" vertical="center" wrapText="1"/>
      <protection locked="0"/>
    </xf>
    <xf numFmtId="0" fontId="7" fillId="0" borderId="2" xfId="0" applyFont="1" applyFill="1" applyBorder="1" applyAlignment="1">
      <alignment horizontal="center" vertical="center" wrapText="1"/>
      <protection locked="0"/>
    </xf>
    <xf numFmtId="0" fontId="3" fillId="0" borderId="2" xfId="0" applyFont="1" applyFill="1" applyBorder="1" applyAlignment="1">
      <alignment horizontal="center" vertical="center" wrapText="1"/>
      <protection locked="0"/>
    </xf>
    <xf numFmtId="0" fontId="40" fillId="0" borderId="2" xfId="0" applyFont="1" applyFill="1" applyBorder="1" applyAlignment="1" applyProtection="1">
      <alignment horizontal="left" vertical="center" wrapText="1"/>
    </xf>
    <xf numFmtId="195" fontId="40" fillId="0" borderId="2" xfId="133" applyFont="1" applyFill="1" applyBorder="1" applyAlignment="1">
      <alignment horizontal="center" vertical="center" wrapText="1"/>
    </xf>
    <xf numFmtId="0" fontId="4" fillId="0" borderId="2" xfId="0" applyFont="1" applyFill="1" applyBorder="1" applyAlignment="1">
      <alignment horizontal="center" vertical="center" wrapText="1"/>
      <protection locked="0"/>
    </xf>
    <xf numFmtId="0" fontId="7" fillId="0" borderId="2" xfId="146" applyFont="1" applyFill="1" applyBorder="1" applyAlignment="1">
      <alignment horizontal="left" vertical="center" wrapText="1"/>
    </xf>
    <xf numFmtId="0" fontId="7" fillId="0" borderId="2" xfId="0" applyFont="1" applyFill="1" applyBorder="1" applyAlignment="1" applyProtection="1">
      <alignment horizontal="left" vertical="center" wrapText="1"/>
    </xf>
    <xf numFmtId="195" fontId="40" fillId="0" borderId="2" xfId="139" applyFont="1" applyFill="1" applyBorder="1" applyAlignment="1">
      <alignment horizontal="center" vertical="center" wrapText="1"/>
    </xf>
    <xf numFmtId="195" fontId="40" fillId="0" borderId="2" xfId="133" applyFont="1" applyFill="1" applyBorder="1" applyAlignment="1">
      <alignment vertical="center" wrapText="1"/>
    </xf>
    <xf numFmtId="0" fontId="5" fillId="0" borderId="0" xfId="146" applyFont="1" applyAlignment="1">
      <alignment vertical="center"/>
    </xf>
    <xf numFmtId="195" fontId="3" fillId="0" borderId="2" xfId="139" applyFont="1" applyFill="1" applyBorder="1" applyAlignment="1">
      <alignment horizontal="center" vertical="center" wrapText="1"/>
    </xf>
    <xf numFmtId="0" fontId="39" fillId="0" borderId="0" xfId="0" applyFont="1">
      <protection locked="0"/>
    </xf>
    <xf numFmtId="0" fontId="39" fillId="0" borderId="0" xfId="0" applyFont="1" applyFill="1">
      <protection locked="0"/>
    </xf>
    <xf numFmtId="0" fontId="7" fillId="0" borderId="0" xfId="0" applyFont="1">
      <protection locked="0"/>
    </xf>
    <xf numFmtId="0" fontId="5" fillId="0" borderId="0" xfId="0" applyFont="1" applyFill="1" applyAlignment="1">
      <alignment vertical="center"/>
      <protection locked="0"/>
    </xf>
    <xf numFmtId="0" fontId="7" fillId="5" borderId="0" xfId="0" applyFont="1" applyFill="1" applyAlignment="1">
      <alignment horizontal="justify" vertical="center" wrapText="1"/>
      <protection locked="0"/>
    </xf>
    <xf numFmtId="0" fontId="7" fillId="0" borderId="0" xfId="0" applyFont="1" applyFill="1" applyAlignment="1">
      <alignment horizontal="justify" vertical="center" wrapText="1"/>
      <protection locked="0"/>
    </xf>
    <xf numFmtId="0" fontId="7" fillId="0" borderId="0" xfId="0" applyFont="1" applyAlignment="1">
      <alignment horizontal="center" vertical="center"/>
      <protection locked="0"/>
    </xf>
    <xf numFmtId="0" fontId="7" fillId="0" borderId="0" xfId="0" applyFont="1" applyAlignment="1">
      <alignment horizontal="justify" wrapText="1"/>
      <protection locked="0"/>
    </xf>
    <xf numFmtId="0" fontId="7" fillId="0" borderId="0" xfId="0" applyFont="1" applyAlignment="1">
      <alignment horizontal="justify" vertical="top" wrapText="1"/>
      <protection locked="0"/>
    </xf>
    <xf numFmtId="0" fontId="19" fillId="0" borderId="0" xfId="0" applyFont="1" applyAlignment="1">
      <alignment horizontal="justify" wrapText="1"/>
      <protection locked="0"/>
    </xf>
    <xf numFmtId="0" fontId="43" fillId="0" borderId="0" xfId="0" applyFont="1" applyAlignment="1">
      <alignment horizontal="justify" wrapText="1"/>
      <protection locked="0"/>
    </xf>
    <xf numFmtId="0" fontId="19" fillId="0" borderId="0" xfId="0" applyFont="1">
      <protection locked="0"/>
    </xf>
    <xf numFmtId="0" fontId="37" fillId="0" borderId="0" xfId="0" applyFont="1" applyAlignment="1">
      <alignment horizontal="justify"/>
      <protection locked="0"/>
    </xf>
    <xf numFmtId="0" fontId="37" fillId="0" borderId="0" xfId="0" applyFont="1" applyFill="1" applyAlignment="1">
      <alignment horizontal="justify"/>
      <protection locked="0"/>
    </xf>
    <xf numFmtId="0" fontId="44" fillId="0" borderId="0" xfId="0" applyFont="1" applyFill="1" applyAlignment="1">
      <alignment horizontal="center"/>
      <protection locked="0"/>
    </xf>
    <xf numFmtId="0" fontId="7" fillId="0" borderId="0" xfId="0" applyFont="1" applyFill="1" applyAlignment="1">
      <alignment horizontal="justify"/>
      <protection locked="0"/>
    </xf>
    <xf numFmtId="0" fontId="7" fillId="0" borderId="0" xfId="0" applyFont="1" applyFill="1">
      <protection locked="0"/>
    </xf>
    <xf numFmtId="0" fontId="7" fillId="0" borderId="0" xfId="0" applyFont="1" applyFill="1" applyAlignment="1">
      <alignment horizontal="justify" wrapText="1"/>
      <protection locked="0"/>
    </xf>
    <xf numFmtId="0" fontId="7" fillId="0" borderId="0" xfId="0" applyFont="1" applyAlignment="1">
      <alignment horizontal="left"/>
      <protection locked="0"/>
    </xf>
    <xf numFmtId="0" fontId="7" fillId="0" borderId="0" xfId="0" applyFont="1" applyFill="1" applyAlignment="1">
      <alignment horizontal="left"/>
      <protection locked="0"/>
    </xf>
    <xf numFmtId="0" fontId="11" fillId="0" borderId="2" xfId="0" applyFont="1" applyBorder="1" applyAlignment="1">
      <alignment horizontal="left" vertical="center" wrapText="1"/>
      <protection locked="0"/>
    </xf>
    <xf numFmtId="0" fontId="7" fillId="0" borderId="2" xfId="173" applyFont="1" applyFill="1" applyBorder="1" applyAlignment="1">
      <alignment horizontal="left" vertical="center" wrapText="1"/>
      <protection locked="0"/>
    </xf>
    <xf numFmtId="0" fontId="7" fillId="0" borderId="2" xfId="174" applyFont="1" applyBorder="1" applyAlignment="1">
      <alignment horizontal="center" vertical="center" wrapText="1"/>
      <protection locked="0"/>
    </xf>
    <xf numFmtId="0" fontId="82" fillId="0" borderId="2" xfId="0" applyFont="1" applyBorder="1" applyAlignment="1">
      <alignment horizontal="center" vertical="center" wrapText="1"/>
      <protection locked="0"/>
    </xf>
    <xf numFmtId="0" fontId="5" fillId="0" borderId="0" xfId="135" applyFont="1" applyAlignment="1">
      <alignment vertical="center"/>
      <protection locked="0"/>
    </xf>
    <xf numFmtId="0" fontId="40" fillId="0" borderId="0" xfId="175" applyNumberFormat="1" applyFont="1" applyAlignment="1">
      <alignment vertical="center"/>
    </xf>
    <xf numFmtId="0" fontId="7" fillId="0" borderId="0" xfId="135" applyFont="1" applyAlignment="1">
      <alignment vertical="center"/>
      <protection locked="0"/>
    </xf>
    <xf numFmtId="0" fontId="7" fillId="0" borderId="0" xfId="146" applyFont="1">
      <alignment vertical="center"/>
    </xf>
    <xf numFmtId="0" fontId="7" fillId="0" borderId="0" xfId="135" applyFont="1" applyAlignment="1">
      <alignment horizontal="right" vertical="center"/>
      <protection locked="0"/>
    </xf>
    <xf numFmtId="0" fontId="19" fillId="0" borderId="0" xfId="175" applyNumberFormat="1" applyFont="1" applyAlignment="1">
      <alignment vertical="center"/>
    </xf>
    <xf numFmtId="0" fontId="5" fillId="3" borderId="2" xfId="140" applyNumberFormat="1" applyFont="1" applyFill="1" applyBorder="1" applyAlignment="1">
      <alignment horizontal="centerContinuous" vertical="center"/>
    </xf>
    <xf numFmtId="0" fontId="5" fillId="3" borderId="2" xfId="140" applyNumberFormat="1" applyFont="1" applyFill="1" applyBorder="1" applyAlignment="1">
      <alignment horizontal="center" vertical="center"/>
    </xf>
    <xf numFmtId="0" fontId="42" fillId="0" borderId="2" xfId="140" applyNumberFormat="1" applyFont="1" applyFill="1" applyBorder="1" applyAlignment="1">
      <alignment horizontal="left" vertical="center"/>
    </xf>
    <xf numFmtId="43" fontId="3" fillId="0" borderId="2" xfId="140" applyNumberFormat="1" applyFont="1" applyBorder="1" applyAlignment="1">
      <alignment vertical="center"/>
    </xf>
    <xf numFmtId="43" fontId="3" fillId="0" borderId="2" xfId="177" applyNumberFormat="1" applyFont="1" applyFill="1" applyBorder="1" applyAlignment="1">
      <alignment vertical="center"/>
    </xf>
    <xf numFmtId="43" fontId="3" fillId="3" borderId="2" xfId="140" applyNumberFormat="1" applyFont="1" applyFill="1" applyBorder="1" applyAlignment="1">
      <alignment vertical="center"/>
    </xf>
    <xf numFmtId="43" fontId="3" fillId="11" borderId="2" xfId="140" applyNumberFormat="1" applyFont="1" applyFill="1" applyBorder="1" applyAlignment="1">
      <alignment vertical="center"/>
    </xf>
    <xf numFmtId="43" fontId="3" fillId="0" borderId="2" xfId="178" applyNumberFormat="1" applyFont="1" applyBorder="1" applyAlignment="1">
      <alignment vertical="center"/>
    </xf>
    <xf numFmtId="43" fontId="3" fillId="3" borderId="2" xfId="178" applyNumberFormat="1" applyFont="1" applyFill="1" applyBorder="1" applyAlignment="1">
      <alignment vertical="center"/>
    </xf>
    <xf numFmtId="0" fontId="7" fillId="3" borderId="2" xfId="140" applyNumberFormat="1" applyFont="1" applyFill="1" applyBorder="1" applyAlignment="1">
      <alignment horizontal="center" vertical="center"/>
    </xf>
    <xf numFmtId="43" fontId="3" fillId="3" borderId="2" xfId="179" applyNumberFormat="1" applyFont="1" applyFill="1" applyBorder="1" applyAlignment="1">
      <alignment vertical="center"/>
    </xf>
    <xf numFmtId="0" fontId="5" fillId="0" borderId="0" xfId="140" applyNumberFormat="1" applyFont="1" applyFill="1" applyBorder="1" applyAlignment="1">
      <alignment horizontal="left" vertical="center"/>
    </xf>
    <xf numFmtId="43" fontId="3" fillId="0" borderId="0" xfId="140" applyNumberFormat="1" applyFont="1" applyFill="1" applyBorder="1" applyAlignment="1">
      <alignment vertical="center"/>
    </xf>
    <xf numFmtId="43" fontId="3" fillId="0" borderId="0" xfId="179" applyNumberFormat="1" applyFont="1" applyFill="1" applyBorder="1" applyAlignment="1">
      <alignment vertical="center"/>
    </xf>
    <xf numFmtId="0" fontId="40" fillId="0" borderId="0" xfId="175" applyNumberFormat="1" applyFont="1" applyFill="1" applyAlignment="1">
      <alignment vertical="center"/>
    </xf>
    <xf numFmtId="0" fontId="7" fillId="0" borderId="0" xfId="140" applyNumberFormat="1" applyFont="1" applyFill="1" applyBorder="1" applyAlignment="1">
      <alignment horizontal="center" vertical="center"/>
    </xf>
    <xf numFmtId="0" fontId="7" fillId="4" borderId="0" xfId="140" applyNumberFormat="1" applyFont="1" applyFill="1" applyAlignment="1">
      <alignment vertical="center"/>
    </xf>
    <xf numFmtId="0" fontId="7" fillId="4" borderId="0" xfId="178" applyNumberFormat="1" applyFont="1" applyFill="1" applyAlignment="1">
      <alignment vertical="center"/>
    </xf>
    <xf numFmtId="0" fontId="7" fillId="0" borderId="0" xfId="140" applyNumberFormat="1" applyFont="1" applyAlignment="1">
      <alignment vertical="center"/>
    </xf>
    <xf numFmtId="0" fontId="19" fillId="0" borderId="0" xfId="135" applyFont="1" applyAlignment="1">
      <alignment vertical="center"/>
      <protection locked="0"/>
    </xf>
    <xf numFmtId="0" fontId="87" fillId="0" borderId="0" xfId="135" applyFont="1" applyAlignment="1">
      <alignment vertical="center"/>
      <protection locked="0"/>
    </xf>
    <xf numFmtId="0" fontId="42" fillId="0" borderId="0" xfId="175" applyNumberFormat="1" applyFont="1" applyAlignment="1">
      <alignment vertical="center"/>
    </xf>
    <xf numFmtId="0" fontId="42" fillId="0" borderId="0" xfId="135" applyFont="1" applyAlignment="1">
      <alignment vertical="center"/>
      <protection locked="0"/>
    </xf>
    <xf numFmtId="0" fontId="2" fillId="0" borderId="0" xfId="135" applyFont="1" applyAlignment="1">
      <alignment vertical="center"/>
      <protection locked="0"/>
    </xf>
    <xf numFmtId="0" fontId="3" fillId="0" borderId="0" xfId="135" applyFont="1" applyAlignment="1">
      <alignment vertical="center"/>
      <protection locked="0"/>
    </xf>
    <xf numFmtId="0" fontId="82" fillId="0" borderId="0" xfId="135" applyFont="1" applyAlignment="1">
      <alignment vertical="center"/>
      <protection locked="0"/>
    </xf>
    <xf numFmtId="0" fontId="2" fillId="0" borderId="0" xfId="135" applyFont="1" applyAlignment="1">
      <alignment horizontal="center" vertical="center"/>
      <protection locked="0"/>
    </xf>
    <xf numFmtId="0" fontId="4" fillId="3" borderId="2" xfId="140" applyFont="1" applyFill="1" applyBorder="1" applyAlignment="1">
      <alignment horizontal="center" vertical="center"/>
    </xf>
    <xf numFmtId="0" fontId="4" fillId="3" borderId="2" xfId="178" applyFont="1" applyFill="1" applyBorder="1" applyAlignment="1">
      <alignment horizontal="center" vertical="center"/>
    </xf>
    <xf numFmtId="0" fontId="3" fillId="0" borderId="2" xfId="178" applyFont="1" applyBorder="1" applyAlignment="1">
      <alignment horizontal="left" vertical="center" wrapText="1"/>
    </xf>
    <xf numFmtId="43" fontId="2" fillId="0" borderId="2" xfId="180" applyFont="1" applyFill="1" applyBorder="1" applyAlignment="1">
      <alignment vertical="center"/>
    </xf>
    <xf numFmtId="210" fontId="2" fillId="0" borderId="2" xfId="178" applyNumberFormat="1" applyFont="1" applyBorder="1" applyAlignment="1">
      <alignment vertical="center"/>
    </xf>
    <xf numFmtId="43" fontId="2" fillId="3" borderId="2" xfId="180" applyFont="1" applyFill="1" applyBorder="1" applyAlignment="1">
      <alignment vertical="center"/>
    </xf>
    <xf numFmtId="0" fontId="2" fillId="0" borderId="2" xfId="178" applyFont="1" applyBorder="1" applyAlignment="1">
      <alignment vertical="center"/>
    </xf>
    <xf numFmtId="0" fontId="3" fillId="0" borderId="2" xfId="140" applyFont="1" applyBorder="1" applyAlignment="1">
      <alignment horizontal="left" vertical="center"/>
    </xf>
    <xf numFmtId="210" fontId="3" fillId="0" borderId="2" xfId="178" applyNumberFormat="1" applyFont="1" applyBorder="1" applyAlignment="1">
      <alignment horizontal="center" vertical="center" wrapText="1"/>
    </xf>
    <xf numFmtId="0" fontId="3" fillId="3" borderId="2" xfId="140" applyFont="1" applyFill="1" applyBorder="1" applyAlignment="1">
      <alignment horizontal="left" vertical="center"/>
    </xf>
    <xf numFmtId="210" fontId="3" fillId="3" borderId="2" xfId="178" applyNumberFormat="1" applyFont="1" applyFill="1" applyBorder="1" applyAlignment="1">
      <alignment horizontal="center" vertical="center" wrapText="1"/>
    </xf>
    <xf numFmtId="210" fontId="2" fillId="3" borderId="2" xfId="178" applyNumberFormat="1" applyFont="1" applyFill="1" applyBorder="1" applyAlignment="1">
      <alignment vertical="center"/>
    </xf>
    <xf numFmtId="0" fontId="2" fillId="3" borderId="2" xfId="178" applyFont="1" applyFill="1" applyBorder="1" applyAlignment="1">
      <alignment vertical="center"/>
    </xf>
    <xf numFmtId="0" fontId="2" fillId="2" borderId="0" xfId="135" applyFont="1" applyFill="1" applyAlignment="1">
      <alignment vertical="center"/>
      <protection locked="0"/>
    </xf>
    <xf numFmtId="43" fontId="3" fillId="3" borderId="2" xfId="180" applyFont="1" applyFill="1" applyBorder="1" applyAlignment="1">
      <alignment horizontal="center" vertical="center"/>
    </xf>
    <xf numFmtId="0" fontId="39" fillId="0" borderId="10" xfId="0" applyFont="1" applyBorder="1" applyAlignment="1">
      <alignment horizontal="center" vertical="center" wrapText="1"/>
      <protection locked="0"/>
    </xf>
    <xf numFmtId="0" fontId="39" fillId="0" borderId="10" xfId="0" applyFont="1" applyBorder="1" applyAlignment="1">
      <alignment horizontal="center" vertical="center"/>
      <protection locked="0"/>
    </xf>
    <xf numFmtId="0" fontId="7" fillId="0" borderId="0" xfId="136" applyFont="1" applyAlignment="1">
      <alignment horizontal="left" vertical="center"/>
      <protection locked="0"/>
    </xf>
    <xf numFmtId="0" fontId="91" fillId="0" borderId="10" xfId="3" applyFont="1" applyBorder="1" applyAlignment="1">
      <alignment vertical="center"/>
      <protection locked="0"/>
    </xf>
    <xf numFmtId="0" fontId="20" fillId="3" borderId="2" xfId="143" applyFont="1" applyFill="1" applyBorder="1" applyAlignment="1">
      <alignment horizontal="center" vertical="center"/>
    </xf>
    <xf numFmtId="0" fontId="3" fillId="5" borderId="0" xfId="0" applyFont="1" applyFill="1" applyBorder="1" applyAlignment="1">
      <alignment horizontal="justify" vertical="center" wrapText="1"/>
      <protection locked="0"/>
    </xf>
    <xf numFmtId="0" fontId="29" fillId="0" borderId="0" xfId="0" applyFont="1" applyAlignment="1">
      <alignment horizontal="center" vertical="center"/>
      <protection locked="0"/>
    </xf>
    <xf numFmtId="0" fontId="92" fillId="0" borderId="10" xfId="0" applyFont="1" applyBorder="1" applyAlignment="1">
      <alignment horizontal="center" vertical="center"/>
      <protection locked="0"/>
    </xf>
    <xf numFmtId="0" fontId="7" fillId="0" borderId="0" xfId="0" applyFont="1" applyAlignment="1">
      <alignment horizontal="center"/>
      <protection locked="0"/>
    </xf>
    <xf numFmtId="0" fontId="39" fillId="0" borderId="0" xfId="0" applyFont="1" applyAlignment="1">
      <alignment horizontal="center"/>
      <protection locked="0"/>
    </xf>
    <xf numFmtId="195" fontId="19" fillId="0" borderId="0" xfId="181" applyFont="1" applyFill="1" applyAlignment="1">
      <alignment horizontal="left" vertical="center"/>
    </xf>
    <xf numFmtId="0" fontId="34" fillId="0" borderId="0" xfId="3" applyFont="1" applyAlignment="1">
      <alignment vertical="center"/>
      <protection locked="0"/>
    </xf>
    <xf numFmtId="0" fontId="82" fillId="0" borderId="2" xfId="140" applyFont="1" applyBorder="1" applyAlignment="1">
      <alignment horizontal="left" vertical="center"/>
    </xf>
    <xf numFmtId="0" fontId="23" fillId="0" borderId="0" xfId="0" applyFont="1" applyAlignment="1">
      <alignment horizontal="left" vertical="center" wrapText="1"/>
      <protection locked="0"/>
    </xf>
    <xf numFmtId="0" fontId="2" fillId="0" borderId="0" xfId="0" applyFont="1" applyAlignment="1">
      <alignment horizontal="left" vertical="center" wrapText="1"/>
      <protection locked="0"/>
    </xf>
    <xf numFmtId="195" fontId="5" fillId="2" borderId="2" xfId="139" applyFont="1" applyFill="1" applyBorder="1" applyAlignment="1" applyProtection="1">
      <alignment horizontal="center" vertical="center" wrapText="1"/>
      <protection locked="0"/>
    </xf>
    <xf numFmtId="195" fontId="4" fillId="2" borderId="2" xfId="139" applyFont="1" applyFill="1" applyBorder="1" applyAlignment="1" applyProtection="1">
      <alignment horizontal="center" vertical="center" wrapText="1"/>
      <protection locked="0"/>
    </xf>
    <xf numFmtId="0" fontId="5" fillId="3" borderId="2" xfId="0" applyFont="1" applyFill="1" applyBorder="1" applyAlignment="1">
      <alignment horizontal="center" vertical="center"/>
      <protection locked="0"/>
    </xf>
    <xf numFmtId="195" fontId="7" fillId="0" borderId="2" xfId="139" applyFont="1" applyFill="1" applyBorder="1" applyAlignment="1" applyProtection="1">
      <alignment horizontal="center" vertical="center"/>
      <protection locked="0"/>
    </xf>
    <xf numFmtId="0" fontId="5" fillId="0" borderId="0" xfId="0" applyFont="1" applyAlignment="1">
      <alignment horizontal="left" vertical="center"/>
      <protection locked="0"/>
    </xf>
    <xf numFmtId="0" fontId="5" fillId="2" borderId="2" xfId="0" applyFont="1" applyFill="1" applyBorder="1" applyAlignment="1">
      <alignment horizontal="center" vertical="center"/>
      <protection locked="0"/>
    </xf>
    <xf numFmtId="49" fontId="5" fillId="2" borderId="2" xfId="0" applyNumberFormat="1" applyFont="1" applyFill="1" applyBorder="1" applyAlignment="1">
      <alignment horizontal="center" vertical="center"/>
      <protection locked="0"/>
    </xf>
    <xf numFmtId="49" fontId="5" fillId="2" borderId="2" xfId="0" applyNumberFormat="1" applyFont="1" applyFill="1" applyBorder="1" applyAlignment="1">
      <alignment horizontal="center" vertical="center" wrapText="1"/>
      <protection locked="0"/>
    </xf>
    <xf numFmtId="195" fontId="5" fillId="12" borderId="2" xfId="139" applyFont="1" applyFill="1" applyBorder="1" applyAlignment="1" applyProtection="1">
      <alignment horizontal="center" vertical="center" wrapText="1"/>
      <protection locked="0"/>
    </xf>
    <xf numFmtId="0" fontId="5" fillId="2" borderId="2" xfId="0" applyFont="1" applyFill="1" applyBorder="1" applyAlignment="1">
      <alignment horizontal="center" vertical="center" wrapText="1"/>
      <protection locked="0"/>
    </xf>
    <xf numFmtId="0" fontId="7" fillId="0" borderId="2" xfId="0" applyFont="1" applyBorder="1" applyAlignment="1">
      <alignment horizontal="left" vertical="center" wrapText="1"/>
      <protection locked="0"/>
    </xf>
    <xf numFmtId="0" fontId="5" fillId="3" borderId="2" xfId="0" applyFont="1" applyFill="1" applyBorder="1" applyAlignment="1">
      <alignment horizontal="center" vertical="center" wrapText="1"/>
      <protection locked="0"/>
    </xf>
    <xf numFmtId="0" fontId="6" fillId="0" borderId="0" xfId="141" applyFont="1" applyAlignment="1">
      <alignment horizontal="center" vertical="center"/>
    </xf>
    <xf numFmtId="0" fontId="29" fillId="0" borderId="0" xfId="141" applyFont="1" applyAlignment="1">
      <alignment horizontal="center" vertical="center"/>
    </xf>
    <xf numFmtId="0" fontId="7" fillId="0" borderId="0" xfId="0" applyFont="1" applyAlignment="1">
      <alignment horizontal="left" vertical="center"/>
      <protection locked="0"/>
    </xf>
    <xf numFmtId="43" fontId="33" fillId="0" borderId="0" xfId="1" applyFont="1" applyBorder="1" applyAlignment="1">
      <alignment horizontal="left" vertical="center"/>
    </xf>
    <xf numFmtId="0" fontId="30" fillId="2" borderId="2" xfId="0" applyFont="1" applyFill="1" applyBorder="1" applyAlignment="1" applyProtection="1">
      <alignment horizontal="center" vertical="center"/>
    </xf>
    <xf numFmtId="0" fontId="30" fillId="2" borderId="2" xfId="0" applyFont="1" applyFill="1" applyBorder="1" applyAlignment="1" applyProtection="1">
      <alignment vertical="center"/>
    </xf>
    <xf numFmtId="0" fontId="16" fillId="2" borderId="2" xfId="0" applyFont="1" applyFill="1" applyBorder="1" applyAlignment="1" applyProtection="1">
      <alignment vertical="center"/>
    </xf>
    <xf numFmtId="43" fontId="6" fillId="0" borderId="0" xfId="145" applyNumberFormat="1" applyFont="1" applyBorder="1" applyAlignment="1">
      <alignment horizontal="center" vertical="center"/>
    </xf>
    <xf numFmtId="43" fontId="29" fillId="0" borderId="0" xfId="145" applyNumberFormat="1" applyFont="1" applyBorder="1" applyAlignment="1">
      <alignment horizontal="center" vertical="center"/>
    </xf>
    <xf numFmtId="195" fontId="4" fillId="2" borderId="2" xfId="137" applyFont="1" applyFill="1" applyBorder="1" applyAlignment="1" applyProtection="1">
      <alignment horizontal="center" vertical="center" wrapText="1"/>
      <protection locked="0"/>
    </xf>
    <xf numFmtId="195" fontId="30" fillId="2" borderId="2" xfId="136" applyNumberFormat="1" applyFont="1" applyFill="1" applyBorder="1" applyAlignment="1">
      <alignment horizontal="center" vertical="center" wrapText="1"/>
      <protection locked="0"/>
    </xf>
    <xf numFmtId="0" fontId="4" fillId="2" borderId="2" xfId="136" applyFont="1" applyFill="1" applyBorder="1" applyAlignment="1">
      <alignment horizontal="center" vertical="center" wrapText="1"/>
      <protection locked="0"/>
    </xf>
    <xf numFmtId="0" fontId="26" fillId="0" borderId="5" xfId="0" applyFont="1" applyBorder="1" applyAlignment="1">
      <alignment horizontal="left" vertical="center" wrapText="1"/>
      <protection locked="0"/>
    </xf>
    <xf numFmtId="0" fontId="26" fillId="0" borderId="5" xfId="0" applyFont="1" applyBorder="1" applyAlignment="1">
      <alignment horizontal="justify" vertical="center" wrapText="1"/>
      <protection locked="0"/>
    </xf>
    <xf numFmtId="0" fontId="26" fillId="0" borderId="6" xfId="0" applyFont="1" applyBorder="1" applyAlignment="1">
      <alignment horizontal="justify" vertical="center" wrapText="1"/>
      <protection locked="0"/>
    </xf>
    <xf numFmtId="0" fontId="5" fillId="0" borderId="0" xfId="142" applyFont="1" applyAlignment="1">
      <alignment horizontal="center" vertical="center"/>
    </xf>
    <xf numFmtId="0" fontId="26" fillId="0" borderId="5" xfId="0" applyFont="1" applyBorder="1" applyAlignment="1">
      <alignment horizontal="center" vertical="center" wrapText="1"/>
      <protection locked="0"/>
    </xf>
    <xf numFmtId="0" fontId="5" fillId="0" borderId="0" xfId="136" applyFont="1" applyAlignment="1">
      <alignment horizontal="center" vertical="center"/>
      <protection locked="0"/>
    </xf>
    <xf numFmtId="0" fontId="6" fillId="0" borderId="0" xfId="136" applyFont="1" applyAlignment="1">
      <alignment horizontal="center" vertical="center"/>
      <protection locked="0"/>
    </xf>
    <xf numFmtId="0" fontId="27" fillId="0" borderId="5" xfId="0" applyFont="1" applyBorder="1" applyAlignment="1">
      <alignment horizontal="center" vertical="center" wrapText="1"/>
      <protection locked="0"/>
    </xf>
    <xf numFmtId="0" fontId="10" fillId="0" borderId="0" xfId="141" applyFont="1" applyAlignment="1">
      <alignment horizontal="center" vertical="center"/>
    </xf>
    <xf numFmtId="0" fontId="20" fillId="3" borderId="2" xfId="143" applyFont="1" applyFill="1" applyBorder="1" applyAlignment="1">
      <alignment horizontal="center" vertical="center"/>
    </xf>
    <xf numFmtId="0" fontId="9" fillId="0" borderId="0" xfId="145" applyNumberFormat="1" applyFont="1" applyBorder="1" applyAlignment="1">
      <alignment horizontal="center" vertical="center"/>
    </xf>
    <xf numFmtId="0" fontId="10" fillId="0" borderId="0" xfId="145" applyNumberFormat="1" applyFont="1" applyBorder="1" applyAlignment="1">
      <alignment horizontal="center" vertical="center"/>
    </xf>
    <xf numFmtId="0" fontId="5" fillId="3" borderId="2" xfId="144" applyNumberFormat="1" applyFont="1" applyFill="1" applyBorder="1" applyAlignment="1">
      <alignment horizontal="center" vertical="center" wrapText="1"/>
    </xf>
    <xf numFmtId="0" fontId="5" fillId="3" borderId="2" xfId="140" applyNumberFormat="1" applyFont="1" applyFill="1" applyBorder="1" applyAlignment="1">
      <alignment horizontal="center" vertical="center" wrapText="1"/>
    </xf>
    <xf numFmtId="0" fontId="5" fillId="3" borderId="2" xfId="140" applyNumberFormat="1" applyFont="1" applyFill="1" applyBorder="1" applyAlignment="1">
      <alignment horizontal="center" vertical="center"/>
    </xf>
    <xf numFmtId="0" fontId="4" fillId="3" borderId="9" xfId="178" applyFont="1" applyFill="1" applyBorder="1" applyAlignment="1">
      <alignment horizontal="center" vertical="center" wrapText="1"/>
    </xf>
    <xf numFmtId="0" fontId="4" fillId="3" borderId="4" xfId="178" applyFont="1" applyFill="1" applyBorder="1" applyAlignment="1">
      <alignment horizontal="center" vertical="center" wrapText="1"/>
    </xf>
    <xf numFmtId="0" fontId="4" fillId="3" borderId="9" xfId="140" applyFont="1" applyFill="1" applyBorder="1" applyAlignment="1">
      <alignment horizontal="center" vertical="center"/>
    </xf>
    <xf numFmtId="0" fontId="4" fillId="3" borderId="4" xfId="140" applyFont="1" applyFill="1" applyBorder="1" applyAlignment="1">
      <alignment horizontal="center" vertical="center"/>
    </xf>
    <xf numFmtId="0" fontId="5" fillId="3" borderId="9" xfId="178" applyFont="1" applyFill="1" applyBorder="1" applyAlignment="1">
      <alignment horizontal="center" vertical="center" wrapText="1"/>
    </xf>
    <xf numFmtId="0" fontId="5" fillId="3" borderId="1" xfId="140" applyFont="1" applyFill="1" applyBorder="1" applyAlignment="1">
      <alignment horizontal="center" vertical="center"/>
    </xf>
    <xf numFmtId="0" fontId="4" fillId="3" borderId="3" xfId="140" applyFont="1" applyFill="1" applyBorder="1" applyAlignment="1">
      <alignment horizontal="center" vertical="center"/>
    </xf>
    <xf numFmtId="0" fontId="4" fillId="3" borderId="8" xfId="140" applyFont="1" applyFill="1" applyBorder="1" applyAlignment="1">
      <alignment horizontal="center" vertical="center"/>
    </xf>
  </cellXfs>
  <cellStyles count="182">
    <cellStyle name="?" xfId="4"/>
    <cellStyle name="?餡_x000c_k" xfId="5"/>
    <cellStyle name="?餡_x000c_k?_x000d_^" xfId="6"/>
    <cellStyle name="?餡_x000c_k?_x000d_^黇_x0001_??_x0007__x0001__x0001_" xfId="7"/>
    <cellStyle name="@_text" xfId="8"/>
    <cellStyle name="_2005审计报表及附注-中国建材股份模板（房屋）" xfId="9"/>
    <cellStyle name="_2006年年报审计PBC表-XX" xfId="10"/>
    <cellStyle name="_2006年年报审计PBC表-XXX" xfId="11"/>
    <cellStyle name="_2006年年报审计PBC表-福州分公司" xfId="12"/>
    <cellStyle name="_2006年年报审计PBC表-云南分公司" xfId="13"/>
    <cellStyle name="_2006年年报审计填报资料" xfId="14"/>
    <cellStyle name="_ET_STYLE_NoName_00_" xfId="15"/>
    <cellStyle name="_PBC审核提示" xfId="16"/>
    <cellStyle name="_宝丽华房地产20051231" xfId="17"/>
    <cellStyle name="_保证金-企业填写部分" xfId="18"/>
    <cellStyle name="_北新房屋2004年审-刘" xfId="19"/>
    <cellStyle name="_北新股份2005年审工作底稿" xfId="20"/>
    <cellStyle name="_北新建材关连交易基础表051230（10－12月版）更新稿" xfId="21"/>
    <cellStyle name="_北新建材-会计报表附注模版" xfId="22"/>
    <cellStyle name="_北新龙之星2004年审工作底稿" xfId="23"/>
    <cellStyle name="_北新物流2005底稿-刘" xfId="24"/>
    <cellStyle name="_北新置换memo" xfId="25"/>
    <cellStyle name="_存货结转测试" xfId="26"/>
    <cellStyle name="_存货数量与明细05.12" xfId="27"/>
    <cellStyle name="_底稿－京津城际项目部" xfId="28"/>
    <cellStyle name="_动力厂2004年审工作底稿-刘" xfId="29"/>
    <cellStyle name="_分工" xfId="30"/>
    <cellStyle name="_工程施工项目现场审计提示" xfId="31"/>
    <cellStyle name="_关联交易" xfId="32"/>
    <cellStyle name="_关联交易、往来统计表" xfId="33"/>
    <cellStyle name="_汇总－刘青分工－子公司审计模板" xfId="34"/>
    <cellStyle name="_科目核对表" xfId="35"/>
    <cellStyle name="_刘青分工填列信息统计" xfId="36"/>
    <cellStyle name="_刘青分工－子公司审计模板－铁达本部" xfId="37"/>
    <cellStyle name="_母PL" xfId="38"/>
    <cellStyle name="_人员分工备忘录" xfId="39"/>
    <cellStyle name="_审计所需资料清单－子公司" xfId="40"/>
    <cellStyle name="_审计提示模版" xfId="41"/>
    <cellStyle name="_审计提示模版-母公司部分" xfId="42"/>
    <cellStyle name="_铁鸿源－刘青分工－子公司审计模板" xfId="43"/>
    <cellStyle name="_银行存款明细－刘青-最终" xfId="44"/>
    <cellStyle name="_银行询证函统计－大表" xfId="45"/>
    <cellStyle name="_长期借款－江阴" xfId="46"/>
    <cellStyle name="{Comma [0]}" xfId="47"/>
    <cellStyle name="{Comma}" xfId="48"/>
    <cellStyle name="{Date}" xfId="49"/>
    <cellStyle name="{Month}" xfId="50"/>
    <cellStyle name="{Percent}" xfId="51"/>
    <cellStyle name="{Thousand [0]}" xfId="52"/>
    <cellStyle name="{Thousand}" xfId="53"/>
    <cellStyle name="{Z'0000(1 dec)}" xfId="54"/>
    <cellStyle name="{Z'0000(4 dec)}" xfId="55"/>
    <cellStyle name="0%" xfId="56"/>
    <cellStyle name="0,0_x000d__x000a_NA_x000d__x000a_" xfId="57"/>
    <cellStyle name="0.0%" xfId="58"/>
    <cellStyle name="0.00%" xfId="59"/>
    <cellStyle name="00" xfId="60"/>
    <cellStyle name="Black" xfId="61"/>
    <cellStyle name="Border" xfId="62"/>
    <cellStyle name="Calc Currency (0)" xfId="63"/>
    <cellStyle name="Col Heads" xfId="64"/>
    <cellStyle name="Column_Title" xfId="65"/>
    <cellStyle name="Comma  - Style1" xfId="66"/>
    <cellStyle name="Comma  - Style2" xfId="67"/>
    <cellStyle name="Comma  - Style3" xfId="68"/>
    <cellStyle name="Comma  - Style4" xfId="69"/>
    <cellStyle name="Comma  - Style5" xfId="70"/>
    <cellStyle name="Comma  - Style6" xfId="71"/>
    <cellStyle name="Comma  - Style7" xfId="72"/>
    <cellStyle name="Comma  - Style8" xfId="73"/>
    <cellStyle name="Comma [0]_ rislugp" xfId="74"/>
    <cellStyle name="Comma,0" xfId="75"/>
    <cellStyle name="Comma,1" xfId="76"/>
    <cellStyle name="Comma,2" xfId="77"/>
    <cellStyle name="Comma_ rislugp" xfId="78"/>
    <cellStyle name="Currency [0]_ rislugp" xfId="79"/>
    <cellStyle name="Currency,0" xfId="80"/>
    <cellStyle name="Currency,2" xfId="81"/>
    <cellStyle name="Currency_ rislugp" xfId="82"/>
    <cellStyle name="Dezimal [0]_laroux" xfId="83"/>
    <cellStyle name="Dezimal_laroux" xfId="84"/>
    <cellStyle name="entry" xfId="85"/>
    <cellStyle name="entry box" xfId="86"/>
    <cellStyle name="Euro" xfId="87"/>
    <cellStyle name="Followed Hyperlink_AheadBehind.xls Chart 23" xfId="88"/>
    <cellStyle name="Grey" xfId="89"/>
    <cellStyle name="Header1" xfId="90"/>
    <cellStyle name="Header2" xfId="91"/>
    <cellStyle name="Heading" xfId="92"/>
    <cellStyle name="Hyperlink_AheadBehind.xls Chart 23" xfId="93"/>
    <cellStyle name="Input [yellow]" xfId="94"/>
    <cellStyle name="left" xfId="95"/>
    <cellStyle name="Millares [0]_laroux" xfId="96"/>
    <cellStyle name="Millares_laroux" xfId="97"/>
    <cellStyle name="Milliers [0]_laroux" xfId="98"/>
    <cellStyle name="Milliers_laroux" xfId="99"/>
    <cellStyle name="Moneda [0]_laroux" xfId="100"/>
    <cellStyle name="Moneda_laroux" xfId="101"/>
    <cellStyle name="Mon閠aire [0]_laroux" xfId="102"/>
    <cellStyle name="Mon閠aire_laroux" xfId="103"/>
    <cellStyle name="no dec" xfId="104"/>
    <cellStyle name="Non défini" xfId="105"/>
    <cellStyle name="Normal - Style1" xfId="106"/>
    <cellStyle name="Normal 2" xfId="107"/>
    <cellStyle name="Normal_ rislugp" xfId="108"/>
    <cellStyle name="Normalny_Arkusz1" xfId="109"/>
    <cellStyle name="Percent (0)" xfId="110"/>
    <cellStyle name="Percent [2]" xfId="111"/>
    <cellStyle name="Prefilled" xfId="112"/>
    <cellStyle name="price" xfId="113"/>
    <cellStyle name="Red" xfId="114"/>
    <cellStyle name="revised" xfId="115"/>
    <cellStyle name="row_def_array" xfId="116"/>
    <cellStyle name="S4" xfId="117"/>
    <cellStyle name="S5" xfId="118"/>
    <cellStyle name="section" xfId="119"/>
    <cellStyle name="style" xfId="120"/>
    <cellStyle name="style1" xfId="121"/>
    <cellStyle name="style2" xfId="122"/>
    <cellStyle name="Tickmark" xfId="123"/>
    <cellStyle name="title" xfId="124"/>
    <cellStyle name="wrap" xfId="125"/>
    <cellStyle name="パーセント_laroux" xfId="126"/>
    <cellStyle name="_laroux" xfId="127"/>
    <cellStyle name="だ_laroux" xfId="128"/>
    <cellStyle name="百分比" xfId="2" builtinId="5"/>
    <cellStyle name="百分比 2" xfId="177"/>
    <cellStyle name="百分比 2 2" xfId="129"/>
    <cellStyle name="捠壿 [0.00]_PRODUCT DETAIL Q1" xfId="130"/>
    <cellStyle name="捠壿_PRODUCT DETAIL Q1" xfId="131"/>
    <cellStyle name="標準_１１月価格表" xfId="132"/>
    <cellStyle name="常规" xfId="0" builtinId="0"/>
    <cellStyle name="常规 11 5" xfId="181"/>
    <cellStyle name="常规 13" xfId="133"/>
    <cellStyle name="常规 2" xfId="134"/>
    <cellStyle name="常规 2 2" xfId="135"/>
    <cellStyle name="常规 2 2 4" xfId="174"/>
    <cellStyle name="常规 2 8" xfId="173"/>
    <cellStyle name="常规 3" xfId="136"/>
    <cellStyle name="常规 4" xfId="137"/>
    <cellStyle name="常规 4 2" xfId="138"/>
    <cellStyle name="常规 5" xfId="175"/>
    <cellStyle name="常规 7" xfId="139"/>
    <cellStyle name="常规_2006年年报安排计划-新" xfId="140"/>
    <cellStyle name="常规_Book1" xfId="141"/>
    <cellStyle name="常规_c-资产类" xfId="142"/>
    <cellStyle name="常规_Sheet1" xfId="143"/>
    <cellStyle name="常规_递延所得税计算明细表（桑）" xfId="144"/>
    <cellStyle name="常规_立信2007年10月版(资产类)-－丁文娟" xfId="178"/>
    <cellStyle name="常规_新审定表" xfId="145"/>
    <cellStyle name="常规_制造费用" xfId="146"/>
    <cellStyle name="超级链接_B4-1审计项目工时预算与控制表(集团)" xfId="147"/>
    <cellStyle name="超链接" xfId="3" builtinId="8"/>
    <cellStyle name="超链接 2" xfId="148"/>
    <cellStyle name="超链接 3" xfId="176"/>
    <cellStyle name="分级显示行_1_4附件二凯旋评估表" xfId="149"/>
    <cellStyle name="桁区切り [0.00]_１１月価格表" xfId="150"/>
    <cellStyle name="桁区切り_１１月価格表" xfId="151"/>
    <cellStyle name="霓付 [0]_1202" xfId="152"/>
    <cellStyle name="霓付_1202" xfId="153"/>
    <cellStyle name="烹拳 [0]_1202" xfId="154"/>
    <cellStyle name="烹拳_1202" xfId="155"/>
    <cellStyle name="普通_ 白土" xfId="156"/>
    <cellStyle name="千分位[0]_ 白土" xfId="157"/>
    <cellStyle name="千分位_ 白土" xfId="158"/>
    <cellStyle name="千位[0]_ 预 付 帐 款" xfId="159"/>
    <cellStyle name="千位_ 预 付 帐 款" xfId="160"/>
    <cellStyle name="千位分隔" xfId="1" builtinId="3"/>
    <cellStyle name="千位分隔 15" xfId="179"/>
    <cellStyle name="千位分隔 2" xfId="180"/>
    <cellStyle name="钎霖_(沥焊何巩)岿喊牢盔拌裙" xfId="161"/>
    <cellStyle name="通貨 [0.00]_１１月価格表" xfId="162"/>
    <cellStyle name="通貨_１１月価格表" xfId="163"/>
    <cellStyle name="样式 1" xfId="164"/>
    <cellStyle name="昗弨_BOOKSHIP" xfId="165"/>
    <cellStyle name="寘嬫愗傝 [0.00]_PRODUCT DETAIL Q1" xfId="166"/>
    <cellStyle name="寘嬫愗傝_PRODUCT DETAIL Q1" xfId="167"/>
    <cellStyle name="콤마 [0]_BOILER-CO1" xfId="168"/>
    <cellStyle name="콤마_BOILER-CO1" xfId="169"/>
    <cellStyle name="통화 [0]_BOILER-CO1" xfId="170"/>
    <cellStyle name="통화_BOILER-CO1" xfId="171"/>
    <cellStyle name="표준_0N-HANDLING " xfId="172"/>
  </cellStyles>
  <dxfs count="0"/>
  <tableStyles count="0" defaultTableStyle="TableStyleMedium9" defaultPivotStyle="PivotStyleLight16"/>
  <colors>
    <mruColors>
      <color rgb="FF0000FF"/>
      <color rgb="FFE4DFEC"/>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or/&#26700;&#38754;/to&#65293;&#20869;&#37096;&#25511;&#21046;&#32452;/&#20854;&#20182;&#25152;/&#22825;&#24314;/&#22269;&#36152;_2005_&#38543;&#20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PTC"/>
      <sheetName val="Stock turnove_x0002_"/>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折旧测试2007"/>
      <sheetName val="剥离前"/>
      <sheetName val="Stock turnove_x005f_x0002_"/>
      <sheetName val="中山低值"/>
      <sheetName val="YS02-02"/>
      <sheetName val="主营业务税金及附加Dy"/>
      <sheetName val="应收账款Dy"/>
      <sheetName val="original"/>
      <sheetName val="C_301"/>
      <sheetName val="C_311"/>
      <sheetName val="C_318"/>
      <sheetName val="Sheet1"/>
      <sheetName val="目錄"/>
      <sheetName val="税金汇总"/>
      <sheetName val="1-6yue"/>
      <sheetName val="Worksheet in 8240 COS breakdown"/>
      <sheetName val="余额表"/>
      <sheetName val="09差异分摊计算表"/>
      <sheetName val="08差异分摊计算表"/>
      <sheetName val="材料差异"/>
      <sheetName val="收入明细－按客户"/>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XL4Poppy"/>
      <sheetName val="凤县折旧测算"/>
      <sheetName val="BALANCE SHEET"/>
      <sheetName val="FA-2"/>
      <sheetName val="7-11销售"/>
      <sheetName val="制造费用"/>
      <sheetName val="关联交易-存款"/>
      <sheetName val="报表科目"/>
      <sheetName val="应收账款贷方余额表"/>
      <sheetName val="应收账款借方余额表"/>
      <sheetName val="应收账款余额表"/>
      <sheetName val="试算"/>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表头"/>
      <sheetName val="PTC"/>
      <sheetName val="资产负债表"/>
      <sheetName val="YS02-02"/>
      <sheetName val="P12 TB SZ"/>
      <sheetName val="B"/>
      <sheetName val="coding"/>
      <sheetName val="基础数据"/>
      <sheetName val="三兴2"/>
      <sheetName val="Toolbox"/>
      <sheetName val="Appendix"/>
      <sheetName val="PRC BS"/>
      <sheetName val="完"/>
      <sheetName val="인사현황(부서)"/>
      <sheetName val="Cover"/>
      <sheetName val="营业费用测试"/>
      <sheetName val="KKKKKKKK"/>
      <sheetName val="管理费用(集团董事会)"/>
      <sheetName val="C_301"/>
      <sheetName val="C_311"/>
      <sheetName val="C_318"/>
      <sheetName val="Sheet1"/>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2004"/>
      <sheetName val="本期报表"/>
      <sheetName val="E1"/>
      <sheetName val="完"/>
      <sheetName val="上期报表"/>
      <sheetName val="原TB表"/>
      <sheetName val="AGRO PRC DATABASE"/>
      <sheetName val="余额表"/>
      <sheetName val="企业表一"/>
      <sheetName val="M-5C"/>
      <sheetName val="M-5A"/>
      <sheetName val="表头"/>
      <sheetName val="W"/>
      <sheetName val="Detailed Testing"/>
      <sheetName val="银行借款询证"/>
      <sheetName val="Investment Property"/>
      <sheetName val="报表层次重要性水平"/>
      <sheetName val="多级销售汇总表（备用）"/>
      <sheetName val="所有者权益(股东权益)变动表(未审)"/>
      <sheetName val="科目余额表"/>
      <sheetName val="2006"/>
      <sheetName val="折旧测试2007"/>
      <sheetName val="Breakdown"/>
      <sheetName val="外地"/>
      <sheetName val="坯布"/>
      <sheetName val="材料"/>
      <sheetName val="外销"/>
      <sheetName val="材料采购-入库"/>
      <sheetName val="原材料－其他"/>
      <sheetName val="材料成本差异－运费等"/>
      <sheetName val="材料采购－原材料（购价）"/>
      <sheetName val="一般管理费用基础表01"/>
      <sheetName val="基本情况表"/>
      <sheetName val="设备部房屋"/>
      <sheetName val="短期投资股票投资.dbf"/>
      <sheetName val="短期投资国债投资.dbf"/>
      <sheetName val="股票投资收益.dbf"/>
      <sheetName val="其他货币海通.dbf"/>
      <sheetName val="其他货币零领路.dbf"/>
      <sheetName val="投资收益债券.dbf"/>
      <sheetName val="sell"/>
      <sheetName val="fin"/>
      <sheetName val="剥离前"/>
      <sheetName val="SW-TEO"/>
      <sheetName val="邻酮定乙酚发出测试"/>
      <sheetName val="二级明细"/>
      <sheetName val="其他应收-导出"/>
      <sheetName val="营业外支出"/>
      <sheetName val="成本日报(4-10)"/>
      <sheetName val="现金流量表所需提供的资料"/>
      <sheetName val="利润及利润分配表试算表"/>
      <sheetName val="资产试算表"/>
      <sheetName val="负债试算表"/>
      <sheetName val="填写参数"/>
      <sheetName val="3-2-8"/>
      <sheetName val="3-2-7"/>
      <sheetName val="3-2-9"/>
      <sheetName val="1-7-1"/>
      <sheetName val="重分类调整"/>
      <sheetName val="cover"/>
      <sheetName val="12月份品种酒生产月报表"/>
      <sheetName val="Toolbox"/>
      <sheetName val="DATA"/>
      <sheetName val="委托加工材料"/>
      <sheetName val="eqpmad2"/>
      <sheetName val="1月"/>
      <sheetName val="出租开发产品明细"/>
      <sheetName val="暂估"/>
      <sheetName val="original"/>
      <sheetName val="2013调整分录"/>
      <sheetName val="2012调整分录"/>
      <sheetName val="项目索引"/>
      <sheetName val="2009调整分录"/>
      <sheetName val="4-货币资金-现金"/>
      <sheetName val="其他业务收支"/>
      <sheetName val="E1020"/>
      <sheetName val="UFPrn20060308121009"/>
      <sheetName val="A3"/>
      <sheetName val="2011调整分录"/>
      <sheetName val="03"/>
      <sheetName val="资产负债表"/>
      <sheetName val="G.1R-Shou COP Gf"/>
      <sheetName val="流资汇总"/>
      <sheetName val="B"/>
      <sheetName val="Sheet2"/>
      <sheetName val="披露表(上市)"/>
      <sheetName val="产品销售利润明细表"/>
      <sheetName val="试算"/>
      <sheetName val="广州库"/>
      <sheetName val="Chart of Account"/>
      <sheetName val="35.1租赁明细"/>
      <sheetName val="Title"/>
      <sheetName val="其他货币资金.dbf"/>
      <sheetName val="银行存款.dbf"/>
      <sheetName val="Sheet1"/>
      <sheetName val="A430"/>
      <sheetName val="累计销售"/>
      <sheetName val="科目名称表"/>
      <sheetName val="利润及分配表"/>
      <sheetName val="资产方"/>
      <sheetName val="减值准备表"/>
      <sheetName val="负债方"/>
      <sheetName val="ZH1-4其他应收款个别认定"/>
      <sheetName val="ZH1-3应收账款个别认定"/>
      <sheetName val="库存商品余额表.dbf"/>
      <sheetName val="P12 TB S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8"/>
  <sheetViews>
    <sheetView tabSelected="1" zoomScaleNormal="100" zoomScaleSheetLayoutView="100" workbookViewId="0"/>
  </sheetViews>
  <sheetFormatPr defaultColWidth="9" defaultRowHeight="20.100000000000001" customHeight="1"/>
  <cols>
    <col min="1" max="1" width="72" style="167" customWidth="1"/>
    <col min="2" max="3" width="3.796875" style="168" customWidth="1"/>
    <col min="4" max="4" width="5.09765625" style="167" customWidth="1"/>
    <col min="5" max="5" width="33.5" style="167" customWidth="1"/>
    <col min="6" max="6" width="8" style="248" customWidth="1"/>
    <col min="7" max="16384" width="9" style="169"/>
  </cols>
  <sheetData>
    <row r="1" spans="1:8" s="3" customFormat="1" ht="20.100000000000001" customHeight="1">
      <c r="A1" s="4" t="s">
        <v>0</v>
      </c>
      <c r="B1" s="170"/>
      <c r="C1" s="170"/>
      <c r="F1" s="173"/>
    </row>
    <row r="2" spans="1:8" ht="20.100000000000001" customHeight="1">
      <c r="A2" s="171" t="s">
        <v>1</v>
      </c>
      <c r="B2" s="172"/>
      <c r="C2" s="172"/>
      <c r="D2" s="173" t="s">
        <v>2</v>
      </c>
      <c r="E2" s="173" t="s">
        <v>3</v>
      </c>
      <c r="F2" s="173" t="s">
        <v>4</v>
      </c>
      <c r="G2" s="174"/>
      <c r="H2" s="174"/>
    </row>
    <row r="3" spans="1:8" ht="20.100000000000001" customHeight="1">
      <c r="A3" s="244" t="s">
        <v>298</v>
      </c>
      <c r="B3" s="172"/>
      <c r="C3" s="172"/>
      <c r="D3" s="239">
        <v>1</v>
      </c>
      <c r="E3" s="242" t="s">
        <v>5</v>
      </c>
      <c r="F3" s="246" t="s">
        <v>286</v>
      </c>
      <c r="G3" s="174"/>
      <c r="H3" s="175"/>
    </row>
    <row r="4" spans="1:8" ht="20.100000000000001" customHeight="1">
      <c r="A4" s="171" t="s">
        <v>6</v>
      </c>
      <c r="B4" s="172"/>
      <c r="C4" s="172"/>
      <c r="D4" s="239">
        <v>2</v>
      </c>
      <c r="E4" s="242" t="s">
        <v>7</v>
      </c>
      <c r="F4" s="246" t="s">
        <v>287</v>
      </c>
      <c r="G4" s="176"/>
      <c r="H4" s="177"/>
    </row>
    <row r="5" spans="1:8" ht="20.100000000000001" customHeight="1">
      <c r="A5" s="171" t="s">
        <v>8</v>
      </c>
      <c r="B5" s="172"/>
      <c r="C5" s="172"/>
      <c r="D5" s="239">
        <v>3</v>
      </c>
      <c r="E5" s="242" t="s">
        <v>9</v>
      </c>
      <c r="F5" s="246"/>
      <c r="G5" s="178" t="s">
        <v>10</v>
      </c>
    </row>
    <row r="6" spans="1:8" ht="20.100000000000001" customHeight="1">
      <c r="A6" s="171" t="s">
        <v>11</v>
      </c>
      <c r="B6" s="172"/>
      <c r="C6" s="172"/>
      <c r="D6" s="239">
        <v>4</v>
      </c>
      <c r="E6" s="242" t="s">
        <v>12</v>
      </c>
      <c r="F6" s="246"/>
      <c r="G6" s="178" t="s">
        <v>10</v>
      </c>
    </row>
    <row r="7" spans="1:8" ht="20.100000000000001" customHeight="1">
      <c r="A7" s="171" t="s">
        <v>13</v>
      </c>
      <c r="B7" s="172"/>
      <c r="C7" s="172"/>
      <c r="D7" s="239">
        <v>5</v>
      </c>
      <c r="E7" s="242" t="s">
        <v>14</v>
      </c>
      <c r="F7" s="246" t="s">
        <v>213</v>
      </c>
      <c r="G7" s="178"/>
    </row>
    <row r="8" spans="1:8" ht="20.100000000000001" customHeight="1">
      <c r="A8" s="179"/>
      <c r="B8" s="180"/>
      <c r="C8" s="180"/>
      <c r="D8" s="240">
        <v>6</v>
      </c>
      <c r="E8" s="242" t="s">
        <v>15</v>
      </c>
      <c r="F8" s="246" t="s">
        <v>288</v>
      </c>
    </row>
    <row r="9" spans="1:8" ht="20.100000000000001" customHeight="1">
      <c r="A9" s="245" t="s">
        <v>299</v>
      </c>
      <c r="B9" s="180"/>
      <c r="C9" s="180"/>
      <c r="D9" s="239">
        <v>7</v>
      </c>
      <c r="E9" s="242" t="s">
        <v>285</v>
      </c>
      <c r="F9" s="246" t="s">
        <v>289</v>
      </c>
    </row>
    <row r="10" spans="1:8" ht="20.100000000000001" customHeight="1">
      <c r="A10" s="252" t="s">
        <v>300</v>
      </c>
      <c r="D10" s="239">
        <v>8</v>
      </c>
      <c r="E10" s="242" t="s">
        <v>262</v>
      </c>
      <c r="F10" s="246" t="s">
        <v>290</v>
      </c>
    </row>
    <row r="11" spans="1:8" ht="20.100000000000001" customHeight="1">
      <c r="A11" s="252"/>
      <c r="B11" s="181"/>
      <c r="C11" s="181"/>
      <c r="F11" s="247"/>
    </row>
    <row r="12" spans="1:8" ht="20.100000000000001" customHeight="1">
      <c r="A12" s="252"/>
      <c r="B12" s="182"/>
      <c r="C12" s="182"/>
      <c r="F12" s="247"/>
    </row>
    <row r="13" spans="1:8" ht="25.8" customHeight="1">
      <c r="A13" s="252"/>
      <c r="B13" s="183"/>
      <c r="C13" s="183"/>
    </row>
    <row r="14" spans="1:8" ht="20.100000000000001" customHeight="1">
      <c r="A14" s="252" t="s">
        <v>301</v>
      </c>
      <c r="B14" s="183"/>
      <c r="C14" s="183"/>
    </row>
    <row r="15" spans="1:8" ht="20.100000000000001" customHeight="1">
      <c r="A15" s="252"/>
    </row>
    <row r="16" spans="1:8" ht="20.100000000000001" customHeight="1">
      <c r="A16" s="252"/>
    </row>
    <row r="17" spans="1:3" ht="20.100000000000001" customHeight="1">
      <c r="A17" s="253" t="s">
        <v>302</v>
      </c>
    </row>
    <row r="18" spans="1:3" ht="20.25" customHeight="1">
      <c r="A18" s="253"/>
      <c r="B18" s="180"/>
      <c r="C18" s="180"/>
    </row>
    <row r="19" spans="1:3" ht="48" customHeight="1">
      <c r="A19" s="253"/>
      <c r="B19" s="184"/>
      <c r="C19" s="184"/>
    </row>
    <row r="20" spans="1:3" ht="20.100000000000001" customHeight="1">
      <c r="A20" s="185"/>
      <c r="B20" s="186"/>
      <c r="C20" s="186"/>
    </row>
    <row r="21" spans="1:3" ht="20.100000000000001" customHeight="1">
      <c r="A21" s="169"/>
    </row>
    <row r="22" spans="1:3" ht="20.100000000000001" customHeight="1">
      <c r="A22" s="169"/>
    </row>
    <row r="23" spans="1:3" ht="20.100000000000001" customHeight="1">
      <c r="A23" s="169"/>
    </row>
    <row r="24" spans="1:3" ht="20.100000000000001" customHeight="1">
      <c r="A24" s="169"/>
    </row>
    <row r="25" spans="1:3" ht="20.100000000000001" customHeight="1">
      <c r="A25" s="169"/>
    </row>
    <row r="26" spans="1:3" ht="20.100000000000001" customHeight="1">
      <c r="A26" s="169"/>
    </row>
    <row r="27" spans="1:3" ht="20.100000000000001" customHeight="1">
      <c r="A27" s="169"/>
    </row>
    <row r="28" spans="1:3" ht="20.100000000000001" customHeight="1">
      <c r="A28" s="169"/>
    </row>
  </sheetData>
  <mergeCells count="3">
    <mergeCell ref="A10:A13"/>
    <mergeCell ref="A14:A16"/>
    <mergeCell ref="A17:A19"/>
  </mergeCells>
  <phoneticPr fontId="31" type="noConversion"/>
  <hyperlinks>
    <hyperlink ref="E7" location="'递延所得税资产明细表N1-2'!A1" display="递延所得税资产明细表"/>
    <hyperlink ref="E5" location="'附注披露信息（上市公司）'!A1" display="附注披露信息（上市公司）"/>
    <hyperlink ref="E6" location="'附注披露信息（国企）'!A1" display="附注披露信息（国企）"/>
    <hyperlink ref="E4" location="'递延所得税资产审定表N1-1'!A1" display="递延所得税资产审定表"/>
    <hyperlink ref="E3" location="递延所得税资产审计程序表的N1A!A1" display="递延所得税资产审计程序表"/>
    <hyperlink ref="E8" location="'调整分录汇总N1-3'!A1" display="调整分录汇总"/>
    <hyperlink ref="E9" location="'递延所得税资产（负债）测算表N1-4'!A1" display="递延所得税资产（负债）测算表"/>
    <hyperlink ref="E10" location="'可用以后年度税前利润弥补的亏损检查表的N1-5'!A1" display="可用以后年度税前利润弥补的亏损检查表"/>
  </hyperlinks>
  <pageMargins left="0.70833333333333304" right="0.70833333333333304" top="0.74791666666666701" bottom="0.74791666666666701" header="0.31458333333333299" footer="0.31458333333333299"/>
  <pageSetup paperSize="9" scale="70" orientation="portrait" blackAndWhite="1" horizontalDpi="300" verticalDpi="300" r:id="rId1"/>
  <headerFooter>
    <oddFooter>&amp;C&amp;P/&amp;N</oddFooter>
  </headerFooter>
  <colBreaks count="1" manualBreakCount="1">
    <brk id="6" max="1048575" man="1"/>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25"/>
  <sheetViews>
    <sheetView view="pageBreakPreview" zoomScaleNormal="100" workbookViewId="0">
      <selection sqref="A1:J1"/>
    </sheetView>
  </sheetViews>
  <sheetFormatPr defaultColWidth="9" defaultRowHeight="20.100000000000001" customHeight="1"/>
  <cols>
    <col min="1" max="1" width="4.59765625" style="3" customWidth="1"/>
    <col min="2" max="2" width="8" style="3" customWidth="1"/>
    <col min="3" max="3" width="55.3984375" style="3" customWidth="1"/>
    <col min="4" max="4" width="10.19921875" style="3" customWidth="1"/>
    <col min="5" max="5" width="5.5" style="3" customWidth="1"/>
    <col min="6" max="6" width="5.69921875" style="3" customWidth="1"/>
    <col min="7" max="7" width="6" style="3" customWidth="1"/>
    <col min="8" max="8" width="6.8984375" style="3" customWidth="1"/>
    <col min="9" max="9" width="5.09765625" style="3" customWidth="1"/>
    <col min="10" max="10" width="7.09765625" style="3" customWidth="1"/>
    <col min="11" max="16384" width="9" style="3"/>
  </cols>
  <sheetData>
    <row r="1" spans="1:11" ht="20.100000000000001" customHeight="1">
      <c r="A1" s="266" t="s">
        <v>16</v>
      </c>
      <c r="B1" s="266"/>
      <c r="C1" s="266"/>
      <c r="D1" s="266"/>
      <c r="E1" s="266"/>
      <c r="F1" s="266"/>
      <c r="G1" s="266"/>
      <c r="H1" s="266"/>
      <c r="I1" s="266"/>
      <c r="J1" s="266"/>
    </row>
    <row r="2" spans="1:11" ht="20.100000000000001" customHeight="1">
      <c r="A2" s="267" t="s">
        <v>17</v>
      </c>
      <c r="B2" s="267"/>
      <c r="C2" s="267"/>
      <c r="D2" s="267"/>
      <c r="E2" s="267"/>
      <c r="F2" s="267"/>
      <c r="G2" s="267"/>
      <c r="H2" s="267"/>
      <c r="I2" s="267"/>
      <c r="J2" s="267"/>
    </row>
    <row r="3" spans="1:11" ht="20.100000000000001" customHeight="1">
      <c r="A3" s="268" t="str">
        <f>底稿目录!A2</f>
        <v>被审计单位名称：</v>
      </c>
      <c r="B3" s="268"/>
      <c r="C3" s="268"/>
      <c r="D3" s="3" t="str">
        <f>底稿目录!A4</f>
        <v>编制人：</v>
      </c>
      <c r="G3" s="143" t="str">
        <f>底稿目录!A5</f>
        <v>编制日期：</v>
      </c>
      <c r="I3" s="5" t="s">
        <v>18</v>
      </c>
      <c r="J3" s="250" t="s">
        <v>286</v>
      </c>
    </row>
    <row r="4" spans="1:11" ht="20.100000000000001" customHeight="1">
      <c r="A4" s="268" t="str">
        <f>底稿目录!A3</f>
        <v>截止日：202X年12月31日</v>
      </c>
      <c r="B4" s="268"/>
      <c r="C4" s="268"/>
      <c r="D4" s="3" t="str">
        <f>底稿目录!A6</f>
        <v>复核人：</v>
      </c>
      <c r="G4" s="143" t="str">
        <f>底稿目录!A7</f>
        <v>复核日期：</v>
      </c>
      <c r="I4" s="5" t="s">
        <v>19</v>
      </c>
    </row>
    <row r="5" spans="1:11" ht="20.100000000000001" customHeight="1">
      <c r="A5" s="258" t="s">
        <v>20</v>
      </c>
      <c r="B5" s="258"/>
      <c r="C5" s="258"/>
      <c r="D5" s="145"/>
      <c r="E5" s="145"/>
      <c r="F5" s="145"/>
      <c r="G5" s="146"/>
      <c r="H5" s="145"/>
      <c r="I5" s="165"/>
      <c r="J5" s="165"/>
    </row>
    <row r="6" spans="1:11" ht="20.100000000000001" customHeight="1">
      <c r="A6" s="147" t="s">
        <v>21</v>
      </c>
      <c r="B6" s="148"/>
      <c r="C6" s="148"/>
      <c r="D6" s="148"/>
      <c r="E6" s="148"/>
      <c r="F6" s="148"/>
      <c r="G6" s="148"/>
      <c r="H6" s="148"/>
      <c r="I6" s="148"/>
      <c r="J6" s="148"/>
    </row>
    <row r="7" spans="1:11" ht="20.100000000000001" customHeight="1">
      <c r="A7" s="149" t="s">
        <v>22</v>
      </c>
      <c r="B7" s="149"/>
      <c r="C7" s="144"/>
      <c r="D7" s="150"/>
      <c r="G7" s="143"/>
      <c r="I7" s="4"/>
      <c r="J7" s="4"/>
    </row>
    <row r="8" spans="1:11" ht="19.95" customHeight="1">
      <c r="A8" s="265" t="s">
        <v>23</v>
      </c>
      <c r="B8" s="265"/>
      <c r="C8" s="265"/>
      <c r="D8" s="265"/>
      <c r="E8" s="265"/>
      <c r="F8" s="265"/>
      <c r="G8" s="265"/>
      <c r="H8" s="256" t="s">
        <v>24</v>
      </c>
      <c r="I8" s="256"/>
      <c r="J8" s="256"/>
    </row>
    <row r="9" spans="1:11" ht="19.95" customHeight="1">
      <c r="A9" s="264" t="s">
        <v>25</v>
      </c>
      <c r="B9" s="264"/>
      <c r="C9" s="264"/>
      <c r="D9" s="264"/>
      <c r="E9" s="264"/>
      <c r="F9" s="264"/>
      <c r="G9" s="264"/>
      <c r="H9" s="257" t="s">
        <v>26</v>
      </c>
      <c r="I9" s="257"/>
      <c r="J9" s="257"/>
    </row>
    <row r="10" spans="1:11" ht="19.95" customHeight="1">
      <c r="A10" s="264" t="s">
        <v>27</v>
      </c>
      <c r="B10" s="264"/>
      <c r="C10" s="264"/>
      <c r="D10" s="264"/>
      <c r="E10" s="264"/>
      <c r="F10" s="264"/>
      <c r="G10" s="264"/>
      <c r="H10" s="257" t="s">
        <v>28</v>
      </c>
      <c r="I10" s="257"/>
      <c r="J10" s="257"/>
    </row>
    <row r="11" spans="1:11" ht="19.95" customHeight="1">
      <c r="A11" s="264" t="s">
        <v>29</v>
      </c>
      <c r="B11" s="264"/>
      <c r="C11" s="264"/>
      <c r="D11" s="264"/>
      <c r="E11" s="264"/>
      <c r="F11" s="264"/>
      <c r="G11" s="264"/>
      <c r="H11" s="257" t="s">
        <v>30</v>
      </c>
      <c r="I11" s="257"/>
      <c r="J11" s="257"/>
    </row>
    <row r="12" spans="1:11" ht="19.95" customHeight="1">
      <c r="A12" s="264" t="s">
        <v>31</v>
      </c>
      <c r="B12" s="264"/>
      <c r="C12" s="264"/>
      <c r="D12" s="264"/>
      <c r="E12" s="264"/>
      <c r="F12" s="264"/>
      <c r="G12" s="264"/>
      <c r="H12" s="257" t="s">
        <v>32</v>
      </c>
      <c r="I12" s="257"/>
      <c r="J12" s="257"/>
    </row>
    <row r="13" spans="1:11" ht="19.95" customHeight="1">
      <c r="A13" s="264" t="s">
        <v>33</v>
      </c>
      <c r="B13" s="264"/>
      <c r="C13" s="264"/>
      <c r="D13" s="264"/>
      <c r="E13" s="264"/>
      <c r="F13" s="264"/>
      <c r="G13" s="264"/>
      <c r="H13" s="257" t="s">
        <v>34</v>
      </c>
      <c r="I13" s="257"/>
      <c r="J13" s="257"/>
    </row>
    <row r="14" spans="1:11" ht="20.100000000000001" customHeight="1">
      <c r="A14" s="258" t="s">
        <v>35</v>
      </c>
      <c r="B14" s="258"/>
      <c r="C14" s="258"/>
      <c r="D14" s="150"/>
      <c r="G14" s="143"/>
      <c r="I14" s="4"/>
      <c r="J14" s="4"/>
    </row>
    <row r="15" spans="1:11" ht="20.100000000000001" customHeight="1">
      <c r="A15" s="260" t="s">
        <v>2</v>
      </c>
      <c r="B15" s="261" t="s">
        <v>36</v>
      </c>
      <c r="C15" s="262" t="s">
        <v>304</v>
      </c>
      <c r="D15" s="263" t="s">
        <v>37</v>
      </c>
      <c r="E15" s="259" t="s">
        <v>38</v>
      </c>
      <c r="F15" s="259"/>
      <c r="G15" s="259"/>
      <c r="H15" s="259"/>
      <c r="I15" s="259"/>
      <c r="J15" s="254" t="s">
        <v>39</v>
      </c>
    </row>
    <row r="16" spans="1:11" ht="37.799999999999997" customHeight="1">
      <c r="A16" s="260"/>
      <c r="B16" s="261"/>
      <c r="C16" s="262"/>
      <c r="D16" s="263"/>
      <c r="E16" s="151" t="s">
        <v>26</v>
      </c>
      <c r="F16" s="151" t="s">
        <v>28</v>
      </c>
      <c r="G16" s="152" t="s">
        <v>40</v>
      </c>
      <c r="H16" s="152" t="s">
        <v>32</v>
      </c>
      <c r="I16" s="152" t="s">
        <v>34</v>
      </c>
      <c r="J16" s="255"/>
      <c r="K16" s="249" t="s">
        <v>303</v>
      </c>
    </row>
    <row r="17" spans="1:10" ht="64.8" customHeight="1">
      <c r="A17" s="153">
        <v>1</v>
      </c>
      <c r="B17" s="154" t="s">
        <v>41</v>
      </c>
      <c r="C17" s="155" t="s">
        <v>230</v>
      </c>
      <c r="D17" s="156" t="s">
        <v>42</v>
      </c>
      <c r="E17" s="157" t="s">
        <v>43</v>
      </c>
      <c r="F17" s="157" t="s">
        <v>43</v>
      </c>
      <c r="G17" s="157"/>
      <c r="H17" s="160" t="s">
        <v>46</v>
      </c>
      <c r="I17" s="153"/>
      <c r="J17" s="157" t="s">
        <v>291</v>
      </c>
    </row>
    <row r="18" spans="1:10" ht="64.8" customHeight="1">
      <c r="A18" s="153">
        <v>2</v>
      </c>
      <c r="B18" s="187" t="s">
        <v>55</v>
      </c>
      <c r="C18" s="188" t="s">
        <v>233</v>
      </c>
      <c r="D18" s="156"/>
      <c r="E18" s="157"/>
      <c r="F18" s="160" t="s">
        <v>46</v>
      </c>
      <c r="G18" s="157"/>
      <c r="H18" s="189" t="s">
        <v>234</v>
      </c>
      <c r="I18" s="153"/>
      <c r="J18" s="190" t="s">
        <v>56</v>
      </c>
    </row>
    <row r="19" spans="1:10" ht="51.6" customHeight="1">
      <c r="A19" s="153">
        <v>3</v>
      </c>
      <c r="B19" s="154" t="s">
        <v>44</v>
      </c>
      <c r="C19" s="158" t="s">
        <v>231</v>
      </c>
      <c r="D19" s="159" t="s">
        <v>45</v>
      </c>
      <c r="E19" s="160" t="s">
        <v>46</v>
      </c>
      <c r="F19" s="157"/>
      <c r="G19" s="157" t="s">
        <v>43</v>
      </c>
      <c r="H19" s="157" t="s">
        <v>43</v>
      </c>
      <c r="I19" s="153"/>
      <c r="J19" s="157"/>
    </row>
    <row r="20" spans="1:10" ht="49.8" customHeight="1">
      <c r="A20" s="153">
        <v>4</v>
      </c>
      <c r="B20" s="161" t="s">
        <v>47</v>
      </c>
      <c r="C20" s="162" t="s">
        <v>48</v>
      </c>
      <c r="D20" s="156" t="s">
        <v>42</v>
      </c>
      <c r="E20" s="157" t="s">
        <v>43</v>
      </c>
      <c r="F20" s="157" t="s">
        <v>43</v>
      </c>
      <c r="G20" s="157"/>
      <c r="H20" s="160" t="s">
        <v>46</v>
      </c>
      <c r="I20" s="153"/>
      <c r="J20" s="157" t="s">
        <v>291</v>
      </c>
    </row>
    <row r="21" spans="1:10" ht="31.2" customHeight="1">
      <c r="A21" s="153">
        <v>5</v>
      </c>
      <c r="B21" s="161" t="s">
        <v>47</v>
      </c>
      <c r="C21" s="154" t="s">
        <v>49</v>
      </c>
      <c r="D21" s="156" t="s">
        <v>42</v>
      </c>
      <c r="E21" s="157"/>
      <c r="F21" s="157"/>
      <c r="G21" s="157"/>
      <c r="H21" s="160" t="s">
        <v>46</v>
      </c>
      <c r="I21" s="153"/>
      <c r="J21" s="157" t="s">
        <v>289</v>
      </c>
    </row>
    <row r="22" spans="1:10" ht="57.6" customHeight="1">
      <c r="A22" s="153">
        <v>6</v>
      </c>
      <c r="B22" s="161" t="s">
        <v>47</v>
      </c>
      <c r="C22" s="162" t="s">
        <v>50</v>
      </c>
      <c r="D22" s="156" t="s">
        <v>42</v>
      </c>
      <c r="E22" s="160" t="s">
        <v>46</v>
      </c>
      <c r="F22" s="157"/>
      <c r="G22" s="157" t="s">
        <v>43</v>
      </c>
      <c r="H22" s="157" t="s">
        <v>43</v>
      </c>
      <c r="I22" s="153"/>
      <c r="J22" s="157" t="s">
        <v>290</v>
      </c>
    </row>
    <row r="23" spans="1:10" ht="145.19999999999999" customHeight="1">
      <c r="A23" s="153">
        <v>7</v>
      </c>
      <c r="B23" s="161" t="s">
        <v>47</v>
      </c>
      <c r="C23" s="154" t="s">
        <v>232</v>
      </c>
      <c r="D23" s="156" t="s">
        <v>42</v>
      </c>
      <c r="E23" s="160" t="s">
        <v>46</v>
      </c>
      <c r="F23" s="157" t="s">
        <v>43</v>
      </c>
      <c r="G23" s="157"/>
      <c r="H23" s="157" t="s">
        <v>43</v>
      </c>
      <c r="I23" s="153"/>
      <c r="J23" s="157" t="s">
        <v>297</v>
      </c>
    </row>
    <row r="24" spans="1:10" ht="45" customHeight="1">
      <c r="A24" s="153">
        <v>8</v>
      </c>
      <c r="B24" s="161"/>
      <c r="C24" s="154" t="s">
        <v>51</v>
      </c>
      <c r="D24" s="163" t="s">
        <v>52</v>
      </c>
      <c r="E24" s="157"/>
      <c r="F24" s="157"/>
      <c r="G24" s="157"/>
      <c r="H24" s="157"/>
      <c r="I24" s="153"/>
      <c r="J24" s="157"/>
    </row>
    <row r="25" spans="1:10" ht="31.2" customHeight="1">
      <c r="A25" s="153">
        <v>9</v>
      </c>
      <c r="B25" s="161" t="s">
        <v>41</v>
      </c>
      <c r="C25" s="164" t="s">
        <v>53</v>
      </c>
      <c r="D25" s="156" t="s">
        <v>42</v>
      </c>
      <c r="E25" s="157"/>
      <c r="F25" s="157"/>
      <c r="G25" s="157"/>
      <c r="H25" s="157"/>
      <c r="I25" s="153"/>
      <c r="J25" s="166" t="s">
        <v>54</v>
      </c>
    </row>
  </sheetData>
  <mergeCells count="24">
    <mergeCell ref="A1:J1"/>
    <mergeCell ref="A2:J2"/>
    <mergeCell ref="A3:C3"/>
    <mergeCell ref="A4:C4"/>
    <mergeCell ref="A5:C5"/>
    <mergeCell ref="A11:G11"/>
    <mergeCell ref="A12:G12"/>
    <mergeCell ref="A13:G13"/>
    <mergeCell ref="A8:G8"/>
    <mergeCell ref="A9:G9"/>
    <mergeCell ref="A10:G10"/>
    <mergeCell ref="A14:C14"/>
    <mergeCell ref="E15:I15"/>
    <mergeCell ref="A15:A16"/>
    <mergeCell ref="B15:B16"/>
    <mergeCell ref="C15:C16"/>
    <mergeCell ref="D15:D16"/>
    <mergeCell ref="J15:J16"/>
    <mergeCell ref="H8:J8"/>
    <mergeCell ref="H9:J9"/>
    <mergeCell ref="H10:J10"/>
    <mergeCell ref="H11:J11"/>
    <mergeCell ref="H12:J12"/>
    <mergeCell ref="H13:J13"/>
  </mergeCells>
  <phoneticPr fontId="31" type="noConversion"/>
  <hyperlinks>
    <hyperlink ref="J3" location="底稿目录!A1" display="D10A"/>
  </hyperlinks>
  <pageMargins left="0.70833333333333304" right="0.70833333333333304" top="0.74791666666666701" bottom="0.74791666666666701" header="0.31458333333333299" footer="0.31458333333333299"/>
  <pageSetup paperSize="9" scale="70" orientation="portrait" blackAndWhite="1" horizontalDpi="300" verticalDpi="300"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O35"/>
  <sheetViews>
    <sheetView view="pageBreakPreview" zoomScaleNormal="130" workbookViewId="0">
      <selection sqref="A1:N1"/>
    </sheetView>
  </sheetViews>
  <sheetFormatPr defaultColWidth="9" defaultRowHeight="23.25" customHeight="1"/>
  <cols>
    <col min="1" max="1" width="31.59765625" style="54" customWidth="1"/>
    <col min="2" max="2" width="12.09765625" style="54" customWidth="1"/>
    <col min="3" max="3" width="12.19921875" style="54" customWidth="1"/>
    <col min="4" max="5" width="10.59765625" style="54" customWidth="1"/>
    <col min="6" max="6" width="9.8984375" style="54" customWidth="1"/>
    <col min="7" max="7" width="10.19921875" style="54" customWidth="1"/>
    <col min="8" max="8" width="11.8984375" style="54" customWidth="1"/>
    <col min="9" max="16384" width="9" style="54"/>
  </cols>
  <sheetData>
    <row r="1" spans="1:15" s="103" customFormat="1" ht="20.100000000000001" customHeight="1">
      <c r="A1" s="273" t="s">
        <v>16</v>
      </c>
      <c r="B1" s="273"/>
      <c r="C1" s="273"/>
      <c r="D1" s="273"/>
      <c r="E1" s="273"/>
      <c r="F1" s="273"/>
      <c r="G1" s="273"/>
      <c r="H1" s="273"/>
      <c r="I1" s="273"/>
      <c r="J1" s="273"/>
      <c r="K1" s="273"/>
      <c r="L1" s="273"/>
      <c r="M1" s="273"/>
      <c r="N1" s="273"/>
    </row>
    <row r="2" spans="1:15" s="103" customFormat="1" ht="24.9" customHeight="1">
      <c r="A2" s="274" t="s">
        <v>7</v>
      </c>
      <c r="B2" s="274"/>
      <c r="C2" s="274"/>
      <c r="D2" s="274"/>
      <c r="E2" s="274"/>
      <c r="F2" s="274"/>
      <c r="G2" s="274"/>
      <c r="H2" s="274"/>
      <c r="I2" s="274"/>
      <c r="J2" s="274"/>
      <c r="K2" s="274"/>
      <c r="L2" s="274"/>
      <c r="M2" s="274"/>
      <c r="N2" s="274"/>
    </row>
    <row r="3" spans="1:15" ht="20.100000000000001" customHeight="1">
      <c r="A3" s="93" t="str">
        <f>底稿目录!A2</f>
        <v>被审计单位名称：</v>
      </c>
      <c r="B3" s="93"/>
      <c r="C3" s="106" t="str">
        <f>底稿目录!A4</f>
        <v>编制人：</v>
      </c>
      <c r="D3" s="93"/>
      <c r="E3" s="93"/>
      <c r="F3" s="93"/>
      <c r="G3" s="93"/>
      <c r="H3" s="107" t="str">
        <f>底稿目录!A5</f>
        <v>编制日期：</v>
      </c>
      <c r="I3" s="107"/>
      <c r="J3" s="93"/>
      <c r="K3" s="93"/>
      <c r="L3" s="93"/>
      <c r="M3" s="129" t="s">
        <v>18</v>
      </c>
      <c r="N3" s="250" t="s">
        <v>294</v>
      </c>
    </row>
    <row r="4" spans="1:15" ht="20.100000000000001" customHeight="1">
      <c r="A4" s="93" t="str">
        <f>底稿目录!A3</f>
        <v>截止日：202X年12月31日</v>
      </c>
      <c r="B4" s="108"/>
      <c r="C4" s="106" t="str">
        <f>底稿目录!A6</f>
        <v>复核人：</v>
      </c>
      <c r="D4" s="93"/>
      <c r="E4" s="93"/>
      <c r="F4" s="93"/>
      <c r="G4" s="93"/>
      <c r="H4" s="107" t="str">
        <f>底稿目录!A7</f>
        <v>复核日期：</v>
      </c>
      <c r="I4" s="107"/>
      <c r="J4" s="93"/>
      <c r="K4" s="93"/>
      <c r="L4" s="93"/>
      <c r="M4" s="129" t="s">
        <v>19</v>
      </c>
      <c r="N4" s="130"/>
    </row>
    <row r="5" spans="1:15" s="104" customFormat="1" ht="33" customHeight="1">
      <c r="A5" s="270" t="s">
        <v>57</v>
      </c>
      <c r="B5" s="275" t="s">
        <v>58</v>
      </c>
      <c r="C5" s="275"/>
      <c r="D5" s="275"/>
      <c r="E5" s="275"/>
      <c r="F5" s="275" t="s">
        <v>59</v>
      </c>
      <c r="G5" s="275"/>
      <c r="H5" s="275"/>
      <c r="I5" s="275"/>
      <c r="J5" s="276" t="s">
        <v>60</v>
      </c>
      <c r="K5" s="276"/>
      <c r="L5" s="276" t="s">
        <v>61</v>
      </c>
      <c r="M5" s="277"/>
      <c r="N5" s="270" t="s">
        <v>62</v>
      </c>
      <c r="O5" s="132" t="s">
        <v>63</v>
      </c>
    </row>
    <row r="6" spans="1:15" ht="20.100000000000001" customHeight="1">
      <c r="A6" s="271"/>
      <c r="B6" s="34" t="s">
        <v>64</v>
      </c>
      <c r="C6" s="34" t="s">
        <v>65</v>
      </c>
      <c r="D6" s="34" t="s">
        <v>66</v>
      </c>
      <c r="E6" s="34" t="s">
        <v>67</v>
      </c>
      <c r="F6" s="34" t="s">
        <v>64</v>
      </c>
      <c r="G6" s="34" t="s">
        <v>65</v>
      </c>
      <c r="H6" s="34" t="s">
        <v>66</v>
      </c>
      <c r="I6" s="34" t="s">
        <v>67</v>
      </c>
      <c r="J6" s="133" t="s">
        <v>68</v>
      </c>
      <c r="K6" s="134" t="s">
        <v>69</v>
      </c>
      <c r="L6" s="133" t="s">
        <v>68</v>
      </c>
      <c r="M6" s="131" t="s">
        <v>70</v>
      </c>
      <c r="N6" s="272"/>
    </row>
    <row r="7" spans="1:15" ht="20.100000000000001" customHeight="1">
      <c r="A7" s="109" t="s">
        <v>94</v>
      </c>
      <c r="B7" s="110">
        <f>SUMIF('递延所得税资产明细表N1-2'!$B$11:$B$40,'递延所得税资产审定表N1-1'!$A7,'递延所得税资产明细表N1-2'!E$11:E$40)</f>
        <v>0</v>
      </c>
      <c r="C7" s="110">
        <f>SUMIF('递延所得税资产明细表N1-2'!$B$11:$B$40,'递延所得税资产审定表N1-1'!$A7,'递延所得税资产明细表N1-2'!F$11:F$40)</f>
        <v>0</v>
      </c>
      <c r="D7" s="110">
        <f>SUMIF('递延所得税资产明细表N1-2'!$B$11:$B$40,'递延所得税资产审定表N1-1'!$A7,'递延所得税资产明细表N1-2'!G$11:G$40)</f>
        <v>0</v>
      </c>
      <c r="E7" s="110">
        <f t="shared" ref="E7" si="0">B7+C7+D7</f>
        <v>0</v>
      </c>
      <c r="F7" s="110">
        <f>SUMIF('递延所得税资产明细表N1-2'!$B$11:$B$40,'递延所得税资产审定表N1-1'!$A7,'递延所得税资产明细表N1-2'!K$11:K$40)</f>
        <v>0</v>
      </c>
      <c r="G7" s="110">
        <f>SUMIF('递延所得税资产明细表N1-2'!$B$11:$B$40,'递延所得税资产审定表N1-1'!$A7,'递延所得税资产明细表N1-2'!L$11:L$40)</f>
        <v>0</v>
      </c>
      <c r="H7" s="110">
        <f>SUMIF('递延所得税资产明细表N1-2'!$B$11:$B$40,'递延所得税资产审定表N1-1'!$A7,'递延所得税资产明细表N1-2'!M$11:M$40)</f>
        <v>0</v>
      </c>
      <c r="I7" s="110">
        <f>F7+G7+H7</f>
        <v>0</v>
      </c>
      <c r="J7" s="135">
        <f>F7-B7</f>
        <v>0</v>
      </c>
      <c r="K7" s="136">
        <f>IF(AND(B7=0,J7=0),0,IF(AND(B7=0,J7&gt;0),1,J7/B7))</f>
        <v>0</v>
      </c>
      <c r="L7" s="135">
        <f>I7-E7</f>
        <v>0</v>
      </c>
      <c r="M7" s="136">
        <f>IF(AND(E7=0,L7=0),0,IF(AND(E7=0,L7&gt;0),1,L7/E7))</f>
        <v>0</v>
      </c>
      <c r="N7" s="110"/>
    </row>
    <row r="8" spans="1:15" ht="20.100000000000001" customHeight="1">
      <c r="A8" s="109" t="s">
        <v>95</v>
      </c>
      <c r="B8" s="110">
        <f>SUMIF('递延所得税资产明细表N1-2'!$B$11:$B$40,'递延所得税资产审定表N1-1'!$A8,'递延所得税资产明细表N1-2'!E$11:E$40)</f>
        <v>0</v>
      </c>
      <c r="C8" s="110">
        <f>SUMIF('递延所得税资产明细表N1-2'!$B$11:$B$40,'递延所得税资产审定表N1-1'!$A8,'递延所得税资产明细表N1-2'!F$11:F$40)</f>
        <v>0</v>
      </c>
      <c r="D8" s="110">
        <f>SUMIF('递延所得税资产明细表N1-2'!$B$11:$B$40,'递延所得税资产审定表N1-1'!$A8,'递延所得税资产明细表N1-2'!G$11:G$40)</f>
        <v>0</v>
      </c>
      <c r="E8" s="110">
        <f t="shared" ref="E8:E15" si="1">B8+C8+D8</f>
        <v>0</v>
      </c>
      <c r="F8" s="110">
        <f>SUMIF('递延所得税资产明细表N1-2'!$B$11:$B$40,'递延所得税资产审定表N1-1'!$A8,'递延所得税资产明细表N1-2'!K$11:K$40)</f>
        <v>0</v>
      </c>
      <c r="G8" s="110">
        <f>SUMIF('递延所得税资产明细表N1-2'!$B$11:$B$40,'递延所得税资产审定表N1-1'!$A8,'递延所得税资产明细表N1-2'!L$11:L$40)</f>
        <v>0</v>
      </c>
      <c r="H8" s="110">
        <f>SUMIF('递延所得税资产明细表N1-2'!$B$11:$B$40,'递延所得税资产审定表N1-1'!$A8,'递延所得税资产明细表N1-2'!M$11:M$40)</f>
        <v>0</v>
      </c>
      <c r="I8" s="110">
        <f t="shared" ref="I8:I15" si="2">F8+G8+H8</f>
        <v>0</v>
      </c>
      <c r="J8" s="135">
        <f t="shared" ref="J8:J13" si="3">F8-B8</f>
        <v>0</v>
      </c>
      <c r="K8" s="136">
        <f t="shared" ref="K8:K13" si="4">IF(AND(B8=0,J8=0),0,IF(AND(B8=0,J8&gt;0),1,J8/B8))</f>
        <v>0</v>
      </c>
      <c r="L8" s="135">
        <f t="shared" ref="L8:L13" si="5">I8-E8</f>
        <v>0</v>
      </c>
      <c r="M8" s="136">
        <f t="shared" ref="M8:M13" si="6">IF(AND(E8=0,L8=0),0,IF(AND(E8=0,L8&gt;0),1,L8/E8))</f>
        <v>0</v>
      </c>
      <c r="N8" s="110"/>
    </row>
    <row r="9" spans="1:15" ht="20.100000000000001" customHeight="1">
      <c r="A9" s="109" t="s">
        <v>96</v>
      </c>
      <c r="B9" s="110">
        <f>SUMIF('递延所得税资产明细表N1-2'!$B$11:$B$40,'递延所得税资产审定表N1-1'!$A9,'递延所得税资产明细表N1-2'!E$11:E$40)</f>
        <v>0</v>
      </c>
      <c r="C9" s="110">
        <f>SUMIF('递延所得税资产明细表N1-2'!$B$11:$B$40,'递延所得税资产审定表N1-1'!$A9,'递延所得税资产明细表N1-2'!F$11:F$40)</f>
        <v>0</v>
      </c>
      <c r="D9" s="110">
        <f>SUMIF('递延所得税资产明细表N1-2'!$B$11:$B$40,'递延所得税资产审定表N1-1'!$A9,'递延所得税资产明细表N1-2'!G$11:G$40)</f>
        <v>0</v>
      </c>
      <c r="E9" s="110">
        <f t="shared" si="1"/>
        <v>0</v>
      </c>
      <c r="F9" s="110">
        <f>SUMIF('递延所得税资产明细表N1-2'!$B$11:$B$40,'递延所得税资产审定表N1-1'!$A9,'递延所得税资产明细表N1-2'!K$11:K$40)</f>
        <v>0</v>
      </c>
      <c r="G9" s="110">
        <f>SUMIF('递延所得税资产明细表N1-2'!$B$11:$B$40,'递延所得税资产审定表N1-1'!$A9,'递延所得税资产明细表N1-2'!L$11:L$40)</f>
        <v>0</v>
      </c>
      <c r="H9" s="110">
        <f>SUMIF('递延所得税资产明细表N1-2'!$B$11:$B$40,'递延所得税资产审定表N1-1'!$A9,'递延所得税资产明细表N1-2'!M$11:M$40)</f>
        <v>0</v>
      </c>
      <c r="I9" s="110">
        <f t="shared" si="2"/>
        <v>0</v>
      </c>
      <c r="J9" s="135">
        <f t="shared" si="3"/>
        <v>0</v>
      </c>
      <c r="K9" s="136">
        <f t="shared" si="4"/>
        <v>0</v>
      </c>
      <c r="L9" s="135">
        <f t="shared" si="5"/>
        <v>0</v>
      </c>
      <c r="M9" s="136">
        <f t="shared" si="6"/>
        <v>0</v>
      </c>
      <c r="N9" s="110"/>
    </row>
    <row r="10" spans="1:15" ht="20.100000000000001" customHeight="1">
      <c r="A10" s="109" t="s">
        <v>97</v>
      </c>
      <c r="B10" s="110">
        <f>SUMIF('递延所得税资产明细表N1-2'!$B$11:$B$40,'递延所得税资产审定表N1-1'!$A10,'递延所得税资产明细表N1-2'!E$11:E$40)</f>
        <v>0</v>
      </c>
      <c r="C10" s="110">
        <f>SUMIF('递延所得税资产明细表N1-2'!$B$11:$B$40,'递延所得税资产审定表N1-1'!$A10,'递延所得税资产明细表N1-2'!F$11:F$40)</f>
        <v>0</v>
      </c>
      <c r="D10" s="110">
        <f>SUMIF('递延所得税资产明细表N1-2'!$B$11:$B$40,'递延所得税资产审定表N1-1'!$A10,'递延所得税资产明细表N1-2'!G$11:G$40)</f>
        <v>0</v>
      </c>
      <c r="E10" s="110">
        <f t="shared" si="1"/>
        <v>0</v>
      </c>
      <c r="F10" s="110">
        <f>SUMIF('递延所得税资产明细表N1-2'!$B$11:$B$40,'递延所得税资产审定表N1-1'!$A10,'递延所得税资产明细表N1-2'!K$11:K$40)</f>
        <v>0</v>
      </c>
      <c r="G10" s="110">
        <f>SUMIF('递延所得税资产明细表N1-2'!$B$11:$B$40,'递延所得税资产审定表N1-1'!$A10,'递延所得税资产明细表N1-2'!L$11:L$40)</f>
        <v>0</v>
      </c>
      <c r="H10" s="110">
        <f>SUMIF('递延所得税资产明细表N1-2'!$B$11:$B$40,'递延所得税资产审定表N1-1'!$A10,'递延所得税资产明细表N1-2'!M$11:M$40)</f>
        <v>0</v>
      </c>
      <c r="I10" s="110">
        <f t="shared" si="2"/>
        <v>0</v>
      </c>
      <c r="J10" s="135">
        <f t="shared" si="3"/>
        <v>0</v>
      </c>
      <c r="K10" s="136">
        <f t="shared" si="4"/>
        <v>0</v>
      </c>
      <c r="L10" s="135">
        <f t="shared" si="5"/>
        <v>0</v>
      </c>
      <c r="M10" s="136">
        <f t="shared" si="6"/>
        <v>0</v>
      </c>
      <c r="N10" s="110"/>
    </row>
    <row r="11" spans="1:15" ht="20.100000000000001" customHeight="1">
      <c r="A11" s="109" t="s">
        <v>98</v>
      </c>
      <c r="B11" s="110">
        <f>SUMIF('递延所得税资产明细表N1-2'!$B$11:$B$40,'递延所得税资产审定表N1-1'!$A11,'递延所得税资产明细表N1-2'!E$11:E$40)</f>
        <v>0</v>
      </c>
      <c r="C11" s="110">
        <f>SUMIF('递延所得税资产明细表N1-2'!$B$11:$B$40,'递延所得税资产审定表N1-1'!$A11,'递延所得税资产明细表N1-2'!F$11:F$40)</f>
        <v>0</v>
      </c>
      <c r="D11" s="110">
        <f>SUMIF('递延所得税资产明细表N1-2'!$B$11:$B$40,'递延所得税资产审定表N1-1'!$A11,'递延所得税资产明细表N1-2'!G$11:G$40)</f>
        <v>0</v>
      </c>
      <c r="E11" s="110">
        <f t="shared" si="1"/>
        <v>0</v>
      </c>
      <c r="F11" s="110">
        <f>SUMIF('递延所得税资产明细表N1-2'!$B$11:$B$40,'递延所得税资产审定表N1-1'!$A11,'递延所得税资产明细表N1-2'!K$11:K$40)</f>
        <v>0</v>
      </c>
      <c r="G11" s="110">
        <f>SUMIF('递延所得税资产明细表N1-2'!$B$11:$B$40,'递延所得税资产审定表N1-1'!$A11,'递延所得税资产明细表N1-2'!L$11:L$40)</f>
        <v>0</v>
      </c>
      <c r="H11" s="110">
        <f>SUMIF('递延所得税资产明细表N1-2'!$B$11:$B$40,'递延所得税资产审定表N1-1'!$A11,'递延所得税资产明细表N1-2'!M$11:M$40)</f>
        <v>0</v>
      </c>
      <c r="I11" s="110">
        <f t="shared" si="2"/>
        <v>0</v>
      </c>
      <c r="J11" s="135">
        <f t="shared" si="3"/>
        <v>0</v>
      </c>
      <c r="K11" s="136">
        <f t="shared" si="4"/>
        <v>0</v>
      </c>
      <c r="L11" s="135">
        <f t="shared" si="5"/>
        <v>0</v>
      </c>
      <c r="M11" s="136">
        <f t="shared" si="6"/>
        <v>0</v>
      </c>
      <c r="N11" s="110"/>
    </row>
    <row r="12" spans="1:15" ht="20.100000000000001" customHeight="1">
      <c r="A12" s="109" t="s">
        <v>99</v>
      </c>
      <c r="B12" s="110">
        <f>SUMIF('递延所得税资产明细表N1-2'!$B$11:$B$40,'递延所得税资产审定表N1-1'!$A12,'递延所得税资产明细表N1-2'!E$11:E$40)</f>
        <v>0</v>
      </c>
      <c r="C12" s="110">
        <f>SUMIF('递延所得税资产明细表N1-2'!$B$11:$B$40,'递延所得税资产审定表N1-1'!$A12,'递延所得税资产明细表N1-2'!F$11:F$40)</f>
        <v>0</v>
      </c>
      <c r="D12" s="110">
        <f>SUMIF('递延所得税资产明细表N1-2'!$B$11:$B$40,'递延所得税资产审定表N1-1'!$A12,'递延所得税资产明细表N1-2'!G$11:G$40)</f>
        <v>0</v>
      </c>
      <c r="E12" s="110">
        <f t="shared" si="1"/>
        <v>0</v>
      </c>
      <c r="F12" s="110">
        <f>SUMIF('递延所得税资产明细表N1-2'!$B$11:$B$40,'递延所得税资产审定表N1-1'!$A12,'递延所得税资产明细表N1-2'!K$11:K$40)</f>
        <v>0</v>
      </c>
      <c r="G12" s="110">
        <f>SUMIF('递延所得税资产明细表N1-2'!$B$11:$B$40,'递延所得税资产审定表N1-1'!$A12,'递延所得税资产明细表N1-2'!L$11:L$40)</f>
        <v>0</v>
      </c>
      <c r="H12" s="110">
        <f>SUMIF('递延所得税资产明细表N1-2'!$B$11:$B$40,'递延所得税资产审定表N1-1'!$A12,'递延所得税资产明细表N1-2'!M$11:M$40)</f>
        <v>0</v>
      </c>
      <c r="I12" s="110">
        <f t="shared" si="2"/>
        <v>0</v>
      </c>
      <c r="J12" s="135">
        <f t="shared" si="3"/>
        <v>0</v>
      </c>
      <c r="K12" s="136">
        <f t="shared" si="4"/>
        <v>0</v>
      </c>
      <c r="L12" s="135">
        <f t="shared" si="5"/>
        <v>0</v>
      </c>
      <c r="M12" s="136">
        <f t="shared" si="6"/>
        <v>0</v>
      </c>
      <c r="N12" s="110"/>
    </row>
    <row r="13" spans="1:15" ht="20.100000000000001" customHeight="1">
      <c r="A13" s="109" t="s">
        <v>100</v>
      </c>
      <c r="B13" s="110">
        <f>SUMIF('递延所得税资产明细表N1-2'!$B$11:$B$40,'递延所得税资产审定表N1-1'!$A13,'递延所得税资产明细表N1-2'!E$11:E$40)</f>
        <v>0</v>
      </c>
      <c r="C13" s="110">
        <f>SUMIF('递延所得税资产明细表N1-2'!$B$11:$B$40,'递延所得税资产审定表N1-1'!$A13,'递延所得税资产明细表N1-2'!F$11:F$40)</f>
        <v>0</v>
      </c>
      <c r="D13" s="110">
        <f>SUMIF('递延所得税资产明细表N1-2'!$B$11:$B$40,'递延所得税资产审定表N1-1'!$A13,'递延所得税资产明细表N1-2'!G$11:G$40)</f>
        <v>0</v>
      </c>
      <c r="E13" s="110">
        <f t="shared" si="1"/>
        <v>0</v>
      </c>
      <c r="F13" s="110">
        <f>SUMIF('递延所得税资产明细表N1-2'!$B$11:$B$40,'递延所得税资产审定表N1-1'!$A13,'递延所得税资产明细表N1-2'!K$11:K$40)</f>
        <v>0</v>
      </c>
      <c r="G13" s="110">
        <f>SUMIF('递延所得税资产明细表N1-2'!$B$11:$B$40,'递延所得税资产审定表N1-1'!$A13,'递延所得税资产明细表N1-2'!L$11:L$40)</f>
        <v>0</v>
      </c>
      <c r="H13" s="110">
        <f>SUMIF('递延所得税资产明细表N1-2'!$B$11:$B$40,'递延所得税资产审定表N1-1'!$A13,'递延所得税资产明细表N1-2'!M$11:M$40)</f>
        <v>0</v>
      </c>
      <c r="I13" s="110">
        <f t="shared" si="2"/>
        <v>0</v>
      </c>
      <c r="J13" s="135">
        <f t="shared" si="3"/>
        <v>0</v>
      </c>
      <c r="K13" s="136">
        <f t="shared" si="4"/>
        <v>0</v>
      </c>
      <c r="L13" s="135">
        <f t="shared" si="5"/>
        <v>0</v>
      </c>
      <c r="M13" s="136">
        <f t="shared" si="6"/>
        <v>0</v>
      </c>
      <c r="N13" s="110"/>
    </row>
    <row r="14" spans="1:15" ht="20.100000000000001" customHeight="1">
      <c r="A14" s="109"/>
      <c r="B14" s="110">
        <f>SUMIF('递延所得税资产明细表N1-2'!$B$11:$B$40,'递延所得税资产审定表N1-1'!$A14,'递延所得税资产明细表N1-2'!E$11:E$40)</f>
        <v>0</v>
      </c>
      <c r="C14" s="110">
        <f>SUMIF('递延所得税资产明细表N1-2'!$B$11:$B$40,'递延所得税资产审定表N1-1'!$A14,'递延所得税资产明细表N1-2'!F$11:F$40)</f>
        <v>0</v>
      </c>
      <c r="D14" s="110">
        <f>SUMIF('递延所得税资产明细表N1-2'!$B$11:$B$40,'递延所得税资产审定表N1-1'!$A14,'递延所得税资产明细表N1-2'!G$11:G$40)</f>
        <v>0</v>
      </c>
      <c r="E14" s="110">
        <f t="shared" si="1"/>
        <v>0</v>
      </c>
      <c r="F14" s="110">
        <f>SUMIF('递延所得税资产明细表N1-2'!$B$11:$B$40,'递延所得税资产审定表N1-1'!$A14,'递延所得税资产明细表N1-2'!K$11:K$40)</f>
        <v>0</v>
      </c>
      <c r="G14" s="110">
        <f>SUMIF('递延所得税资产明细表N1-2'!$B$11:$B$40,'递延所得税资产审定表N1-1'!$A14,'递延所得税资产明细表N1-2'!L$11:L$40)</f>
        <v>0</v>
      </c>
      <c r="H14" s="110">
        <f>SUMIF('递延所得税资产明细表N1-2'!$B$11:$B$40,'递延所得税资产审定表N1-1'!$A14,'递延所得税资产明细表N1-2'!M$11:M$40)</f>
        <v>0</v>
      </c>
      <c r="I14" s="110">
        <f t="shared" si="2"/>
        <v>0</v>
      </c>
      <c r="J14" s="135">
        <f t="shared" ref="J14:J15" si="7">F14-B14</f>
        <v>0</v>
      </c>
      <c r="K14" s="136">
        <f t="shared" ref="K14:K15" si="8">IF(AND(B14=0,J14=0),0,IF(AND(B14=0,J14&gt;0),1,J14/B14))</f>
        <v>0</v>
      </c>
      <c r="L14" s="135">
        <f t="shared" ref="L14:L16" si="9">I14-E14</f>
        <v>0</v>
      </c>
      <c r="M14" s="136">
        <f t="shared" ref="M14:M15" si="10">IF(AND(E14=0,L14=0),0,IF(AND(E14=0,L14&gt;0),1,L14/E14))</f>
        <v>0</v>
      </c>
      <c r="N14" s="110"/>
    </row>
    <row r="15" spans="1:15" ht="20.100000000000001" customHeight="1">
      <c r="A15" s="109"/>
      <c r="B15" s="110">
        <f>SUMIF('递延所得税资产明细表N1-2'!$B$11:$B$40,'递延所得税资产审定表N1-1'!$A15,'递延所得税资产明细表N1-2'!E$11:E$40)</f>
        <v>0</v>
      </c>
      <c r="C15" s="110">
        <f>SUMIF('递延所得税资产明细表N1-2'!$B$11:$B$40,'递延所得税资产审定表N1-1'!$A15,'递延所得税资产明细表N1-2'!F$11:F$40)</f>
        <v>0</v>
      </c>
      <c r="D15" s="110">
        <f>SUMIF('递延所得税资产明细表N1-2'!$B$11:$B$40,'递延所得税资产审定表N1-1'!$A15,'递延所得税资产明细表N1-2'!G$11:G$40)</f>
        <v>0</v>
      </c>
      <c r="E15" s="110">
        <f t="shared" si="1"/>
        <v>0</v>
      </c>
      <c r="F15" s="110">
        <f>SUMIF('递延所得税资产明细表N1-2'!$B$11:$B$40,'递延所得税资产审定表N1-1'!$A15,'递延所得税资产明细表N1-2'!K$11:K$40)</f>
        <v>0</v>
      </c>
      <c r="G15" s="110">
        <f>SUMIF('递延所得税资产明细表N1-2'!$B$11:$B$40,'递延所得税资产审定表N1-1'!$A15,'递延所得税资产明细表N1-2'!L$11:L$40)</f>
        <v>0</v>
      </c>
      <c r="H15" s="110">
        <f>SUMIF('递延所得税资产明细表N1-2'!$B$11:$B$40,'递延所得税资产审定表N1-1'!$A15,'递延所得税资产明细表N1-2'!M$11:M$40)</f>
        <v>0</v>
      </c>
      <c r="I15" s="110">
        <f t="shared" si="2"/>
        <v>0</v>
      </c>
      <c r="J15" s="135">
        <f t="shared" si="7"/>
        <v>0</v>
      </c>
      <c r="K15" s="136">
        <f t="shared" si="8"/>
        <v>0</v>
      </c>
      <c r="L15" s="135">
        <f t="shared" si="9"/>
        <v>0</v>
      </c>
      <c r="M15" s="136">
        <f t="shared" si="10"/>
        <v>0</v>
      </c>
      <c r="N15" s="110"/>
    </row>
    <row r="16" spans="1:15" ht="20.100000000000001" customHeight="1">
      <c r="A16" s="111" t="s">
        <v>71</v>
      </c>
      <c r="B16" s="112">
        <f t="shared" ref="B16:J16" si="11">SUM(B7:B15)</f>
        <v>0</v>
      </c>
      <c r="C16" s="112">
        <f t="shared" si="11"/>
        <v>0</v>
      </c>
      <c r="D16" s="112">
        <f t="shared" si="11"/>
        <v>0</v>
      </c>
      <c r="E16" s="112">
        <f t="shared" si="11"/>
        <v>0</v>
      </c>
      <c r="F16" s="112">
        <f t="shared" si="11"/>
        <v>0</v>
      </c>
      <c r="G16" s="112">
        <f t="shared" si="11"/>
        <v>0</v>
      </c>
      <c r="H16" s="112">
        <f t="shared" si="11"/>
        <v>0</v>
      </c>
      <c r="I16" s="112">
        <f t="shared" si="11"/>
        <v>0</v>
      </c>
      <c r="J16" s="112">
        <f t="shared" si="11"/>
        <v>0</v>
      </c>
      <c r="K16" s="136">
        <f t="shared" ref="K16" si="12">IF(AND(B16=0,J16=0),0,IF(AND(B16=0,J16&gt;0),1,J16/B16))</f>
        <v>0</v>
      </c>
      <c r="L16" s="135">
        <f t="shared" si="9"/>
        <v>0</v>
      </c>
      <c r="M16" s="136">
        <f t="shared" ref="M16" si="13">IF(AND(E16=0,L16=0),0,IF(AND(E16=0,L16&gt;0),1,L16/E16))</f>
        <v>0</v>
      </c>
      <c r="N16" s="110"/>
    </row>
    <row r="17" spans="1:14" s="105" customFormat="1" ht="20.100000000000001" customHeight="1">
      <c r="A17" s="113" t="s">
        <v>72</v>
      </c>
      <c r="B17" s="114"/>
      <c r="C17" s="114"/>
      <c r="D17" s="114"/>
      <c r="E17" s="114"/>
      <c r="F17" s="114"/>
      <c r="G17" s="114"/>
      <c r="H17" s="114"/>
      <c r="I17" s="114"/>
      <c r="J17" s="137"/>
      <c r="K17" s="138"/>
      <c r="L17" s="137"/>
      <c r="M17" s="138"/>
      <c r="N17" s="139"/>
    </row>
    <row r="18" spans="1:14" s="105" customFormat="1" ht="20.100000000000001" customHeight="1">
      <c r="A18" s="115" t="s">
        <v>73</v>
      </c>
      <c r="B18" s="115"/>
      <c r="C18" s="115"/>
      <c r="D18" s="115"/>
      <c r="E18" s="116">
        <f>E16-E17</f>
        <v>0</v>
      </c>
      <c r="F18" s="115"/>
      <c r="G18" s="115"/>
      <c r="H18" s="115"/>
      <c r="I18" s="116">
        <f>I16-I17</f>
        <v>0</v>
      </c>
      <c r="J18" s="140"/>
      <c r="K18" s="141"/>
      <c r="L18" s="140"/>
      <c r="M18" s="141"/>
      <c r="N18" s="142"/>
    </row>
    <row r="19" spans="1:14" ht="20.100000000000001" customHeight="1">
      <c r="A19" s="117" t="s">
        <v>74</v>
      </c>
      <c r="B19" s="118"/>
      <c r="C19" s="118"/>
      <c r="D19" s="118"/>
      <c r="E19" s="118"/>
      <c r="F19" s="119"/>
      <c r="G19" s="118"/>
      <c r="H19" s="120"/>
      <c r="I19" s="120"/>
      <c r="J19" s="120"/>
      <c r="K19" s="120"/>
      <c r="L19" s="120"/>
      <c r="M19" s="120"/>
      <c r="N19" s="120"/>
    </row>
    <row r="20" spans="1:14" ht="20.100000000000001" customHeight="1">
      <c r="A20" s="121" t="s">
        <v>75</v>
      </c>
      <c r="B20" s="121"/>
      <c r="C20" s="121"/>
      <c r="D20" s="269"/>
      <c r="E20" s="269"/>
      <c r="F20" s="121"/>
      <c r="G20" s="121"/>
      <c r="H20" s="120"/>
      <c r="I20" s="120"/>
      <c r="J20" s="120"/>
      <c r="K20" s="120"/>
      <c r="L20" s="120"/>
      <c r="M20" s="120"/>
      <c r="N20" s="120"/>
    </row>
    <row r="21" spans="1:14" ht="20.100000000000001" customHeight="1">
      <c r="A21" s="121" t="s">
        <v>76</v>
      </c>
      <c r="B21" s="121"/>
      <c r="C21" s="121"/>
      <c r="D21" s="121"/>
      <c r="E21" s="121"/>
      <c r="F21" s="121"/>
      <c r="G21" s="121"/>
      <c r="H21" s="120"/>
      <c r="I21" s="120"/>
      <c r="J21" s="120"/>
      <c r="K21" s="120"/>
      <c r="L21" s="120"/>
      <c r="M21" s="120"/>
      <c r="N21" s="120"/>
    </row>
    <row r="22" spans="1:14" ht="20.100000000000001" customHeight="1">
      <c r="A22" s="121"/>
      <c r="B22" s="121"/>
      <c r="C22" s="121"/>
      <c r="D22" s="121"/>
      <c r="E22" s="121"/>
      <c r="F22" s="121"/>
      <c r="G22" s="121"/>
      <c r="H22" s="120"/>
      <c r="I22" s="120"/>
      <c r="J22" s="120"/>
      <c r="K22" s="120"/>
      <c r="L22" s="120"/>
      <c r="M22" s="120"/>
      <c r="N22" s="120"/>
    </row>
    <row r="23" spans="1:14" ht="20.100000000000001" customHeight="1">
      <c r="A23" s="122" t="s">
        <v>77</v>
      </c>
      <c r="B23" s="122"/>
      <c r="C23" s="122"/>
      <c r="D23" s="122"/>
      <c r="E23" s="122"/>
      <c r="F23" s="122"/>
      <c r="G23" s="122"/>
      <c r="H23" s="120"/>
      <c r="I23" s="120"/>
      <c r="J23" s="120"/>
      <c r="K23" s="120"/>
      <c r="L23" s="120"/>
      <c r="M23" s="120"/>
      <c r="N23" s="120"/>
    </row>
    <row r="24" spans="1:14" ht="20.100000000000001" customHeight="1">
      <c r="A24" s="122"/>
      <c r="B24" s="122"/>
      <c r="C24" s="122"/>
      <c r="D24" s="122"/>
      <c r="E24" s="122"/>
      <c r="F24" s="122"/>
      <c r="G24" s="122"/>
      <c r="H24" s="120"/>
      <c r="I24" s="120"/>
      <c r="J24" s="120"/>
      <c r="K24" s="120"/>
      <c r="L24" s="120"/>
      <c r="M24" s="120"/>
      <c r="N24" s="120"/>
    </row>
    <row r="25" spans="1:14" ht="20.100000000000001" customHeight="1">
      <c r="A25" s="121" t="s">
        <v>78</v>
      </c>
      <c r="B25" s="121"/>
      <c r="C25" s="121"/>
      <c r="D25" s="121"/>
      <c r="E25" s="121"/>
      <c r="F25" s="121"/>
      <c r="G25" s="121"/>
      <c r="H25" s="120"/>
      <c r="I25" s="120"/>
      <c r="J25" s="120"/>
      <c r="K25" s="120"/>
      <c r="L25" s="120"/>
      <c r="M25" s="120"/>
      <c r="N25" s="120"/>
    </row>
    <row r="26" spans="1:14" ht="20.100000000000001" customHeight="1">
      <c r="A26" s="121"/>
      <c r="B26" s="121"/>
      <c r="C26" s="121"/>
      <c r="D26" s="121"/>
      <c r="E26" s="121"/>
      <c r="F26" s="121"/>
      <c r="G26" s="121"/>
      <c r="H26" s="120"/>
      <c r="I26" s="120"/>
      <c r="J26" s="120"/>
      <c r="K26" s="120"/>
      <c r="L26" s="120"/>
      <c r="M26" s="120"/>
      <c r="N26" s="120"/>
    </row>
    <row r="27" spans="1:14" ht="20.100000000000001" customHeight="1">
      <c r="A27" s="123" t="s">
        <v>79</v>
      </c>
      <c r="B27" s="121"/>
      <c r="C27" s="121"/>
      <c r="D27" s="121"/>
      <c r="E27" s="121"/>
      <c r="F27" s="119"/>
      <c r="G27" s="121"/>
      <c r="H27" s="120"/>
      <c r="I27" s="120"/>
      <c r="J27" s="120"/>
      <c r="K27" s="120"/>
      <c r="L27" s="120"/>
      <c r="M27" s="120"/>
      <c r="N27" s="120"/>
    </row>
    <row r="28" spans="1:14" ht="20.100000000000001" customHeight="1">
      <c r="A28" s="123"/>
      <c r="B28" s="121"/>
      <c r="C28" s="121"/>
      <c r="D28" s="121"/>
      <c r="E28" s="121"/>
      <c r="F28" s="121"/>
      <c r="G28" s="121"/>
      <c r="H28" s="120"/>
      <c r="I28" s="120"/>
      <c r="J28" s="120"/>
      <c r="K28" s="120"/>
      <c r="L28" s="120"/>
      <c r="M28" s="120"/>
      <c r="N28" s="120"/>
    </row>
    <row r="29" spans="1:14" ht="15.75" customHeight="1">
      <c r="A29" s="45" t="s">
        <v>80</v>
      </c>
      <c r="B29" s="124"/>
      <c r="C29" s="124"/>
      <c r="D29" s="124"/>
      <c r="E29" s="124"/>
      <c r="F29" s="124"/>
      <c r="G29" s="124"/>
    </row>
    <row r="30" spans="1:14" ht="22.5" customHeight="1">
      <c r="A30" s="46" t="s">
        <v>81</v>
      </c>
    </row>
    <row r="31" spans="1:14" ht="22.5" customHeight="1">
      <c r="A31" s="45" t="s">
        <v>82</v>
      </c>
      <c r="B31" s="125"/>
    </row>
    <row r="32" spans="1:14" ht="22.5" customHeight="1">
      <c r="A32" s="46" t="s">
        <v>83</v>
      </c>
      <c r="B32" s="125"/>
    </row>
    <row r="33" spans="1:2" ht="22.5" customHeight="1">
      <c r="A33" s="126"/>
      <c r="B33" s="125"/>
    </row>
    <row r="34" spans="1:2" ht="23.25" customHeight="1">
      <c r="A34" s="127"/>
      <c r="B34" s="128"/>
    </row>
    <row r="35" spans="1:2" ht="23.25" customHeight="1">
      <c r="A35" s="126"/>
      <c r="B35" s="126"/>
    </row>
  </sheetData>
  <mergeCells count="9">
    <mergeCell ref="D20:E20"/>
    <mergeCell ref="A5:A6"/>
    <mergeCell ref="N5:N6"/>
    <mergeCell ref="A1:N1"/>
    <mergeCell ref="A2:N2"/>
    <mergeCell ref="B5:E5"/>
    <mergeCell ref="F5:I5"/>
    <mergeCell ref="J5:K5"/>
    <mergeCell ref="L5:M5"/>
  </mergeCells>
  <phoneticPr fontId="31" type="noConversion"/>
  <hyperlinks>
    <hyperlink ref="N3" location="底稿目录!A1" display="D10-1"/>
  </hyperlinks>
  <pageMargins left="0.70833333333333304" right="0.70833333333333304" top="0.74791666666666701" bottom="0.74791666666666701" header="0.31458333333333299" footer="0.31458333333333299"/>
  <pageSetup paperSize="9" scale="75" orientation="landscape" blackAndWhite="1" horizontalDpi="300" verticalDpi="300" r:id="rId1"/>
  <headerFooter>
    <oddFooter>&amp;C&amp;P/&amp;N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54"/>
  <sheetViews>
    <sheetView view="pageBreakPreview" zoomScaleNormal="100" workbookViewId="0">
      <selection activeCell="C7" sqref="C7"/>
    </sheetView>
  </sheetViews>
  <sheetFormatPr defaultColWidth="9" defaultRowHeight="15.6"/>
  <cols>
    <col min="1" max="1" width="40.3984375" style="51" customWidth="1"/>
    <col min="2" max="2" width="21.3984375" style="51" customWidth="1"/>
    <col min="3" max="3" width="21.5" style="51" customWidth="1"/>
    <col min="4" max="4" width="20.59765625" style="51" customWidth="1"/>
    <col min="5" max="5" width="21.3984375" style="51" customWidth="1"/>
    <col min="6" max="16384" width="9" style="51"/>
  </cols>
  <sheetData>
    <row r="1" spans="1:11" s="93" customFormat="1" ht="20.100000000000001" customHeight="1">
      <c r="A1" s="281" t="s">
        <v>16</v>
      </c>
      <c r="B1" s="281"/>
      <c r="C1" s="281"/>
      <c r="D1" s="281"/>
      <c r="E1" s="281"/>
      <c r="F1" s="94"/>
      <c r="G1" s="94"/>
      <c r="H1" s="94"/>
      <c r="I1" s="94"/>
      <c r="J1" s="94"/>
      <c r="K1" s="94"/>
    </row>
    <row r="2" spans="1:11" s="93" customFormat="1" ht="24.9" customHeight="1">
      <c r="A2" s="273" t="s">
        <v>9</v>
      </c>
      <c r="B2" s="273"/>
      <c r="C2" s="273"/>
      <c r="D2" s="273"/>
      <c r="E2" s="273"/>
      <c r="F2" s="95"/>
      <c r="G2" s="95"/>
      <c r="H2" s="95"/>
      <c r="I2" s="95"/>
      <c r="J2" s="95"/>
      <c r="K2" s="95"/>
    </row>
    <row r="3" spans="1:11" s="93" customFormat="1" ht="20.100000000000001" customHeight="1">
      <c r="A3" s="54" t="str">
        <f>底稿目录!A2</f>
        <v>被审计单位名称：</v>
      </c>
      <c r="B3" s="54" t="str">
        <f>底稿目录!A4</f>
        <v>编制人：</v>
      </c>
      <c r="D3" s="54" t="str">
        <f>底稿目录!A5</f>
        <v>编制日期：</v>
      </c>
      <c r="E3" s="93" t="s">
        <v>295</v>
      </c>
      <c r="H3" s="54"/>
      <c r="I3" s="54"/>
      <c r="K3" s="54"/>
    </row>
    <row r="4" spans="1:11" s="93" customFormat="1" ht="20.100000000000001" customHeight="1">
      <c r="A4" s="54" t="str">
        <f>底稿目录!A3</f>
        <v>截止日：202X年12月31日</v>
      </c>
      <c r="B4" s="54" t="str">
        <f>底稿目录!A6</f>
        <v>复核人：</v>
      </c>
      <c r="D4" s="54" t="str">
        <f>底稿目录!A7</f>
        <v>复核日期：</v>
      </c>
      <c r="E4" s="54" t="s">
        <v>84</v>
      </c>
      <c r="H4" s="54"/>
      <c r="I4" s="54"/>
      <c r="K4" s="102"/>
    </row>
    <row r="5" spans="1:11" s="93" customFormat="1" ht="20.100000000000001" customHeight="1">
      <c r="A5" s="54"/>
      <c r="B5" s="54"/>
      <c r="D5" s="54"/>
      <c r="E5" s="54"/>
      <c r="H5" s="54"/>
      <c r="I5" s="54"/>
      <c r="K5" s="102"/>
    </row>
    <row r="6" spans="1:11" ht="20.100000000000001" customHeight="1">
      <c r="A6" s="96" t="s">
        <v>85</v>
      </c>
    </row>
    <row r="7" spans="1:11" ht="20.100000000000001" customHeight="1">
      <c r="A7" s="96"/>
    </row>
    <row r="8" spans="1:11" ht="20.100000000000001" customHeight="1">
      <c r="A8" s="96" t="s">
        <v>86</v>
      </c>
      <c r="B8" s="50"/>
      <c r="C8" s="50"/>
      <c r="D8" s="50"/>
      <c r="E8" s="50"/>
    </row>
    <row r="9" spans="1:11" ht="20.100000000000001" customHeight="1">
      <c r="A9" s="56" t="s">
        <v>87</v>
      </c>
      <c r="B9" s="50"/>
      <c r="C9" s="50"/>
      <c r="D9" s="50"/>
      <c r="E9" s="50"/>
    </row>
    <row r="10" spans="1:11" ht="20.100000000000001" customHeight="1">
      <c r="A10" s="279" t="s">
        <v>88</v>
      </c>
      <c r="B10" s="282" t="s">
        <v>89</v>
      </c>
      <c r="C10" s="282"/>
      <c r="D10" s="282" t="s">
        <v>90</v>
      </c>
      <c r="E10" s="282"/>
    </row>
    <row r="11" spans="1:11" ht="35.25" customHeight="1">
      <c r="A11" s="280"/>
      <c r="B11" s="60" t="s">
        <v>91</v>
      </c>
      <c r="C11" s="60" t="s">
        <v>92</v>
      </c>
      <c r="D11" s="60" t="s">
        <v>91</v>
      </c>
      <c r="E11" s="60" t="s">
        <v>92</v>
      </c>
    </row>
    <row r="12" spans="1:11" ht="20.100000000000001" customHeight="1">
      <c r="A12" s="278" t="s">
        <v>93</v>
      </c>
      <c r="B12" s="278"/>
      <c r="C12" s="278"/>
      <c r="D12" s="278"/>
      <c r="E12" s="278"/>
    </row>
    <row r="13" spans="1:11" ht="20.100000000000001" customHeight="1">
      <c r="A13" s="63" t="s">
        <v>94</v>
      </c>
      <c r="B13" s="64"/>
      <c r="C13" s="64"/>
      <c r="D13" s="64"/>
      <c r="E13" s="64"/>
    </row>
    <row r="14" spans="1:11" ht="20.100000000000001" customHeight="1">
      <c r="A14" s="63" t="s">
        <v>95</v>
      </c>
      <c r="B14" s="64"/>
      <c r="C14" s="64"/>
      <c r="D14" s="64"/>
      <c r="E14" s="64"/>
    </row>
    <row r="15" spans="1:11" ht="20.100000000000001" customHeight="1">
      <c r="A15" s="63" t="s">
        <v>96</v>
      </c>
      <c r="B15" s="64"/>
      <c r="C15" s="64"/>
      <c r="D15" s="64"/>
      <c r="E15" s="64"/>
    </row>
    <row r="16" spans="1:11" ht="20.100000000000001" customHeight="1">
      <c r="A16" s="63" t="s">
        <v>97</v>
      </c>
      <c r="B16" s="64"/>
      <c r="C16" s="64"/>
      <c r="D16" s="64"/>
      <c r="E16" s="64"/>
    </row>
    <row r="17" spans="1:7" ht="20.100000000000001" customHeight="1">
      <c r="A17" s="63" t="s">
        <v>98</v>
      </c>
      <c r="B17" s="64"/>
      <c r="C17" s="64"/>
      <c r="D17" s="64"/>
      <c r="E17" s="64"/>
    </row>
    <row r="18" spans="1:7" ht="20.100000000000001" customHeight="1">
      <c r="A18" s="63" t="s">
        <v>99</v>
      </c>
      <c r="B18" s="64"/>
      <c r="C18" s="64"/>
      <c r="D18" s="64"/>
      <c r="E18" s="64"/>
    </row>
    <row r="19" spans="1:7" ht="20.100000000000001" customHeight="1">
      <c r="A19" s="63" t="s">
        <v>100</v>
      </c>
      <c r="B19" s="64"/>
      <c r="C19" s="64"/>
      <c r="D19" s="64"/>
      <c r="E19" s="64"/>
    </row>
    <row r="20" spans="1:7" ht="20.100000000000001" customHeight="1">
      <c r="A20" s="63"/>
      <c r="B20" s="64"/>
      <c r="C20" s="64"/>
      <c r="D20" s="64"/>
      <c r="E20" s="64"/>
    </row>
    <row r="21" spans="1:7" ht="20.100000000000001" customHeight="1">
      <c r="A21" s="59" t="s">
        <v>101</v>
      </c>
      <c r="B21" s="69">
        <f>SUM(B13:B20)</f>
        <v>0</v>
      </c>
      <c r="C21" s="69">
        <f t="shared" ref="C21:E21" si="0">SUM(C13:C20)</f>
        <v>0</v>
      </c>
      <c r="D21" s="69">
        <f t="shared" si="0"/>
        <v>0</v>
      </c>
      <c r="E21" s="69">
        <f t="shared" si="0"/>
        <v>0</v>
      </c>
    </row>
    <row r="22" spans="1:7" ht="20.100000000000001" customHeight="1">
      <c r="A22" s="278" t="s">
        <v>102</v>
      </c>
      <c r="B22" s="278"/>
      <c r="C22" s="278"/>
      <c r="D22" s="278"/>
      <c r="E22" s="278"/>
      <c r="F22" s="67" t="s">
        <v>103</v>
      </c>
      <c r="G22" s="67"/>
    </row>
    <row r="23" spans="1:7" ht="20.100000000000001" customHeight="1">
      <c r="A23" s="63" t="s">
        <v>104</v>
      </c>
      <c r="B23" s="68"/>
      <c r="C23" s="68"/>
      <c r="D23" s="68"/>
      <c r="E23" s="68"/>
    </row>
    <row r="24" spans="1:7" ht="20.100000000000001" customHeight="1">
      <c r="A24" s="63" t="s">
        <v>105</v>
      </c>
      <c r="B24" s="68"/>
      <c r="C24" s="68"/>
      <c r="D24" s="68"/>
      <c r="E24" s="68"/>
    </row>
    <row r="25" spans="1:7" ht="20.100000000000001" customHeight="1">
      <c r="A25" s="63" t="s">
        <v>106</v>
      </c>
      <c r="B25" s="68"/>
      <c r="C25" s="68"/>
      <c r="D25" s="68"/>
      <c r="E25" s="68"/>
    </row>
    <row r="26" spans="1:7" ht="20.100000000000001" customHeight="1">
      <c r="A26" s="63" t="s">
        <v>107</v>
      </c>
      <c r="B26" s="68"/>
      <c r="C26" s="68"/>
      <c r="D26" s="68"/>
      <c r="E26" s="68"/>
    </row>
    <row r="27" spans="1:7" ht="20.100000000000001" customHeight="1">
      <c r="A27" s="63" t="s">
        <v>100</v>
      </c>
      <c r="B27" s="68"/>
      <c r="C27" s="68"/>
      <c r="D27" s="68"/>
      <c r="E27" s="68"/>
    </row>
    <row r="28" spans="1:7" ht="20.100000000000001" customHeight="1">
      <c r="A28" s="61"/>
      <c r="B28" s="68"/>
      <c r="C28" s="68"/>
      <c r="D28" s="68"/>
      <c r="E28" s="68"/>
    </row>
    <row r="29" spans="1:7" ht="20.100000000000001" customHeight="1">
      <c r="A29" s="59" t="s">
        <v>108</v>
      </c>
      <c r="B29" s="69">
        <f>SUM(B23:B28)</f>
        <v>0</v>
      </c>
      <c r="C29" s="69">
        <f t="shared" ref="C29:E29" si="1">SUM(C23:C28)</f>
        <v>0</v>
      </c>
      <c r="D29" s="69">
        <f t="shared" si="1"/>
        <v>0</v>
      </c>
      <c r="E29" s="69">
        <f t="shared" si="1"/>
        <v>0</v>
      </c>
    </row>
    <row r="30" spans="1:7" ht="20.100000000000001" customHeight="1">
      <c r="A30" s="97" t="s">
        <v>109</v>
      </c>
      <c r="B30" s="68"/>
      <c r="C30" s="68"/>
      <c r="D30" s="68"/>
      <c r="E30" s="68"/>
    </row>
    <row r="31" spans="1:7" ht="20.100000000000001" customHeight="1">
      <c r="A31" s="97" t="s">
        <v>110</v>
      </c>
      <c r="B31" s="68"/>
      <c r="C31" s="68"/>
      <c r="D31" s="68"/>
      <c r="E31" s="68"/>
    </row>
    <row r="32" spans="1:7" ht="20.100000000000001" customHeight="1">
      <c r="A32" s="97" t="s">
        <v>111</v>
      </c>
      <c r="B32" s="50"/>
      <c r="C32" s="50"/>
      <c r="D32" s="50"/>
      <c r="E32" s="50"/>
    </row>
    <row r="33" spans="1:5" ht="20.100000000000001" customHeight="1">
      <c r="A33" s="56" t="s">
        <v>112</v>
      </c>
      <c r="B33" s="50"/>
      <c r="C33" s="50"/>
      <c r="D33" s="50"/>
      <c r="E33" s="50"/>
    </row>
    <row r="34" spans="1:5" ht="37.5" customHeight="1">
      <c r="A34" s="98" t="s">
        <v>88</v>
      </c>
      <c r="B34" s="72" t="s">
        <v>113</v>
      </c>
      <c r="C34" s="72" t="s">
        <v>114</v>
      </c>
      <c r="D34" s="72" t="s">
        <v>115</v>
      </c>
      <c r="E34" s="72" t="s">
        <v>116</v>
      </c>
    </row>
    <row r="35" spans="1:5" ht="20.100000000000001" customHeight="1">
      <c r="A35" s="63" t="s">
        <v>21</v>
      </c>
      <c r="B35" s="99"/>
      <c r="C35" s="99"/>
      <c r="D35" s="99"/>
      <c r="E35" s="99"/>
    </row>
    <row r="36" spans="1:5" ht="20.100000000000001" customHeight="1">
      <c r="A36" s="74" t="s">
        <v>117</v>
      </c>
      <c r="B36" s="100"/>
      <c r="C36" s="100"/>
      <c r="D36" s="100"/>
      <c r="E36" s="100"/>
    </row>
    <row r="37" spans="1:5" ht="20.100000000000001" customHeight="1">
      <c r="A37" s="56" t="s">
        <v>118</v>
      </c>
      <c r="B37" s="50"/>
      <c r="C37" s="50"/>
      <c r="D37" s="50"/>
      <c r="E37" s="50"/>
    </row>
    <row r="38" spans="1:5" ht="20.100000000000001" customHeight="1">
      <c r="A38" s="98" t="s">
        <v>88</v>
      </c>
      <c r="B38" s="73" t="s">
        <v>89</v>
      </c>
      <c r="C38" s="73" t="s">
        <v>90</v>
      </c>
      <c r="D38" s="50"/>
      <c r="E38" s="50"/>
    </row>
    <row r="39" spans="1:5" ht="20.100000000000001" customHeight="1">
      <c r="A39" s="63" t="s">
        <v>119</v>
      </c>
      <c r="B39" s="64"/>
      <c r="C39" s="64"/>
      <c r="D39" s="50"/>
      <c r="E39" s="50"/>
    </row>
    <row r="40" spans="1:5" ht="20.100000000000001" customHeight="1">
      <c r="A40" s="63" t="s">
        <v>95</v>
      </c>
      <c r="B40" s="64"/>
      <c r="C40" s="64"/>
      <c r="D40" s="50"/>
      <c r="E40" s="50"/>
    </row>
    <row r="41" spans="1:5" ht="20.100000000000001" customHeight="1">
      <c r="A41" s="78"/>
      <c r="B41" s="88"/>
      <c r="C41" s="88"/>
      <c r="D41" s="50"/>
      <c r="E41" s="50"/>
    </row>
    <row r="42" spans="1:5" ht="20.100000000000001" customHeight="1">
      <c r="A42" s="59" t="s">
        <v>120</v>
      </c>
      <c r="B42" s="69">
        <f>B39+B40</f>
        <v>0</v>
      </c>
      <c r="C42" s="69">
        <f>C39+C40</f>
        <v>0</v>
      </c>
      <c r="D42" s="50"/>
      <c r="E42" s="50"/>
    </row>
    <row r="43" spans="1:5" ht="20.100000000000001" customHeight="1">
      <c r="A43" s="58" t="s">
        <v>121</v>
      </c>
      <c r="B43" s="50"/>
      <c r="C43" s="50"/>
      <c r="D43" s="50"/>
      <c r="E43" s="50"/>
    </row>
    <row r="44" spans="1:5" ht="20.100000000000001" customHeight="1">
      <c r="A44" s="56" t="s">
        <v>122</v>
      </c>
      <c r="B44" s="50"/>
      <c r="C44" s="50"/>
      <c r="D44" s="50"/>
      <c r="E44" s="50"/>
    </row>
    <row r="45" spans="1:5" ht="20.100000000000001" customHeight="1">
      <c r="A45" s="98" t="s">
        <v>123</v>
      </c>
      <c r="B45" s="73" t="s">
        <v>89</v>
      </c>
      <c r="C45" s="73" t="s">
        <v>90</v>
      </c>
      <c r="D45" s="73" t="s">
        <v>124</v>
      </c>
      <c r="E45" s="50"/>
    </row>
    <row r="46" spans="1:5" ht="20.100000000000001" customHeight="1">
      <c r="A46" s="77" t="s">
        <v>125</v>
      </c>
      <c r="B46" s="83" t="s">
        <v>126</v>
      </c>
      <c r="C46" s="64"/>
      <c r="D46" s="84"/>
      <c r="E46" s="50"/>
    </row>
    <row r="47" spans="1:5" ht="20.100000000000001" customHeight="1">
      <c r="A47" s="77" t="s">
        <v>127</v>
      </c>
      <c r="B47" s="64"/>
      <c r="C47" s="64"/>
      <c r="D47" s="84"/>
      <c r="E47" s="50"/>
    </row>
    <row r="48" spans="1:5" ht="20.100000000000001" customHeight="1">
      <c r="A48" s="77" t="s">
        <v>128</v>
      </c>
      <c r="B48" s="64"/>
      <c r="C48" s="64"/>
      <c r="D48" s="84"/>
      <c r="E48" s="50"/>
    </row>
    <row r="49" spans="1:5" ht="20.100000000000001" customHeight="1">
      <c r="A49" s="77" t="s">
        <v>129</v>
      </c>
      <c r="B49" s="64"/>
      <c r="C49" s="64"/>
      <c r="D49" s="84"/>
      <c r="E49" s="50"/>
    </row>
    <row r="50" spans="1:5" ht="20.100000000000001" customHeight="1">
      <c r="A50" s="77" t="s">
        <v>130</v>
      </c>
      <c r="B50" s="64"/>
      <c r="C50" s="64"/>
      <c r="D50" s="84"/>
      <c r="E50" s="50"/>
    </row>
    <row r="51" spans="1:5" ht="20.100000000000001" customHeight="1">
      <c r="A51" s="77" t="s">
        <v>131</v>
      </c>
      <c r="B51" s="64"/>
      <c r="C51" s="87" t="s">
        <v>126</v>
      </c>
      <c r="D51" s="84"/>
      <c r="E51" s="50"/>
    </row>
    <row r="52" spans="1:5" ht="20.100000000000001" customHeight="1">
      <c r="A52" s="89" t="s">
        <v>132</v>
      </c>
      <c r="B52" s="89">
        <f>SUM(B46:B51)</f>
        <v>0</v>
      </c>
      <c r="C52" s="89">
        <f>SUM(C46:C51)</f>
        <v>0</v>
      </c>
      <c r="D52" s="101"/>
      <c r="E52" s="50"/>
    </row>
    <row r="53" spans="1:5" ht="20.100000000000001" customHeight="1">
      <c r="A53" s="58" t="s">
        <v>133</v>
      </c>
      <c r="B53" s="68"/>
      <c r="C53" s="68"/>
      <c r="D53" s="62"/>
      <c r="E53" s="50"/>
    </row>
    <row r="54" spans="1:5" ht="20.100000000000001" customHeight="1">
      <c r="A54" s="50"/>
      <c r="B54" s="92" t="b">
        <f>B40=B52</f>
        <v>1</v>
      </c>
      <c r="C54" s="92" t="b">
        <f>C40=C52</f>
        <v>1</v>
      </c>
      <c r="D54" s="50"/>
      <c r="E54" s="50"/>
    </row>
  </sheetData>
  <mergeCells count="7">
    <mergeCell ref="A22:E22"/>
    <mergeCell ref="A10:A11"/>
    <mergeCell ref="A1:E1"/>
    <mergeCell ref="A2:E2"/>
    <mergeCell ref="B10:C10"/>
    <mergeCell ref="D10:E10"/>
    <mergeCell ref="A12:E12"/>
  </mergeCells>
  <phoneticPr fontId="31" type="noConversion"/>
  <pageMargins left="0.70833333333333304" right="0.70833333333333304" top="0.74791666666666701" bottom="0.74791666666666701" header="0.31458333333333299" footer="0.31458333333333299"/>
  <pageSetup paperSize="9" scale="65" orientation="portrait" blackAndWhite="1" horizontalDpi="300" verticalDpi="300"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V74"/>
  <sheetViews>
    <sheetView view="pageBreakPreview" topLeftCell="A64" zoomScaleNormal="100" workbookViewId="0">
      <selection activeCell="C86" sqref="C86"/>
    </sheetView>
  </sheetViews>
  <sheetFormatPr defaultColWidth="9" defaultRowHeight="15.6"/>
  <cols>
    <col min="1" max="1" width="32.5" style="51" customWidth="1"/>
    <col min="2" max="2" width="22.69921875" style="51" customWidth="1"/>
    <col min="3" max="3" width="25.8984375" style="51" customWidth="1"/>
    <col min="4" max="4" width="22.69921875" style="51" customWidth="1"/>
    <col min="5" max="5" width="26.3984375" style="51" customWidth="1"/>
    <col min="6" max="7" width="9" style="51"/>
    <col min="8" max="8" width="13.3984375" style="51" customWidth="1"/>
    <col min="9" max="16384" width="9" style="51"/>
  </cols>
  <sheetData>
    <row r="1" spans="1:256" ht="20.100000000000001" customHeight="1">
      <c r="A1" s="283" t="s">
        <v>16</v>
      </c>
      <c r="B1" s="283"/>
      <c r="C1" s="283"/>
      <c r="D1" s="283"/>
      <c r="E1" s="283"/>
      <c r="F1" s="52"/>
      <c r="G1" s="52"/>
      <c r="H1" s="52"/>
      <c r="I1" s="52"/>
      <c r="J1" s="52"/>
      <c r="K1" s="52"/>
      <c r="L1" s="52"/>
      <c r="M1" s="52"/>
      <c r="N1" s="52"/>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c r="BJ1" s="53"/>
      <c r="BK1" s="53"/>
      <c r="BL1" s="53"/>
      <c r="BM1" s="53"/>
      <c r="BN1" s="53"/>
      <c r="BO1" s="53"/>
      <c r="BP1" s="53"/>
      <c r="BQ1" s="53"/>
      <c r="BR1" s="53"/>
      <c r="BS1" s="53"/>
      <c r="BT1" s="53"/>
      <c r="BU1" s="53"/>
      <c r="BV1" s="53"/>
      <c r="BW1" s="53"/>
      <c r="BX1" s="53"/>
      <c r="BY1" s="53"/>
      <c r="BZ1" s="53"/>
      <c r="CA1" s="53"/>
      <c r="CB1" s="53"/>
      <c r="CC1" s="53"/>
      <c r="CD1" s="53"/>
      <c r="CE1" s="53"/>
      <c r="CF1" s="53"/>
      <c r="CG1" s="53"/>
      <c r="CH1" s="53"/>
      <c r="CI1" s="53"/>
      <c r="CJ1" s="53"/>
      <c r="CK1" s="53"/>
      <c r="CL1" s="53"/>
      <c r="CM1" s="53"/>
      <c r="CN1" s="53"/>
      <c r="CO1" s="53"/>
      <c r="CP1" s="53"/>
      <c r="CQ1" s="53"/>
      <c r="CR1" s="53"/>
      <c r="CS1" s="53"/>
      <c r="CT1" s="53"/>
      <c r="CU1" s="53"/>
      <c r="CV1" s="53"/>
      <c r="CW1" s="53"/>
      <c r="CX1" s="53"/>
      <c r="CY1" s="53"/>
      <c r="CZ1" s="53"/>
      <c r="DA1" s="53"/>
      <c r="DB1" s="53"/>
      <c r="DC1" s="53"/>
      <c r="DD1" s="53"/>
      <c r="DE1" s="53"/>
      <c r="DF1" s="53"/>
      <c r="DG1" s="53"/>
      <c r="DH1" s="53"/>
      <c r="DI1" s="53"/>
      <c r="DJ1" s="53"/>
      <c r="DK1" s="53"/>
      <c r="DL1" s="53"/>
      <c r="DM1" s="53"/>
      <c r="DN1" s="53"/>
      <c r="DO1" s="53"/>
      <c r="DP1" s="53"/>
      <c r="DQ1" s="53"/>
      <c r="DR1" s="53"/>
      <c r="DS1" s="53"/>
      <c r="DT1" s="53"/>
      <c r="DU1" s="53"/>
      <c r="DV1" s="53"/>
      <c r="DW1" s="53"/>
      <c r="DX1" s="53"/>
      <c r="DY1" s="53"/>
      <c r="DZ1" s="53"/>
      <c r="EA1" s="53"/>
      <c r="EB1" s="53"/>
      <c r="EC1" s="53"/>
      <c r="ED1" s="53"/>
      <c r="EE1" s="53"/>
      <c r="EF1" s="53"/>
      <c r="EG1" s="53"/>
      <c r="EH1" s="53"/>
      <c r="EI1" s="53"/>
      <c r="EJ1" s="53"/>
      <c r="EK1" s="53"/>
      <c r="EL1" s="53"/>
      <c r="EM1" s="53"/>
      <c r="EN1" s="53"/>
      <c r="EO1" s="53"/>
      <c r="EP1" s="53"/>
      <c r="EQ1" s="53"/>
      <c r="ER1" s="53"/>
      <c r="ES1" s="53"/>
      <c r="ET1" s="53"/>
      <c r="EU1" s="53"/>
      <c r="EV1" s="53"/>
      <c r="EW1" s="53"/>
      <c r="EX1" s="53"/>
      <c r="EY1" s="53"/>
      <c r="EZ1" s="53"/>
      <c r="FA1" s="53"/>
      <c r="FB1" s="53"/>
      <c r="FC1" s="53"/>
      <c r="FD1" s="53"/>
      <c r="FE1" s="53"/>
      <c r="FF1" s="53"/>
      <c r="FG1" s="53"/>
      <c r="FH1" s="53"/>
      <c r="FI1" s="53"/>
      <c r="FJ1" s="53"/>
      <c r="FK1" s="53"/>
      <c r="FL1" s="53"/>
      <c r="FM1" s="53"/>
      <c r="FN1" s="53"/>
      <c r="FO1" s="53"/>
      <c r="FP1" s="53"/>
      <c r="FQ1" s="53"/>
      <c r="FR1" s="53"/>
      <c r="FS1" s="53"/>
      <c r="FT1" s="53"/>
      <c r="FU1" s="53"/>
      <c r="FV1" s="53"/>
      <c r="FW1" s="53"/>
      <c r="FX1" s="53"/>
      <c r="FY1" s="53"/>
      <c r="FZ1" s="53"/>
      <c r="GA1" s="53"/>
      <c r="GB1" s="53"/>
      <c r="GC1" s="53"/>
      <c r="GD1" s="53"/>
      <c r="GE1" s="53"/>
      <c r="GF1" s="53"/>
      <c r="GG1" s="53"/>
      <c r="GH1" s="53"/>
      <c r="GI1" s="53"/>
      <c r="GJ1" s="53"/>
      <c r="GK1" s="53"/>
      <c r="GL1" s="53"/>
      <c r="GM1" s="53"/>
      <c r="GN1" s="53"/>
      <c r="GO1" s="53"/>
      <c r="GP1" s="53"/>
      <c r="GQ1" s="53"/>
      <c r="GR1" s="53"/>
      <c r="GS1" s="53"/>
      <c r="GT1" s="53"/>
      <c r="GU1" s="53"/>
      <c r="GV1" s="53"/>
      <c r="GW1" s="53"/>
      <c r="GX1" s="53"/>
      <c r="GY1" s="53"/>
      <c r="GZ1" s="53"/>
      <c r="HA1" s="53"/>
      <c r="HB1" s="53"/>
      <c r="HC1" s="53"/>
      <c r="HD1" s="53"/>
      <c r="HE1" s="53"/>
      <c r="HF1" s="53"/>
      <c r="HG1" s="53"/>
      <c r="HH1" s="53"/>
      <c r="HI1" s="53"/>
      <c r="HJ1" s="53"/>
      <c r="HK1" s="53"/>
      <c r="HL1" s="53"/>
      <c r="HM1" s="53"/>
      <c r="HN1" s="53"/>
      <c r="HO1" s="53"/>
      <c r="HP1" s="53"/>
      <c r="HQ1" s="53"/>
      <c r="HR1" s="53"/>
      <c r="HS1" s="53"/>
      <c r="HT1" s="53"/>
      <c r="HU1" s="53"/>
      <c r="HV1" s="53"/>
      <c r="HW1" s="53"/>
      <c r="HX1" s="53"/>
      <c r="HY1" s="53"/>
      <c r="HZ1" s="53"/>
      <c r="IA1" s="53"/>
      <c r="IB1" s="53"/>
      <c r="IC1" s="53"/>
      <c r="ID1" s="53"/>
      <c r="IE1" s="53"/>
      <c r="IF1" s="53"/>
      <c r="IG1" s="53"/>
      <c r="IH1" s="53"/>
      <c r="II1" s="53"/>
      <c r="IJ1" s="53"/>
      <c r="IK1" s="53"/>
      <c r="IL1" s="53"/>
      <c r="IM1" s="53"/>
      <c r="IN1" s="53"/>
      <c r="IO1" s="53"/>
      <c r="IP1" s="53"/>
      <c r="IQ1" s="53"/>
      <c r="IR1" s="53"/>
      <c r="IS1" s="53"/>
      <c r="IT1" s="53"/>
      <c r="IU1" s="53"/>
      <c r="IV1" s="53"/>
    </row>
    <row r="2" spans="1:256" ht="24.9" customHeight="1">
      <c r="A2" s="284" t="s">
        <v>12</v>
      </c>
      <c r="B2" s="284"/>
      <c r="C2" s="284"/>
      <c r="D2" s="284"/>
      <c r="E2" s="284"/>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3"/>
      <c r="BP2" s="53"/>
      <c r="BQ2" s="53"/>
      <c r="BR2" s="53"/>
      <c r="BS2" s="53"/>
      <c r="BT2" s="53"/>
      <c r="BU2" s="53"/>
      <c r="BV2" s="53"/>
      <c r="BW2" s="53"/>
      <c r="BX2" s="53"/>
      <c r="BY2" s="53"/>
      <c r="BZ2" s="53"/>
      <c r="CA2" s="53"/>
      <c r="CB2" s="53"/>
      <c r="CC2" s="53"/>
      <c r="CD2" s="53"/>
      <c r="CE2" s="53"/>
      <c r="CF2" s="53"/>
      <c r="CG2" s="53"/>
      <c r="CH2" s="53"/>
      <c r="CI2" s="53"/>
      <c r="CJ2" s="53"/>
      <c r="CK2" s="53"/>
      <c r="CL2" s="53"/>
      <c r="CM2" s="53"/>
      <c r="CN2" s="53"/>
      <c r="CO2" s="53"/>
      <c r="CP2" s="53"/>
      <c r="CQ2" s="53"/>
      <c r="CR2" s="53"/>
      <c r="CS2" s="53"/>
      <c r="CT2" s="53"/>
      <c r="CU2" s="53"/>
      <c r="CV2" s="53"/>
      <c r="CW2" s="53"/>
      <c r="CX2" s="53"/>
      <c r="CY2" s="53"/>
      <c r="CZ2" s="53"/>
      <c r="DA2" s="53"/>
      <c r="DB2" s="53"/>
      <c r="DC2" s="53"/>
      <c r="DD2" s="53"/>
      <c r="DE2" s="53"/>
      <c r="DF2" s="53"/>
      <c r="DG2" s="53"/>
      <c r="DH2" s="53"/>
      <c r="DI2" s="53"/>
      <c r="DJ2" s="53"/>
      <c r="DK2" s="53"/>
      <c r="DL2" s="53"/>
      <c r="DM2" s="53"/>
      <c r="DN2" s="53"/>
      <c r="DO2" s="53"/>
      <c r="DP2" s="53"/>
      <c r="DQ2" s="53"/>
      <c r="DR2" s="53"/>
      <c r="DS2" s="53"/>
      <c r="DT2" s="53"/>
      <c r="DU2" s="53"/>
      <c r="DV2" s="53"/>
      <c r="DW2" s="53"/>
      <c r="DX2" s="53"/>
      <c r="DY2" s="53"/>
      <c r="DZ2" s="53"/>
      <c r="EA2" s="53"/>
      <c r="EB2" s="53"/>
      <c r="EC2" s="53"/>
      <c r="ED2" s="53"/>
      <c r="EE2" s="53"/>
      <c r="EF2" s="53"/>
      <c r="EG2" s="53"/>
      <c r="EH2" s="53"/>
      <c r="EI2" s="53"/>
      <c r="EJ2" s="53"/>
      <c r="EK2" s="53"/>
      <c r="EL2" s="53"/>
      <c r="EM2" s="53"/>
      <c r="EN2" s="53"/>
      <c r="EO2" s="53"/>
      <c r="EP2" s="53"/>
      <c r="EQ2" s="53"/>
      <c r="ER2" s="53"/>
      <c r="ES2" s="53"/>
      <c r="ET2" s="53"/>
      <c r="EU2" s="53"/>
      <c r="EV2" s="53"/>
      <c r="EW2" s="53"/>
      <c r="EX2" s="53"/>
      <c r="EY2" s="53"/>
      <c r="EZ2" s="53"/>
      <c r="FA2" s="53"/>
      <c r="FB2" s="53"/>
      <c r="FC2" s="53"/>
      <c r="FD2" s="53"/>
      <c r="FE2" s="53"/>
      <c r="FF2" s="53"/>
      <c r="FG2" s="53"/>
      <c r="FH2" s="53"/>
      <c r="FI2" s="53"/>
      <c r="FJ2" s="53"/>
      <c r="FK2" s="53"/>
      <c r="FL2" s="53"/>
      <c r="FM2" s="53"/>
      <c r="FN2" s="53"/>
      <c r="FO2" s="53"/>
      <c r="FP2" s="53"/>
      <c r="FQ2" s="53"/>
      <c r="FR2" s="53"/>
      <c r="FS2" s="53"/>
      <c r="FT2" s="53"/>
      <c r="FU2" s="53"/>
      <c r="FV2" s="53"/>
      <c r="FW2" s="53"/>
      <c r="FX2" s="53"/>
      <c r="FY2" s="53"/>
      <c r="FZ2" s="53"/>
      <c r="GA2" s="53"/>
      <c r="GB2" s="53"/>
      <c r="GC2" s="53"/>
      <c r="GD2" s="53"/>
      <c r="GE2" s="53"/>
      <c r="GF2" s="53"/>
      <c r="GG2" s="53"/>
      <c r="GH2" s="53"/>
      <c r="GI2" s="53"/>
      <c r="GJ2" s="53"/>
      <c r="GK2" s="53"/>
      <c r="GL2" s="53"/>
      <c r="GM2" s="53"/>
      <c r="GN2" s="53"/>
      <c r="GO2" s="53"/>
      <c r="GP2" s="53"/>
      <c r="GQ2" s="53"/>
      <c r="GR2" s="53"/>
      <c r="GS2" s="53"/>
      <c r="GT2" s="53"/>
      <c r="GU2" s="53"/>
      <c r="GV2" s="53"/>
      <c r="GW2" s="53"/>
      <c r="GX2" s="53"/>
      <c r="GY2" s="53"/>
      <c r="GZ2" s="53"/>
      <c r="HA2" s="53"/>
      <c r="HB2" s="53"/>
      <c r="HC2" s="53"/>
      <c r="HD2" s="53"/>
      <c r="HE2" s="53"/>
      <c r="HF2" s="53"/>
      <c r="HG2" s="53"/>
      <c r="HH2" s="53"/>
      <c r="HI2" s="53"/>
      <c r="HJ2" s="53"/>
      <c r="HK2" s="53"/>
      <c r="HL2" s="53"/>
      <c r="HM2" s="53"/>
      <c r="HN2" s="53"/>
      <c r="HO2" s="53"/>
      <c r="HP2" s="53"/>
      <c r="HQ2" s="53"/>
      <c r="HR2" s="53"/>
      <c r="HS2" s="53"/>
      <c r="HT2" s="53"/>
      <c r="HU2" s="53"/>
      <c r="HV2" s="53"/>
      <c r="HW2" s="53"/>
      <c r="HX2" s="53"/>
      <c r="HY2" s="53"/>
      <c r="HZ2" s="53"/>
      <c r="IA2" s="53"/>
      <c r="IB2" s="53"/>
      <c r="IC2" s="53"/>
      <c r="ID2" s="53"/>
      <c r="IE2" s="53"/>
      <c r="IF2" s="53"/>
      <c r="IG2" s="53"/>
      <c r="IH2" s="53"/>
      <c r="II2" s="53"/>
      <c r="IJ2" s="53"/>
      <c r="IK2" s="53"/>
      <c r="IL2" s="53"/>
      <c r="IM2" s="53"/>
      <c r="IN2" s="53"/>
      <c r="IO2" s="53"/>
      <c r="IP2" s="53"/>
      <c r="IQ2" s="53"/>
      <c r="IR2" s="53"/>
      <c r="IS2" s="53"/>
      <c r="IT2" s="53"/>
      <c r="IU2" s="53"/>
      <c r="IV2" s="53"/>
    </row>
    <row r="3" spans="1:256" ht="20.100000000000001" customHeight="1">
      <c r="A3" s="54" t="str">
        <f>底稿目录!A2</f>
        <v>被审计单位名称：</v>
      </c>
      <c r="B3" s="54" t="str">
        <f>底稿目录!A4</f>
        <v>编制人：</v>
      </c>
      <c r="D3" s="54" t="str">
        <f>底稿目录!A5</f>
        <v>编制日期：</v>
      </c>
      <c r="E3" s="241" t="s">
        <v>296</v>
      </c>
      <c r="I3" s="82"/>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2"/>
      <c r="AT3" s="82"/>
      <c r="AU3" s="82"/>
      <c r="AV3" s="82"/>
      <c r="AW3" s="82"/>
      <c r="AX3" s="82"/>
      <c r="AY3" s="82"/>
      <c r="AZ3" s="82"/>
      <c r="BA3" s="82"/>
      <c r="BB3" s="82"/>
      <c r="BC3" s="82"/>
      <c r="BD3" s="82"/>
      <c r="BE3" s="82"/>
      <c r="BF3" s="82"/>
      <c r="BG3" s="82"/>
      <c r="BH3" s="82"/>
      <c r="BI3" s="82"/>
      <c r="BJ3" s="82"/>
      <c r="BK3" s="82"/>
      <c r="BL3" s="82"/>
      <c r="BM3" s="82"/>
      <c r="BN3" s="82"/>
      <c r="BO3" s="82"/>
      <c r="BP3" s="82"/>
      <c r="BQ3" s="82"/>
      <c r="BR3" s="82"/>
      <c r="BS3" s="82"/>
      <c r="BT3" s="82"/>
      <c r="BU3" s="82"/>
      <c r="BV3" s="82"/>
      <c r="BW3" s="82"/>
      <c r="BX3" s="82"/>
      <c r="BY3" s="82"/>
      <c r="BZ3" s="82"/>
      <c r="CA3" s="82"/>
      <c r="CB3" s="82"/>
      <c r="CC3" s="82"/>
      <c r="CD3" s="82"/>
      <c r="CE3" s="82"/>
      <c r="CF3" s="82"/>
      <c r="CG3" s="82"/>
      <c r="CH3" s="82"/>
      <c r="CI3" s="82"/>
      <c r="CJ3" s="82"/>
      <c r="CK3" s="82"/>
      <c r="CL3" s="82"/>
      <c r="CM3" s="82"/>
      <c r="CN3" s="82"/>
      <c r="CO3" s="82"/>
      <c r="CP3" s="82"/>
      <c r="CQ3" s="82"/>
      <c r="CR3" s="82"/>
      <c r="CS3" s="82"/>
      <c r="CT3" s="82"/>
      <c r="CU3" s="82"/>
      <c r="CV3" s="82"/>
      <c r="CW3" s="82"/>
      <c r="CX3" s="82"/>
      <c r="CY3" s="82"/>
      <c r="CZ3" s="82"/>
      <c r="DA3" s="82"/>
      <c r="DB3" s="82"/>
      <c r="DC3" s="82"/>
      <c r="DD3" s="82"/>
      <c r="DE3" s="82"/>
      <c r="DF3" s="82"/>
      <c r="DG3" s="82"/>
      <c r="DH3" s="82"/>
      <c r="DI3" s="82"/>
      <c r="DJ3" s="82"/>
      <c r="DK3" s="82"/>
      <c r="DL3" s="82"/>
      <c r="DM3" s="82"/>
      <c r="DN3" s="82"/>
      <c r="DO3" s="82"/>
      <c r="DP3" s="82"/>
      <c r="DQ3" s="82"/>
      <c r="DR3" s="82"/>
      <c r="DS3" s="82"/>
      <c r="DT3" s="82"/>
      <c r="DU3" s="82"/>
      <c r="DV3" s="82"/>
      <c r="DW3" s="82"/>
      <c r="DX3" s="82"/>
      <c r="DY3" s="82"/>
      <c r="DZ3" s="82"/>
      <c r="EA3" s="82"/>
      <c r="EB3" s="82"/>
      <c r="EC3" s="82"/>
      <c r="ED3" s="82"/>
      <c r="EE3" s="82"/>
      <c r="EF3" s="82"/>
      <c r="EG3" s="82"/>
      <c r="EH3" s="82"/>
      <c r="EI3" s="82"/>
      <c r="EJ3" s="82"/>
      <c r="EK3" s="82"/>
      <c r="EL3" s="82"/>
      <c r="EM3" s="82"/>
      <c r="EN3" s="82"/>
      <c r="EO3" s="82"/>
      <c r="EP3" s="82"/>
      <c r="EQ3" s="82"/>
      <c r="ER3" s="82"/>
      <c r="ES3" s="82"/>
      <c r="ET3" s="82"/>
      <c r="EU3" s="82"/>
      <c r="EV3" s="82"/>
      <c r="EW3" s="82"/>
      <c r="EX3" s="82"/>
      <c r="EY3" s="82"/>
      <c r="EZ3" s="82"/>
      <c r="FA3" s="82"/>
      <c r="FB3" s="82"/>
      <c r="FC3" s="82"/>
      <c r="FD3" s="82"/>
      <c r="FE3" s="82"/>
      <c r="FF3" s="82"/>
      <c r="FG3" s="82"/>
      <c r="FH3" s="82"/>
      <c r="FI3" s="82"/>
      <c r="FJ3" s="82"/>
      <c r="FK3" s="82"/>
      <c r="FL3" s="82"/>
      <c r="FM3" s="82"/>
      <c r="FN3" s="82"/>
      <c r="FO3" s="82"/>
      <c r="FP3" s="82"/>
      <c r="FQ3" s="82"/>
      <c r="FR3" s="82"/>
      <c r="FS3" s="82"/>
      <c r="FT3" s="82"/>
      <c r="FU3" s="82"/>
      <c r="FV3" s="82"/>
      <c r="FW3" s="82"/>
      <c r="FX3" s="82"/>
      <c r="FY3" s="82"/>
      <c r="FZ3" s="82"/>
      <c r="GA3" s="82"/>
      <c r="GB3" s="82"/>
      <c r="GC3" s="82"/>
      <c r="GD3" s="82"/>
      <c r="GE3" s="82"/>
      <c r="GF3" s="82"/>
      <c r="GG3" s="82"/>
      <c r="GH3" s="82"/>
      <c r="GI3" s="82"/>
      <c r="GJ3" s="82"/>
      <c r="GK3" s="82"/>
      <c r="GL3" s="82"/>
      <c r="GM3" s="82"/>
      <c r="GN3" s="82"/>
      <c r="GO3" s="82"/>
      <c r="GP3" s="82"/>
      <c r="GQ3" s="82"/>
      <c r="GR3" s="82"/>
      <c r="GS3" s="82"/>
      <c r="GT3" s="82"/>
      <c r="GU3" s="82"/>
      <c r="GV3" s="82"/>
      <c r="GW3" s="82"/>
      <c r="GX3" s="82"/>
      <c r="GY3" s="82"/>
      <c r="GZ3" s="82"/>
      <c r="HA3" s="82"/>
      <c r="HB3" s="82"/>
      <c r="HC3" s="82"/>
      <c r="HD3" s="82"/>
      <c r="HE3" s="82"/>
      <c r="HF3" s="82"/>
      <c r="HG3" s="82"/>
      <c r="HH3" s="82"/>
      <c r="HI3" s="82"/>
      <c r="HJ3" s="82"/>
      <c r="HK3" s="82"/>
      <c r="HL3" s="82"/>
      <c r="HM3" s="82"/>
      <c r="HN3" s="82"/>
      <c r="HO3" s="82"/>
      <c r="HP3" s="82"/>
      <c r="HQ3" s="82"/>
      <c r="HR3" s="82"/>
      <c r="HS3" s="82"/>
      <c r="HT3" s="82"/>
      <c r="HU3" s="82"/>
      <c r="HV3" s="82"/>
      <c r="HW3" s="82"/>
      <c r="HX3" s="82"/>
      <c r="HY3" s="82"/>
      <c r="HZ3" s="82"/>
      <c r="IA3" s="82"/>
      <c r="IB3" s="82"/>
      <c r="IC3" s="82"/>
      <c r="ID3" s="82"/>
      <c r="IE3" s="82"/>
      <c r="IF3" s="82"/>
      <c r="IG3" s="82"/>
      <c r="IH3" s="82"/>
      <c r="II3" s="82"/>
      <c r="IJ3" s="82"/>
      <c r="IK3" s="82"/>
      <c r="IL3" s="82"/>
      <c r="IM3" s="82"/>
      <c r="IN3" s="82"/>
      <c r="IO3" s="82"/>
      <c r="IP3" s="82"/>
      <c r="IQ3" s="82"/>
      <c r="IR3" s="82"/>
      <c r="IS3" s="82"/>
      <c r="IT3" s="82"/>
      <c r="IU3" s="82"/>
      <c r="IV3" s="82"/>
    </row>
    <row r="4" spans="1:256" ht="20.100000000000001" customHeight="1">
      <c r="A4" s="54" t="str">
        <f>底稿目录!A3</f>
        <v>截止日：202X年12月31日</v>
      </c>
      <c r="B4" s="54" t="str">
        <f>底稿目录!A6</f>
        <v>复核人：</v>
      </c>
      <c r="D4" s="54" t="str">
        <f>底稿目录!A7</f>
        <v>复核日期：</v>
      </c>
      <c r="E4" s="55" t="s">
        <v>19</v>
      </c>
      <c r="I4" s="82"/>
      <c r="J4" s="82"/>
      <c r="K4" s="82"/>
      <c r="L4" s="82"/>
      <c r="M4" s="82"/>
      <c r="N4" s="82"/>
      <c r="O4" s="82"/>
      <c r="P4" s="82"/>
      <c r="Q4" s="82"/>
      <c r="R4" s="82"/>
      <c r="S4" s="82"/>
      <c r="T4" s="82"/>
      <c r="U4" s="82"/>
      <c r="V4" s="82"/>
      <c r="W4" s="82"/>
      <c r="X4" s="82"/>
      <c r="Y4" s="82"/>
      <c r="Z4" s="82"/>
      <c r="AA4" s="82"/>
      <c r="AB4" s="82"/>
      <c r="AC4" s="82"/>
      <c r="AD4" s="82"/>
      <c r="AE4" s="82"/>
      <c r="AF4" s="82"/>
      <c r="AG4" s="82"/>
      <c r="AH4" s="82"/>
      <c r="AI4" s="82"/>
      <c r="AJ4" s="82"/>
      <c r="AK4" s="82"/>
      <c r="AL4" s="82"/>
      <c r="AM4" s="82"/>
      <c r="AN4" s="82"/>
      <c r="AO4" s="82"/>
      <c r="AP4" s="82"/>
      <c r="AQ4" s="82"/>
      <c r="AR4" s="82"/>
      <c r="AS4" s="82"/>
      <c r="AT4" s="82"/>
      <c r="AU4" s="82"/>
      <c r="AV4" s="82"/>
      <c r="AW4" s="82"/>
      <c r="AX4" s="82"/>
      <c r="AY4" s="82"/>
      <c r="AZ4" s="82"/>
      <c r="BA4" s="82"/>
      <c r="BB4" s="82"/>
      <c r="BC4" s="82"/>
      <c r="BD4" s="82"/>
      <c r="BE4" s="82"/>
      <c r="BF4" s="82"/>
      <c r="BG4" s="82"/>
      <c r="BH4" s="82"/>
      <c r="BI4" s="82"/>
      <c r="BJ4" s="82"/>
      <c r="BK4" s="82"/>
      <c r="BL4" s="82"/>
      <c r="BM4" s="82"/>
      <c r="BN4" s="82"/>
      <c r="BO4" s="82"/>
      <c r="BP4" s="82"/>
      <c r="BQ4" s="82"/>
      <c r="BR4" s="82"/>
      <c r="BS4" s="82"/>
      <c r="BT4" s="82"/>
      <c r="BU4" s="82"/>
      <c r="BV4" s="82"/>
      <c r="BW4" s="82"/>
      <c r="BX4" s="82"/>
      <c r="BY4" s="82"/>
      <c r="BZ4" s="82"/>
      <c r="CA4" s="82"/>
      <c r="CB4" s="82"/>
      <c r="CC4" s="82"/>
      <c r="CD4" s="82"/>
      <c r="CE4" s="82"/>
      <c r="CF4" s="82"/>
      <c r="CG4" s="82"/>
      <c r="CH4" s="82"/>
      <c r="CI4" s="82"/>
      <c r="CJ4" s="82"/>
      <c r="CK4" s="82"/>
      <c r="CL4" s="82"/>
      <c r="CM4" s="82"/>
      <c r="CN4" s="82"/>
      <c r="CO4" s="82"/>
      <c r="CP4" s="82"/>
      <c r="CQ4" s="82"/>
      <c r="CR4" s="82"/>
      <c r="CS4" s="82"/>
      <c r="CT4" s="82"/>
      <c r="CU4" s="82"/>
      <c r="CV4" s="82"/>
      <c r="CW4" s="82"/>
      <c r="CX4" s="82"/>
      <c r="CY4" s="82"/>
      <c r="CZ4" s="82"/>
      <c r="DA4" s="82"/>
      <c r="DB4" s="82"/>
      <c r="DC4" s="82"/>
      <c r="DD4" s="82"/>
      <c r="DE4" s="82"/>
      <c r="DF4" s="82"/>
      <c r="DG4" s="82"/>
      <c r="DH4" s="82"/>
      <c r="DI4" s="82"/>
      <c r="DJ4" s="82"/>
      <c r="DK4" s="82"/>
      <c r="DL4" s="82"/>
      <c r="DM4" s="82"/>
      <c r="DN4" s="82"/>
      <c r="DO4" s="82"/>
      <c r="DP4" s="82"/>
      <c r="DQ4" s="82"/>
      <c r="DR4" s="82"/>
      <c r="DS4" s="82"/>
      <c r="DT4" s="82"/>
      <c r="DU4" s="82"/>
      <c r="DV4" s="82"/>
      <c r="DW4" s="82"/>
      <c r="DX4" s="82"/>
      <c r="DY4" s="82"/>
      <c r="DZ4" s="82"/>
      <c r="EA4" s="82"/>
      <c r="EB4" s="82"/>
      <c r="EC4" s="82"/>
      <c r="ED4" s="82"/>
      <c r="EE4" s="82"/>
      <c r="EF4" s="82"/>
      <c r="EG4" s="82"/>
      <c r="EH4" s="82"/>
      <c r="EI4" s="82"/>
      <c r="EJ4" s="82"/>
      <c r="EK4" s="82"/>
      <c r="EL4" s="82"/>
      <c r="EM4" s="82"/>
      <c r="EN4" s="82"/>
      <c r="EO4" s="82"/>
      <c r="EP4" s="82"/>
      <c r="EQ4" s="82"/>
      <c r="ER4" s="82"/>
      <c r="ES4" s="82"/>
      <c r="ET4" s="82"/>
      <c r="EU4" s="82"/>
      <c r="EV4" s="82"/>
      <c r="EW4" s="82"/>
      <c r="EX4" s="82"/>
      <c r="EY4" s="82"/>
      <c r="EZ4" s="82"/>
      <c r="FA4" s="82"/>
      <c r="FB4" s="82"/>
      <c r="FC4" s="82"/>
      <c r="FD4" s="82"/>
      <c r="FE4" s="82"/>
      <c r="FF4" s="82"/>
      <c r="FG4" s="82"/>
      <c r="FH4" s="82"/>
      <c r="FI4" s="82"/>
      <c r="FJ4" s="82"/>
      <c r="FK4" s="82"/>
      <c r="FL4" s="82"/>
      <c r="FM4" s="82"/>
      <c r="FN4" s="82"/>
      <c r="FO4" s="82"/>
      <c r="FP4" s="82"/>
      <c r="FQ4" s="82"/>
      <c r="FR4" s="82"/>
      <c r="FS4" s="82"/>
      <c r="FT4" s="82"/>
      <c r="FU4" s="82"/>
      <c r="FV4" s="82"/>
      <c r="FW4" s="82"/>
      <c r="FX4" s="82"/>
      <c r="FY4" s="82"/>
      <c r="FZ4" s="82"/>
      <c r="GA4" s="82"/>
      <c r="GB4" s="82"/>
      <c r="GC4" s="82"/>
      <c r="GD4" s="82"/>
      <c r="GE4" s="82"/>
      <c r="GF4" s="82"/>
      <c r="GG4" s="82"/>
      <c r="GH4" s="82"/>
      <c r="GI4" s="82"/>
      <c r="GJ4" s="82"/>
      <c r="GK4" s="82"/>
      <c r="GL4" s="82"/>
      <c r="GM4" s="82"/>
      <c r="GN4" s="82"/>
      <c r="GO4" s="82"/>
      <c r="GP4" s="82"/>
      <c r="GQ4" s="82"/>
      <c r="GR4" s="82"/>
      <c r="GS4" s="82"/>
      <c r="GT4" s="82"/>
      <c r="GU4" s="82"/>
      <c r="GV4" s="82"/>
      <c r="GW4" s="82"/>
      <c r="GX4" s="82"/>
      <c r="GY4" s="82"/>
      <c r="GZ4" s="82"/>
      <c r="HA4" s="82"/>
      <c r="HB4" s="82"/>
      <c r="HC4" s="82"/>
      <c r="HD4" s="82"/>
      <c r="HE4" s="82"/>
      <c r="HF4" s="82"/>
      <c r="HG4" s="82"/>
      <c r="HH4" s="82"/>
      <c r="HI4" s="82"/>
      <c r="HJ4" s="82"/>
      <c r="HK4" s="82"/>
      <c r="HL4" s="82"/>
      <c r="HM4" s="82"/>
      <c r="HN4" s="82"/>
      <c r="HO4" s="82"/>
      <c r="HP4" s="82"/>
      <c r="HQ4" s="82"/>
      <c r="HR4" s="82"/>
      <c r="HS4" s="82"/>
      <c r="HT4" s="82"/>
      <c r="HU4" s="82"/>
      <c r="HV4" s="82"/>
      <c r="HW4" s="82"/>
      <c r="HX4" s="82"/>
      <c r="HY4" s="82"/>
      <c r="HZ4" s="82"/>
      <c r="IA4" s="82"/>
      <c r="IB4" s="82"/>
      <c r="IC4" s="82"/>
      <c r="ID4" s="82"/>
      <c r="IE4" s="82"/>
      <c r="IF4" s="82"/>
      <c r="IG4" s="82"/>
      <c r="IH4" s="82"/>
      <c r="II4" s="82"/>
      <c r="IJ4" s="82"/>
      <c r="IK4" s="82"/>
      <c r="IL4" s="82"/>
      <c r="IM4" s="82"/>
      <c r="IN4" s="82"/>
      <c r="IO4" s="82"/>
      <c r="IP4" s="82"/>
      <c r="IQ4" s="82"/>
      <c r="IR4" s="82"/>
      <c r="IS4" s="82"/>
      <c r="IT4" s="82"/>
      <c r="IU4" s="82"/>
      <c r="IV4" s="82"/>
    </row>
    <row r="5" spans="1:256" ht="20.100000000000001" customHeight="1">
      <c r="A5" s="56" t="s">
        <v>134</v>
      </c>
      <c r="B5" s="57"/>
      <c r="C5" s="57"/>
      <c r="D5" s="57"/>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c r="FX5" s="57"/>
      <c r="FY5" s="57"/>
      <c r="FZ5" s="57"/>
      <c r="GA5" s="57"/>
      <c r="GB5" s="57"/>
      <c r="GC5" s="57"/>
      <c r="GD5" s="57"/>
      <c r="GE5" s="57"/>
      <c r="GF5" s="57"/>
      <c r="GG5" s="57"/>
      <c r="GH5" s="57"/>
      <c r="GI5" s="57"/>
      <c r="GJ5" s="57"/>
      <c r="GK5" s="57"/>
      <c r="GL5" s="57"/>
      <c r="GM5" s="57"/>
      <c r="GN5" s="57"/>
      <c r="GO5" s="57"/>
      <c r="GP5" s="57"/>
      <c r="GQ5" s="57"/>
      <c r="GR5" s="57"/>
      <c r="GS5" s="57"/>
      <c r="GT5" s="57"/>
      <c r="GU5" s="57"/>
      <c r="GV5" s="57"/>
      <c r="GW5" s="57"/>
      <c r="GX5" s="57"/>
      <c r="GY5" s="57"/>
      <c r="GZ5" s="57"/>
      <c r="HA5" s="57"/>
      <c r="HB5" s="57"/>
      <c r="HC5" s="57"/>
      <c r="HD5" s="57"/>
      <c r="HE5" s="57"/>
      <c r="HF5" s="57"/>
      <c r="HG5" s="57"/>
      <c r="HH5" s="57"/>
      <c r="HI5" s="57"/>
      <c r="HJ5" s="57"/>
      <c r="HK5" s="57"/>
      <c r="HL5" s="57"/>
      <c r="HM5" s="57"/>
      <c r="HN5" s="57"/>
      <c r="HO5" s="57"/>
      <c r="HP5" s="57"/>
      <c r="HQ5" s="57"/>
      <c r="HR5" s="57"/>
      <c r="HS5" s="57"/>
      <c r="HT5" s="57"/>
      <c r="HU5" s="57"/>
      <c r="HV5" s="57"/>
      <c r="HW5" s="57"/>
      <c r="HX5" s="57"/>
      <c r="HY5" s="57"/>
      <c r="HZ5" s="57"/>
      <c r="IA5" s="57"/>
      <c r="IB5" s="57"/>
      <c r="IC5" s="57"/>
      <c r="ID5" s="57"/>
      <c r="IE5" s="57"/>
      <c r="IF5" s="57"/>
      <c r="IG5" s="57"/>
      <c r="IH5" s="57"/>
      <c r="II5" s="57"/>
      <c r="IJ5" s="57"/>
      <c r="IK5" s="57"/>
      <c r="IL5" s="57"/>
      <c r="IM5" s="57"/>
      <c r="IN5" s="57"/>
      <c r="IO5" s="57"/>
      <c r="IP5" s="57"/>
      <c r="IQ5" s="57"/>
      <c r="IR5" s="57"/>
      <c r="IS5" s="57"/>
      <c r="IT5" s="57"/>
      <c r="IU5" s="57"/>
      <c r="IV5" s="57"/>
    </row>
    <row r="6" spans="1:256" s="50" customFormat="1" ht="20.100000000000001" customHeight="1">
      <c r="A6" s="56" t="s">
        <v>135</v>
      </c>
    </row>
    <row r="7" spans="1:256" s="50" customFormat="1" ht="20.100000000000001" customHeight="1">
      <c r="A7" s="58" t="s">
        <v>136</v>
      </c>
      <c r="B7" s="58"/>
      <c r="C7" s="58"/>
      <c r="D7" s="58"/>
      <c r="E7" s="58"/>
    </row>
    <row r="8" spans="1:256" s="50" customFormat="1" ht="20.100000000000001" customHeight="1">
      <c r="A8" s="56" t="s">
        <v>137</v>
      </c>
    </row>
    <row r="9" spans="1:256" s="50" customFormat="1" ht="20.100000000000001" customHeight="1">
      <c r="A9" s="56" t="s">
        <v>138</v>
      </c>
    </row>
    <row r="10" spans="1:256" s="50" customFormat="1" ht="20.100000000000001" customHeight="1">
      <c r="A10" s="279" t="s">
        <v>88</v>
      </c>
      <c r="B10" s="285" t="s">
        <v>89</v>
      </c>
      <c r="C10" s="285"/>
      <c r="D10" s="285" t="s">
        <v>139</v>
      </c>
      <c r="E10" s="285"/>
    </row>
    <row r="11" spans="1:256" s="50" customFormat="1" ht="20.100000000000001" customHeight="1">
      <c r="A11" s="280"/>
      <c r="B11" s="60" t="s">
        <v>140</v>
      </c>
      <c r="C11" s="60" t="s">
        <v>91</v>
      </c>
      <c r="D11" s="60" t="s">
        <v>140</v>
      </c>
      <c r="E11" s="60" t="s">
        <v>91</v>
      </c>
    </row>
    <row r="12" spans="1:256" s="50" customFormat="1" ht="20.100000000000001" customHeight="1">
      <c r="A12" s="61" t="s">
        <v>141</v>
      </c>
      <c r="B12" s="62"/>
      <c r="C12" s="62"/>
      <c r="D12" s="62"/>
      <c r="E12" s="62"/>
    </row>
    <row r="13" spans="1:256" s="50" customFormat="1" ht="20.100000000000001" customHeight="1">
      <c r="A13" s="63" t="str">
        <f>'附注披露信息（上市公司）'!A13</f>
        <v>资产减值准备</v>
      </c>
      <c r="B13" s="64"/>
      <c r="C13" s="64"/>
      <c r="D13" s="64"/>
      <c r="E13" s="64"/>
      <c r="F13" s="50" t="s">
        <v>142</v>
      </c>
    </row>
    <row r="14" spans="1:256" s="50" customFormat="1" ht="20.100000000000001" customHeight="1">
      <c r="A14" s="63" t="str">
        <f>'附注披露信息（上市公司）'!A14</f>
        <v>可抵扣亏损</v>
      </c>
      <c r="B14" s="64"/>
      <c r="C14" s="64"/>
      <c r="D14" s="64"/>
      <c r="E14" s="64"/>
      <c r="F14" s="50" t="s">
        <v>142</v>
      </c>
    </row>
    <row r="15" spans="1:256" s="50" customFormat="1" ht="20.100000000000001" customHeight="1">
      <c r="A15" s="63" t="str">
        <f>'附注披露信息（上市公司）'!A15</f>
        <v>内部交易未实现利润</v>
      </c>
      <c r="B15" s="64"/>
      <c r="C15" s="64"/>
      <c r="D15" s="64"/>
      <c r="E15" s="64"/>
      <c r="F15" s="50" t="s">
        <v>142</v>
      </c>
    </row>
    <row r="16" spans="1:256" s="50" customFormat="1" ht="20.100000000000001" customHeight="1">
      <c r="A16" s="63" t="str">
        <f>'附注披露信息（上市公司）'!A16</f>
        <v>公允价值变动</v>
      </c>
      <c r="B16" s="64"/>
      <c r="C16" s="64"/>
      <c r="D16" s="64"/>
      <c r="E16" s="64"/>
      <c r="F16" s="50" t="s">
        <v>142</v>
      </c>
    </row>
    <row r="17" spans="1:7" s="50" customFormat="1" ht="20.100000000000001" customHeight="1">
      <c r="A17" s="63" t="str">
        <f>'附注披露信息（上市公司）'!A17</f>
        <v>租赁负债</v>
      </c>
      <c r="B17" s="64"/>
      <c r="C17" s="64"/>
      <c r="D17" s="64"/>
      <c r="E17" s="64"/>
      <c r="F17" s="50" t="s">
        <v>142</v>
      </c>
    </row>
    <row r="18" spans="1:7" s="50" customFormat="1" ht="20.100000000000001" customHeight="1">
      <c r="A18" s="63" t="str">
        <f>'附注披露信息（上市公司）'!A18</f>
        <v>购入摊销年限小于税法规定的资产</v>
      </c>
      <c r="B18" s="64"/>
      <c r="C18" s="64"/>
      <c r="D18" s="64"/>
      <c r="E18" s="64"/>
      <c r="F18" s="50" t="s">
        <v>142</v>
      </c>
    </row>
    <row r="19" spans="1:7" s="50" customFormat="1" ht="20.100000000000001" customHeight="1">
      <c r="A19" s="63" t="str">
        <f>'附注披露信息（上市公司）'!A19</f>
        <v>其他</v>
      </c>
      <c r="B19" s="64"/>
      <c r="C19" s="64"/>
      <c r="D19" s="64"/>
      <c r="E19" s="64"/>
      <c r="F19" s="50" t="s">
        <v>142</v>
      </c>
    </row>
    <row r="20" spans="1:7" s="50" customFormat="1" ht="20.100000000000001" customHeight="1">
      <c r="A20" s="63"/>
      <c r="B20" s="64"/>
      <c r="C20" s="64"/>
      <c r="D20" s="64"/>
      <c r="E20" s="64"/>
      <c r="F20" s="50" t="s">
        <v>142</v>
      </c>
      <c r="G20" s="50" t="str">
        <f t="shared" ref="G20" si="0">A20&amp;F20</f>
        <v>,</v>
      </c>
    </row>
    <row r="21" spans="1:7" s="50" customFormat="1" ht="20.100000000000001" customHeight="1">
      <c r="A21" s="65" t="s">
        <v>143</v>
      </c>
      <c r="B21" s="66">
        <f>SUM(B13:B19)</f>
        <v>0</v>
      </c>
      <c r="C21" s="66">
        <f t="shared" ref="C21:E21" si="1">SUM(C13:C19)</f>
        <v>0</v>
      </c>
      <c r="D21" s="66">
        <f t="shared" si="1"/>
        <v>0</v>
      </c>
      <c r="E21" s="66">
        <f t="shared" si="1"/>
        <v>0</v>
      </c>
    </row>
    <row r="22" spans="1:7" s="50" customFormat="1" ht="20.100000000000001" customHeight="1">
      <c r="A22" s="278" t="s">
        <v>102</v>
      </c>
      <c r="B22" s="278"/>
      <c r="C22" s="278"/>
      <c r="D22" s="278"/>
      <c r="E22" s="278"/>
      <c r="F22" s="67" t="s">
        <v>103</v>
      </c>
    </row>
    <row r="23" spans="1:7" s="50" customFormat="1" ht="20.100000000000001" customHeight="1">
      <c r="A23" s="63" t="s">
        <v>104</v>
      </c>
      <c r="B23" s="68"/>
      <c r="C23" s="68"/>
      <c r="D23" s="68"/>
      <c r="E23" s="68"/>
    </row>
    <row r="24" spans="1:7" s="50" customFormat="1" ht="20.100000000000001" customHeight="1">
      <c r="A24" s="63" t="s">
        <v>105</v>
      </c>
      <c r="B24" s="68"/>
      <c r="C24" s="68"/>
      <c r="D24" s="68"/>
      <c r="E24" s="68"/>
    </row>
    <row r="25" spans="1:7" s="50" customFormat="1" ht="20.100000000000001" customHeight="1">
      <c r="A25" s="63" t="s">
        <v>106</v>
      </c>
      <c r="B25" s="68"/>
      <c r="C25" s="68"/>
      <c r="D25" s="68"/>
      <c r="E25" s="68"/>
    </row>
    <row r="26" spans="1:7" s="50" customFormat="1" ht="20.100000000000001" customHeight="1">
      <c r="A26" s="63" t="s">
        <v>144</v>
      </c>
      <c r="B26" s="68"/>
      <c r="C26" s="68"/>
      <c r="D26" s="68"/>
      <c r="E26" s="68"/>
    </row>
    <row r="27" spans="1:7" s="50" customFormat="1" ht="20.100000000000001" customHeight="1">
      <c r="A27" s="63" t="s">
        <v>100</v>
      </c>
      <c r="B27" s="68"/>
      <c r="C27" s="68"/>
      <c r="D27" s="68"/>
      <c r="E27" s="68"/>
    </row>
    <row r="28" spans="1:7" s="50" customFormat="1" ht="20.100000000000001" customHeight="1">
      <c r="A28" s="61"/>
      <c r="B28" s="68"/>
      <c r="C28" s="68"/>
      <c r="D28" s="68"/>
      <c r="E28" s="68"/>
    </row>
    <row r="29" spans="1:7" s="50" customFormat="1" ht="20.100000000000001" customHeight="1">
      <c r="A29" s="59" t="s">
        <v>108</v>
      </c>
      <c r="B29" s="69">
        <f>SUM(B23:B28)</f>
        <v>0</v>
      </c>
      <c r="C29" s="69">
        <f t="shared" ref="C29:E29" si="2">SUM(C23:C28)</f>
        <v>0</v>
      </c>
      <c r="D29" s="69">
        <f t="shared" si="2"/>
        <v>0</v>
      </c>
      <c r="E29" s="69">
        <f t="shared" si="2"/>
        <v>0</v>
      </c>
    </row>
    <row r="30" spans="1:7" s="50" customFormat="1" ht="20.100000000000001" customHeight="1">
      <c r="A30" s="67" t="s">
        <v>145</v>
      </c>
      <c r="B30" s="70"/>
      <c r="C30" s="70"/>
      <c r="D30" s="70"/>
      <c r="E30" s="70"/>
    </row>
    <row r="31" spans="1:7" s="50" customFormat="1" ht="20.100000000000001" customHeight="1">
      <c r="A31" s="67" t="s">
        <v>146</v>
      </c>
      <c r="B31" s="70"/>
      <c r="C31" s="70"/>
      <c r="D31" s="70"/>
      <c r="E31" s="70"/>
    </row>
    <row r="32" spans="1:7" s="50" customFormat="1" ht="20.100000000000001" customHeight="1">
      <c r="A32" s="56" t="s">
        <v>147</v>
      </c>
    </row>
    <row r="33" spans="1:5" s="50" customFormat="1" ht="20.100000000000001" customHeight="1">
      <c r="A33" s="71" t="s">
        <v>148</v>
      </c>
    </row>
    <row r="34" spans="1:5" s="50" customFormat="1" ht="36" customHeight="1">
      <c r="A34" s="72" t="s">
        <v>88</v>
      </c>
      <c r="B34" s="73" t="s">
        <v>149</v>
      </c>
      <c r="C34" s="73" t="s">
        <v>150</v>
      </c>
      <c r="D34" s="73" t="s">
        <v>151</v>
      </c>
      <c r="E34" s="73" t="s">
        <v>152</v>
      </c>
    </row>
    <row r="35" spans="1:5" s="50" customFormat="1" ht="20.100000000000001" customHeight="1">
      <c r="A35" s="63" t="s">
        <v>141</v>
      </c>
    </row>
    <row r="36" spans="1:5" s="50" customFormat="1" ht="20.100000000000001" customHeight="1">
      <c r="A36" s="63" t="str">
        <f t="shared" ref="A36:A42" si="3">A13</f>
        <v>资产减值准备</v>
      </c>
    </row>
    <row r="37" spans="1:5" s="50" customFormat="1" ht="20.100000000000001" customHeight="1">
      <c r="A37" s="63" t="str">
        <f t="shared" si="3"/>
        <v>可抵扣亏损</v>
      </c>
    </row>
    <row r="38" spans="1:5" s="50" customFormat="1" ht="20.100000000000001" customHeight="1">
      <c r="A38" s="63" t="str">
        <f t="shared" si="3"/>
        <v>内部交易未实现利润</v>
      </c>
    </row>
    <row r="39" spans="1:5" s="50" customFormat="1" ht="20.100000000000001" customHeight="1">
      <c r="A39" s="63" t="str">
        <f t="shared" si="3"/>
        <v>公允价值变动</v>
      </c>
    </row>
    <row r="40" spans="1:5" s="50" customFormat="1" ht="20.100000000000001" customHeight="1">
      <c r="A40" s="63" t="str">
        <f t="shared" si="3"/>
        <v>租赁负债</v>
      </c>
    </row>
    <row r="41" spans="1:5" s="50" customFormat="1" ht="20.100000000000001" customHeight="1">
      <c r="A41" s="63" t="str">
        <f t="shared" si="3"/>
        <v>购入摊销年限小于税法规定的资产</v>
      </c>
    </row>
    <row r="42" spans="1:5" s="50" customFormat="1" ht="20.100000000000001" customHeight="1">
      <c r="A42" s="63" t="str">
        <f t="shared" si="3"/>
        <v>其他</v>
      </c>
    </row>
    <row r="43" spans="1:5" s="50" customFormat="1" ht="20.100000000000001" customHeight="1">
      <c r="A43" s="63"/>
    </row>
    <row r="44" spans="1:5" s="50" customFormat="1" ht="20.100000000000001" customHeight="1">
      <c r="A44" s="74" t="s">
        <v>153</v>
      </c>
      <c r="B44" s="75">
        <f>SUM(B36:B43)</f>
        <v>0</v>
      </c>
      <c r="C44" s="75">
        <f t="shared" ref="C44:E44" si="4">SUM(C36:C43)</f>
        <v>0</v>
      </c>
      <c r="D44" s="75">
        <f t="shared" si="4"/>
        <v>0</v>
      </c>
      <c r="E44" s="75">
        <f t="shared" si="4"/>
        <v>0</v>
      </c>
    </row>
    <row r="45" spans="1:5" s="50" customFormat="1" ht="20.100000000000001" customHeight="1">
      <c r="A45" s="63" t="s">
        <v>154</v>
      </c>
      <c r="B45" s="76"/>
      <c r="C45" s="76"/>
      <c r="D45" s="76"/>
      <c r="E45" s="76"/>
    </row>
    <row r="46" spans="1:5" s="50" customFormat="1" ht="20.100000000000001" customHeight="1">
      <c r="A46" s="63" t="str">
        <f>A23</f>
        <v>购入摊销年限大于税法规定的资产</v>
      </c>
      <c r="B46" s="76"/>
      <c r="C46" s="76"/>
      <c r="D46" s="76"/>
      <c r="E46" s="76"/>
    </row>
    <row r="47" spans="1:5" s="50" customFormat="1" ht="20.100000000000001" customHeight="1">
      <c r="A47" s="63" t="str">
        <f>A24</f>
        <v>可供出售金融资产公允价值变动</v>
      </c>
      <c r="B47" s="76"/>
      <c r="C47" s="76"/>
      <c r="D47" s="76"/>
      <c r="E47" s="76"/>
    </row>
    <row r="48" spans="1:5" s="50" customFormat="1" ht="20.100000000000001" customHeight="1">
      <c r="A48" s="63" t="str">
        <f>A25</f>
        <v>投资性房地产公允价值变动</v>
      </c>
      <c r="B48" s="76"/>
      <c r="C48" s="76"/>
      <c r="D48" s="76"/>
      <c r="E48" s="76"/>
    </row>
    <row r="49" spans="1:5" s="50" customFormat="1" ht="20.100000000000001" customHeight="1">
      <c r="A49" s="63" t="str">
        <f>A26</f>
        <v>租赁形成</v>
      </c>
      <c r="B49" s="76"/>
      <c r="C49" s="76"/>
      <c r="D49" s="76"/>
      <c r="E49" s="76"/>
    </row>
    <row r="50" spans="1:5" s="50" customFormat="1" ht="20.100000000000001" customHeight="1">
      <c r="A50" s="63" t="str">
        <f>A27</f>
        <v>其他</v>
      </c>
      <c r="B50" s="76"/>
      <c r="C50" s="76"/>
      <c r="D50" s="76"/>
      <c r="E50" s="76"/>
    </row>
    <row r="51" spans="1:5" s="50" customFormat="1" ht="20.100000000000001" customHeight="1">
      <c r="A51" s="63"/>
      <c r="B51" s="76"/>
      <c r="C51" s="76"/>
      <c r="D51" s="76"/>
      <c r="E51" s="76"/>
    </row>
    <row r="52" spans="1:5" s="50" customFormat="1" ht="20.100000000000001" customHeight="1">
      <c r="A52" s="74" t="s">
        <v>153</v>
      </c>
      <c r="B52" s="75">
        <f>SUM(B46:B51)</f>
        <v>0</v>
      </c>
      <c r="C52" s="75">
        <f t="shared" ref="C52:E52" si="5">SUM(C46:C51)</f>
        <v>0</v>
      </c>
      <c r="D52" s="75">
        <f t="shared" si="5"/>
        <v>0</v>
      </c>
      <c r="E52" s="75">
        <f t="shared" si="5"/>
        <v>0</v>
      </c>
    </row>
    <row r="53" spans="1:5" s="50" customFormat="1" ht="20.100000000000001" customHeight="1">
      <c r="A53" s="63"/>
    </row>
    <row r="54" spans="1:5" s="50" customFormat="1" ht="20.100000000000001" customHeight="1">
      <c r="A54" s="71" t="s">
        <v>155</v>
      </c>
    </row>
    <row r="55" spans="1:5" s="50" customFormat="1" ht="20.100000000000001" customHeight="1">
      <c r="A55" s="72" t="s">
        <v>88</v>
      </c>
      <c r="B55" s="72" t="s">
        <v>156</v>
      </c>
    </row>
    <row r="56" spans="1:5" s="50" customFormat="1" ht="20.100000000000001" customHeight="1">
      <c r="A56" s="77"/>
      <c r="B56" s="77"/>
    </row>
    <row r="57" spans="1:5" s="50" customFormat="1" ht="20.100000000000001" customHeight="1">
      <c r="A57" s="77"/>
      <c r="B57" s="77"/>
    </row>
    <row r="58" spans="1:5" s="50" customFormat="1" ht="20.100000000000001" customHeight="1">
      <c r="A58" s="78"/>
      <c r="B58" s="78"/>
    </row>
    <row r="59" spans="1:5" s="50" customFormat="1" ht="20.100000000000001" customHeight="1">
      <c r="A59" s="56" t="s">
        <v>157</v>
      </c>
    </row>
    <row r="60" spans="1:5" s="50" customFormat="1" ht="20.100000000000001" customHeight="1">
      <c r="A60" s="72" t="s">
        <v>88</v>
      </c>
      <c r="B60" s="79" t="s">
        <v>89</v>
      </c>
      <c r="C60" s="79" t="s">
        <v>139</v>
      </c>
    </row>
    <row r="61" spans="1:5" s="50" customFormat="1" ht="20.100000000000001" customHeight="1">
      <c r="A61" s="63" t="s">
        <v>119</v>
      </c>
      <c r="B61" s="64"/>
      <c r="C61" s="64"/>
    </row>
    <row r="62" spans="1:5" s="50" customFormat="1" ht="20.100000000000001" customHeight="1">
      <c r="A62" s="74" t="s">
        <v>95</v>
      </c>
      <c r="B62" s="80"/>
      <c r="C62" s="80"/>
    </row>
    <row r="63" spans="1:5" s="50" customFormat="1" ht="20.100000000000001" customHeight="1">
      <c r="A63" s="81" t="s">
        <v>120</v>
      </c>
      <c r="B63" s="66">
        <f>B61+B62</f>
        <v>0</v>
      </c>
      <c r="C63" s="66">
        <f>C61+C62</f>
        <v>0</v>
      </c>
    </row>
    <row r="64" spans="1:5" s="50" customFormat="1" ht="20.100000000000001" customHeight="1">
      <c r="A64" s="56" t="s">
        <v>122</v>
      </c>
    </row>
    <row r="65" spans="1:4" s="50" customFormat="1" ht="20.100000000000001" customHeight="1">
      <c r="A65" s="72" t="s">
        <v>123</v>
      </c>
      <c r="B65" s="79" t="s">
        <v>89</v>
      </c>
      <c r="C65" s="79" t="s">
        <v>139</v>
      </c>
      <c r="D65" s="73" t="s">
        <v>124</v>
      </c>
    </row>
    <row r="66" spans="1:4" s="50" customFormat="1" ht="20.100000000000001" customHeight="1">
      <c r="A66" s="77" t="s">
        <v>125</v>
      </c>
      <c r="B66" s="83" t="s">
        <v>126</v>
      </c>
      <c r="C66" s="64"/>
      <c r="D66" s="84"/>
    </row>
    <row r="67" spans="1:4" s="50" customFormat="1" ht="20.100000000000001" customHeight="1">
      <c r="A67" s="77" t="s">
        <v>127</v>
      </c>
      <c r="B67" s="85"/>
      <c r="C67" s="64"/>
      <c r="D67" s="84"/>
    </row>
    <row r="68" spans="1:4" s="50" customFormat="1" ht="20.100000000000001" customHeight="1">
      <c r="A68" s="77" t="s">
        <v>128</v>
      </c>
      <c r="B68" s="85"/>
      <c r="C68" s="64"/>
      <c r="D68" s="84"/>
    </row>
    <row r="69" spans="1:4" s="50" customFormat="1" ht="20.100000000000001" customHeight="1">
      <c r="A69" s="77" t="s">
        <v>129</v>
      </c>
      <c r="B69" s="85"/>
      <c r="C69" s="64"/>
      <c r="D69" s="84"/>
    </row>
    <row r="70" spans="1:4" s="50" customFormat="1" ht="20.100000000000001" customHeight="1">
      <c r="A70" s="77" t="s">
        <v>130</v>
      </c>
      <c r="B70" s="85"/>
      <c r="C70" s="64"/>
      <c r="D70" s="84"/>
    </row>
    <row r="71" spans="1:4" s="50" customFormat="1" ht="20.100000000000001" customHeight="1">
      <c r="A71" s="77" t="s">
        <v>131</v>
      </c>
      <c r="B71" s="86"/>
      <c r="C71" s="87" t="s">
        <v>126</v>
      </c>
      <c r="D71" s="88"/>
    </row>
    <row r="72" spans="1:4" s="50" customFormat="1" ht="20.100000000000001" customHeight="1">
      <c r="A72" s="89" t="s">
        <v>132</v>
      </c>
      <c r="B72" s="66">
        <f>SUM(B66:B71)</f>
        <v>0</v>
      </c>
      <c r="C72" s="66">
        <f>SUM(C66:C71)</f>
        <v>0</v>
      </c>
      <c r="D72" s="90"/>
    </row>
    <row r="73" spans="1:4" s="50" customFormat="1" ht="20.100000000000001" customHeight="1">
      <c r="A73" s="91" t="s">
        <v>133</v>
      </c>
      <c r="B73" s="91"/>
      <c r="C73" s="91"/>
      <c r="D73" s="91"/>
    </row>
    <row r="74" spans="1:4" s="50" customFormat="1" ht="20.100000000000001" customHeight="1">
      <c r="B74" s="92" t="b">
        <f>B72=B62</f>
        <v>1</v>
      </c>
      <c r="C74" s="92" t="b">
        <f>C72=C62</f>
        <v>1</v>
      </c>
    </row>
  </sheetData>
  <mergeCells count="6">
    <mergeCell ref="A1:E1"/>
    <mergeCell ref="A2:E2"/>
    <mergeCell ref="B10:C10"/>
    <mergeCell ref="D10:E10"/>
    <mergeCell ref="A22:E22"/>
    <mergeCell ref="A10:A11"/>
  </mergeCells>
  <phoneticPr fontId="31" type="noConversion"/>
  <pageMargins left="0.70833333333333304" right="0.70833333333333304" top="0.74791666666666701" bottom="0.74791666666666701" header="0.31458333333333299" footer="0.31458333333333299"/>
  <pageSetup paperSize="9" scale="62" orientation="portrait" blackAndWhite="1" horizontalDpi="300" verticalDpi="300" r:id="rId1"/>
  <headerFooter>
    <oddFooter>&amp;C&amp;P/&amp;N</oddFooter>
  </headerFooter>
  <rowBreaks count="1" manualBreakCount="1">
    <brk id="53" max="4"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52"/>
  <sheetViews>
    <sheetView view="pageBreakPreview" zoomScaleNormal="100" workbookViewId="0">
      <selection sqref="A1:N1"/>
    </sheetView>
  </sheetViews>
  <sheetFormatPr defaultColWidth="9" defaultRowHeight="20.100000000000001" customHeight="1"/>
  <cols>
    <col min="1" max="1" width="44.3984375" customWidth="1"/>
    <col min="2" max="2" width="17.19921875" customWidth="1"/>
    <col min="5" max="5" width="9.796875" customWidth="1"/>
  </cols>
  <sheetData>
    <row r="1" spans="1:14" ht="20.100000000000001" customHeight="1">
      <c r="A1" s="266" t="s">
        <v>16</v>
      </c>
      <c r="B1" s="266"/>
      <c r="C1" s="266"/>
      <c r="D1" s="266"/>
      <c r="E1" s="266"/>
      <c r="F1" s="266"/>
      <c r="G1" s="266"/>
      <c r="H1" s="266"/>
      <c r="I1" s="266"/>
      <c r="J1" s="266"/>
      <c r="K1" s="266"/>
      <c r="L1" s="266"/>
      <c r="M1" s="266"/>
      <c r="N1" s="266"/>
    </row>
    <row r="2" spans="1:14" ht="20.100000000000001" customHeight="1">
      <c r="A2" s="286" t="s">
        <v>14</v>
      </c>
      <c r="B2" s="286"/>
      <c r="C2" s="286"/>
      <c r="D2" s="286"/>
      <c r="E2" s="286"/>
      <c r="F2" s="286"/>
      <c r="G2" s="286"/>
      <c r="H2" s="286"/>
      <c r="I2" s="286"/>
      <c r="J2" s="286"/>
      <c r="K2" s="286"/>
      <c r="L2" s="286"/>
      <c r="M2" s="286"/>
      <c r="N2" s="286"/>
    </row>
    <row r="3" spans="1:14" ht="20.100000000000001" customHeight="1">
      <c r="A3" s="29" t="str">
        <f>底稿目录!A2</f>
        <v>被审计单位名称：</v>
      </c>
      <c r="B3" s="29"/>
      <c r="C3" s="29"/>
      <c r="D3" s="29" t="str">
        <f>底稿目录!A4</f>
        <v>编制人：</v>
      </c>
      <c r="E3" s="29"/>
      <c r="F3" s="30"/>
      <c r="G3" s="30"/>
      <c r="H3" s="29" t="str">
        <f>底稿目录!A5</f>
        <v>编制日期：</v>
      </c>
      <c r="I3" s="31"/>
      <c r="J3" s="31"/>
      <c r="K3" s="47"/>
      <c r="L3" s="31"/>
      <c r="M3" s="47" t="s">
        <v>18</v>
      </c>
      <c r="N3" s="250" t="s">
        <v>293</v>
      </c>
    </row>
    <row r="4" spans="1:14" ht="20.100000000000001" customHeight="1">
      <c r="A4" s="29" t="str">
        <f>底稿目录!A3</f>
        <v>截止日：202X年12月31日</v>
      </c>
      <c r="B4" s="29"/>
      <c r="C4" s="29"/>
      <c r="D4" s="29" t="str">
        <f>底稿目录!A6</f>
        <v>复核人：</v>
      </c>
      <c r="E4" s="29"/>
      <c r="F4" s="30"/>
      <c r="G4" s="30"/>
      <c r="H4" s="29" t="str">
        <f>底稿目录!A7</f>
        <v>复核日期：</v>
      </c>
      <c r="I4" s="31"/>
      <c r="J4" s="31"/>
      <c r="K4" s="47"/>
      <c r="L4" s="31"/>
      <c r="M4" s="47" t="s">
        <v>19</v>
      </c>
      <c r="N4" s="29"/>
    </row>
    <row r="5" spans="1:14" ht="20.100000000000001" customHeight="1">
      <c r="A5" s="4" t="s">
        <v>158</v>
      </c>
      <c r="B5" s="4"/>
      <c r="C5" s="4"/>
      <c r="D5" s="1"/>
      <c r="E5" s="3"/>
      <c r="F5" s="2"/>
      <c r="G5" s="2"/>
      <c r="H5" s="2"/>
      <c r="I5" s="3"/>
      <c r="J5" s="1"/>
      <c r="K5" s="1"/>
      <c r="L5" s="1"/>
      <c r="M5" s="1"/>
      <c r="N5" s="1"/>
    </row>
    <row r="6" spans="1:14" ht="20.100000000000001" customHeight="1">
      <c r="A6" s="3" t="s">
        <v>159</v>
      </c>
      <c r="B6" s="3"/>
      <c r="C6" s="1"/>
      <c r="D6" s="1"/>
      <c r="E6" s="3"/>
      <c r="F6" s="2"/>
      <c r="G6" s="2"/>
      <c r="H6" s="2"/>
      <c r="I6" s="3"/>
      <c r="J6" s="1"/>
      <c r="K6" s="1"/>
      <c r="L6" s="1"/>
      <c r="M6" s="1"/>
      <c r="N6" s="1"/>
    </row>
    <row r="7" spans="1:14" ht="20.100000000000001" customHeight="1">
      <c r="A7" s="4" t="s">
        <v>160</v>
      </c>
      <c r="B7" s="4"/>
      <c r="C7" s="4"/>
      <c r="D7" s="1"/>
      <c r="E7" s="3"/>
      <c r="F7" s="2"/>
      <c r="G7" s="2"/>
      <c r="H7" s="2"/>
      <c r="I7" s="3"/>
      <c r="J7" s="1"/>
      <c r="K7" s="1"/>
      <c r="L7" s="1"/>
      <c r="M7" s="1"/>
      <c r="N7" s="1"/>
    </row>
    <row r="8" spans="1:14" ht="20.100000000000001" customHeight="1">
      <c r="A8" s="32" t="s">
        <v>161</v>
      </c>
      <c r="B8" s="32"/>
    </row>
    <row r="9" spans="1:14" ht="20.100000000000001" customHeight="1">
      <c r="A9" s="287" t="s">
        <v>162</v>
      </c>
      <c r="B9" s="243"/>
      <c r="C9" s="287" t="s">
        <v>163</v>
      </c>
      <c r="D9" s="287"/>
      <c r="E9" s="287"/>
      <c r="F9" s="287"/>
      <c r="G9" s="287"/>
      <c r="H9" s="287"/>
      <c r="I9" s="287" t="s">
        <v>164</v>
      </c>
      <c r="J9" s="287"/>
      <c r="K9" s="287"/>
      <c r="L9" s="287"/>
      <c r="M9" s="287"/>
      <c r="N9" s="287"/>
    </row>
    <row r="10" spans="1:14" ht="43.5" customHeight="1">
      <c r="A10" s="287"/>
      <c r="B10" s="243" t="s">
        <v>314</v>
      </c>
      <c r="C10" s="33" t="s">
        <v>165</v>
      </c>
      <c r="D10" s="33" t="s">
        <v>166</v>
      </c>
      <c r="E10" s="33" t="s">
        <v>167</v>
      </c>
      <c r="F10" s="34" t="s">
        <v>65</v>
      </c>
      <c r="G10" s="34" t="s">
        <v>66</v>
      </c>
      <c r="H10" s="33" t="s">
        <v>168</v>
      </c>
      <c r="I10" s="33" t="s">
        <v>165</v>
      </c>
      <c r="J10" s="33" t="s">
        <v>166</v>
      </c>
      <c r="K10" s="33" t="s">
        <v>169</v>
      </c>
      <c r="L10" s="34" t="s">
        <v>65</v>
      </c>
      <c r="M10" s="34" t="s">
        <v>66</v>
      </c>
      <c r="N10" s="48" t="s">
        <v>170</v>
      </c>
    </row>
    <row r="11" spans="1:14" ht="20.100000000000001" customHeight="1">
      <c r="A11" s="35" t="s">
        <v>171</v>
      </c>
      <c r="B11" s="35" t="s">
        <v>97</v>
      </c>
      <c r="C11" s="36"/>
      <c r="D11" s="37"/>
      <c r="E11" s="38">
        <f t="shared" ref="E11:E40" si="0">ROUND(C11*D11,2)</f>
        <v>0</v>
      </c>
      <c r="F11" s="36"/>
      <c r="G11" s="36"/>
      <c r="H11" s="38">
        <f t="shared" ref="H11:H40" si="1">F11+E11</f>
        <v>0</v>
      </c>
      <c r="I11" s="36"/>
      <c r="J11" s="37"/>
      <c r="K11" s="38">
        <f t="shared" ref="K11:K40" si="2">ROUND(I11*J11,2)</f>
        <v>0</v>
      </c>
      <c r="L11" s="36"/>
      <c r="M11" s="36"/>
      <c r="N11" s="49">
        <f t="shared" ref="N11:N40" si="3">L11+K11</f>
        <v>0</v>
      </c>
    </row>
    <row r="12" spans="1:14" ht="20.100000000000001" customHeight="1">
      <c r="A12" s="39" t="s">
        <v>172</v>
      </c>
      <c r="B12" s="35" t="s">
        <v>94</v>
      </c>
      <c r="C12" s="36"/>
      <c r="D12" s="37"/>
      <c r="E12" s="38">
        <f t="shared" si="0"/>
        <v>0</v>
      </c>
      <c r="F12" s="36"/>
      <c r="G12" s="36"/>
      <c r="H12" s="38">
        <f t="shared" si="1"/>
        <v>0</v>
      </c>
      <c r="I12" s="36"/>
      <c r="J12" s="37"/>
      <c r="K12" s="38">
        <f t="shared" si="2"/>
        <v>0</v>
      </c>
      <c r="L12" s="36"/>
      <c r="M12" s="36"/>
      <c r="N12" s="49">
        <f t="shared" si="3"/>
        <v>0</v>
      </c>
    </row>
    <row r="13" spans="1:14" ht="20.100000000000001" customHeight="1">
      <c r="A13" s="39" t="s">
        <v>173</v>
      </c>
      <c r="B13" s="35" t="s">
        <v>94</v>
      </c>
      <c r="C13" s="36"/>
      <c r="D13" s="37"/>
      <c r="E13" s="38">
        <f t="shared" si="0"/>
        <v>0</v>
      </c>
      <c r="F13" s="36"/>
      <c r="G13" s="36"/>
      <c r="H13" s="38">
        <f t="shared" si="1"/>
        <v>0</v>
      </c>
      <c r="I13" s="36"/>
      <c r="J13" s="37"/>
      <c r="K13" s="38">
        <f t="shared" si="2"/>
        <v>0</v>
      </c>
      <c r="L13" s="36"/>
      <c r="M13" s="36"/>
      <c r="N13" s="49">
        <f t="shared" si="3"/>
        <v>0</v>
      </c>
    </row>
    <row r="14" spans="1:14" ht="20.100000000000001" customHeight="1">
      <c r="A14" s="39" t="s">
        <v>174</v>
      </c>
      <c r="B14" s="35" t="s">
        <v>94</v>
      </c>
      <c r="C14" s="36"/>
      <c r="D14" s="37"/>
      <c r="E14" s="38">
        <f t="shared" si="0"/>
        <v>0</v>
      </c>
      <c r="F14" s="36"/>
      <c r="G14" s="36"/>
      <c r="H14" s="38">
        <f t="shared" si="1"/>
        <v>0</v>
      </c>
      <c r="I14" s="36"/>
      <c r="J14" s="37"/>
      <c r="K14" s="38">
        <f t="shared" si="2"/>
        <v>0</v>
      </c>
      <c r="L14" s="36"/>
      <c r="M14" s="36"/>
      <c r="N14" s="49">
        <f t="shared" si="3"/>
        <v>0</v>
      </c>
    </row>
    <row r="15" spans="1:14" ht="20.100000000000001" customHeight="1">
      <c r="A15" s="39" t="s">
        <v>175</v>
      </c>
      <c r="B15" s="35" t="s">
        <v>97</v>
      </c>
      <c r="C15" s="36"/>
      <c r="D15" s="37"/>
      <c r="E15" s="38">
        <f t="shared" si="0"/>
        <v>0</v>
      </c>
      <c r="F15" s="36"/>
      <c r="G15" s="36"/>
      <c r="H15" s="38">
        <f t="shared" si="1"/>
        <v>0</v>
      </c>
      <c r="I15" s="36"/>
      <c r="J15" s="37"/>
      <c r="K15" s="38">
        <f t="shared" si="2"/>
        <v>0</v>
      </c>
      <c r="L15" s="36"/>
      <c r="M15" s="36"/>
      <c r="N15" s="49">
        <f t="shared" si="3"/>
        <v>0</v>
      </c>
    </row>
    <row r="16" spans="1:14" ht="20.100000000000001" customHeight="1">
      <c r="A16" s="35" t="s">
        <v>176</v>
      </c>
      <c r="B16" s="35" t="s">
        <v>94</v>
      </c>
      <c r="C16" s="36"/>
      <c r="D16" s="37"/>
      <c r="E16" s="38">
        <f t="shared" si="0"/>
        <v>0</v>
      </c>
      <c r="F16" s="36"/>
      <c r="G16" s="36"/>
      <c r="H16" s="38">
        <f t="shared" si="1"/>
        <v>0</v>
      </c>
      <c r="I16" s="36"/>
      <c r="J16" s="37"/>
      <c r="K16" s="38">
        <f t="shared" si="2"/>
        <v>0</v>
      </c>
      <c r="L16" s="36"/>
      <c r="M16" s="36"/>
      <c r="N16" s="49">
        <f t="shared" si="3"/>
        <v>0</v>
      </c>
    </row>
    <row r="17" spans="1:14" ht="20.100000000000001" customHeight="1">
      <c r="A17" s="35" t="s">
        <v>177</v>
      </c>
      <c r="B17" s="35" t="s">
        <v>97</v>
      </c>
      <c r="C17" s="36"/>
      <c r="D17" s="37"/>
      <c r="E17" s="38">
        <f t="shared" si="0"/>
        <v>0</v>
      </c>
      <c r="F17" s="36"/>
      <c r="G17" s="36"/>
      <c r="H17" s="38">
        <f t="shared" si="1"/>
        <v>0</v>
      </c>
      <c r="I17" s="36"/>
      <c r="J17" s="37"/>
      <c r="K17" s="38">
        <f t="shared" si="2"/>
        <v>0</v>
      </c>
      <c r="L17" s="36"/>
      <c r="M17" s="36"/>
      <c r="N17" s="49">
        <f t="shared" si="3"/>
        <v>0</v>
      </c>
    </row>
    <row r="18" spans="1:14" ht="20.100000000000001" customHeight="1">
      <c r="A18" s="35" t="s">
        <v>178</v>
      </c>
      <c r="B18" s="35" t="s">
        <v>97</v>
      </c>
      <c r="C18" s="36"/>
      <c r="D18" s="37"/>
      <c r="E18" s="38">
        <f t="shared" si="0"/>
        <v>0</v>
      </c>
      <c r="F18" s="36"/>
      <c r="G18" s="36"/>
      <c r="H18" s="38">
        <f t="shared" si="1"/>
        <v>0</v>
      </c>
      <c r="I18" s="36"/>
      <c r="J18" s="37"/>
      <c r="K18" s="38">
        <f t="shared" si="2"/>
        <v>0</v>
      </c>
      <c r="L18" s="36"/>
      <c r="M18" s="36"/>
      <c r="N18" s="49">
        <f t="shared" si="3"/>
        <v>0</v>
      </c>
    </row>
    <row r="19" spans="1:14" ht="20.100000000000001" customHeight="1">
      <c r="A19" s="35" t="s">
        <v>179</v>
      </c>
      <c r="B19" s="35" t="s">
        <v>94</v>
      </c>
      <c r="C19" s="36"/>
      <c r="D19" s="37"/>
      <c r="E19" s="38">
        <f t="shared" si="0"/>
        <v>0</v>
      </c>
      <c r="F19" s="36"/>
      <c r="G19" s="36"/>
      <c r="H19" s="38">
        <f t="shared" si="1"/>
        <v>0</v>
      </c>
      <c r="I19" s="36"/>
      <c r="J19" s="37"/>
      <c r="K19" s="38">
        <f t="shared" si="2"/>
        <v>0</v>
      </c>
      <c r="L19" s="36"/>
      <c r="M19" s="36"/>
      <c r="N19" s="49">
        <f t="shared" si="3"/>
        <v>0</v>
      </c>
    </row>
    <row r="20" spans="1:14" ht="20.100000000000001" customHeight="1">
      <c r="A20" s="35" t="s">
        <v>180</v>
      </c>
      <c r="B20" s="35" t="s">
        <v>94</v>
      </c>
      <c r="C20" s="36"/>
      <c r="D20" s="37"/>
      <c r="E20" s="38">
        <f t="shared" si="0"/>
        <v>0</v>
      </c>
      <c r="F20" s="36"/>
      <c r="G20" s="36"/>
      <c r="H20" s="38">
        <f t="shared" si="1"/>
        <v>0</v>
      </c>
      <c r="I20" s="36"/>
      <c r="J20" s="37"/>
      <c r="K20" s="38">
        <f t="shared" si="2"/>
        <v>0</v>
      </c>
      <c r="L20" s="36"/>
      <c r="M20" s="36"/>
      <c r="N20" s="49">
        <f t="shared" si="3"/>
        <v>0</v>
      </c>
    </row>
    <row r="21" spans="1:14" ht="20.100000000000001" customHeight="1">
      <c r="A21" s="35" t="s">
        <v>181</v>
      </c>
      <c r="B21" s="35" t="s">
        <v>97</v>
      </c>
      <c r="C21" s="36"/>
      <c r="D21" s="37"/>
      <c r="E21" s="38">
        <f t="shared" si="0"/>
        <v>0</v>
      </c>
      <c r="F21" s="36"/>
      <c r="G21" s="36"/>
      <c r="H21" s="38">
        <f t="shared" si="1"/>
        <v>0</v>
      </c>
      <c r="I21" s="36"/>
      <c r="J21" s="37"/>
      <c r="K21" s="38">
        <f t="shared" si="2"/>
        <v>0</v>
      </c>
      <c r="L21" s="36"/>
      <c r="M21" s="36"/>
      <c r="N21" s="49">
        <f t="shared" si="3"/>
        <v>0</v>
      </c>
    </row>
    <row r="22" spans="1:14" ht="20.100000000000001" customHeight="1">
      <c r="A22" s="35" t="s">
        <v>182</v>
      </c>
      <c r="B22" s="35"/>
      <c r="C22" s="36"/>
      <c r="D22" s="37"/>
      <c r="E22" s="38">
        <f t="shared" si="0"/>
        <v>0</v>
      </c>
      <c r="F22" s="36"/>
      <c r="G22" s="36"/>
      <c r="H22" s="38">
        <f t="shared" si="1"/>
        <v>0</v>
      </c>
      <c r="I22" s="36"/>
      <c r="J22" s="37"/>
      <c r="K22" s="38">
        <f t="shared" si="2"/>
        <v>0</v>
      </c>
      <c r="L22" s="36"/>
      <c r="M22" s="36"/>
      <c r="N22" s="49">
        <f t="shared" si="3"/>
        <v>0</v>
      </c>
    </row>
    <row r="23" spans="1:14" ht="20.100000000000001" customHeight="1">
      <c r="A23" s="35" t="s">
        <v>183</v>
      </c>
      <c r="B23" s="35" t="s">
        <v>94</v>
      </c>
      <c r="C23" s="36"/>
      <c r="D23" s="37"/>
      <c r="E23" s="38">
        <f t="shared" si="0"/>
        <v>0</v>
      </c>
      <c r="F23" s="36"/>
      <c r="G23" s="36"/>
      <c r="H23" s="38">
        <f t="shared" si="1"/>
        <v>0</v>
      </c>
      <c r="I23" s="36"/>
      <c r="J23" s="37"/>
      <c r="K23" s="38">
        <f t="shared" si="2"/>
        <v>0</v>
      </c>
      <c r="L23" s="36"/>
      <c r="M23" s="36"/>
      <c r="N23" s="49">
        <f t="shared" si="3"/>
        <v>0</v>
      </c>
    </row>
    <row r="24" spans="1:14" ht="20.100000000000001" customHeight="1">
      <c r="A24" s="35" t="s">
        <v>184</v>
      </c>
      <c r="B24" s="35"/>
      <c r="C24" s="36"/>
      <c r="D24" s="37"/>
      <c r="E24" s="38">
        <f t="shared" si="0"/>
        <v>0</v>
      </c>
      <c r="F24" s="36"/>
      <c r="G24" s="36"/>
      <c r="H24" s="38">
        <f t="shared" si="1"/>
        <v>0</v>
      </c>
      <c r="I24" s="36"/>
      <c r="J24" s="37"/>
      <c r="K24" s="38">
        <f t="shared" si="2"/>
        <v>0</v>
      </c>
      <c r="L24" s="36"/>
      <c r="M24" s="36"/>
      <c r="N24" s="49">
        <f t="shared" si="3"/>
        <v>0</v>
      </c>
    </row>
    <row r="25" spans="1:14" ht="20.100000000000001" customHeight="1">
      <c r="A25" s="35" t="s">
        <v>185</v>
      </c>
      <c r="B25" s="35" t="s">
        <v>94</v>
      </c>
      <c r="C25" s="36"/>
      <c r="D25" s="37"/>
      <c r="E25" s="38">
        <f t="shared" si="0"/>
        <v>0</v>
      </c>
      <c r="F25" s="36"/>
      <c r="G25" s="36"/>
      <c r="H25" s="38">
        <f t="shared" si="1"/>
        <v>0</v>
      </c>
      <c r="I25" s="36"/>
      <c r="J25" s="37"/>
      <c r="K25" s="38">
        <f t="shared" si="2"/>
        <v>0</v>
      </c>
      <c r="L25" s="36"/>
      <c r="M25" s="36"/>
      <c r="N25" s="49">
        <f t="shared" si="3"/>
        <v>0</v>
      </c>
    </row>
    <row r="26" spans="1:14" ht="20.100000000000001" customHeight="1">
      <c r="A26" s="35" t="s">
        <v>186</v>
      </c>
      <c r="B26" s="35" t="s">
        <v>94</v>
      </c>
      <c r="C26" s="36"/>
      <c r="D26" s="37"/>
      <c r="E26" s="38">
        <f t="shared" si="0"/>
        <v>0</v>
      </c>
      <c r="F26" s="36"/>
      <c r="G26" s="36"/>
      <c r="H26" s="38">
        <f t="shared" si="1"/>
        <v>0</v>
      </c>
      <c r="I26" s="36"/>
      <c r="J26" s="37"/>
      <c r="K26" s="38">
        <f t="shared" si="2"/>
        <v>0</v>
      </c>
      <c r="L26" s="36"/>
      <c r="M26" s="36"/>
      <c r="N26" s="49">
        <f t="shared" si="3"/>
        <v>0</v>
      </c>
    </row>
    <row r="27" spans="1:14" ht="20.100000000000001" customHeight="1">
      <c r="A27" s="35" t="s">
        <v>187</v>
      </c>
      <c r="B27" s="35" t="s">
        <v>94</v>
      </c>
      <c r="C27" s="36"/>
      <c r="D27" s="37"/>
      <c r="E27" s="38">
        <f t="shared" si="0"/>
        <v>0</v>
      </c>
      <c r="F27" s="36"/>
      <c r="G27" s="36"/>
      <c r="H27" s="38">
        <f t="shared" si="1"/>
        <v>0</v>
      </c>
      <c r="I27" s="36"/>
      <c r="J27" s="37"/>
      <c r="K27" s="38">
        <f t="shared" si="2"/>
        <v>0</v>
      </c>
      <c r="L27" s="36"/>
      <c r="M27" s="36"/>
      <c r="N27" s="49">
        <f t="shared" si="3"/>
        <v>0</v>
      </c>
    </row>
    <row r="28" spans="1:14" ht="20.100000000000001" customHeight="1">
      <c r="A28" s="39" t="s">
        <v>188</v>
      </c>
      <c r="B28" s="35"/>
      <c r="C28" s="36"/>
      <c r="D28" s="37"/>
      <c r="E28" s="38">
        <f t="shared" si="0"/>
        <v>0</v>
      </c>
      <c r="F28" s="36"/>
      <c r="G28" s="36"/>
      <c r="H28" s="38">
        <f t="shared" si="1"/>
        <v>0</v>
      </c>
      <c r="I28" s="36"/>
      <c r="J28" s="37"/>
      <c r="K28" s="38">
        <f t="shared" si="2"/>
        <v>0</v>
      </c>
      <c r="L28" s="36"/>
      <c r="M28" s="36"/>
      <c r="N28" s="49">
        <f t="shared" si="3"/>
        <v>0</v>
      </c>
    </row>
    <row r="29" spans="1:14" ht="20.100000000000001" customHeight="1">
      <c r="A29" s="40" t="s">
        <v>189</v>
      </c>
      <c r="B29" s="35"/>
      <c r="C29" s="36"/>
      <c r="D29" s="37"/>
      <c r="E29" s="38">
        <f t="shared" si="0"/>
        <v>0</v>
      </c>
      <c r="F29" s="36"/>
      <c r="G29" s="36"/>
      <c r="H29" s="38">
        <f t="shared" si="1"/>
        <v>0</v>
      </c>
      <c r="I29" s="36"/>
      <c r="J29" s="37"/>
      <c r="K29" s="38">
        <f t="shared" si="2"/>
        <v>0</v>
      </c>
      <c r="L29" s="36"/>
      <c r="M29" s="36"/>
      <c r="N29" s="49">
        <f t="shared" si="3"/>
        <v>0</v>
      </c>
    </row>
    <row r="30" spans="1:14" ht="20.100000000000001" customHeight="1">
      <c r="A30" s="40" t="s">
        <v>190</v>
      </c>
      <c r="B30" s="35" t="s">
        <v>97</v>
      </c>
      <c r="C30" s="36"/>
      <c r="D30" s="37"/>
      <c r="E30" s="38">
        <f t="shared" si="0"/>
        <v>0</v>
      </c>
      <c r="F30" s="36"/>
      <c r="G30" s="36"/>
      <c r="H30" s="38">
        <f t="shared" si="1"/>
        <v>0</v>
      </c>
      <c r="I30" s="36"/>
      <c r="J30" s="37"/>
      <c r="K30" s="38">
        <f t="shared" si="2"/>
        <v>0</v>
      </c>
      <c r="L30" s="36"/>
      <c r="M30" s="36"/>
      <c r="N30" s="49">
        <f t="shared" si="3"/>
        <v>0</v>
      </c>
    </row>
    <row r="31" spans="1:14" ht="20.100000000000001" customHeight="1">
      <c r="A31" s="35" t="s">
        <v>191</v>
      </c>
      <c r="B31" s="35" t="s">
        <v>100</v>
      </c>
      <c r="C31" s="36"/>
      <c r="D31" s="37"/>
      <c r="E31" s="38">
        <f t="shared" si="0"/>
        <v>0</v>
      </c>
      <c r="F31" s="36"/>
      <c r="G31" s="36"/>
      <c r="H31" s="38">
        <f t="shared" si="1"/>
        <v>0</v>
      </c>
      <c r="I31" s="36"/>
      <c r="J31" s="37"/>
      <c r="K31" s="38">
        <f t="shared" si="2"/>
        <v>0</v>
      </c>
      <c r="L31" s="36"/>
      <c r="M31" s="36"/>
      <c r="N31" s="49">
        <f t="shared" si="3"/>
        <v>0</v>
      </c>
    </row>
    <row r="32" spans="1:14" ht="20.100000000000001" customHeight="1">
      <c r="A32" s="39" t="s">
        <v>192</v>
      </c>
      <c r="B32" s="35" t="s">
        <v>100</v>
      </c>
      <c r="C32" s="36"/>
      <c r="D32" s="37"/>
      <c r="E32" s="38">
        <f t="shared" si="0"/>
        <v>0</v>
      </c>
      <c r="F32" s="36"/>
      <c r="G32" s="36"/>
      <c r="H32" s="38">
        <f t="shared" si="1"/>
        <v>0</v>
      </c>
      <c r="I32" s="36"/>
      <c r="J32" s="37"/>
      <c r="K32" s="38">
        <f t="shared" si="2"/>
        <v>0</v>
      </c>
      <c r="L32" s="36"/>
      <c r="M32" s="36"/>
      <c r="N32" s="49">
        <f t="shared" si="3"/>
        <v>0</v>
      </c>
    </row>
    <row r="33" spans="1:14" ht="20.100000000000001" customHeight="1">
      <c r="A33" s="35" t="s">
        <v>193</v>
      </c>
      <c r="B33" s="35" t="s">
        <v>100</v>
      </c>
      <c r="C33" s="36"/>
      <c r="D33" s="37"/>
      <c r="E33" s="38">
        <f t="shared" si="0"/>
        <v>0</v>
      </c>
      <c r="F33" s="36"/>
      <c r="G33" s="36"/>
      <c r="H33" s="38">
        <f t="shared" si="1"/>
        <v>0</v>
      </c>
      <c r="I33" s="36"/>
      <c r="J33" s="37"/>
      <c r="K33" s="38">
        <f t="shared" si="2"/>
        <v>0</v>
      </c>
      <c r="L33" s="36"/>
      <c r="M33" s="36"/>
      <c r="N33" s="49">
        <f t="shared" si="3"/>
        <v>0</v>
      </c>
    </row>
    <row r="34" spans="1:14" ht="20.100000000000001" customHeight="1">
      <c r="A34" s="39" t="s">
        <v>194</v>
      </c>
      <c r="B34" s="35" t="s">
        <v>100</v>
      </c>
      <c r="C34" s="36"/>
      <c r="D34" s="37"/>
      <c r="E34" s="38">
        <f t="shared" si="0"/>
        <v>0</v>
      </c>
      <c r="F34" s="36"/>
      <c r="G34" s="36"/>
      <c r="H34" s="38">
        <f t="shared" si="1"/>
        <v>0</v>
      </c>
      <c r="I34" s="36"/>
      <c r="J34" s="37"/>
      <c r="K34" s="38">
        <f t="shared" si="2"/>
        <v>0</v>
      </c>
      <c r="L34" s="36"/>
      <c r="M34" s="36"/>
      <c r="N34" s="49">
        <f t="shared" si="3"/>
        <v>0</v>
      </c>
    </row>
    <row r="35" spans="1:14" ht="20.100000000000001" customHeight="1">
      <c r="A35" s="35" t="s">
        <v>195</v>
      </c>
      <c r="B35" s="35" t="s">
        <v>100</v>
      </c>
      <c r="C35" s="36"/>
      <c r="D35" s="37"/>
      <c r="E35" s="38">
        <f t="shared" si="0"/>
        <v>0</v>
      </c>
      <c r="F35" s="36"/>
      <c r="G35" s="36"/>
      <c r="H35" s="38">
        <f t="shared" si="1"/>
        <v>0</v>
      </c>
      <c r="I35" s="36"/>
      <c r="J35" s="37"/>
      <c r="K35" s="38">
        <f t="shared" si="2"/>
        <v>0</v>
      </c>
      <c r="L35" s="36"/>
      <c r="M35" s="36"/>
      <c r="N35" s="49">
        <f t="shared" si="3"/>
        <v>0</v>
      </c>
    </row>
    <row r="36" spans="1:14" ht="20.100000000000001" customHeight="1">
      <c r="A36" s="35" t="s">
        <v>196</v>
      </c>
      <c r="B36" s="35" t="s">
        <v>100</v>
      </c>
      <c r="C36" s="36"/>
      <c r="D36" s="37"/>
      <c r="E36" s="38">
        <f t="shared" si="0"/>
        <v>0</v>
      </c>
      <c r="F36" s="36"/>
      <c r="G36" s="36"/>
      <c r="H36" s="38">
        <f t="shared" si="1"/>
        <v>0</v>
      </c>
      <c r="I36" s="36"/>
      <c r="J36" s="37"/>
      <c r="K36" s="38">
        <f t="shared" si="2"/>
        <v>0</v>
      </c>
      <c r="L36" s="36"/>
      <c r="M36" s="36"/>
      <c r="N36" s="49">
        <f t="shared" si="3"/>
        <v>0</v>
      </c>
    </row>
    <row r="37" spans="1:14" ht="20.100000000000001" customHeight="1">
      <c r="A37" s="35" t="s">
        <v>197</v>
      </c>
      <c r="B37" s="35" t="s">
        <v>100</v>
      </c>
      <c r="C37" s="36"/>
      <c r="D37" s="37"/>
      <c r="E37" s="38">
        <f t="shared" si="0"/>
        <v>0</v>
      </c>
      <c r="F37" s="36"/>
      <c r="G37" s="36"/>
      <c r="H37" s="38">
        <f t="shared" si="1"/>
        <v>0</v>
      </c>
      <c r="I37" s="36"/>
      <c r="J37" s="37"/>
      <c r="K37" s="38">
        <f t="shared" si="2"/>
        <v>0</v>
      </c>
      <c r="L37" s="36"/>
      <c r="M37" s="36"/>
      <c r="N37" s="49">
        <f t="shared" si="3"/>
        <v>0</v>
      </c>
    </row>
    <row r="38" spans="1:14" ht="20.100000000000001" customHeight="1">
      <c r="A38" s="35" t="s">
        <v>198</v>
      </c>
      <c r="B38" s="35" t="s">
        <v>95</v>
      </c>
      <c r="C38" s="36"/>
      <c r="D38" s="37"/>
      <c r="E38" s="38">
        <f t="shared" si="0"/>
        <v>0</v>
      </c>
      <c r="F38" s="36"/>
      <c r="G38" s="36"/>
      <c r="H38" s="38">
        <f t="shared" si="1"/>
        <v>0</v>
      </c>
      <c r="I38" s="36"/>
      <c r="J38" s="37"/>
      <c r="K38" s="38">
        <f t="shared" si="2"/>
        <v>0</v>
      </c>
      <c r="L38" s="36"/>
      <c r="M38" s="36"/>
      <c r="N38" s="49">
        <f t="shared" si="3"/>
        <v>0</v>
      </c>
    </row>
    <row r="39" spans="1:14" ht="20.100000000000001" customHeight="1">
      <c r="A39" s="35" t="s">
        <v>199</v>
      </c>
      <c r="B39" s="35" t="s">
        <v>100</v>
      </c>
      <c r="C39" s="36"/>
      <c r="D39" s="37"/>
      <c r="E39" s="38">
        <f t="shared" si="0"/>
        <v>0</v>
      </c>
      <c r="F39" s="36"/>
      <c r="G39" s="36"/>
      <c r="H39" s="38">
        <f t="shared" si="1"/>
        <v>0</v>
      </c>
      <c r="I39" s="36"/>
      <c r="J39" s="37"/>
      <c r="K39" s="38">
        <f t="shared" si="2"/>
        <v>0</v>
      </c>
      <c r="L39" s="36"/>
      <c r="M39" s="36"/>
      <c r="N39" s="49">
        <f t="shared" si="3"/>
        <v>0</v>
      </c>
    </row>
    <row r="40" spans="1:14" ht="20.100000000000001" customHeight="1">
      <c r="A40" s="39" t="s">
        <v>313</v>
      </c>
      <c r="B40" s="39"/>
      <c r="C40" s="36"/>
      <c r="D40" s="37"/>
      <c r="E40" s="38">
        <f t="shared" si="0"/>
        <v>0</v>
      </c>
      <c r="F40" s="36"/>
      <c r="G40" s="36"/>
      <c r="H40" s="38">
        <f t="shared" si="1"/>
        <v>0</v>
      </c>
      <c r="I40" s="36"/>
      <c r="J40" s="37"/>
      <c r="K40" s="38">
        <f t="shared" si="2"/>
        <v>0</v>
      </c>
      <c r="L40" s="36"/>
      <c r="M40" s="36"/>
      <c r="N40" s="49">
        <f t="shared" si="3"/>
        <v>0</v>
      </c>
    </row>
    <row r="41" spans="1:14" ht="20.100000000000001" customHeight="1">
      <c r="A41" s="41"/>
      <c r="B41" s="41"/>
      <c r="C41" s="42"/>
      <c r="D41" s="43"/>
      <c r="E41" s="38"/>
      <c r="F41" s="42"/>
      <c r="G41" s="42"/>
      <c r="H41" s="38"/>
      <c r="I41" s="42"/>
      <c r="J41" s="43"/>
      <c r="K41" s="38"/>
      <c r="L41" s="42"/>
      <c r="M41" s="42"/>
      <c r="N41" s="38"/>
    </row>
    <row r="42" spans="1:14" ht="20.100000000000001" customHeight="1">
      <c r="A42" s="44"/>
      <c r="B42" s="44"/>
      <c r="C42" s="38">
        <f>SUM(C11:C41)</f>
        <v>0</v>
      </c>
      <c r="D42" s="38"/>
      <c r="E42" s="38">
        <f>SUM(E11:E41)</f>
        <v>0</v>
      </c>
      <c r="F42" s="38">
        <f>SUM(F11:F41)</f>
        <v>0</v>
      </c>
      <c r="G42" s="38"/>
      <c r="H42" s="38">
        <f>SUM(H11:H41)</f>
        <v>0</v>
      </c>
      <c r="I42" s="38">
        <f>SUM(I11:I41)</f>
        <v>0</v>
      </c>
      <c r="J42" s="38"/>
      <c r="K42" s="38">
        <f>SUM(K11:K41)</f>
        <v>0</v>
      </c>
      <c r="L42" s="38">
        <f>SUM(L11:L41)</f>
        <v>0</v>
      </c>
      <c r="M42" s="38"/>
      <c r="N42" s="38">
        <f>SUM(N11:N41)</f>
        <v>0</v>
      </c>
    </row>
    <row r="43" spans="1:14" ht="20.100000000000001" customHeight="1">
      <c r="A43" s="4" t="s">
        <v>200</v>
      </c>
      <c r="B43" s="4"/>
    </row>
    <row r="47" spans="1:14" ht="20.100000000000001" customHeight="1">
      <c r="A47" s="4" t="s">
        <v>201</v>
      </c>
      <c r="B47" s="4"/>
    </row>
    <row r="49" spans="1:2" ht="20.100000000000001" customHeight="1">
      <c r="A49" s="45" t="s">
        <v>80</v>
      </c>
      <c r="B49" s="45"/>
    </row>
    <row r="50" spans="1:2" ht="20.100000000000001" customHeight="1">
      <c r="A50" s="46" t="s">
        <v>81</v>
      </c>
      <c r="B50" s="46"/>
    </row>
    <row r="51" spans="1:2" ht="20.100000000000001" customHeight="1">
      <c r="A51" s="45" t="s">
        <v>82</v>
      </c>
      <c r="B51" s="45"/>
    </row>
    <row r="52" spans="1:2" ht="20.100000000000001" customHeight="1">
      <c r="A52" s="46" t="s">
        <v>83</v>
      </c>
      <c r="B52" s="46"/>
    </row>
  </sheetData>
  <autoFilter ref="A10:N40"/>
  <mergeCells count="5">
    <mergeCell ref="A1:N1"/>
    <mergeCell ref="A2:N2"/>
    <mergeCell ref="C9:H9"/>
    <mergeCell ref="I9:N9"/>
    <mergeCell ref="A9:A10"/>
  </mergeCells>
  <phoneticPr fontId="31" type="noConversion"/>
  <dataValidations count="1">
    <dataValidation type="list" allowBlank="1" showInputMessage="1" showErrorMessage="1" sqref="B11:B39">
      <formula1>"资产减值准备,可抵扣亏损,内部交易未实现利润,公允价值变动,租赁负债,购入摊销年限小于税法规定的资产,其他"</formula1>
    </dataValidation>
  </dataValidations>
  <hyperlinks>
    <hyperlink ref="N3" location="底稿目录!A1" display="D10-2"/>
  </hyperlinks>
  <pageMargins left="0.70833333333333304" right="0.70833333333333304" top="0.74791666666666701" bottom="0.74791666666666701" header="0.31458333333333299" footer="0.31458333333333299"/>
  <pageSetup paperSize="9" scale="45" orientation="portrait" blackAndWhite="1" horizontalDpi="300" verticalDpi="300" r:id="rId1"/>
  <headerFooter>
    <oddFooter>&amp;C&amp;P/&amp;N</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view="pageBreakPreview" zoomScaleNormal="100" workbookViewId="0">
      <selection sqref="A1:J1"/>
    </sheetView>
  </sheetViews>
  <sheetFormatPr defaultColWidth="9" defaultRowHeight="20.100000000000001" customHeight="1"/>
  <cols>
    <col min="1" max="1" width="13.8984375" style="6" customWidth="1"/>
    <col min="2" max="3" width="10.8984375" style="6" customWidth="1"/>
    <col min="4" max="16384" width="9" style="6"/>
  </cols>
  <sheetData>
    <row r="1" spans="1:10" ht="20.100000000000001" customHeight="1">
      <c r="A1" s="288" t="s">
        <v>16</v>
      </c>
      <c r="B1" s="288"/>
      <c r="C1" s="288"/>
      <c r="D1" s="288"/>
      <c r="E1" s="288"/>
      <c r="F1" s="288"/>
      <c r="G1" s="288"/>
      <c r="H1" s="288"/>
      <c r="I1" s="288"/>
      <c r="J1" s="288"/>
    </row>
    <row r="2" spans="1:10" ht="20.100000000000001" customHeight="1">
      <c r="A2" s="289" t="s">
        <v>202</v>
      </c>
      <c r="B2" s="289"/>
      <c r="C2" s="289"/>
      <c r="D2" s="289"/>
      <c r="E2" s="289"/>
      <c r="F2" s="289"/>
      <c r="G2" s="289"/>
      <c r="H2" s="289"/>
      <c r="I2" s="289"/>
      <c r="J2" s="289"/>
    </row>
    <row r="3" spans="1:10" ht="20.100000000000001" customHeight="1">
      <c r="A3" s="7" t="str">
        <f>底稿目录!A2</f>
        <v>被审计单位名称：</v>
      </c>
      <c r="B3" s="7"/>
      <c r="C3" s="7"/>
      <c r="D3" s="7" t="str">
        <f>底稿目录!A4</f>
        <v>编制人：</v>
      </c>
      <c r="E3" s="7"/>
      <c r="F3" s="8"/>
      <c r="G3" s="7" t="str">
        <f>底稿目录!A5</f>
        <v>编制日期：</v>
      </c>
      <c r="H3" s="7"/>
      <c r="I3" s="27" t="s">
        <v>18</v>
      </c>
      <c r="J3" s="250" t="s">
        <v>305</v>
      </c>
    </row>
    <row r="4" spans="1:10" ht="20.100000000000001" customHeight="1">
      <c r="A4" s="7" t="str">
        <f>底稿目录!A3</f>
        <v>截止日：202X年12月31日</v>
      </c>
      <c r="B4" s="7"/>
      <c r="C4" s="7"/>
      <c r="D4" s="7" t="str">
        <f>底稿目录!A6</f>
        <v>复核人：</v>
      </c>
      <c r="E4" s="7"/>
      <c r="F4" s="8"/>
      <c r="G4" s="7" t="str">
        <f>底稿目录!A7</f>
        <v>复核日期：</v>
      </c>
      <c r="H4" s="7"/>
      <c r="I4" s="27" t="s">
        <v>19</v>
      </c>
      <c r="J4" s="8"/>
    </row>
    <row r="5" spans="1:10" ht="42" customHeight="1">
      <c r="A5" s="9" t="s">
        <v>203</v>
      </c>
      <c r="B5" s="10" t="s">
        <v>204</v>
      </c>
      <c r="C5" s="11" t="s">
        <v>205</v>
      </c>
      <c r="D5" s="12" t="s">
        <v>206</v>
      </c>
      <c r="E5" s="12" t="s">
        <v>207</v>
      </c>
      <c r="F5" s="13" t="s">
        <v>208</v>
      </c>
      <c r="G5" s="12" t="s">
        <v>209</v>
      </c>
      <c r="H5" s="12" t="s">
        <v>210</v>
      </c>
      <c r="I5" s="12" t="s">
        <v>211</v>
      </c>
      <c r="J5" s="12" t="s">
        <v>124</v>
      </c>
    </row>
    <row r="6" spans="1:10" ht="20.100000000000001" customHeight="1">
      <c r="A6" s="14"/>
      <c r="B6" s="14"/>
      <c r="C6" s="14"/>
      <c r="D6" s="14"/>
      <c r="E6" s="14"/>
      <c r="F6" s="14"/>
      <c r="G6" s="15"/>
      <c r="H6" s="15"/>
      <c r="I6" s="28"/>
      <c r="J6" s="14"/>
    </row>
    <row r="7" spans="1:10" ht="20.100000000000001" customHeight="1">
      <c r="A7" s="16"/>
      <c r="B7" s="14"/>
      <c r="C7" s="14"/>
      <c r="D7" s="14"/>
      <c r="E7" s="14"/>
      <c r="F7" s="14"/>
      <c r="G7" s="15"/>
      <c r="H7" s="15"/>
      <c r="I7" s="28"/>
      <c r="J7" s="14"/>
    </row>
    <row r="8" spans="1:10" ht="20.100000000000001" customHeight="1">
      <c r="A8" s="17"/>
      <c r="B8" s="14"/>
      <c r="C8" s="14"/>
      <c r="D8" s="14"/>
      <c r="E8" s="14"/>
      <c r="F8" s="14"/>
      <c r="G8" s="15"/>
      <c r="H8" s="15"/>
      <c r="I8" s="28"/>
      <c r="J8" s="14"/>
    </row>
    <row r="9" spans="1:10" ht="20.100000000000001" customHeight="1">
      <c r="A9" s="17"/>
      <c r="B9" s="14"/>
      <c r="C9" s="14"/>
      <c r="D9" s="14"/>
      <c r="E9" s="14"/>
      <c r="F9" s="14"/>
      <c r="G9" s="15"/>
      <c r="H9" s="15"/>
      <c r="I9" s="28"/>
      <c r="J9" s="14"/>
    </row>
    <row r="10" spans="1:10" ht="20.100000000000001" customHeight="1">
      <c r="A10" s="17"/>
      <c r="B10" s="14"/>
      <c r="C10" s="14"/>
      <c r="D10" s="14"/>
      <c r="E10" s="14"/>
      <c r="F10" s="14"/>
      <c r="G10" s="15"/>
      <c r="H10" s="15"/>
      <c r="I10" s="28"/>
      <c r="J10" s="14"/>
    </row>
    <row r="11" spans="1:10" ht="20.100000000000001" customHeight="1">
      <c r="A11" s="18"/>
      <c r="B11" s="14"/>
      <c r="C11" s="14"/>
      <c r="D11" s="14"/>
      <c r="E11" s="14"/>
      <c r="F11" s="14"/>
      <c r="G11" s="15"/>
      <c r="H11" s="15"/>
      <c r="I11" s="28"/>
      <c r="J11" s="14"/>
    </row>
    <row r="12" spans="1:10" ht="20.100000000000001" customHeight="1">
      <c r="A12" s="17"/>
      <c r="B12" s="14"/>
      <c r="C12" s="14"/>
      <c r="D12" s="14"/>
      <c r="E12" s="14"/>
      <c r="F12" s="14"/>
      <c r="G12" s="15"/>
      <c r="H12" s="15"/>
      <c r="I12" s="28"/>
      <c r="J12" s="14"/>
    </row>
    <row r="13" spans="1:10" ht="20.100000000000001" customHeight="1">
      <c r="A13" s="17"/>
      <c r="B13" s="14"/>
      <c r="C13" s="14"/>
      <c r="D13" s="14"/>
      <c r="E13" s="14"/>
      <c r="F13" s="14"/>
      <c r="G13" s="15"/>
      <c r="H13" s="15"/>
      <c r="I13" s="28"/>
      <c r="J13" s="14"/>
    </row>
    <row r="14" spans="1:10" ht="20.100000000000001" customHeight="1">
      <c r="A14" s="17"/>
      <c r="B14" s="14"/>
      <c r="C14" s="14"/>
      <c r="D14" s="14"/>
      <c r="E14" s="14"/>
      <c r="F14" s="14"/>
      <c r="G14" s="15"/>
      <c r="H14" s="15"/>
      <c r="I14" s="28"/>
      <c r="J14" s="14"/>
    </row>
    <row r="15" spans="1:10" ht="20.100000000000001" customHeight="1">
      <c r="A15" s="17"/>
      <c r="B15" s="14"/>
      <c r="C15" s="14"/>
      <c r="D15" s="14"/>
      <c r="E15" s="14"/>
      <c r="F15" s="14"/>
      <c r="G15" s="15"/>
      <c r="H15" s="15"/>
      <c r="I15" s="28"/>
      <c r="J15" s="14"/>
    </row>
    <row r="16" spans="1:10" ht="20.100000000000001" customHeight="1">
      <c r="A16" s="17"/>
      <c r="B16" s="14"/>
      <c r="C16" s="14"/>
      <c r="D16" s="14"/>
      <c r="E16" s="14"/>
      <c r="F16" s="14"/>
      <c r="G16" s="15"/>
      <c r="H16" s="15"/>
      <c r="I16" s="28"/>
      <c r="J16" s="14"/>
    </row>
    <row r="17" spans="1:10" ht="20.100000000000001" customHeight="1">
      <c r="A17" s="17"/>
      <c r="B17" s="14"/>
      <c r="C17" s="14"/>
      <c r="D17" s="14"/>
      <c r="E17" s="14"/>
      <c r="F17" s="14"/>
      <c r="G17" s="15"/>
      <c r="H17" s="15"/>
      <c r="I17" s="28"/>
      <c r="J17" s="14"/>
    </row>
    <row r="18" spans="1:10" ht="20.100000000000001" customHeight="1">
      <c r="A18" s="17"/>
      <c r="B18" s="14"/>
      <c r="C18" s="14"/>
      <c r="D18" s="14"/>
      <c r="E18" s="14"/>
      <c r="F18" s="14"/>
      <c r="G18" s="15"/>
      <c r="H18" s="15"/>
      <c r="I18" s="28"/>
      <c r="J18" s="14"/>
    </row>
    <row r="19" spans="1:10" ht="20.100000000000001" customHeight="1">
      <c r="A19" s="17"/>
      <c r="B19" s="14"/>
      <c r="C19" s="14"/>
      <c r="D19" s="14"/>
      <c r="E19" s="14"/>
      <c r="F19" s="14"/>
      <c r="G19" s="15"/>
      <c r="H19" s="15"/>
      <c r="I19" s="28"/>
      <c r="J19" s="14"/>
    </row>
    <row r="20" spans="1:10" ht="20.100000000000001" customHeight="1">
      <c r="A20" s="17"/>
      <c r="B20" s="14"/>
      <c r="C20" s="14"/>
      <c r="D20" s="14"/>
      <c r="E20" s="14"/>
      <c r="F20" s="14"/>
      <c r="G20" s="15"/>
      <c r="H20" s="15"/>
      <c r="I20" s="28"/>
      <c r="J20" s="14"/>
    </row>
    <row r="21" spans="1:10" ht="20.100000000000001" customHeight="1">
      <c r="A21" s="19" t="s">
        <v>74</v>
      </c>
      <c r="B21" s="20"/>
      <c r="C21" s="20"/>
      <c r="D21" s="20"/>
      <c r="E21" s="20"/>
      <c r="F21" s="20"/>
      <c r="G21" s="20"/>
      <c r="H21" s="20"/>
      <c r="I21" s="20"/>
      <c r="J21" s="20"/>
    </row>
    <row r="22" spans="1:10" ht="20.100000000000001" customHeight="1">
      <c r="A22" s="20"/>
      <c r="B22" s="20"/>
      <c r="C22" s="20"/>
      <c r="D22" s="20"/>
      <c r="E22" s="20"/>
      <c r="F22" s="20"/>
      <c r="G22" s="20"/>
      <c r="H22" s="20"/>
      <c r="I22" s="20"/>
      <c r="J22" s="20"/>
    </row>
    <row r="23" spans="1:10" ht="20.100000000000001" customHeight="1">
      <c r="A23" s="21"/>
      <c r="B23" s="21"/>
      <c r="C23" s="21"/>
      <c r="D23" s="20"/>
      <c r="E23" s="20"/>
      <c r="F23" s="20"/>
      <c r="G23" s="20"/>
      <c r="H23" s="20"/>
      <c r="I23" s="20"/>
      <c r="J23" s="20"/>
    </row>
    <row r="24" spans="1:10" ht="20.100000000000001" customHeight="1">
      <c r="A24" s="22"/>
      <c r="B24" s="22"/>
      <c r="C24" s="22"/>
      <c r="D24" s="21"/>
      <c r="E24" s="21"/>
      <c r="F24" s="21"/>
      <c r="G24" s="21"/>
      <c r="H24" s="21"/>
      <c r="I24" s="21"/>
      <c r="J24" s="21"/>
    </row>
    <row r="25" spans="1:10" ht="20.100000000000001" customHeight="1">
      <c r="A25" s="23" t="s">
        <v>79</v>
      </c>
      <c r="B25" s="23"/>
      <c r="C25" s="23"/>
      <c r="D25" s="21"/>
      <c r="E25" s="21"/>
      <c r="F25" s="21"/>
      <c r="G25" s="21"/>
      <c r="H25" s="21"/>
      <c r="I25" s="21"/>
      <c r="J25" s="21"/>
    </row>
    <row r="26" spans="1:10" ht="20.100000000000001" customHeight="1">
      <c r="A26" s="23"/>
      <c r="B26" s="23"/>
      <c r="C26" s="23"/>
      <c r="D26" s="20"/>
      <c r="E26" s="20"/>
      <c r="F26" s="20"/>
      <c r="G26" s="20"/>
      <c r="H26" s="20"/>
      <c r="I26" s="20"/>
      <c r="J26" s="20"/>
    </row>
    <row r="27" spans="1:10" ht="20.100000000000001" customHeight="1">
      <c r="A27" s="24" t="s">
        <v>212</v>
      </c>
      <c r="B27" s="25"/>
      <c r="C27" s="25"/>
      <c r="D27" s="25"/>
      <c r="E27" s="25"/>
      <c r="F27" s="25"/>
      <c r="G27" s="25"/>
      <c r="H27" s="25"/>
      <c r="I27" s="25"/>
      <c r="J27" s="25"/>
    </row>
    <row r="28" spans="1:10" ht="20.100000000000001" customHeight="1">
      <c r="A28" s="25"/>
      <c r="B28" s="25"/>
      <c r="C28" s="25"/>
      <c r="D28" s="25"/>
      <c r="E28" s="25"/>
      <c r="F28" s="25"/>
      <c r="G28" s="25"/>
      <c r="H28" s="25"/>
      <c r="I28" s="25"/>
      <c r="J28" s="25"/>
    </row>
    <row r="29" spans="1:10" ht="20.100000000000001" customHeight="1">
      <c r="B29" s="26"/>
      <c r="C29" s="26"/>
      <c r="D29" s="26"/>
      <c r="E29" s="26"/>
      <c r="F29" s="26"/>
      <c r="G29" s="26"/>
      <c r="H29" s="26"/>
      <c r="I29" s="26"/>
      <c r="J29" s="26"/>
    </row>
    <row r="30" spans="1:10" ht="20.100000000000001" customHeight="1">
      <c r="A30" s="25"/>
      <c r="B30" s="25"/>
      <c r="C30" s="25"/>
      <c r="D30" s="25"/>
      <c r="E30" s="25"/>
      <c r="F30" s="25"/>
      <c r="G30" s="25"/>
      <c r="H30" s="25"/>
      <c r="I30" s="25"/>
      <c r="J30" s="25"/>
    </row>
    <row r="31" spans="1:10" ht="20.100000000000001" customHeight="1">
      <c r="A31" s="25"/>
      <c r="B31" s="25"/>
      <c r="C31" s="25"/>
      <c r="D31" s="25"/>
      <c r="E31" s="25"/>
      <c r="F31" s="25"/>
      <c r="G31" s="25"/>
      <c r="H31" s="25"/>
      <c r="I31" s="25"/>
      <c r="J31" s="25"/>
    </row>
  </sheetData>
  <mergeCells count="2">
    <mergeCell ref="A1:J1"/>
    <mergeCell ref="A2:J2"/>
  </mergeCells>
  <phoneticPr fontId="31" type="noConversion"/>
  <dataValidations count="1">
    <dataValidation type="list" allowBlank="1" showInputMessage="1" showErrorMessage="1" sqref="B6:B20">
      <formula1>"账项调整,报表调整,其他"</formula1>
    </dataValidation>
  </dataValidations>
  <hyperlinks>
    <hyperlink ref="J3" location="底稿目录!A1" display="D10-3"/>
  </hyperlinks>
  <pageMargins left="0.70833333333333304" right="0.70833333333333304" top="0.74791666666666701" bottom="0.74791666666666701" header="0.31458333333333299" footer="0.31458333333333299"/>
  <pageSetup paperSize="9" scale="83" orientation="portrait" blackAndWhite="1" horizontalDpi="300" verticalDpi="300" r:id="rId1"/>
  <headerFooter>
    <oddFooter>&amp;C&amp;P/&amp;N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63"/>
  <sheetViews>
    <sheetView view="pageBreakPreview" zoomScaleNormal="100" workbookViewId="0">
      <selection sqref="A1:N1"/>
    </sheetView>
  </sheetViews>
  <sheetFormatPr defaultColWidth="9.09765625" defaultRowHeight="20.100000000000001" customHeight="1"/>
  <cols>
    <col min="1" max="1" width="39.296875" style="192" customWidth="1"/>
    <col min="2" max="6" width="9.09765625" style="192"/>
    <col min="7" max="7" width="11.69921875" style="192" customWidth="1"/>
    <col min="8" max="8" width="9.09765625" style="192"/>
    <col min="9" max="9" width="11.296875" style="192" customWidth="1"/>
    <col min="10" max="10" width="9.09765625" style="192"/>
    <col min="11" max="11" width="10.19921875" style="192" customWidth="1"/>
    <col min="12" max="12" width="9.09765625" style="192"/>
    <col min="13" max="13" width="10.3984375" style="192" customWidth="1"/>
    <col min="14" max="14" width="11.59765625" style="192" customWidth="1"/>
    <col min="15" max="16384" width="9.09765625" style="192"/>
  </cols>
  <sheetData>
    <row r="1" spans="1:14" s="191" customFormat="1" ht="20.100000000000001" customHeight="1">
      <c r="A1" s="266" t="s">
        <v>16</v>
      </c>
      <c r="B1" s="266"/>
      <c r="C1" s="266"/>
      <c r="D1" s="266"/>
      <c r="E1" s="266"/>
      <c r="F1" s="266"/>
      <c r="G1" s="266"/>
      <c r="H1" s="266"/>
      <c r="I1" s="266"/>
      <c r="J1" s="266"/>
      <c r="K1" s="266"/>
      <c r="L1" s="266"/>
      <c r="M1" s="266"/>
      <c r="N1" s="266"/>
    </row>
    <row r="2" spans="1:14" ht="20.100000000000001" customHeight="1">
      <c r="A2" s="267" t="s">
        <v>235</v>
      </c>
      <c r="B2" s="267"/>
      <c r="C2" s="267"/>
      <c r="D2" s="267"/>
      <c r="E2" s="267"/>
      <c r="F2" s="267"/>
      <c r="G2" s="267"/>
      <c r="H2" s="267"/>
      <c r="I2" s="267"/>
      <c r="J2" s="267"/>
      <c r="K2" s="267"/>
      <c r="L2" s="267"/>
      <c r="M2" s="267"/>
      <c r="N2" s="267"/>
    </row>
    <row r="3" spans="1:14" ht="20.100000000000001" customHeight="1">
      <c r="A3" s="193" t="str">
        <f>底稿目录!A2</f>
        <v>被审计单位名称：</v>
      </c>
      <c r="B3" s="193"/>
      <c r="C3" s="194"/>
      <c r="D3" s="193"/>
      <c r="E3" s="193" t="str">
        <f>底稿目录!$A$4</f>
        <v>编制人：</v>
      </c>
      <c r="F3" s="193"/>
      <c r="G3" s="193"/>
      <c r="H3" s="193"/>
      <c r="I3" s="193" t="str">
        <f>底稿目录!$A$5</f>
        <v>编制日期：</v>
      </c>
      <c r="J3" s="193"/>
      <c r="K3" s="193"/>
      <c r="M3" s="195" t="s">
        <v>18</v>
      </c>
      <c r="N3" s="250" t="s">
        <v>292</v>
      </c>
    </row>
    <row r="4" spans="1:14" ht="20.100000000000001" customHeight="1">
      <c r="A4" s="193" t="str">
        <f>底稿目录!A3</f>
        <v>截止日：202X年12月31日</v>
      </c>
      <c r="B4" s="193"/>
      <c r="C4" s="194"/>
      <c r="D4" s="193"/>
      <c r="E4" s="193" t="str">
        <f>底稿目录!$A$6</f>
        <v>复核人：</v>
      </c>
      <c r="F4" s="193"/>
      <c r="G4" s="193"/>
      <c r="H4" s="193"/>
      <c r="I4" s="193" t="str">
        <f>底稿目录!$A$7</f>
        <v>复核日期：</v>
      </c>
      <c r="J4" s="193"/>
      <c r="K4" s="193"/>
      <c r="M4" s="195" t="s">
        <v>19</v>
      </c>
    </row>
    <row r="5" spans="1:14" ht="20.100000000000001" customHeight="1">
      <c r="A5" s="191" t="s">
        <v>158</v>
      </c>
    </row>
    <row r="6" spans="1:14" ht="20.100000000000001" customHeight="1">
      <c r="A6" s="192" t="s">
        <v>236</v>
      </c>
    </row>
    <row r="7" spans="1:14" ht="20.100000000000001" customHeight="1">
      <c r="A7" s="191" t="s">
        <v>160</v>
      </c>
    </row>
    <row r="8" spans="1:14" ht="20.100000000000001" customHeight="1">
      <c r="A8" s="196" t="s">
        <v>161</v>
      </c>
    </row>
    <row r="9" spans="1:14" ht="20.100000000000001" customHeight="1">
      <c r="A9" s="292" t="s">
        <v>237</v>
      </c>
      <c r="B9" s="291" t="s">
        <v>238</v>
      </c>
      <c r="C9" s="291" t="s">
        <v>239</v>
      </c>
      <c r="D9" s="291" t="s">
        <v>240</v>
      </c>
      <c r="E9" s="197" t="s">
        <v>165</v>
      </c>
      <c r="F9" s="197"/>
      <c r="G9" s="291" t="s">
        <v>241</v>
      </c>
      <c r="H9" s="291" t="s">
        <v>242</v>
      </c>
      <c r="I9" s="291" t="s">
        <v>243</v>
      </c>
      <c r="J9" s="291" t="s">
        <v>244</v>
      </c>
      <c r="K9" s="290" t="s">
        <v>245</v>
      </c>
      <c r="L9" s="291" t="s">
        <v>242</v>
      </c>
      <c r="M9" s="291" t="s">
        <v>246</v>
      </c>
      <c r="N9" s="291" t="s">
        <v>247</v>
      </c>
    </row>
    <row r="10" spans="1:14" ht="52.05" customHeight="1">
      <c r="A10" s="292"/>
      <c r="B10" s="291"/>
      <c r="C10" s="291"/>
      <c r="D10" s="291"/>
      <c r="E10" s="198" t="s">
        <v>248</v>
      </c>
      <c r="F10" s="198" t="s">
        <v>249</v>
      </c>
      <c r="G10" s="291"/>
      <c r="H10" s="291"/>
      <c r="I10" s="291"/>
      <c r="J10" s="291"/>
      <c r="K10" s="290"/>
      <c r="L10" s="291"/>
      <c r="M10" s="291"/>
      <c r="N10" s="291"/>
    </row>
    <row r="11" spans="1:14" ht="20.100000000000001" customHeight="1">
      <c r="A11" s="199" t="str">
        <f>'递延所得税资产明细表N1-2'!A11</f>
        <v>交易性金融资产（公允价值与初始账面成本差异）</v>
      </c>
      <c r="B11" s="200"/>
      <c r="C11" s="200"/>
      <c r="D11" s="201"/>
      <c r="E11" s="202">
        <f t="shared" ref="E11:E40" si="0">IF(B11-C11&lt;0,C11-B11,0)</f>
        <v>0</v>
      </c>
      <c r="F11" s="202">
        <f t="shared" ref="F11:F40" si="1">IF(B11-C11&gt;0,B11-C11,0)</f>
        <v>0</v>
      </c>
      <c r="G11" s="202">
        <f>IF(E11=0,0,D11*E11)</f>
        <v>0</v>
      </c>
      <c r="H11" s="203"/>
      <c r="I11" s="200">
        <f>SUM(H11:H11)</f>
        <v>0</v>
      </c>
      <c r="J11" s="202">
        <f>G11-I11</f>
        <v>0</v>
      </c>
      <c r="K11" s="202">
        <f>IF(F11=0,0,D11*F11)</f>
        <v>0</v>
      </c>
      <c r="L11" s="203"/>
      <c r="M11" s="204"/>
      <c r="N11" s="205">
        <f>K11-M11</f>
        <v>0</v>
      </c>
    </row>
    <row r="12" spans="1:14" ht="20.100000000000001" customHeight="1">
      <c r="A12" s="199" t="str">
        <f>'递延所得税资产明细表N1-2'!A12</f>
        <v>应收账款（坏账准备）</v>
      </c>
      <c r="B12" s="200"/>
      <c r="C12" s="200"/>
      <c r="D12" s="201"/>
      <c r="E12" s="202">
        <f t="shared" si="0"/>
        <v>0</v>
      </c>
      <c r="F12" s="202">
        <f t="shared" si="1"/>
        <v>0</v>
      </c>
      <c r="G12" s="202">
        <f t="shared" ref="G12:G40" si="2">IF(E12=0,0,D12*E12)</f>
        <v>0</v>
      </c>
      <c r="H12" s="203"/>
      <c r="I12" s="200"/>
      <c r="J12" s="202">
        <f>G12-I12</f>
        <v>0</v>
      </c>
      <c r="K12" s="202">
        <f>IF(F12=0,0,D12*F12)</f>
        <v>0</v>
      </c>
      <c r="L12" s="203"/>
      <c r="M12" s="204"/>
      <c r="N12" s="205">
        <f>K12-M12</f>
        <v>0</v>
      </c>
    </row>
    <row r="13" spans="1:14" ht="20.100000000000001" customHeight="1">
      <c r="A13" s="199" t="str">
        <f>'递延所得税资产明细表N1-2'!A13</f>
        <v>其他应收款（坏账准备）</v>
      </c>
      <c r="B13" s="200"/>
      <c r="C13" s="200"/>
      <c r="D13" s="201"/>
      <c r="E13" s="202">
        <f t="shared" si="0"/>
        <v>0</v>
      </c>
      <c r="F13" s="202">
        <f t="shared" si="1"/>
        <v>0</v>
      </c>
      <c r="G13" s="202">
        <f t="shared" si="2"/>
        <v>0</v>
      </c>
      <c r="H13" s="203"/>
      <c r="I13" s="200"/>
      <c r="J13" s="202">
        <f>G13-I13</f>
        <v>0</v>
      </c>
      <c r="K13" s="202">
        <f>IF(F13=0,0,D13*F13)</f>
        <v>0</v>
      </c>
      <c r="L13" s="203"/>
      <c r="M13" s="204"/>
      <c r="N13" s="205">
        <f>K13-M13</f>
        <v>0</v>
      </c>
    </row>
    <row r="14" spans="1:14" ht="20.100000000000001" customHeight="1">
      <c r="A14" s="199" t="str">
        <f>'递延所得税资产明细表N1-2'!A14</f>
        <v>存货（跌价准备）</v>
      </c>
      <c r="B14" s="200"/>
      <c r="C14" s="200"/>
      <c r="D14" s="201"/>
      <c r="E14" s="202">
        <f t="shared" si="0"/>
        <v>0</v>
      </c>
      <c r="F14" s="202">
        <f t="shared" si="1"/>
        <v>0</v>
      </c>
      <c r="G14" s="202">
        <f t="shared" si="2"/>
        <v>0</v>
      </c>
      <c r="H14" s="203"/>
      <c r="I14" s="200"/>
      <c r="J14" s="202">
        <f>G14-I14</f>
        <v>0</v>
      </c>
      <c r="K14" s="202">
        <f>IF(F14=0,0,D14*F14)</f>
        <v>0</v>
      </c>
      <c r="L14" s="203"/>
      <c r="M14" s="204"/>
      <c r="N14" s="205">
        <f>K14-M14</f>
        <v>0</v>
      </c>
    </row>
    <row r="15" spans="1:14" ht="20.100000000000001" customHeight="1">
      <c r="A15" s="199" t="str">
        <f>'递延所得税资产明细表N1-2'!A15</f>
        <v>应收款项融资（公允价值与经实际利率法摊销后账面金额的差异）</v>
      </c>
      <c r="B15" s="200"/>
      <c r="C15" s="200"/>
      <c r="D15" s="201"/>
      <c r="E15" s="202">
        <f t="shared" si="0"/>
        <v>0</v>
      </c>
      <c r="F15" s="202">
        <f t="shared" si="1"/>
        <v>0</v>
      </c>
      <c r="G15" s="202">
        <f t="shared" si="2"/>
        <v>0</v>
      </c>
      <c r="H15" s="203"/>
      <c r="I15" s="200"/>
      <c r="J15" s="202">
        <f>G15-I15</f>
        <v>0</v>
      </c>
      <c r="K15" s="202">
        <f>IF(F15=0,0,D15*F15)</f>
        <v>0</v>
      </c>
      <c r="L15" s="203"/>
      <c r="M15" s="204"/>
      <c r="N15" s="205">
        <f>K15-M15</f>
        <v>0</v>
      </c>
    </row>
    <row r="16" spans="1:14" ht="20.100000000000001" customHeight="1">
      <c r="A16" s="199" t="str">
        <f>'递延所得税资产明细表N1-2'!A16</f>
        <v>合同资产（减值准备）</v>
      </c>
      <c r="B16" s="200"/>
      <c r="C16" s="200"/>
      <c r="D16" s="201"/>
      <c r="E16" s="202">
        <f t="shared" si="0"/>
        <v>0</v>
      </c>
      <c r="F16" s="202">
        <f t="shared" si="1"/>
        <v>0</v>
      </c>
      <c r="G16" s="202">
        <f t="shared" si="2"/>
        <v>0</v>
      </c>
      <c r="H16" s="203"/>
      <c r="I16" s="200"/>
      <c r="J16" s="202">
        <f t="shared" ref="J16:J40" si="3">G16-I16</f>
        <v>0</v>
      </c>
      <c r="K16" s="202">
        <f t="shared" ref="K16:K40" si="4">IF(F16=0,0,D16*F16)</f>
        <v>0</v>
      </c>
      <c r="L16" s="203"/>
      <c r="M16" s="204"/>
      <c r="N16" s="205"/>
    </row>
    <row r="17" spans="1:14" ht="20.100000000000001" customHeight="1">
      <c r="A17" s="199" t="str">
        <f>'递延所得税资产明细表N1-2'!A17</f>
        <v>其他债权投资（公允价值与经实际利率法摊销后账面金额的差异）</v>
      </c>
      <c r="B17" s="200"/>
      <c r="C17" s="200"/>
      <c r="D17" s="201"/>
      <c r="E17" s="202">
        <f t="shared" si="0"/>
        <v>0</v>
      </c>
      <c r="F17" s="202">
        <f t="shared" si="1"/>
        <v>0</v>
      </c>
      <c r="G17" s="202">
        <f t="shared" si="2"/>
        <v>0</v>
      </c>
      <c r="H17" s="203"/>
      <c r="I17" s="200"/>
      <c r="J17" s="202">
        <f t="shared" si="3"/>
        <v>0</v>
      </c>
      <c r="K17" s="202">
        <f t="shared" si="4"/>
        <v>0</v>
      </c>
      <c r="L17" s="203"/>
      <c r="M17" s="204"/>
      <c r="N17" s="205">
        <f t="shared" ref="N17:N25" si="5">K17-M17</f>
        <v>0</v>
      </c>
    </row>
    <row r="18" spans="1:14" ht="20.100000000000001" customHeight="1">
      <c r="A18" s="199" t="str">
        <f>'递延所得税资产明细表N1-2'!A18</f>
        <v>其他权益工具投资（公允价值与初始账面成本差异）</v>
      </c>
      <c r="B18" s="200"/>
      <c r="C18" s="200"/>
      <c r="D18" s="201"/>
      <c r="E18" s="202">
        <f t="shared" si="0"/>
        <v>0</v>
      </c>
      <c r="F18" s="202">
        <f t="shared" si="1"/>
        <v>0</v>
      </c>
      <c r="G18" s="202">
        <f t="shared" si="2"/>
        <v>0</v>
      </c>
      <c r="H18" s="203"/>
      <c r="I18" s="200"/>
      <c r="J18" s="202">
        <f t="shared" si="3"/>
        <v>0</v>
      </c>
      <c r="K18" s="202">
        <f t="shared" si="4"/>
        <v>0</v>
      </c>
      <c r="L18" s="203"/>
      <c r="M18" s="204"/>
      <c r="N18" s="205">
        <f t="shared" si="5"/>
        <v>0</v>
      </c>
    </row>
    <row r="19" spans="1:14" ht="20.100000000000001" customHeight="1">
      <c r="A19" s="199" t="str">
        <f>'递延所得税资产明细表N1-2'!A19</f>
        <v>债权投资（减值准备）</v>
      </c>
      <c r="B19" s="200"/>
      <c r="C19" s="200"/>
      <c r="D19" s="201"/>
      <c r="E19" s="202">
        <f t="shared" si="0"/>
        <v>0</v>
      </c>
      <c r="F19" s="202">
        <f t="shared" si="1"/>
        <v>0</v>
      </c>
      <c r="G19" s="202">
        <f t="shared" si="2"/>
        <v>0</v>
      </c>
      <c r="H19" s="203"/>
      <c r="I19" s="200"/>
      <c r="J19" s="202">
        <f t="shared" si="3"/>
        <v>0</v>
      </c>
      <c r="K19" s="202">
        <f t="shared" si="4"/>
        <v>0</v>
      </c>
      <c r="L19" s="203"/>
      <c r="M19" s="204"/>
      <c r="N19" s="205">
        <f t="shared" si="5"/>
        <v>0</v>
      </c>
    </row>
    <row r="20" spans="1:14" ht="20.100000000000001" customHeight="1">
      <c r="A20" s="199" t="str">
        <f>'递延所得税资产明细表N1-2'!A20</f>
        <v>长期股权投资（减值准备）</v>
      </c>
      <c r="B20" s="200"/>
      <c r="C20" s="200"/>
      <c r="D20" s="201"/>
      <c r="E20" s="202">
        <f t="shared" si="0"/>
        <v>0</v>
      </c>
      <c r="F20" s="202">
        <f t="shared" si="1"/>
        <v>0</v>
      </c>
      <c r="G20" s="202">
        <f t="shared" si="2"/>
        <v>0</v>
      </c>
      <c r="H20" s="203"/>
      <c r="I20" s="200"/>
      <c r="J20" s="202">
        <f t="shared" si="3"/>
        <v>0</v>
      </c>
      <c r="K20" s="202">
        <f t="shared" si="4"/>
        <v>0</v>
      </c>
      <c r="L20" s="203"/>
      <c r="M20" s="204"/>
      <c r="N20" s="205">
        <f t="shared" si="5"/>
        <v>0</v>
      </c>
    </row>
    <row r="21" spans="1:14" ht="20.100000000000001" customHeight="1">
      <c r="A21" s="199" t="str">
        <f>'递延所得税资产明细表N1-2'!A21</f>
        <v>投资性房地产（公允价值与账面差异）</v>
      </c>
      <c r="B21" s="200"/>
      <c r="C21" s="200"/>
      <c r="D21" s="201"/>
      <c r="E21" s="202">
        <f t="shared" si="0"/>
        <v>0</v>
      </c>
      <c r="F21" s="202">
        <f t="shared" si="1"/>
        <v>0</v>
      </c>
      <c r="G21" s="202">
        <f t="shared" si="2"/>
        <v>0</v>
      </c>
      <c r="H21" s="203"/>
      <c r="I21" s="200"/>
      <c r="J21" s="202">
        <f t="shared" si="3"/>
        <v>0</v>
      </c>
      <c r="K21" s="202">
        <f t="shared" si="4"/>
        <v>0</v>
      </c>
      <c r="L21" s="203"/>
      <c r="M21" s="204"/>
      <c r="N21" s="205">
        <f t="shared" si="5"/>
        <v>0</v>
      </c>
    </row>
    <row r="22" spans="1:14" ht="20.100000000000001" customHeight="1">
      <c r="A22" s="199" t="str">
        <f>'递延所得税资产明细表N1-2'!A22</f>
        <v>投资性房地产（折旧）</v>
      </c>
      <c r="B22" s="200"/>
      <c r="C22" s="200"/>
      <c r="D22" s="201"/>
      <c r="E22" s="202">
        <f t="shared" si="0"/>
        <v>0</v>
      </c>
      <c r="F22" s="202">
        <f t="shared" si="1"/>
        <v>0</v>
      </c>
      <c r="G22" s="202">
        <f t="shared" si="2"/>
        <v>0</v>
      </c>
      <c r="H22" s="203"/>
      <c r="I22" s="200"/>
      <c r="J22" s="202">
        <f t="shared" si="3"/>
        <v>0</v>
      </c>
      <c r="K22" s="202">
        <f t="shared" si="4"/>
        <v>0</v>
      </c>
      <c r="L22" s="203"/>
      <c r="M22" s="204"/>
      <c r="N22" s="205">
        <f t="shared" si="5"/>
        <v>0</v>
      </c>
    </row>
    <row r="23" spans="1:14" ht="20.100000000000001" customHeight="1">
      <c r="A23" s="199" t="str">
        <f>'递延所得税资产明细表N1-2'!A23</f>
        <v>固定资产（减值准备）</v>
      </c>
      <c r="B23" s="200"/>
      <c r="C23" s="200"/>
      <c r="D23" s="201"/>
      <c r="E23" s="202">
        <f t="shared" si="0"/>
        <v>0</v>
      </c>
      <c r="F23" s="202">
        <f t="shared" si="1"/>
        <v>0</v>
      </c>
      <c r="G23" s="202">
        <f t="shared" si="2"/>
        <v>0</v>
      </c>
      <c r="H23" s="203"/>
      <c r="I23" s="200"/>
      <c r="J23" s="202">
        <f t="shared" si="3"/>
        <v>0</v>
      </c>
      <c r="K23" s="202">
        <f t="shared" si="4"/>
        <v>0</v>
      </c>
      <c r="L23" s="203"/>
      <c r="M23" s="204"/>
      <c r="N23" s="205">
        <f t="shared" si="5"/>
        <v>0</v>
      </c>
    </row>
    <row r="24" spans="1:14" ht="20.100000000000001" customHeight="1">
      <c r="A24" s="199" t="str">
        <f>'递延所得税资产明细表N1-2'!A24</f>
        <v>固定资产折旧（年限、残值）</v>
      </c>
      <c r="B24" s="200"/>
      <c r="C24" s="200"/>
      <c r="D24" s="201"/>
      <c r="E24" s="202">
        <f t="shared" si="0"/>
        <v>0</v>
      </c>
      <c r="F24" s="202">
        <f t="shared" si="1"/>
        <v>0</v>
      </c>
      <c r="G24" s="202">
        <f t="shared" si="2"/>
        <v>0</v>
      </c>
      <c r="H24" s="203"/>
      <c r="I24" s="200"/>
      <c r="J24" s="202">
        <f t="shared" si="3"/>
        <v>0</v>
      </c>
      <c r="K24" s="202">
        <f t="shared" si="4"/>
        <v>0</v>
      </c>
      <c r="L24" s="203"/>
      <c r="M24" s="204"/>
      <c r="N24" s="205">
        <f t="shared" si="5"/>
        <v>0</v>
      </c>
    </row>
    <row r="25" spans="1:14" ht="20.100000000000001" customHeight="1">
      <c r="A25" s="199" t="str">
        <f>'递延所得税资产明细表N1-2'!A25</f>
        <v>在建工程（减值准备）</v>
      </c>
      <c r="B25" s="200"/>
      <c r="C25" s="200"/>
      <c r="D25" s="201"/>
      <c r="E25" s="202">
        <f t="shared" si="0"/>
        <v>0</v>
      </c>
      <c r="F25" s="202">
        <f t="shared" si="1"/>
        <v>0</v>
      </c>
      <c r="G25" s="202">
        <f t="shared" si="2"/>
        <v>0</v>
      </c>
      <c r="H25" s="203"/>
      <c r="I25" s="200"/>
      <c r="J25" s="202">
        <f t="shared" si="3"/>
        <v>0</v>
      </c>
      <c r="K25" s="202">
        <f t="shared" si="4"/>
        <v>0</v>
      </c>
      <c r="L25" s="203"/>
      <c r="M25" s="204"/>
      <c r="N25" s="205">
        <f t="shared" si="5"/>
        <v>0</v>
      </c>
    </row>
    <row r="26" spans="1:14" ht="20.100000000000001" customHeight="1">
      <c r="A26" s="199" t="str">
        <f>'递延所得税资产明细表N1-2'!A26</f>
        <v>使用权资产（减值准备）</v>
      </c>
      <c r="B26" s="200"/>
      <c r="C26" s="200"/>
      <c r="D26" s="201"/>
      <c r="E26" s="202">
        <f t="shared" si="0"/>
        <v>0</v>
      </c>
      <c r="F26" s="202">
        <f t="shared" si="1"/>
        <v>0</v>
      </c>
      <c r="G26" s="202">
        <f t="shared" si="2"/>
        <v>0</v>
      </c>
      <c r="H26" s="203"/>
      <c r="I26" s="200"/>
      <c r="J26" s="202">
        <f t="shared" si="3"/>
        <v>0</v>
      </c>
      <c r="K26" s="202">
        <f t="shared" si="4"/>
        <v>0</v>
      </c>
      <c r="L26" s="203"/>
      <c r="M26" s="204"/>
      <c r="N26" s="205"/>
    </row>
    <row r="27" spans="1:14" ht="20.100000000000001" customHeight="1">
      <c r="A27" s="199" t="str">
        <f>'递延所得税资产明细表N1-2'!A27</f>
        <v>无形资产（减值准备、摊销）</v>
      </c>
      <c r="B27" s="200"/>
      <c r="C27" s="200"/>
      <c r="D27" s="201"/>
      <c r="E27" s="202">
        <f t="shared" si="0"/>
        <v>0</v>
      </c>
      <c r="F27" s="202">
        <f t="shared" si="1"/>
        <v>0</v>
      </c>
      <c r="G27" s="202">
        <f t="shared" si="2"/>
        <v>0</v>
      </c>
      <c r="H27" s="203"/>
      <c r="I27" s="200"/>
      <c r="J27" s="202">
        <f t="shared" si="3"/>
        <v>0</v>
      </c>
      <c r="K27" s="202">
        <f t="shared" si="4"/>
        <v>0</v>
      </c>
      <c r="L27" s="203"/>
      <c r="M27" s="204"/>
      <c r="N27" s="205">
        <f t="shared" ref="N27:N40" si="6">K27-M27</f>
        <v>0</v>
      </c>
    </row>
    <row r="28" spans="1:14" ht="20.100000000000001" customHeight="1">
      <c r="A28" s="199" t="str">
        <f>'递延所得税资产明细表N1-2'!A28</f>
        <v>无形资产（研发费用资本化）</v>
      </c>
      <c r="B28" s="200"/>
      <c r="C28" s="200"/>
      <c r="D28" s="201"/>
      <c r="E28" s="202">
        <f t="shared" si="0"/>
        <v>0</v>
      </c>
      <c r="F28" s="202">
        <f t="shared" si="1"/>
        <v>0</v>
      </c>
      <c r="G28" s="202">
        <f t="shared" si="2"/>
        <v>0</v>
      </c>
      <c r="H28" s="203"/>
      <c r="I28" s="200"/>
      <c r="J28" s="202">
        <f t="shared" si="3"/>
        <v>0</v>
      </c>
      <c r="K28" s="202">
        <f t="shared" si="4"/>
        <v>0</v>
      </c>
      <c r="L28" s="203"/>
      <c r="M28" s="204"/>
      <c r="N28" s="205">
        <f t="shared" si="6"/>
        <v>0</v>
      </c>
    </row>
    <row r="29" spans="1:14" ht="20.100000000000001" customHeight="1">
      <c r="A29" s="199" t="str">
        <f>'递延所得税资产明细表N1-2'!A29</f>
        <v>开办费（摊销方法）[注1]</v>
      </c>
      <c r="B29" s="200"/>
      <c r="C29" s="200"/>
      <c r="D29" s="201"/>
      <c r="E29" s="202">
        <f t="shared" si="0"/>
        <v>0</v>
      </c>
      <c r="F29" s="202">
        <f t="shared" si="1"/>
        <v>0</v>
      </c>
      <c r="G29" s="202">
        <f t="shared" si="2"/>
        <v>0</v>
      </c>
      <c r="H29" s="203"/>
      <c r="I29" s="200"/>
      <c r="J29" s="202">
        <f t="shared" si="3"/>
        <v>0</v>
      </c>
      <c r="K29" s="202">
        <f t="shared" si="4"/>
        <v>0</v>
      </c>
      <c r="L29" s="203"/>
      <c r="M29" s="204"/>
      <c r="N29" s="205">
        <f t="shared" si="6"/>
        <v>0</v>
      </c>
    </row>
    <row r="30" spans="1:14" ht="20.100000000000001" customHeight="1">
      <c r="A30" s="199" t="str">
        <f>'递延所得税资产明细表N1-2'!A30</f>
        <v>交易性金融负债（公允价值与账面差异）</v>
      </c>
      <c r="B30" s="200"/>
      <c r="C30" s="200"/>
      <c r="D30" s="201"/>
      <c r="E30" s="202">
        <f t="shared" si="0"/>
        <v>0</v>
      </c>
      <c r="F30" s="202">
        <f t="shared" si="1"/>
        <v>0</v>
      </c>
      <c r="G30" s="202">
        <f t="shared" si="2"/>
        <v>0</v>
      </c>
      <c r="H30" s="203"/>
      <c r="I30" s="200"/>
      <c r="J30" s="202">
        <f t="shared" si="3"/>
        <v>0</v>
      </c>
      <c r="K30" s="202">
        <f t="shared" si="4"/>
        <v>0</v>
      </c>
      <c r="L30" s="203"/>
      <c r="M30" s="204"/>
      <c r="N30" s="205">
        <f t="shared" si="6"/>
        <v>0</v>
      </c>
    </row>
    <row r="31" spans="1:14" ht="20.100000000000001" customHeight="1">
      <c r="A31" s="199" t="str">
        <f>'递延所得税资产明细表N1-2'!A31</f>
        <v>应付职工薪酬（已计提未支付）</v>
      </c>
      <c r="B31" s="200"/>
      <c r="C31" s="200"/>
      <c r="D31" s="201"/>
      <c r="E31" s="202">
        <f t="shared" si="0"/>
        <v>0</v>
      </c>
      <c r="F31" s="202">
        <f t="shared" si="1"/>
        <v>0</v>
      </c>
      <c r="G31" s="202">
        <f t="shared" si="2"/>
        <v>0</v>
      </c>
      <c r="H31" s="203"/>
      <c r="I31" s="200"/>
      <c r="J31" s="202">
        <f t="shared" si="3"/>
        <v>0</v>
      </c>
      <c r="K31" s="202">
        <f t="shared" si="4"/>
        <v>0</v>
      </c>
      <c r="L31" s="203"/>
      <c r="M31" s="204"/>
      <c r="N31" s="205">
        <f t="shared" si="6"/>
        <v>0</v>
      </c>
    </row>
    <row r="32" spans="1:14" ht="20.100000000000001" customHeight="1">
      <c r="A32" s="199" t="str">
        <f>'递延所得税资产明细表N1-2'!A32</f>
        <v>应付职工薪酬（预计辞退福利费）[注2]</v>
      </c>
      <c r="B32" s="200"/>
      <c r="C32" s="200"/>
      <c r="D32" s="201"/>
      <c r="E32" s="202">
        <f t="shared" si="0"/>
        <v>0</v>
      </c>
      <c r="F32" s="202">
        <f t="shared" si="1"/>
        <v>0</v>
      </c>
      <c r="G32" s="202">
        <f t="shared" si="2"/>
        <v>0</v>
      </c>
      <c r="H32" s="203"/>
      <c r="I32" s="200"/>
      <c r="J32" s="202">
        <f t="shared" si="3"/>
        <v>0</v>
      </c>
      <c r="K32" s="202">
        <f t="shared" si="4"/>
        <v>0</v>
      </c>
      <c r="L32" s="203"/>
      <c r="M32" s="204"/>
      <c r="N32" s="205">
        <f t="shared" si="6"/>
        <v>0</v>
      </c>
    </row>
    <row r="33" spans="1:15" ht="20.100000000000001" customHeight="1">
      <c r="A33" s="199" t="str">
        <f>'递延所得税资产明细表N1-2'!A33</f>
        <v>预提费用</v>
      </c>
      <c r="B33" s="200"/>
      <c r="C33" s="200"/>
      <c r="D33" s="201"/>
      <c r="E33" s="202">
        <f t="shared" si="0"/>
        <v>0</v>
      </c>
      <c r="F33" s="202">
        <f t="shared" si="1"/>
        <v>0</v>
      </c>
      <c r="G33" s="202">
        <f t="shared" si="2"/>
        <v>0</v>
      </c>
      <c r="H33" s="203"/>
      <c r="I33" s="200"/>
      <c r="J33" s="202">
        <f t="shared" si="3"/>
        <v>0</v>
      </c>
      <c r="K33" s="202">
        <f t="shared" si="4"/>
        <v>0</v>
      </c>
      <c r="L33" s="203"/>
      <c r="M33" s="204"/>
      <c r="N33" s="205">
        <f t="shared" si="6"/>
        <v>0</v>
      </c>
    </row>
    <row r="34" spans="1:15" ht="20.100000000000001" customHeight="1">
      <c r="A34" s="199" t="str">
        <f>'递延所得税资产明细表N1-2'!A34</f>
        <v>递延收益</v>
      </c>
      <c r="B34" s="200"/>
      <c r="C34" s="200"/>
      <c r="D34" s="201"/>
      <c r="E34" s="202">
        <f t="shared" si="0"/>
        <v>0</v>
      </c>
      <c r="F34" s="202">
        <f t="shared" si="1"/>
        <v>0</v>
      </c>
      <c r="G34" s="202">
        <f t="shared" si="2"/>
        <v>0</v>
      </c>
      <c r="H34" s="203"/>
      <c r="I34" s="200"/>
      <c r="J34" s="202">
        <f t="shared" si="3"/>
        <v>0</v>
      </c>
      <c r="K34" s="202">
        <f t="shared" si="4"/>
        <v>0</v>
      </c>
      <c r="L34" s="203"/>
      <c r="M34" s="204"/>
      <c r="N34" s="205">
        <f t="shared" si="6"/>
        <v>0</v>
      </c>
    </row>
    <row r="35" spans="1:15" ht="20.100000000000001" customHeight="1">
      <c r="A35" s="199" t="str">
        <f>'递延所得税资产明细表N1-2'!A35</f>
        <v>预计负债（预计产品保修费用等）</v>
      </c>
      <c r="B35" s="200"/>
      <c r="C35" s="200"/>
      <c r="D35" s="201"/>
      <c r="E35" s="202">
        <f t="shared" si="0"/>
        <v>0</v>
      </c>
      <c r="F35" s="202">
        <f t="shared" si="1"/>
        <v>0</v>
      </c>
      <c r="G35" s="202">
        <f t="shared" si="2"/>
        <v>0</v>
      </c>
      <c r="H35" s="203"/>
      <c r="I35" s="200"/>
      <c r="J35" s="202">
        <f t="shared" si="3"/>
        <v>0</v>
      </c>
      <c r="K35" s="202">
        <f t="shared" si="4"/>
        <v>0</v>
      </c>
      <c r="L35" s="203"/>
      <c r="M35" s="204"/>
      <c r="N35" s="205">
        <f t="shared" si="6"/>
        <v>0</v>
      </c>
    </row>
    <row r="36" spans="1:15" ht="20.100000000000001" customHeight="1">
      <c r="A36" s="199" t="str">
        <f>'递延所得税资产明细表N1-2'!A36</f>
        <v>收入（预收款项）</v>
      </c>
      <c r="B36" s="200"/>
      <c r="C36" s="200"/>
      <c r="D36" s="200"/>
      <c r="E36" s="202">
        <f t="shared" si="0"/>
        <v>0</v>
      </c>
      <c r="F36" s="202">
        <f t="shared" si="1"/>
        <v>0</v>
      </c>
      <c r="G36" s="202">
        <f t="shared" si="2"/>
        <v>0</v>
      </c>
      <c r="H36" s="203"/>
      <c r="I36" s="200"/>
      <c r="J36" s="202">
        <f t="shared" si="3"/>
        <v>0</v>
      </c>
      <c r="K36" s="202">
        <f t="shared" si="4"/>
        <v>0</v>
      </c>
      <c r="L36" s="203"/>
      <c r="M36" s="204"/>
      <c r="N36" s="205">
        <f t="shared" si="6"/>
        <v>0</v>
      </c>
    </row>
    <row r="37" spans="1:15" ht="20.100000000000001" customHeight="1">
      <c r="A37" s="199" t="str">
        <f>'递延所得税资产明细表N1-2'!A37</f>
        <v>销售费用（广告费和业务宣传费）</v>
      </c>
      <c r="B37" s="200"/>
      <c r="C37" s="200"/>
      <c r="D37" s="200"/>
      <c r="E37" s="202">
        <f t="shared" si="0"/>
        <v>0</v>
      </c>
      <c r="F37" s="202">
        <f t="shared" si="1"/>
        <v>0</v>
      </c>
      <c r="G37" s="202">
        <f t="shared" si="2"/>
        <v>0</v>
      </c>
      <c r="H37" s="203"/>
      <c r="I37" s="200"/>
      <c r="J37" s="202">
        <f t="shared" si="3"/>
        <v>0</v>
      </c>
      <c r="K37" s="202">
        <f t="shared" si="4"/>
        <v>0</v>
      </c>
      <c r="L37" s="203"/>
      <c r="M37" s="204"/>
      <c r="N37" s="205">
        <f t="shared" si="6"/>
        <v>0</v>
      </c>
    </row>
    <row r="38" spans="1:15" ht="20.100000000000001" customHeight="1">
      <c r="A38" s="199" t="str">
        <f>'递延所得税资产明细表N1-2'!A38</f>
        <v>可用以后年度税前利润弥补的亏损</v>
      </c>
      <c r="B38" s="200"/>
      <c r="C38" s="200"/>
      <c r="D38" s="200"/>
      <c r="E38" s="202">
        <f t="shared" si="0"/>
        <v>0</v>
      </c>
      <c r="F38" s="202">
        <f t="shared" si="1"/>
        <v>0</v>
      </c>
      <c r="G38" s="202">
        <f t="shared" si="2"/>
        <v>0</v>
      </c>
      <c r="H38" s="203"/>
      <c r="I38" s="200"/>
      <c r="J38" s="202">
        <f t="shared" si="3"/>
        <v>0</v>
      </c>
      <c r="K38" s="202">
        <f t="shared" si="4"/>
        <v>0</v>
      </c>
      <c r="L38" s="203"/>
      <c r="M38" s="204"/>
      <c r="N38" s="205">
        <f t="shared" si="6"/>
        <v>0</v>
      </c>
    </row>
    <row r="39" spans="1:15" ht="20.100000000000001" customHeight="1">
      <c r="A39" s="199" t="str">
        <f>'递延所得税资产明细表N1-2'!A39</f>
        <v>除上述项目以外的其他[注3]</v>
      </c>
      <c r="B39" s="200"/>
      <c r="C39" s="200"/>
      <c r="D39" s="200"/>
      <c r="E39" s="202">
        <f t="shared" si="0"/>
        <v>0</v>
      </c>
      <c r="F39" s="202">
        <f t="shared" si="1"/>
        <v>0</v>
      </c>
      <c r="G39" s="202">
        <f t="shared" si="2"/>
        <v>0</v>
      </c>
      <c r="H39" s="203"/>
      <c r="I39" s="200"/>
      <c r="J39" s="202">
        <f t="shared" si="3"/>
        <v>0</v>
      </c>
      <c r="K39" s="202">
        <f t="shared" si="4"/>
        <v>0</v>
      </c>
      <c r="L39" s="203"/>
      <c r="M39" s="204"/>
      <c r="N39" s="205">
        <f t="shared" si="6"/>
        <v>0</v>
      </c>
    </row>
    <row r="40" spans="1:15" ht="20.100000000000001" customHeight="1">
      <c r="A40" s="199" t="str">
        <f>'递延所得税资产明细表N1-2'!A40</f>
        <v>……</v>
      </c>
      <c r="B40" s="200"/>
      <c r="C40" s="200"/>
      <c r="D40" s="200"/>
      <c r="E40" s="202">
        <f t="shared" si="0"/>
        <v>0</v>
      </c>
      <c r="F40" s="202">
        <f t="shared" si="1"/>
        <v>0</v>
      </c>
      <c r="G40" s="202">
        <f t="shared" si="2"/>
        <v>0</v>
      </c>
      <c r="H40" s="203"/>
      <c r="I40" s="200"/>
      <c r="J40" s="202">
        <f t="shared" si="3"/>
        <v>0</v>
      </c>
      <c r="K40" s="202">
        <f t="shared" si="4"/>
        <v>0</v>
      </c>
      <c r="L40" s="203"/>
      <c r="M40" s="204"/>
      <c r="N40" s="205">
        <f t="shared" si="6"/>
        <v>0</v>
      </c>
    </row>
    <row r="41" spans="1:15" ht="20.100000000000001" customHeight="1">
      <c r="A41" s="206" t="s">
        <v>71</v>
      </c>
      <c r="B41" s="202">
        <f>SUM(B11:B40)</f>
        <v>0</v>
      </c>
      <c r="C41" s="202">
        <f>SUM(C11:C40)</f>
        <v>0</v>
      </c>
      <c r="D41" s="202"/>
      <c r="E41" s="207">
        <f t="shared" ref="E41:N41" si="7">SUM(E11:E40)</f>
        <v>0</v>
      </c>
      <c r="F41" s="207">
        <f t="shared" si="7"/>
        <v>0</v>
      </c>
      <c r="G41" s="207">
        <f t="shared" si="7"/>
        <v>0</v>
      </c>
      <c r="H41" s="207">
        <f t="shared" si="7"/>
        <v>0</v>
      </c>
      <c r="I41" s="207">
        <f t="shared" si="7"/>
        <v>0</v>
      </c>
      <c r="J41" s="207">
        <f t="shared" si="7"/>
        <v>0</v>
      </c>
      <c r="K41" s="207">
        <f t="shared" si="7"/>
        <v>0</v>
      </c>
      <c r="L41" s="207">
        <f t="shared" si="7"/>
        <v>0</v>
      </c>
      <c r="M41" s="207">
        <f t="shared" si="7"/>
        <v>0</v>
      </c>
      <c r="N41" s="207">
        <f t="shared" si="7"/>
        <v>0</v>
      </c>
    </row>
    <row r="42" spans="1:15" ht="20.100000000000001" customHeight="1">
      <c r="A42" s="208" t="s">
        <v>200</v>
      </c>
      <c r="B42" s="209"/>
      <c r="C42" s="209"/>
      <c r="D42" s="209"/>
      <c r="E42" s="210"/>
      <c r="F42" s="210"/>
      <c r="G42" s="210"/>
      <c r="H42" s="210"/>
      <c r="I42" s="210"/>
      <c r="J42" s="210"/>
      <c r="K42" s="210"/>
      <c r="L42" s="210"/>
      <c r="M42" s="210"/>
      <c r="N42" s="210"/>
      <c r="O42" s="211"/>
    </row>
    <row r="43" spans="1:15" ht="20.100000000000001" customHeight="1">
      <c r="A43" s="208"/>
      <c r="B43" s="209"/>
      <c r="C43" s="209"/>
      <c r="D43" s="209"/>
      <c r="E43" s="210"/>
      <c r="F43" s="210"/>
      <c r="G43" s="210"/>
      <c r="H43" s="210"/>
      <c r="I43" s="210"/>
      <c r="J43" s="210"/>
      <c r="K43" s="210"/>
      <c r="L43" s="210"/>
      <c r="M43" s="210"/>
      <c r="N43" s="210"/>
      <c r="O43" s="211"/>
    </row>
    <row r="44" spans="1:15" ht="20.100000000000001" customHeight="1">
      <c r="A44" s="208" t="s">
        <v>201</v>
      </c>
      <c r="B44" s="209"/>
      <c r="C44" s="209"/>
      <c r="D44" s="209"/>
      <c r="E44" s="210"/>
      <c r="F44" s="210"/>
      <c r="G44" s="210"/>
      <c r="H44" s="210"/>
      <c r="I44" s="210"/>
      <c r="J44" s="210"/>
      <c r="K44" s="210"/>
      <c r="L44" s="210"/>
      <c r="M44" s="210"/>
      <c r="N44" s="210"/>
      <c r="O44" s="211"/>
    </row>
    <row r="45" spans="1:15" ht="20.100000000000001" customHeight="1">
      <c r="A45" s="212"/>
      <c r="B45" s="209"/>
      <c r="C45" s="209"/>
      <c r="D45" s="209"/>
      <c r="E45" s="210"/>
      <c r="F45" s="210"/>
      <c r="G45" s="210"/>
      <c r="H45" s="210"/>
      <c r="I45" s="210"/>
      <c r="J45" s="210"/>
      <c r="K45" s="210"/>
      <c r="L45" s="210"/>
      <c r="M45" s="210"/>
      <c r="N45" s="210"/>
      <c r="O45" s="211"/>
    </row>
    <row r="46" spans="1:15" ht="20.100000000000001" customHeight="1">
      <c r="A46" s="45" t="s">
        <v>80</v>
      </c>
      <c r="B46" s="213"/>
      <c r="C46" s="213"/>
      <c r="D46" s="213"/>
      <c r="E46" s="213"/>
      <c r="F46" s="213"/>
      <c r="G46" s="213"/>
      <c r="H46" s="213"/>
      <c r="I46" s="213"/>
      <c r="J46" s="213"/>
      <c r="K46" s="213"/>
      <c r="L46" s="213"/>
      <c r="M46" s="214"/>
      <c r="N46" s="214"/>
    </row>
    <row r="47" spans="1:15" ht="20.100000000000001" customHeight="1">
      <c r="A47" s="46" t="s">
        <v>81</v>
      </c>
      <c r="B47" s="213"/>
      <c r="C47" s="213"/>
      <c r="D47" s="213"/>
      <c r="E47" s="213"/>
      <c r="F47" s="213"/>
      <c r="G47" s="213"/>
      <c r="H47" s="213"/>
      <c r="I47" s="213"/>
      <c r="J47" s="213"/>
      <c r="K47" s="213"/>
      <c r="L47" s="213"/>
      <c r="M47" s="214"/>
      <c r="N47" s="214"/>
    </row>
    <row r="48" spans="1:15" ht="20.100000000000001" customHeight="1">
      <c r="A48" s="45" t="s">
        <v>82</v>
      </c>
      <c r="B48" s="213"/>
      <c r="C48" s="213"/>
      <c r="D48" s="213"/>
      <c r="E48" s="213"/>
      <c r="F48" s="213"/>
      <c r="G48" s="213"/>
      <c r="H48" s="213"/>
      <c r="I48" s="213"/>
      <c r="J48" s="213"/>
      <c r="K48" s="213"/>
      <c r="L48" s="213"/>
      <c r="M48" s="214"/>
      <c r="N48" s="214"/>
    </row>
    <row r="49" spans="1:14" ht="20.100000000000001" customHeight="1">
      <c r="A49" s="46" t="s">
        <v>83</v>
      </c>
      <c r="B49" s="213"/>
      <c r="C49" s="213"/>
      <c r="D49" s="213"/>
      <c r="E49" s="215"/>
      <c r="F49" s="213"/>
      <c r="G49" s="213"/>
      <c r="H49" s="213"/>
      <c r="I49" s="213"/>
      <c r="J49" s="213"/>
      <c r="K49" s="213"/>
      <c r="L49" s="213"/>
      <c r="M49" s="214"/>
      <c r="N49" s="214"/>
    </row>
    <row r="50" spans="1:14" ht="20.100000000000001" customHeight="1">
      <c r="A50" s="216" t="s">
        <v>250</v>
      </c>
    </row>
    <row r="51" spans="1:14" ht="20.100000000000001" customHeight="1">
      <c r="A51" s="46" t="s">
        <v>251</v>
      </c>
    </row>
    <row r="52" spans="1:14" ht="20.100000000000001" customHeight="1">
      <c r="A52" s="217" t="s">
        <v>252</v>
      </c>
    </row>
    <row r="53" spans="1:14" ht="20.100000000000001" customHeight="1">
      <c r="A53" s="217" t="s">
        <v>253</v>
      </c>
    </row>
    <row r="54" spans="1:14" ht="20.100000000000001" customHeight="1">
      <c r="A54" s="217" t="s">
        <v>254</v>
      </c>
    </row>
    <row r="55" spans="1:14" ht="20.100000000000001" customHeight="1">
      <c r="A55" s="217" t="s">
        <v>255</v>
      </c>
    </row>
    <row r="58" spans="1:14" ht="20.100000000000001" customHeight="1">
      <c r="A58" s="218" t="s">
        <v>256</v>
      </c>
    </row>
    <row r="59" spans="1:14" ht="20.100000000000001" customHeight="1">
      <c r="A59" s="219" t="s">
        <v>257</v>
      </c>
    </row>
    <row r="60" spans="1:14" ht="20.100000000000001" customHeight="1">
      <c r="A60" s="219" t="s">
        <v>258</v>
      </c>
    </row>
    <row r="61" spans="1:14" ht="20.100000000000001" customHeight="1">
      <c r="A61" s="219" t="s">
        <v>259</v>
      </c>
    </row>
    <row r="62" spans="1:14" ht="20.100000000000001" customHeight="1">
      <c r="A62" s="219" t="s">
        <v>260</v>
      </c>
    </row>
    <row r="63" spans="1:14" ht="20.100000000000001" customHeight="1">
      <c r="A63" s="219" t="s">
        <v>261</v>
      </c>
    </row>
  </sheetData>
  <mergeCells count="14">
    <mergeCell ref="K9:K10"/>
    <mergeCell ref="L9:L10"/>
    <mergeCell ref="M9:M10"/>
    <mergeCell ref="N9:N10"/>
    <mergeCell ref="A1:N1"/>
    <mergeCell ref="A2:N2"/>
    <mergeCell ref="A9:A10"/>
    <mergeCell ref="B9:B10"/>
    <mergeCell ref="C9:C10"/>
    <mergeCell ref="D9:D10"/>
    <mergeCell ref="G9:G10"/>
    <mergeCell ref="H9:H10"/>
    <mergeCell ref="I9:I10"/>
    <mergeCell ref="J9:J10"/>
  </mergeCells>
  <phoneticPr fontId="31" type="noConversion"/>
  <dataValidations count="1">
    <dataValidation type="list" allowBlank="1" showInputMessage="1" showErrorMessage="1" sqref="H11:H40 L11:L40">
      <formula1>$O$10:$O$12</formula1>
    </dataValidation>
  </dataValidations>
  <hyperlinks>
    <hyperlink ref="N3" location="底稿目录!A1" display="D10-4"/>
  </hyperlinks>
  <pageMargins left="0.70069444444444495" right="0.70069444444444495" top="0.75138888888888899" bottom="0.75138888888888899" header="0.29861111111111099" footer="0.29861111111111099"/>
  <pageSetup paperSize="9" scale="69" orientation="landscape" blackAndWhite="1" r:id="rId1"/>
  <headerFooter>
    <oddFooter>&amp;C&amp;P/&amp;N</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
  <sheetViews>
    <sheetView view="pageBreakPreview" zoomScaleNormal="100" zoomScaleSheetLayoutView="100" workbookViewId="0">
      <selection sqref="A1:M1"/>
    </sheetView>
  </sheetViews>
  <sheetFormatPr defaultColWidth="10" defaultRowHeight="19.95" customHeight="1"/>
  <cols>
    <col min="1" max="1" width="19.69921875" style="220" customWidth="1"/>
    <col min="2" max="2" width="12.19921875" style="220" customWidth="1"/>
    <col min="3" max="3" width="11.69921875" style="220" customWidth="1"/>
    <col min="4" max="4" width="12.09765625" style="220" customWidth="1"/>
    <col min="5" max="5" width="11" style="220" customWidth="1"/>
    <col min="6" max="6" width="11.69921875" style="220" customWidth="1"/>
    <col min="7" max="7" width="12.69921875" style="220" customWidth="1"/>
    <col min="8" max="8" width="11.69921875" style="220" customWidth="1"/>
    <col min="9" max="13" width="15.09765625" style="220" customWidth="1"/>
    <col min="14" max="16384" width="10" style="220"/>
  </cols>
  <sheetData>
    <row r="1" spans="1:13" ht="19.95" customHeight="1">
      <c r="A1" s="266" t="s">
        <v>16</v>
      </c>
      <c r="B1" s="266"/>
      <c r="C1" s="266"/>
      <c r="D1" s="266"/>
      <c r="E1" s="266"/>
      <c r="F1" s="266"/>
      <c r="G1" s="266"/>
      <c r="H1" s="266"/>
      <c r="I1" s="266"/>
      <c r="J1" s="266"/>
      <c r="K1" s="266"/>
      <c r="L1" s="266"/>
      <c r="M1" s="266"/>
    </row>
    <row r="2" spans="1:13" ht="19.95" customHeight="1">
      <c r="A2" s="267" t="s">
        <v>262</v>
      </c>
      <c r="B2" s="267"/>
      <c r="C2" s="267"/>
      <c r="D2" s="267"/>
      <c r="E2" s="267"/>
      <c r="F2" s="267"/>
      <c r="G2" s="267"/>
      <c r="H2" s="267"/>
      <c r="I2" s="267"/>
      <c r="J2" s="267"/>
      <c r="K2" s="267"/>
      <c r="L2" s="267"/>
      <c r="M2" s="267"/>
    </row>
    <row r="3" spans="1:13" ht="19.95" customHeight="1">
      <c r="A3" s="193" t="str">
        <f>底稿目录!A2</f>
        <v>被审计单位名称：</v>
      </c>
      <c r="E3" s="193" t="str">
        <f>底稿目录!$A$4</f>
        <v>编制人：</v>
      </c>
      <c r="F3" s="221"/>
      <c r="I3" s="193" t="str">
        <f>底稿目录!$A$5</f>
        <v>编制日期：</v>
      </c>
      <c r="L3" s="195" t="s">
        <v>18</v>
      </c>
      <c r="M3" s="250" t="s">
        <v>306</v>
      </c>
    </row>
    <row r="4" spans="1:13" ht="19.95" customHeight="1">
      <c r="A4" s="193" t="str">
        <f>底稿目录!A3</f>
        <v>截止日：202X年12月31日</v>
      </c>
      <c r="E4" s="193" t="str">
        <f>底稿目录!$A$6</f>
        <v>复核人：</v>
      </c>
      <c r="F4" s="221"/>
      <c r="I4" s="193" t="str">
        <f>底稿目录!$A$7</f>
        <v>复核日期：</v>
      </c>
      <c r="L4" s="195" t="s">
        <v>19</v>
      </c>
      <c r="M4" s="221"/>
    </row>
    <row r="5" spans="1:13" s="221" customFormat="1" ht="19.95" customHeight="1">
      <c r="A5" s="191" t="s">
        <v>158</v>
      </c>
    </row>
    <row r="6" spans="1:13" s="221" customFormat="1" ht="19.95" customHeight="1">
      <c r="A6" s="192" t="s">
        <v>236</v>
      </c>
    </row>
    <row r="7" spans="1:13" s="221" customFormat="1" ht="19.95" customHeight="1">
      <c r="A7" s="191" t="s">
        <v>160</v>
      </c>
    </row>
    <row r="8" spans="1:13" s="221" customFormat="1" ht="19.95" customHeight="1">
      <c r="A8" s="222" t="s">
        <v>263</v>
      </c>
    </row>
    <row r="9" spans="1:13" s="221" customFormat="1" ht="19.95" customHeight="1">
      <c r="A9" s="222" t="s">
        <v>264</v>
      </c>
    </row>
    <row r="10" spans="1:13" s="221" customFormat="1" ht="19.95" customHeight="1">
      <c r="A10" s="222" t="s">
        <v>265</v>
      </c>
    </row>
    <row r="11" spans="1:13" s="221" customFormat="1" ht="19.95" customHeight="1">
      <c r="A11" s="222" t="s">
        <v>266</v>
      </c>
    </row>
    <row r="12" spans="1:13" s="223" customFormat="1" ht="19.95" customHeight="1">
      <c r="A12" s="295" t="s">
        <v>267</v>
      </c>
      <c r="B12" s="297" t="s">
        <v>268</v>
      </c>
      <c r="C12" s="298" t="s">
        <v>269</v>
      </c>
      <c r="D12" s="299"/>
      <c r="E12" s="300"/>
      <c r="F12" s="297" t="s">
        <v>270</v>
      </c>
      <c r="G12" s="297" t="s">
        <v>271</v>
      </c>
      <c r="H12" s="293" t="s">
        <v>272</v>
      </c>
      <c r="I12" s="293" t="s">
        <v>273</v>
      </c>
      <c r="J12" s="293" t="s">
        <v>274</v>
      </c>
      <c r="K12" s="293" t="s">
        <v>275</v>
      </c>
      <c r="L12" s="293" t="s">
        <v>276</v>
      </c>
      <c r="M12" s="293" t="s">
        <v>277</v>
      </c>
    </row>
    <row r="13" spans="1:13" s="223" customFormat="1" ht="49.2" customHeight="1">
      <c r="A13" s="296"/>
      <c r="B13" s="294"/>
      <c r="C13" s="224" t="s">
        <v>278</v>
      </c>
      <c r="D13" s="225" t="s">
        <v>279</v>
      </c>
      <c r="E13" s="225" t="s">
        <v>280</v>
      </c>
      <c r="F13" s="294"/>
      <c r="G13" s="294"/>
      <c r="H13" s="294"/>
      <c r="I13" s="294"/>
      <c r="J13" s="294"/>
      <c r="K13" s="294"/>
      <c r="L13" s="294"/>
      <c r="M13" s="294"/>
    </row>
    <row r="14" spans="1:13" ht="19.95" customHeight="1">
      <c r="A14" s="226" t="s">
        <v>281</v>
      </c>
      <c r="B14" s="227"/>
      <c r="C14" s="228"/>
      <c r="D14" s="228"/>
      <c r="E14" s="229">
        <f>C14+D14</f>
        <v>0</v>
      </c>
      <c r="F14" s="228"/>
      <c r="G14" s="228"/>
      <c r="H14" s="230"/>
      <c r="I14" s="230"/>
      <c r="J14" s="230"/>
      <c r="K14" s="230"/>
      <c r="L14" s="230"/>
      <c r="M14" s="230"/>
    </row>
    <row r="15" spans="1:13" ht="19.95" customHeight="1">
      <c r="A15" s="231" t="s">
        <v>282</v>
      </c>
      <c r="B15" s="227"/>
      <c r="C15" s="232"/>
      <c r="D15" s="228"/>
      <c r="E15" s="229">
        <f>C15+D15</f>
        <v>0</v>
      </c>
      <c r="F15" s="228"/>
      <c r="G15" s="228"/>
      <c r="H15" s="230"/>
      <c r="I15" s="230"/>
      <c r="J15" s="230"/>
      <c r="K15" s="230"/>
      <c r="L15" s="230"/>
      <c r="M15" s="230"/>
    </row>
    <row r="16" spans="1:13" s="237" customFormat="1" ht="19.95" customHeight="1">
      <c r="A16" s="233" t="s">
        <v>283</v>
      </c>
      <c r="B16" s="229"/>
      <c r="C16" s="234"/>
      <c r="D16" s="235"/>
      <c r="E16" s="235"/>
      <c r="F16" s="235"/>
      <c r="G16" s="235"/>
      <c r="H16" s="236"/>
      <c r="I16" s="236"/>
      <c r="J16" s="236"/>
      <c r="K16" s="236"/>
      <c r="L16" s="236"/>
      <c r="M16" s="236"/>
    </row>
    <row r="17" spans="1:13" ht="19.95" customHeight="1">
      <c r="A17" s="251" t="s">
        <v>311</v>
      </c>
      <c r="B17" s="227"/>
      <c r="C17" s="232"/>
      <c r="D17" s="228"/>
      <c r="E17" s="229">
        <f t="shared" ref="E17:E26" si="0">C17+D17</f>
        <v>0</v>
      </c>
      <c r="F17" s="228"/>
      <c r="G17" s="228"/>
      <c r="H17" s="230"/>
      <c r="I17" s="230"/>
      <c r="J17" s="230"/>
      <c r="K17" s="230"/>
      <c r="L17" s="230"/>
      <c r="M17" s="230"/>
    </row>
    <row r="18" spans="1:13" ht="19.95" customHeight="1">
      <c r="A18" s="251" t="s">
        <v>307</v>
      </c>
      <c r="B18" s="227"/>
      <c r="C18" s="232"/>
      <c r="D18" s="228"/>
      <c r="E18" s="229">
        <f t="shared" si="0"/>
        <v>0</v>
      </c>
      <c r="F18" s="228"/>
      <c r="G18" s="228"/>
      <c r="H18" s="230"/>
      <c r="I18" s="230"/>
      <c r="J18" s="230"/>
      <c r="K18" s="230"/>
      <c r="L18" s="230"/>
      <c r="M18" s="230"/>
    </row>
    <row r="19" spans="1:13" ht="19.95" customHeight="1">
      <c r="A19" s="251" t="s">
        <v>308</v>
      </c>
      <c r="B19" s="227"/>
      <c r="C19" s="232"/>
      <c r="D19" s="228"/>
      <c r="E19" s="229">
        <f t="shared" si="0"/>
        <v>0</v>
      </c>
      <c r="F19" s="228"/>
      <c r="G19" s="228"/>
      <c r="H19" s="230"/>
      <c r="I19" s="230"/>
      <c r="J19" s="230"/>
      <c r="K19" s="230"/>
      <c r="L19" s="230"/>
      <c r="M19" s="230"/>
    </row>
    <row r="20" spans="1:13" ht="19.95" customHeight="1">
      <c r="A20" s="251" t="s">
        <v>309</v>
      </c>
      <c r="B20" s="227"/>
      <c r="C20" s="232"/>
      <c r="D20" s="228"/>
      <c r="E20" s="229">
        <f t="shared" si="0"/>
        <v>0</v>
      </c>
      <c r="F20" s="228"/>
      <c r="G20" s="228"/>
      <c r="H20" s="230"/>
      <c r="I20" s="230"/>
      <c r="J20" s="230"/>
      <c r="K20" s="230"/>
      <c r="L20" s="230"/>
      <c r="M20" s="230"/>
    </row>
    <row r="21" spans="1:13" ht="19.95" customHeight="1">
      <c r="A21" s="251" t="s">
        <v>310</v>
      </c>
      <c r="B21" s="227"/>
      <c r="C21" s="232"/>
      <c r="D21" s="228"/>
      <c r="E21" s="229">
        <f t="shared" si="0"/>
        <v>0</v>
      </c>
      <c r="F21" s="228"/>
      <c r="G21" s="228"/>
      <c r="H21" s="230"/>
      <c r="I21" s="230"/>
      <c r="J21" s="230"/>
      <c r="K21" s="230"/>
      <c r="L21" s="230"/>
      <c r="M21" s="230"/>
    </row>
    <row r="22" spans="1:13" ht="19.95" customHeight="1">
      <c r="A22" s="251" t="s">
        <v>312</v>
      </c>
      <c r="B22" s="227"/>
      <c r="C22" s="232"/>
      <c r="D22" s="228"/>
      <c r="E22" s="229">
        <f t="shared" si="0"/>
        <v>0</v>
      </c>
      <c r="F22" s="228"/>
      <c r="G22" s="228"/>
      <c r="H22" s="230"/>
      <c r="I22" s="230"/>
      <c r="J22" s="230"/>
      <c r="K22" s="230"/>
      <c r="L22" s="230"/>
      <c r="M22" s="230"/>
    </row>
    <row r="23" spans="1:13" ht="19.95" customHeight="1">
      <c r="A23" s="231"/>
      <c r="B23" s="227"/>
      <c r="C23" s="232"/>
      <c r="D23" s="228"/>
      <c r="E23" s="229">
        <f t="shared" si="0"/>
        <v>0</v>
      </c>
      <c r="F23" s="228"/>
      <c r="G23" s="228"/>
      <c r="H23" s="230"/>
      <c r="I23" s="230"/>
      <c r="J23" s="230"/>
      <c r="K23" s="230"/>
      <c r="L23" s="230"/>
      <c r="M23" s="230"/>
    </row>
    <row r="24" spans="1:13" ht="19.95" customHeight="1">
      <c r="A24" s="231"/>
      <c r="B24" s="227"/>
      <c r="C24" s="232"/>
      <c r="D24" s="228"/>
      <c r="E24" s="229">
        <f t="shared" si="0"/>
        <v>0</v>
      </c>
      <c r="F24" s="228"/>
      <c r="G24" s="228"/>
      <c r="H24" s="230"/>
      <c r="I24" s="230"/>
      <c r="J24" s="230"/>
      <c r="K24" s="230"/>
      <c r="L24" s="230"/>
      <c r="M24" s="230"/>
    </row>
    <row r="25" spans="1:13" ht="19.95" customHeight="1">
      <c r="A25" s="231"/>
      <c r="B25" s="227"/>
      <c r="C25" s="232"/>
      <c r="D25" s="228"/>
      <c r="E25" s="229">
        <f t="shared" si="0"/>
        <v>0</v>
      </c>
      <c r="F25" s="228"/>
      <c r="G25" s="228"/>
      <c r="H25" s="230"/>
      <c r="I25" s="230"/>
      <c r="J25" s="230"/>
      <c r="K25" s="230"/>
      <c r="L25" s="230"/>
      <c r="M25" s="230"/>
    </row>
    <row r="26" spans="1:13" ht="19.95" customHeight="1">
      <c r="A26" s="231"/>
      <c r="B26" s="227"/>
      <c r="C26" s="232"/>
      <c r="D26" s="228"/>
      <c r="E26" s="229">
        <f t="shared" si="0"/>
        <v>0</v>
      </c>
      <c r="F26" s="228"/>
      <c r="G26" s="228"/>
      <c r="H26" s="230"/>
      <c r="I26" s="230"/>
      <c r="J26" s="230"/>
      <c r="K26" s="230"/>
      <c r="L26" s="230"/>
      <c r="M26" s="230"/>
    </row>
    <row r="27" spans="1:13" ht="19.95" customHeight="1">
      <c r="A27" s="225" t="s">
        <v>284</v>
      </c>
      <c r="B27" s="238">
        <f t="shared" ref="B27:G27" si="1">SUM(B14:B26)</f>
        <v>0</v>
      </c>
      <c r="C27" s="238">
        <f t="shared" si="1"/>
        <v>0</v>
      </c>
      <c r="D27" s="238">
        <f t="shared" si="1"/>
        <v>0</v>
      </c>
      <c r="E27" s="238">
        <f t="shared" si="1"/>
        <v>0</v>
      </c>
      <c r="F27" s="238">
        <f t="shared" si="1"/>
        <v>0</v>
      </c>
      <c r="G27" s="238">
        <f t="shared" si="1"/>
        <v>0</v>
      </c>
      <c r="H27" s="229"/>
      <c r="I27" s="229"/>
      <c r="J27" s="229"/>
      <c r="K27" s="229"/>
      <c r="L27" s="229"/>
      <c r="M27" s="229"/>
    </row>
    <row r="28" spans="1:13" ht="19.95" customHeight="1">
      <c r="A28" s="208" t="s">
        <v>200</v>
      </c>
    </row>
    <row r="29" spans="1:13" ht="19.95" customHeight="1">
      <c r="A29" s="208"/>
    </row>
    <row r="30" spans="1:13" ht="19.95" customHeight="1">
      <c r="A30" s="208" t="s">
        <v>201</v>
      </c>
    </row>
  </sheetData>
  <mergeCells count="13">
    <mergeCell ref="K12:K13"/>
    <mergeCell ref="L12:L13"/>
    <mergeCell ref="M12:M13"/>
    <mergeCell ref="A1:M1"/>
    <mergeCell ref="A2:M2"/>
    <mergeCell ref="A12:A13"/>
    <mergeCell ref="B12:B13"/>
    <mergeCell ref="C12:E12"/>
    <mergeCell ref="F12:F13"/>
    <mergeCell ref="G12:G13"/>
    <mergeCell ref="H12:H13"/>
    <mergeCell ref="I12:I13"/>
    <mergeCell ref="J12:J13"/>
  </mergeCells>
  <phoneticPr fontId="31" type="noConversion"/>
  <hyperlinks>
    <hyperlink ref="M3" location="底稿目录!A1" display="D10-5"/>
  </hyperlinks>
  <printOptions horizontalCentered="1" verticalCentered="1"/>
  <pageMargins left="0.70833333333333304" right="0.70833333333333304" top="0.74791666666666701" bottom="0.74791666666666701" header="0.31458333333333299" footer="0.31458333333333299"/>
  <pageSetup paperSize="9" scale="69" orientation="landscape"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ColWidth="9" defaultRowHeight="15.6"/>
  <sheetData>
    <row r="1" spans="1:2">
      <c r="A1" t="s">
        <v>214</v>
      </c>
      <c r="B1" t="s">
        <v>215</v>
      </c>
    </row>
    <row r="2" spans="1:2">
      <c r="A2" t="s">
        <v>216</v>
      </c>
      <c r="B2" t="s">
        <v>217</v>
      </c>
    </row>
    <row r="3" spans="1:2">
      <c r="A3" t="s">
        <v>218</v>
      </c>
      <c r="B3" t="s">
        <v>219</v>
      </c>
    </row>
    <row r="4" spans="1:2">
      <c r="A4" t="s">
        <v>220</v>
      </c>
      <c r="B4" t="s">
        <v>221</v>
      </c>
    </row>
    <row r="5" spans="1:2">
      <c r="A5" t="s">
        <v>222</v>
      </c>
      <c r="B5" t="s">
        <v>223</v>
      </c>
    </row>
    <row r="6" spans="1:2">
      <c r="A6" t="s">
        <v>224</v>
      </c>
      <c r="B6" t="s">
        <v>225</v>
      </c>
    </row>
    <row r="7" spans="1:2">
      <c r="A7" t="s">
        <v>226</v>
      </c>
      <c r="B7" t="s">
        <v>227</v>
      </c>
    </row>
    <row r="8" spans="1:2">
      <c r="A8" t="s">
        <v>228</v>
      </c>
      <c r="B8" t="s">
        <v>229</v>
      </c>
    </row>
  </sheetData>
  <phoneticPr fontId="3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10</vt:i4>
      </vt:variant>
      <vt:variant>
        <vt:lpstr>命名范围</vt:lpstr>
      </vt:variant>
      <vt:variant>
        <vt:i4>8</vt:i4>
      </vt:variant>
    </vt:vector>
  </HeadingPairs>
  <TitlesOfParts>
    <vt:vector size="18" baseType="lpstr">
      <vt:lpstr>底稿目录</vt:lpstr>
      <vt:lpstr>递延所得税资产审计程序表的N1A</vt:lpstr>
      <vt:lpstr>递延所得税资产审定表N1-1</vt:lpstr>
      <vt:lpstr>附注披露信息（上市公司）</vt:lpstr>
      <vt:lpstr>附注披露信息（国企）</vt:lpstr>
      <vt:lpstr>递延所得税资产明细表N1-2</vt:lpstr>
      <vt:lpstr>调整分录汇总N1-3</vt:lpstr>
      <vt:lpstr>递延所得税资产（负债）测算表N1-4</vt:lpstr>
      <vt:lpstr>可用以后年度税前利润弥补的亏损检查表的N1-5</vt:lpstr>
      <vt:lpstr>GT_Custom</vt:lpstr>
      <vt:lpstr>'递延所得税资产（负债）测算表N1-4'!Print_Area</vt:lpstr>
      <vt:lpstr>'递延所得税资产明细表N1-2'!Print_Area</vt:lpstr>
      <vt:lpstr>'递延所得税资产审定表N1-1'!Print_Area</vt:lpstr>
      <vt:lpstr>递延所得税资产审计程序表的N1A!Print_Area</vt:lpstr>
      <vt:lpstr>'调整分录汇总N1-3'!Print_Area</vt:lpstr>
      <vt:lpstr>'附注披露信息（国企）'!Print_Area</vt:lpstr>
      <vt:lpstr>'附注披露信息（上市公司）'!Print_Area</vt:lpstr>
      <vt:lpstr>'可用以后年度税前利润弥补的亏损检查表的N1-5'!Print_Area</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2025-10-30T07:48:05Z</cp:lastPrinted>
  <dcterms:created xsi:type="dcterms:W3CDTF">2007-05-20T08:51:00Z</dcterms:created>
  <dcterms:modified xsi:type="dcterms:W3CDTF">2025-11-10T02:54:21Z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657EA73C67754A8FB1BA745301F01B2C_12</vt:lpwstr>
  </property>
  <property fmtid="{D5CDD505-2E9C-101B-9397-08002B2CF9AE}" pid="3" name="KSOProductBuildVer">
    <vt:lpwstr>2052-12.1.0.22529</vt:lpwstr>
  </property>
</Properties>
</file>