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N 所得税循环 修订10.28\"/>
    </mc:Choice>
  </mc:AlternateContent>
  <bookViews>
    <workbookView xWindow="0" yWindow="0" windowWidth="22188" windowHeight="8736" tabRatio="795"/>
  </bookViews>
  <sheets>
    <sheet name="底稿目录" sheetId="1" r:id="rId1"/>
    <sheet name="税金及附加审计程序表N4A " sheetId="27" r:id="rId2"/>
    <sheet name="税金及附加审计程序表O2A（原底稿）" sheetId="29" state="hidden" r:id="rId3"/>
    <sheet name="税金及附加审定表N4-1" sheetId="19" r:id="rId4"/>
    <sheet name="附注披露信息（上市公司）" sheetId="22" r:id="rId5"/>
    <sheet name="附注披露信息（国企）" sheetId="23" r:id="rId6"/>
    <sheet name="税金及附加明细表N4-2" sheetId="13" r:id="rId7"/>
    <sheet name="调整分录汇总表N4-3" sheetId="28" r:id="rId8"/>
    <sheet name="GT_Custom" sheetId="24" state="hidden" r:id="rId9"/>
  </sheets>
  <externalReferences>
    <externalReference r:id="rId10"/>
    <externalReference r:id="rId11"/>
  </externalReferences>
  <definedNames>
    <definedName name="_xlnm.Print_Area" localSheetId="7">'调整分录汇总表N4-3'!$A$1:$J$20</definedName>
    <definedName name="_xlnm.Print_Area" localSheetId="5">'附注披露信息（国企）'!$A$1:$E$17</definedName>
    <definedName name="_xlnm.Print_Area" localSheetId="6">'税金及附加明细表N4-2'!$A$1:$K$24</definedName>
    <definedName name="_xlnm.Print_Area" localSheetId="3">'税金及附加审定表N4-1'!$A$1:$N$22</definedName>
    <definedName name="_xlnm.Print_Area" localSheetId="1">'税金及附加审计程序表N4A '!$A$1:$J$21</definedName>
    <definedName name="_xlnm.Print_Area" localSheetId="2">'税金及附加审计程序表O2A（原底稿）'!$A$1:$J$47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3" l="1"/>
  <c r="A8" i="22"/>
  <c r="A7" i="19"/>
  <c r="D19" i="13" l="1"/>
  <c r="F4" i="28"/>
  <c r="D4" i="28"/>
  <c r="A4" i="28"/>
  <c r="F3" i="28"/>
  <c r="D3" i="28"/>
  <c r="A3" i="28"/>
  <c r="K19" i="13"/>
  <c r="J19" i="13"/>
  <c r="I19" i="13"/>
  <c r="H19" i="13"/>
  <c r="G19" i="13"/>
  <c r="F19" i="13"/>
  <c r="E19" i="13"/>
  <c r="C19" i="13"/>
  <c r="B19" i="13"/>
  <c r="K18" i="13"/>
  <c r="I18" i="13"/>
  <c r="E18" i="13"/>
  <c r="K17" i="13"/>
  <c r="I17" i="13"/>
  <c r="E17" i="13"/>
  <c r="K16" i="13"/>
  <c r="I16" i="13"/>
  <c r="E16" i="13"/>
  <c r="K15" i="13"/>
  <c r="I15" i="13"/>
  <c r="E15" i="13"/>
  <c r="K14" i="13"/>
  <c r="I14" i="13"/>
  <c r="E14" i="13"/>
  <c r="K13" i="13"/>
  <c r="I13" i="13"/>
  <c r="E13" i="13"/>
  <c r="K12" i="13"/>
  <c r="I12" i="13"/>
  <c r="E12" i="13"/>
  <c r="K11" i="13"/>
  <c r="I11" i="13"/>
  <c r="E11" i="13"/>
  <c r="K10" i="13"/>
  <c r="I10" i="13"/>
  <c r="E10" i="13"/>
  <c r="K9" i="13"/>
  <c r="I9" i="13"/>
  <c r="H4" i="13"/>
  <c r="E4" i="13"/>
  <c r="A4" i="13"/>
  <c r="H3" i="13"/>
  <c r="E3" i="13"/>
  <c r="A3" i="13"/>
  <c r="D4" i="23"/>
  <c r="B4" i="23"/>
  <c r="A4" i="23"/>
  <c r="D3" i="23"/>
  <c r="B3" i="23"/>
  <c r="A3" i="23"/>
  <c r="C17" i="22"/>
  <c r="B17" i="22"/>
  <c r="C15" i="22"/>
  <c r="B15" i="22"/>
  <c r="A15" i="22"/>
  <c r="C14" i="22"/>
  <c r="B14" i="22"/>
  <c r="A14" i="22"/>
  <c r="C13" i="22"/>
  <c r="B13" i="22"/>
  <c r="A13" i="22"/>
  <c r="C12" i="22"/>
  <c r="B12" i="22"/>
  <c r="A12" i="22"/>
  <c r="C11" i="22"/>
  <c r="B11" i="22"/>
  <c r="A11" i="22"/>
  <c r="C10" i="22"/>
  <c r="B10" i="22"/>
  <c r="A10" i="22"/>
  <c r="C9" i="22"/>
  <c r="B9" i="22"/>
  <c r="A9" i="22"/>
  <c r="C8" i="22"/>
  <c r="B8" i="22"/>
  <c r="D4" i="22"/>
  <c r="C4" i="22"/>
  <c r="A4" i="22"/>
  <c r="D3" i="22"/>
  <c r="C3" i="22"/>
  <c r="A3" i="22"/>
  <c r="I18" i="19"/>
  <c r="E18" i="19"/>
  <c r="M16" i="19"/>
  <c r="L16" i="19"/>
  <c r="K16" i="19"/>
  <c r="J16" i="19"/>
  <c r="I16" i="19"/>
  <c r="H16" i="19"/>
  <c r="G16" i="19"/>
  <c r="F16" i="19"/>
  <c r="E16" i="19"/>
  <c r="D16" i="19"/>
  <c r="C16" i="19"/>
  <c r="B16" i="19"/>
  <c r="M15" i="19"/>
  <c r="L15" i="19"/>
  <c r="K15" i="19"/>
  <c r="J15" i="19"/>
  <c r="I15" i="19"/>
  <c r="H15" i="19"/>
  <c r="G15" i="19"/>
  <c r="F15" i="19"/>
  <c r="E15" i="19"/>
  <c r="D15" i="19"/>
  <c r="C15" i="19"/>
  <c r="B15" i="19"/>
  <c r="A15" i="19"/>
  <c r="M14" i="19"/>
  <c r="L14" i="19"/>
  <c r="K14" i="19"/>
  <c r="J14" i="19"/>
  <c r="I14" i="19"/>
  <c r="H14" i="19"/>
  <c r="G14" i="19"/>
  <c r="F14" i="19"/>
  <c r="E14" i="19"/>
  <c r="D14" i="19"/>
  <c r="C14" i="19"/>
  <c r="B14" i="19"/>
  <c r="A14" i="19"/>
  <c r="M13" i="19"/>
  <c r="L13" i="19"/>
  <c r="K13" i="19"/>
  <c r="J13" i="19"/>
  <c r="I13" i="19"/>
  <c r="H13" i="19"/>
  <c r="G13" i="19"/>
  <c r="F13" i="19"/>
  <c r="E13" i="19"/>
  <c r="D13" i="19"/>
  <c r="C13" i="19"/>
  <c r="B13" i="19"/>
  <c r="A13" i="19"/>
  <c r="M12" i="19"/>
  <c r="L12" i="19"/>
  <c r="K12" i="19"/>
  <c r="J12" i="19"/>
  <c r="I12" i="19"/>
  <c r="H12" i="19"/>
  <c r="G12" i="19"/>
  <c r="F12" i="19"/>
  <c r="E12" i="19"/>
  <c r="D12" i="19"/>
  <c r="C12" i="19"/>
  <c r="B12" i="19"/>
  <c r="A12" i="19"/>
  <c r="M11" i="19"/>
  <c r="L11" i="19"/>
  <c r="K11" i="19"/>
  <c r="J11" i="19"/>
  <c r="I11" i="19"/>
  <c r="H11" i="19"/>
  <c r="G11" i="19"/>
  <c r="F11" i="19"/>
  <c r="E11" i="19"/>
  <c r="D11" i="19"/>
  <c r="C11" i="19"/>
  <c r="B11" i="19"/>
  <c r="A11" i="19"/>
  <c r="M10" i="19"/>
  <c r="L10" i="19"/>
  <c r="K10" i="19"/>
  <c r="J10" i="19"/>
  <c r="I10" i="19"/>
  <c r="H10" i="19"/>
  <c r="G10" i="19"/>
  <c r="F10" i="19"/>
  <c r="E10" i="19"/>
  <c r="D10" i="19"/>
  <c r="C10" i="19"/>
  <c r="B10" i="19"/>
  <c r="A10" i="19"/>
  <c r="M9" i="19"/>
  <c r="L9" i="19"/>
  <c r="K9" i="19"/>
  <c r="J9" i="19"/>
  <c r="I9" i="19"/>
  <c r="H9" i="19"/>
  <c r="G9" i="19"/>
  <c r="F9" i="19"/>
  <c r="E9" i="19"/>
  <c r="D9" i="19"/>
  <c r="C9" i="19"/>
  <c r="B9" i="19"/>
  <c r="A9" i="19"/>
  <c r="M8" i="19"/>
  <c r="L8" i="19"/>
  <c r="K8" i="19"/>
  <c r="J8" i="19"/>
  <c r="I8" i="19"/>
  <c r="H8" i="19"/>
  <c r="G8" i="19"/>
  <c r="F8" i="19"/>
  <c r="E8" i="19"/>
  <c r="D8" i="19"/>
  <c r="C8" i="19"/>
  <c r="B8" i="19"/>
  <c r="A8" i="19"/>
  <c r="M7" i="19"/>
  <c r="L7" i="19"/>
  <c r="K7" i="19"/>
  <c r="J7" i="19"/>
  <c r="I7" i="19"/>
  <c r="H7" i="19"/>
  <c r="G7" i="19"/>
  <c r="F7" i="19"/>
  <c r="E7" i="19"/>
  <c r="D7" i="19"/>
  <c r="C7" i="19"/>
  <c r="B7" i="19"/>
  <c r="E4" i="19"/>
  <c r="A4" i="19"/>
  <c r="I3" i="19"/>
  <c r="E3" i="19"/>
  <c r="A3" i="19"/>
  <c r="D4" i="29"/>
  <c r="A4" i="29"/>
  <c r="G3" i="29"/>
  <c r="D3" i="29"/>
  <c r="A3" i="29"/>
  <c r="D4" i="27"/>
  <c r="A4" i="27"/>
  <c r="F3" i="27"/>
  <c r="D3" i="27"/>
  <c r="A3" i="27"/>
</calcChain>
</file>

<file path=xl/comments1.xml><?xml version="1.0" encoding="utf-8"?>
<comments xmlns="http://schemas.openxmlformats.org/spreadsheetml/2006/main">
  <authors>
    <author>Liufs</author>
  </authors>
  <commentList>
    <comment ref="A3" authorId="0" shapeId="0">
      <text>
        <r>
          <rPr>
            <b/>
            <sz val="9"/>
            <rFont val="宋体"/>
            <family val="3"/>
            <charset val="134"/>
          </rPr>
          <t>Liufs:</t>
        </r>
        <r>
          <rPr>
            <sz val="9"/>
            <rFont val="宋体"/>
            <family val="3"/>
            <charset val="134"/>
          </rPr>
          <t xml:space="preserve">
或，2009年1-9月 等</t>
        </r>
      </text>
    </comment>
  </commentList>
</comments>
</file>

<file path=xl/comments2.xml><?xml version="1.0" encoding="utf-8"?>
<comments xmlns="http://schemas.openxmlformats.org/spreadsheetml/2006/main">
  <authors>
    <author>何先琴</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<sst xmlns="http://schemas.openxmlformats.org/spreadsheetml/2006/main" count="368" uniqueCount="244">
  <si>
    <t>底稿开列时，可先在以下单元格填写有关内容，以便其他底稿引用有关数据：</t>
  </si>
  <si>
    <t>被审计单位：</t>
  </si>
  <si>
    <t>序号</t>
  </si>
  <si>
    <t>内容</t>
  </si>
  <si>
    <t>索引号</t>
  </si>
  <si>
    <t>税金及附加实质性程序表</t>
  </si>
  <si>
    <t>编制人：</t>
  </si>
  <si>
    <t>税金及附加审定表</t>
  </si>
  <si>
    <t>编制日期：</t>
  </si>
  <si>
    <t>附注披露信息（上市公司）</t>
  </si>
  <si>
    <t>无需打印</t>
  </si>
  <si>
    <t>复核人：</t>
  </si>
  <si>
    <t>附注披露信息（国企）</t>
  </si>
  <si>
    <t>复核日期：</t>
  </si>
  <si>
    <t>税金及附加明细表</t>
  </si>
  <si>
    <t>调整分录汇总表</t>
  </si>
  <si>
    <t>致同会计师事务所</t>
  </si>
  <si>
    <t>索引号：</t>
  </si>
  <si>
    <t>日期：</t>
  </si>
  <si>
    <t>页次：</t>
  </si>
  <si>
    <t>一、本账户涉及的科目</t>
  </si>
  <si>
    <t>税金及附加</t>
  </si>
  <si>
    <t>财务报表的认定　</t>
  </si>
  <si>
    <t>A.利润表中记录的税金及附加已发生，且与被审计单位有关，已记录于恰当的账户</t>
  </si>
  <si>
    <t>发生</t>
  </si>
  <si>
    <t>B.所有应当记录的税金及附加均已记录，所有应当包括在财务报表中的相关披露均已包括</t>
  </si>
  <si>
    <t>完整性</t>
  </si>
  <si>
    <t>C.与税金及附加有关的金额及其他数据已恰当记录，相关披露已得到恰当计量和描述</t>
  </si>
  <si>
    <t>准确性</t>
  </si>
  <si>
    <t>D.与税金及附加有关的交易和事项已记录于正确的会计期间</t>
  </si>
  <si>
    <t>截止性</t>
  </si>
  <si>
    <t>E.税金及附加已被恰当地汇总或分解且表述清楚，相关披露在按照企业会计准则的编制基础下是相关的、可理解的</t>
  </si>
  <si>
    <t>列报</t>
  </si>
  <si>
    <t>三、计划实施的实质性程序</t>
  </si>
  <si>
    <t>对应LEAP程序</t>
  </si>
  <si>
    <t>程序分类</t>
  </si>
  <si>
    <t>财务报表认定</t>
  </si>
  <si>
    <t>底稿索引号</t>
  </si>
  <si>
    <t>常规程序</t>
  </si>
  <si>
    <t>获取税金及附加；明细表。编制审定表：
（1）复核加计正确；
（2）将总金额与总账核对。</t>
  </si>
  <si>
    <t>常规★</t>
  </si>
  <si>
    <t>√</t>
  </si>
  <si>
    <t>IPE程序</t>
  </si>
  <si>
    <r>
      <rPr>
        <sz val="10"/>
        <color theme="1"/>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</si>
  <si>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t>T1</t>
  </si>
  <si>
    <t>应对措施-检查</t>
  </si>
  <si>
    <t>结合应交税费科目的审计，复核其与相关税费的测算数是否勾稽。</t>
  </si>
  <si>
    <t>根据评估的舞弊风险等因素增加的审计程序。</t>
  </si>
  <si>
    <t>IPO/上市公司/新三板舞弊应对</t>
  </si>
  <si>
    <t>检查税金及附加是否已按企业会计准则或其他适用的规定在财务报表中做出恰当列报和披露。</t>
  </si>
  <si>
    <r>
      <rPr>
        <sz val="10"/>
        <rFont val="Arial Narrow"/>
        <family val="2"/>
      </rPr>
      <t>A1-1/</t>
    </r>
    <r>
      <rPr>
        <sz val="10"/>
        <color rgb="FFFF0000"/>
        <rFont val="Arial Narrow"/>
        <family val="2"/>
      </rPr>
      <t>A1-15 /A1-16</t>
    </r>
  </si>
  <si>
    <r>
      <rPr>
        <b/>
        <sz val="10"/>
        <rFont val="宋体"/>
        <family val="3"/>
        <charset val="134"/>
      </rPr>
      <t>致同会计师事务所</t>
    </r>
  </si>
  <si>
    <r>
      <rPr>
        <b/>
        <sz val="10"/>
        <rFont val="宋体"/>
        <family val="3"/>
        <charset val="134"/>
      </rPr>
      <t>索引号：</t>
    </r>
    <r>
      <rPr>
        <b/>
        <sz val="10"/>
        <rFont val="Arial"/>
        <family val="2"/>
      </rPr>
      <t>O2A</t>
    </r>
  </si>
  <si>
    <r>
      <rPr>
        <sz val="10"/>
        <color theme="1"/>
        <rFont val="宋体"/>
        <family val="3"/>
        <charset val="134"/>
      </rPr>
      <t>日期：</t>
    </r>
  </si>
  <si>
    <r>
      <rPr>
        <b/>
        <sz val="10"/>
        <rFont val="宋体"/>
        <family val="3"/>
        <charset val="134"/>
      </rPr>
      <t>页</t>
    </r>
    <r>
      <rPr>
        <b/>
        <sz val="10"/>
        <rFont val="Arial"/>
        <family val="2"/>
      </rPr>
      <t xml:space="preserve">  </t>
    </r>
    <r>
      <rPr>
        <b/>
        <sz val="10"/>
        <rFont val="宋体"/>
        <family val="3"/>
        <charset val="134"/>
      </rPr>
      <t>次：</t>
    </r>
  </si>
  <si>
    <r>
      <rPr>
        <b/>
        <sz val="10"/>
        <rFont val="宋体"/>
        <family val="3"/>
        <charset val="134"/>
      </rPr>
      <t>一、本账户涉及的科目</t>
    </r>
  </si>
  <si>
    <r>
      <rPr>
        <b/>
        <sz val="10"/>
        <rFont val="宋体"/>
        <family val="3"/>
        <charset val="134"/>
      </rPr>
      <t>二、重大错报风险需从实质性程序获取的保证程度</t>
    </r>
  </si>
  <si>
    <r>
      <rPr>
        <b/>
        <sz val="10"/>
        <rFont val="宋体"/>
        <family val="3"/>
        <charset val="134"/>
      </rPr>
      <t>审计目标与认定对应关系</t>
    </r>
  </si>
  <si>
    <r>
      <rPr>
        <b/>
        <sz val="10"/>
        <rFont val="宋体"/>
        <family val="3"/>
        <charset val="134"/>
      </rPr>
      <t>财务报表的认定　</t>
    </r>
  </si>
  <si>
    <t>信赖/不信赖/不适用</t>
  </si>
  <si>
    <r>
      <rPr>
        <b/>
        <sz val="10"/>
        <rFont val="宋体"/>
        <family val="3"/>
        <charset val="134"/>
      </rPr>
      <t>索引号</t>
    </r>
  </si>
  <si>
    <r>
      <rPr>
        <sz val="10"/>
        <rFont val="宋体"/>
        <family val="3"/>
        <charset val="134"/>
      </rPr>
      <t>完整性</t>
    </r>
  </si>
  <si>
    <t>准确</t>
  </si>
  <si>
    <t>分类</t>
  </si>
  <si>
    <r>
      <rPr>
        <sz val="10"/>
        <rFont val="宋体"/>
        <family val="3"/>
        <charset val="134"/>
      </rPr>
      <t>列报与披露</t>
    </r>
  </si>
  <si>
    <t xml:space="preserve">A.确定利润表中记录的税金及附加已发生，且与被审计单位有关。 </t>
  </si>
  <si>
    <r>
      <rPr>
        <sz val="10"/>
        <rFont val="宋体"/>
        <family val="3"/>
        <charset val="134"/>
      </rPr>
      <t>√</t>
    </r>
  </si>
  <si>
    <t>B.确定所有应当记录的税金及附加均已记录。</t>
  </si>
  <si>
    <t>C.确定与税金及附加有关的金额及其他数据已恰当记录于正确会计期间。</t>
  </si>
  <si>
    <t>D.确定税金及附加中的交易和事项已记录于恰当的账户。</t>
  </si>
  <si>
    <t>E.税金及附加已按照企业会计准则的规定在财务报表中作出恰当列报或披露。</t>
  </si>
  <si>
    <r>
      <rPr>
        <b/>
        <sz val="10"/>
        <rFont val="宋体"/>
        <family val="3"/>
        <charset val="134"/>
      </rPr>
      <t>三、计划实施的实质性程序</t>
    </r>
  </si>
  <si>
    <r>
      <rPr>
        <sz val="10"/>
        <rFont val="宋体"/>
        <family val="3"/>
        <charset val="134"/>
      </rPr>
      <t>序号</t>
    </r>
  </si>
  <si>
    <r>
      <rPr>
        <b/>
        <sz val="10"/>
        <rFont val="宋体"/>
        <family val="3"/>
        <charset val="134"/>
      </rPr>
      <t>对应</t>
    </r>
    <r>
      <rPr>
        <b/>
        <sz val="10"/>
        <rFont val="Arial"/>
        <family val="2"/>
      </rPr>
      <t>LEAP</t>
    </r>
    <r>
      <rPr>
        <b/>
        <sz val="10"/>
        <rFont val="宋体"/>
        <family val="3"/>
        <charset val="134"/>
      </rPr>
      <t>程序</t>
    </r>
  </si>
  <si>
    <r>
      <rPr>
        <b/>
        <sz val="10"/>
        <rFont val="宋体"/>
        <family val="3"/>
        <charset val="134"/>
      </rPr>
      <t>审计程序</t>
    </r>
  </si>
  <si>
    <r>
      <rPr>
        <b/>
        <sz val="10"/>
        <rFont val="宋体"/>
        <family val="3"/>
        <charset val="134"/>
      </rPr>
      <t>程序分类</t>
    </r>
  </si>
  <si>
    <r>
      <rPr>
        <b/>
        <sz val="10"/>
        <rFont val="宋体"/>
        <family val="3"/>
        <charset val="134"/>
      </rPr>
      <t>审计目标</t>
    </r>
  </si>
  <si>
    <r>
      <rPr>
        <b/>
        <sz val="10"/>
        <rFont val="宋体"/>
        <family val="3"/>
        <charset val="134"/>
      </rPr>
      <t>执行情况说明
（含底稿索引）</t>
    </r>
  </si>
  <si>
    <t>（一）</t>
  </si>
  <si>
    <t>编制审定表</t>
  </si>
  <si>
    <t>C</t>
  </si>
  <si>
    <r>
      <rPr>
        <sz val="10"/>
        <rFont val="Arial Narrow"/>
        <family val="2"/>
      </rPr>
      <t>O2</t>
    </r>
  </si>
  <si>
    <t>整合</t>
  </si>
  <si>
    <t>（二）</t>
  </si>
  <si>
    <t>获取税金及附加明细表。</t>
  </si>
  <si>
    <r>
      <rPr>
        <sz val="10"/>
        <rFont val="Arial Narrow"/>
        <family val="2"/>
      </rPr>
      <t>O2-2</t>
    </r>
  </si>
  <si>
    <r>
      <rPr>
        <sz val="10"/>
        <rFont val="宋体"/>
        <family val="3"/>
        <charset val="134"/>
      </rPr>
      <t>复核加计正确</t>
    </r>
    <r>
      <rPr>
        <sz val="10"/>
        <rFont val="Arial Narrow"/>
        <family val="2"/>
      </rPr>
      <t xml:space="preserve"> </t>
    </r>
  </si>
  <si>
    <t>将总金额与总账核对。</t>
  </si>
  <si>
    <t>（三）</t>
  </si>
  <si>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</si>
  <si>
    <t>B</t>
  </si>
  <si>
    <r>
      <rPr>
        <sz val="10"/>
        <rFont val="宋体"/>
        <family val="3"/>
        <charset val="134"/>
      </rPr>
      <t>获取有关信息准确性和完整性的审计证据。</t>
    </r>
  </si>
  <si>
    <r>
      <rPr>
        <sz val="10"/>
        <rFont val="宋体"/>
        <family val="3"/>
        <charset val="134"/>
      </rPr>
      <t>评价信息对实现审计目的是否足够准确和详细。</t>
    </r>
  </si>
  <si>
    <t>（四）</t>
  </si>
  <si>
    <t>期初余额/常规程序</t>
  </si>
  <si>
    <t>对于上期税金及附加发生额（适用于首次审计时对期初余额的审计）：</t>
  </si>
  <si>
    <r>
      <rPr>
        <sz val="10"/>
        <rFont val="宋体"/>
        <family val="3"/>
        <charset val="134"/>
      </rPr>
      <t>备选</t>
    </r>
  </si>
  <si>
    <t>获取前期纳税申报表和其他有持续影响的税收文件资料（适用于首次审计）。</t>
  </si>
  <si>
    <t>（五）</t>
  </si>
  <si>
    <t>取得税务部门汇算清缴或其他确认文件、有关政府部门的专项检查报告、税务代理机构专业报告、被审计单位纳税申报资料等，分析其有效性，并与上述明细表及账面数据进行核对。对于超过法定交纳期限的税费，取得主管税务机关的批准文件。</t>
  </si>
  <si>
    <t>ABCD</t>
  </si>
  <si>
    <t>O2-2</t>
  </si>
  <si>
    <t>（六）</t>
  </si>
  <si>
    <t>对于应交和已交消费税、资源税、城建税、教育费附加、地方教育费附加、车船税、房产税、土地使用税及土地增值税等其他税项进行测算，核对计提金额是否正确，会计处理是否适当。</t>
  </si>
  <si>
    <t>ABD</t>
  </si>
  <si>
    <t>O1-6、O1-7</t>
  </si>
  <si>
    <t>修改</t>
  </si>
  <si>
    <t>1</t>
  </si>
  <si>
    <r>
      <rPr>
        <sz val="10"/>
        <rFont val="宋体"/>
        <family val="3"/>
        <charset val="134"/>
      </rPr>
      <t>应对措施</t>
    </r>
    <r>
      <rPr>
        <sz val="10"/>
        <rFont val="Arial Narrow"/>
        <family val="2"/>
      </rPr>
      <t>-</t>
    </r>
    <r>
      <rPr>
        <sz val="10"/>
        <rFont val="宋体"/>
        <family val="3"/>
        <charset val="134"/>
      </rPr>
      <t>检查</t>
    </r>
  </si>
  <si>
    <r>
      <rPr>
        <sz val="10"/>
        <rFont val="宋体"/>
        <family val="3"/>
        <charset val="134"/>
      </rPr>
      <t>检查各应税项目的计算是否正确。</t>
    </r>
  </si>
  <si>
    <r>
      <rPr>
        <sz val="10"/>
        <rFont val="宋体"/>
        <family val="3"/>
        <charset val="134"/>
      </rPr>
      <t>常规</t>
    </r>
  </si>
  <si>
    <t>2</t>
  </si>
  <si>
    <t>结合税金及附加等项目的审计，根据审定的当期营业额、或其他计税基础等相关数据，检查各项税费的计税依据是否正确，适用税率是否符合税法规定，是否按规定进行了会计处理，并分项复核本期应交数。</t>
  </si>
  <si>
    <t>3</t>
  </si>
  <si>
    <r>
      <rPr>
        <sz val="10"/>
        <rFont val="宋体"/>
        <family val="3"/>
        <charset val="134"/>
      </rPr>
      <t>检查本期已交税款，确定已交税款的正确性。</t>
    </r>
  </si>
  <si>
    <t>4</t>
  </si>
  <si>
    <r>
      <rPr>
        <sz val="10"/>
        <rFont val="宋体"/>
        <family val="3"/>
        <charset val="134"/>
      </rPr>
      <t>与纳税申报表核对，复核应交税费余额的合理性。</t>
    </r>
  </si>
  <si>
    <t>5</t>
  </si>
  <si>
    <r>
      <rPr>
        <sz val="10"/>
        <rFont val="宋体"/>
        <family val="3"/>
        <charset val="134"/>
      </rPr>
      <t>检查期后缴纳的税费凭证，关注期末应交税费完整性、真实性。</t>
    </r>
  </si>
  <si>
    <t>6</t>
  </si>
  <si>
    <r>
      <rPr>
        <sz val="10"/>
        <rFont val="宋体"/>
        <family val="3"/>
        <charset val="134"/>
      </rPr>
      <t>检查应交土地增值税的计算是否正确，是否按规定进行了会计处理：</t>
    </r>
  </si>
  <si>
    <r>
      <rPr>
        <sz val="10"/>
        <rFont val="宋体"/>
        <family val="3"/>
        <charset val="134"/>
      </rPr>
      <t>（</t>
    </r>
    <r>
      <rPr>
        <sz val="10"/>
        <rFont val="Arial Narrow"/>
        <family val="2"/>
      </rPr>
      <t>1</t>
    </r>
    <r>
      <rPr>
        <sz val="10"/>
        <rFont val="宋体"/>
        <family val="3"/>
        <charset val="134"/>
      </rPr>
      <t>）</t>
    </r>
  </si>
  <si>
    <t>根据审定的预售房地产的预收账款，复核预交税款是否准确；</t>
  </si>
  <si>
    <r>
      <rPr>
        <sz val="10"/>
        <rFont val="宋体"/>
        <family val="3"/>
        <charset val="134"/>
      </rPr>
      <t>（</t>
    </r>
    <r>
      <rPr>
        <sz val="10"/>
        <rFont val="Arial Narrow"/>
        <family val="2"/>
      </rPr>
      <t>2</t>
    </r>
    <r>
      <rPr>
        <sz val="10"/>
        <rFont val="宋体"/>
        <family val="3"/>
        <charset val="134"/>
      </rPr>
      <t>）</t>
    </r>
  </si>
  <si>
    <t>对符合项目清算条件的房地产开发项目，检查被审计单位是否按规定进行土地增值税清算；如果被审计单位已聘请中介机构办理土地增值税清算鉴证的，应检查、核对相关鉴证报告；</t>
  </si>
  <si>
    <r>
      <rPr>
        <sz val="10"/>
        <rFont val="宋体"/>
        <family val="3"/>
        <charset val="134"/>
      </rPr>
      <t>（</t>
    </r>
    <r>
      <rPr>
        <sz val="10"/>
        <rFont val="Arial Narrow"/>
        <family val="2"/>
      </rPr>
      <t>3</t>
    </r>
    <r>
      <rPr>
        <sz val="10"/>
        <rFont val="宋体"/>
        <family val="3"/>
        <charset val="134"/>
      </rPr>
      <t>）</t>
    </r>
  </si>
  <si>
    <t>如果被审计单位被主管税务机关核定征收土地增值税的，应检查、核对相关的手续。</t>
  </si>
  <si>
    <t>（七）</t>
  </si>
  <si>
    <t>确定当期企业的各项税费申报计缴情况是否被税务机关检查，如是，则：</t>
  </si>
  <si>
    <t>CDE</t>
  </si>
  <si>
    <t>删除</t>
  </si>
  <si>
    <t>对于已完成的检查，获取检查报告复印件及税务部门对额外金额的评估。</t>
  </si>
  <si>
    <t>对于正在进行的检查，确定是否需要额外的预提。</t>
  </si>
  <si>
    <t>确定必要的税务调整是否已适当记录。</t>
  </si>
  <si>
    <r>
      <rPr>
        <sz val="10"/>
        <rFont val="宋体"/>
        <family val="3"/>
        <charset val="134"/>
      </rPr>
      <t>确定重大罚款或其他涉税负债的会计处理是否正确。</t>
    </r>
    <r>
      <rPr>
        <sz val="10"/>
        <rFont val="Arial Narrow"/>
        <family val="2"/>
      </rPr>
      <t xml:space="preserve"> </t>
    </r>
  </si>
  <si>
    <t>（八）</t>
  </si>
  <si>
    <t>应对措施-期初余额/检查</t>
  </si>
  <si>
    <r>
      <rPr>
        <b/>
        <sz val="10"/>
        <rFont val="宋体"/>
        <family val="3"/>
        <charset val="134"/>
      </rPr>
      <t>获取报告期及以前一至两年主要税种纳税申报表和所得税汇算清缴表、纳税鉴证报告（如有），将其中的收入、利润、税项等相关数据与各年度财务报表核对，分析差异及变动趋势，并验证其合理性。</t>
    </r>
    <r>
      <rPr>
        <b/>
        <sz val="10"/>
        <rFont val="Arial Narrow"/>
        <family val="2"/>
      </rPr>
      <t>&lt;CSRC551-12&gt;&lt;CSRC14-3&gt;</t>
    </r>
  </si>
  <si>
    <r>
      <rPr>
        <sz val="10"/>
        <rFont val="Arial Narrow"/>
        <family val="2"/>
      </rPr>
      <t>IPO/</t>
    </r>
    <r>
      <rPr>
        <sz val="10"/>
        <rFont val="宋体"/>
        <family val="3"/>
        <charset val="134"/>
      </rPr>
      <t>上市公司</t>
    </r>
  </si>
  <si>
    <t>ABC</t>
  </si>
  <si>
    <t>O1-3</t>
  </si>
  <si>
    <t>完全不是这个科目应有的</t>
  </si>
  <si>
    <t>（九）</t>
  </si>
  <si>
    <r>
      <rPr>
        <b/>
        <sz val="10"/>
        <rFont val="宋体"/>
        <family val="3"/>
        <charset val="134"/>
      </rPr>
      <t>考虑取得税务机关出具的纳税证明文件的复印件，并与网上电子数据核对。</t>
    </r>
  </si>
  <si>
    <r>
      <rPr>
        <sz val="10"/>
        <rFont val="宋体"/>
        <family val="3"/>
        <charset val="134"/>
      </rPr>
      <t>登录被审计单位的纳税申报系统，将网上电子数据与纸质数据核对，确定是否一致。</t>
    </r>
    <r>
      <rPr>
        <sz val="10"/>
        <rFont val="Arial Narrow"/>
        <family val="2"/>
      </rPr>
      <t>&lt;CSRC551-3</t>
    </r>
    <r>
      <rPr>
        <sz val="10"/>
        <rFont val="宋体"/>
        <family val="3"/>
        <charset val="134"/>
      </rPr>
      <t>、</t>
    </r>
    <r>
      <rPr>
        <sz val="10"/>
        <rFont val="Arial Narrow"/>
        <family val="2"/>
      </rPr>
      <t>7/CSRC14-4</t>
    </r>
    <r>
      <rPr>
        <sz val="10"/>
        <rFont val="宋体"/>
        <family val="3"/>
        <charset val="134"/>
      </rPr>
      <t>、</t>
    </r>
    <r>
      <rPr>
        <sz val="10"/>
        <rFont val="Arial Narrow"/>
        <family val="2"/>
      </rPr>
      <t>6&gt;</t>
    </r>
  </si>
  <si>
    <r>
      <rPr>
        <sz val="10"/>
        <rFont val="宋体"/>
        <family val="3"/>
        <charset val="134"/>
      </rPr>
      <t>检查发票等重要原始凭证时，关注销售客户有无异常的注册地、联系方式、银行账号等情况，必要时通过全国发票系统检查各项税费发票的真实性。</t>
    </r>
    <r>
      <rPr>
        <sz val="10"/>
        <rFont val="Arial Narrow"/>
        <family val="2"/>
      </rPr>
      <t>&lt;CSRC14-5&gt;</t>
    </r>
  </si>
  <si>
    <t>（十）</t>
  </si>
  <si>
    <t>（十一）</t>
  </si>
  <si>
    <r>
      <rPr>
        <b/>
        <sz val="10"/>
        <rFont val="宋体"/>
        <family val="3"/>
        <charset val="134"/>
      </rPr>
      <t>根据适用的会计准则及相关规定，确定财务报表的列报与披露是否恰当。</t>
    </r>
  </si>
  <si>
    <t>E</t>
  </si>
  <si>
    <t>O2-1</t>
  </si>
  <si>
    <t>项目</t>
  </si>
  <si>
    <t>上年数</t>
  </si>
  <si>
    <t>本期数</t>
  </si>
  <si>
    <t>本期未审数与上期
未审数的比较</t>
  </si>
  <si>
    <t>本期审定数与上期
审定数的比较</t>
  </si>
  <si>
    <t>原因分析</t>
  </si>
  <si>
    <t>未审数</t>
  </si>
  <si>
    <t>账项调整</t>
  </si>
  <si>
    <t>重分类调整</t>
  </si>
  <si>
    <t>审定数</t>
  </si>
  <si>
    <t>变动额</t>
  </si>
  <si>
    <t>变动率</t>
  </si>
  <si>
    <t>合计</t>
  </si>
  <si>
    <t>试算平衡表数</t>
  </si>
  <si>
    <t>差异数</t>
  </si>
  <si>
    <t>1.审计说明：</t>
  </si>
  <si>
    <t>2.审计结论</t>
  </si>
  <si>
    <t xml:space="preserve">
</t>
  </si>
  <si>
    <r>
      <rPr>
        <b/>
        <sz val="12"/>
        <rFont val="宋体"/>
        <family val="3"/>
        <charset val="134"/>
      </rPr>
      <t>附注披露信息（上市公司）</t>
    </r>
  </si>
  <si>
    <r>
      <rPr>
        <sz val="10"/>
        <rFont val="宋体"/>
        <family val="3"/>
        <charset val="134"/>
      </rPr>
      <t>页次：</t>
    </r>
    <r>
      <rPr>
        <sz val="10"/>
        <rFont val="Arial Narrow"/>
        <family val="2"/>
      </rPr>
      <t>1</t>
    </r>
  </si>
  <si>
    <t>附注披露信息：</t>
  </si>
  <si>
    <t>项  目</t>
  </si>
  <si>
    <t xml:space="preserve">      本期发生额</t>
  </si>
  <si>
    <t xml:space="preserve">     上期发生额</t>
  </si>
  <si>
    <t>合  计</t>
  </si>
  <si>
    <r>
      <rPr>
        <sz val="12"/>
        <rFont val="仿宋_GB2312"/>
        <family val="3"/>
        <charset val="134"/>
      </rPr>
      <t>说明：各项税金及附加的计缴标准详见</t>
    </r>
    <r>
      <rPr>
        <sz val="12"/>
        <color rgb="FFFF0000"/>
        <rFont val="仿宋_GB2312"/>
        <family val="3"/>
        <charset val="134"/>
      </rPr>
      <t>附注四、税项</t>
    </r>
    <r>
      <rPr>
        <sz val="12"/>
        <rFont val="仿宋_GB2312"/>
        <family val="3"/>
        <charset val="134"/>
      </rPr>
      <t>。</t>
    </r>
  </si>
  <si>
    <r>
      <rPr>
        <sz val="10"/>
        <rFont val="宋体"/>
        <family val="3"/>
        <charset val="134"/>
      </rPr>
      <t>附注披露信息：</t>
    </r>
  </si>
  <si>
    <t>无</t>
  </si>
  <si>
    <t>一、审计目标：</t>
  </si>
  <si>
    <t>与税金及附加有关的金额及其他数据已恰当记录，相关披露已得到恰当计量和描述</t>
  </si>
  <si>
    <t>二、审计过程：</t>
  </si>
  <si>
    <t>本期未审数</t>
  </si>
  <si>
    <t>本期审定数</t>
  </si>
  <si>
    <t>上期未审数</t>
  </si>
  <si>
    <t>上期审定数</t>
  </si>
  <si>
    <t>应交税费贷方金额</t>
  </si>
  <si>
    <t>与应交税费贷方差异</t>
  </si>
  <si>
    <t>消费税</t>
  </si>
  <si>
    <t>城市维护建设税</t>
  </si>
  <si>
    <t>教育费附加</t>
  </si>
  <si>
    <t>资源税</t>
  </si>
  <si>
    <t>房产税</t>
  </si>
  <si>
    <t>土地使用税</t>
  </si>
  <si>
    <t>车船使用税</t>
  </si>
  <si>
    <t>印花税</t>
  </si>
  <si>
    <t>三、审计说明：</t>
  </si>
  <si>
    <t>四、审计结论：</t>
  </si>
  <si>
    <t>提示：本科目核算企业经营活动发生的消费税、城市维护建设税、资源税和教育费附加等相关税费。房产税、车船使用税、土地使用税、印花税在“管理费用”科目核算，但与投资性房地产相关的房产税、土地使用税在本科目核算。</t>
  </si>
  <si>
    <t>调整事项说明</t>
  </si>
  <si>
    <t>类别（报表调整/账项调整/其他）</t>
  </si>
  <si>
    <t>报表项目</t>
  </si>
  <si>
    <t>科目名称</t>
  </si>
  <si>
    <t>附注项目</t>
  </si>
  <si>
    <t>……</t>
  </si>
  <si>
    <t>借方调整金额</t>
  </si>
  <si>
    <t>贷方调整金额</t>
  </si>
  <si>
    <t>索引</t>
  </si>
  <si>
    <t>备注</t>
  </si>
  <si>
    <t>提示：本底稿适用于调整分录较多、较复杂的项目，且仅列示与本报表项目相关的审计调整。项目组可根据项目实际情况选择是否使用该底稿。</t>
  </si>
  <si>
    <t>C1</t>
  </si>
  <si>
    <t>Custom 1</t>
  </si>
  <si>
    <t>C2</t>
  </si>
  <si>
    <t>Custom 2</t>
  </si>
  <si>
    <t>C3</t>
  </si>
  <si>
    <t>Custom 3</t>
  </si>
  <si>
    <t>C4</t>
  </si>
  <si>
    <t>Custom 4</t>
  </si>
  <si>
    <t>C5</t>
  </si>
  <si>
    <t>Custom 5</t>
  </si>
  <si>
    <t>C6</t>
  </si>
  <si>
    <t>Custom 6</t>
  </si>
  <si>
    <t>C7</t>
  </si>
  <si>
    <t>Custom 7</t>
  </si>
  <si>
    <t>C8</t>
  </si>
  <si>
    <t>Custom 8</t>
  </si>
  <si>
    <t>二、审计目标与认定的对应关系</t>
  </si>
  <si>
    <t>审计目标</t>
    <phoneticPr fontId="60" type="noConversion"/>
  </si>
  <si>
    <r>
      <t>会计期间：</t>
    </r>
    <r>
      <rPr>
        <sz val="10"/>
        <rFont val="Arial"/>
        <family val="2"/>
      </rPr>
      <t>202X</t>
    </r>
    <r>
      <rPr>
        <sz val="10"/>
        <rFont val="宋体"/>
        <family val="3"/>
        <charset val="134"/>
      </rPr>
      <t>年度</t>
    </r>
    <phoneticPr fontId="60" type="noConversion"/>
  </si>
  <si>
    <t>N4A</t>
  </si>
  <si>
    <t>N4-1</t>
  </si>
  <si>
    <t>N4-2</t>
  </si>
  <si>
    <t>N4-3</t>
  </si>
  <si>
    <t>N4-1
/N4-2</t>
  </si>
  <si>
    <t>索引：</t>
    <phoneticPr fontId="60" type="noConversion"/>
  </si>
  <si>
    <t>索引：</t>
    <phoneticPr fontId="60" type="noConversion"/>
  </si>
  <si>
    <t>N2-8
/N2-9
/N2-10</t>
  </si>
  <si>
    <r>
      <rPr>
        <b/>
        <sz val="10"/>
        <rFont val="宋体"/>
        <family val="3"/>
        <charset val="134"/>
      </rPr>
      <t>附注披露信息</t>
    </r>
    <r>
      <rPr>
        <b/>
        <sz val="10"/>
        <rFont val="Arial Narrow"/>
        <family val="2"/>
      </rPr>
      <t>(</t>
    </r>
    <r>
      <rPr>
        <b/>
        <sz val="10"/>
        <rFont val="宋体"/>
        <family val="3"/>
        <charset val="134"/>
      </rPr>
      <t>国企</t>
    </r>
    <r>
      <rPr>
        <b/>
        <sz val="10"/>
        <rFont val="Arial Narrow"/>
        <family val="2"/>
      </rPr>
      <t>)</t>
    </r>
  </si>
  <si>
    <t>关于工作底稿与审计程序索引号对应的说明</t>
    <phoneticPr fontId="60" type="noConversion"/>
  </si>
  <si>
    <r>
      <t>1.</t>
    </r>
    <r>
      <rPr>
        <b/>
        <sz val="12"/>
        <rFont val="宋体"/>
        <family val="3"/>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60" type="noConversion"/>
  </si>
  <si>
    <r>
      <t>2.</t>
    </r>
    <r>
      <rPr>
        <b/>
        <sz val="12"/>
        <rFont val="宋体"/>
        <family val="3"/>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family val="2"/>
      </rPr>
      <t>D1-2-1</t>
    </r>
    <r>
      <rPr>
        <sz val="12"/>
        <rFont val="宋体"/>
        <charset val="134"/>
      </rPr>
      <t>、</t>
    </r>
    <r>
      <rPr>
        <sz val="12"/>
        <rFont val="Arial Narrow"/>
        <family val="2"/>
      </rPr>
      <t>D1-2-2</t>
    </r>
    <r>
      <rPr>
        <sz val="12"/>
        <rFont val="宋体"/>
        <charset val="134"/>
      </rPr>
      <t>、</t>
    </r>
    <r>
      <rPr>
        <sz val="12"/>
        <rFont val="Arial Narrow"/>
        <family val="2"/>
      </rPr>
      <t>……</t>
    </r>
    <r>
      <rPr>
        <sz val="12"/>
        <rFont val="宋体"/>
        <charset val="134"/>
      </rPr>
      <t>），并在底稿中说明引用的支持性证据、关联索引号。</t>
    </r>
    <phoneticPr fontId="60" type="noConversion"/>
  </si>
  <si>
    <r>
      <rPr>
        <b/>
        <sz val="12"/>
        <rFont val="Arial Narrow"/>
        <family val="2"/>
      </rPr>
      <t>3.</t>
    </r>
    <r>
      <rPr>
        <b/>
        <sz val="12"/>
        <rFont val="宋体"/>
        <family val="3"/>
        <charset val="134"/>
      </rPr>
      <t>工作底稿索引号的编码规则：</t>
    </r>
    <r>
      <rPr>
        <sz val="12"/>
        <rFont val="宋体"/>
        <charset val="134"/>
      </rPr>
      <t>实质性程序索引号按循环从</t>
    </r>
    <r>
      <rPr>
        <sz val="12"/>
        <rFont val="Arial Narrow"/>
        <family val="2"/>
      </rPr>
      <t>“D”</t>
    </r>
    <r>
      <rPr>
        <sz val="12"/>
        <rFont val="宋体"/>
        <charset val="134"/>
      </rPr>
      <t>到</t>
    </r>
    <r>
      <rPr>
        <sz val="12"/>
        <rFont val="Arial Narrow"/>
        <family val="2"/>
      </rPr>
      <t>“N”,</t>
    </r>
    <r>
      <rPr>
        <sz val="12"/>
        <rFont val="宋体"/>
        <charset val="134"/>
      </rPr>
      <t>循环内账户以顺序号排列，模板中底稿索引号按账户顺序</t>
    </r>
    <r>
      <rPr>
        <sz val="12"/>
        <rFont val="Arial Narrow"/>
        <family val="2"/>
      </rPr>
      <t>+</t>
    </r>
    <r>
      <rPr>
        <sz val="12"/>
        <rFont val="宋体"/>
        <charset val="134"/>
      </rPr>
      <t>自然数顺序（即模板中索引号按二级自然顺序排列，如</t>
    </r>
    <r>
      <rPr>
        <sz val="12"/>
        <rFont val="Arial Narrow"/>
        <family val="2"/>
      </rPr>
      <t>D1-1</t>
    </r>
    <r>
      <rPr>
        <sz val="12"/>
        <rFont val="宋体"/>
        <charset val="134"/>
      </rPr>
      <t>、</t>
    </r>
    <r>
      <rPr>
        <sz val="12"/>
        <rFont val="Arial Narrow"/>
        <family val="2"/>
      </rPr>
      <t>D1-2</t>
    </r>
    <r>
      <rPr>
        <sz val="12"/>
        <rFont val="宋体"/>
        <charset val="134"/>
      </rPr>
      <t>、</t>
    </r>
    <r>
      <rPr>
        <sz val="12"/>
        <rFont val="Arial Narrow"/>
        <family val="2"/>
      </rPr>
      <t>D1-3</t>
    </r>
    <r>
      <rPr>
        <sz val="12"/>
        <rFont val="宋体"/>
        <charset val="134"/>
      </rPr>
      <t>、</t>
    </r>
    <r>
      <rPr>
        <sz val="12"/>
        <rFont val="Arial Narrow"/>
        <family val="2"/>
      </rPr>
      <t>……D1-N</t>
    </r>
    <r>
      <rPr>
        <sz val="12"/>
        <rFont val="宋体"/>
        <charset val="134"/>
      </rPr>
      <t>）。</t>
    </r>
    <phoneticPr fontId="60" type="noConversion"/>
  </si>
  <si>
    <t>根据被审计单位实际情况和风险评估情况裁剪、修改或增加审计程序</t>
    <phoneticPr fontId="60" type="noConversion"/>
  </si>
  <si>
    <t>审计程序</t>
    <phoneticPr fontId="6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</si>
</sst>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_(* #,##0_);_(* \(#,##0\);_(* &quot;-&quot;_);_(@_)"/>
    <numFmt numFmtId="195" formatCode="_(* #,##0.00_);_(* \(#,##0.00\);_(* &quot;-&quot;??_);_(@_)"/>
  </numFmts>
  <fonts count="73">
    <font>
      <sz val="12"/>
      <name val="宋体"/>
      <charset val="134"/>
    </font>
    <font>
      <sz val="11"/>
      <color theme="1"/>
      <name val="宋体"/>
      <family val="2"/>
      <charset val="134"/>
      <scheme val="minor"/>
    </font>
    <font>
      <b/>
      <sz val="12"/>
      <name val="宋体"/>
      <family val="3"/>
      <charset val="134"/>
    </font>
    <font>
      <b/>
      <sz val="14"/>
      <name val="宋体"/>
      <family val="3"/>
      <charset val="134"/>
    </font>
    <font>
      <sz val="10"/>
      <name val="宋体"/>
      <family val="3"/>
      <charset val="134"/>
    </font>
    <font>
      <b/>
      <sz val="10"/>
      <color indexed="8"/>
      <name val="宋体"/>
      <family val="3"/>
      <charset val="134"/>
    </font>
    <font>
      <b/>
      <sz val="10"/>
      <name val="宋体"/>
      <family val="3"/>
      <charset val="134"/>
    </font>
    <font>
      <b/>
      <sz val="10"/>
      <color rgb="FFE92841"/>
      <name val="宋体"/>
      <family val="3"/>
      <charset val="134"/>
    </font>
    <font>
      <sz val="10"/>
      <color indexed="8"/>
      <name val="宋体"/>
      <family val="3"/>
      <charset val="134"/>
    </font>
    <font>
      <sz val="10"/>
      <color rgb="FFFF0000"/>
      <name val="宋体"/>
      <family val="3"/>
      <charset val="134"/>
    </font>
    <font>
      <sz val="12"/>
      <color indexed="12"/>
      <name val="宋体"/>
      <family val="3"/>
      <charset val="134"/>
    </font>
    <font>
      <sz val="10"/>
      <name val="宋体"/>
      <family val="3"/>
      <charset val="134"/>
      <scheme val="minor"/>
    </font>
    <font>
      <b/>
      <sz val="10"/>
      <name val="宋体"/>
      <family val="3"/>
      <charset val="134"/>
      <scheme val="minor"/>
    </font>
    <font>
      <b/>
      <sz val="12"/>
      <name val="宋体"/>
      <family val="3"/>
      <charset val="134"/>
      <scheme val="minor"/>
    </font>
    <font>
      <b/>
      <sz val="14"/>
      <name val="宋体"/>
      <family val="3"/>
      <charset val="134"/>
      <scheme val="minor"/>
    </font>
    <font>
      <sz val="10"/>
      <name val="Arial Narrow"/>
      <family val="2"/>
    </font>
    <font>
      <b/>
      <sz val="10"/>
      <name val="Arial Narrow"/>
      <family val="2"/>
    </font>
    <font>
      <sz val="10"/>
      <color indexed="12"/>
      <name val="宋体"/>
      <family val="3"/>
      <charset val="134"/>
      <scheme val="minor"/>
    </font>
    <font>
      <sz val="12"/>
      <name val="Arial Narrow"/>
      <family val="2"/>
    </font>
    <font>
      <b/>
      <sz val="12"/>
      <name val="Arial Narrow"/>
      <family val="2"/>
    </font>
    <font>
      <b/>
      <sz val="12"/>
      <color rgb="FF000000"/>
      <name val="仿宋_GB2312"/>
      <family val="3"/>
      <charset val="134"/>
    </font>
    <font>
      <sz val="12"/>
      <name val="仿宋_GB2312"/>
      <family val="3"/>
      <charset val="134"/>
    </font>
    <font>
      <b/>
      <sz val="12"/>
      <name val="仿宋_GB2312"/>
      <family val="3"/>
      <charset val="134"/>
    </font>
    <font>
      <b/>
      <sz val="10.5"/>
      <name val="仿宋_GB2312"/>
      <family val="3"/>
      <charset val="134"/>
    </font>
    <font>
      <b/>
      <sz val="10.5"/>
      <color rgb="FF000000"/>
      <name val="仿宋_GB2312"/>
      <family val="3"/>
      <charset val="134"/>
    </font>
    <font>
      <sz val="10.5"/>
      <name val="仿宋_GB2312"/>
      <family val="3"/>
      <charset val="134"/>
    </font>
    <font>
      <sz val="10.5"/>
      <name val="Arial Narrow"/>
      <family val="2"/>
    </font>
    <font>
      <b/>
      <sz val="10.5"/>
      <name val="Arial Narrow"/>
      <family val="2"/>
    </font>
    <font>
      <b/>
      <sz val="10"/>
      <color indexed="8"/>
      <name val="宋体"/>
      <family val="3"/>
      <charset val="134"/>
      <scheme val="minor"/>
    </font>
    <font>
      <sz val="10"/>
      <color indexed="8"/>
      <name val="宋体"/>
      <family val="3"/>
      <charset val="134"/>
      <scheme val="minor"/>
    </font>
    <font>
      <sz val="10"/>
      <color indexed="8"/>
      <name val="Arial Narrow"/>
      <family val="2"/>
    </font>
    <font>
      <i/>
      <u/>
      <sz val="10"/>
      <color indexed="12"/>
      <name val="宋体"/>
      <family val="3"/>
      <charset val="134"/>
      <scheme val="minor"/>
    </font>
    <font>
      <b/>
      <sz val="10"/>
      <name val="Arial"/>
      <family val="2"/>
    </font>
    <font>
      <b/>
      <sz val="12"/>
      <name val="Arial"/>
      <family val="2"/>
    </font>
    <font>
      <sz val="10"/>
      <name val="Arial"/>
      <family val="2"/>
    </font>
    <font>
      <sz val="10"/>
      <color theme="1"/>
      <name val="Arial"/>
      <family val="2"/>
    </font>
    <font>
      <sz val="10"/>
      <color theme="1"/>
      <name val="宋体"/>
      <family val="3"/>
      <charset val="134"/>
    </font>
    <font>
      <b/>
      <sz val="10"/>
      <color indexed="10"/>
      <name val="Arial"/>
      <family val="2"/>
    </font>
    <font>
      <sz val="10"/>
      <color theme="1"/>
      <name val="宋体"/>
      <family val="3"/>
      <charset val="134"/>
      <scheme val="minor"/>
    </font>
    <font>
      <sz val="10"/>
      <color theme="1"/>
      <name val="Arial Narrow"/>
      <family val="2"/>
    </font>
    <font>
      <b/>
      <sz val="10"/>
      <color theme="1"/>
      <name val="宋体"/>
      <family val="3"/>
      <charset val="134"/>
    </font>
    <font>
      <sz val="10"/>
      <color rgb="FFFF0000"/>
      <name val="Arial Narrow"/>
      <family val="2"/>
    </font>
    <font>
      <sz val="10"/>
      <name val="Times New Roman"/>
      <family val="1"/>
    </font>
    <font>
      <sz val="11"/>
      <color theme="1"/>
      <name val="宋体"/>
      <family val="3"/>
      <charset val="134"/>
      <scheme val="minor"/>
    </font>
    <font>
      <u/>
      <sz val="12"/>
      <color indexed="12"/>
      <name val="宋体"/>
      <family val="3"/>
      <charset val="134"/>
    </font>
    <font>
      <u val="singleAccounting"/>
      <vertAlign val="subscript"/>
      <sz val="10"/>
      <name val="Times New Roman"/>
      <family val="1"/>
    </font>
    <font>
      <i/>
      <sz val="9"/>
      <name val="Times New Roman"/>
      <family val="1"/>
    </font>
    <font>
      <sz val="7"/>
      <name val="Helv"/>
      <family val="2"/>
    </font>
    <font>
      <b/>
      <sz val="10"/>
      <name val="MS Sans Serif"/>
      <family val="1"/>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Times New Roman"/>
      <family val="1"/>
    </font>
    <font>
      <sz val="12"/>
      <name val="楷体"/>
      <family val="3"/>
      <charset val="134"/>
    </font>
    <font>
      <sz val="12"/>
      <name val="楷体_GB2312"/>
      <charset val="134"/>
    </font>
    <font>
      <sz val="12"/>
      <color rgb="FFFF0000"/>
      <name val="仿宋_GB2312"/>
      <family val="3"/>
      <charset val="134"/>
    </font>
    <font>
      <b/>
      <sz val="9"/>
      <name val="宋体"/>
      <family val="3"/>
      <charset val="134"/>
    </font>
    <font>
      <sz val="9"/>
      <name val="宋体"/>
      <family val="3"/>
      <charset val="134"/>
    </font>
    <font>
      <sz val="12"/>
      <name val="宋体"/>
      <family val="3"/>
      <charset val="134"/>
    </font>
    <font>
      <b/>
      <sz val="10"/>
      <name val="宋体"/>
      <family val="3"/>
      <charset val="134"/>
    </font>
    <font>
      <b/>
      <sz val="10"/>
      <name val="宋体"/>
      <family val="3"/>
      <charset val="134"/>
      <scheme val="minor"/>
    </font>
    <font>
      <b/>
      <sz val="10"/>
      <name val="微软雅黑"/>
      <family val="2"/>
      <charset val="134"/>
    </font>
    <font>
      <b/>
      <sz val="10"/>
      <color rgb="FF000000"/>
      <name val="仿宋_GB2312"/>
      <family val="3"/>
      <charset val="134"/>
    </font>
    <font>
      <sz val="11"/>
      <name val="宋体"/>
      <family val="3"/>
      <charset val="134"/>
    </font>
    <font>
      <u/>
      <sz val="11"/>
      <color indexed="12"/>
      <name val="宋体"/>
      <family val="3"/>
      <charset val="134"/>
    </font>
    <font>
      <sz val="10"/>
      <color rgb="FF0000FF"/>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
      <sz val="10"/>
      <color indexed="12"/>
      <name val="Arial Narrow"/>
      <family val="2"/>
    </font>
  </fonts>
  <fills count="9">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indexed="9"/>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s>
  <borders count="11">
    <border>
      <left/>
      <right/>
      <top/>
      <bottom/>
      <diagonal/>
    </border>
    <border>
      <left style="hair">
        <color auto="1"/>
      </left>
      <right style="hair">
        <color auto="1"/>
      </right>
      <top style="hair">
        <color auto="1"/>
      </top>
      <bottom style="hair">
        <color auto="1"/>
      </bottom>
      <diagonal/>
    </border>
    <border>
      <left/>
      <right/>
      <top style="medium">
        <color auto="1"/>
      </top>
      <bottom style="medium">
        <color auto="1"/>
      </bottom>
      <diagonal/>
    </border>
    <border>
      <left/>
      <right/>
      <top/>
      <bottom style="medium">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56">
    <xf numFmtId="0" fontId="0" fillId="0" borderId="0">
      <protection locked="0"/>
    </xf>
    <xf numFmtId="43" fontId="61" fillId="0" borderId="0" applyFont="0" applyFill="0" applyBorder="0" applyAlignment="0" applyProtection="0"/>
    <xf numFmtId="9" fontId="61" fillId="0" borderId="0" applyFont="0" applyFill="0" applyBorder="0" applyAlignment="0" applyProtection="0"/>
    <xf numFmtId="0" fontId="44" fillId="0" borderId="0" applyNumberFormat="0" applyFill="0" applyBorder="0" applyAlignment="0" applyProtection="0">
      <alignment vertical="top"/>
      <protection locked="0"/>
    </xf>
    <xf numFmtId="49" fontId="42" fillId="0" borderId="0" applyProtection="0">
      <alignment horizontal="left"/>
    </xf>
    <xf numFmtId="176" fontId="42" fillId="0" borderId="0" applyFill="0" applyBorder="0" applyProtection="0">
      <alignment horizontal="right"/>
    </xf>
    <xf numFmtId="177" fontId="42" fillId="0" borderId="0" applyFill="0" applyBorder="0" applyProtection="0">
      <alignment horizontal="right"/>
    </xf>
    <xf numFmtId="178" fontId="45" fillId="0" borderId="0" applyFill="0" applyBorder="0" applyProtection="0">
      <alignment horizontal="center"/>
    </xf>
    <xf numFmtId="179" fontId="45" fillId="0" borderId="0" applyFill="0" applyBorder="0" applyProtection="0">
      <alignment horizontal="center"/>
    </xf>
    <xf numFmtId="180" fontId="46" fillId="0" borderId="0" applyFill="0" applyBorder="0" applyProtection="0">
      <alignment horizontal="right"/>
    </xf>
    <xf numFmtId="181" fontId="42" fillId="0" borderId="0" applyFill="0" applyBorder="0" applyProtection="0">
      <alignment horizontal="right"/>
    </xf>
    <xf numFmtId="182" fontId="42" fillId="0" borderId="0" applyFill="0" applyBorder="0" applyProtection="0">
      <alignment horizontal="right"/>
    </xf>
    <xf numFmtId="183" fontId="42" fillId="0" borderId="0" applyFill="0" applyBorder="0" applyProtection="0">
      <alignment horizontal="right"/>
    </xf>
    <xf numFmtId="184" fontId="42" fillId="0" borderId="0" applyFill="0" applyBorder="0" applyProtection="0">
      <alignment horizontal="right"/>
    </xf>
    <xf numFmtId="3" fontId="47" fillId="0" borderId="0"/>
    <xf numFmtId="185" fontId="48" fillId="0" borderId="10" applyAlignment="0" applyProtection="0"/>
    <xf numFmtId="186" fontId="34" fillId="0" borderId="0" applyFont="0" applyFill="0" applyBorder="0" applyAlignment="0" applyProtection="0"/>
    <xf numFmtId="187" fontId="34" fillId="0" borderId="0" applyFont="0" applyFill="0" applyBorder="0" applyAlignment="0" applyProtection="0"/>
    <xf numFmtId="188" fontId="34" fillId="0" borderId="0" applyFont="0" applyFill="0" applyBorder="0" applyAlignment="0" applyProtection="0"/>
    <xf numFmtId="189" fontId="34"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190" fontId="42" fillId="0" borderId="0" applyFont="0" applyFill="0" applyBorder="0" applyAlignment="0" applyProtection="0"/>
    <xf numFmtId="0" fontId="49" fillId="0" borderId="0" applyNumberFormat="0" applyFill="0" applyBorder="0" applyAlignment="0" applyProtection="0">
      <alignment vertical="top"/>
      <protection locked="0"/>
    </xf>
    <xf numFmtId="38" fontId="50" fillId="6" borderId="0" applyNumberFormat="0" applyBorder="0" applyAlignment="0" applyProtection="0"/>
    <xf numFmtId="0" fontId="51" fillId="0" borderId="0" applyNumberFormat="0" applyFill="0" applyBorder="0" applyAlignment="0" applyProtection="0">
      <alignment vertical="top"/>
      <protection locked="0"/>
    </xf>
    <xf numFmtId="10" fontId="50" fillId="7" borderId="9" applyNumberFormat="0" applyBorder="0" applyAlignment="0" applyProtection="0"/>
    <xf numFmtId="191" fontId="61" fillId="0" borderId="0" applyFont="0" applyFill="0" applyBorder="0" applyAlignment="0" applyProtection="0"/>
    <xf numFmtId="192" fontId="61" fillId="0" borderId="0" applyFont="0" applyFill="0" applyBorder="0" applyAlignment="0" applyProtection="0"/>
    <xf numFmtId="0" fontId="52" fillId="0" borderId="0"/>
    <xf numFmtId="193" fontId="61" fillId="0" borderId="0"/>
    <xf numFmtId="0" fontId="53" fillId="0" borderId="0"/>
    <xf numFmtId="10" fontId="34" fillId="0" borderId="0" applyFont="0" applyFill="0" applyBorder="0" applyAlignment="0" applyProtection="0"/>
    <xf numFmtId="3" fontId="54" fillId="0" borderId="0"/>
    <xf numFmtId="9" fontId="61" fillId="0" borderId="0" applyFont="0" applyFill="0" applyBorder="0" applyAlignment="0" applyProtection="0"/>
    <xf numFmtId="0" fontId="61" fillId="0" borderId="0">
      <alignment vertical="center"/>
      <protection locked="0"/>
    </xf>
    <xf numFmtId="0" fontId="61" fillId="0" borderId="0">
      <protection locked="0"/>
    </xf>
    <xf numFmtId="190" fontId="61" fillId="0" borderId="0">
      <alignment vertical="center"/>
      <protection locked="0"/>
    </xf>
    <xf numFmtId="0" fontId="61" fillId="0" borderId="0">
      <protection locked="0"/>
    </xf>
    <xf numFmtId="190" fontId="61" fillId="0" borderId="0"/>
    <xf numFmtId="190" fontId="61" fillId="0" borderId="0"/>
    <xf numFmtId="0" fontId="43" fillId="0" borderId="0">
      <alignment vertical="center"/>
    </xf>
    <xf numFmtId="190" fontId="43" fillId="0" borderId="0">
      <alignment vertical="center"/>
    </xf>
    <xf numFmtId="0" fontId="61" fillId="0" borderId="0">
      <alignment vertical="center"/>
    </xf>
    <xf numFmtId="0" fontId="55" fillId="0" borderId="0"/>
    <xf numFmtId="0" fontId="61" fillId="0" borderId="0"/>
    <xf numFmtId="0" fontId="61" fillId="0" borderId="0">
      <protection locked="0"/>
    </xf>
    <xf numFmtId="0" fontId="61" fillId="0" borderId="0" applyFill="0" applyBorder="0"/>
    <xf numFmtId="0" fontId="61" fillId="0" borderId="0">
      <alignment vertical="center"/>
    </xf>
    <xf numFmtId="0" fontId="44" fillId="0" borderId="0" applyNumberFormat="0" applyFill="0" applyBorder="0" applyAlignment="0" applyProtection="0">
      <alignment vertical="top"/>
      <protection locked="0"/>
    </xf>
    <xf numFmtId="0" fontId="56" fillId="0" borderId="0"/>
    <xf numFmtId="194" fontId="61" fillId="0" borderId="0" applyFont="0" applyFill="0" applyBorder="0" applyAlignment="0" applyProtection="0"/>
    <xf numFmtId="195" fontId="61" fillId="0" borderId="0" applyFont="0" applyFill="0" applyBorder="0" applyAlignment="0" applyProtection="0"/>
    <xf numFmtId="41" fontId="57" fillId="0" borderId="0" applyFont="0" applyFill="0" applyBorder="0" applyAlignment="0" applyProtection="0"/>
    <xf numFmtId="43" fontId="57" fillId="0" borderId="0" applyFont="0" applyFill="0" applyBorder="0" applyAlignment="0" applyProtection="0"/>
    <xf numFmtId="190" fontId="1" fillId="0" borderId="0">
      <alignment vertical="center"/>
    </xf>
  </cellStyleXfs>
  <cellXfs count="252">
    <xf numFmtId="0" fontId="0" fillId="0" borderId="0" xfId="0">
      <protection locked="0"/>
    </xf>
    <xf numFmtId="0" fontId="0" fillId="0" borderId="0" xfId="0" applyFont="1" applyAlignment="1">
      <alignment vertical="center"/>
      <protection locked="0"/>
    </xf>
    <xf numFmtId="0" fontId="4" fillId="0" borderId="0" xfId="47" applyFont="1" applyBorder="1" applyAlignment="1">
      <alignment vertical="center"/>
    </xf>
    <xf numFmtId="0" fontId="5" fillId="2" borderId="1" xfId="36" applyFont="1" applyFill="1" applyBorder="1" applyAlignment="1" applyProtection="1">
      <alignment horizontal="center" vertical="center"/>
    </xf>
    <xf numFmtId="0" fontId="5" fillId="2" borderId="1" xfId="36" applyFont="1" applyFill="1" applyBorder="1" applyAlignment="1" applyProtection="1">
      <alignment horizontal="center" vertical="center" wrapText="1"/>
    </xf>
    <xf numFmtId="0" fontId="6" fillId="2" borderId="1" xfId="40" applyNumberFormat="1" applyFont="1" applyFill="1" applyBorder="1" applyAlignment="1" applyProtection="1">
      <alignment horizontal="center" vertical="center" wrapText="1"/>
      <protection locked="0"/>
    </xf>
    <xf numFmtId="0" fontId="7" fillId="2" borderId="1" xfId="40" applyNumberFormat="1" applyFont="1" applyFill="1" applyBorder="1" applyAlignment="1" applyProtection="1">
      <alignment horizontal="center" vertical="center" wrapText="1"/>
      <protection locked="0"/>
    </xf>
    <xf numFmtId="0" fontId="8" fillId="0" borderId="1" xfId="36" applyFont="1" applyBorder="1" applyAlignment="1" applyProtection="1">
      <alignment vertical="center"/>
    </xf>
    <xf numFmtId="0" fontId="4" fillId="0" borderId="1" xfId="36" applyFont="1" applyBorder="1" applyAlignment="1" applyProtection="1">
      <alignment vertical="center"/>
    </xf>
    <xf numFmtId="0" fontId="9" fillId="0" borderId="1" xfId="36" applyFont="1" applyBorder="1" applyAlignment="1" applyProtection="1">
      <alignment horizontal="left" vertical="center"/>
    </xf>
    <xf numFmtId="0" fontId="5" fillId="0" borderId="1" xfId="36" applyFont="1" applyBorder="1" applyAlignment="1" applyProtection="1">
      <alignment horizontal="center" vertical="center"/>
    </xf>
    <xf numFmtId="0" fontId="10" fillId="0" borderId="0" xfId="36" applyFont="1" applyAlignment="1">
      <alignment vertical="center"/>
      <protection locked="0"/>
    </xf>
    <xf numFmtId="0" fontId="61" fillId="0" borderId="0" xfId="36" applyAlignment="1">
      <alignment vertical="center" wrapText="1"/>
      <protection locked="0"/>
    </xf>
    <xf numFmtId="0" fontId="61" fillId="0" borderId="0" xfId="36" applyAlignment="1">
      <alignment vertical="center"/>
      <protection locked="0"/>
    </xf>
    <xf numFmtId="0" fontId="4" fillId="0" borderId="0" xfId="47" applyFont="1" applyBorder="1" applyAlignment="1">
      <alignment horizontal="right" vertical="center"/>
    </xf>
    <xf numFmtId="0" fontId="4" fillId="0" borderId="0" xfId="47" applyFont="1" applyBorder="1" applyAlignment="1">
      <alignment horizontal="left" vertical="center"/>
    </xf>
    <xf numFmtId="0" fontId="11" fillId="0" borderId="0" xfId="43" applyFont="1">
      <alignment vertical="center"/>
    </xf>
    <xf numFmtId="0" fontId="12" fillId="0" borderId="0" xfId="0" applyFont="1" applyAlignment="1">
      <alignment horizontal="center" vertical="center" wrapText="1"/>
      <protection locked="0"/>
    </xf>
    <xf numFmtId="0" fontId="11" fillId="0" borderId="0" xfId="0" applyFont="1" applyAlignment="1">
      <alignment vertical="center"/>
      <protection locked="0"/>
    </xf>
    <xf numFmtId="0" fontId="11" fillId="0" borderId="0" xfId="0" applyFont="1" applyAlignment="1">
      <alignment horizontal="right" vertical="center"/>
      <protection locked="0"/>
    </xf>
    <xf numFmtId="0" fontId="12" fillId="0" borderId="0" xfId="45" applyFont="1" applyAlignment="1">
      <alignment vertical="center"/>
    </xf>
    <xf numFmtId="0" fontId="12" fillId="0" borderId="0" xfId="45" applyFont="1" applyAlignment="1" applyProtection="1">
      <alignment vertical="center"/>
      <protection locked="0"/>
    </xf>
    <xf numFmtId="0" fontId="12" fillId="2" borderId="1" xfId="0" applyFont="1" applyFill="1" applyBorder="1" applyAlignment="1">
      <alignment horizontal="center" vertical="center" wrapText="1"/>
      <protection locked="0"/>
    </xf>
    <xf numFmtId="0" fontId="11" fillId="0" borderId="1" xfId="0" applyFont="1" applyBorder="1" applyAlignment="1">
      <alignment horizontal="justify" vertical="center" wrapText="1"/>
      <protection locked="0"/>
    </xf>
    <xf numFmtId="43" fontId="15" fillId="0" borderId="1" xfId="1" applyFont="1" applyFill="1" applyBorder="1" applyAlignment="1">
      <alignment vertical="center"/>
    </xf>
    <xf numFmtId="43" fontId="15" fillId="3" borderId="1" xfId="1" applyFont="1" applyFill="1" applyBorder="1" applyAlignment="1">
      <alignment vertical="center"/>
    </xf>
    <xf numFmtId="43" fontId="15" fillId="0" borderId="1" xfId="1" applyFont="1" applyBorder="1" applyAlignment="1">
      <alignment vertical="center"/>
    </xf>
    <xf numFmtId="0" fontId="11" fillId="0" borderId="1" xfId="0" applyFont="1" applyBorder="1" applyAlignment="1">
      <alignment vertical="center"/>
      <protection locked="0"/>
    </xf>
    <xf numFmtId="0" fontId="12" fillId="3" borderId="1" xfId="0" applyFont="1" applyFill="1" applyBorder="1" applyAlignment="1">
      <alignment horizontal="center" vertical="center"/>
      <protection locked="0"/>
    </xf>
    <xf numFmtId="43" fontId="16" fillId="3" borderId="1" xfId="1" applyFont="1" applyFill="1" applyBorder="1" applyAlignment="1">
      <alignment vertical="center"/>
    </xf>
    <xf numFmtId="0" fontId="12" fillId="0" borderId="0" xfId="0" applyFont="1" applyAlignment="1">
      <alignment vertical="center"/>
      <protection locked="0"/>
    </xf>
    <xf numFmtId="0" fontId="17" fillId="0" borderId="0" xfId="0" applyFont="1" applyAlignment="1">
      <alignment vertical="center"/>
      <protection locked="0"/>
    </xf>
    <xf numFmtId="43" fontId="15" fillId="0" borderId="0" xfId="47" applyNumberFormat="1" applyFont="1" applyBorder="1" applyAlignment="1">
      <alignment vertical="center"/>
    </xf>
    <xf numFmtId="0" fontId="18" fillId="0" borderId="0" xfId="0" applyFont="1">
      <protection locked="0"/>
    </xf>
    <xf numFmtId="0" fontId="16" fillId="0" borderId="0" xfId="44" applyFont="1" applyAlignment="1">
      <alignment vertical="center"/>
    </xf>
    <xf numFmtId="43" fontId="19" fillId="0" borderId="0" xfId="47" applyNumberFormat="1" applyFont="1" applyBorder="1" applyAlignment="1">
      <alignment vertical="center"/>
    </xf>
    <xf numFmtId="0" fontId="15" fillId="0" borderId="0" xfId="0" applyFont="1">
      <protection locked="0"/>
    </xf>
    <xf numFmtId="0" fontId="21" fillId="0" borderId="0" xfId="0" applyFont="1" applyAlignment="1" applyProtection="1">
      <alignment horizontal="left" vertical="center" wrapText="1"/>
    </xf>
    <xf numFmtId="43" fontId="18" fillId="0" borderId="0" xfId="0" applyNumberFormat="1" applyFont="1" applyAlignment="1" applyProtection="1">
      <alignment horizontal="right" vertical="center" wrapText="1"/>
    </xf>
    <xf numFmtId="0" fontId="18" fillId="0" borderId="0" xfId="0" applyFont="1" applyAlignment="1" applyProtection="1">
      <alignment horizontal="left" vertical="center" wrapText="1"/>
    </xf>
    <xf numFmtId="0" fontId="22" fillId="0" borderId="0" xfId="0" applyFont="1" applyAlignment="1" applyProtection="1">
      <alignment horizontal="left" vertical="center" wrapText="1"/>
    </xf>
    <xf numFmtId="43" fontId="19" fillId="0" borderId="0" xfId="1" applyFont="1" applyBorder="1" applyAlignment="1">
      <alignment horizontal="right" vertical="center" wrapText="1"/>
    </xf>
    <xf numFmtId="0" fontId="21" fillId="0" borderId="0" xfId="0" applyFont="1" applyAlignment="1" applyProtection="1">
      <alignment horizontal="left" vertical="center"/>
    </xf>
    <xf numFmtId="0" fontId="0" fillId="0" borderId="0" xfId="0" applyFont="1" applyAlignment="1" applyProtection="1">
      <alignment vertical="center"/>
    </xf>
    <xf numFmtId="49" fontId="15" fillId="0" borderId="0" xfId="47" applyNumberFormat="1" applyFont="1" applyBorder="1" applyAlignment="1">
      <alignment vertical="center"/>
    </xf>
    <xf numFmtId="0" fontId="21" fillId="0" borderId="0" xfId="0" applyFont="1" applyAlignment="1">
      <alignment vertical="center"/>
      <protection locked="0"/>
    </xf>
    <xf numFmtId="43" fontId="15" fillId="0" borderId="0" xfId="47" applyNumberFormat="1" applyFont="1" applyBorder="1" applyAlignment="1">
      <alignment horizontal="left" vertical="center"/>
    </xf>
    <xf numFmtId="0" fontId="21" fillId="0" borderId="0" xfId="0" applyFont="1" applyAlignment="1">
      <alignment horizontal="justify" vertical="center"/>
      <protection locked="0"/>
    </xf>
    <xf numFmtId="0" fontId="22" fillId="0" borderId="2" xfId="0" applyFont="1" applyBorder="1" applyAlignment="1">
      <alignment horizontal="justify" vertical="center" wrapText="1"/>
      <protection locked="0"/>
    </xf>
    <xf numFmtId="0" fontId="20" fillId="0" borderId="2" xfId="0" applyFont="1" applyBorder="1" applyAlignment="1">
      <alignment horizontal="right" vertical="center"/>
      <protection locked="0"/>
    </xf>
    <xf numFmtId="0" fontId="20" fillId="0" borderId="2" xfId="0" applyFont="1" applyBorder="1" applyAlignment="1">
      <alignment horizontal="right" vertical="center" wrapText="1"/>
      <protection locked="0"/>
    </xf>
    <xf numFmtId="0" fontId="21" fillId="0" borderId="0" xfId="0" applyFont="1">
      <protection locked="0"/>
    </xf>
    <xf numFmtId="0" fontId="23" fillId="0" borderId="0" xfId="0" applyFont="1" applyAlignment="1">
      <alignment horizontal="justify" vertical="center" wrapText="1"/>
      <protection locked="0"/>
    </xf>
    <xf numFmtId="0" fontId="24" fillId="0" borderId="0" xfId="0" applyFont="1" applyAlignment="1">
      <alignment horizontal="right" vertical="center" wrapText="1"/>
      <protection locked="0"/>
    </xf>
    <xf numFmtId="0" fontId="21" fillId="0" borderId="0" xfId="0" applyFont="1" applyAlignment="1">
      <alignment horizontal="justify" vertical="center" wrapText="1"/>
      <protection locked="0"/>
    </xf>
    <xf numFmtId="43" fontId="21" fillId="0" borderId="0" xfId="0" applyNumberFormat="1" applyFont="1" applyAlignment="1">
      <alignment horizontal="right" vertical="center" wrapText="1"/>
      <protection locked="0"/>
    </xf>
    <xf numFmtId="0" fontId="25" fillId="0" borderId="0" xfId="0" applyFont="1" applyAlignment="1">
      <alignment horizontal="justify" vertical="center" wrapText="1"/>
      <protection locked="0"/>
    </xf>
    <xf numFmtId="0" fontId="26" fillId="0" borderId="0" xfId="0" applyFont="1" applyAlignment="1">
      <alignment horizontal="right" vertical="center" wrapText="1"/>
      <protection locked="0"/>
    </xf>
    <xf numFmtId="43" fontId="21" fillId="0" borderId="3" xfId="0" applyNumberFormat="1" applyFont="1" applyBorder="1" applyAlignment="1">
      <alignment horizontal="right" vertical="center" wrapText="1"/>
      <protection locked="0"/>
    </xf>
    <xf numFmtId="0" fontId="26" fillId="0" borderId="0" xfId="0" applyFont="1" applyAlignment="1">
      <alignment horizontal="justify" vertical="center" wrapText="1"/>
      <protection locked="0"/>
    </xf>
    <xf numFmtId="43" fontId="22" fillId="0" borderId="2" xfId="0" applyNumberFormat="1" applyFont="1" applyBorder="1" applyAlignment="1">
      <alignment horizontal="right" vertical="center" wrapText="1"/>
      <protection locked="0"/>
    </xf>
    <xf numFmtId="0" fontId="27" fillId="0" borderId="0" xfId="0" applyFont="1" applyAlignment="1">
      <alignment horizontal="right" vertical="center" wrapText="1"/>
      <protection locked="0"/>
    </xf>
    <xf numFmtId="0" fontId="21" fillId="0" borderId="0" xfId="0" applyFont="1" applyAlignment="1">
      <alignment horizontal="left" vertical="center"/>
      <protection locked="0"/>
    </xf>
    <xf numFmtId="0" fontId="12" fillId="0" borderId="0" xfId="47" applyFont="1" applyBorder="1" applyAlignment="1">
      <alignment vertical="center"/>
    </xf>
    <xf numFmtId="0" fontId="11" fillId="0" borderId="0" xfId="47" applyFont="1" applyFill="1" applyBorder="1" applyAlignment="1">
      <alignment vertical="center"/>
    </xf>
    <xf numFmtId="0" fontId="11" fillId="0" borderId="0" xfId="47" applyFont="1" applyBorder="1" applyAlignment="1">
      <alignment vertical="center"/>
    </xf>
    <xf numFmtId="0" fontId="11" fillId="0" borderId="0" xfId="47" applyFont="1" applyBorder="1" applyAlignment="1">
      <alignment horizontal="left" vertical="center"/>
    </xf>
    <xf numFmtId="0" fontId="12" fillId="2" borderId="1" xfId="39" applyNumberFormat="1" applyFont="1" applyFill="1" applyBorder="1" applyAlignment="1" applyProtection="1">
      <alignment horizontal="center" vertical="center" wrapText="1"/>
      <protection locked="0"/>
    </xf>
    <xf numFmtId="0" fontId="29" fillId="0" borderId="1" xfId="0" applyFont="1" applyBorder="1" applyAlignment="1" applyProtection="1">
      <alignment vertical="center"/>
    </xf>
    <xf numFmtId="43" fontId="30" fillId="3" borderId="1" xfId="1" applyFont="1" applyFill="1" applyBorder="1" applyAlignment="1">
      <alignment horizontal="right" vertical="center"/>
    </xf>
    <xf numFmtId="0" fontId="28" fillId="0" borderId="1" xfId="0" applyFont="1" applyBorder="1" applyAlignment="1" applyProtection="1">
      <alignment horizontal="center" vertical="center"/>
    </xf>
    <xf numFmtId="0" fontId="12" fillId="0" borderId="0" xfId="47" applyFont="1" applyFill="1" applyBorder="1" applyAlignment="1">
      <alignment vertical="center"/>
    </xf>
    <xf numFmtId="0" fontId="29" fillId="0" borderId="0" xfId="1" applyNumberFormat="1" applyFont="1" applyFill="1" applyBorder="1" applyAlignment="1">
      <alignment horizontal="right" vertical="center"/>
    </xf>
    <xf numFmtId="43" fontId="30" fillId="0" borderId="0" xfId="1" applyFont="1" applyFill="1" applyBorder="1" applyAlignment="1">
      <alignment horizontal="right" vertical="center"/>
    </xf>
    <xf numFmtId="0" fontId="12" fillId="0" borderId="0" xfId="47" applyFont="1" applyBorder="1" applyAlignment="1">
      <alignment horizontal="left" vertical="center"/>
    </xf>
    <xf numFmtId="0" fontId="31" fillId="0" borderId="0" xfId="3" applyNumberFormat="1" applyFont="1" applyBorder="1" applyAlignment="1" applyProtection="1">
      <alignment horizontal="center" vertical="center"/>
    </xf>
    <xf numFmtId="0" fontId="11" fillId="0" borderId="0" xfId="44" applyFont="1" applyAlignment="1">
      <alignment vertical="center"/>
    </xf>
    <xf numFmtId="0" fontId="12" fillId="0" borderId="0" xfId="44" applyFont="1" applyAlignment="1">
      <alignment vertical="center"/>
    </xf>
    <xf numFmtId="0" fontId="17" fillId="0" borderId="0" xfId="44" applyFont="1" applyAlignment="1">
      <alignment vertical="center"/>
    </xf>
    <xf numFmtId="0" fontId="11" fillId="0" borderId="0" xfId="47" applyFont="1" applyBorder="1" applyAlignment="1">
      <alignment horizontal="right" vertical="center"/>
    </xf>
    <xf numFmtId="0" fontId="28" fillId="2" borderId="1" xfId="38" applyFont="1" applyFill="1" applyBorder="1" applyAlignment="1">
      <alignment horizontal="center" vertical="center" wrapText="1"/>
      <protection locked="0"/>
    </xf>
    <xf numFmtId="0" fontId="12" fillId="2" borderId="1" xfId="38" applyFont="1" applyFill="1" applyBorder="1" applyAlignment="1">
      <alignment horizontal="center" vertical="center"/>
      <protection locked="0"/>
    </xf>
    <xf numFmtId="43" fontId="15" fillId="3" borderId="1" xfId="1" applyFont="1" applyFill="1" applyBorder="1" applyAlignment="1">
      <alignment horizontal="right" vertical="center" wrapText="1"/>
    </xf>
    <xf numFmtId="43" fontId="15" fillId="3" borderId="1" xfId="2" applyNumberFormat="1" applyFont="1" applyFill="1" applyBorder="1" applyAlignment="1">
      <alignment horizontal="right" vertical="center" wrapText="1"/>
    </xf>
    <xf numFmtId="0" fontId="11" fillId="0" borderId="1" xfId="1" applyNumberFormat="1" applyFont="1" applyFill="1" applyBorder="1" applyAlignment="1">
      <alignment horizontal="right" vertical="center" wrapText="1"/>
    </xf>
    <xf numFmtId="0" fontId="11" fillId="0" borderId="0" xfId="1" applyNumberFormat="1" applyFont="1" applyFill="1" applyBorder="1" applyAlignment="1">
      <alignment horizontal="right" vertical="center" wrapText="1"/>
    </xf>
    <xf numFmtId="0" fontId="11" fillId="0" borderId="0" xfId="2" applyNumberFormat="1" applyFont="1" applyFill="1" applyBorder="1" applyAlignment="1">
      <alignment horizontal="right" vertical="center" wrapText="1"/>
    </xf>
    <xf numFmtId="0" fontId="61" fillId="0" borderId="0" xfId="36">
      <protection locked="0"/>
    </xf>
    <xf numFmtId="0" fontId="34" fillId="0" borderId="0" xfId="36" applyFont="1" applyAlignment="1">
      <alignment vertical="center"/>
      <protection locked="0"/>
    </xf>
    <xf numFmtId="0" fontId="35" fillId="0" borderId="0" xfId="36" applyFont="1" applyAlignment="1">
      <alignment vertical="center"/>
      <protection locked="0"/>
    </xf>
    <xf numFmtId="0" fontId="32" fillId="0" borderId="0" xfId="36" applyFont="1" applyAlignment="1">
      <alignment horizontal="left" vertical="center"/>
      <protection locked="0"/>
    </xf>
    <xf numFmtId="0" fontId="34" fillId="0" borderId="0" xfId="48" applyFont="1">
      <alignment vertical="center"/>
    </xf>
    <xf numFmtId="0" fontId="35" fillId="0" borderId="0" xfId="48" applyFont="1">
      <alignment vertical="center"/>
    </xf>
    <xf numFmtId="49" fontId="32" fillId="0" borderId="0" xfId="36" applyNumberFormat="1" applyFont="1" applyAlignment="1">
      <alignment horizontal="left" vertical="center"/>
      <protection locked="0"/>
    </xf>
    <xf numFmtId="0" fontId="32" fillId="0" borderId="0" xfId="36" applyFont="1" applyAlignment="1">
      <alignment horizontal="justify" vertical="center"/>
      <protection locked="0"/>
    </xf>
    <xf numFmtId="0" fontId="4" fillId="0" borderId="1" xfId="36" applyFont="1" applyBorder="1" applyAlignment="1">
      <alignment horizontal="center" vertical="center" wrapText="1"/>
      <protection locked="0"/>
    </xf>
    <xf numFmtId="0" fontId="34" fillId="0" borderId="1" xfId="36" applyFont="1" applyBorder="1" applyAlignment="1">
      <alignment horizontal="center" vertical="center" wrapText="1"/>
      <protection locked="0"/>
    </xf>
    <xf numFmtId="0" fontId="36" fillId="0" borderId="1" xfId="36" applyFont="1" applyBorder="1" applyAlignment="1">
      <alignment horizontal="center" vertical="center" wrapText="1"/>
      <protection locked="0"/>
    </xf>
    <xf numFmtId="0" fontId="35" fillId="0" borderId="1" xfId="36" applyFont="1" applyBorder="1" applyAlignment="1">
      <alignment horizontal="center" vertical="center" wrapText="1"/>
      <protection locked="0"/>
    </xf>
    <xf numFmtId="0" fontId="34" fillId="0" borderId="1" xfId="36" applyFont="1" applyBorder="1" applyAlignment="1">
      <alignment horizontal="left" vertical="center" wrapText="1"/>
      <protection locked="0"/>
    </xf>
    <xf numFmtId="49" fontId="34" fillId="2" borderId="1" xfId="36" applyNumberFormat="1" applyFont="1" applyFill="1" applyBorder="1" applyAlignment="1">
      <alignment horizontal="left" vertical="center"/>
      <protection locked="0"/>
    </xf>
    <xf numFmtId="49" fontId="32" fillId="2" borderId="1" xfId="36" applyNumberFormat="1" applyFont="1" applyFill="1" applyBorder="1" applyAlignment="1">
      <alignment horizontal="left" vertical="center"/>
      <protection locked="0"/>
    </xf>
    <xf numFmtId="0" fontId="32" fillId="2" borderId="1" xfId="36" applyFont="1" applyFill="1" applyBorder="1" applyAlignment="1">
      <alignment horizontal="center" vertical="center" wrapText="1"/>
      <protection locked="0"/>
    </xf>
    <xf numFmtId="0" fontId="4" fillId="2" borderId="1" xfId="36" applyFont="1" applyFill="1" applyBorder="1" applyAlignment="1">
      <alignment horizontal="left" vertical="center"/>
      <protection locked="0"/>
    </xf>
    <xf numFmtId="0" fontId="6" fillId="2" borderId="1" xfId="36" applyFont="1" applyFill="1" applyBorder="1" applyAlignment="1">
      <alignment horizontal="left" vertical="center"/>
      <protection locked="0"/>
    </xf>
    <xf numFmtId="0" fontId="6" fillId="2" borderId="1" xfId="36" applyFont="1" applyFill="1" applyBorder="1" applyAlignment="1">
      <alignment horizontal="left" vertical="center" wrapText="1"/>
      <protection locked="0"/>
    </xf>
    <xf numFmtId="0" fontId="4" fillId="2" borderId="1" xfId="36" applyFont="1" applyFill="1" applyBorder="1" applyAlignment="1">
      <alignment horizontal="center" vertical="center" wrapText="1"/>
      <protection locked="0"/>
    </xf>
    <xf numFmtId="0" fontId="4" fillId="2" borderId="1" xfId="48" applyFont="1" applyFill="1" applyBorder="1" applyAlignment="1">
      <alignment horizontal="left" vertical="center"/>
    </xf>
    <xf numFmtId="0" fontId="6" fillId="2" borderId="1" xfId="36" applyFont="1" applyFill="1" applyBorder="1" applyAlignment="1" applyProtection="1">
      <alignment horizontal="left" vertical="center" wrapText="1"/>
    </xf>
    <xf numFmtId="0" fontId="15" fillId="0" borderId="1" xfId="48" applyFont="1" applyBorder="1" applyAlignment="1">
      <alignment horizontal="center" vertical="center"/>
    </xf>
    <xf numFmtId="0" fontId="4" fillId="0" borderId="1" xfId="48" applyFont="1" applyBorder="1" applyAlignment="1">
      <alignment horizontal="left" vertical="center"/>
    </xf>
    <xf numFmtId="0" fontId="15" fillId="4" borderId="1" xfId="36" applyFont="1" applyFill="1" applyBorder="1" applyAlignment="1">
      <alignment horizontal="left" vertical="center" wrapText="1"/>
      <protection locked="0"/>
    </xf>
    <xf numFmtId="0" fontId="4" fillId="4" borderId="1" xfId="36" applyFont="1" applyFill="1" applyBorder="1" applyAlignment="1">
      <alignment horizontal="left" vertical="center" wrapText="1"/>
      <protection locked="0"/>
    </xf>
    <xf numFmtId="0" fontId="32" fillId="2" borderId="1" xfId="35" applyFont="1" applyFill="1" applyBorder="1" applyAlignment="1">
      <alignment horizontal="left" vertical="center" wrapText="1"/>
      <protection locked="0"/>
    </xf>
    <xf numFmtId="0" fontId="15" fillId="2" borderId="1" xfId="36" applyFont="1" applyFill="1" applyBorder="1" applyAlignment="1">
      <alignment horizontal="center" vertical="center" wrapText="1"/>
      <protection locked="0"/>
    </xf>
    <xf numFmtId="0" fontId="16" fillId="0" borderId="1" xfId="48" applyFont="1" applyBorder="1" applyAlignment="1">
      <alignment horizontal="center" vertical="center"/>
    </xf>
    <xf numFmtId="0" fontId="15" fillId="0" borderId="1" xfId="48" applyFont="1" applyBorder="1" applyAlignment="1">
      <alignment horizontal="left" vertical="center"/>
    </xf>
    <xf numFmtId="0" fontId="34" fillId="0" borderId="1" xfId="35" applyFont="1" applyBorder="1" applyAlignment="1">
      <alignment horizontal="left" vertical="center" wrapText="1"/>
      <protection locked="0"/>
    </xf>
    <xf numFmtId="0" fontId="4" fillId="2" borderId="1" xfId="36" applyFont="1" applyFill="1" applyBorder="1" applyAlignment="1" applyProtection="1">
      <alignment horizontal="left" vertical="center" wrapText="1"/>
    </xf>
    <xf numFmtId="0" fontId="15" fillId="0" borderId="1" xfId="36" applyFont="1" applyBorder="1" applyAlignment="1">
      <alignment horizontal="center" vertical="center"/>
      <protection locked="0"/>
    </xf>
    <xf numFmtId="0" fontId="4" fillId="0" borderId="1" xfId="36" applyFont="1" applyBorder="1" applyAlignment="1">
      <alignment horizontal="left" vertical="center"/>
      <protection locked="0"/>
    </xf>
    <xf numFmtId="0" fontId="4" fillId="0" borderId="1" xfId="36" applyFont="1" applyBorder="1" applyAlignment="1">
      <alignment horizontal="left" vertical="center" wrapText="1"/>
      <protection locked="0"/>
    </xf>
    <xf numFmtId="0" fontId="15" fillId="0" borderId="1" xfId="36" applyFont="1" applyBorder="1" applyAlignment="1">
      <alignment horizontal="center" vertical="center" wrapText="1"/>
      <protection locked="0"/>
    </xf>
    <xf numFmtId="49" fontId="4" fillId="2" borderId="1" xfId="48" applyNumberFormat="1" applyFont="1" applyFill="1" applyBorder="1" applyAlignment="1">
      <alignment horizontal="left" vertical="center"/>
    </xf>
    <xf numFmtId="0" fontId="6" fillId="2" borderId="1" xfId="48" applyFont="1" applyFill="1" applyBorder="1" applyAlignment="1">
      <alignment horizontal="left" vertical="center"/>
    </xf>
    <xf numFmtId="49" fontId="15" fillId="0" borderId="1" xfId="48" applyNumberFormat="1" applyFont="1" applyBorder="1" applyAlignment="1">
      <alignment horizontal="center" vertical="center"/>
    </xf>
    <xf numFmtId="49" fontId="15" fillId="0" borderId="1" xfId="48" applyNumberFormat="1" applyFont="1" applyBorder="1" applyAlignment="1">
      <alignment horizontal="left" vertical="center"/>
    </xf>
    <xf numFmtId="0" fontId="15" fillId="0" borderId="1" xfId="36" applyFont="1" applyBorder="1" applyAlignment="1">
      <alignment horizontal="left" vertical="center" wrapText="1"/>
      <protection locked="0"/>
    </xf>
    <xf numFmtId="49" fontId="15" fillId="0" borderId="1" xfId="48" applyNumberFormat="1" applyFont="1" applyBorder="1" applyAlignment="1">
      <alignment horizontal="right" vertical="center" indent="1"/>
    </xf>
    <xf numFmtId="0" fontId="16" fillId="2" borderId="1" xfId="36" applyFont="1" applyFill="1" applyBorder="1" applyAlignment="1">
      <alignment horizontal="left" vertical="center" wrapText="1"/>
      <protection locked="0"/>
    </xf>
    <xf numFmtId="0" fontId="32" fillId="0" borderId="0" xfId="36" applyFont="1" applyAlignment="1">
      <alignment horizontal="right" vertical="center"/>
      <protection locked="0"/>
    </xf>
    <xf numFmtId="0" fontId="32" fillId="0" borderId="0" xfId="36" applyFont="1" applyAlignment="1">
      <alignment vertical="center"/>
      <protection locked="0"/>
    </xf>
    <xf numFmtId="0" fontId="32" fillId="0" borderId="0" xfId="48" applyFont="1">
      <alignment vertical="center"/>
    </xf>
    <xf numFmtId="0" fontId="32" fillId="0" borderId="1" xfId="36" applyFont="1" applyBorder="1" applyAlignment="1">
      <alignment horizontal="center" vertical="center" wrapText="1"/>
      <protection locked="0"/>
    </xf>
    <xf numFmtId="0" fontId="37" fillId="0" borderId="1" xfId="36" applyFont="1" applyBorder="1" applyAlignment="1">
      <alignment horizontal="center" vertical="center" wrapText="1"/>
      <protection locked="0"/>
    </xf>
    <xf numFmtId="0" fontId="11" fillId="0" borderId="0" xfId="0" applyNumberFormat="1" applyFont="1" applyAlignment="1">
      <alignment vertical="center"/>
      <protection locked="0"/>
    </xf>
    <xf numFmtId="0" fontId="38" fillId="0" borderId="0" xfId="0" applyNumberFormat="1" applyFont="1" applyAlignment="1">
      <alignment vertical="center"/>
      <protection locked="0"/>
    </xf>
    <xf numFmtId="0" fontId="12" fillId="0" borderId="0" xfId="0" applyNumberFormat="1" applyFont="1" applyAlignment="1">
      <alignment horizontal="left" vertical="center"/>
      <protection locked="0"/>
    </xf>
    <xf numFmtId="0" fontId="11" fillId="0" borderId="0" xfId="48" applyNumberFormat="1" applyFont="1" applyAlignment="1">
      <alignment vertical="center"/>
    </xf>
    <xf numFmtId="0" fontId="38" fillId="0" borderId="0" xfId="48" applyNumberFormat="1" applyFont="1" applyAlignment="1">
      <alignment vertical="center"/>
    </xf>
    <xf numFmtId="0" fontId="11" fillId="0" borderId="0" xfId="0" applyNumberFormat="1" applyFont="1" applyBorder="1" applyAlignment="1">
      <alignment horizontal="left" vertical="center"/>
      <protection locked="0"/>
    </xf>
    <xf numFmtId="0" fontId="11" fillId="0" borderId="0" xfId="0" applyNumberFormat="1" applyFont="1" applyBorder="1" applyAlignment="1">
      <alignment vertical="center" wrapText="1"/>
      <protection locked="0"/>
    </xf>
    <xf numFmtId="0" fontId="12" fillId="0" borderId="0" xfId="0" applyNumberFormat="1" applyFont="1" applyAlignment="1">
      <alignment horizontal="justify" vertical="center"/>
      <protection locked="0"/>
    </xf>
    <xf numFmtId="0" fontId="11" fillId="0" borderId="0" xfId="0" applyNumberFormat="1" applyFont="1" applyBorder="1" applyAlignment="1">
      <alignment horizontal="center" vertical="center" wrapText="1"/>
      <protection locked="0"/>
    </xf>
    <xf numFmtId="190" fontId="12" fillId="3" borderId="1" xfId="37" applyNumberFormat="1" applyFont="1" applyFill="1" applyBorder="1" applyAlignment="1">
      <alignment horizontal="center" vertical="center" wrapText="1"/>
      <protection locked="0"/>
    </xf>
    <xf numFmtId="0" fontId="15" fillId="0" borderId="1" xfId="0" applyNumberFormat="1" applyFont="1" applyFill="1" applyBorder="1" applyAlignment="1">
      <alignment horizontal="center" vertical="center"/>
      <protection locked="0"/>
    </xf>
    <xf numFmtId="0" fontId="11" fillId="0" borderId="1" xfId="0" applyNumberFormat="1" applyFont="1" applyFill="1" applyBorder="1" applyAlignment="1">
      <alignment horizontal="left" vertical="center" wrapText="1"/>
      <protection locked="0"/>
    </xf>
    <xf numFmtId="0" fontId="11" fillId="0" borderId="1" xfId="0" applyNumberFormat="1" applyFont="1" applyFill="1" applyBorder="1" applyAlignment="1">
      <alignment horizontal="center" vertical="center" wrapText="1"/>
      <protection locked="0"/>
    </xf>
    <xf numFmtId="0" fontId="36" fillId="0" borderId="1" xfId="41" applyFont="1" applyFill="1" applyBorder="1" applyAlignment="1">
      <alignment horizontal="center" vertical="center" wrapText="1"/>
    </xf>
    <xf numFmtId="0" fontId="39" fillId="0" borderId="1" xfId="41" applyFont="1" applyFill="1" applyBorder="1" applyAlignment="1">
      <alignment horizontal="center" vertical="center" wrapText="1"/>
    </xf>
    <xf numFmtId="0" fontId="40" fillId="0" borderId="1" xfId="41" applyFont="1" applyFill="1" applyBorder="1" applyAlignment="1">
      <alignment horizontal="center" vertical="center" wrapText="1"/>
    </xf>
    <xf numFmtId="0" fontId="39" fillId="0" borderId="1" xfId="41" applyFont="1" applyFill="1" applyBorder="1" applyAlignment="1">
      <alignment vertical="center" wrapText="1"/>
    </xf>
    <xf numFmtId="0" fontId="12" fillId="0" borderId="1" xfId="0" applyNumberFormat="1" applyFont="1" applyFill="1" applyBorder="1" applyAlignment="1">
      <alignment horizontal="center" vertical="center" wrapText="1"/>
      <protection locked="0"/>
    </xf>
    <xf numFmtId="0" fontId="11" fillId="0" borderId="1" xfId="48" applyNumberFormat="1" applyFont="1" applyFill="1" applyBorder="1" applyAlignment="1">
      <alignment horizontal="left" vertical="center" wrapText="1"/>
    </xf>
    <xf numFmtId="0" fontId="11" fillId="0" borderId="1" xfId="0" applyNumberFormat="1" applyFont="1" applyFill="1" applyBorder="1" applyAlignment="1" applyProtection="1">
      <alignment horizontal="left" vertical="center" wrapText="1"/>
    </xf>
    <xf numFmtId="0" fontId="11" fillId="0" borderId="1" xfId="48" applyNumberFormat="1" applyFont="1" applyFill="1" applyBorder="1" applyAlignment="1">
      <alignment horizontal="left" vertical="center"/>
    </xf>
    <xf numFmtId="0" fontId="11" fillId="0" borderId="1" xfId="0" applyFont="1" applyBorder="1" applyAlignment="1">
      <alignment horizontal="center" vertical="center" wrapText="1"/>
      <protection locked="0"/>
    </xf>
    <xf numFmtId="0" fontId="11" fillId="0" borderId="1" xfId="0" applyFont="1" applyBorder="1" applyAlignment="1">
      <alignment horizontal="left" vertical="center" wrapText="1"/>
      <protection locked="0"/>
    </xf>
    <xf numFmtId="0" fontId="11" fillId="0" borderId="0" xfId="0" applyNumberFormat="1" applyFont="1" applyAlignment="1">
      <alignment horizontal="right" vertical="center"/>
      <protection locked="0"/>
    </xf>
    <xf numFmtId="0" fontId="12" fillId="0" borderId="0" xfId="48" applyNumberFormat="1" applyFont="1" applyAlignment="1">
      <alignment vertical="center"/>
    </xf>
    <xf numFmtId="0" fontId="12" fillId="0" borderId="0" xfId="0" applyNumberFormat="1" applyFont="1" applyAlignment="1">
      <alignment vertical="center"/>
      <protection locked="0"/>
    </xf>
    <xf numFmtId="0" fontId="15" fillId="0" borderId="1" xfId="0" applyNumberFormat="1" applyFont="1" applyFill="1" applyBorder="1" applyAlignment="1">
      <alignment horizontal="center" vertical="center" wrapText="1"/>
      <protection locked="0"/>
    </xf>
    <xf numFmtId="0" fontId="41" fillId="0" borderId="1" xfId="0" applyNumberFormat="1" applyFont="1" applyFill="1" applyBorder="1" applyAlignment="1">
      <alignment horizontal="center" vertical="center" wrapText="1"/>
      <protection locked="0"/>
    </xf>
    <xf numFmtId="190" fontId="15" fillId="0" borderId="1" xfId="42" applyFont="1" applyBorder="1" applyAlignment="1">
      <alignment vertical="center" wrapText="1"/>
    </xf>
    <xf numFmtId="0" fontId="34" fillId="0" borderId="0" xfId="46" applyFont="1" applyAlignment="1">
      <alignment vertical="center"/>
      <protection locked="0"/>
    </xf>
    <xf numFmtId="0" fontId="4" fillId="0" borderId="0" xfId="46" applyFont="1" applyAlignment="1">
      <alignment vertical="center"/>
      <protection locked="0"/>
    </xf>
    <xf numFmtId="0" fontId="6" fillId="0" borderId="0" xfId="46" applyFont="1" applyAlignment="1">
      <alignment vertical="center"/>
      <protection locked="0"/>
    </xf>
    <xf numFmtId="0" fontId="4" fillId="5" borderId="0" xfId="46" applyFont="1" applyFill="1" applyAlignment="1">
      <alignment horizontal="justify" vertical="center" wrapText="1"/>
      <protection locked="0"/>
    </xf>
    <xf numFmtId="0" fontId="34" fillId="0" borderId="0" xfId="46" applyFont="1" applyAlignment="1">
      <alignment horizontal="justify" vertical="center" wrapText="1"/>
      <protection locked="0"/>
    </xf>
    <xf numFmtId="0" fontId="4" fillId="0" borderId="9" xfId="46" applyFont="1" applyBorder="1" applyAlignment="1">
      <alignment horizontal="center" vertical="center"/>
      <protection locked="0"/>
    </xf>
    <xf numFmtId="0" fontId="4" fillId="0" borderId="0" xfId="46" applyFont="1" applyAlignment="1">
      <alignment horizontal="justify" vertical="center" wrapText="1"/>
      <protection locked="0"/>
    </xf>
    <xf numFmtId="0" fontId="34" fillId="0" borderId="9" xfId="46" applyFont="1" applyBorder="1" applyAlignment="1">
      <alignment horizontal="center" vertical="center" wrapText="1"/>
      <protection locked="0"/>
    </xf>
    <xf numFmtId="0" fontId="15" fillId="0" borderId="9" xfId="46" applyFont="1" applyBorder="1" applyAlignment="1">
      <alignment horizontal="left" vertical="center"/>
      <protection locked="0"/>
    </xf>
    <xf numFmtId="0" fontId="15" fillId="0" borderId="9" xfId="46" applyFont="1" applyBorder="1" applyAlignment="1">
      <alignment horizontal="justify" vertical="center" wrapText="1"/>
      <protection locked="0"/>
    </xf>
    <xf numFmtId="0" fontId="42" fillId="0" borderId="0" xfId="46" applyFont="1" applyAlignment="1">
      <alignment horizontal="justify" vertical="center" wrapText="1"/>
      <protection locked="0"/>
    </xf>
    <xf numFmtId="0" fontId="15" fillId="0" borderId="9" xfId="0" applyFont="1" applyBorder="1" applyAlignment="1">
      <alignment vertical="center"/>
      <protection locked="0"/>
    </xf>
    <xf numFmtId="0" fontId="4" fillId="5" borderId="0" xfId="0" applyFont="1" applyFill="1" applyAlignment="1">
      <alignment horizontal="justify" vertical="center" wrapText="1"/>
      <protection locked="0"/>
    </xf>
    <xf numFmtId="0" fontId="15" fillId="0" borderId="9" xfId="46" applyFont="1" applyBorder="1" applyAlignment="1">
      <alignment vertical="center"/>
      <protection locked="0"/>
    </xf>
    <xf numFmtId="0" fontId="34" fillId="0" borderId="0" xfId="0" applyFont="1" applyAlignment="1">
      <alignment vertical="center"/>
      <protection locked="0"/>
    </xf>
    <xf numFmtId="49" fontId="62" fillId="0" borderId="0" xfId="36" applyNumberFormat="1" applyFont="1" applyAlignment="1">
      <alignment horizontal="left" vertical="center"/>
      <protection locked="0"/>
    </xf>
    <xf numFmtId="43" fontId="4" fillId="0" borderId="0" xfId="47" applyNumberFormat="1" applyFont="1" applyBorder="1" applyAlignment="1">
      <alignment vertical="center"/>
    </xf>
    <xf numFmtId="0" fontId="64" fillId="0" borderId="0" xfId="0" applyFont="1" applyAlignment="1" applyProtection="1">
      <alignment horizontal="left" vertical="center" wrapText="1"/>
    </xf>
    <xf numFmtId="0" fontId="65" fillId="0" borderId="0" xfId="0" applyFont="1" applyAlignment="1" applyProtection="1">
      <alignment horizontal="right" vertical="center" wrapText="1"/>
    </xf>
    <xf numFmtId="0" fontId="66" fillId="0" borderId="9" xfId="46" applyFont="1" applyBorder="1" applyAlignment="1">
      <alignment horizontal="center" vertical="center"/>
      <protection locked="0"/>
    </xf>
    <xf numFmtId="0" fontId="67" fillId="0" borderId="9" xfId="3" applyFont="1" applyBorder="1" applyAlignment="1">
      <alignment vertical="center"/>
      <protection locked="0"/>
    </xf>
    <xf numFmtId="0" fontId="6" fillId="2" borderId="1" xfId="41" applyFont="1" applyFill="1" applyBorder="1" applyAlignment="1" applyProtection="1">
      <alignment horizontal="center" vertical="center" wrapText="1"/>
      <protection locked="0"/>
    </xf>
    <xf numFmtId="0" fontId="16" fillId="2" borderId="1" xfId="41" applyFont="1" applyFill="1" applyBorder="1" applyAlignment="1" applyProtection="1">
      <alignment horizontal="center" vertical="center" wrapText="1"/>
      <protection locked="0"/>
    </xf>
    <xf numFmtId="0" fontId="12" fillId="2" borderId="1" xfId="0" applyNumberFormat="1" applyFont="1" applyFill="1" applyBorder="1" applyAlignment="1">
      <alignment horizontal="center" vertical="center"/>
      <protection locked="0"/>
    </xf>
    <xf numFmtId="190" fontId="11" fillId="0" borderId="1" xfId="37" applyNumberFormat="1" applyFont="1" applyBorder="1" applyAlignment="1">
      <alignment horizontal="center" vertical="center" wrapText="1"/>
      <protection locked="0"/>
    </xf>
    <xf numFmtId="0" fontId="12" fillId="0" borderId="0" xfId="0" applyNumberFormat="1" applyFont="1" applyAlignment="1">
      <alignment horizontal="left" vertical="center"/>
      <protection locked="0"/>
    </xf>
    <xf numFmtId="0" fontId="12" fillId="2" borderId="1" xfId="0" applyNumberFormat="1" applyFont="1" applyFill="1" applyBorder="1" applyAlignment="1">
      <alignment horizontal="center" vertical="center" wrapText="1"/>
      <protection locked="0"/>
    </xf>
    <xf numFmtId="190" fontId="11" fillId="0" borderId="1" xfId="37" applyNumberFormat="1" applyFont="1" applyBorder="1" applyAlignment="1">
      <alignment horizontal="left" vertical="center" wrapText="1"/>
      <protection locked="0"/>
    </xf>
    <xf numFmtId="0" fontId="63" fillId="2" borderId="1" xfId="0" applyNumberFormat="1" applyFont="1" applyFill="1" applyBorder="1" applyAlignment="1">
      <alignment horizontal="center" vertical="center" wrapText="1"/>
      <protection locked="0"/>
    </xf>
    <xf numFmtId="0" fontId="13" fillId="0" borderId="0" xfId="43" applyNumberFormat="1" applyFont="1" applyAlignment="1">
      <alignment horizontal="center" vertical="center"/>
    </xf>
    <xf numFmtId="0" fontId="14" fillId="0" borderId="0" xfId="43" applyNumberFormat="1" applyFont="1" applyAlignment="1">
      <alignment horizontal="center" vertical="center"/>
    </xf>
    <xf numFmtId="0" fontId="11" fillId="0" borderId="0" xfId="0" applyNumberFormat="1" applyFont="1" applyAlignment="1">
      <alignment horizontal="left" vertical="center"/>
      <protection locked="0"/>
    </xf>
    <xf numFmtId="0" fontId="6" fillId="2" borderId="4" xfId="36" applyFont="1" applyFill="1" applyBorder="1" applyAlignment="1">
      <alignment horizontal="center" vertical="center" wrapText="1"/>
      <protection locked="0"/>
    </xf>
    <xf numFmtId="0" fontId="16" fillId="2" borderId="5" xfId="36" applyFont="1" applyFill="1" applyBorder="1" applyAlignment="1">
      <alignment horizontal="center" vertical="center" wrapText="1"/>
      <protection locked="0"/>
    </xf>
    <xf numFmtId="0" fontId="15" fillId="2" borderId="4" xfId="36" applyFont="1" applyFill="1" applyBorder="1" applyAlignment="1">
      <alignment horizontal="center" vertical="center" wrapText="1"/>
      <protection locked="0"/>
    </xf>
    <xf numFmtId="0" fontId="15" fillId="2" borderId="6" xfId="36" applyFont="1" applyFill="1" applyBorder="1" applyAlignment="1">
      <alignment horizontal="center" vertical="center" wrapText="1"/>
      <protection locked="0"/>
    </xf>
    <xf numFmtId="0" fontId="6" fillId="0" borderId="7" xfId="36" applyFont="1" applyBorder="1" applyAlignment="1">
      <alignment horizontal="center" vertical="center" wrapText="1"/>
      <protection locked="0"/>
    </xf>
    <xf numFmtId="0" fontId="6" fillId="0" borderId="8" xfId="36" applyFont="1" applyBorder="1" applyAlignment="1">
      <alignment horizontal="center" vertical="center" wrapText="1"/>
      <protection locked="0"/>
    </xf>
    <xf numFmtId="0" fontId="32" fillId="0" borderId="7" xfId="36" applyFont="1" applyBorder="1" applyAlignment="1">
      <alignment horizontal="center" vertical="center" wrapText="1"/>
      <protection locked="0"/>
    </xf>
    <xf numFmtId="0" fontId="32" fillId="0" borderId="8" xfId="36" applyFont="1" applyBorder="1" applyAlignment="1">
      <alignment horizontal="center" vertical="center" wrapText="1"/>
      <protection locked="0"/>
    </xf>
    <xf numFmtId="0" fontId="32" fillId="0" borderId="1" xfId="36" applyFont="1" applyBorder="1" applyAlignment="1">
      <alignment horizontal="left" vertical="center" wrapText="1"/>
      <protection locked="0"/>
    </xf>
    <xf numFmtId="0" fontId="15" fillId="0" borderId="4" xfId="36" applyFont="1" applyBorder="1" applyAlignment="1">
      <alignment horizontal="center" vertical="center" wrapText="1"/>
      <protection locked="0"/>
    </xf>
    <xf numFmtId="0" fontId="15" fillId="0" borderId="5" xfId="36" applyFont="1" applyBorder="1" applyAlignment="1">
      <alignment horizontal="center" vertical="center" wrapText="1"/>
      <protection locked="0"/>
    </xf>
    <xf numFmtId="0" fontId="15" fillId="0" borderId="6" xfId="36" applyFont="1" applyBorder="1" applyAlignment="1">
      <alignment horizontal="center" vertical="center" wrapText="1"/>
      <protection locked="0"/>
    </xf>
    <xf numFmtId="0" fontId="4" fillId="2" borderId="4" xfId="36" applyFont="1" applyFill="1" applyBorder="1" applyAlignment="1">
      <alignment horizontal="center" vertical="center" wrapText="1"/>
      <protection locked="0"/>
    </xf>
    <xf numFmtId="0" fontId="15" fillId="2" borderId="5" xfId="36" applyFont="1" applyFill="1" applyBorder="1" applyAlignment="1">
      <alignment horizontal="center" vertical="center" wrapText="1"/>
      <protection locked="0"/>
    </xf>
    <xf numFmtId="0" fontId="15" fillId="0" borderId="4" xfId="36" applyFont="1" applyBorder="1" applyAlignment="1">
      <alignment horizontal="left" vertical="center" wrapText="1"/>
      <protection locked="0"/>
    </xf>
    <xf numFmtId="0" fontId="15" fillId="0" borderId="5" xfId="36" applyFont="1" applyBorder="1" applyAlignment="1">
      <alignment horizontal="left" vertical="center" wrapText="1"/>
      <protection locked="0"/>
    </xf>
    <xf numFmtId="0" fontId="11" fillId="0" borderId="1" xfId="36" applyFont="1" applyBorder="1" applyAlignment="1">
      <alignment horizontal="left" vertical="center" wrapText="1"/>
      <protection locked="0"/>
    </xf>
    <xf numFmtId="0" fontId="32" fillId="0" borderId="0" xfId="36" applyFont="1" applyAlignment="1">
      <alignment horizontal="left" vertical="center"/>
      <protection locked="0"/>
    </xf>
    <xf numFmtId="0" fontId="32" fillId="2" borderId="4" xfId="36" applyFont="1" applyFill="1" applyBorder="1" applyAlignment="1">
      <alignment horizontal="center" vertical="center"/>
      <protection locked="0"/>
    </xf>
    <xf numFmtId="0" fontId="32" fillId="2" borderId="5" xfId="36" applyFont="1" applyFill="1" applyBorder="1" applyAlignment="1">
      <alignment horizontal="center" vertical="center"/>
      <protection locked="0"/>
    </xf>
    <xf numFmtId="0" fontId="32" fillId="2" borderId="6" xfId="36" applyFont="1" applyFill="1" applyBorder="1" applyAlignment="1">
      <alignment horizontal="center" vertical="center"/>
      <protection locked="0"/>
    </xf>
    <xf numFmtId="0" fontId="32" fillId="2" borderId="1" xfId="36" applyFont="1" applyFill="1" applyBorder="1" applyAlignment="1">
      <alignment horizontal="center" vertical="center" wrapText="1"/>
      <protection locked="0"/>
    </xf>
    <xf numFmtId="0" fontId="4" fillId="0" borderId="4" xfId="36" applyFont="1" applyBorder="1" applyAlignment="1">
      <alignment horizontal="left" vertical="center" wrapText="1"/>
      <protection locked="0"/>
    </xf>
    <xf numFmtId="0" fontId="4" fillId="0" borderId="5" xfId="36" applyFont="1" applyBorder="1" applyAlignment="1">
      <alignment horizontal="left" vertical="center" wrapText="1"/>
      <protection locked="0"/>
    </xf>
    <xf numFmtId="0" fontId="34" fillId="0" borderId="5" xfId="36" applyFont="1" applyBorder="1" applyAlignment="1">
      <alignment horizontal="left" vertical="center" wrapText="1"/>
      <protection locked="0"/>
    </xf>
    <xf numFmtId="0" fontId="34" fillId="0" borderId="6" xfId="36" applyFont="1" applyBorder="1" applyAlignment="1">
      <alignment horizontal="left" vertical="center" wrapText="1"/>
      <protection locked="0"/>
    </xf>
    <xf numFmtId="0" fontId="32" fillId="0" borderId="1" xfId="36" applyFont="1" applyBorder="1" applyAlignment="1">
      <alignment horizontal="center" vertical="center"/>
      <protection locked="0"/>
    </xf>
    <xf numFmtId="0" fontId="32" fillId="0" borderId="0" xfId="43" applyFont="1" applyAlignment="1">
      <alignment horizontal="center" vertical="center"/>
    </xf>
    <xf numFmtId="0" fontId="2" fillId="0" borderId="0" xfId="43" applyFont="1" applyAlignment="1">
      <alignment horizontal="center" vertical="center"/>
    </xf>
    <xf numFmtId="0" fontId="33" fillId="0" borderId="0" xfId="43" applyFont="1" applyAlignment="1">
      <alignment horizontal="center" vertical="center"/>
    </xf>
    <xf numFmtId="0" fontId="34" fillId="0" borderId="0" xfId="36" applyFont="1" applyAlignment="1">
      <alignment horizontal="left" vertical="center"/>
      <protection locked="0"/>
    </xf>
    <xf numFmtId="0" fontId="13" fillId="0" borderId="0" xfId="47" applyFont="1" applyBorder="1" applyAlignment="1">
      <alignment horizontal="center" vertical="center"/>
    </xf>
    <xf numFmtId="0" fontId="14" fillId="0" borderId="0" xfId="47" applyFont="1" applyBorder="1" applyAlignment="1">
      <alignment horizontal="center" vertical="center"/>
    </xf>
    <xf numFmtId="0" fontId="12" fillId="2" borderId="4" xfId="39" applyNumberFormat="1" applyFont="1" applyFill="1" applyBorder="1" applyAlignment="1" applyProtection="1">
      <alignment horizontal="center" vertical="center" wrapText="1"/>
      <protection locked="0"/>
    </xf>
    <xf numFmtId="0" fontId="12" fillId="2" borderId="5" xfId="39" applyNumberFormat="1" applyFont="1" applyFill="1" applyBorder="1" applyAlignment="1" applyProtection="1">
      <alignment horizontal="center" vertical="center" wrapText="1"/>
      <protection locked="0"/>
    </xf>
    <xf numFmtId="0" fontId="12" fillId="2" borderId="6" xfId="39" applyNumberFormat="1" applyFont="1" applyFill="1" applyBorder="1" applyAlignment="1" applyProtection="1">
      <alignment horizontal="center" vertical="center" wrapText="1"/>
      <protection locked="0"/>
    </xf>
    <xf numFmtId="0" fontId="28" fillId="2" borderId="4" xfId="38" applyFont="1" applyFill="1" applyBorder="1" applyAlignment="1">
      <alignment horizontal="center" vertical="center" wrapText="1"/>
      <protection locked="0"/>
    </xf>
    <xf numFmtId="0" fontId="28" fillId="2" borderId="6" xfId="38" applyFont="1" applyFill="1" applyBorder="1" applyAlignment="1">
      <alignment horizontal="center" vertical="center" wrapText="1"/>
      <protection locked="0"/>
    </xf>
    <xf numFmtId="0" fontId="28" fillId="2" borderId="1" xfId="38" applyFont="1" applyFill="1" applyBorder="1" applyAlignment="1">
      <alignment horizontal="center" vertical="center" wrapText="1"/>
      <protection locked="0"/>
    </xf>
    <xf numFmtId="0" fontId="12" fillId="2" borderId="1" xfId="38" applyFont="1" applyFill="1" applyBorder="1" applyAlignment="1">
      <alignment horizontal="center" vertical="center" wrapText="1"/>
      <protection locked="0"/>
    </xf>
    <xf numFmtId="0" fontId="28" fillId="2" borderId="1" xfId="0" applyFont="1" applyFill="1" applyBorder="1" applyAlignment="1" applyProtection="1">
      <alignment horizontal="center" vertical="center"/>
    </xf>
    <xf numFmtId="0" fontId="28" fillId="2" borderId="1" xfId="0" applyFont="1" applyFill="1" applyBorder="1" applyAlignment="1" applyProtection="1">
      <alignment vertical="center"/>
    </xf>
    <xf numFmtId="0" fontId="29" fillId="2" borderId="1" xfId="0" applyFont="1" applyFill="1" applyBorder="1" applyAlignment="1" applyProtection="1">
      <alignment vertical="center"/>
    </xf>
    <xf numFmtId="43" fontId="16" fillId="0" borderId="0" xfId="47" applyNumberFormat="1" applyFont="1" applyBorder="1" applyAlignment="1">
      <alignment horizontal="center" vertical="center"/>
    </xf>
    <xf numFmtId="43" fontId="19" fillId="0" borderId="0" xfId="47" applyNumberFormat="1" applyFont="1" applyBorder="1" applyAlignment="1">
      <alignment horizontal="center" vertical="center"/>
    </xf>
    <xf numFmtId="0" fontId="16" fillId="0" borderId="0" xfId="44" applyFont="1" applyAlignment="1">
      <alignment horizontal="center" vertical="center"/>
    </xf>
    <xf numFmtId="0" fontId="13" fillId="0" borderId="0" xfId="43" applyFont="1" applyAlignment="1">
      <alignment horizontal="center" vertical="center"/>
    </xf>
    <xf numFmtId="0" fontId="14" fillId="0" borderId="0" xfId="43" applyFont="1" applyAlignment="1">
      <alignment horizontal="center" vertical="center"/>
    </xf>
    <xf numFmtId="0" fontId="2" fillId="0" borderId="0" xfId="47" applyFont="1" applyBorder="1" applyAlignment="1">
      <alignment horizontal="center" vertical="center"/>
    </xf>
    <xf numFmtId="0" fontId="3" fillId="0" borderId="0" xfId="47" applyFont="1" applyBorder="1" applyAlignment="1">
      <alignment horizontal="center" vertical="center"/>
    </xf>
    <xf numFmtId="0" fontId="3" fillId="0" borderId="0" xfId="0" applyFont="1" applyAlignment="1">
      <alignment horizontal="center" vertical="center"/>
      <protection locked="0"/>
    </xf>
    <xf numFmtId="0" fontId="19"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190" fontId="68" fillId="0" borderId="0" xfId="55" applyFont="1" applyFill="1" applyAlignment="1">
      <alignment horizontal="left" vertical="center"/>
    </xf>
    <xf numFmtId="0" fontId="6" fillId="8" borderId="1" xfId="41" applyFont="1" applyFill="1" applyBorder="1" applyAlignment="1" applyProtection="1">
      <alignment horizontal="center" vertical="center" wrapText="1"/>
      <protection locked="0"/>
    </xf>
    <xf numFmtId="0" fontId="72" fillId="0" borderId="0" xfId="3" applyNumberFormat="1" applyFont="1" applyBorder="1" applyAlignment="1" applyProtection="1">
      <alignment horizontal="left" vertical="center"/>
    </xf>
  </cellXfs>
  <cellStyles count="56">
    <cellStyle name="@_text" xfId="4"/>
    <cellStyle name="{Comma [0]}" xfId="5"/>
    <cellStyle name="{Comma}" xfId="6"/>
    <cellStyle name="{Date}" xfId="7"/>
    <cellStyle name="{Month}" xfId="8"/>
    <cellStyle name="{Percent}" xfId="9"/>
    <cellStyle name="{Thousand [0]}" xfId="10"/>
    <cellStyle name="{Thousand}" xfId="11"/>
    <cellStyle name="{Z'0000(1 dec)}" xfId="12"/>
    <cellStyle name="{Z'0000(4 dec)}" xfId="13"/>
    <cellStyle name="Black" xfId="14"/>
    <cellStyle name="Border" xfId="15"/>
    <cellStyle name="Comma [0]_1995" xfId="16"/>
    <cellStyle name="Comma_1995" xfId="17"/>
    <cellStyle name="Currency [0]_1995" xfId="18"/>
    <cellStyle name="Currency_1995" xfId="19"/>
    <cellStyle name="Dezimal [0]_laroux" xfId="20"/>
    <cellStyle name="Dezimal_laroux" xfId="21"/>
    <cellStyle name="Euro" xfId="22"/>
    <cellStyle name="Followed Hyperlink_AheadBehind.xls Chart 23" xfId="23"/>
    <cellStyle name="Grey" xfId="24"/>
    <cellStyle name="Hyperlink_AheadBehind.xls Chart 23" xfId="25"/>
    <cellStyle name="Input [yellow]" xfId="26"/>
    <cellStyle name="Milliers [0]_laroux" xfId="27"/>
    <cellStyle name="Milliers_laroux" xfId="28"/>
    <cellStyle name="Non défini" xfId="29"/>
    <cellStyle name="Normal - Style1" xfId="30"/>
    <cellStyle name="Normal_22-Jun EUS Forecasts" xfId="31"/>
    <cellStyle name="Percent [2]" xfId="32"/>
    <cellStyle name="Red" xfId="33"/>
    <cellStyle name="百分比" xfId="2" builtinId="5"/>
    <cellStyle name="百分比 2 2" xfId="34"/>
    <cellStyle name="常规" xfId="0" builtinId="0"/>
    <cellStyle name="常规 11 5" xfId="55"/>
    <cellStyle name="常规 2" xfId="35"/>
    <cellStyle name="常规 2 2" xfId="36"/>
    <cellStyle name="常规 2 4 3" xfId="37"/>
    <cellStyle name="常规 3" xfId="38"/>
    <cellStyle name="常规 4" xfId="39"/>
    <cellStyle name="常规 4 2" xfId="40"/>
    <cellStyle name="常规 7" xfId="41"/>
    <cellStyle name="常规 7 4" xfId="42"/>
    <cellStyle name="常规_Book1" xfId="43"/>
    <cellStyle name="常规_c-资产类" xfId="44"/>
    <cellStyle name="常规_进一步审计程序--销售与收款循环" xfId="45"/>
    <cellStyle name="常规_通用表" xfId="46"/>
    <cellStyle name="常规_新审定表" xfId="47"/>
    <cellStyle name="常规_制造费用" xfId="48"/>
    <cellStyle name="超链接" xfId="3" builtinId="8"/>
    <cellStyle name="超链接 2" xfId="49"/>
    <cellStyle name="普通_ 外G9(3)" xfId="50"/>
    <cellStyle name="千分位[0]_宁波" xfId="51"/>
    <cellStyle name="千分位_宁波" xfId="52"/>
    <cellStyle name="千位[0]_laroux" xfId="53"/>
    <cellStyle name="千位_laroux" xfId="54"/>
    <cellStyle name="千位分隔" xfId="1" builtinId="3"/>
  </cellStyles>
  <dxfs count="0"/>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9&#31246;&#37329;&#21450;&#38468;&#21152;%20-%20&#23457;&#23450;&#34920;&#26126;&#32454;&#34920;&#65288;Leap-&#24120;&#35268;&#31243;&#24207;&#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25253;&#21578;&#27169;&#26495;/2024&#24180;&#33268;&#21516;&#36890;&#29992;&#23457;&#35745;&#31243;&#24207;&#21450;&#24213;&#31295;&#27169;&#26495;%20(1)/1.&#33268;&#21516;&#23457;&#35745;&#31243;&#24207;&#21450;&#24213;&#31295;&#27169;&#26495;&#65288;2024&#24180;&#65289;/4.&#39118;&#38505;&#24212;&#23545;-&#23454;&#36136;&#24615;&#31243;&#24207;&#65288;D-Q&#65289;/O%20&#27969;&#36716;&#31246;&#24490;&#29615;/O2&#31246;&#37329;&#21450;&#38468;&#21152;%20-%20&#23457;&#23450;&#34920;&#26126;&#32454;&#34920;&#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税金及附加审计程序表O2A "/>
      <sheetName val="税金及附加审定表O2"/>
      <sheetName val="税金及附加附注披露信息（上市公司）O2-1"/>
      <sheetName val="税金及附加附注披露信息（国企）O2-1"/>
      <sheetName val="税金及附加明细表O2-2"/>
      <sheetName val="调整分录汇总表O2-3"/>
      <sheetName val="GT_Custom"/>
    </sheetNames>
    <sheetDataSet>
      <sheetData sheetId="0" refreshError="1">
        <row r="2">
          <cell r="A2" t="str">
            <v>被审计单位：</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税金及附加审计程序表O2A "/>
      <sheetName val="税金及附加审定表O2"/>
      <sheetName val="税金及附加附注披露信息（上市公司）O2-1"/>
      <sheetName val="税金及附加附注披露信息（国企）O2-1"/>
      <sheetName val="税金及附加明细表O2-2"/>
      <sheetName val="调整分录汇总表O2-2-1"/>
      <sheetName val="GT_Custom"/>
    </sheetNames>
    <sheetDataSet>
      <sheetData sheetId="0">
        <row r="3">
          <cell r="A3" t="str">
            <v>会计期间：2023X年度</v>
          </cell>
        </row>
        <row r="5">
          <cell r="A5" t="str">
            <v>编制日期：</v>
          </cell>
        </row>
        <row r="6">
          <cell r="A6" t="str">
            <v>复核人：</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H19"/>
  <sheetViews>
    <sheetView tabSelected="1" zoomScaleNormal="100" zoomScaleSheetLayoutView="100" workbookViewId="0"/>
  </sheetViews>
  <sheetFormatPr defaultColWidth="9" defaultRowHeight="20.100000000000001" customHeight="1"/>
  <cols>
    <col min="1" max="1" width="70.19921875" style="164" customWidth="1"/>
    <col min="2" max="2" width="2" style="164" customWidth="1"/>
    <col min="3" max="3" width="2.09765625" style="164" customWidth="1"/>
    <col min="4" max="4" width="4.69921875" style="164" customWidth="1"/>
    <col min="5" max="5" width="32.8984375" style="164" customWidth="1"/>
    <col min="6" max="6" width="6.09765625" style="164" customWidth="1"/>
    <col min="7" max="16384" width="9" style="165"/>
  </cols>
  <sheetData>
    <row r="1" spans="1:8" ht="20.100000000000001" customHeight="1">
      <c r="A1" s="166" t="s">
        <v>0</v>
      </c>
      <c r="D1" s="165"/>
      <c r="E1" s="165"/>
      <c r="F1" s="165"/>
    </row>
    <row r="2" spans="1:8" ht="20.100000000000001" customHeight="1">
      <c r="A2" s="167" t="s">
        <v>1</v>
      </c>
      <c r="B2" s="168"/>
      <c r="C2" s="168"/>
      <c r="D2" s="169" t="s">
        <v>2</v>
      </c>
      <c r="E2" s="183" t="s">
        <v>3</v>
      </c>
      <c r="F2" s="169" t="s">
        <v>4</v>
      </c>
      <c r="G2" s="170"/>
      <c r="H2" s="170"/>
    </row>
    <row r="3" spans="1:8" ht="20.100000000000001" customHeight="1">
      <c r="A3" s="167" t="s">
        <v>228</v>
      </c>
      <c r="B3" s="168"/>
      <c r="C3" s="168"/>
      <c r="D3" s="171">
        <v>1</v>
      </c>
      <c r="E3" s="184" t="s">
        <v>5</v>
      </c>
      <c r="F3" s="172" t="s">
        <v>229</v>
      </c>
      <c r="G3" s="170"/>
      <c r="H3" s="170"/>
    </row>
    <row r="4" spans="1:8" ht="20.100000000000001" customHeight="1">
      <c r="A4" s="167" t="s">
        <v>6</v>
      </c>
      <c r="D4" s="171">
        <v>2</v>
      </c>
      <c r="E4" s="184" t="s">
        <v>7</v>
      </c>
      <c r="F4" s="173" t="s">
        <v>230</v>
      </c>
      <c r="G4" s="170"/>
      <c r="H4" s="174"/>
    </row>
    <row r="5" spans="1:8" ht="20.100000000000001" customHeight="1">
      <c r="A5" s="167" t="s">
        <v>8</v>
      </c>
      <c r="D5" s="171">
        <v>3</v>
      </c>
      <c r="E5" s="184" t="s">
        <v>9</v>
      </c>
      <c r="F5" s="175"/>
      <c r="G5" s="170" t="s">
        <v>10</v>
      </c>
    </row>
    <row r="6" spans="1:8" ht="20.100000000000001" customHeight="1">
      <c r="A6" s="176" t="s">
        <v>11</v>
      </c>
      <c r="D6" s="171">
        <v>4</v>
      </c>
      <c r="E6" s="184" t="s">
        <v>12</v>
      </c>
      <c r="F6" s="175"/>
      <c r="G6" s="165" t="s">
        <v>10</v>
      </c>
    </row>
    <row r="7" spans="1:8" ht="20.100000000000001" customHeight="1">
      <c r="A7" s="176" t="s">
        <v>13</v>
      </c>
      <c r="D7" s="171">
        <v>5</v>
      </c>
      <c r="E7" s="184" t="s">
        <v>14</v>
      </c>
      <c r="F7" s="177" t="s">
        <v>231</v>
      </c>
    </row>
    <row r="8" spans="1:8" ht="20.100000000000001" customHeight="1">
      <c r="A8" s="178"/>
      <c r="D8" s="171">
        <v>6</v>
      </c>
      <c r="E8" s="184" t="s">
        <v>15</v>
      </c>
      <c r="F8" s="177" t="s">
        <v>232</v>
      </c>
    </row>
    <row r="9" spans="1:8" ht="20.100000000000001" customHeight="1">
      <c r="A9" s="246" t="s">
        <v>238</v>
      </c>
      <c r="D9" s="165"/>
      <c r="E9" s="165"/>
      <c r="F9" s="165"/>
    </row>
    <row r="10" spans="1:8" ht="20.100000000000001" customHeight="1">
      <c r="A10" s="247" t="s">
        <v>239</v>
      </c>
      <c r="D10" s="165"/>
      <c r="F10" s="165"/>
    </row>
    <row r="11" spans="1:8" ht="20.100000000000001" customHeight="1">
      <c r="A11" s="247"/>
    </row>
    <row r="12" spans="1:8" ht="20.100000000000001" customHeight="1">
      <c r="A12" s="247"/>
      <c r="F12" s="165"/>
    </row>
    <row r="13" spans="1:8" ht="20.100000000000001" customHeight="1">
      <c r="A13" s="247"/>
    </row>
    <row r="14" spans="1:8" ht="20.100000000000001" customHeight="1">
      <c r="A14" s="247" t="s">
        <v>240</v>
      </c>
    </row>
    <row r="15" spans="1:8" ht="20.100000000000001" customHeight="1">
      <c r="A15" s="247"/>
    </row>
    <row r="16" spans="1:8" ht="20.100000000000001" customHeight="1">
      <c r="A16" s="247"/>
    </row>
    <row r="17" spans="1:1" ht="20.100000000000001" customHeight="1">
      <c r="A17" s="248" t="s">
        <v>241</v>
      </c>
    </row>
    <row r="18" spans="1:1" ht="20.100000000000001" customHeight="1">
      <c r="A18" s="248"/>
    </row>
    <row r="19" spans="1:1" ht="20.100000000000001" customHeight="1">
      <c r="A19" s="248"/>
    </row>
  </sheetData>
  <mergeCells count="3">
    <mergeCell ref="A10:A13"/>
    <mergeCell ref="A14:A16"/>
    <mergeCell ref="A17:A19"/>
  </mergeCells>
  <phoneticPr fontId="60" type="noConversion"/>
  <hyperlinks>
    <hyperlink ref="E4" location="'税金及附加审定表N4-1'!A1" display="税金及附加审定表"/>
    <hyperlink ref="E7" location="'税金及附加明细表N4-2'!A1" display="税金及附加明细表"/>
    <hyperlink ref="E5" location="'附注披露信息（上市公司）'!A1" display="附注披露信息（上市公司）"/>
    <hyperlink ref="E6" location="'附注披露信息（国企）'!A1" display="附注披露信息（国企）"/>
    <hyperlink ref="E8" location="'调整分录汇总表N4-3'!A1" display="调整分录汇总表"/>
    <hyperlink ref="E3" location="'税金及附加审计程序表N4A '!A1" display="税金及附加实质性程序表"/>
  </hyperlinks>
  <pageMargins left="0.70833333333333304" right="0.70833333333333304" top="0.74791666666666701" bottom="0.74791666666666701" header="0.31458333333333299" footer="0.31458333333333299"/>
  <pageSetup paperSize="9" scale="70" orientation="portrait" blackAndWhite="1" horizontalDpi="1200" verticalDpi="1200" r:id="rId1"/>
  <headerFooter>
    <oddFooter>&amp;C&amp;P/&amp;N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1"/>
  <sheetViews>
    <sheetView view="pageBreakPreview" zoomScaleNormal="100" workbookViewId="0">
      <selection sqref="A1:J1"/>
    </sheetView>
  </sheetViews>
  <sheetFormatPr defaultColWidth="9" defaultRowHeight="20.100000000000001" customHeight="1"/>
  <cols>
    <col min="1" max="1" width="4.5" style="135" customWidth="1"/>
    <col min="2" max="2" width="7.09765625" style="135" customWidth="1"/>
    <col min="3" max="3" width="53.796875" style="135" customWidth="1"/>
    <col min="4" max="4" width="9.8984375" style="135" customWidth="1"/>
    <col min="5" max="5" width="5.3984375" style="135" customWidth="1"/>
    <col min="6" max="6" width="6.59765625" style="135" customWidth="1"/>
    <col min="7" max="7" width="6.8984375" style="135" customWidth="1"/>
    <col min="8" max="8" width="6.3984375" style="135" customWidth="1"/>
    <col min="9" max="9" width="5.3984375" style="135" customWidth="1"/>
    <col min="10" max="10" width="7.296875" style="135" customWidth="1"/>
    <col min="11" max="16384" width="9" style="135"/>
  </cols>
  <sheetData>
    <row r="1" spans="1:11" ht="20.100000000000001" customHeight="1">
      <c r="A1" s="193" t="s">
        <v>16</v>
      </c>
      <c r="B1" s="193"/>
      <c r="C1" s="193"/>
      <c r="D1" s="193"/>
      <c r="E1" s="193"/>
      <c r="F1" s="193"/>
      <c r="G1" s="193"/>
      <c r="H1" s="193"/>
      <c r="I1" s="193"/>
      <c r="J1" s="193"/>
    </row>
    <row r="2" spans="1:11" ht="20.100000000000001" customHeight="1">
      <c r="A2" s="194" t="s">
        <v>5</v>
      </c>
      <c r="B2" s="194"/>
      <c r="C2" s="194"/>
      <c r="D2" s="194"/>
      <c r="E2" s="194"/>
      <c r="F2" s="194"/>
      <c r="G2" s="194"/>
      <c r="H2" s="194"/>
      <c r="I2" s="194"/>
      <c r="J2" s="194"/>
    </row>
    <row r="3" spans="1:11" ht="20.100000000000001" customHeight="1">
      <c r="A3" s="195" t="str">
        <f>底稿目录!A2</f>
        <v>被审计单位：</v>
      </c>
      <c r="B3" s="195"/>
      <c r="C3" s="195"/>
      <c r="D3" s="135" t="str">
        <f>底稿目录!A4</f>
        <v>编制人：</v>
      </c>
      <c r="F3" s="136" t="str">
        <f>底稿目录!A5</f>
        <v>编制日期：</v>
      </c>
      <c r="H3" s="136"/>
      <c r="I3" s="158" t="s">
        <v>17</v>
      </c>
      <c r="J3" s="251" t="s">
        <v>229</v>
      </c>
    </row>
    <row r="4" spans="1:11" ht="20.100000000000001" customHeight="1">
      <c r="A4" s="195" t="str">
        <f>底稿目录!A3</f>
        <v>会计期间：202X年度</v>
      </c>
      <c r="B4" s="195"/>
      <c r="C4" s="195"/>
      <c r="D4" s="135" t="str">
        <f>底稿目录!A6</f>
        <v>复核人：</v>
      </c>
      <c r="F4" s="136" t="s">
        <v>18</v>
      </c>
      <c r="H4" s="136"/>
      <c r="I4" s="158" t="s">
        <v>19</v>
      </c>
    </row>
    <row r="5" spans="1:11" ht="20.100000000000001" customHeight="1">
      <c r="A5" s="189" t="s">
        <v>20</v>
      </c>
      <c r="B5" s="189"/>
      <c r="C5" s="189"/>
      <c r="D5" s="138"/>
      <c r="E5" s="138"/>
      <c r="F5" s="138"/>
      <c r="G5" s="139"/>
      <c r="H5" s="139"/>
      <c r="I5" s="138"/>
      <c r="J5" s="159"/>
    </row>
    <row r="6" spans="1:11" ht="20.100000000000001" customHeight="1">
      <c r="A6" s="140" t="s">
        <v>21</v>
      </c>
      <c r="B6" s="141"/>
      <c r="C6" s="141"/>
      <c r="D6" s="141"/>
      <c r="E6" s="141"/>
      <c r="F6" s="141"/>
      <c r="G6" s="141"/>
      <c r="H6" s="141"/>
      <c r="I6" s="141"/>
      <c r="J6" s="141"/>
    </row>
    <row r="7" spans="1:11" ht="20.100000000000001" customHeight="1">
      <c r="A7" s="179" t="s">
        <v>226</v>
      </c>
      <c r="B7" s="137"/>
      <c r="C7" s="137"/>
      <c r="D7" s="142"/>
      <c r="G7" s="136"/>
      <c r="H7" s="136"/>
      <c r="J7" s="160"/>
    </row>
    <row r="8" spans="1:11" ht="19.95" customHeight="1">
      <c r="A8" s="192" t="s">
        <v>227</v>
      </c>
      <c r="B8" s="190"/>
      <c r="C8" s="190"/>
      <c r="D8" s="190"/>
      <c r="E8" s="190"/>
      <c r="F8" s="190"/>
      <c r="G8" s="190"/>
      <c r="H8" s="187" t="s">
        <v>22</v>
      </c>
      <c r="I8" s="187"/>
      <c r="J8" s="187"/>
    </row>
    <row r="9" spans="1:11" ht="19.95" customHeight="1">
      <c r="A9" s="191" t="s">
        <v>23</v>
      </c>
      <c r="B9" s="191"/>
      <c r="C9" s="191"/>
      <c r="D9" s="191"/>
      <c r="E9" s="191"/>
      <c r="F9" s="191"/>
      <c r="G9" s="191"/>
      <c r="H9" s="188" t="s">
        <v>24</v>
      </c>
      <c r="I9" s="188"/>
      <c r="J9" s="188"/>
    </row>
    <row r="10" spans="1:11" ht="19.95" customHeight="1">
      <c r="A10" s="191" t="s">
        <v>25</v>
      </c>
      <c r="B10" s="191"/>
      <c r="C10" s="191"/>
      <c r="D10" s="191"/>
      <c r="E10" s="191"/>
      <c r="F10" s="191"/>
      <c r="G10" s="191"/>
      <c r="H10" s="188" t="s">
        <v>26</v>
      </c>
      <c r="I10" s="188"/>
      <c r="J10" s="188"/>
    </row>
    <row r="11" spans="1:11" ht="19.95" customHeight="1">
      <c r="A11" s="191" t="s">
        <v>27</v>
      </c>
      <c r="B11" s="191"/>
      <c r="C11" s="191"/>
      <c r="D11" s="191"/>
      <c r="E11" s="191"/>
      <c r="F11" s="191"/>
      <c r="G11" s="191"/>
      <c r="H11" s="188" t="s">
        <v>28</v>
      </c>
      <c r="I11" s="188"/>
      <c r="J11" s="188"/>
    </row>
    <row r="12" spans="1:11" ht="19.95" customHeight="1">
      <c r="A12" s="191" t="s">
        <v>29</v>
      </c>
      <c r="B12" s="191"/>
      <c r="C12" s="191"/>
      <c r="D12" s="191"/>
      <c r="E12" s="191"/>
      <c r="F12" s="191"/>
      <c r="G12" s="191"/>
      <c r="H12" s="188" t="s">
        <v>30</v>
      </c>
      <c r="I12" s="188"/>
      <c r="J12" s="188"/>
    </row>
    <row r="13" spans="1:11" ht="19.95" customHeight="1">
      <c r="A13" s="191" t="s">
        <v>31</v>
      </c>
      <c r="B13" s="191"/>
      <c r="C13" s="191"/>
      <c r="D13" s="191"/>
      <c r="E13" s="191"/>
      <c r="F13" s="191"/>
      <c r="G13" s="191"/>
      <c r="H13" s="188" t="s">
        <v>32</v>
      </c>
      <c r="I13" s="188"/>
      <c r="J13" s="188"/>
    </row>
    <row r="14" spans="1:11" ht="20.100000000000001" customHeight="1">
      <c r="A14" s="189" t="s">
        <v>33</v>
      </c>
      <c r="B14" s="189"/>
      <c r="C14" s="189"/>
      <c r="D14" s="142"/>
      <c r="E14" s="143"/>
      <c r="F14" s="143"/>
      <c r="G14" s="143"/>
      <c r="H14" s="143"/>
      <c r="I14" s="143"/>
      <c r="J14" s="160"/>
    </row>
    <row r="15" spans="1:11" ht="20.100000000000001" customHeight="1">
      <c r="A15" s="187" t="s">
        <v>2</v>
      </c>
      <c r="B15" s="190" t="s">
        <v>34</v>
      </c>
      <c r="C15" s="250" t="s">
        <v>243</v>
      </c>
      <c r="D15" s="190" t="s">
        <v>35</v>
      </c>
      <c r="E15" s="187" t="s">
        <v>36</v>
      </c>
      <c r="F15" s="187"/>
      <c r="G15" s="187"/>
      <c r="H15" s="187"/>
      <c r="I15" s="187"/>
      <c r="J15" s="185" t="s">
        <v>37</v>
      </c>
    </row>
    <row r="16" spans="1:11" ht="20.100000000000001" customHeight="1">
      <c r="A16" s="187"/>
      <c r="B16" s="190"/>
      <c r="C16" s="250"/>
      <c r="D16" s="190"/>
      <c r="E16" s="144" t="s">
        <v>24</v>
      </c>
      <c r="F16" s="144" t="s">
        <v>26</v>
      </c>
      <c r="G16" s="144" t="s">
        <v>28</v>
      </c>
      <c r="H16" s="144" t="s">
        <v>30</v>
      </c>
      <c r="I16" s="144" t="s">
        <v>32</v>
      </c>
      <c r="J16" s="186"/>
      <c r="K16" s="249" t="s">
        <v>242</v>
      </c>
    </row>
    <row r="17" spans="1:10" ht="41.4" customHeight="1">
      <c r="A17" s="145">
        <v>1</v>
      </c>
      <c r="B17" s="146" t="s">
        <v>38</v>
      </c>
      <c r="C17" s="146" t="s">
        <v>39</v>
      </c>
      <c r="D17" s="147" t="s">
        <v>40</v>
      </c>
      <c r="E17" s="148" t="s">
        <v>41</v>
      </c>
      <c r="F17" s="148" t="s">
        <v>41</v>
      </c>
      <c r="G17" s="149"/>
      <c r="H17" s="150" t="s">
        <v>41</v>
      </c>
      <c r="I17" s="149"/>
      <c r="J17" s="161" t="s">
        <v>233</v>
      </c>
    </row>
    <row r="18" spans="1:10" ht="55.2" customHeight="1">
      <c r="A18" s="145">
        <v>2</v>
      </c>
      <c r="B18" s="146" t="s">
        <v>42</v>
      </c>
      <c r="C18" s="151" t="s">
        <v>43</v>
      </c>
      <c r="D18" s="147" t="s">
        <v>40</v>
      </c>
      <c r="E18" s="147"/>
      <c r="F18" s="152" t="s">
        <v>41</v>
      </c>
      <c r="G18" s="147" t="s">
        <v>41</v>
      </c>
      <c r="H18" s="147"/>
      <c r="I18" s="147"/>
      <c r="J18" s="162" t="s">
        <v>44</v>
      </c>
    </row>
    <row r="19" spans="1:10" ht="48" customHeight="1">
      <c r="A19" s="145">
        <v>3</v>
      </c>
      <c r="B19" s="153" t="s">
        <v>45</v>
      </c>
      <c r="C19" s="154" t="s">
        <v>46</v>
      </c>
      <c r="D19" s="147" t="s">
        <v>40</v>
      </c>
      <c r="E19" s="152" t="s">
        <v>41</v>
      </c>
      <c r="F19" s="147" t="s">
        <v>41</v>
      </c>
      <c r="G19" s="147" t="s">
        <v>41</v>
      </c>
      <c r="H19" s="147" t="s">
        <v>41</v>
      </c>
      <c r="I19" s="147"/>
      <c r="J19" s="161" t="s">
        <v>236</v>
      </c>
    </row>
    <row r="20" spans="1:10" ht="41.4" customHeight="1">
      <c r="A20" s="145">
        <v>4</v>
      </c>
      <c r="B20" s="155"/>
      <c r="C20" s="154" t="s">
        <v>47</v>
      </c>
      <c r="D20" s="156" t="s">
        <v>48</v>
      </c>
      <c r="E20" s="147"/>
      <c r="F20" s="147"/>
      <c r="G20" s="147"/>
      <c r="H20" s="147"/>
      <c r="I20" s="147"/>
      <c r="J20" s="161"/>
    </row>
    <row r="21" spans="1:10" ht="33.6" customHeight="1">
      <c r="A21" s="145">
        <v>5</v>
      </c>
      <c r="B21" s="155" t="s">
        <v>38</v>
      </c>
      <c r="C21" s="157" t="s">
        <v>49</v>
      </c>
      <c r="D21" s="147" t="s">
        <v>40</v>
      </c>
      <c r="E21" s="152"/>
      <c r="F21" s="152"/>
      <c r="G21" s="152"/>
      <c r="H21" s="152"/>
      <c r="I21" s="147" t="s">
        <v>41</v>
      </c>
      <c r="J21" s="163" t="s">
        <v>50</v>
      </c>
    </row>
  </sheetData>
  <mergeCells count="24">
    <mergeCell ref="A1:J1"/>
    <mergeCell ref="A2:J2"/>
    <mergeCell ref="A3:C3"/>
    <mergeCell ref="A4:C4"/>
    <mergeCell ref="A5:C5"/>
    <mergeCell ref="A11:G11"/>
    <mergeCell ref="A12:G12"/>
    <mergeCell ref="A13:G13"/>
    <mergeCell ref="A8:G8"/>
    <mergeCell ref="A9:G9"/>
    <mergeCell ref="A10:G10"/>
    <mergeCell ref="A14:C14"/>
    <mergeCell ref="E15:I15"/>
    <mergeCell ref="A15:A16"/>
    <mergeCell ref="B15:B16"/>
    <mergeCell ref="C15:C16"/>
    <mergeCell ref="D15:D16"/>
    <mergeCell ref="J15:J16"/>
    <mergeCell ref="H8:J8"/>
    <mergeCell ref="H9:J9"/>
    <mergeCell ref="H10:J10"/>
    <mergeCell ref="H11:J11"/>
    <mergeCell ref="H12:J12"/>
    <mergeCell ref="H13:J13"/>
  </mergeCells>
  <phoneticPr fontId="60" type="noConversion"/>
  <hyperlinks>
    <hyperlink ref="J3" location="底稿目录!A1" display="D9A"/>
  </hyperlinks>
  <pageMargins left="0.70833333333333304" right="0.70833333333333304" top="0.74791666666666701" bottom="0.74791666666666701" header="0.31458333333333299" footer="0.31458333333333299"/>
  <pageSetup paperSize="9" scale="72" orientation="portrait" blackAndWhite="1" horizontalDpi="1200" verticalDpi="1200"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view="pageBreakPreview" topLeftCell="A7" zoomScaleNormal="100" workbookViewId="0">
      <selection activeCell="C17" sqref="C17"/>
    </sheetView>
  </sheetViews>
  <sheetFormatPr defaultColWidth="9" defaultRowHeight="15.6"/>
  <cols>
    <col min="1" max="2" width="8.59765625" style="87" customWidth="1"/>
    <col min="3" max="3" width="53.59765625" style="87" customWidth="1"/>
    <col min="4" max="9" width="9" style="87"/>
    <col min="10" max="10" width="14.59765625" style="87" customWidth="1"/>
    <col min="11" max="16384" width="9" style="87"/>
  </cols>
  <sheetData>
    <row r="1" spans="1:10" ht="23.25" customHeight="1">
      <c r="A1" s="223" t="s">
        <v>51</v>
      </c>
      <c r="B1" s="223"/>
      <c r="C1" s="223"/>
      <c r="D1" s="223"/>
      <c r="E1" s="223"/>
      <c r="F1" s="223"/>
      <c r="G1" s="223"/>
      <c r="H1" s="223"/>
      <c r="I1" s="223"/>
      <c r="J1" s="223"/>
    </row>
    <row r="2" spans="1:10" ht="25.5" customHeight="1">
      <c r="A2" s="224" t="s">
        <v>5</v>
      </c>
      <c r="B2" s="224"/>
      <c r="C2" s="225"/>
      <c r="D2" s="225"/>
      <c r="E2" s="225"/>
      <c r="F2" s="225"/>
      <c r="G2" s="225"/>
      <c r="H2" s="225"/>
      <c r="I2" s="225"/>
      <c r="J2" s="225"/>
    </row>
    <row r="3" spans="1:10" ht="21" customHeight="1">
      <c r="A3" s="226" t="str">
        <f>[1]底稿目录!A2</f>
        <v>被审计单位：</v>
      </c>
      <c r="B3" s="226"/>
      <c r="C3" s="226"/>
      <c r="D3" s="88" t="e">
        <f>[1]底稿目录!A4</f>
        <v>#REF!</v>
      </c>
      <c r="E3" s="88"/>
      <c r="F3" s="88"/>
      <c r="G3" s="89" t="str">
        <f>[2]底稿目录!A5</f>
        <v>编制日期：</v>
      </c>
      <c r="H3" s="88"/>
      <c r="I3" s="130"/>
      <c r="J3" s="131" t="s">
        <v>52</v>
      </c>
    </row>
    <row r="4" spans="1:10" ht="23.25" customHeight="1">
      <c r="A4" s="226" t="str">
        <f>[2]底稿目录!A3</f>
        <v>会计期间：2023X年度</v>
      </c>
      <c r="B4" s="226"/>
      <c r="C4" s="226"/>
      <c r="D4" s="88" t="str">
        <f>[2]底稿目录!A6</f>
        <v>复核人：</v>
      </c>
      <c r="E4" s="88"/>
      <c r="F4" s="88"/>
      <c r="G4" s="89" t="s">
        <v>53</v>
      </c>
      <c r="H4" s="88"/>
      <c r="I4" s="130"/>
      <c r="J4" s="90" t="s">
        <v>54</v>
      </c>
    </row>
    <row r="5" spans="1:10">
      <c r="A5" s="213" t="s">
        <v>55</v>
      </c>
      <c r="B5" s="213"/>
      <c r="C5" s="213"/>
      <c r="D5" s="91"/>
      <c r="E5" s="91"/>
      <c r="F5" s="91"/>
      <c r="G5" s="92"/>
      <c r="H5" s="91"/>
      <c r="I5" s="132"/>
      <c r="J5" s="132"/>
    </row>
    <row r="6" spans="1:10">
      <c r="A6" s="218" t="s">
        <v>21</v>
      </c>
      <c r="B6" s="219"/>
      <c r="C6" s="220"/>
      <c r="D6" s="220"/>
      <c r="E6" s="220"/>
      <c r="F6" s="220"/>
      <c r="G6" s="220"/>
      <c r="H6" s="220"/>
      <c r="I6" s="220"/>
      <c r="J6" s="221"/>
    </row>
    <row r="7" spans="1:10">
      <c r="A7" s="93" t="s">
        <v>56</v>
      </c>
      <c r="B7" s="93"/>
      <c r="C7" s="90"/>
      <c r="D7" s="94"/>
      <c r="E7" s="88"/>
      <c r="F7" s="88"/>
      <c r="G7" s="89"/>
      <c r="H7" s="88"/>
      <c r="I7" s="131"/>
      <c r="J7" s="131"/>
    </row>
    <row r="8" spans="1:10">
      <c r="A8" s="204" t="s">
        <v>57</v>
      </c>
      <c r="B8" s="204"/>
      <c r="C8" s="204"/>
      <c r="D8" s="222" t="s">
        <v>58</v>
      </c>
      <c r="E8" s="222"/>
      <c r="F8" s="222"/>
      <c r="G8" s="222"/>
      <c r="H8" s="222"/>
      <c r="I8" s="200" t="s">
        <v>59</v>
      </c>
      <c r="J8" s="202" t="s">
        <v>60</v>
      </c>
    </row>
    <row r="9" spans="1:10" ht="24">
      <c r="A9" s="204"/>
      <c r="B9" s="204"/>
      <c r="C9" s="204"/>
      <c r="D9" s="95" t="s">
        <v>24</v>
      </c>
      <c r="E9" s="96" t="s">
        <v>61</v>
      </c>
      <c r="F9" s="95" t="s">
        <v>62</v>
      </c>
      <c r="G9" s="97" t="s">
        <v>63</v>
      </c>
      <c r="H9" s="96" t="s">
        <v>64</v>
      </c>
      <c r="I9" s="201"/>
      <c r="J9" s="203"/>
    </row>
    <row r="10" spans="1:10">
      <c r="A10" s="212" t="s">
        <v>65</v>
      </c>
      <c r="B10" s="212"/>
      <c r="C10" s="212"/>
      <c r="D10" s="96" t="s">
        <v>66</v>
      </c>
      <c r="E10" s="96"/>
      <c r="F10" s="96"/>
      <c r="G10" s="98"/>
      <c r="H10" s="96"/>
      <c r="I10" s="133"/>
      <c r="J10" s="134"/>
    </row>
    <row r="11" spans="1:10">
      <c r="A11" s="212" t="s">
        <v>67</v>
      </c>
      <c r="B11" s="212"/>
      <c r="C11" s="212"/>
      <c r="D11" s="99"/>
      <c r="E11" s="96" t="s">
        <v>66</v>
      </c>
      <c r="F11" s="96"/>
      <c r="G11" s="98"/>
      <c r="H11" s="96"/>
      <c r="I11" s="133"/>
      <c r="J11" s="134"/>
    </row>
    <row r="12" spans="1:10">
      <c r="A12" s="212" t="s">
        <v>68</v>
      </c>
      <c r="B12" s="212"/>
      <c r="C12" s="212"/>
      <c r="D12" s="99"/>
      <c r="E12" s="96"/>
      <c r="F12" s="96" t="s">
        <v>66</v>
      </c>
      <c r="G12" s="96"/>
      <c r="H12" s="96"/>
      <c r="I12" s="133"/>
      <c r="J12" s="134"/>
    </row>
    <row r="13" spans="1:10">
      <c r="A13" s="212" t="s">
        <v>69</v>
      </c>
      <c r="B13" s="212"/>
      <c r="C13" s="212"/>
      <c r="D13" s="99"/>
      <c r="E13" s="96"/>
      <c r="F13" s="96"/>
      <c r="G13" s="96" t="s">
        <v>66</v>
      </c>
      <c r="H13" s="96"/>
      <c r="I13" s="133"/>
      <c r="J13" s="134"/>
    </row>
    <row r="14" spans="1:10">
      <c r="A14" s="212" t="s">
        <v>70</v>
      </c>
      <c r="B14" s="212"/>
      <c r="C14" s="212"/>
      <c r="D14" s="99"/>
      <c r="E14" s="96"/>
      <c r="F14" s="96"/>
      <c r="G14" s="98"/>
      <c r="H14" s="96" t="s">
        <v>66</v>
      </c>
      <c r="I14" s="133"/>
      <c r="J14" s="133"/>
    </row>
    <row r="15" spans="1:10">
      <c r="A15" s="213" t="s">
        <v>71</v>
      </c>
      <c r="B15" s="213"/>
      <c r="C15" s="213"/>
      <c r="D15" s="94"/>
      <c r="E15" s="88"/>
      <c r="F15" s="88"/>
      <c r="G15" s="89"/>
      <c r="H15" s="88"/>
      <c r="I15" s="131"/>
      <c r="J15" s="131"/>
    </row>
    <row r="16" spans="1:10" ht="22.5" customHeight="1">
      <c r="A16" s="100" t="s">
        <v>72</v>
      </c>
      <c r="B16" s="101" t="s">
        <v>73</v>
      </c>
      <c r="C16" s="102" t="s">
        <v>74</v>
      </c>
      <c r="D16" s="102" t="s">
        <v>75</v>
      </c>
      <c r="E16" s="214" t="s">
        <v>76</v>
      </c>
      <c r="F16" s="215"/>
      <c r="G16" s="215"/>
      <c r="H16" s="216"/>
      <c r="I16" s="217" t="s">
        <v>77</v>
      </c>
      <c r="J16" s="217"/>
    </row>
    <row r="17" spans="1:12">
      <c r="A17" s="103" t="s">
        <v>78</v>
      </c>
      <c r="B17" s="104" t="s">
        <v>38</v>
      </c>
      <c r="C17" s="105" t="s">
        <v>79</v>
      </c>
      <c r="D17" s="106" t="s">
        <v>40</v>
      </c>
      <c r="E17" s="208" t="s">
        <v>80</v>
      </c>
      <c r="F17" s="209"/>
      <c r="G17" s="209"/>
      <c r="H17" s="209"/>
      <c r="I17" s="198" t="s">
        <v>81</v>
      </c>
      <c r="J17" s="199"/>
      <c r="K17" s="87" t="s">
        <v>82</v>
      </c>
    </row>
    <row r="18" spans="1:12">
      <c r="A18" s="107" t="s">
        <v>83</v>
      </c>
      <c r="B18" s="104" t="s">
        <v>38</v>
      </c>
      <c r="C18" s="108" t="s">
        <v>84</v>
      </c>
      <c r="D18" s="106" t="s">
        <v>40</v>
      </c>
      <c r="E18" s="208" t="s">
        <v>80</v>
      </c>
      <c r="F18" s="209"/>
      <c r="G18" s="209"/>
      <c r="H18" s="209"/>
      <c r="I18" s="198" t="s">
        <v>85</v>
      </c>
      <c r="J18" s="199"/>
    </row>
    <row r="19" spans="1:12">
      <c r="A19" s="109">
        <v>1</v>
      </c>
      <c r="B19" s="110" t="s">
        <v>38</v>
      </c>
      <c r="C19" s="111" t="s">
        <v>86</v>
      </c>
      <c r="D19" s="95" t="s">
        <v>40</v>
      </c>
      <c r="E19" s="210"/>
      <c r="F19" s="211"/>
      <c r="G19" s="211"/>
      <c r="H19" s="211"/>
      <c r="I19" s="205"/>
      <c r="J19" s="207"/>
    </row>
    <row r="20" spans="1:12">
      <c r="A20" s="109">
        <v>2</v>
      </c>
      <c r="B20" s="110" t="s">
        <v>38</v>
      </c>
      <c r="C20" s="112" t="s">
        <v>87</v>
      </c>
      <c r="D20" s="95" t="s">
        <v>40</v>
      </c>
      <c r="E20" s="210"/>
      <c r="F20" s="211"/>
      <c r="G20" s="211"/>
      <c r="H20" s="211"/>
      <c r="I20" s="205"/>
      <c r="J20" s="207"/>
    </row>
    <row r="21" spans="1:12" ht="37.200000000000003">
      <c r="A21" s="104" t="s">
        <v>88</v>
      </c>
      <c r="B21" s="104" t="s">
        <v>42</v>
      </c>
      <c r="C21" s="113" t="s">
        <v>89</v>
      </c>
      <c r="D21" s="114" t="s">
        <v>40</v>
      </c>
      <c r="E21" s="208" t="s">
        <v>90</v>
      </c>
      <c r="F21" s="209"/>
      <c r="G21" s="209"/>
      <c r="H21" s="209"/>
      <c r="I21" s="198" t="s">
        <v>44</v>
      </c>
      <c r="J21" s="199"/>
      <c r="K21" s="87" t="s">
        <v>82</v>
      </c>
    </row>
    <row r="22" spans="1:12">
      <c r="A22" s="115">
        <v>1</v>
      </c>
      <c r="B22" s="116" t="s">
        <v>42</v>
      </c>
      <c r="C22" s="117" t="s">
        <v>91</v>
      </c>
      <c r="D22" s="95"/>
      <c r="E22" s="205"/>
      <c r="F22" s="206"/>
      <c r="G22" s="206"/>
      <c r="H22" s="206"/>
      <c r="I22" s="205"/>
      <c r="J22" s="207"/>
    </row>
    <row r="23" spans="1:12">
      <c r="A23" s="115">
        <v>2</v>
      </c>
      <c r="B23" s="116" t="s">
        <v>42</v>
      </c>
      <c r="C23" s="117" t="s">
        <v>92</v>
      </c>
      <c r="D23" s="95"/>
      <c r="E23" s="205"/>
      <c r="F23" s="206"/>
      <c r="G23" s="206"/>
      <c r="H23" s="206"/>
      <c r="I23" s="205"/>
      <c r="J23" s="207"/>
    </row>
    <row r="24" spans="1:12">
      <c r="A24" s="103" t="s">
        <v>93</v>
      </c>
      <c r="B24" s="104" t="s">
        <v>94</v>
      </c>
      <c r="C24" s="118" t="s">
        <v>95</v>
      </c>
      <c r="D24" s="114" t="s">
        <v>96</v>
      </c>
      <c r="E24" s="208" t="s">
        <v>80</v>
      </c>
      <c r="F24" s="209"/>
      <c r="G24" s="209"/>
      <c r="H24" s="209"/>
      <c r="I24" s="198" t="s">
        <v>85</v>
      </c>
      <c r="J24" s="199"/>
    </row>
    <row r="25" spans="1:12" ht="24">
      <c r="A25" s="119">
        <v>1</v>
      </c>
      <c r="B25" s="120" t="s">
        <v>94</v>
      </c>
      <c r="C25" s="121" t="s">
        <v>97</v>
      </c>
      <c r="D25" s="122" t="s">
        <v>96</v>
      </c>
      <c r="E25" s="205"/>
      <c r="F25" s="206"/>
      <c r="G25" s="206"/>
      <c r="H25" s="206"/>
      <c r="I25" s="205"/>
      <c r="J25" s="207"/>
    </row>
    <row r="26" spans="1:12" ht="48">
      <c r="A26" s="107" t="s">
        <v>98</v>
      </c>
      <c r="B26" s="104" t="s">
        <v>94</v>
      </c>
      <c r="C26" s="105" t="s">
        <v>99</v>
      </c>
      <c r="D26" s="106" t="s">
        <v>40</v>
      </c>
      <c r="E26" s="198" t="s">
        <v>100</v>
      </c>
      <c r="F26" s="209"/>
      <c r="G26" s="209"/>
      <c r="H26" s="209"/>
      <c r="I26" s="198" t="s">
        <v>101</v>
      </c>
      <c r="J26" s="199"/>
    </row>
    <row r="27" spans="1:12" ht="36">
      <c r="A27" s="123" t="s">
        <v>102</v>
      </c>
      <c r="B27" s="124" t="s">
        <v>45</v>
      </c>
      <c r="C27" s="105" t="s">
        <v>103</v>
      </c>
      <c r="D27" s="106" t="s">
        <v>40</v>
      </c>
      <c r="E27" s="198" t="s">
        <v>104</v>
      </c>
      <c r="F27" s="209"/>
      <c r="G27" s="209"/>
      <c r="H27" s="209"/>
      <c r="I27" s="198" t="s">
        <v>105</v>
      </c>
      <c r="J27" s="199"/>
      <c r="K27" s="87" t="s">
        <v>106</v>
      </c>
      <c r="L27" s="87" t="s">
        <v>46</v>
      </c>
    </row>
    <row r="28" spans="1:12">
      <c r="A28" s="125" t="s">
        <v>107</v>
      </c>
      <c r="B28" s="126" t="s">
        <v>108</v>
      </c>
      <c r="C28" s="127" t="s">
        <v>109</v>
      </c>
      <c r="D28" s="122" t="s">
        <v>110</v>
      </c>
      <c r="E28" s="205"/>
      <c r="F28" s="206"/>
      <c r="G28" s="206"/>
      <c r="H28" s="206"/>
      <c r="I28" s="205"/>
      <c r="J28" s="207"/>
    </row>
    <row r="29" spans="1:12" ht="36">
      <c r="A29" s="125" t="s">
        <v>111</v>
      </c>
      <c r="B29" s="126" t="s">
        <v>108</v>
      </c>
      <c r="C29" s="121" t="s">
        <v>112</v>
      </c>
      <c r="D29" s="122" t="s">
        <v>110</v>
      </c>
      <c r="E29" s="205"/>
      <c r="F29" s="206"/>
      <c r="G29" s="206"/>
      <c r="H29" s="206"/>
      <c r="I29" s="205"/>
      <c r="J29" s="207"/>
    </row>
    <row r="30" spans="1:12">
      <c r="A30" s="125" t="s">
        <v>113</v>
      </c>
      <c r="B30" s="126" t="s">
        <v>108</v>
      </c>
      <c r="C30" s="127" t="s">
        <v>114</v>
      </c>
      <c r="D30" s="122" t="s">
        <v>110</v>
      </c>
      <c r="E30" s="205"/>
      <c r="F30" s="206"/>
      <c r="G30" s="206"/>
      <c r="H30" s="206"/>
      <c r="I30" s="205"/>
      <c r="J30" s="207"/>
    </row>
    <row r="31" spans="1:12">
      <c r="A31" s="125" t="s">
        <v>115</v>
      </c>
      <c r="B31" s="126" t="s">
        <v>108</v>
      </c>
      <c r="C31" s="127" t="s">
        <v>116</v>
      </c>
      <c r="D31" s="122" t="s">
        <v>110</v>
      </c>
      <c r="E31" s="205"/>
      <c r="F31" s="206"/>
      <c r="G31" s="206"/>
      <c r="H31" s="206"/>
      <c r="I31" s="205"/>
      <c r="J31" s="207"/>
    </row>
    <row r="32" spans="1:12">
      <c r="A32" s="125" t="s">
        <v>117</v>
      </c>
      <c r="B32" s="126" t="s">
        <v>108</v>
      </c>
      <c r="C32" s="127" t="s">
        <v>118</v>
      </c>
      <c r="D32" s="122" t="s">
        <v>110</v>
      </c>
      <c r="E32" s="205"/>
      <c r="F32" s="206"/>
      <c r="G32" s="206"/>
      <c r="H32" s="206"/>
      <c r="I32" s="205"/>
      <c r="J32" s="207"/>
    </row>
    <row r="33" spans="1:11">
      <c r="A33" s="125" t="s">
        <v>119</v>
      </c>
      <c r="B33" s="126" t="s">
        <v>108</v>
      </c>
      <c r="C33" s="127" t="s">
        <v>120</v>
      </c>
      <c r="D33" s="122" t="s">
        <v>110</v>
      </c>
      <c r="E33" s="205"/>
      <c r="F33" s="206"/>
      <c r="G33" s="206"/>
      <c r="H33" s="206"/>
      <c r="I33" s="205"/>
      <c r="J33" s="207"/>
    </row>
    <row r="34" spans="1:11">
      <c r="A34" s="128" t="s">
        <v>121</v>
      </c>
      <c r="B34" s="126" t="s">
        <v>108</v>
      </c>
      <c r="C34" s="121" t="s">
        <v>122</v>
      </c>
      <c r="D34" s="122" t="s">
        <v>110</v>
      </c>
      <c r="E34" s="205"/>
      <c r="F34" s="206"/>
      <c r="G34" s="206"/>
      <c r="H34" s="206"/>
      <c r="I34" s="205"/>
      <c r="J34" s="207"/>
    </row>
    <row r="35" spans="1:11" ht="36">
      <c r="A35" s="128" t="s">
        <v>123</v>
      </c>
      <c r="B35" s="126" t="s">
        <v>108</v>
      </c>
      <c r="C35" s="121" t="s">
        <v>124</v>
      </c>
      <c r="D35" s="122" t="s">
        <v>110</v>
      </c>
      <c r="E35" s="205"/>
      <c r="F35" s="206"/>
      <c r="G35" s="206"/>
      <c r="H35" s="206"/>
      <c r="I35" s="205"/>
      <c r="J35" s="207"/>
    </row>
    <row r="36" spans="1:11" ht="24">
      <c r="A36" s="128" t="s">
        <v>125</v>
      </c>
      <c r="B36" s="126" t="s">
        <v>108</v>
      </c>
      <c r="C36" s="121" t="s">
        <v>126</v>
      </c>
      <c r="D36" s="122" t="s">
        <v>110</v>
      </c>
      <c r="E36" s="205"/>
      <c r="F36" s="206"/>
      <c r="G36" s="206"/>
      <c r="H36" s="206"/>
      <c r="I36" s="205"/>
      <c r="J36" s="207"/>
    </row>
    <row r="37" spans="1:11" ht="24">
      <c r="A37" s="124" t="s">
        <v>127</v>
      </c>
      <c r="B37" s="124" t="s">
        <v>45</v>
      </c>
      <c r="C37" s="105" t="s">
        <v>128</v>
      </c>
      <c r="D37" s="114" t="s">
        <v>110</v>
      </c>
      <c r="E37" s="208" t="s">
        <v>129</v>
      </c>
      <c r="F37" s="209"/>
      <c r="G37" s="209"/>
      <c r="H37" s="209"/>
      <c r="I37" s="198"/>
      <c r="J37" s="199"/>
      <c r="K37" s="87" t="s">
        <v>130</v>
      </c>
    </row>
    <row r="38" spans="1:11" ht="24">
      <c r="A38" s="109">
        <v>1</v>
      </c>
      <c r="B38" s="126" t="s">
        <v>108</v>
      </c>
      <c r="C38" s="121" t="s">
        <v>131</v>
      </c>
      <c r="D38" s="122" t="s">
        <v>110</v>
      </c>
      <c r="E38" s="205"/>
      <c r="F38" s="206"/>
      <c r="G38" s="206"/>
      <c r="H38" s="206"/>
      <c r="I38" s="205"/>
      <c r="J38" s="207"/>
    </row>
    <row r="39" spans="1:11">
      <c r="A39" s="109">
        <v>2</v>
      </c>
      <c r="B39" s="126" t="s">
        <v>108</v>
      </c>
      <c r="C39" s="121" t="s">
        <v>132</v>
      </c>
      <c r="D39" s="122" t="s">
        <v>110</v>
      </c>
      <c r="E39" s="205"/>
      <c r="F39" s="206"/>
      <c r="G39" s="206"/>
      <c r="H39" s="206"/>
      <c r="I39" s="205"/>
      <c r="J39" s="207"/>
    </row>
    <row r="40" spans="1:11">
      <c r="A40" s="109">
        <v>3</v>
      </c>
      <c r="B40" s="126" t="s">
        <v>108</v>
      </c>
      <c r="C40" s="121" t="s">
        <v>133</v>
      </c>
      <c r="D40" s="122" t="s">
        <v>110</v>
      </c>
      <c r="E40" s="205"/>
      <c r="F40" s="206"/>
      <c r="G40" s="206"/>
      <c r="H40" s="206"/>
      <c r="I40" s="205"/>
      <c r="J40" s="207"/>
    </row>
    <row r="41" spans="1:11">
      <c r="A41" s="109">
        <v>4</v>
      </c>
      <c r="B41" s="126" t="s">
        <v>108</v>
      </c>
      <c r="C41" s="127" t="s">
        <v>134</v>
      </c>
      <c r="D41" s="122" t="s">
        <v>110</v>
      </c>
      <c r="E41" s="205"/>
      <c r="F41" s="206"/>
      <c r="G41" s="206"/>
      <c r="H41" s="206"/>
      <c r="I41" s="205"/>
      <c r="J41" s="207"/>
    </row>
    <row r="42" spans="1:11" ht="49.8">
      <c r="A42" s="124" t="s">
        <v>135</v>
      </c>
      <c r="B42" s="124" t="s">
        <v>136</v>
      </c>
      <c r="C42" s="129" t="s">
        <v>137</v>
      </c>
      <c r="D42" s="114" t="s">
        <v>138</v>
      </c>
      <c r="E42" s="208" t="s">
        <v>139</v>
      </c>
      <c r="F42" s="209"/>
      <c r="G42" s="209"/>
      <c r="H42" s="209"/>
      <c r="I42" s="198" t="s">
        <v>140</v>
      </c>
      <c r="J42" s="199"/>
      <c r="K42" s="87" t="s">
        <v>141</v>
      </c>
    </row>
    <row r="43" spans="1:11" ht="25.8">
      <c r="A43" s="124" t="s">
        <v>142</v>
      </c>
      <c r="B43" s="124" t="s">
        <v>136</v>
      </c>
      <c r="C43" s="129" t="s">
        <v>143</v>
      </c>
      <c r="D43" s="114" t="s">
        <v>138</v>
      </c>
      <c r="E43" s="208" t="s">
        <v>139</v>
      </c>
      <c r="F43" s="209"/>
      <c r="G43" s="209"/>
      <c r="H43" s="209"/>
      <c r="I43" s="198" t="s">
        <v>140</v>
      </c>
      <c r="J43" s="199"/>
      <c r="K43" s="87" t="s">
        <v>130</v>
      </c>
    </row>
    <row r="44" spans="1:11" ht="25.8">
      <c r="A44" s="109">
        <v>1</v>
      </c>
      <c r="B44" s="116" t="s">
        <v>136</v>
      </c>
      <c r="C44" s="127" t="s">
        <v>144</v>
      </c>
      <c r="D44" s="122" t="s">
        <v>138</v>
      </c>
      <c r="E44" s="205"/>
      <c r="F44" s="206"/>
      <c r="G44" s="206"/>
      <c r="H44" s="206"/>
      <c r="I44" s="205"/>
      <c r="J44" s="207"/>
    </row>
    <row r="45" spans="1:11" ht="37.799999999999997">
      <c r="A45" s="109">
        <v>2</v>
      </c>
      <c r="B45" s="116" t="s">
        <v>136</v>
      </c>
      <c r="C45" s="127" t="s">
        <v>145</v>
      </c>
      <c r="D45" s="122" t="s">
        <v>138</v>
      </c>
      <c r="E45" s="205"/>
      <c r="F45" s="206"/>
      <c r="G45" s="206"/>
      <c r="H45" s="206"/>
      <c r="I45" s="205"/>
      <c r="J45" s="207"/>
    </row>
    <row r="46" spans="1:11">
      <c r="A46" s="124" t="s">
        <v>146</v>
      </c>
      <c r="B46" s="124"/>
      <c r="C46" s="129" t="s">
        <v>47</v>
      </c>
      <c r="D46" s="114" t="s">
        <v>110</v>
      </c>
      <c r="E46" s="208" t="s">
        <v>139</v>
      </c>
      <c r="F46" s="209"/>
      <c r="G46" s="209"/>
      <c r="H46" s="209"/>
      <c r="I46" s="198"/>
      <c r="J46" s="199"/>
    </row>
    <row r="47" spans="1:11" ht="24">
      <c r="A47" s="124" t="s">
        <v>147</v>
      </c>
      <c r="B47" s="124" t="s">
        <v>38</v>
      </c>
      <c r="C47" s="129" t="s">
        <v>148</v>
      </c>
      <c r="D47" s="106" t="s">
        <v>40</v>
      </c>
      <c r="E47" s="196" t="s">
        <v>149</v>
      </c>
      <c r="F47" s="197"/>
      <c r="G47" s="197"/>
      <c r="H47" s="197"/>
      <c r="I47" s="198" t="s">
        <v>150</v>
      </c>
      <c r="J47" s="199"/>
    </row>
  </sheetData>
  <mergeCells count="80">
    <mergeCell ref="A1:J1"/>
    <mergeCell ref="A2:J2"/>
    <mergeCell ref="A3:C3"/>
    <mergeCell ref="A4:C4"/>
    <mergeCell ref="A5:C5"/>
    <mergeCell ref="A6:J6"/>
    <mergeCell ref="D8:H8"/>
    <mergeCell ref="A10:C10"/>
    <mergeCell ref="A11:C11"/>
    <mergeCell ref="A12:C12"/>
    <mergeCell ref="A13:C13"/>
    <mergeCell ref="A14:C14"/>
    <mergeCell ref="A15:C15"/>
    <mergeCell ref="E16:H16"/>
    <mergeCell ref="I16:J16"/>
    <mergeCell ref="E17:H17"/>
    <mergeCell ref="I17:J17"/>
    <mergeCell ref="E18:H18"/>
    <mergeCell ref="I18:J18"/>
    <mergeCell ref="E19:H19"/>
    <mergeCell ref="I19:J19"/>
    <mergeCell ref="E20:H20"/>
    <mergeCell ref="I20:J20"/>
    <mergeCell ref="E21:H21"/>
    <mergeCell ref="I21:J21"/>
    <mergeCell ref="E22:H22"/>
    <mergeCell ref="I22:J22"/>
    <mergeCell ref="E23:H23"/>
    <mergeCell ref="I23:J23"/>
    <mergeCell ref="E24:H24"/>
    <mergeCell ref="I24:J24"/>
    <mergeCell ref="E25:H25"/>
    <mergeCell ref="I25:J25"/>
    <mergeCell ref="E26:H26"/>
    <mergeCell ref="I26:J26"/>
    <mergeCell ref="E27:H27"/>
    <mergeCell ref="I27:J27"/>
    <mergeCell ref="E28:H28"/>
    <mergeCell ref="I28:J28"/>
    <mergeCell ref="E29:H29"/>
    <mergeCell ref="I29:J29"/>
    <mergeCell ref="E30:H30"/>
    <mergeCell ref="I30:J30"/>
    <mergeCell ref="E31:H31"/>
    <mergeCell ref="I31:J31"/>
    <mergeCell ref="E32:H32"/>
    <mergeCell ref="I32:J32"/>
    <mergeCell ref="E33:H33"/>
    <mergeCell ref="I33:J33"/>
    <mergeCell ref="E34:H34"/>
    <mergeCell ref="I34:J34"/>
    <mergeCell ref="E35:H35"/>
    <mergeCell ref="I35:J35"/>
    <mergeCell ref="E36:H36"/>
    <mergeCell ref="I36:J36"/>
    <mergeCell ref="E37:H37"/>
    <mergeCell ref="I37:J37"/>
    <mergeCell ref="I43:J43"/>
    <mergeCell ref="E38:H38"/>
    <mergeCell ref="I38:J38"/>
    <mergeCell ref="E39:H39"/>
    <mergeCell ref="I39:J39"/>
    <mergeCell ref="E40:H40"/>
    <mergeCell ref="I40:J40"/>
    <mergeCell ref="E47:H47"/>
    <mergeCell ref="I47:J47"/>
    <mergeCell ref="I8:I9"/>
    <mergeCell ref="J8:J9"/>
    <mergeCell ref="A8:C9"/>
    <mergeCell ref="E44:H44"/>
    <mergeCell ref="I44:J44"/>
    <mergeCell ref="E45:H45"/>
    <mergeCell ref="I45:J45"/>
    <mergeCell ref="E46:H46"/>
    <mergeCell ref="I46:J46"/>
    <mergeCell ref="E41:H41"/>
    <mergeCell ref="I41:J41"/>
    <mergeCell ref="E42:H42"/>
    <mergeCell ref="I42:J42"/>
    <mergeCell ref="E43:H43"/>
  </mergeCells>
  <phoneticPr fontId="60" type="noConversion"/>
  <pageMargins left="0.70866141732283505" right="0.70866141732283505" top="0.74803149606299202" bottom="0.74803149606299202" header="0.31496062992126" footer="0.31496062992126"/>
  <pageSetup paperSize="9" scale="56" orientation="portrait" blackAndWhite="1" horizontalDpi="300" verticalDpi="3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24"/>
  <sheetViews>
    <sheetView showZeros="0" view="pageBreakPreview" zoomScaleNormal="130" workbookViewId="0">
      <selection sqref="A1:N1"/>
    </sheetView>
  </sheetViews>
  <sheetFormatPr defaultColWidth="9" defaultRowHeight="20.100000000000001" customHeight="1"/>
  <cols>
    <col min="1" max="1" width="21.59765625" style="65" customWidth="1"/>
    <col min="2" max="2" width="9.69921875" style="65" customWidth="1"/>
    <col min="3" max="3" width="11.19921875" style="65" customWidth="1"/>
    <col min="4" max="5" width="11.09765625" style="65" customWidth="1"/>
    <col min="6" max="6" width="12" style="65" customWidth="1"/>
    <col min="7" max="8" width="11.59765625" style="65" customWidth="1"/>
    <col min="9" max="16384" width="9" style="65"/>
  </cols>
  <sheetData>
    <row r="1" spans="1:14" ht="20.100000000000001" customHeight="1">
      <c r="A1" s="227" t="s">
        <v>16</v>
      </c>
      <c r="B1" s="227"/>
      <c r="C1" s="227"/>
      <c r="D1" s="227"/>
      <c r="E1" s="227"/>
      <c r="F1" s="227"/>
      <c r="G1" s="227"/>
      <c r="H1" s="227"/>
      <c r="I1" s="227"/>
      <c r="J1" s="227"/>
      <c r="K1" s="227"/>
      <c r="L1" s="227"/>
      <c r="M1" s="227"/>
      <c r="N1" s="227"/>
    </row>
    <row r="2" spans="1:14" ht="20.100000000000001" customHeight="1">
      <c r="A2" s="228" t="s">
        <v>7</v>
      </c>
      <c r="B2" s="228"/>
      <c r="C2" s="228"/>
      <c r="D2" s="228"/>
      <c r="E2" s="228"/>
      <c r="F2" s="228"/>
      <c r="G2" s="228"/>
      <c r="H2" s="228"/>
      <c r="I2" s="228"/>
      <c r="J2" s="228"/>
      <c r="K2" s="228"/>
      <c r="L2" s="228"/>
      <c r="M2" s="228"/>
      <c r="N2" s="228"/>
    </row>
    <row r="3" spans="1:14" ht="20.100000000000001" customHeight="1">
      <c r="A3" s="65" t="str">
        <f>底稿目录!A2</f>
        <v>被审计单位：</v>
      </c>
      <c r="E3" s="66" t="str">
        <f>底稿目录!A4</f>
        <v>编制人：</v>
      </c>
      <c r="I3" s="65" t="str">
        <f>底稿目录!A5</f>
        <v>编制日期：</v>
      </c>
      <c r="M3" s="79" t="s">
        <v>17</v>
      </c>
      <c r="N3" s="251" t="s">
        <v>230</v>
      </c>
    </row>
    <row r="4" spans="1:14" ht="20.100000000000001" customHeight="1">
      <c r="A4" s="65" t="str">
        <f>底稿目录!A3</f>
        <v>会计期间：202X年度</v>
      </c>
      <c r="E4" s="66" t="str">
        <f>底稿目录!A6</f>
        <v>复核人：</v>
      </c>
      <c r="I4" s="65" t="s">
        <v>18</v>
      </c>
      <c r="M4" s="79" t="s">
        <v>19</v>
      </c>
    </row>
    <row r="5" spans="1:14" ht="29.7" customHeight="1">
      <c r="A5" s="236" t="s">
        <v>151</v>
      </c>
      <c r="B5" s="229" t="s">
        <v>152</v>
      </c>
      <c r="C5" s="230"/>
      <c r="D5" s="230"/>
      <c r="E5" s="231"/>
      <c r="F5" s="229" t="s">
        <v>153</v>
      </c>
      <c r="G5" s="230"/>
      <c r="H5" s="230"/>
      <c r="I5" s="231"/>
      <c r="J5" s="232" t="s">
        <v>154</v>
      </c>
      <c r="K5" s="233"/>
      <c r="L5" s="234" t="s">
        <v>155</v>
      </c>
      <c r="M5" s="235"/>
      <c r="N5" s="236" t="s">
        <v>156</v>
      </c>
    </row>
    <row r="6" spans="1:14" ht="20.100000000000001" customHeight="1">
      <c r="A6" s="237"/>
      <c r="B6" s="67" t="s">
        <v>157</v>
      </c>
      <c r="C6" s="67" t="s">
        <v>158</v>
      </c>
      <c r="D6" s="67" t="s">
        <v>159</v>
      </c>
      <c r="E6" s="67" t="s">
        <v>160</v>
      </c>
      <c r="F6" s="67" t="s">
        <v>157</v>
      </c>
      <c r="G6" s="67" t="s">
        <v>158</v>
      </c>
      <c r="H6" s="67" t="s">
        <v>159</v>
      </c>
      <c r="I6" s="67" t="s">
        <v>160</v>
      </c>
      <c r="J6" s="81" t="s">
        <v>161</v>
      </c>
      <c r="K6" s="81" t="s">
        <v>162</v>
      </c>
      <c r="L6" s="81" t="s">
        <v>161</v>
      </c>
      <c r="M6" s="80" t="s">
        <v>162</v>
      </c>
      <c r="N6" s="238"/>
    </row>
    <row r="7" spans="1:14" ht="20.100000000000001" customHeight="1">
      <c r="A7" s="68" t="str">
        <f>'税金及附加明细表N4-2'!A9</f>
        <v>消费税</v>
      </c>
      <c r="B7" s="69">
        <f>'税金及附加明细表N4-2'!F9</f>
        <v>0</v>
      </c>
      <c r="C7" s="69">
        <f>'税金及附加明细表N4-2'!G9</f>
        <v>0</v>
      </c>
      <c r="D7" s="69">
        <f>'税金及附加明细表N4-2'!H9</f>
        <v>0</v>
      </c>
      <c r="E7" s="69">
        <f>B7+C7+D7</f>
        <v>0</v>
      </c>
      <c r="F7" s="69">
        <f>'税金及附加明细表N4-2'!B9</f>
        <v>0</v>
      </c>
      <c r="G7" s="69">
        <f>'税金及附加明细表N4-2'!C9</f>
        <v>0</v>
      </c>
      <c r="H7" s="69">
        <f>'税金及附加明细表N4-2'!D9</f>
        <v>0</v>
      </c>
      <c r="I7" s="69">
        <f>F7+G7+H7</f>
        <v>0</v>
      </c>
      <c r="J7" s="82">
        <f>F7-B7</f>
        <v>0</v>
      </c>
      <c r="K7" s="83">
        <f>IF(AND(B7=0,J7=0),0,IF(AND(B7=0,J7&gt;0),1,J7/B7))</f>
        <v>0</v>
      </c>
      <c r="L7" s="82">
        <f>I7-E7</f>
        <v>0</v>
      </c>
      <c r="M7" s="83">
        <f>IF(AND(E7=0,L7=0),0,IF(AND(E7=0,L7&gt;0),1,L7/E7))</f>
        <v>0</v>
      </c>
      <c r="N7" s="84"/>
    </row>
    <row r="8" spans="1:14" ht="20.100000000000001" customHeight="1">
      <c r="A8" s="68" t="str">
        <f>'税金及附加明细表N4-2'!A10</f>
        <v>城市维护建设税</v>
      </c>
      <c r="B8" s="69">
        <f>'税金及附加明细表N4-2'!F10</f>
        <v>0</v>
      </c>
      <c r="C8" s="69">
        <f>'税金及附加明细表N4-2'!G10</f>
        <v>0</v>
      </c>
      <c r="D8" s="69">
        <f>'税金及附加明细表N4-2'!H10</f>
        <v>0</v>
      </c>
      <c r="E8" s="69">
        <f t="shared" ref="E8:E15" si="0">B8+C8+D8</f>
        <v>0</v>
      </c>
      <c r="F8" s="69">
        <f>'税金及附加明细表N4-2'!B10</f>
        <v>0</v>
      </c>
      <c r="G8" s="69">
        <f>'税金及附加明细表N4-2'!C10</f>
        <v>0</v>
      </c>
      <c r="H8" s="69">
        <f>'税金及附加明细表N4-2'!D10</f>
        <v>0</v>
      </c>
      <c r="I8" s="69">
        <f t="shared" ref="I8:I15" si="1">F8+G8+H8</f>
        <v>0</v>
      </c>
      <c r="J8" s="82">
        <f t="shared" ref="J8:J16" si="2">F8-B8</f>
        <v>0</v>
      </c>
      <c r="K8" s="83">
        <f t="shared" ref="K8:K16" si="3">IF(AND(B8=0,J8=0),0,IF(AND(B8=0,J8&gt;0),1,J8/B8))</f>
        <v>0</v>
      </c>
      <c r="L8" s="82">
        <f t="shared" ref="L8:L16" si="4">I8-E8</f>
        <v>0</v>
      </c>
      <c r="M8" s="83">
        <f t="shared" ref="M8:M16" si="5">IF(AND(E8=0,L8=0),0,IF(AND(E8=0,L8&gt;0),1,L8/E8))</f>
        <v>0</v>
      </c>
      <c r="N8" s="84"/>
    </row>
    <row r="9" spans="1:14" ht="20.100000000000001" customHeight="1">
      <c r="A9" s="68" t="str">
        <f>'税金及附加明细表N4-2'!A11</f>
        <v>教育费附加</v>
      </c>
      <c r="B9" s="69">
        <f>'税金及附加明细表N4-2'!F11</f>
        <v>0</v>
      </c>
      <c r="C9" s="69">
        <f>'税金及附加明细表N4-2'!G11</f>
        <v>0</v>
      </c>
      <c r="D9" s="69">
        <f>'税金及附加明细表N4-2'!H11</f>
        <v>0</v>
      </c>
      <c r="E9" s="69">
        <f t="shared" si="0"/>
        <v>0</v>
      </c>
      <c r="F9" s="69">
        <f>'税金及附加明细表N4-2'!B11</f>
        <v>0</v>
      </c>
      <c r="G9" s="69">
        <f>'税金及附加明细表N4-2'!C11</f>
        <v>0</v>
      </c>
      <c r="H9" s="69">
        <f>'税金及附加明细表N4-2'!D11</f>
        <v>0</v>
      </c>
      <c r="I9" s="69">
        <f t="shared" si="1"/>
        <v>0</v>
      </c>
      <c r="J9" s="82">
        <f t="shared" si="2"/>
        <v>0</v>
      </c>
      <c r="K9" s="83">
        <f t="shared" si="3"/>
        <v>0</v>
      </c>
      <c r="L9" s="82">
        <f t="shared" si="4"/>
        <v>0</v>
      </c>
      <c r="M9" s="83">
        <f t="shared" si="5"/>
        <v>0</v>
      </c>
      <c r="N9" s="84"/>
    </row>
    <row r="10" spans="1:14" ht="20.100000000000001" customHeight="1">
      <c r="A10" s="68" t="str">
        <f>'税金及附加明细表N4-2'!A12</f>
        <v>资源税</v>
      </c>
      <c r="B10" s="69">
        <f>'税金及附加明细表N4-2'!F12</f>
        <v>0</v>
      </c>
      <c r="C10" s="69">
        <f>'税金及附加明细表N4-2'!G12</f>
        <v>0</v>
      </c>
      <c r="D10" s="69">
        <f>'税金及附加明细表N4-2'!H12</f>
        <v>0</v>
      </c>
      <c r="E10" s="69">
        <f t="shared" si="0"/>
        <v>0</v>
      </c>
      <c r="F10" s="69">
        <f>'税金及附加明细表N4-2'!B12</f>
        <v>0</v>
      </c>
      <c r="G10" s="69">
        <f>'税金及附加明细表N4-2'!C12</f>
        <v>0</v>
      </c>
      <c r="H10" s="69">
        <f>'税金及附加明细表N4-2'!D12</f>
        <v>0</v>
      </c>
      <c r="I10" s="69">
        <f t="shared" si="1"/>
        <v>0</v>
      </c>
      <c r="J10" s="82">
        <f t="shared" si="2"/>
        <v>0</v>
      </c>
      <c r="K10" s="83">
        <f t="shared" si="3"/>
        <v>0</v>
      </c>
      <c r="L10" s="82">
        <f t="shared" si="4"/>
        <v>0</v>
      </c>
      <c r="M10" s="83">
        <f t="shared" si="5"/>
        <v>0</v>
      </c>
      <c r="N10" s="84"/>
    </row>
    <row r="11" spans="1:14" ht="20.100000000000001" customHeight="1">
      <c r="A11" s="68" t="str">
        <f>'税金及附加明细表N4-2'!A13</f>
        <v>房产税</v>
      </c>
      <c r="B11" s="69">
        <f>'税金及附加明细表N4-2'!F13</f>
        <v>0</v>
      </c>
      <c r="C11" s="69">
        <f>'税金及附加明细表N4-2'!G13</f>
        <v>0</v>
      </c>
      <c r="D11" s="69">
        <f>'税金及附加明细表N4-2'!H13</f>
        <v>0</v>
      </c>
      <c r="E11" s="69">
        <f t="shared" si="0"/>
        <v>0</v>
      </c>
      <c r="F11" s="69">
        <f>'税金及附加明细表N4-2'!B13</f>
        <v>0</v>
      </c>
      <c r="G11" s="69">
        <f>'税金及附加明细表N4-2'!C13</f>
        <v>0</v>
      </c>
      <c r="H11" s="69">
        <f>'税金及附加明细表N4-2'!D13</f>
        <v>0</v>
      </c>
      <c r="I11" s="69">
        <f t="shared" si="1"/>
        <v>0</v>
      </c>
      <c r="J11" s="82">
        <f t="shared" si="2"/>
        <v>0</v>
      </c>
      <c r="K11" s="83">
        <f t="shared" si="3"/>
        <v>0</v>
      </c>
      <c r="L11" s="82">
        <f t="shared" si="4"/>
        <v>0</v>
      </c>
      <c r="M11" s="83">
        <f t="shared" si="5"/>
        <v>0</v>
      </c>
      <c r="N11" s="84"/>
    </row>
    <row r="12" spans="1:14" ht="20.100000000000001" customHeight="1">
      <c r="A12" s="68" t="str">
        <f>'税金及附加明细表N4-2'!A14</f>
        <v>土地使用税</v>
      </c>
      <c r="B12" s="69">
        <f>'税金及附加明细表N4-2'!F14</f>
        <v>0</v>
      </c>
      <c r="C12" s="69">
        <f>'税金及附加明细表N4-2'!G14</f>
        <v>0</v>
      </c>
      <c r="D12" s="69">
        <f>'税金及附加明细表N4-2'!H14</f>
        <v>0</v>
      </c>
      <c r="E12" s="69">
        <f t="shared" si="0"/>
        <v>0</v>
      </c>
      <c r="F12" s="69">
        <f>'税金及附加明细表N4-2'!B14</f>
        <v>0</v>
      </c>
      <c r="G12" s="69">
        <f>'税金及附加明细表N4-2'!C14</f>
        <v>0</v>
      </c>
      <c r="H12" s="69">
        <f>'税金及附加明细表N4-2'!D14</f>
        <v>0</v>
      </c>
      <c r="I12" s="69">
        <f t="shared" si="1"/>
        <v>0</v>
      </c>
      <c r="J12" s="82">
        <f t="shared" si="2"/>
        <v>0</v>
      </c>
      <c r="K12" s="83">
        <f t="shared" si="3"/>
        <v>0</v>
      </c>
      <c r="L12" s="82">
        <f t="shared" si="4"/>
        <v>0</v>
      </c>
      <c r="M12" s="83">
        <f t="shared" si="5"/>
        <v>0</v>
      </c>
      <c r="N12" s="84"/>
    </row>
    <row r="13" spans="1:14" s="63" customFormat="1" ht="20.100000000000001" customHeight="1">
      <c r="A13" s="68" t="str">
        <f>'税金及附加明细表N4-2'!A15</f>
        <v>车船使用税</v>
      </c>
      <c r="B13" s="69">
        <f>'税金及附加明细表N4-2'!F15</f>
        <v>0</v>
      </c>
      <c r="C13" s="69">
        <f>'税金及附加明细表N4-2'!G15</f>
        <v>0</v>
      </c>
      <c r="D13" s="69">
        <f>'税金及附加明细表N4-2'!H15</f>
        <v>0</v>
      </c>
      <c r="E13" s="69">
        <f t="shared" si="0"/>
        <v>0</v>
      </c>
      <c r="F13" s="69">
        <f>'税金及附加明细表N4-2'!B15</f>
        <v>0</v>
      </c>
      <c r="G13" s="69">
        <f>'税金及附加明细表N4-2'!C15</f>
        <v>0</v>
      </c>
      <c r="H13" s="69">
        <f>'税金及附加明细表N4-2'!D15</f>
        <v>0</v>
      </c>
      <c r="I13" s="69">
        <f t="shared" si="1"/>
        <v>0</v>
      </c>
      <c r="J13" s="82">
        <f t="shared" si="2"/>
        <v>0</v>
      </c>
      <c r="K13" s="83">
        <f t="shared" si="3"/>
        <v>0</v>
      </c>
      <c r="L13" s="82">
        <f t="shared" si="4"/>
        <v>0</v>
      </c>
      <c r="M13" s="83">
        <f t="shared" si="5"/>
        <v>0</v>
      </c>
      <c r="N13" s="84"/>
    </row>
    <row r="14" spans="1:14" s="63" customFormat="1" ht="20.100000000000001" customHeight="1">
      <c r="A14" s="68" t="str">
        <f>'税金及附加明细表N4-2'!A16</f>
        <v>印花税</v>
      </c>
      <c r="B14" s="69">
        <f>'税金及附加明细表N4-2'!F16</f>
        <v>0</v>
      </c>
      <c r="C14" s="69">
        <f>'税金及附加明细表N4-2'!G16</f>
        <v>0</v>
      </c>
      <c r="D14" s="69">
        <f>'税金及附加明细表N4-2'!H16</f>
        <v>0</v>
      </c>
      <c r="E14" s="69">
        <f t="shared" si="0"/>
        <v>0</v>
      </c>
      <c r="F14" s="69">
        <f>'税金及附加明细表N4-2'!B16</f>
        <v>0</v>
      </c>
      <c r="G14" s="69">
        <f>'税金及附加明细表N4-2'!C16</f>
        <v>0</v>
      </c>
      <c r="H14" s="69">
        <f>'税金及附加明细表N4-2'!D16</f>
        <v>0</v>
      </c>
      <c r="I14" s="69">
        <f t="shared" si="1"/>
        <v>0</v>
      </c>
      <c r="J14" s="82">
        <f t="shared" si="2"/>
        <v>0</v>
      </c>
      <c r="K14" s="83">
        <f t="shared" si="3"/>
        <v>0</v>
      </c>
      <c r="L14" s="82">
        <f t="shared" si="4"/>
        <v>0</v>
      </c>
      <c r="M14" s="83">
        <f t="shared" si="5"/>
        <v>0</v>
      </c>
      <c r="N14" s="84"/>
    </row>
    <row r="15" spans="1:14" ht="20.100000000000001" customHeight="1">
      <c r="A15" s="68">
        <f>'税金及附加明细表N4-2'!A17</f>
        <v>0</v>
      </c>
      <c r="B15" s="69">
        <f>'税金及附加明细表N4-2'!F17</f>
        <v>0</v>
      </c>
      <c r="C15" s="69">
        <f>'税金及附加明细表N4-2'!G17</f>
        <v>0</v>
      </c>
      <c r="D15" s="69">
        <f>'税金及附加明细表N4-2'!H17</f>
        <v>0</v>
      </c>
      <c r="E15" s="69">
        <f t="shared" si="0"/>
        <v>0</v>
      </c>
      <c r="F15" s="69">
        <f>'税金及附加明细表N4-2'!B17</f>
        <v>0</v>
      </c>
      <c r="G15" s="69">
        <f>'税金及附加明细表N4-2'!C17</f>
        <v>0</v>
      </c>
      <c r="H15" s="69">
        <f>'税金及附加明细表N4-2'!D17</f>
        <v>0</v>
      </c>
      <c r="I15" s="69">
        <f t="shared" si="1"/>
        <v>0</v>
      </c>
      <c r="J15" s="82">
        <f t="shared" si="2"/>
        <v>0</v>
      </c>
      <c r="K15" s="83">
        <f t="shared" si="3"/>
        <v>0</v>
      </c>
      <c r="L15" s="82">
        <f t="shared" si="4"/>
        <v>0</v>
      </c>
      <c r="M15" s="83">
        <f t="shared" si="5"/>
        <v>0</v>
      </c>
      <c r="N15" s="84"/>
    </row>
    <row r="16" spans="1:14" ht="20.100000000000001" customHeight="1">
      <c r="A16" s="70" t="s">
        <v>163</v>
      </c>
      <c r="B16" s="69">
        <f>SUM(B7:B15)</f>
        <v>0</v>
      </c>
      <c r="C16" s="69">
        <f t="shared" ref="C16:F16" si="6">SUM(C7:C15)</f>
        <v>0</v>
      </c>
      <c r="D16" s="69">
        <f t="shared" si="6"/>
        <v>0</v>
      </c>
      <c r="E16" s="69">
        <f t="shared" si="6"/>
        <v>0</v>
      </c>
      <c r="F16" s="69">
        <f t="shared" si="6"/>
        <v>0</v>
      </c>
      <c r="G16" s="69">
        <f t="shared" ref="G16:I16" si="7">SUM(G7:G15)</f>
        <v>0</v>
      </c>
      <c r="H16" s="69">
        <f t="shared" si="7"/>
        <v>0</v>
      </c>
      <c r="I16" s="69">
        <f t="shared" si="7"/>
        <v>0</v>
      </c>
      <c r="J16" s="82">
        <f t="shared" si="2"/>
        <v>0</v>
      </c>
      <c r="K16" s="83">
        <f t="shared" si="3"/>
        <v>0</v>
      </c>
      <c r="L16" s="82">
        <f t="shared" si="4"/>
        <v>0</v>
      </c>
      <c r="M16" s="83">
        <f t="shared" si="5"/>
        <v>0</v>
      </c>
      <c r="N16" s="84"/>
    </row>
    <row r="17" spans="1:14" s="64" customFormat="1" ht="20.100000000000001" customHeight="1">
      <c r="A17" s="71" t="s">
        <v>164</v>
      </c>
      <c r="B17" s="72"/>
      <c r="C17" s="72"/>
      <c r="D17" s="72"/>
      <c r="E17" s="72"/>
      <c r="F17" s="72"/>
      <c r="G17" s="72"/>
      <c r="H17" s="72"/>
      <c r="I17" s="72"/>
      <c r="J17" s="85"/>
      <c r="K17" s="86"/>
      <c r="L17" s="85"/>
      <c r="M17" s="86"/>
      <c r="N17" s="85"/>
    </row>
    <row r="18" spans="1:14" s="64" customFormat="1" ht="20.100000000000001" customHeight="1">
      <c r="A18" s="71" t="s">
        <v>165</v>
      </c>
      <c r="B18" s="72"/>
      <c r="C18" s="72"/>
      <c r="D18" s="72"/>
      <c r="E18" s="69">
        <f>E16-E17</f>
        <v>0</v>
      </c>
      <c r="F18" s="73"/>
      <c r="G18" s="73"/>
      <c r="H18" s="73"/>
      <c r="I18" s="69">
        <f>I16-I17</f>
        <v>0</v>
      </c>
      <c r="J18" s="85"/>
      <c r="K18" s="86"/>
      <c r="L18" s="85"/>
      <c r="M18" s="86"/>
      <c r="N18" s="85"/>
    </row>
    <row r="19" spans="1:14" ht="20.100000000000001" customHeight="1">
      <c r="A19" s="74" t="s">
        <v>166</v>
      </c>
      <c r="B19" s="66"/>
      <c r="C19" s="66"/>
      <c r="D19" s="66"/>
      <c r="E19" s="66"/>
      <c r="F19" s="75"/>
      <c r="G19" s="66"/>
      <c r="H19" s="66"/>
    </row>
    <row r="20" spans="1:14" ht="20.100000000000001" customHeight="1">
      <c r="A20" s="76"/>
      <c r="B20" s="76"/>
      <c r="C20" s="76"/>
      <c r="D20" s="76"/>
      <c r="E20" s="76"/>
      <c r="F20" s="76"/>
      <c r="G20" s="76"/>
      <c r="H20" s="76"/>
    </row>
    <row r="21" spans="1:14" ht="20.100000000000001" customHeight="1">
      <c r="A21" s="77" t="s">
        <v>167</v>
      </c>
      <c r="B21" s="76"/>
      <c r="C21" s="76"/>
      <c r="D21" s="76"/>
      <c r="E21" s="76"/>
      <c r="F21" s="75"/>
      <c r="G21" s="76"/>
      <c r="H21" s="76"/>
    </row>
    <row r="22" spans="1:14" ht="20.100000000000001" customHeight="1">
      <c r="A22" s="77"/>
      <c r="B22" s="76"/>
      <c r="C22" s="76"/>
      <c r="D22" s="76"/>
      <c r="E22" s="76"/>
      <c r="F22" s="76"/>
      <c r="G22" s="76"/>
      <c r="H22" s="76"/>
    </row>
    <row r="23" spans="1:14" ht="20.100000000000001" customHeight="1">
      <c r="A23" s="77"/>
      <c r="B23" s="76"/>
      <c r="C23" s="76"/>
      <c r="D23" s="76"/>
      <c r="E23" s="76"/>
      <c r="F23" s="76"/>
      <c r="G23" s="76"/>
      <c r="H23" s="76"/>
    </row>
    <row r="24" spans="1:14" ht="20.100000000000001" customHeight="1">
      <c r="A24" s="78" t="s">
        <v>168</v>
      </c>
      <c r="B24" s="76"/>
      <c r="C24" s="76"/>
      <c r="D24" s="76"/>
      <c r="E24" s="76"/>
      <c r="F24" s="76"/>
      <c r="G24" s="76"/>
      <c r="H24" s="76"/>
    </row>
  </sheetData>
  <mergeCells count="8">
    <mergeCell ref="A1:N1"/>
    <mergeCell ref="A2:N2"/>
    <mergeCell ref="B5:E5"/>
    <mergeCell ref="F5:I5"/>
    <mergeCell ref="J5:K5"/>
    <mergeCell ref="L5:M5"/>
    <mergeCell ref="A5:A6"/>
    <mergeCell ref="N5:N6"/>
  </mergeCells>
  <phoneticPr fontId="60" type="noConversion"/>
  <hyperlinks>
    <hyperlink ref="N3" location="底稿目录!A1" display="D9-1"/>
  </hyperlinks>
  <pageMargins left="0.70833333333333304" right="0.70833333333333304" top="0.74791666666666701" bottom="0.74791666666666701" header="0.31458333333333299" footer="0.31458333333333299"/>
  <pageSetup paperSize="9" scale="79" orientation="landscape" blackAndWhite="1" horizontalDpi="1200" verticalDpi="1200"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18"/>
  <sheetViews>
    <sheetView view="pageBreakPreview" zoomScaleNormal="100" workbookViewId="0">
      <selection sqref="A1:E1"/>
    </sheetView>
  </sheetViews>
  <sheetFormatPr defaultColWidth="9" defaultRowHeight="15.6"/>
  <cols>
    <col min="1" max="1" width="19.3984375" style="33" customWidth="1"/>
    <col min="2" max="2" width="13.3984375" style="33" customWidth="1"/>
    <col min="3" max="3" width="20.5" style="33" customWidth="1"/>
    <col min="4" max="5" width="14" style="33" customWidth="1"/>
    <col min="6" max="16384" width="9" style="33"/>
  </cols>
  <sheetData>
    <row r="1" spans="1:12" s="32" customFormat="1" ht="20.100000000000001" customHeight="1">
      <c r="A1" s="239" t="s">
        <v>51</v>
      </c>
      <c r="B1" s="239"/>
      <c r="C1" s="239"/>
      <c r="D1" s="239"/>
      <c r="E1" s="239"/>
      <c r="F1" s="34"/>
      <c r="G1" s="34"/>
      <c r="H1" s="34"/>
      <c r="I1" s="34"/>
      <c r="J1" s="34"/>
      <c r="K1" s="34"/>
      <c r="L1" s="34"/>
    </row>
    <row r="2" spans="1:12" s="32" customFormat="1" ht="24.9" customHeight="1">
      <c r="A2" s="240" t="s">
        <v>169</v>
      </c>
      <c r="B2" s="240"/>
      <c r="C2" s="240"/>
      <c r="D2" s="240"/>
      <c r="E2" s="240"/>
      <c r="F2" s="35"/>
      <c r="G2" s="35"/>
      <c r="H2" s="35"/>
      <c r="I2" s="35"/>
      <c r="J2" s="35"/>
      <c r="K2" s="35"/>
      <c r="L2" s="35"/>
    </row>
    <row r="3" spans="1:12" s="32" customFormat="1" ht="20.100000000000001" customHeight="1">
      <c r="A3" s="32" t="str">
        <f>底稿目录!A2</f>
        <v>被审计单位：</v>
      </c>
      <c r="C3" s="32" t="str">
        <f>底稿目录!A4</f>
        <v>编制人：</v>
      </c>
      <c r="D3" s="32" t="str">
        <f>底稿目录!A5</f>
        <v>编制日期：</v>
      </c>
      <c r="E3" s="180" t="s">
        <v>235</v>
      </c>
    </row>
    <row r="4" spans="1:12" s="32" customFormat="1" ht="20.100000000000001" customHeight="1">
      <c r="A4" s="32" t="str">
        <f>底稿目录!A3</f>
        <v>会计期间：202X年度</v>
      </c>
      <c r="C4" s="32" t="str">
        <f>底稿目录!A6</f>
        <v>复核人：</v>
      </c>
      <c r="D4" s="32" t="str">
        <f>底稿目录!A7</f>
        <v>复核日期：</v>
      </c>
      <c r="E4" s="32" t="s">
        <v>170</v>
      </c>
      <c r="L4" s="44"/>
    </row>
    <row r="5" spans="1:12" ht="20.100000000000001" customHeight="1">
      <c r="A5" s="45" t="s">
        <v>171</v>
      </c>
      <c r="B5" s="45"/>
      <c r="C5" s="46"/>
      <c r="D5" s="45"/>
      <c r="E5" s="45"/>
    </row>
    <row r="6" spans="1:12" ht="20.100000000000001" customHeight="1">
      <c r="A6" s="47" t="s">
        <v>21</v>
      </c>
      <c r="B6" s="47"/>
      <c r="C6" s="45"/>
      <c r="D6" s="45"/>
      <c r="E6" s="45"/>
      <c r="F6" s="36"/>
      <c r="G6" s="36"/>
      <c r="H6" s="36"/>
    </row>
    <row r="7" spans="1:12" ht="32.25" customHeight="1">
      <c r="A7" s="48" t="s">
        <v>172</v>
      </c>
      <c r="B7" s="49" t="s">
        <v>173</v>
      </c>
      <c r="C7" s="50" t="s">
        <v>174</v>
      </c>
      <c r="D7" s="51"/>
      <c r="E7" s="51"/>
      <c r="F7" s="52"/>
      <c r="G7" s="53"/>
      <c r="H7" s="53"/>
    </row>
    <row r="8" spans="1:12" ht="20.100000000000001" customHeight="1">
      <c r="A8" s="54" t="str">
        <f>'税金及附加审定表N4-1'!A7</f>
        <v>消费税</v>
      </c>
      <c r="B8" s="55">
        <f>'税金及附加审定表N4-1'!I7</f>
        <v>0</v>
      </c>
      <c r="C8" s="55">
        <f>'税金及附加审定表N4-1'!E7</f>
        <v>0</v>
      </c>
      <c r="D8" s="51"/>
      <c r="E8" s="51"/>
      <c r="F8" s="56"/>
      <c r="G8" s="57"/>
      <c r="H8" s="57"/>
    </row>
    <row r="9" spans="1:12" ht="20.100000000000001" customHeight="1">
      <c r="A9" s="54" t="str">
        <f>'税金及附加审定表N4-1'!A8</f>
        <v>城市维护建设税</v>
      </c>
      <c r="B9" s="55">
        <f>'税金及附加审定表N4-1'!I8</f>
        <v>0</v>
      </c>
      <c r="C9" s="55">
        <f>'税金及附加审定表N4-1'!E8</f>
        <v>0</v>
      </c>
      <c r="D9" s="51"/>
      <c r="E9" s="51"/>
      <c r="F9" s="56"/>
      <c r="G9" s="57"/>
      <c r="H9" s="57"/>
    </row>
    <row r="10" spans="1:12" ht="20.100000000000001" customHeight="1">
      <c r="A10" s="54" t="str">
        <f>'税金及附加审定表N4-1'!A9</f>
        <v>教育费附加</v>
      </c>
      <c r="B10" s="55">
        <f>'税金及附加审定表N4-1'!I9</f>
        <v>0</v>
      </c>
      <c r="C10" s="55">
        <f>'税金及附加审定表N4-1'!E9</f>
        <v>0</v>
      </c>
      <c r="D10" s="51"/>
      <c r="E10" s="51"/>
      <c r="F10" s="56"/>
      <c r="G10" s="57"/>
      <c r="H10" s="57"/>
    </row>
    <row r="11" spans="1:12" ht="20.100000000000001" customHeight="1">
      <c r="A11" s="54" t="str">
        <f>'税金及附加审定表N4-1'!A10</f>
        <v>资源税</v>
      </c>
      <c r="B11" s="55">
        <f>'税金及附加审定表N4-1'!I10</f>
        <v>0</v>
      </c>
      <c r="C11" s="55">
        <f>'税金及附加审定表N4-1'!E10</f>
        <v>0</v>
      </c>
      <c r="D11" s="51"/>
      <c r="E11" s="51"/>
      <c r="F11" s="56"/>
      <c r="G11" s="57"/>
      <c r="H11" s="57"/>
    </row>
    <row r="12" spans="1:12" ht="20.100000000000001" customHeight="1">
      <c r="A12" s="54" t="str">
        <f>'税金及附加审定表N4-1'!A11</f>
        <v>房产税</v>
      </c>
      <c r="B12" s="55">
        <f>'税金及附加审定表N4-1'!I11</f>
        <v>0</v>
      </c>
      <c r="C12" s="55">
        <f>'税金及附加审定表N4-1'!E11</f>
        <v>0</v>
      </c>
      <c r="D12" s="51"/>
      <c r="E12" s="51"/>
      <c r="F12" s="56"/>
      <c r="G12" s="57"/>
      <c r="H12" s="57"/>
    </row>
    <row r="13" spans="1:12" ht="20.100000000000001" customHeight="1">
      <c r="A13" s="54" t="str">
        <f>'税金及附加审定表N4-1'!A12</f>
        <v>土地使用税</v>
      </c>
      <c r="B13" s="55">
        <f>'税金及附加审定表N4-1'!I12</f>
        <v>0</v>
      </c>
      <c r="C13" s="55">
        <f>'税金及附加审定表N4-1'!E12</f>
        <v>0</v>
      </c>
      <c r="D13" s="51"/>
      <c r="E13" s="51"/>
      <c r="F13" s="56"/>
      <c r="G13" s="57"/>
      <c r="H13" s="57"/>
    </row>
    <row r="14" spans="1:12" ht="20.100000000000001" customHeight="1">
      <c r="A14" s="54" t="str">
        <f>'税金及附加审定表N4-1'!A13</f>
        <v>车船使用税</v>
      </c>
      <c r="B14" s="55">
        <f>'税金及附加审定表N4-1'!I13</f>
        <v>0</v>
      </c>
      <c r="C14" s="55">
        <f>'税金及附加审定表N4-1'!E13</f>
        <v>0</v>
      </c>
      <c r="D14" s="51"/>
      <c r="E14" s="51"/>
      <c r="F14" s="56"/>
      <c r="G14" s="57"/>
      <c r="H14" s="57"/>
    </row>
    <row r="15" spans="1:12" ht="20.100000000000001" customHeight="1">
      <c r="A15" s="54" t="str">
        <f>'税金及附加审定表N4-1'!A14</f>
        <v>印花税</v>
      </c>
      <c r="B15" s="55">
        <f>'税金及附加审定表N4-1'!I14</f>
        <v>0</v>
      </c>
      <c r="C15" s="55">
        <f>'税金及附加审定表N4-1'!E14</f>
        <v>0</v>
      </c>
      <c r="D15" s="51"/>
      <c r="E15" s="51"/>
      <c r="F15" s="56"/>
      <c r="G15" s="57"/>
      <c r="H15" s="57"/>
    </row>
    <row r="16" spans="1:12" ht="20.100000000000001" customHeight="1">
      <c r="A16" s="54"/>
      <c r="B16" s="58"/>
      <c r="C16" s="58"/>
      <c r="D16" s="51"/>
      <c r="E16" s="51"/>
      <c r="F16" s="59"/>
      <c r="G16" s="57"/>
      <c r="H16" s="57"/>
    </row>
    <row r="17" spans="1:8" ht="20.100000000000001" customHeight="1">
      <c r="A17" s="48" t="s">
        <v>175</v>
      </c>
      <c r="B17" s="60">
        <f>SUM(B8:B16)</f>
        <v>0</v>
      </c>
      <c r="C17" s="60">
        <f>SUM(C8:C16)</f>
        <v>0</v>
      </c>
      <c r="D17" s="51"/>
      <c r="E17" s="51"/>
      <c r="F17" s="52"/>
      <c r="G17" s="61"/>
      <c r="H17" s="61"/>
    </row>
    <row r="18" spans="1:8" ht="20.100000000000001" customHeight="1">
      <c r="A18" s="62" t="s">
        <v>176</v>
      </c>
      <c r="B18" s="47"/>
      <c r="C18" s="45"/>
      <c r="D18" s="45"/>
      <c r="E18" s="45"/>
    </row>
  </sheetData>
  <mergeCells count="2">
    <mergeCell ref="A1:E1"/>
    <mergeCell ref="A2:E2"/>
  </mergeCells>
  <phoneticPr fontId="60" type="noConversion"/>
  <pageMargins left="0.70833333333333304" right="0.70833333333333304" top="0.74791666666666701" bottom="0.74791666666666701" header="0.31458333333333299" footer="0.31458333333333299"/>
  <pageSetup paperSize="9" scale="95" orientation="portrait" blackAndWhite="1" horizontalDpi="1200" verticalDpi="1200"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7"/>
  <sheetViews>
    <sheetView view="pageBreakPreview" zoomScale="120" zoomScaleNormal="100" workbookViewId="0">
      <selection sqref="A1:E1"/>
    </sheetView>
  </sheetViews>
  <sheetFormatPr defaultColWidth="9" defaultRowHeight="15.6"/>
  <cols>
    <col min="1" max="1" width="27.5" style="33" customWidth="1"/>
    <col min="2" max="4" width="12.59765625" style="33" customWidth="1"/>
    <col min="5" max="5" width="11.19921875" style="33" customWidth="1"/>
    <col min="6" max="16384" width="9" style="33"/>
  </cols>
  <sheetData>
    <row r="1" spans="1:11" s="32" customFormat="1" ht="20.100000000000001" customHeight="1">
      <c r="A1" s="241" t="s">
        <v>51</v>
      </c>
      <c r="B1" s="241"/>
      <c r="C1" s="241"/>
      <c r="D1" s="241"/>
      <c r="E1" s="241"/>
      <c r="F1" s="34"/>
      <c r="G1" s="34"/>
      <c r="H1" s="34"/>
      <c r="I1" s="34"/>
      <c r="J1" s="34"/>
      <c r="K1" s="34"/>
    </row>
    <row r="2" spans="1:11" s="32" customFormat="1" ht="24.9" customHeight="1">
      <c r="A2" s="239" t="s">
        <v>237</v>
      </c>
      <c r="B2" s="239"/>
      <c r="C2" s="239"/>
      <c r="D2" s="239"/>
      <c r="E2" s="239"/>
      <c r="F2" s="35"/>
      <c r="G2" s="35"/>
      <c r="H2" s="35"/>
      <c r="I2" s="35"/>
      <c r="J2" s="35"/>
      <c r="K2" s="35"/>
    </row>
    <row r="3" spans="1:11" s="32" customFormat="1" ht="19.95" customHeight="1">
      <c r="A3" s="32" t="str">
        <f>底稿目录!A2</f>
        <v>被审计单位：</v>
      </c>
      <c r="B3" s="32" t="str">
        <f>底稿目录!A4</f>
        <v>编制人：</v>
      </c>
      <c r="D3" s="32" t="str">
        <f>底稿目录!A5</f>
        <v>编制日期：</v>
      </c>
      <c r="E3" s="180" t="s">
        <v>234</v>
      </c>
    </row>
    <row r="4" spans="1:11" s="32" customFormat="1" ht="19.95" customHeight="1">
      <c r="A4" s="32" t="str">
        <f>底稿目录!A3</f>
        <v>会计期间：202X年度</v>
      </c>
      <c r="B4" s="32" t="str">
        <f>底稿目录!A6</f>
        <v>复核人：</v>
      </c>
      <c r="D4" s="32" t="str">
        <f>底稿目录!A7</f>
        <v>复核日期：</v>
      </c>
      <c r="K4" s="44"/>
    </row>
    <row r="5" spans="1:11" ht="19.95" customHeight="1">
      <c r="A5" s="36" t="s">
        <v>177</v>
      </c>
      <c r="B5" s="36"/>
      <c r="C5" s="36"/>
      <c r="D5" s="36"/>
      <c r="E5" s="36"/>
      <c r="F5" s="36"/>
      <c r="G5" s="36"/>
    </row>
    <row r="6" spans="1:11" ht="19.95" customHeight="1">
      <c r="A6" s="181" t="s">
        <v>178</v>
      </c>
      <c r="B6" s="182"/>
      <c r="C6" s="182"/>
      <c r="D6" s="36"/>
      <c r="E6" s="36"/>
      <c r="F6" s="36"/>
      <c r="G6" s="36"/>
    </row>
    <row r="7" spans="1:11" ht="19.95" customHeight="1">
      <c r="A7" s="37"/>
      <c r="B7" s="38"/>
      <c r="C7" s="38"/>
      <c r="D7" s="36"/>
      <c r="E7" s="36"/>
      <c r="F7" s="36"/>
      <c r="G7" s="36"/>
    </row>
    <row r="8" spans="1:11" ht="19.95" customHeight="1">
      <c r="A8" s="37"/>
      <c r="B8" s="38"/>
      <c r="C8" s="38"/>
      <c r="D8" s="36"/>
      <c r="E8" s="36"/>
      <c r="F8" s="36"/>
      <c r="G8" s="36"/>
    </row>
    <row r="9" spans="1:11" ht="19.95" customHeight="1">
      <c r="A9" s="37"/>
      <c r="B9" s="38"/>
      <c r="C9" s="38"/>
      <c r="D9" s="36"/>
      <c r="E9" s="36"/>
      <c r="F9" s="36"/>
      <c r="G9" s="36"/>
    </row>
    <row r="10" spans="1:11" ht="19.95" customHeight="1">
      <c r="A10" s="37"/>
      <c r="B10" s="38"/>
      <c r="C10" s="38"/>
      <c r="D10" s="36"/>
      <c r="E10" s="36"/>
      <c r="F10" s="36"/>
      <c r="G10" s="36"/>
    </row>
    <row r="11" spans="1:11" ht="19.95" customHeight="1">
      <c r="A11" s="37"/>
      <c r="B11" s="38"/>
      <c r="C11" s="38"/>
      <c r="D11" s="36"/>
      <c r="E11" s="36"/>
      <c r="F11" s="36"/>
      <c r="G11" s="36"/>
    </row>
    <row r="12" spans="1:11" ht="19.95" customHeight="1">
      <c r="A12" s="37"/>
      <c r="B12" s="38"/>
      <c r="C12" s="38"/>
      <c r="D12" s="36"/>
      <c r="E12" s="36"/>
      <c r="F12" s="36"/>
      <c r="G12" s="36"/>
    </row>
    <row r="13" spans="1:11" ht="19.95" customHeight="1">
      <c r="A13" s="37"/>
      <c r="B13" s="38"/>
      <c r="C13" s="38"/>
      <c r="D13" s="36"/>
      <c r="E13" s="36"/>
      <c r="F13" s="36"/>
      <c r="G13" s="36"/>
    </row>
    <row r="14" spans="1:11" ht="19.95" customHeight="1">
      <c r="A14" s="37"/>
      <c r="B14" s="38"/>
      <c r="C14" s="38"/>
      <c r="D14" s="36"/>
      <c r="E14" s="36"/>
      <c r="F14" s="36"/>
      <c r="G14" s="36"/>
    </row>
    <row r="15" spans="1:11" ht="19.95" customHeight="1">
      <c r="A15" s="39"/>
      <c r="B15" s="38"/>
      <c r="C15" s="38"/>
      <c r="D15" s="36"/>
      <c r="E15" s="36"/>
      <c r="F15" s="36"/>
      <c r="G15" s="36"/>
    </row>
    <row r="16" spans="1:11">
      <c r="A16" s="40"/>
      <c r="B16" s="41"/>
      <c r="C16" s="41"/>
    </row>
    <row r="17" spans="1:3">
      <c r="A17" s="42"/>
      <c r="B17" s="43"/>
      <c r="C17" s="43"/>
    </row>
  </sheetData>
  <mergeCells count="2">
    <mergeCell ref="A1:E1"/>
    <mergeCell ref="A2:E2"/>
  </mergeCells>
  <phoneticPr fontId="60" type="noConversion"/>
  <pageMargins left="0.70833333333333304" right="0.70833333333333304" top="0.74791666666666701" bottom="0.74791666666666701" header="0.31458333333333299" footer="0.31458333333333299"/>
  <pageSetup paperSize="9" scale="95" orientation="portrait" blackAndWhite="1" horizontalDpi="1200" verticalDpi="1200"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34"/>
  <sheetViews>
    <sheetView view="pageBreakPreview" zoomScaleNormal="100" workbookViewId="0">
      <selection sqref="A1:K1"/>
    </sheetView>
  </sheetViews>
  <sheetFormatPr defaultColWidth="9" defaultRowHeight="20.100000000000001" customHeight="1"/>
  <cols>
    <col min="1" max="1" width="12.69921875" style="18" customWidth="1"/>
    <col min="2" max="6" width="10.09765625" style="18" customWidth="1"/>
    <col min="7" max="7" width="9" style="18"/>
    <col min="8" max="8" width="11" style="18" customWidth="1"/>
    <col min="9" max="9" width="11.09765625" style="18" customWidth="1"/>
    <col min="10" max="10" width="9.69921875" style="18" customWidth="1"/>
    <col min="11" max="11" width="10.19921875" style="18" customWidth="1"/>
    <col min="12" max="16384" width="9" style="18"/>
  </cols>
  <sheetData>
    <row r="1" spans="1:11" s="16" customFormat="1" ht="20.100000000000001" customHeight="1">
      <c r="A1" s="242" t="s">
        <v>16</v>
      </c>
      <c r="B1" s="242"/>
      <c r="C1" s="242"/>
      <c r="D1" s="242"/>
      <c r="E1" s="242"/>
      <c r="F1" s="242"/>
      <c r="G1" s="242"/>
      <c r="H1" s="242"/>
      <c r="I1" s="242"/>
      <c r="J1" s="242"/>
      <c r="K1" s="242"/>
    </row>
    <row r="2" spans="1:11" s="16" customFormat="1" ht="20.100000000000001" customHeight="1">
      <c r="A2" s="243" t="s">
        <v>14</v>
      </c>
      <c r="B2" s="243"/>
      <c r="C2" s="243"/>
      <c r="D2" s="243"/>
      <c r="E2" s="243"/>
      <c r="F2" s="243"/>
      <c r="G2" s="243"/>
      <c r="H2" s="243"/>
      <c r="I2" s="243"/>
      <c r="J2" s="243"/>
      <c r="K2" s="243"/>
    </row>
    <row r="3" spans="1:11" ht="20.100000000000001" customHeight="1">
      <c r="A3" s="18" t="str">
        <f>底稿目录!A2</f>
        <v>被审计单位：</v>
      </c>
      <c r="E3" s="18" t="str">
        <f>底稿目录!A4</f>
        <v>编制人：</v>
      </c>
      <c r="G3" s="19"/>
      <c r="H3" s="18" t="str">
        <f>底稿目录!A5</f>
        <v>编制日期：</v>
      </c>
      <c r="J3" s="19" t="s">
        <v>17</v>
      </c>
      <c r="K3" s="251" t="s">
        <v>231</v>
      </c>
    </row>
    <row r="4" spans="1:11" ht="20.100000000000001" customHeight="1">
      <c r="A4" s="18" t="str">
        <f>底稿目录!A3</f>
        <v>会计期间：202X年度</v>
      </c>
      <c r="E4" s="18" t="str">
        <f>底稿目录!A6</f>
        <v>复核人：</v>
      </c>
      <c r="G4" s="19"/>
      <c r="H4" s="18" t="str">
        <f>底稿目录!A7</f>
        <v>复核日期：</v>
      </c>
      <c r="J4" s="19" t="s">
        <v>19</v>
      </c>
    </row>
    <row r="5" spans="1:11" ht="20.100000000000001" customHeight="1">
      <c r="A5" s="20" t="s">
        <v>179</v>
      </c>
      <c r="F5" s="19"/>
      <c r="G5" s="19"/>
      <c r="H5" s="19"/>
      <c r="I5" s="19"/>
    </row>
    <row r="6" spans="1:11" ht="20.100000000000001" customHeight="1">
      <c r="A6" s="18" t="s">
        <v>180</v>
      </c>
      <c r="F6" s="19"/>
      <c r="G6" s="19"/>
      <c r="H6" s="19"/>
      <c r="I6" s="19"/>
    </row>
    <row r="7" spans="1:11" ht="20.100000000000001" customHeight="1">
      <c r="A7" s="21" t="s">
        <v>181</v>
      </c>
      <c r="F7" s="19"/>
      <c r="G7" s="19"/>
      <c r="H7" s="19"/>
      <c r="I7" s="19"/>
    </row>
    <row r="8" spans="1:11" s="17" customFormat="1" ht="32.700000000000003" customHeight="1">
      <c r="A8" s="22" t="s">
        <v>151</v>
      </c>
      <c r="B8" s="22" t="s">
        <v>182</v>
      </c>
      <c r="C8" s="22" t="s">
        <v>158</v>
      </c>
      <c r="D8" s="22" t="s">
        <v>159</v>
      </c>
      <c r="E8" s="22" t="s">
        <v>183</v>
      </c>
      <c r="F8" s="22" t="s">
        <v>184</v>
      </c>
      <c r="G8" s="22" t="s">
        <v>158</v>
      </c>
      <c r="H8" s="22" t="s">
        <v>159</v>
      </c>
      <c r="I8" s="22" t="s">
        <v>185</v>
      </c>
      <c r="J8" s="22" t="s">
        <v>186</v>
      </c>
      <c r="K8" s="22" t="s">
        <v>187</v>
      </c>
    </row>
    <row r="9" spans="1:11" ht="20.100000000000001" customHeight="1">
      <c r="A9" s="23" t="s">
        <v>188</v>
      </c>
      <c r="B9" s="24"/>
      <c r="C9" s="24"/>
      <c r="D9" s="24"/>
      <c r="E9" s="25">
        <f>B9+C9+N4</f>
        <v>0</v>
      </c>
      <c r="F9" s="26"/>
      <c r="G9" s="26"/>
      <c r="H9" s="26"/>
      <c r="I9" s="25">
        <f>F9+G9+H9</f>
        <v>0</v>
      </c>
      <c r="J9" s="27"/>
      <c r="K9" s="25">
        <f>E9-J9</f>
        <v>0</v>
      </c>
    </row>
    <row r="10" spans="1:11" ht="19.95" customHeight="1">
      <c r="A10" s="23" t="s">
        <v>189</v>
      </c>
      <c r="B10" s="24"/>
      <c r="C10" s="24"/>
      <c r="D10" s="24"/>
      <c r="E10" s="25">
        <f t="shared" ref="E10:E18" si="0">B10+C10+D10</f>
        <v>0</v>
      </c>
      <c r="F10" s="26"/>
      <c r="G10" s="26"/>
      <c r="H10" s="26"/>
      <c r="I10" s="25">
        <f t="shared" ref="I10:I18" si="1">F10+G10+H10</f>
        <v>0</v>
      </c>
      <c r="J10" s="27"/>
      <c r="K10" s="25">
        <f t="shared" ref="K10:K18" si="2">E10-J10</f>
        <v>0</v>
      </c>
    </row>
    <row r="11" spans="1:11" ht="20.100000000000001" customHeight="1">
      <c r="A11" s="23" t="s">
        <v>190</v>
      </c>
      <c r="B11" s="24"/>
      <c r="C11" s="24"/>
      <c r="D11" s="24"/>
      <c r="E11" s="25">
        <f t="shared" si="0"/>
        <v>0</v>
      </c>
      <c r="F11" s="26"/>
      <c r="G11" s="26"/>
      <c r="H11" s="26"/>
      <c r="I11" s="25">
        <f t="shared" si="1"/>
        <v>0</v>
      </c>
      <c r="J11" s="27"/>
      <c r="K11" s="25">
        <f t="shared" si="2"/>
        <v>0</v>
      </c>
    </row>
    <row r="12" spans="1:11" ht="20.100000000000001" customHeight="1">
      <c r="A12" s="23" t="s">
        <v>191</v>
      </c>
      <c r="B12" s="24"/>
      <c r="C12" s="24"/>
      <c r="D12" s="24"/>
      <c r="E12" s="25">
        <f t="shared" si="0"/>
        <v>0</v>
      </c>
      <c r="F12" s="26"/>
      <c r="G12" s="26"/>
      <c r="H12" s="26"/>
      <c r="I12" s="25">
        <f t="shared" si="1"/>
        <v>0</v>
      </c>
      <c r="J12" s="27"/>
      <c r="K12" s="25">
        <f t="shared" si="2"/>
        <v>0</v>
      </c>
    </row>
    <row r="13" spans="1:11" ht="20.100000000000001" customHeight="1">
      <c r="A13" s="23" t="s">
        <v>192</v>
      </c>
      <c r="B13" s="24"/>
      <c r="C13" s="24"/>
      <c r="D13" s="24"/>
      <c r="E13" s="25">
        <f t="shared" si="0"/>
        <v>0</v>
      </c>
      <c r="F13" s="26"/>
      <c r="G13" s="26"/>
      <c r="H13" s="26"/>
      <c r="I13" s="25">
        <f t="shared" si="1"/>
        <v>0</v>
      </c>
      <c r="J13" s="27"/>
      <c r="K13" s="25">
        <f t="shared" si="2"/>
        <v>0</v>
      </c>
    </row>
    <row r="14" spans="1:11" ht="20.100000000000001" customHeight="1">
      <c r="A14" s="23" t="s">
        <v>193</v>
      </c>
      <c r="B14" s="24"/>
      <c r="C14" s="24"/>
      <c r="D14" s="24"/>
      <c r="E14" s="25">
        <f t="shared" si="0"/>
        <v>0</v>
      </c>
      <c r="F14" s="26"/>
      <c r="G14" s="26"/>
      <c r="H14" s="26"/>
      <c r="I14" s="25">
        <f t="shared" si="1"/>
        <v>0</v>
      </c>
      <c r="J14" s="27"/>
      <c r="K14" s="25">
        <f t="shared" si="2"/>
        <v>0</v>
      </c>
    </row>
    <row r="15" spans="1:11" ht="20.100000000000001" customHeight="1">
      <c r="A15" s="23" t="s">
        <v>194</v>
      </c>
      <c r="B15" s="24"/>
      <c r="C15" s="24"/>
      <c r="D15" s="24"/>
      <c r="E15" s="25">
        <f t="shared" si="0"/>
        <v>0</v>
      </c>
      <c r="F15" s="26"/>
      <c r="G15" s="26"/>
      <c r="H15" s="26"/>
      <c r="I15" s="25">
        <f t="shared" si="1"/>
        <v>0</v>
      </c>
      <c r="J15" s="27"/>
      <c r="K15" s="25">
        <f t="shared" si="2"/>
        <v>0</v>
      </c>
    </row>
    <row r="16" spans="1:11" ht="20.100000000000001" customHeight="1">
      <c r="A16" s="23" t="s">
        <v>195</v>
      </c>
      <c r="B16" s="24"/>
      <c r="C16" s="24"/>
      <c r="D16" s="24"/>
      <c r="E16" s="25">
        <f t="shared" si="0"/>
        <v>0</v>
      </c>
      <c r="F16" s="26"/>
      <c r="G16" s="26"/>
      <c r="H16" s="26"/>
      <c r="I16" s="25">
        <f t="shared" si="1"/>
        <v>0</v>
      </c>
      <c r="J16" s="27"/>
      <c r="K16" s="25">
        <f t="shared" si="2"/>
        <v>0</v>
      </c>
    </row>
    <row r="17" spans="1:11" ht="20.100000000000001" customHeight="1">
      <c r="A17" s="27"/>
      <c r="B17" s="24"/>
      <c r="C17" s="24"/>
      <c r="D17" s="24"/>
      <c r="E17" s="25">
        <f t="shared" si="0"/>
        <v>0</v>
      </c>
      <c r="F17" s="26"/>
      <c r="G17" s="26"/>
      <c r="H17" s="26"/>
      <c r="I17" s="25">
        <f t="shared" si="1"/>
        <v>0</v>
      </c>
      <c r="J17" s="27"/>
      <c r="K17" s="25">
        <f t="shared" si="2"/>
        <v>0</v>
      </c>
    </row>
    <row r="18" spans="1:11" ht="20.100000000000001" customHeight="1">
      <c r="A18" s="27"/>
      <c r="B18" s="24"/>
      <c r="C18" s="24"/>
      <c r="D18" s="24"/>
      <c r="E18" s="25">
        <f t="shared" si="0"/>
        <v>0</v>
      </c>
      <c r="F18" s="26"/>
      <c r="G18" s="26"/>
      <c r="H18" s="26"/>
      <c r="I18" s="25">
        <f t="shared" si="1"/>
        <v>0</v>
      </c>
      <c r="J18" s="27"/>
      <c r="K18" s="25">
        <f t="shared" si="2"/>
        <v>0</v>
      </c>
    </row>
    <row r="19" spans="1:11" ht="20.100000000000001" customHeight="1">
      <c r="A19" s="28" t="s">
        <v>163</v>
      </c>
      <c r="B19" s="29">
        <f>SUM(B9:B18)</f>
        <v>0</v>
      </c>
      <c r="C19" s="29">
        <f t="shared" ref="C19:I19" si="3">SUM(C9:C18)</f>
        <v>0</v>
      </c>
      <c r="D19" s="29">
        <f>SUM(D4:N18)</f>
        <v>0</v>
      </c>
      <c r="E19" s="29">
        <f t="shared" si="3"/>
        <v>0</v>
      </c>
      <c r="F19" s="29">
        <f t="shared" si="3"/>
        <v>0</v>
      </c>
      <c r="G19" s="29">
        <f t="shared" si="3"/>
        <v>0</v>
      </c>
      <c r="H19" s="29">
        <f t="shared" si="3"/>
        <v>0</v>
      </c>
      <c r="I19" s="29">
        <f t="shared" si="3"/>
        <v>0</v>
      </c>
      <c r="J19" s="29">
        <f t="shared" ref="J19:K19" si="4">SUM(J9:J18)</f>
        <v>0</v>
      </c>
      <c r="K19" s="29">
        <f t="shared" si="4"/>
        <v>0</v>
      </c>
    </row>
    <row r="20" spans="1:11" ht="20.100000000000001" customHeight="1">
      <c r="A20" s="30" t="s">
        <v>196</v>
      </c>
    </row>
    <row r="21" spans="1:11" ht="20.100000000000001" customHeight="1">
      <c r="A21" s="30"/>
    </row>
    <row r="22" spans="1:11" ht="20.100000000000001" customHeight="1">
      <c r="A22" s="30"/>
    </row>
    <row r="23" spans="1:11" ht="20.100000000000001" customHeight="1">
      <c r="A23" s="30" t="s">
        <v>197</v>
      </c>
    </row>
    <row r="25" spans="1:11" ht="20.100000000000001" customHeight="1">
      <c r="A25" s="31" t="s">
        <v>198</v>
      </c>
    </row>
    <row r="28" spans="1:11" ht="20.100000000000001" customHeight="1">
      <c r="A28" s="31"/>
    </row>
    <row r="29" spans="1:11" ht="20.100000000000001" customHeight="1">
      <c r="A29" s="31"/>
    </row>
    <row r="33" spans="1:1" ht="20.100000000000001" customHeight="1">
      <c r="A33" s="31"/>
    </row>
    <row r="34" spans="1:1" ht="20.100000000000001" customHeight="1">
      <c r="A34" s="31"/>
    </row>
  </sheetData>
  <mergeCells count="2">
    <mergeCell ref="A1:K1"/>
    <mergeCell ref="A2:K2"/>
  </mergeCells>
  <phoneticPr fontId="60" type="noConversion"/>
  <hyperlinks>
    <hyperlink ref="K3" location="底稿目录!A1" display="D9-2"/>
  </hyperlinks>
  <pageMargins left="0.70833333333333304" right="0.70833333333333304" top="0.74791666666666701" bottom="0.74791666666666701" header="0.31458333333333299" footer="0.31458333333333299"/>
  <pageSetup paperSize="9" scale="71" orientation="portrait" blackAndWhite="1" horizontalDpi="1200" verticalDpi="1200"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view="pageBreakPreview" zoomScaleNormal="100" workbookViewId="0">
      <selection sqref="A1:J1"/>
    </sheetView>
  </sheetViews>
  <sheetFormatPr defaultColWidth="9" defaultRowHeight="20.100000000000001" customHeight="1"/>
  <cols>
    <col min="1" max="1" width="16.19921875" style="1" customWidth="1"/>
    <col min="2" max="2" width="13.69921875" style="1" customWidth="1"/>
    <col min="3" max="3" width="12.8984375" style="1" customWidth="1"/>
    <col min="4" max="4" width="14.19921875" style="1" customWidth="1"/>
    <col min="5" max="5" width="13.69921875" style="1" customWidth="1"/>
    <col min="6" max="6" width="5.3984375" style="1" customWidth="1"/>
    <col min="7" max="8" width="11.59765625" style="1" customWidth="1"/>
    <col min="9" max="9" width="7.69921875" style="1" customWidth="1"/>
    <col min="10" max="10" width="9" style="1" customWidth="1"/>
    <col min="11" max="16384" width="9" style="1"/>
  </cols>
  <sheetData>
    <row r="1" spans="1:10" ht="20.100000000000001" customHeight="1">
      <c r="A1" s="244" t="s">
        <v>16</v>
      </c>
      <c r="B1" s="244"/>
      <c r="C1" s="244"/>
      <c r="D1" s="244"/>
      <c r="E1" s="244"/>
      <c r="F1" s="244"/>
      <c r="G1" s="244"/>
      <c r="H1" s="244"/>
      <c r="I1" s="244"/>
      <c r="J1" s="244"/>
    </row>
    <row r="2" spans="1:10" ht="20.100000000000001" customHeight="1">
      <c r="A2" s="245" t="s">
        <v>15</v>
      </c>
      <c r="B2" s="245"/>
      <c r="C2" s="245"/>
      <c r="D2" s="245"/>
      <c r="E2" s="245"/>
      <c r="F2" s="245"/>
      <c r="G2" s="245"/>
      <c r="H2" s="245"/>
      <c r="I2" s="245"/>
      <c r="J2" s="245"/>
    </row>
    <row r="3" spans="1:10" ht="20.100000000000001" customHeight="1">
      <c r="A3" s="2" t="str">
        <f>底稿目录!A2</f>
        <v>被审计单位：</v>
      </c>
      <c r="B3" s="2"/>
      <c r="C3" s="2"/>
      <c r="D3" s="2" t="str">
        <f>底稿目录!A4</f>
        <v>编制人：</v>
      </c>
      <c r="E3" s="2"/>
      <c r="F3" s="2" t="str">
        <f>底稿目录!A5</f>
        <v>编制日期：</v>
      </c>
      <c r="H3" s="2"/>
      <c r="I3" s="14" t="s">
        <v>17</v>
      </c>
      <c r="J3" s="251" t="s">
        <v>232</v>
      </c>
    </row>
    <row r="4" spans="1:10" ht="20.100000000000001" customHeight="1">
      <c r="A4" s="2" t="str">
        <f>底稿目录!A3</f>
        <v>会计期间：202X年度</v>
      </c>
      <c r="B4" s="2"/>
      <c r="C4" s="2"/>
      <c r="D4" s="2" t="str">
        <f>底稿目录!A6</f>
        <v>复核人：</v>
      </c>
      <c r="E4" s="2"/>
      <c r="F4" s="2" t="str">
        <f>底稿目录!A7</f>
        <v>复核日期：</v>
      </c>
      <c r="H4" s="2"/>
      <c r="I4" s="14" t="s">
        <v>19</v>
      </c>
      <c r="J4" s="15"/>
    </row>
    <row r="5" spans="1:10" ht="39.6" customHeight="1">
      <c r="A5" s="3" t="s">
        <v>199</v>
      </c>
      <c r="B5" s="4" t="s">
        <v>200</v>
      </c>
      <c r="C5" s="4" t="s">
        <v>201</v>
      </c>
      <c r="D5" s="5" t="s">
        <v>202</v>
      </c>
      <c r="E5" s="5" t="s">
        <v>203</v>
      </c>
      <c r="F5" s="6" t="s">
        <v>204</v>
      </c>
      <c r="G5" s="5" t="s">
        <v>205</v>
      </c>
      <c r="H5" s="5" t="s">
        <v>206</v>
      </c>
      <c r="I5" s="5" t="s">
        <v>207</v>
      </c>
      <c r="J5" s="5" t="s">
        <v>208</v>
      </c>
    </row>
    <row r="6" spans="1:10" ht="20.100000000000001" customHeight="1">
      <c r="A6" s="7"/>
      <c r="B6" s="7"/>
      <c r="C6" s="7"/>
      <c r="D6" s="7"/>
      <c r="E6" s="7"/>
      <c r="F6" s="7"/>
      <c r="G6" s="7"/>
      <c r="H6" s="7"/>
      <c r="I6" s="7"/>
      <c r="J6" s="7"/>
    </row>
    <row r="7" spans="1:10" ht="20.100000000000001" customHeight="1">
      <c r="A7" s="8"/>
      <c r="B7" s="7"/>
      <c r="C7" s="7"/>
      <c r="D7" s="7"/>
      <c r="E7" s="7"/>
      <c r="F7" s="7"/>
      <c r="G7" s="7"/>
      <c r="H7" s="7"/>
      <c r="I7" s="7"/>
      <c r="J7" s="7"/>
    </row>
    <row r="8" spans="1:10" ht="20.100000000000001" customHeight="1">
      <c r="A8" s="9"/>
      <c r="B8" s="7"/>
      <c r="C8" s="7"/>
      <c r="D8" s="7"/>
      <c r="E8" s="7"/>
      <c r="F8" s="7"/>
      <c r="G8" s="7"/>
      <c r="H8" s="7"/>
      <c r="I8" s="7"/>
      <c r="J8" s="7"/>
    </row>
    <row r="9" spans="1:10" ht="20.100000000000001" customHeight="1">
      <c r="A9" s="9"/>
      <c r="B9" s="7"/>
      <c r="C9" s="7"/>
      <c r="D9" s="7"/>
      <c r="E9" s="7"/>
      <c r="F9" s="7"/>
      <c r="G9" s="7"/>
      <c r="H9" s="7"/>
      <c r="I9" s="7"/>
      <c r="J9" s="7"/>
    </row>
    <row r="10" spans="1:10" ht="20.100000000000001" customHeight="1">
      <c r="A10" s="9"/>
      <c r="B10" s="7"/>
      <c r="C10" s="7"/>
      <c r="D10" s="7"/>
      <c r="E10" s="7"/>
      <c r="F10" s="7"/>
      <c r="G10" s="7"/>
      <c r="H10" s="7"/>
      <c r="I10" s="7"/>
      <c r="J10" s="7"/>
    </row>
    <row r="11" spans="1:10" ht="20.100000000000001" customHeight="1">
      <c r="A11" s="10"/>
      <c r="B11" s="7"/>
      <c r="C11" s="7"/>
      <c r="D11" s="7"/>
      <c r="E11" s="7"/>
      <c r="F11" s="7"/>
      <c r="G11" s="7"/>
      <c r="H11" s="7"/>
      <c r="I11" s="7"/>
      <c r="J11" s="7"/>
    </row>
    <row r="12" spans="1:10" ht="20.100000000000001" customHeight="1">
      <c r="A12" s="9"/>
      <c r="B12" s="7"/>
      <c r="C12" s="7"/>
      <c r="D12" s="7"/>
      <c r="E12" s="7"/>
      <c r="F12" s="7"/>
      <c r="G12" s="7"/>
      <c r="H12" s="7"/>
      <c r="I12" s="7"/>
      <c r="J12" s="7"/>
    </row>
    <row r="13" spans="1:10" ht="20.100000000000001" customHeight="1">
      <c r="A13" s="9"/>
      <c r="B13" s="7"/>
      <c r="C13" s="7"/>
      <c r="D13" s="7"/>
      <c r="E13" s="7"/>
      <c r="F13" s="7"/>
      <c r="G13" s="7"/>
      <c r="H13" s="7"/>
      <c r="I13" s="7"/>
      <c r="J13" s="7"/>
    </row>
    <row r="14" spans="1:10" ht="20.100000000000001" customHeight="1">
      <c r="A14" s="9"/>
      <c r="B14" s="7"/>
      <c r="C14" s="7"/>
      <c r="D14" s="7"/>
      <c r="E14" s="7"/>
      <c r="F14" s="7"/>
      <c r="G14" s="7"/>
      <c r="H14" s="7"/>
      <c r="I14" s="7"/>
      <c r="J14" s="7"/>
    </row>
    <row r="15" spans="1:10" ht="20.100000000000001" customHeight="1">
      <c r="A15" s="9"/>
      <c r="B15" s="7"/>
      <c r="C15" s="7"/>
      <c r="D15" s="7"/>
      <c r="E15" s="7"/>
      <c r="F15" s="7"/>
      <c r="G15" s="7"/>
      <c r="H15" s="7"/>
      <c r="I15" s="7"/>
      <c r="J15" s="7"/>
    </row>
    <row r="16" spans="1:10" ht="20.100000000000001" customHeight="1">
      <c r="A16" s="9"/>
      <c r="B16" s="7"/>
      <c r="C16" s="7"/>
      <c r="D16" s="7"/>
      <c r="E16" s="7"/>
      <c r="F16" s="7"/>
      <c r="G16" s="7"/>
      <c r="H16" s="7"/>
      <c r="I16" s="7"/>
      <c r="J16" s="7"/>
    </row>
    <row r="17" spans="1:10" ht="20.100000000000001" customHeight="1">
      <c r="A17" s="9"/>
      <c r="B17" s="7"/>
      <c r="C17" s="7"/>
      <c r="D17" s="7"/>
      <c r="E17" s="7"/>
      <c r="F17" s="7"/>
      <c r="G17" s="7"/>
      <c r="H17" s="7"/>
      <c r="I17" s="7"/>
      <c r="J17" s="7"/>
    </row>
    <row r="18" spans="1:10" ht="20.100000000000001" customHeight="1">
      <c r="A18" s="9"/>
      <c r="B18" s="7"/>
      <c r="C18" s="7"/>
      <c r="D18" s="7"/>
      <c r="E18" s="7"/>
      <c r="F18" s="7"/>
      <c r="G18" s="7"/>
      <c r="H18" s="7"/>
      <c r="I18" s="7"/>
      <c r="J18" s="7"/>
    </row>
    <row r="19" spans="1:10" ht="20.100000000000001" customHeight="1">
      <c r="A19" s="9"/>
      <c r="B19" s="7"/>
      <c r="C19" s="7"/>
      <c r="D19" s="7"/>
      <c r="E19" s="7"/>
      <c r="F19" s="7"/>
      <c r="G19" s="7"/>
      <c r="H19" s="7"/>
      <c r="I19" s="7"/>
      <c r="J19" s="7"/>
    </row>
    <row r="20" spans="1:10" ht="20.100000000000001" customHeight="1">
      <c r="A20" s="9"/>
      <c r="B20" s="7"/>
      <c r="C20" s="7"/>
      <c r="D20" s="7"/>
      <c r="E20" s="7"/>
      <c r="F20" s="7"/>
      <c r="G20" s="7"/>
      <c r="H20" s="7"/>
      <c r="I20" s="7"/>
      <c r="J20" s="7"/>
    </row>
    <row r="21" spans="1:10" ht="19.95" customHeight="1">
      <c r="A21" s="11" t="s">
        <v>209</v>
      </c>
      <c r="B21" s="12"/>
      <c r="C21" s="12"/>
      <c r="D21" s="12"/>
      <c r="E21" s="12"/>
      <c r="F21" s="12"/>
      <c r="G21" s="12"/>
      <c r="H21" s="12"/>
      <c r="I21" s="12"/>
      <c r="J21" s="12"/>
    </row>
    <row r="22" spans="1:10" ht="20.100000000000001" customHeight="1">
      <c r="A22" s="13"/>
      <c r="B22" s="13"/>
      <c r="C22" s="13"/>
      <c r="D22" s="13"/>
      <c r="E22" s="13"/>
      <c r="F22" s="13"/>
      <c r="G22" s="13"/>
      <c r="H22" s="13"/>
      <c r="I22" s="13"/>
      <c r="J22" s="13"/>
    </row>
    <row r="23" spans="1:10" ht="41.25" customHeight="1"/>
    <row r="24" spans="1:10" ht="20.100000000000001" customHeight="1">
      <c r="A24" s="13"/>
      <c r="B24" s="13"/>
      <c r="C24" s="13"/>
      <c r="D24" s="13"/>
      <c r="E24" s="13"/>
      <c r="F24" s="13"/>
      <c r="G24" s="13"/>
      <c r="H24" s="13"/>
      <c r="I24" s="13"/>
      <c r="J24" s="13"/>
    </row>
    <row r="25" spans="1:10" ht="20.100000000000001" customHeight="1">
      <c r="A25" s="13"/>
      <c r="B25" s="13"/>
      <c r="C25" s="13"/>
      <c r="D25" s="13"/>
      <c r="E25" s="13"/>
      <c r="F25" s="13"/>
      <c r="G25" s="13"/>
      <c r="H25" s="13"/>
      <c r="I25" s="13"/>
      <c r="J25" s="13"/>
    </row>
  </sheetData>
  <mergeCells count="2">
    <mergeCell ref="A1:J1"/>
    <mergeCell ref="A2:J2"/>
  </mergeCells>
  <phoneticPr fontId="60" type="noConversion"/>
  <dataValidations count="1">
    <dataValidation type="list" allowBlank="1" showInputMessage="1" showErrorMessage="1" sqref="B6:B20">
      <formula1>"账项调整,报表调整,其他"</formula1>
    </dataValidation>
  </dataValidations>
  <hyperlinks>
    <hyperlink ref="J3" location="底稿目录!A1" display="D9-3"/>
  </hyperlinks>
  <pageMargins left="0.70833333333333304" right="0.70833333333333304" top="0.74791666666666701" bottom="0.74791666666666701" header="0.31458333333333299" footer="0.31458333333333299"/>
  <pageSetup paperSize="9" scale="70" orientation="portrait" blackAndWhite="1" horizontalDpi="1200" verticalDpi="1200"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ColWidth="9" defaultRowHeight="15.6"/>
  <sheetData>
    <row r="1" spans="1:2">
      <c r="A1" t="s">
        <v>210</v>
      </c>
      <c r="B1" t="s">
        <v>211</v>
      </c>
    </row>
    <row r="2" spans="1:2">
      <c r="A2" t="s">
        <v>212</v>
      </c>
      <c r="B2" t="s">
        <v>213</v>
      </c>
    </row>
    <row r="3" spans="1:2">
      <c r="A3" t="s">
        <v>214</v>
      </c>
      <c r="B3" t="s">
        <v>215</v>
      </c>
    </row>
    <row r="4" spans="1:2">
      <c r="A4" t="s">
        <v>216</v>
      </c>
      <c r="B4" t="s">
        <v>217</v>
      </c>
    </row>
    <row r="5" spans="1:2">
      <c r="A5" t="s">
        <v>218</v>
      </c>
      <c r="B5" t="s">
        <v>219</v>
      </c>
    </row>
    <row r="6" spans="1:2">
      <c r="A6" t="s">
        <v>220</v>
      </c>
      <c r="B6" t="s">
        <v>221</v>
      </c>
    </row>
    <row r="7" spans="1:2">
      <c r="A7" t="s">
        <v>222</v>
      </c>
      <c r="B7" t="s">
        <v>223</v>
      </c>
    </row>
    <row r="8" spans="1:2">
      <c r="A8" t="s">
        <v>224</v>
      </c>
      <c r="B8" t="s">
        <v>225</v>
      </c>
    </row>
  </sheetData>
  <phoneticPr fontId="6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6</vt:i4>
      </vt:variant>
    </vt:vector>
  </HeadingPairs>
  <TitlesOfParts>
    <vt:vector size="15" baseType="lpstr">
      <vt:lpstr>底稿目录</vt:lpstr>
      <vt:lpstr>税金及附加审计程序表N4A </vt:lpstr>
      <vt:lpstr>税金及附加审计程序表O2A（原底稿）</vt:lpstr>
      <vt:lpstr>税金及附加审定表N4-1</vt:lpstr>
      <vt:lpstr>附注披露信息（上市公司）</vt:lpstr>
      <vt:lpstr>附注披露信息（国企）</vt:lpstr>
      <vt:lpstr>税金及附加明细表N4-2</vt:lpstr>
      <vt:lpstr>调整分录汇总表N4-3</vt:lpstr>
      <vt:lpstr>GT_Custom</vt:lpstr>
      <vt:lpstr>'调整分录汇总表N4-3'!Print_Area</vt:lpstr>
      <vt:lpstr>'附注披露信息（国企）'!Print_Area</vt:lpstr>
      <vt:lpstr>'税金及附加明细表N4-2'!Print_Area</vt:lpstr>
      <vt:lpstr>'税金及附加审定表N4-1'!Print_Area</vt:lpstr>
      <vt:lpstr>'税金及附加审计程序表N4A '!Print_Area</vt:lpstr>
      <vt:lpstr>'税金及附加审计程序表O2A（原底稿）'!Print_Area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2025-10-28T03:15:12Z</cp:lastPrinted>
  <dcterms:created xsi:type="dcterms:W3CDTF">2007-05-20T08:51:00Z</dcterms:created>
  <dcterms:modified xsi:type="dcterms:W3CDTF">2025-10-30T08:07:08Z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07FD28FE52F940358666A039F1C5B21F_12</vt:lpwstr>
  </property>
  <property fmtid="{D5CDD505-2E9C-101B-9397-08002B2CF9AE}" pid="3" name="KSOProductBuildVer">
    <vt:lpwstr>2052-12.1.0.22529</vt:lpwstr>
  </property>
</Properties>
</file>