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02"/>
  </bookViews>
  <sheets>
    <sheet name="底稿目录" sheetId="18" r:id="rId1"/>
    <sheet name="生物资产实质性程序表H7A" sheetId="46" r:id="rId2"/>
    <sheet name="审定表（成本模式）H7-1" sheetId="1" r:id="rId3"/>
    <sheet name="审定表（公允价值模式）H7-1" sheetId="36" r:id="rId4"/>
    <sheet name="附注披露信息（上市公司）" sheetId="2" r:id="rId5"/>
    <sheet name="附注披露信息（国有企业）" sheetId="43" r:id="rId6"/>
    <sheet name="明细表（成本模式）H7-2" sheetId="4" r:id="rId7"/>
    <sheet name="明细表（公允价值模式）H7-2" sheetId="37" r:id="rId8"/>
    <sheet name="调整分录汇总H7-3" sheetId="45" r:id="rId9"/>
    <sheet name="会计政策估计检查表H7-4" sheetId="30" r:id="rId10"/>
    <sheet name="分析表H7-5" sheetId="8" r:id="rId11"/>
    <sheet name="增加检查表（成本模式）H7-6" sheetId="9" r:id="rId12"/>
    <sheet name="增加检查表（公允价值模式）H7-6" sheetId="38" r:id="rId13"/>
    <sheet name="减少检查表（成本模式）H7-7" sheetId="10" r:id="rId14"/>
    <sheet name="减少检查表（公允价值模式）H7-7" sheetId="39" r:id="rId15"/>
    <sheet name="监盘计划H7-8" sheetId="33" r:id="rId16"/>
    <sheet name="盘点检查表H7-9" sheetId="15" r:id="rId17"/>
    <sheet name="监盘小结H7-10" sheetId="34" r:id="rId18"/>
    <sheet name="折旧测算表（不含减值）-直线法H7-11" sheetId="11" r:id="rId19"/>
    <sheet name="折旧测算表（含减值）H7-11" sheetId="12" r:id="rId20"/>
    <sheet name="折旧分配分析表H7-12" sheetId="31" r:id="rId21"/>
    <sheet name="公允价值复核表H7-13" sheetId="40" r:id="rId22"/>
    <sheet name="互转审核表H7-14" sheetId="41" r:id="rId23"/>
    <sheet name="减值测算表H7-15" sheetId="27" r:id="rId24"/>
    <sheet name="可收回金额测试表H7-16" sheetId="13" r:id="rId25"/>
    <sheet name="关联交易检查表H7-17" sheetId="35" r:id="rId26"/>
  </sheets>
  <definedNames>
    <definedName name="_xlnm._FilterDatabase" localSheetId="1" hidden="1">生物资产实质性程序表H7A!$A$16:$J$35</definedName>
    <definedName name="_xlnm.Print_Area" localSheetId="8">'调整分录汇总H7-3'!$A$1:$J$23</definedName>
    <definedName name="_xlnm.Print_Area" localSheetId="10">'分析表H7-5'!$A$1:$F$30</definedName>
    <definedName name="_xlnm.Print_Area" localSheetId="5">'附注披露信息（国有企业）'!$A$1:$E$40</definedName>
    <definedName name="_xlnm.Print_Area" localSheetId="4">'附注披露信息（上市公司）'!$A$1:$J$68</definedName>
    <definedName name="_xlnm.Print_Area" localSheetId="21">'公允价值复核表H7-13'!$A$1:$M$46</definedName>
    <definedName name="_xlnm.Print_Area" localSheetId="25">'关联交易检查表H7-17'!$A$1:$O$34</definedName>
    <definedName name="_xlnm.Print_Area" localSheetId="22">'互转审核表H7-14'!$A$1:$U$41</definedName>
    <definedName name="_xlnm.Print_Area" localSheetId="9">'会计政策估计检查表H7-4'!$A$1:$K$44</definedName>
    <definedName name="_xlnm.Print_Area" localSheetId="15">'监盘计划H7-8'!$A$1:$I$62</definedName>
    <definedName name="_xlnm.Print_Area" localSheetId="17">'监盘小结H7-10'!$A$1:$I$98</definedName>
    <definedName name="_xlnm.Print_Area" localSheetId="13">'减少检查表（成本模式）H7-7'!$A$1:$W$34</definedName>
    <definedName name="_xlnm.Print_Area" localSheetId="14">'减少检查表（公允价值模式）H7-7'!$A$1:$S$28</definedName>
    <definedName name="_xlnm.Print_Area" localSheetId="23">'减值测算表H7-15'!$A$1:$N$34</definedName>
    <definedName name="_xlnm.Print_Area" localSheetId="24">'可收回金额测试表H7-16'!$A$1:$O$35</definedName>
    <definedName name="_xlnm.Print_Area" localSheetId="6">'明细表（成本模式）H7-2'!$A$1:$AY$50</definedName>
    <definedName name="_xlnm.Print_Area" localSheetId="7">'明细表（公允价值模式）H7-2'!$A$1:$AB$47</definedName>
    <definedName name="_xlnm.Print_Area" localSheetId="16">'盘点检查表H7-9'!$A$1:$M$54</definedName>
    <definedName name="_xlnm.Print_Area" localSheetId="2">'审定表（成本模式）H7-1'!$A$1:$I$53</definedName>
    <definedName name="_xlnm.Print_Area" localSheetId="3">'审定表（公允价值模式）H7-1'!$A$1:$I$52</definedName>
    <definedName name="_xlnm.Print_Area" localSheetId="1">生物资产实质性程序表H7A!$A$1:$I$35</definedName>
    <definedName name="_xlnm.Print_Area" localSheetId="11">'增加检查表（成本模式）H7-6'!$A$1:$U$33</definedName>
    <definedName name="_xlnm.Print_Area" localSheetId="12">'增加检查表（公允价值模式）H7-6'!$A$1:$T$34</definedName>
    <definedName name="_xlnm.Print_Area" localSheetId="18">'折旧测算表（不含减值）-直线法H7-11'!$A$1:$S$37</definedName>
    <definedName name="_xlnm.Print_Area" localSheetId="19">'折旧测算表（含减值）H7-11'!$A$1:$Y$43</definedName>
    <definedName name="_xlnm.Print_Area" localSheetId="20">'折旧分配分析表H7-12'!$A$1:$J$19</definedName>
    <definedName name="_xlnm.Print_Titles" localSheetId="6">'明细表（成本模式）H7-2'!$A:$B,'明细表（成本模式）H7-2'!$1:$4</definedName>
    <definedName name="_xlnm.Print_Titles" localSheetId="7">'明细表（公允价值模式）H7-2'!$A:$C,'明细表（公允价值模式）H7-2'!$1:$4</definedName>
    <definedName name="_xlnm.Print_Titles" localSheetId="1">生物资产实质性程序表H7A!$15:$16</definedName>
    <definedName name="_xlnm.Print_Titles" localSheetId="18">'折旧测算表（不含减值）-直线法H7-11'!$7:$8</definedName>
    <definedName name="_xlnm.Print_Titles" localSheetId="19">'折旧测算表（含减值）H7-11'!$7:$8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8" l="1"/>
  <c r="J21" i="39" l="1"/>
  <c r="I21" i="39"/>
  <c r="E11" i="8"/>
  <c r="E12" i="8"/>
  <c r="E13" i="8"/>
  <c r="E14" i="8"/>
  <c r="E15" i="8"/>
  <c r="E16" i="8"/>
  <c r="E17" i="8"/>
  <c r="E18" i="8"/>
  <c r="E19" i="8"/>
  <c r="E20" i="8"/>
  <c r="E21" i="8"/>
  <c r="E22" i="8"/>
  <c r="E23" i="8"/>
  <c r="E24" i="8"/>
  <c r="E10" i="8"/>
  <c r="G30" i="15"/>
  <c r="G48" i="15"/>
  <c r="M46" i="15"/>
  <c r="I46" i="15"/>
  <c r="H46" i="15"/>
  <c r="G46" i="15"/>
  <c r="F46" i="15"/>
  <c r="L45" i="15"/>
  <c r="K45" i="15"/>
  <c r="J45" i="15"/>
  <c r="L44" i="15"/>
  <c r="K44" i="15"/>
  <c r="J44" i="15"/>
  <c r="L43" i="15"/>
  <c r="K43" i="15"/>
  <c r="J43" i="15"/>
  <c r="L42" i="15"/>
  <c r="K42" i="15"/>
  <c r="J42" i="15"/>
  <c r="L41" i="15"/>
  <c r="K41" i="15"/>
  <c r="J41" i="15"/>
  <c r="L40" i="15"/>
  <c r="K40" i="15"/>
  <c r="J40" i="15"/>
  <c r="L39" i="15"/>
  <c r="K39" i="15"/>
  <c r="J39" i="15"/>
  <c r="L38" i="15"/>
  <c r="K38" i="15"/>
  <c r="J38" i="15"/>
  <c r="L37" i="15"/>
  <c r="K37" i="15"/>
  <c r="J37" i="15"/>
  <c r="L36" i="15"/>
  <c r="K36" i="15"/>
  <c r="J36" i="15"/>
  <c r="L35" i="15"/>
  <c r="K35" i="15"/>
  <c r="J35" i="15"/>
  <c r="J19" i="15"/>
  <c r="K19" i="15"/>
  <c r="L19" i="15"/>
  <c r="J20" i="15"/>
  <c r="K20" i="15"/>
  <c r="L20" i="15"/>
  <c r="J21" i="15"/>
  <c r="K21" i="15"/>
  <c r="L21" i="15"/>
  <c r="J22" i="15"/>
  <c r="K22" i="15"/>
  <c r="L22" i="15"/>
  <c r="J23" i="15"/>
  <c r="K23" i="15"/>
  <c r="L23" i="15"/>
  <c r="J24" i="15"/>
  <c r="K24" i="15"/>
  <c r="L24" i="15"/>
  <c r="J25" i="15"/>
  <c r="K25" i="15"/>
  <c r="L25" i="15"/>
  <c r="J26" i="15"/>
  <c r="K26" i="15"/>
  <c r="L26" i="15"/>
  <c r="J27" i="15"/>
  <c r="K27" i="15"/>
  <c r="L27" i="15"/>
  <c r="L18" i="15"/>
  <c r="K18" i="15"/>
  <c r="J18" i="15"/>
  <c r="L17" i="15"/>
  <c r="K17" i="15"/>
  <c r="J17" i="15"/>
  <c r="J46" i="15" l="1"/>
  <c r="L46" i="15"/>
  <c r="K46" i="15"/>
  <c r="D6" i="18" l="1"/>
  <c r="D7" i="18" s="1"/>
  <c r="D8" i="18" s="1"/>
  <c r="D9" i="18" s="1"/>
  <c r="D10" i="18" s="1"/>
  <c r="D11" i="18" s="1"/>
  <c r="D12" i="18" s="1"/>
  <c r="D13" i="18" s="1"/>
  <c r="D14" i="18" s="1"/>
  <c r="D15" i="18" s="1"/>
  <c r="D16" i="18" s="1"/>
  <c r="D17" i="18" s="1"/>
  <c r="D18" i="18" s="1"/>
  <c r="D19" i="18" s="1"/>
  <c r="D20" i="18" s="1"/>
  <c r="D21" i="18" s="1"/>
  <c r="D22" i="18" s="1"/>
  <c r="D23" i="18" s="1"/>
  <c r="D24" i="18" s="1"/>
  <c r="D25" i="18" s="1"/>
  <c r="D26" i="18" s="1"/>
  <c r="D27" i="18" s="1"/>
  <c r="D28" i="18" s="1"/>
  <c r="H19" i="35" l="1"/>
  <c r="E4" i="46" l="1"/>
  <c r="C4" i="46"/>
  <c r="A4" i="46"/>
  <c r="E3" i="46"/>
  <c r="C3" i="46"/>
  <c r="A3" i="46"/>
  <c r="G19" i="13" l="1"/>
  <c r="M10" i="13"/>
  <c r="N10" i="13" s="1"/>
  <c r="I10" i="27" l="1"/>
  <c r="J10" i="27" s="1"/>
  <c r="L10" i="27" s="1"/>
  <c r="M13" i="41" l="1"/>
  <c r="K13" i="41"/>
  <c r="H29" i="41"/>
  <c r="I29" i="41"/>
  <c r="J29" i="41"/>
  <c r="E29" i="41"/>
  <c r="F29" i="41"/>
  <c r="D29" i="41"/>
  <c r="G13" i="41"/>
  <c r="L13" i="41" s="1"/>
  <c r="Q13" i="41" l="1"/>
  <c r="R13" i="41"/>
  <c r="L25" i="12"/>
  <c r="M25" i="12" s="1"/>
  <c r="L26" i="12"/>
  <c r="M26" i="12" s="1"/>
  <c r="L27" i="12"/>
  <c r="M27" i="12" s="1"/>
  <c r="L28" i="12"/>
  <c r="M28" i="12" s="1"/>
  <c r="L29" i="12"/>
  <c r="M29" i="12" s="1"/>
  <c r="L30" i="12"/>
  <c r="M30" i="12" s="1"/>
  <c r="L31" i="12"/>
  <c r="M31" i="12" s="1"/>
  <c r="L32" i="12"/>
  <c r="M32" i="12" s="1"/>
  <c r="E33" i="12"/>
  <c r="F26" i="11"/>
  <c r="E26" i="11"/>
  <c r="K15" i="39"/>
  <c r="K16" i="39"/>
  <c r="K17" i="39"/>
  <c r="K18" i="39"/>
  <c r="K19" i="39"/>
  <c r="K20" i="39"/>
  <c r="K14" i="39"/>
  <c r="W12" i="37"/>
  <c r="K21" i="39" l="1"/>
  <c r="K23" i="39" s="1"/>
  <c r="L15" i="10"/>
  <c r="O15" i="10" s="1"/>
  <c r="I25" i="10"/>
  <c r="I24" i="38"/>
  <c r="K14" i="38"/>
  <c r="L23" i="9"/>
  <c r="K24" i="9"/>
  <c r="L14" i="9"/>
  <c r="E37" i="37"/>
  <c r="G37" i="37"/>
  <c r="J37" i="37"/>
  <c r="K37" i="37"/>
  <c r="L37" i="37"/>
  <c r="Q37" i="37"/>
  <c r="R37" i="37"/>
  <c r="T37" i="37"/>
  <c r="U37" i="37"/>
  <c r="D37" i="37"/>
  <c r="V12" i="37"/>
  <c r="S36" i="37"/>
  <c r="S12" i="37"/>
  <c r="O12" i="37"/>
  <c r="N12" i="37"/>
  <c r="M12" i="37"/>
  <c r="I12" i="37"/>
  <c r="AU13" i="4"/>
  <c r="AS13" i="4"/>
  <c r="AR13" i="4"/>
  <c r="AQ13" i="4"/>
  <c r="AK13" i="4"/>
  <c r="AD13" i="4"/>
  <c r="AC13" i="4"/>
  <c r="AB13" i="4"/>
  <c r="V13" i="4"/>
  <c r="O13" i="4"/>
  <c r="N13" i="4"/>
  <c r="M13" i="4"/>
  <c r="AN37" i="4"/>
  <c r="AO37" i="4"/>
  <c r="D37" i="4"/>
  <c r="I13" i="4"/>
  <c r="I4" i="35"/>
  <c r="F4" i="35"/>
  <c r="I4" i="13"/>
  <c r="E4" i="13"/>
  <c r="J4" i="27"/>
  <c r="G4" i="27"/>
  <c r="G4" i="31"/>
  <c r="D4" i="31"/>
  <c r="J4" i="41"/>
  <c r="D4" i="41"/>
  <c r="H4" i="40"/>
  <c r="D4" i="40"/>
  <c r="S4" i="12"/>
  <c r="G4" i="12"/>
  <c r="M4" i="11"/>
  <c r="G4" i="11"/>
  <c r="F4" i="34"/>
  <c r="D4" i="34"/>
  <c r="J4" i="15"/>
  <c r="E4" i="15"/>
  <c r="F4" i="33"/>
  <c r="D4" i="33"/>
  <c r="L4" i="39"/>
  <c r="I4" i="39"/>
  <c r="O4" i="10"/>
  <c r="O3" i="10"/>
  <c r="F4" i="10"/>
  <c r="J4" i="38"/>
  <c r="F4" i="38"/>
  <c r="J4" i="9"/>
  <c r="J3" i="9"/>
  <c r="F4" i="9"/>
  <c r="H4" i="30"/>
  <c r="E4" i="30"/>
  <c r="D4" i="8"/>
  <c r="C4" i="8"/>
  <c r="G4" i="45"/>
  <c r="G3" i="45"/>
  <c r="D4" i="45"/>
  <c r="D3" i="45"/>
  <c r="A4" i="45"/>
  <c r="A3" i="45"/>
  <c r="X4" i="37"/>
  <c r="U4" i="37"/>
  <c r="L4" i="37"/>
  <c r="H4" i="37"/>
  <c r="AQ4" i="4"/>
  <c r="AQ3" i="4"/>
  <c r="AJ4" i="4"/>
  <c r="AJ3" i="4"/>
  <c r="Y4" i="4"/>
  <c r="Y3" i="4"/>
  <c r="U4" i="4"/>
  <c r="U3" i="4"/>
  <c r="K4" i="4"/>
  <c r="G4" i="4"/>
  <c r="D4" i="43"/>
  <c r="B4" i="43"/>
  <c r="F4" i="2"/>
  <c r="C4" i="2"/>
  <c r="F4" i="36"/>
  <c r="D4" i="36"/>
  <c r="F4" i="1"/>
  <c r="D4" i="1"/>
  <c r="AE13" i="4" l="1"/>
  <c r="Y12" i="37"/>
  <c r="AW13" i="4"/>
  <c r="AV13" i="4"/>
  <c r="AT13" i="4"/>
  <c r="P13" i="4"/>
  <c r="P12" i="37"/>
  <c r="X12" i="37"/>
  <c r="AX13" i="4" l="1"/>
  <c r="Z12" i="37"/>
  <c r="K9" i="11"/>
  <c r="O9" i="11" s="1"/>
  <c r="L9" i="11"/>
  <c r="N9" i="11" s="1"/>
  <c r="P9" i="11" l="1"/>
  <c r="Q9" i="11"/>
  <c r="M9" i="11"/>
  <c r="R9" i="11" s="1"/>
  <c r="S9" i="11" s="1"/>
  <c r="I14" i="4"/>
  <c r="M14" i="4"/>
  <c r="N14" i="4"/>
  <c r="O14" i="4"/>
  <c r="V14" i="4"/>
  <c r="AB14" i="4"/>
  <c r="AC14" i="4"/>
  <c r="AD14" i="4"/>
  <c r="AK14" i="4"/>
  <c r="AQ14" i="4"/>
  <c r="AR14" i="4"/>
  <c r="AS14" i="4"/>
  <c r="AU14" i="4"/>
  <c r="I15" i="4"/>
  <c r="M15" i="4"/>
  <c r="N15" i="4"/>
  <c r="O15" i="4"/>
  <c r="V15" i="4"/>
  <c r="AB15" i="4"/>
  <c r="AC15" i="4"/>
  <c r="AD15" i="4"/>
  <c r="AK15" i="4"/>
  <c r="AQ15" i="4"/>
  <c r="AR15" i="4"/>
  <c r="AS15" i="4"/>
  <c r="AU15" i="4"/>
  <c r="I16" i="4"/>
  <c r="M16" i="4"/>
  <c r="N16" i="4"/>
  <c r="O16" i="4"/>
  <c r="V16" i="4"/>
  <c r="AB16" i="4"/>
  <c r="AC16" i="4"/>
  <c r="AD16" i="4"/>
  <c r="AK16" i="4"/>
  <c r="AQ16" i="4"/>
  <c r="AR16" i="4"/>
  <c r="AS16" i="4"/>
  <c r="AU16" i="4"/>
  <c r="I17" i="4"/>
  <c r="M17" i="4"/>
  <c r="N17" i="4"/>
  <c r="O17" i="4"/>
  <c r="V17" i="4"/>
  <c r="AB17" i="4"/>
  <c r="AC17" i="4"/>
  <c r="AD17" i="4"/>
  <c r="AK17" i="4"/>
  <c r="AQ17" i="4"/>
  <c r="AR17" i="4"/>
  <c r="AS17" i="4"/>
  <c r="AU17" i="4"/>
  <c r="I18" i="4"/>
  <c r="M18" i="4"/>
  <c r="N18" i="4"/>
  <c r="O18" i="4"/>
  <c r="V18" i="4"/>
  <c r="AB18" i="4"/>
  <c r="AC18" i="4"/>
  <c r="AD18" i="4"/>
  <c r="AK18" i="4"/>
  <c r="AQ18" i="4"/>
  <c r="AR18" i="4"/>
  <c r="AS18" i="4"/>
  <c r="AU18" i="4"/>
  <c r="I19" i="4"/>
  <c r="M19" i="4"/>
  <c r="N19" i="4"/>
  <c r="O19" i="4"/>
  <c r="V19" i="4"/>
  <c r="AB19" i="4"/>
  <c r="AC19" i="4"/>
  <c r="AD19" i="4"/>
  <c r="AK19" i="4"/>
  <c r="AQ19" i="4"/>
  <c r="AR19" i="4"/>
  <c r="AS19" i="4"/>
  <c r="AU19" i="4"/>
  <c r="I20" i="4"/>
  <c r="M20" i="4"/>
  <c r="N20" i="4"/>
  <c r="O20" i="4"/>
  <c r="V20" i="4"/>
  <c r="AB20" i="4"/>
  <c r="AC20" i="4"/>
  <c r="AD20" i="4"/>
  <c r="AK20" i="4"/>
  <c r="AQ20" i="4"/>
  <c r="AR20" i="4"/>
  <c r="AS20" i="4"/>
  <c r="AU20" i="4"/>
  <c r="I21" i="4"/>
  <c r="M21" i="4"/>
  <c r="N21" i="4"/>
  <c r="O21" i="4"/>
  <c r="V21" i="4"/>
  <c r="AB21" i="4"/>
  <c r="AC21" i="4"/>
  <c r="AD21" i="4"/>
  <c r="AK21" i="4"/>
  <c r="AQ21" i="4"/>
  <c r="AR21" i="4"/>
  <c r="AS21" i="4"/>
  <c r="AU21" i="4"/>
  <c r="I22" i="4"/>
  <c r="M22" i="4"/>
  <c r="N22" i="4"/>
  <c r="O22" i="4"/>
  <c r="V22" i="4"/>
  <c r="AB22" i="4"/>
  <c r="AC22" i="4"/>
  <c r="AD22" i="4"/>
  <c r="AK22" i="4"/>
  <c r="AQ22" i="4"/>
  <c r="AV22" i="4" s="1"/>
  <c r="AR22" i="4"/>
  <c r="AS22" i="4"/>
  <c r="AU22" i="4"/>
  <c r="I23" i="4"/>
  <c r="M23" i="4"/>
  <c r="N23" i="4"/>
  <c r="O23" i="4"/>
  <c r="V23" i="4"/>
  <c r="AB23" i="4"/>
  <c r="AC23" i="4"/>
  <c r="AD23" i="4"/>
  <c r="AK23" i="4"/>
  <c r="AQ23" i="4"/>
  <c r="AR23" i="4"/>
  <c r="AS23" i="4"/>
  <c r="AU23" i="4"/>
  <c r="I24" i="4"/>
  <c r="M24" i="4"/>
  <c r="N24" i="4"/>
  <c r="O24" i="4"/>
  <c r="V24" i="4"/>
  <c r="AB24" i="4"/>
  <c r="AC24" i="4"/>
  <c r="AD24" i="4"/>
  <c r="AK24" i="4"/>
  <c r="AQ24" i="4"/>
  <c r="AR24" i="4"/>
  <c r="AS24" i="4"/>
  <c r="AU24" i="4"/>
  <c r="I25" i="4"/>
  <c r="M25" i="4"/>
  <c r="N25" i="4"/>
  <c r="O25" i="4"/>
  <c r="V25" i="4"/>
  <c r="AB25" i="4"/>
  <c r="AC25" i="4"/>
  <c r="AD25" i="4"/>
  <c r="AK25" i="4"/>
  <c r="AQ25" i="4"/>
  <c r="AR25" i="4"/>
  <c r="AS25" i="4"/>
  <c r="AU25" i="4"/>
  <c r="I26" i="4"/>
  <c r="M26" i="4"/>
  <c r="N26" i="4"/>
  <c r="O26" i="4"/>
  <c r="V26" i="4"/>
  <c r="AB26" i="4"/>
  <c r="AC26" i="4"/>
  <c r="AD26" i="4"/>
  <c r="AK26" i="4"/>
  <c r="AQ26" i="4"/>
  <c r="AR26" i="4"/>
  <c r="AS26" i="4"/>
  <c r="AU26" i="4"/>
  <c r="I27" i="4"/>
  <c r="M27" i="4"/>
  <c r="N27" i="4"/>
  <c r="O27" i="4"/>
  <c r="V27" i="4"/>
  <c r="AB27" i="4"/>
  <c r="AC27" i="4"/>
  <c r="AD27" i="4"/>
  <c r="AK27" i="4"/>
  <c r="AQ27" i="4"/>
  <c r="AR27" i="4"/>
  <c r="AS27" i="4"/>
  <c r="AU27" i="4"/>
  <c r="I28" i="4"/>
  <c r="M28" i="4"/>
  <c r="N28" i="4"/>
  <c r="O28" i="4"/>
  <c r="V28" i="4"/>
  <c r="AB28" i="4"/>
  <c r="AC28" i="4"/>
  <c r="AD28" i="4"/>
  <c r="AK28" i="4"/>
  <c r="AQ28" i="4"/>
  <c r="AR28" i="4"/>
  <c r="AS28" i="4"/>
  <c r="AU28" i="4"/>
  <c r="I29" i="4"/>
  <c r="M29" i="4"/>
  <c r="N29" i="4"/>
  <c r="O29" i="4"/>
  <c r="V29" i="4"/>
  <c r="AB29" i="4"/>
  <c r="AC29" i="4"/>
  <c r="AD29" i="4"/>
  <c r="AK29" i="4"/>
  <c r="AQ29" i="4"/>
  <c r="AR29" i="4"/>
  <c r="AS29" i="4"/>
  <c r="AU29" i="4"/>
  <c r="I30" i="4"/>
  <c r="M30" i="4"/>
  <c r="N30" i="4"/>
  <c r="O30" i="4"/>
  <c r="V30" i="4"/>
  <c r="AB30" i="4"/>
  <c r="AC30" i="4"/>
  <c r="AD30" i="4"/>
  <c r="AK30" i="4"/>
  <c r="AQ30" i="4"/>
  <c r="AR30" i="4"/>
  <c r="AS30" i="4"/>
  <c r="AU30" i="4"/>
  <c r="I31" i="4"/>
  <c r="M31" i="4"/>
  <c r="N31" i="4"/>
  <c r="O31" i="4"/>
  <c r="V31" i="4"/>
  <c r="AB31" i="4"/>
  <c r="AC31" i="4"/>
  <c r="AD31" i="4"/>
  <c r="AK31" i="4"/>
  <c r="AQ31" i="4"/>
  <c r="AR31" i="4"/>
  <c r="AS31" i="4"/>
  <c r="AU31" i="4"/>
  <c r="I32" i="4"/>
  <c r="M32" i="4"/>
  <c r="N32" i="4"/>
  <c r="O32" i="4"/>
  <c r="V32" i="4"/>
  <c r="AB32" i="4"/>
  <c r="AC32" i="4"/>
  <c r="AD32" i="4"/>
  <c r="AK32" i="4"/>
  <c r="AQ32" i="4"/>
  <c r="AR32" i="4"/>
  <c r="AS32" i="4"/>
  <c r="AU32" i="4"/>
  <c r="I33" i="4"/>
  <c r="M33" i="4"/>
  <c r="N33" i="4"/>
  <c r="O33" i="4"/>
  <c r="V33" i="4"/>
  <c r="AB33" i="4"/>
  <c r="AC33" i="4"/>
  <c r="AD33" i="4"/>
  <c r="AK33" i="4"/>
  <c r="AQ33" i="4"/>
  <c r="AR33" i="4"/>
  <c r="AS33" i="4"/>
  <c r="AU33" i="4"/>
  <c r="I34" i="4"/>
  <c r="M34" i="4"/>
  <c r="N34" i="4"/>
  <c r="O34" i="4"/>
  <c r="V34" i="4"/>
  <c r="AB34" i="4"/>
  <c r="AC34" i="4"/>
  <c r="AD34" i="4"/>
  <c r="AK34" i="4"/>
  <c r="AQ34" i="4"/>
  <c r="AR34" i="4"/>
  <c r="AS34" i="4"/>
  <c r="AU34" i="4"/>
  <c r="I35" i="4"/>
  <c r="M35" i="4"/>
  <c r="N35" i="4"/>
  <c r="O35" i="4"/>
  <c r="V35" i="4"/>
  <c r="AB35" i="4"/>
  <c r="AC35" i="4"/>
  <c r="AD35" i="4"/>
  <c r="AK35" i="4"/>
  <c r="AQ35" i="4"/>
  <c r="AR35" i="4"/>
  <c r="AS35" i="4"/>
  <c r="AU35" i="4"/>
  <c r="I36" i="4"/>
  <c r="M36" i="4"/>
  <c r="N36" i="4"/>
  <c r="O36" i="4"/>
  <c r="V36" i="4"/>
  <c r="AB36" i="4"/>
  <c r="AC36" i="4"/>
  <c r="AD36" i="4"/>
  <c r="AK36" i="4"/>
  <c r="AQ36" i="4"/>
  <c r="AR36" i="4"/>
  <c r="AS36" i="4"/>
  <c r="AU36" i="4"/>
  <c r="E37" i="4"/>
  <c r="G37" i="4"/>
  <c r="J37" i="4"/>
  <c r="K37" i="4"/>
  <c r="L37" i="4"/>
  <c r="Q37" i="4"/>
  <c r="R37" i="4"/>
  <c r="S37" i="4"/>
  <c r="T37" i="4"/>
  <c r="U37" i="4"/>
  <c r="W37" i="4"/>
  <c r="X37" i="4"/>
  <c r="Y37" i="4"/>
  <c r="Z37" i="4"/>
  <c r="AA37" i="4"/>
  <c r="AF37" i="4"/>
  <c r="AL37" i="4"/>
  <c r="AW32" i="4" l="1"/>
  <c r="AW27" i="4"/>
  <c r="AV14" i="4"/>
  <c r="AT32" i="4"/>
  <c r="AT36" i="4"/>
  <c r="AW33" i="4"/>
  <c r="AW29" i="4"/>
  <c r="AW21" i="4"/>
  <c r="AE15" i="4"/>
  <c r="AV30" i="4"/>
  <c r="AV18" i="4"/>
  <c r="P34" i="4"/>
  <c r="AE19" i="4"/>
  <c r="P26" i="4"/>
  <c r="AW35" i="4"/>
  <c r="P30" i="4"/>
  <c r="AT24" i="4"/>
  <c r="AE24" i="4"/>
  <c r="P23" i="4"/>
  <c r="AE18" i="4"/>
  <c r="P14" i="4"/>
  <c r="AW30" i="4"/>
  <c r="AT29" i="4"/>
  <c r="AE29" i="4"/>
  <c r="P29" i="4"/>
  <c r="AW26" i="4"/>
  <c r="AT25" i="4"/>
  <c r="AV25" i="4"/>
  <c r="AE22" i="4"/>
  <c r="P22" i="4"/>
  <c r="P19" i="4"/>
  <c r="P18" i="4"/>
  <c r="AT16" i="4"/>
  <c r="AW34" i="4"/>
  <c r="AT33" i="4"/>
  <c r="AV31" i="4"/>
  <c r="AT28" i="4"/>
  <c r="AW19" i="4"/>
  <c r="AW14" i="4"/>
  <c r="AT35" i="4"/>
  <c r="AE35" i="4"/>
  <c r="AE31" i="4"/>
  <c r="P31" i="4"/>
  <c r="AE27" i="4"/>
  <c r="P27" i="4"/>
  <c r="AE26" i="4"/>
  <c r="P24" i="4"/>
  <c r="AT20" i="4"/>
  <c r="AE20" i="4"/>
  <c r="AE32" i="4"/>
  <c r="P32" i="4"/>
  <c r="AT23" i="4"/>
  <c r="AE23" i="4"/>
  <c r="AW18" i="4"/>
  <c r="AT17" i="4"/>
  <c r="AE17" i="4"/>
  <c r="AT14" i="4"/>
  <c r="AV20" i="4"/>
  <c r="AW17" i="4"/>
  <c r="AC37" i="4"/>
  <c r="AV33" i="4"/>
  <c r="AT30" i="4"/>
  <c r="AV28" i="4"/>
  <c r="AT26" i="4"/>
  <c r="P35" i="4"/>
  <c r="AE33" i="4"/>
  <c r="AT31" i="4"/>
  <c r="AE30" i="4"/>
  <c r="AE28" i="4"/>
  <c r="AW25" i="4"/>
  <c r="AE21" i="4"/>
  <c r="AW20" i="4"/>
  <c r="AT19" i="4"/>
  <c r="AT18" i="4"/>
  <c r="AB37" i="4"/>
  <c r="P16" i="4"/>
  <c r="AE14" i="4"/>
  <c r="AE36" i="4"/>
  <c r="AV36" i="4"/>
  <c r="AT34" i="4"/>
  <c r="AE34" i="4"/>
  <c r="AW28" i="4"/>
  <c r="AT27" i="4"/>
  <c r="AW23" i="4"/>
  <c r="AV23" i="4"/>
  <c r="AW22" i="4"/>
  <c r="AT21" i="4"/>
  <c r="P21" i="4"/>
  <c r="P17" i="4"/>
  <c r="AT15" i="4"/>
  <c r="AW36" i="4"/>
  <c r="AW31" i="4"/>
  <c r="P25" i="4"/>
  <c r="AW24" i="4"/>
  <c r="AT22" i="4"/>
  <c r="P20" i="4"/>
  <c r="AV17" i="4"/>
  <c r="AV15" i="4"/>
  <c r="AD37" i="4"/>
  <c r="AV35" i="4"/>
  <c r="AV27" i="4"/>
  <c r="AV19" i="4"/>
  <c r="AW16" i="4"/>
  <c r="AE16" i="4"/>
  <c r="P15" i="4"/>
  <c r="P36" i="4"/>
  <c r="AV32" i="4"/>
  <c r="P28" i="4"/>
  <c r="AV24" i="4"/>
  <c r="AV16" i="4"/>
  <c r="P33" i="4"/>
  <c r="AV29" i="4"/>
  <c r="AV21" i="4"/>
  <c r="AV34" i="4"/>
  <c r="AV26" i="4"/>
  <c r="AW15" i="4"/>
  <c r="AE25" i="4"/>
  <c r="A25" i="27"/>
  <c r="A26" i="27"/>
  <c r="A27" i="27"/>
  <c r="A28" i="27"/>
  <c r="A24" i="27"/>
  <c r="A32" i="41"/>
  <c r="A33" i="41"/>
  <c r="A34" i="41"/>
  <c r="A35" i="41"/>
  <c r="A31" i="41"/>
  <c r="K26" i="41"/>
  <c r="M26" i="41"/>
  <c r="K27" i="41"/>
  <c r="M27" i="41"/>
  <c r="K28" i="41"/>
  <c r="M28" i="41"/>
  <c r="G26" i="41"/>
  <c r="L26" i="41" s="1"/>
  <c r="G27" i="41"/>
  <c r="L27" i="41" s="1"/>
  <c r="G28" i="41"/>
  <c r="L28" i="41" s="1"/>
  <c r="K24" i="41"/>
  <c r="M24" i="41"/>
  <c r="K25" i="41"/>
  <c r="M25" i="41"/>
  <c r="G24" i="41"/>
  <c r="L24" i="41" s="1"/>
  <c r="G25" i="41"/>
  <c r="L25" i="41" s="1"/>
  <c r="A32" i="40"/>
  <c r="A33" i="40"/>
  <c r="A34" i="40"/>
  <c r="A35" i="40"/>
  <c r="A31" i="40"/>
  <c r="D29" i="40"/>
  <c r="E29" i="40"/>
  <c r="F29" i="40"/>
  <c r="G29" i="40"/>
  <c r="C29" i="40"/>
  <c r="A39" i="12"/>
  <c r="A38" i="12"/>
  <c r="A37" i="12"/>
  <c r="A36" i="12"/>
  <c r="A35" i="12"/>
  <c r="A29" i="11"/>
  <c r="A30" i="11"/>
  <c r="A31" i="11"/>
  <c r="A32" i="11"/>
  <c r="A28" i="11"/>
  <c r="W15" i="37"/>
  <c r="W16" i="37"/>
  <c r="W17" i="37"/>
  <c r="W18" i="37"/>
  <c r="W19" i="37"/>
  <c r="W20" i="37"/>
  <c r="W21" i="37"/>
  <c r="W22" i="37"/>
  <c r="W23" i="37"/>
  <c r="W24" i="37"/>
  <c r="W25" i="37"/>
  <c r="W26" i="37"/>
  <c r="W27" i="37"/>
  <c r="W28" i="37"/>
  <c r="W29" i="37"/>
  <c r="W30" i="37"/>
  <c r="W31" i="37"/>
  <c r="W32" i="37"/>
  <c r="W33" i="37"/>
  <c r="W34" i="37"/>
  <c r="W35" i="37"/>
  <c r="W36" i="37"/>
  <c r="W13" i="37"/>
  <c r="V15" i="37"/>
  <c r="X15" i="37" s="1"/>
  <c r="V16" i="37"/>
  <c r="V17" i="37"/>
  <c r="V18" i="37"/>
  <c r="V19" i="37"/>
  <c r="V20" i="37"/>
  <c r="X20" i="37" s="1"/>
  <c r="V21" i="37"/>
  <c r="V22" i="37"/>
  <c r="V23" i="37"/>
  <c r="X23" i="37" s="1"/>
  <c r="V24" i="37"/>
  <c r="V25" i="37"/>
  <c r="V26" i="37"/>
  <c r="V27" i="37"/>
  <c r="V28" i="37"/>
  <c r="X28" i="37" s="1"/>
  <c r="V29" i="37"/>
  <c r="V30" i="37"/>
  <c r="V31" i="37"/>
  <c r="X31" i="37" s="1"/>
  <c r="V32" i="37"/>
  <c r="V33" i="37"/>
  <c r="V34" i="37"/>
  <c r="V35" i="37"/>
  <c r="V13" i="37"/>
  <c r="S14" i="37"/>
  <c r="S15" i="37"/>
  <c r="S16" i="37"/>
  <c r="S17" i="37"/>
  <c r="S18" i="37"/>
  <c r="S19" i="37"/>
  <c r="S20" i="37"/>
  <c r="S21" i="37"/>
  <c r="S22" i="37"/>
  <c r="S23" i="37"/>
  <c r="S24" i="37"/>
  <c r="S25" i="37"/>
  <c r="S26" i="37"/>
  <c r="S27" i="37"/>
  <c r="S28" i="37"/>
  <c r="S29" i="37"/>
  <c r="S30" i="37"/>
  <c r="S31" i="37"/>
  <c r="S32" i="37"/>
  <c r="S33" i="37"/>
  <c r="S34" i="37"/>
  <c r="S35" i="37"/>
  <c r="S13" i="37"/>
  <c r="M35" i="37"/>
  <c r="Y35" i="37" s="1"/>
  <c r="N35" i="37"/>
  <c r="O35" i="37"/>
  <c r="M36" i="37"/>
  <c r="N36" i="37"/>
  <c r="O36" i="37"/>
  <c r="M13" i="37"/>
  <c r="N13" i="37"/>
  <c r="O13" i="37"/>
  <c r="M14" i="37"/>
  <c r="N14" i="37"/>
  <c r="O14" i="37"/>
  <c r="M15" i="37"/>
  <c r="Y15" i="37" s="1"/>
  <c r="N15" i="37"/>
  <c r="O15" i="37"/>
  <c r="M16" i="37"/>
  <c r="Y16" i="37" s="1"/>
  <c r="N16" i="37"/>
  <c r="O16" i="37"/>
  <c r="M17" i="37"/>
  <c r="N17" i="37"/>
  <c r="O17" i="37"/>
  <c r="M18" i="37"/>
  <c r="N18" i="37"/>
  <c r="O18" i="37"/>
  <c r="M19" i="37"/>
  <c r="Y19" i="37" s="1"/>
  <c r="N19" i="37"/>
  <c r="O19" i="37"/>
  <c r="M20" i="37"/>
  <c r="N20" i="37"/>
  <c r="O20" i="37"/>
  <c r="M21" i="37"/>
  <c r="Y21" i="37" s="1"/>
  <c r="N21" i="37"/>
  <c r="O21" i="37"/>
  <c r="M22" i="37"/>
  <c r="N22" i="37"/>
  <c r="O22" i="37"/>
  <c r="M23" i="37"/>
  <c r="Y23" i="37" s="1"/>
  <c r="N23" i="37"/>
  <c r="O23" i="37"/>
  <c r="M24" i="37"/>
  <c r="Y24" i="37" s="1"/>
  <c r="N24" i="37"/>
  <c r="O24" i="37"/>
  <c r="M25" i="37"/>
  <c r="N25" i="37"/>
  <c r="O25" i="37"/>
  <c r="M26" i="37"/>
  <c r="N26" i="37"/>
  <c r="O26" i="37"/>
  <c r="M27" i="37"/>
  <c r="Y27" i="37" s="1"/>
  <c r="N27" i="37"/>
  <c r="O27" i="37"/>
  <c r="M28" i="37"/>
  <c r="N28" i="37"/>
  <c r="O28" i="37"/>
  <c r="M29" i="37"/>
  <c r="Y29" i="37" s="1"/>
  <c r="N29" i="37"/>
  <c r="O29" i="37"/>
  <c r="M30" i="37"/>
  <c r="N30" i="37"/>
  <c r="O30" i="37"/>
  <c r="M31" i="37"/>
  <c r="Y31" i="37" s="1"/>
  <c r="N31" i="37"/>
  <c r="O31" i="37"/>
  <c r="M32" i="37"/>
  <c r="Y32" i="37" s="1"/>
  <c r="N32" i="37"/>
  <c r="O32" i="37"/>
  <c r="M33" i="37"/>
  <c r="N33" i="37"/>
  <c r="O33" i="37"/>
  <c r="M34" i="37"/>
  <c r="N34" i="37"/>
  <c r="O34" i="37"/>
  <c r="I13" i="37"/>
  <c r="I14" i="37"/>
  <c r="I15" i="37"/>
  <c r="I16" i="37"/>
  <c r="I17" i="37"/>
  <c r="I18" i="37"/>
  <c r="I19" i="37"/>
  <c r="I20" i="37"/>
  <c r="I21" i="37"/>
  <c r="I22" i="37"/>
  <c r="I23" i="37"/>
  <c r="I24" i="37"/>
  <c r="I25" i="37"/>
  <c r="I26" i="37"/>
  <c r="I27" i="37"/>
  <c r="I28" i="37"/>
  <c r="I29" i="37"/>
  <c r="I30" i="37"/>
  <c r="I31" i="37"/>
  <c r="I32" i="37"/>
  <c r="I33" i="37"/>
  <c r="I34" i="37"/>
  <c r="I35" i="37"/>
  <c r="I36" i="37"/>
  <c r="A43" i="37"/>
  <c r="D43" i="37" s="1"/>
  <c r="A42" i="37"/>
  <c r="A41" i="37"/>
  <c r="A40" i="37"/>
  <c r="A39" i="37"/>
  <c r="A40" i="4"/>
  <c r="A41" i="4"/>
  <c r="A42" i="4"/>
  <c r="A43" i="4"/>
  <c r="A39" i="4"/>
  <c r="A12" i="36"/>
  <c r="A19" i="36" s="1"/>
  <c r="A9" i="36"/>
  <c r="A16" i="36" s="1"/>
  <c r="A10" i="36"/>
  <c r="A17" i="36" s="1"/>
  <c r="A11" i="36"/>
  <c r="A18" i="36" s="1"/>
  <c r="A8" i="36"/>
  <c r="A15" i="36" s="1"/>
  <c r="A9" i="1"/>
  <c r="A10" i="1"/>
  <c r="A11" i="1"/>
  <c r="A12" i="1"/>
  <c r="A8" i="1"/>
  <c r="A15" i="1" s="1"/>
  <c r="Y33" i="37" l="1"/>
  <c r="Y25" i="37"/>
  <c r="Y17" i="37"/>
  <c r="Y34" i="37"/>
  <c r="Y26" i="37"/>
  <c r="Y18" i="37"/>
  <c r="AX34" i="4"/>
  <c r="G27" i="27"/>
  <c r="H27" i="27"/>
  <c r="K27" i="27"/>
  <c r="F27" i="27"/>
  <c r="G26" i="27"/>
  <c r="H26" i="27"/>
  <c r="K26" i="27"/>
  <c r="F26" i="27"/>
  <c r="K25" i="27"/>
  <c r="H25" i="27"/>
  <c r="F25" i="27"/>
  <c r="G25" i="27"/>
  <c r="F24" i="27"/>
  <c r="G24" i="27"/>
  <c r="H24" i="27"/>
  <c r="K24" i="27"/>
  <c r="G28" i="27"/>
  <c r="F28" i="27"/>
  <c r="H28" i="27"/>
  <c r="K28" i="27"/>
  <c r="Q27" i="41"/>
  <c r="J32" i="41"/>
  <c r="H32" i="41"/>
  <c r="E32" i="41"/>
  <c r="F32" i="41"/>
  <c r="I32" i="41"/>
  <c r="D32" i="41"/>
  <c r="D34" i="41"/>
  <c r="J34" i="41"/>
  <c r="I34" i="41"/>
  <c r="H34" i="41"/>
  <c r="E34" i="41"/>
  <c r="F34" i="41"/>
  <c r="F31" i="41"/>
  <c r="I31" i="41"/>
  <c r="D31" i="41"/>
  <c r="J31" i="41"/>
  <c r="E31" i="41"/>
  <c r="H31" i="41"/>
  <c r="J33" i="41"/>
  <c r="H33" i="41"/>
  <c r="E33" i="41"/>
  <c r="D33" i="41"/>
  <c r="F33" i="41"/>
  <c r="I33" i="41"/>
  <c r="I35" i="41"/>
  <c r="F35" i="41"/>
  <c r="E35" i="41"/>
  <c r="D35" i="41"/>
  <c r="J35" i="41"/>
  <c r="H35" i="41"/>
  <c r="F34" i="40"/>
  <c r="C34" i="40"/>
  <c r="D34" i="40"/>
  <c r="E34" i="40"/>
  <c r="D33" i="40"/>
  <c r="F33" i="40"/>
  <c r="E33" i="40"/>
  <c r="C33" i="40"/>
  <c r="D32" i="40"/>
  <c r="C32" i="40"/>
  <c r="E32" i="40"/>
  <c r="F32" i="40"/>
  <c r="C31" i="40"/>
  <c r="F31" i="40"/>
  <c r="E31" i="40"/>
  <c r="D31" i="40"/>
  <c r="F35" i="40"/>
  <c r="E35" i="40"/>
  <c r="D35" i="40"/>
  <c r="C35" i="40"/>
  <c r="G35" i="12"/>
  <c r="F35" i="12"/>
  <c r="E35" i="12"/>
  <c r="E28" i="11"/>
  <c r="F28" i="11"/>
  <c r="Y30" i="37"/>
  <c r="Y22" i="37"/>
  <c r="X29" i="37"/>
  <c r="X21" i="37"/>
  <c r="Y13" i="37"/>
  <c r="Y28" i="37"/>
  <c r="Y20" i="37"/>
  <c r="S39" i="37"/>
  <c r="K39" i="37"/>
  <c r="R39" i="37"/>
  <c r="J39" i="37"/>
  <c r="Q39" i="37"/>
  <c r="I39" i="37"/>
  <c r="G39" i="37"/>
  <c r="O39" i="37"/>
  <c r="E39" i="37"/>
  <c r="N39" i="37"/>
  <c r="D39" i="37"/>
  <c r="U39" i="37"/>
  <c r="M39" i="37"/>
  <c r="D8" i="36" s="1"/>
  <c r="T39" i="37"/>
  <c r="L39" i="37"/>
  <c r="AX35" i="4"/>
  <c r="AX32" i="4"/>
  <c r="AP39" i="4"/>
  <c r="AH39" i="4"/>
  <c r="R39" i="4"/>
  <c r="J39" i="4"/>
  <c r="AW39" i="4"/>
  <c r="AN39" i="4"/>
  <c r="AG39" i="4"/>
  <c r="Q39" i="4"/>
  <c r="I39" i="4"/>
  <c r="AA39" i="4"/>
  <c r="AV39" i="4"/>
  <c r="AO39" i="4"/>
  <c r="AF39" i="4"/>
  <c r="X39" i="4"/>
  <c r="P39" i="4"/>
  <c r="G39" i="4"/>
  <c r="AU39" i="4"/>
  <c r="AM39" i="4"/>
  <c r="AE39" i="4"/>
  <c r="W39" i="4"/>
  <c r="O39" i="4"/>
  <c r="E39" i="4"/>
  <c r="AQ39" i="4"/>
  <c r="AT39" i="4"/>
  <c r="AL39" i="4"/>
  <c r="AD39" i="4"/>
  <c r="Z39" i="4"/>
  <c r="V39" i="4"/>
  <c r="N39" i="4"/>
  <c r="D39" i="4"/>
  <c r="B8" i="1" s="1"/>
  <c r="K39" i="4"/>
  <c r="AS39" i="4"/>
  <c r="AK39" i="4"/>
  <c r="AC39" i="4"/>
  <c r="Y39" i="4"/>
  <c r="U39" i="4"/>
  <c r="M39" i="4"/>
  <c r="D8" i="1" s="1"/>
  <c r="S39" i="4"/>
  <c r="AR39" i="4"/>
  <c r="AJ39" i="4"/>
  <c r="AB39" i="4"/>
  <c r="T39" i="4"/>
  <c r="L39" i="4"/>
  <c r="AI39" i="4"/>
  <c r="AO42" i="4"/>
  <c r="Y42" i="4"/>
  <c r="AN42" i="4"/>
  <c r="AA42" i="4"/>
  <c r="AA41" i="4"/>
  <c r="Y41" i="4"/>
  <c r="AN41" i="4"/>
  <c r="AO41" i="4"/>
  <c r="AA43" i="4"/>
  <c r="AN43" i="4"/>
  <c r="Y43" i="4"/>
  <c r="AO43" i="4"/>
  <c r="D43" i="4"/>
  <c r="AN40" i="4"/>
  <c r="AA40" i="4"/>
  <c r="AO40" i="4"/>
  <c r="Y40" i="4"/>
  <c r="X34" i="37"/>
  <c r="X26" i="37"/>
  <c r="X18" i="37"/>
  <c r="X30" i="37"/>
  <c r="X22" i="37"/>
  <c r="M37" i="37"/>
  <c r="X32" i="37"/>
  <c r="X24" i="37"/>
  <c r="X16" i="37"/>
  <c r="X17" i="37"/>
  <c r="X33" i="37"/>
  <c r="X25" i="37"/>
  <c r="I37" i="37"/>
  <c r="O37" i="37"/>
  <c r="N37" i="37"/>
  <c r="K25" i="38" s="1"/>
  <c r="S37" i="37"/>
  <c r="X35" i="37"/>
  <c r="X27" i="37"/>
  <c r="X19" i="37"/>
  <c r="AX19" i="4"/>
  <c r="AX27" i="4"/>
  <c r="AX25" i="4"/>
  <c r="AX21" i="4"/>
  <c r="AX36" i="4"/>
  <c r="AX15" i="4"/>
  <c r="AX29" i="4"/>
  <c r="AX20" i="4"/>
  <c r="AX14" i="4"/>
  <c r="AX18" i="4"/>
  <c r="AX28" i="4"/>
  <c r="AX16" i="4"/>
  <c r="AX22" i="4"/>
  <c r="AX30" i="4"/>
  <c r="AX26" i="4"/>
  <c r="AX23" i="4"/>
  <c r="X13" i="37"/>
  <c r="AX33" i="4"/>
  <c r="AX17" i="4"/>
  <c r="AX24" i="4"/>
  <c r="AX31" i="4"/>
  <c r="A26" i="36"/>
  <c r="A25" i="36"/>
  <c r="A24" i="36"/>
  <c r="P35" i="37"/>
  <c r="P32" i="37"/>
  <c r="Z32" i="37" s="1"/>
  <c r="P24" i="37"/>
  <c r="P16" i="37"/>
  <c r="P36" i="37"/>
  <c r="A22" i="36"/>
  <c r="A23" i="36"/>
  <c r="P30" i="37"/>
  <c r="P22" i="37"/>
  <c r="P14" i="37"/>
  <c r="P28" i="37"/>
  <c r="Z28" i="37" s="1"/>
  <c r="P20" i="37"/>
  <c r="Z20" i="37" s="1"/>
  <c r="P33" i="37"/>
  <c r="P25" i="37"/>
  <c r="P17" i="37"/>
  <c r="Z17" i="37" s="1"/>
  <c r="P27" i="37"/>
  <c r="Z27" i="37" s="1"/>
  <c r="P19" i="37"/>
  <c r="P29" i="37"/>
  <c r="Z29" i="37" s="1"/>
  <c r="P21" i="37"/>
  <c r="Z21" i="37" s="1"/>
  <c r="P13" i="37"/>
  <c r="Z13" i="37" s="1"/>
  <c r="P34" i="37"/>
  <c r="P26" i="37"/>
  <c r="Z26" i="37" s="1"/>
  <c r="P18" i="37"/>
  <c r="P31" i="37"/>
  <c r="Z31" i="37" s="1"/>
  <c r="P23" i="37"/>
  <c r="Z23" i="37" s="1"/>
  <c r="P15" i="37"/>
  <c r="Z15" i="37" s="1"/>
  <c r="AE37" i="4"/>
  <c r="Q26" i="41"/>
  <c r="R26" i="41"/>
  <c r="Q28" i="41"/>
  <c r="R28" i="41"/>
  <c r="R27" i="41"/>
  <c r="Q25" i="41"/>
  <c r="R25" i="41"/>
  <c r="Q24" i="41"/>
  <c r="R24" i="41"/>
  <c r="Z35" i="37" l="1"/>
  <c r="Z34" i="37"/>
  <c r="Z16" i="37"/>
  <c r="Z18" i="37"/>
  <c r="Z24" i="37"/>
  <c r="Z33" i="37"/>
  <c r="Z19" i="37"/>
  <c r="P39" i="37"/>
  <c r="Z30" i="37"/>
  <c r="Z25" i="37"/>
  <c r="Z22" i="37"/>
  <c r="F8" i="36"/>
  <c r="AX39" i="4"/>
  <c r="F15" i="1"/>
  <c r="F22" i="1"/>
  <c r="P37" i="37"/>
  <c r="V36" i="37"/>
  <c r="W14" i="37"/>
  <c r="V14" i="37"/>
  <c r="V37" i="37" l="1"/>
  <c r="Y14" i="37"/>
  <c r="V39" i="37"/>
  <c r="D15" i="36" s="1"/>
  <c r="W37" i="37"/>
  <c r="W39" i="37"/>
  <c r="X36" i="37"/>
  <c r="Z36" i="37" s="1"/>
  <c r="Y36" i="37"/>
  <c r="Y39" i="37" l="1"/>
  <c r="B3" i="43" l="1"/>
  <c r="A4" i="43"/>
  <c r="D3" i="43"/>
  <c r="A3" i="43"/>
  <c r="A4" i="40" l="1"/>
  <c r="J3" i="41"/>
  <c r="D3" i="41"/>
  <c r="A4" i="41"/>
  <c r="A3" i="41"/>
  <c r="M23" i="41" l="1"/>
  <c r="K23" i="41"/>
  <c r="G23" i="41"/>
  <c r="L23" i="41" s="1"/>
  <c r="M22" i="41"/>
  <c r="K22" i="41"/>
  <c r="G22" i="41"/>
  <c r="L22" i="41" s="1"/>
  <c r="M21" i="41"/>
  <c r="K21" i="41"/>
  <c r="G21" i="41"/>
  <c r="M20" i="41"/>
  <c r="K20" i="41"/>
  <c r="G20" i="41"/>
  <c r="L20" i="41" s="1"/>
  <c r="M19" i="41"/>
  <c r="K19" i="41"/>
  <c r="G19" i="41"/>
  <c r="L19" i="41" s="1"/>
  <c r="M18" i="41"/>
  <c r="K18" i="41"/>
  <c r="G18" i="41"/>
  <c r="L18" i="41" s="1"/>
  <c r="M17" i="41"/>
  <c r="K17" i="41"/>
  <c r="G17" i="41"/>
  <c r="L17" i="41" s="1"/>
  <c r="M16" i="41"/>
  <c r="K16" i="41"/>
  <c r="G16" i="41"/>
  <c r="L16" i="41" s="1"/>
  <c r="M15" i="41"/>
  <c r="K15" i="41"/>
  <c r="G15" i="41"/>
  <c r="L15" i="41" s="1"/>
  <c r="M14" i="41"/>
  <c r="K14" i="41"/>
  <c r="G14" i="41"/>
  <c r="L14" i="41" l="1"/>
  <c r="G29" i="41"/>
  <c r="G35" i="41"/>
  <c r="G34" i="41"/>
  <c r="G31" i="41"/>
  <c r="G33" i="41"/>
  <c r="G32" i="41"/>
  <c r="K29" i="41"/>
  <c r="K34" i="41"/>
  <c r="K33" i="41"/>
  <c r="K32" i="41"/>
  <c r="K35" i="41"/>
  <c r="K31" i="41"/>
  <c r="M31" i="41"/>
  <c r="M33" i="41"/>
  <c r="M32" i="41"/>
  <c r="M34" i="41"/>
  <c r="M35" i="41"/>
  <c r="M29" i="41"/>
  <c r="L21" i="41"/>
  <c r="Q21" i="41" s="1"/>
  <c r="Q15" i="41"/>
  <c r="Q23" i="41"/>
  <c r="Q20" i="41"/>
  <c r="Q14" i="41"/>
  <c r="Q18" i="41"/>
  <c r="R20" i="41"/>
  <c r="R17" i="41"/>
  <c r="R22" i="41"/>
  <c r="R23" i="41"/>
  <c r="R19" i="41"/>
  <c r="Q19" i="41"/>
  <c r="R14" i="41"/>
  <c r="R15" i="41"/>
  <c r="Q17" i="41"/>
  <c r="Q22" i="41"/>
  <c r="R16" i="41"/>
  <c r="Q16" i="41"/>
  <c r="R18" i="41"/>
  <c r="Q34" i="41" l="1"/>
  <c r="Q31" i="41"/>
  <c r="Q33" i="41"/>
  <c r="Q35" i="41"/>
  <c r="Q32" i="41"/>
  <c r="L29" i="41"/>
  <c r="L32" i="41"/>
  <c r="L35" i="41"/>
  <c r="L33" i="41"/>
  <c r="L34" i="41"/>
  <c r="L31" i="41"/>
  <c r="R21" i="41"/>
  <c r="R29" i="41" s="1"/>
  <c r="Q29" i="41"/>
  <c r="H3" i="40"/>
  <c r="D3" i="40"/>
  <c r="A3" i="40"/>
  <c r="I3" i="35"/>
  <c r="F3" i="35"/>
  <c r="A4" i="35"/>
  <c r="A3" i="35"/>
  <c r="H26" i="40"/>
  <c r="H27" i="40"/>
  <c r="I27" i="40" s="1"/>
  <c r="H28" i="40"/>
  <c r="I28" i="40" s="1"/>
  <c r="H25" i="40"/>
  <c r="I25" i="40" s="1"/>
  <c r="H24" i="40"/>
  <c r="I24" i="40" s="1"/>
  <c r="H23" i="40"/>
  <c r="I23" i="40" s="1"/>
  <c r="H22" i="40"/>
  <c r="I22" i="40" s="1"/>
  <c r="H21" i="40"/>
  <c r="I21" i="40" s="1"/>
  <c r="H20" i="40"/>
  <c r="I20" i="40" s="1"/>
  <c r="H19" i="40"/>
  <c r="I19" i="40" s="1"/>
  <c r="H18" i="40"/>
  <c r="I18" i="40" s="1"/>
  <c r="H17" i="40"/>
  <c r="I17" i="40" s="1"/>
  <c r="H16" i="40"/>
  <c r="I16" i="40" s="1"/>
  <c r="H15" i="40"/>
  <c r="I15" i="40" s="1"/>
  <c r="H14" i="40"/>
  <c r="I14" i="40" s="1"/>
  <c r="H13" i="40"/>
  <c r="I13" i="40" s="1"/>
  <c r="H12" i="40"/>
  <c r="I12" i="40" s="1"/>
  <c r="H11" i="40"/>
  <c r="I11" i="40" s="1"/>
  <c r="H10" i="40"/>
  <c r="L3" i="39"/>
  <c r="I3" i="39"/>
  <c r="A4" i="39"/>
  <c r="A3" i="39"/>
  <c r="J3" i="38"/>
  <c r="F3" i="38"/>
  <c r="A4" i="38"/>
  <c r="A3" i="38"/>
  <c r="J24" i="38"/>
  <c r="K23" i="38"/>
  <c r="K22" i="38"/>
  <c r="K21" i="38"/>
  <c r="K20" i="38"/>
  <c r="K19" i="38"/>
  <c r="K18" i="38"/>
  <c r="K17" i="38"/>
  <c r="K16" i="38"/>
  <c r="K15" i="38"/>
  <c r="X3" i="37"/>
  <c r="U3" i="37"/>
  <c r="L3" i="37"/>
  <c r="H3" i="37"/>
  <c r="A4" i="37"/>
  <c r="A3" i="37"/>
  <c r="F3" i="36"/>
  <c r="D3" i="36"/>
  <c r="A4" i="36"/>
  <c r="A3" i="36"/>
  <c r="R34" i="41" l="1"/>
  <c r="R31" i="41"/>
  <c r="R33" i="41"/>
  <c r="R32" i="41"/>
  <c r="R35" i="41"/>
  <c r="I10" i="40"/>
  <c r="H35" i="40"/>
  <c r="H32" i="40"/>
  <c r="H34" i="40"/>
  <c r="H33" i="40"/>
  <c r="H31" i="40"/>
  <c r="I26" i="40"/>
  <c r="H29" i="40"/>
  <c r="J41" i="37"/>
  <c r="J40" i="37"/>
  <c r="J42" i="37"/>
  <c r="J43" i="37"/>
  <c r="K42" i="37"/>
  <c r="K43" i="37"/>
  <c r="K41" i="37"/>
  <c r="K40" i="37"/>
  <c r="T41" i="37"/>
  <c r="T42" i="37"/>
  <c r="T40" i="37"/>
  <c r="T43" i="37"/>
  <c r="E42" i="37"/>
  <c r="E41" i="37"/>
  <c r="E40" i="37"/>
  <c r="E43" i="37"/>
  <c r="R42" i="37"/>
  <c r="R41" i="37"/>
  <c r="R43" i="37"/>
  <c r="R40" i="37"/>
  <c r="G42" i="37"/>
  <c r="G40" i="37"/>
  <c r="G41" i="37"/>
  <c r="G43" i="37"/>
  <c r="L43" i="37"/>
  <c r="L40" i="37"/>
  <c r="L42" i="37"/>
  <c r="L41" i="37"/>
  <c r="U42" i="37"/>
  <c r="U43" i="37"/>
  <c r="U41" i="37"/>
  <c r="U40" i="37"/>
  <c r="D41" i="37"/>
  <c r="B10" i="36" s="1"/>
  <c r="D40" i="37"/>
  <c r="B9" i="36" s="1"/>
  <c r="D42" i="37"/>
  <c r="B11" i="36" s="1"/>
  <c r="B8" i="36"/>
  <c r="B12" i="36"/>
  <c r="Q41" i="37"/>
  <c r="B17" i="36" s="1"/>
  <c r="Q40" i="37"/>
  <c r="B16" i="36" s="1"/>
  <c r="B15" i="36"/>
  <c r="Q43" i="37"/>
  <c r="B19" i="36" s="1"/>
  <c r="Q42" i="37"/>
  <c r="B18" i="36" s="1"/>
  <c r="X14" i="37"/>
  <c r="K24" i="38"/>
  <c r="K26" i="38" s="1"/>
  <c r="B23" i="36" l="1"/>
  <c r="I29" i="40"/>
  <c r="I31" i="40"/>
  <c r="I32" i="40"/>
  <c r="I34" i="40"/>
  <c r="I35" i="40"/>
  <c r="I33" i="40"/>
  <c r="X37" i="37"/>
  <c r="X39" i="37"/>
  <c r="Z14" i="37"/>
  <c r="Z39" i="37" s="1"/>
  <c r="B22" i="36"/>
  <c r="B13" i="36"/>
  <c r="F12" i="36"/>
  <c r="F11" i="36"/>
  <c r="F9" i="36"/>
  <c r="F10" i="36"/>
  <c r="B20" i="36"/>
  <c r="B26" i="36"/>
  <c r="B25" i="36"/>
  <c r="B24" i="36"/>
  <c r="C9" i="36"/>
  <c r="C10" i="36"/>
  <c r="C19" i="36"/>
  <c r="F19" i="36"/>
  <c r="F15" i="36"/>
  <c r="F22" i="36" s="1"/>
  <c r="C15" i="36"/>
  <c r="C16" i="36"/>
  <c r="F16" i="36"/>
  <c r="C12" i="36"/>
  <c r="C18" i="36"/>
  <c r="F18" i="36"/>
  <c r="C8" i="36"/>
  <c r="C17" i="36"/>
  <c r="F17" i="36"/>
  <c r="C11" i="36"/>
  <c r="E8" i="36"/>
  <c r="I43" i="37"/>
  <c r="E12" i="36" s="1"/>
  <c r="I42" i="37"/>
  <c r="E11" i="36" s="1"/>
  <c r="I41" i="37"/>
  <c r="E10" i="36" s="1"/>
  <c r="I40" i="37"/>
  <c r="E9" i="36" s="1"/>
  <c r="S41" i="37"/>
  <c r="E17" i="36" s="1"/>
  <c r="E15" i="36"/>
  <c r="S43" i="37"/>
  <c r="E19" i="36" s="1"/>
  <c r="S42" i="37"/>
  <c r="E18" i="36" s="1"/>
  <c r="S40" i="37"/>
  <c r="E16" i="36" s="1"/>
  <c r="W40" i="37"/>
  <c r="W42" i="37"/>
  <c r="W43" i="37"/>
  <c r="W41" i="37"/>
  <c r="V40" i="37"/>
  <c r="D16" i="36" s="1"/>
  <c r="V42" i="37"/>
  <c r="D18" i="36" s="1"/>
  <c r="V41" i="37"/>
  <c r="D17" i="36" s="1"/>
  <c r="V43" i="37"/>
  <c r="D19" i="36" s="1"/>
  <c r="B27" i="36" l="1"/>
  <c r="F25" i="36"/>
  <c r="C26" i="36"/>
  <c r="E24" i="36"/>
  <c r="F24" i="36"/>
  <c r="C23" i="36"/>
  <c r="F23" i="36"/>
  <c r="C24" i="36"/>
  <c r="E13" i="36"/>
  <c r="E20" i="36"/>
  <c r="C25" i="36"/>
  <c r="F26" i="36"/>
  <c r="D20" i="36"/>
  <c r="E25" i="36"/>
  <c r="C13" i="36"/>
  <c r="C22" i="36"/>
  <c r="C27" i="36" s="1"/>
  <c r="C20" i="36"/>
  <c r="E26" i="36"/>
  <c r="F13" i="36"/>
  <c r="F20" i="36"/>
  <c r="E23" i="36"/>
  <c r="X42" i="37"/>
  <c r="G18" i="36" s="1"/>
  <c r="H18" i="36" s="1"/>
  <c r="I18" i="36" s="1"/>
  <c r="X43" i="37"/>
  <c r="G19" i="36" s="1"/>
  <c r="H19" i="36" s="1"/>
  <c r="I19" i="36" s="1"/>
  <c r="X41" i="37"/>
  <c r="G17" i="36" s="1"/>
  <c r="H17" i="36" s="1"/>
  <c r="I17" i="36" s="1"/>
  <c r="G15" i="36"/>
  <c r="H15" i="36" s="1"/>
  <c r="I15" i="36" s="1"/>
  <c r="X40" i="37"/>
  <c r="G16" i="36" s="1"/>
  <c r="H16" i="36" s="1"/>
  <c r="I16" i="36" s="1"/>
  <c r="E22" i="36"/>
  <c r="F27" i="36" l="1"/>
  <c r="E27" i="36"/>
  <c r="G20" i="36"/>
  <c r="H20" i="36" s="1"/>
  <c r="I20" i="36" s="1"/>
  <c r="A22" i="1" l="1"/>
  <c r="A16" i="1"/>
  <c r="A23" i="1" s="1"/>
  <c r="A17" i="1"/>
  <c r="A24" i="1" s="1"/>
  <c r="A18" i="1"/>
  <c r="A25" i="1" s="1"/>
  <c r="A19" i="1"/>
  <c r="A26" i="1" s="1"/>
  <c r="AK37" i="4" l="1"/>
  <c r="V37" i="4" l="1"/>
  <c r="AH37" i="4"/>
  <c r="AJ37" i="4"/>
  <c r="S42" i="4"/>
  <c r="S40" i="4"/>
  <c r="S43" i="4"/>
  <c r="S41" i="4"/>
  <c r="AH40" i="4"/>
  <c r="AH42" i="4"/>
  <c r="AH41" i="4"/>
  <c r="AH43" i="4"/>
  <c r="AJ43" i="4"/>
  <c r="AJ42" i="4"/>
  <c r="AJ41" i="4"/>
  <c r="AJ40" i="4"/>
  <c r="U41" i="4"/>
  <c r="U43" i="4"/>
  <c r="U42" i="4"/>
  <c r="U40" i="4"/>
  <c r="I8" i="31" l="1"/>
  <c r="J3" i="27" l="1"/>
  <c r="G3" i="27"/>
  <c r="A4" i="27"/>
  <c r="A3" i="27"/>
  <c r="G3" i="31"/>
  <c r="D3" i="31"/>
  <c r="A4" i="31"/>
  <c r="A3" i="31"/>
  <c r="H3" i="30"/>
  <c r="E3" i="30"/>
  <c r="A4" i="30"/>
  <c r="A3" i="30"/>
  <c r="A4" i="34" l="1"/>
  <c r="F3" i="34"/>
  <c r="D3" i="34"/>
  <c r="A3" i="34"/>
  <c r="A4" i="33" l="1"/>
  <c r="F3" i="33"/>
  <c r="D3" i="33"/>
  <c r="A3" i="33"/>
  <c r="J25" i="10" l="1"/>
  <c r="K25" i="10"/>
  <c r="L15" i="9"/>
  <c r="L16" i="9"/>
  <c r="L17" i="9"/>
  <c r="L18" i="9"/>
  <c r="L19" i="9"/>
  <c r="L20" i="9"/>
  <c r="L21" i="9"/>
  <c r="L22" i="9"/>
  <c r="L24" i="9" l="1"/>
  <c r="K22" i="27"/>
  <c r="H28" i="15"/>
  <c r="J28" i="15"/>
  <c r="K28" i="15"/>
  <c r="L28" i="15"/>
  <c r="G28" i="15"/>
  <c r="F28" i="15"/>
  <c r="J24" i="9" l="1"/>
  <c r="I11" i="27" l="1"/>
  <c r="I12" i="27"/>
  <c r="J12" i="27" s="1"/>
  <c r="L12" i="27" s="1"/>
  <c r="I13" i="27"/>
  <c r="J13" i="27" s="1"/>
  <c r="L13" i="27" s="1"/>
  <c r="I14" i="27"/>
  <c r="J14" i="27" s="1"/>
  <c r="L14" i="27" s="1"/>
  <c r="I15" i="27"/>
  <c r="J15" i="27" s="1"/>
  <c r="L15" i="27" s="1"/>
  <c r="I16" i="27"/>
  <c r="J16" i="27" s="1"/>
  <c r="L16" i="27" s="1"/>
  <c r="I17" i="27"/>
  <c r="J17" i="27" s="1"/>
  <c r="L17" i="27" s="1"/>
  <c r="I18" i="27"/>
  <c r="J18" i="27" s="1"/>
  <c r="L18" i="27" s="1"/>
  <c r="I19" i="27"/>
  <c r="J19" i="27" s="1"/>
  <c r="L19" i="27" s="1"/>
  <c r="I20" i="27"/>
  <c r="J20" i="27" s="1"/>
  <c r="L20" i="27" s="1"/>
  <c r="I21" i="27"/>
  <c r="J21" i="27" s="1"/>
  <c r="L21" i="27" s="1"/>
  <c r="H13" i="31"/>
  <c r="G13" i="31"/>
  <c r="F13" i="31"/>
  <c r="E13" i="31"/>
  <c r="D13" i="31"/>
  <c r="C13" i="31"/>
  <c r="I12" i="31"/>
  <c r="I11" i="31"/>
  <c r="I10" i="31"/>
  <c r="I9" i="31"/>
  <c r="I25" i="27" l="1"/>
  <c r="I27" i="27"/>
  <c r="I26" i="27"/>
  <c r="I28" i="27"/>
  <c r="I24" i="27"/>
  <c r="J11" i="27"/>
  <c r="L11" i="27" s="1"/>
  <c r="I13" i="31"/>
  <c r="L27" i="27" l="1"/>
  <c r="L24" i="27"/>
  <c r="L26" i="27"/>
  <c r="L25" i="27"/>
  <c r="L28" i="27"/>
  <c r="J26" i="27"/>
  <c r="J24" i="27"/>
  <c r="J27" i="27"/>
  <c r="J25" i="27"/>
  <c r="J28" i="27"/>
  <c r="J22" i="27"/>
  <c r="L22" i="27"/>
  <c r="N25" i="12"/>
  <c r="O25" i="12" s="1"/>
  <c r="P25" i="12"/>
  <c r="R25" i="12"/>
  <c r="S25" i="12"/>
  <c r="N26" i="12"/>
  <c r="O26" i="12" s="1"/>
  <c r="P26" i="12"/>
  <c r="R26" i="12"/>
  <c r="S26" i="12"/>
  <c r="N27" i="12"/>
  <c r="O27" i="12" s="1"/>
  <c r="P27" i="12"/>
  <c r="R27" i="12"/>
  <c r="S27" i="12"/>
  <c r="N28" i="12"/>
  <c r="O28" i="12" s="1"/>
  <c r="P28" i="12"/>
  <c r="R28" i="12"/>
  <c r="S28" i="12"/>
  <c r="N29" i="12"/>
  <c r="O29" i="12" s="1"/>
  <c r="P29" i="12"/>
  <c r="R29" i="12"/>
  <c r="S29" i="12"/>
  <c r="N30" i="12"/>
  <c r="O30" i="12" s="1"/>
  <c r="P30" i="12"/>
  <c r="R30" i="12"/>
  <c r="S30" i="12"/>
  <c r="N31" i="12"/>
  <c r="O31" i="12" s="1"/>
  <c r="P31" i="12"/>
  <c r="R31" i="12"/>
  <c r="S31" i="12"/>
  <c r="N32" i="12"/>
  <c r="O32" i="12" s="1"/>
  <c r="P32" i="12"/>
  <c r="R32" i="12"/>
  <c r="S32" i="12"/>
  <c r="K10" i="11"/>
  <c r="O10" i="11" s="1"/>
  <c r="L10" i="11"/>
  <c r="M10" i="11" s="1"/>
  <c r="K11" i="11"/>
  <c r="O11" i="11" s="1"/>
  <c r="L11" i="11"/>
  <c r="N11" i="11" s="1"/>
  <c r="K12" i="11"/>
  <c r="O12" i="11" s="1"/>
  <c r="L12" i="11"/>
  <c r="M12" i="11" s="1"/>
  <c r="K13" i="11"/>
  <c r="O13" i="11" s="1"/>
  <c r="L13" i="11"/>
  <c r="M13" i="11" s="1"/>
  <c r="K14" i="11"/>
  <c r="O14" i="11" s="1"/>
  <c r="L14" i="11"/>
  <c r="M14" i="11" s="1"/>
  <c r="K15" i="11"/>
  <c r="O15" i="11" s="1"/>
  <c r="Q15" i="11" s="1"/>
  <c r="L15" i="11"/>
  <c r="N15" i="11" s="1"/>
  <c r="K16" i="11"/>
  <c r="O16" i="11" s="1"/>
  <c r="Q16" i="11" s="1"/>
  <c r="L16" i="11"/>
  <c r="M16" i="11" s="1"/>
  <c r="K17" i="11"/>
  <c r="O17" i="11" s="1"/>
  <c r="L17" i="11"/>
  <c r="M17" i="11" s="1"/>
  <c r="K18" i="11"/>
  <c r="O18" i="11" s="1"/>
  <c r="L18" i="11"/>
  <c r="M18" i="11" s="1"/>
  <c r="K19" i="11"/>
  <c r="O19" i="11" s="1"/>
  <c r="Q19" i="11" s="1"/>
  <c r="L19" i="11"/>
  <c r="N19" i="11" s="1"/>
  <c r="K20" i="11"/>
  <c r="O20" i="11" s="1"/>
  <c r="L20" i="11"/>
  <c r="M20" i="11" s="1"/>
  <c r="K21" i="11"/>
  <c r="O21" i="11" s="1"/>
  <c r="L21" i="11"/>
  <c r="M21" i="11" s="1"/>
  <c r="K22" i="11"/>
  <c r="O22" i="11" s="1"/>
  <c r="Q22" i="11" s="1"/>
  <c r="L22" i="11"/>
  <c r="M22" i="11" s="1"/>
  <c r="K23" i="11"/>
  <c r="O23" i="11" s="1"/>
  <c r="Q23" i="11" s="1"/>
  <c r="L23" i="11"/>
  <c r="M23" i="11" s="1"/>
  <c r="K24" i="11"/>
  <c r="O24" i="11" s="1"/>
  <c r="Q24" i="11" s="1"/>
  <c r="L24" i="11"/>
  <c r="N24" i="11" s="1"/>
  <c r="K25" i="11"/>
  <c r="O25" i="11" s="1"/>
  <c r="Q25" i="11" s="1"/>
  <c r="L25" i="11"/>
  <c r="M25" i="11" s="1"/>
  <c r="M25" i="10"/>
  <c r="N25" i="10"/>
  <c r="L16" i="10"/>
  <c r="O16" i="10" s="1"/>
  <c r="L17" i="10"/>
  <c r="O17" i="10" s="1"/>
  <c r="L18" i="10"/>
  <c r="O18" i="10" s="1"/>
  <c r="L19" i="10"/>
  <c r="O19" i="10" s="1"/>
  <c r="L20" i="10"/>
  <c r="O20" i="10" s="1"/>
  <c r="L21" i="10"/>
  <c r="O21" i="10" s="1"/>
  <c r="L22" i="10"/>
  <c r="O22" i="10" s="1"/>
  <c r="L23" i="10"/>
  <c r="O23" i="10" s="1"/>
  <c r="L24" i="10"/>
  <c r="O24" i="10" s="1"/>
  <c r="I24" i="9"/>
  <c r="O26" i="11" l="1"/>
  <c r="O28" i="11"/>
  <c r="P11" i="11"/>
  <c r="M15" i="11"/>
  <c r="R15" i="11" s="1"/>
  <c r="S15" i="11" s="1"/>
  <c r="N23" i="11"/>
  <c r="P23" i="11" s="1"/>
  <c r="M19" i="11"/>
  <c r="R19" i="11" s="1"/>
  <c r="N18" i="11"/>
  <c r="P18" i="11" s="1"/>
  <c r="R22" i="11"/>
  <c r="S22" i="11" s="1"/>
  <c r="N17" i="11"/>
  <c r="P17" i="11" s="1"/>
  <c r="M11" i="11"/>
  <c r="R11" i="11" s="1"/>
  <c r="S11" i="11" s="1"/>
  <c r="R10" i="11"/>
  <c r="Q10" i="11"/>
  <c r="N10" i="11"/>
  <c r="P10" i="11" s="1"/>
  <c r="N14" i="11"/>
  <c r="P14" i="11" s="1"/>
  <c r="N22" i="11"/>
  <c r="P22" i="11" s="1"/>
  <c r="N21" i="11"/>
  <c r="P21" i="11" s="1"/>
  <c r="N13" i="11"/>
  <c r="P13" i="11" s="1"/>
  <c r="T27" i="12"/>
  <c r="T26" i="12"/>
  <c r="M24" i="11"/>
  <c r="R24" i="11" s="1"/>
  <c r="S24" i="11" s="1"/>
  <c r="R14" i="11"/>
  <c r="Q32" i="12"/>
  <c r="Q31" i="12"/>
  <c r="Q30" i="12"/>
  <c r="Q29" i="12"/>
  <c r="Q27" i="12"/>
  <c r="Q26" i="12"/>
  <c r="P19" i="11"/>
  <c r="Q14" i="11"/>
  <c r="Q11" i="11"/>
  <c r="P24" i="11"/>
  <c r="R18" i="11"/>
  <c r="S18" i="11" s="1"/>
  <c r="R23" i="11"/>
  <c r="S23" i="11" s="1"/>
  <c r="Q18" i="11"/>
  <c r="P15" i="11"/>
  <c r="Q25" i="12"/>
  <c r="Q28" i="12"/>
  <c r="T28" i="12"/>
  <c r="T32" i="12"/>
  <c r="T31" i="12"/>
  <c r="T30" i="12"/>
  <c r="T29" i="12"/>
  <c r="T25" i="12"/>
  <c r="Q20" i="11"/>
  <c r="R20" i="11"/>
  <c r="S20" i="11" s="1"/>
  <c r="Q21" i="11"/>
  <c r="R21" i="11"/>
  <c r="S21" i="11" s="1"/>
  <c r="Q12" i="11"/>
  <c r="R12" i="11"/>
  <c r="S12" i="11" s="1"/>
  <c r="R17" i="11"/>
  <c r="S17" i="11" s="1"/>
  <c r="R13" i="11"/>
  <c r="S13" i="11" s="1"/>
  <c r="R25" i="11"/>
  <c r="S25" i="11" s="1"/>
  <c r="N25" i="11"/>
  <c r="P25" i="11" s="1"/>
  <c r="N20" i="11"/>
  <c r="P20" i="11" s="1"/>
  <c r="Q17" i="11"/>
  <c r="R16" i="11"/>
  <c r="S16" i="11" s="1"/>
  <c r="N16" i="11"/>
  <c r="P16" i="11" s="1"/>
  <c r="Q13" i="11"/>
  <c r="N12" i="11"/>
  <c r="P12" i="11" s="1"/>
  <c r="Q28" i="11" l="1"/>
  <c r="P26" i="11"/>
  <c r="P28" i="11"/>
  <c r="S10" i="11"/>
  <c r="R28" i="11"/>
  <c r="AI37" i="4"/>
  <c r="AM37" i="4" l="1"/>
  <c r="AP37" i="4"/>
  <c r="AG37" i="4"/>
  <c r="AP41" i="4"/>
  <c r="AP43" i="4"/>
  <c r="AP40" i="4"/>
  <c r="AP42" i="4"/>
  <c r="E41" i="4"/>
  <c r="E42" i="4"/>
  <c r="E43" i="4"/>
  <c r="E40" i="4"/>
  <c r="Z43" i="4"/>
  <c r="Z42" i="4"/>
  <c r="Z41" i="4"/>
  <c r="Z40" i="4"/>
  <c r="G40" i="4"/>
  <c r="G42" i="4"/>
  <c r="G41" i="4"/>
  <c r="G43" i="4"/>
  <c r="D42" i="4"/>
  <c r="B11" i="1" s="1"/>
  <c r="B12" i="1"/>
  <c r="D40" i="4"/>
  <c r="B9" i="1" s="1"/>
  <c r="D41" i="4"/>
  <c r="B10" i="1" s="1"/>
  <c r="K42" i="4"/>
  <c r="K43" i="4"/>
  <c r="K41" i="4"/>
  <c r="K40" i="4"/>
  <c r="B22" i="1"/>
  <c r="AF41" i="4"/>
  <c r="B24" i="1" s="1"/>
  <c r="AF43" i="4"/>
  <c r="B26" i="1" s="1"/>
  <c r="AF40" i="4"/>
  <c r="B23" i="1" s="1"/>
  <c r="AF42" i="4"/>
  <c r="B25" i="1" s="1"/>
  <c r="J42" i="4"/>
  <c r="J40" i="4"/>
  <c r="J43" i="4"/>
  <c r="J41" i="4"/>
  <c r="AK42" i="4"/>
  <c r="E25" i="1" s="1"/>
  <c r="E22" i="1"/>
  <c r="AK43" i="4"/>
  <c r="E26" i="1" s="1"/>
  <c r="AK41" i="4"/>
  <c r="E24" i="1" s="1"/>
  <c r="AK40" i="4"/>
  <c r="E23" i="1" s="1"/>
  <c r="AG40" i="4"/>
  <c r="AG41" i="4"/>
  <c r="AG43" i="4"/>
  <c r="AG42" i="4"/>
  <c r="W40" i="4"/>
  <c r="W41" i="4"/>
  <c r="W43" i="4"/>
  <c r="W42" i="4"/>
  <c r="L42" i="4"/>
  <c r="L41" i="4"/>
  <c r="L43" i="4"/>
  <c r="L40" i="4"/>
  <c r="Q43" i="4"/>
  <c r="B19" i="1" s="1"/>
  <c r="B15" i="1"/>
  <c r="Q42" i="4"/>
  <c r="B18" i="1" s="1"/>
  <c r="Q41" i="4"/>
  <c r="B17" i="1" s="1"/>
  <c r="Q40" i="4"/>
  <c r="B16" i="1" s="1"/>
  <c r="AI43" i="4"/>
  <c r="AI42" i="4"/>
  <c r="AI41" i="4"/>
  <c r="AI40" i="4"/>
  <c r="X40" i="4"/>
  <c r="X42" i="4"/>
  <c r="X41" i="4"/>
  <c r="X43" i="4"/>
  <c r="R43" i="4"/>
  <c r="R40" i="4"/>
  <c r="R42" i="4"/>
  <c r="R41" i="4"/>
  <c r="AL42" i="4"/>
  <c r="AL40" i="4"/>
  <c r="AL41" i="4"/>
  <c r="AL43" i="4"/>
  <c r="T42" i="4"/>
  <c r="T41" i="4"/>
  <c r="T43" i="4"/>
  <c r="T40" i="4"/>
  <c r="AM41" i="4"/>
  <c r="AM43" i="4"/>
  <c r="AM42" i="4"/>
  <c r="AM40" i="4"/>
  <c r="AQ37" i="4"/>
  <c r="AU37" i="4"/>
  <c r="S19" i="11"/>
  <c r="F22" i="27"/>
  <c r="G22" i="27"/>
  <c r="H22" i="27"/>
  <c r="I22" i="27"/>
  <c r="J3" i="15"/>
  <c r="A4" i="15"/>
  <c r="E3" i="15"/>
  <c r="A3" i="15"/>
  <c r="A4" i="13"/>
  <c r="I3" i="13"/>
  <c r="E3" i="13"/>
  <c r="A3" i="13"/>
  <c r="S3" i="12"/>
  <c r="A4" i="12"/>
  <c r="G3" i="12"/>
  <c r="A3" i="12"/>
  <c r="A4" i="11"/>
  <c r="M3" i="11"/>
  <c r="G3" i="11"/>
  <c r="A3" i="11"/>
  <c r="A4" i="10"/>
  <c r="F3" i="10"/>
  <c r="A3" i="10"/>
  <c r="A4" i="9"/>
  <c r="F3" i="9"/>
  <c r="A3" i="9"/>
  <c r="A4" i="8"/>
  <c r="D3" i="8"/>
  <c r="C3" i="8"/>
  <c r="A3" i="8"/>
  <c r="A4" i="4"/>
  <c r="K3" i="4"/>
  <c r="G3" i="4"/>
  <c r="A3" i="4"/>
  <c r="A4" i="2"/>
  <c r="F3" i="2"/>
  <c r="C3" i="2"/>
  <c r="A3" i="2"/>
  <c r="F3" i="1"/>
  <c r="D3" i="1"/>
  <c r="A4" i="1"/>
  <c r="A3" i="1"/>
  <c r="I24" i="13"/>
  <c r="J24" i="13" s="1"/>
  <c r="L13" i="13"/>
  <c r="K13" i="13"/>
  <c r="J13" i="13"/>
  <c r="I13" i="13"/>
  <c r="H13" i="13"/>
  <c r="F13" i="13"/>
  <c r="D13" i="13"/>
  <c r="B13" i="13"/>
  <c r="M12" i="13"/>
  <c r="N12" i="13" s="1"/>
  <c r="M11" i="13"/>
  <c r="N11" i="13" s="1"/>
  <c r="L24" i="12"/>
  <c r="M24" i="12" s="1"/>
  <c r="M23" i="12"/>
  <c r="L23" i="12"/>
  <c r="M22" i="12"/>
  <c r="L22" i="12"/>
  <c r="L21" i="12"/>
  <c r="M21" i="12" s="1"/>
  <c r="L20" i="12"/>
  <c r="M20" i="12" s="1"/>
  <c r="L19" i="12"/>
  <c r="M19" i="12" s="1"/>
  <c r="M18" i="12"/>
  <c r="L18" i="12"/>
  <c r="L17" i="12"/>
  <c r="M17" i="12" s="1"/>
  <c r="M16" i="12"/>
  <c r="L16" i="12"/>
  <c r="L15" i="12"/>
  <c r="M15" i="12" s="1"/>
  <c r="M14" i="12"/>
  <c r="L14" i="12"/>
  <c r="L13" i="12"/>
  <c r="M13" i="12" s="1"/>
  <c r="L12" i="12"/>
  <c r="M12" i="12" s="1"/>
  <c r="L11" i="12"/>
  <c r="M11" i="12" s="1"/>
  <c r="M10" i="12"/>
  <c r="L10" i="12"/>
  <c r="L9" i="12"/>
  <c r="M9" i="12" s="1"/>
  <c r="P9" i="12" s="1"/>
  <c r="A33" i="1"/>
  <c r="A32" i="1"/>
  <c r="A31" i="1"/>
  <c r="A30" i="1"/>
  <c r="A29" i="1"/>
  <c r="P17" i="12" l="1"/>
  <c r="Q17" i="12" s="1"/>
  <c r="R17" i="12"/>
  <c r="P12" i="12"/>
  <c r="Q12" i="12" s="1"/>
  <c r="R12" i="12"/>
  <c r="P24" i="12"/>
  <c r="Q24" i="12" s="1"/>
  <c r="R24" i="12"/>
  <c r="P11" i="12"/>
  <c r="Q11" i="12" s="1"/>
  <c r="R11" i="12"/>
  <c r="P19" i="12"/>
  <c r="Q19" i="12" s="1"/>
  <c r="R19" i="12"/>
  <c r="P13" i="12"/>
  <c r="Q13" i="12" s="1"/>
  <c r="R13" i="12"/>
  <c r="P20" i="12"/>
  <c r="Q20" i="12" s="1"/>
  <c r="R20" i="12"/>
  <c r="P15" i="12"/>
  <c r="Q15" i="12" s="1"/>
  <c r="R15" i="12"/>
  <c r="P21" i="12"/>
  <c r="Q21" i="12" s="1"/>
  <c r="R21" i="12"/>
  <c r="P18" i="12"/>
  <c r="Q18" i="12" s="1"/>
  <c r="R18" i="12"/>
  <c r="P22" i="12"/>
  <c r="Q22" i="12" s="1"/>
  <c r="R22" i="12"/>
  <c r="P23" i="12"/>
  <c r="Q23" i="12" s="1"/>
  <c r="R23" i="12"/>
  <c r="P16" i="12"/>
  <c r="Q16" i="12" s="1"/>
  <c r="R16" i="12"/>
  <c r="P10" i="12"/>
  <c r="Q10" i="12" s="1"/>
  <c r="R10" i="12"/>
  <c r="P14" i="12"/>
  <c r="Q14" i="12" s="1"/>
  <c r="R14" i="12"/>
  <c r="N9" i="12"/>
  <c r="O9" i="12" s="1"/>
  <c r="F23" i="1"/>
  <c r="F19" i="1"/>
  <c r="P35" i="12"/>
  <c r="F25" i="1"/>
  <c r="F17" i="1"/>
  <c r="F16" i="1"/>
  <c r="B27" i="1"/>
  <c r="F26" i="1"/>
  <c r="F24" i="1"/>
  <c r="F18" i="1"/>
  <c r="R9" i="12"/>
  <c r="Q9" i="12" s="1"/>
  <c r="P38" i="12"/>
  <c r="P39" i="12"/>
  <c r="P37" i="12"/>
  <c r="P36" i="12"/>
  <c r="AR37" i="4"/>
  <c r="O37" i="4"/>
  <c r="I26" i="10" s="1"/>
  <c r="I27" i="10" s="1"/>
  <c r="AS37" i="4"/>
  <c r="M37" i="4"/>
  <c r="N37" i="4"/>
  <c r="I37" i="4"/>
  <c r="B20" i="1"/>
  <c r="B13" i="1"/>
  <c r="AB43" i="4"/>
  <c r="D19" i="1" s="1"/>
  <c r="AB40" i="4"/>
  <c r="D16" i="1" s="1"/>
  <c r="AB42" i="4"/>
  <c r="D18" i="1" s="1"/>
  <c r="AB41" i="4"/>
  <c r="D17" i="1" s="1"/>
  <c r="D15" i="1"/>
  <c r="AS43" i="4"/>
  <c r="AS41" i="4"/>
  <c r="AS40" i="4"/>
  <c r="AS42" i="4"/>
  <c r="C18" i="1"/>
  <c r="C12" i="1"/>
  <c r="F12" i="1"/>
  <c r="N41" i="4"/>
  <c r="N40" i="4"/>
  <c r="N43" i="4"/>
  <c r="N42" i="4"/>
  <c r="C19" i="1"/>
  <c r="F9" i="1"/>
  <c r="C9" i="1"/>
  <c r="AC42" i="4"/>
  <c r="AC43" i="4"/>
  <c r="AC41" i="4"/>
  <c r="AC40" i="4"/>
  <c r="M41" i="4"/>
  <c r="D10" i="1" s="1"/>
  <c r="M43" i="4"/>
  <c r="D12" i="1" s="1"/>
  <c r="M42" i="4"/>
  <c r="D11" i="1" s="1"/>
  <c r="M40" i="4"/>
  <c r="D9" i="1" s="1"/>
  <c r="C26" i="1"/>
  <c r="C15" i="1"/>
  <c r="C8" i="1"/>
  <c r="F8" i="1"/>
  <c r="E8" i="1"/>
  <c r="I43" i="4"/>
  <c r="E12" i="1" s="1"/>
  <c r="I40" i="4"/>
  <c r="E9" i="1" s="1"/>
  <c r="I41" i="4"/>
  <c r="E10" i="1" s="1"/>
  <c r="I42" i="4"/>
  <c r="E11" i="1" s="1"/>
  <c r="AQ40" i="4"/>
  <c r="D23" i="1" s="1"/>
  <c r="AQ43" i="4"/>
  <c r="D26" i="1" s="1"/>
  <c r="AQ42" i="4"/>
  <c r="D25" i="1" s="1"/>
  <c r="AQ41" i="4"/>
  <c r="D24" i="1" s="1"/>
  <c r="D22" i="1"/>
  <c r="C22" i="1"/>
  <c r="C17" i="1"/>
  <c r="C11" i="1"/>
  <c r="F11" i="1"/>
  <c r="O31" i="11"/>
  <c r="O30" i="11"/>
  <c r="O32" i="11"/>
  <c r="O29" i="11"/>
  <c r="V41" i="4"/>
  <c r="E17" i="1" s="1"/>
  <c r="E15" i="1"/>
  <c r="V43" i="4"/>
  <c r="E19" i="1" s="1"/>
  <c r="V40" i="4"/>
  <c r="E16" i="1" s="1"/>
  <c r="V42" i="4"/>
  <c r="E18" i="1" s="1"/>
  <c r="AD42" i="4"/>
  <c r="AD43" i="4"/>
  <c r="AD40" i="4"/>
  <c r="AD41" i="4"/>
  <c r="AU42" i="4"/>
  <c r="AU43" i="4"/>
  <c r="AU41" i="4"/>
  <c r="AU40" i="4"/>
  <c r="C24" i="1"/>
  <c r="C16" i="1"/>
  <c r="AR40" i="4"/>
  <c r="AR41" i="4"/>
  <c r="AR43" i="4"/>
  <c r="AR42" i="4"/>
  <c r="C10" i="1"/>
  <c r="F10" i="1"/>
  <c r="C23" i="1"/>
  <c r="O40" i="4"/>
  <c r="O42" i="4"/>
  <c r="O41" i="4"/>
  <c r="O43" i="4"/>
  <c r="C25" i="1"/>
  <c r="S9" i="12"/>
  <c r="E27" i="1"/>
  <c r="B33" i="1"/>
  <c r="N10" i="12"/>
  <c r="O10" i="12" s="1"/>
  <c r="S10" i="12"/>
  <c r="N12" i="12"/>
  <c r="O12" i="12" s="1"/>
  <c r="S12" i="12"/>
  <c r="N14" i="12"/>
  <c r="O14" i="12" s="1"/>
  <c r="S14" i="12"/>
  <c r="S16" i="12"/>
  <c r="N16" i="12"/>
  <c r="O16" i="12" s="1"/>
  <c r="S18" i="12"/>
  <c r="N18" i="12"/>
  <c r="O18" i="12" s="1"/>
  <c r="S20" i="12"/>
  <c r="N20" i="12"/>
  <c r="O20" i="12" s="1"/>
  <c r="S22" i="12"/>
  <c r="N22" i="12"/>
  <c r="O22" i="12" s="1"/>
  <c r="S24" i="12"/>
  <c r="N24" i="12"/>
  <c r="O24" i="12" s="1"/>
  <c r="K24" i="13"/>
  <c r="B20" i="13" s="1"/>
  <c r="B21" i="13" s="1"/>
  <c r="I28" i="15"/>
  <c r="U31" i="12"/>
  <c r="U26" i="12"/>
  <c r="P37" i="4"/>
  <c r="B32" i="1"/>
  <c r="N11" i="12"/>
  <c r="O11" i="12" s="1"/>
  <c r="S11" i="12"/>
  <c r="N13" i="12"/>
  <c r="O13" i="12" s="1"/>
  <c r="S13" i="12"/>
  <c r="N15" i="12"/>
  <c r="O15" i="12" s="1"/>
  <c r="S15" i="12"/>
  <c r="S17" i="12"/>
  <c r="N17" i="12"/>
  <c r="O17" i="12" s="1"/>
  <c r="N19" i="12"/>
  <c r="O19" i="12" s="1"/>
  <c r="S19" i="12"/>
  <c r="S21" i="12"/>
  <c r="N21" i="12"/>
  <c r="O21" i="12" s="1"/>
  <c r="S23" i="12"/>
  <c r="N23" i="12"/>
  <c r="O23" i="12" s="1"/>
  <c r="M28" i="15"/>
  <c r="U28" i="12"/>
  <c r="U32" i="12"/>
  <c r="U27" i="12"/>
  <c r="B30" i="1"/>
  <c r="B29" i="1"/>
  <c r="B31" i="1"/>
  <c r="L25" i="10"/>
  <c r="O25" i="10"/>
  <c r="S14" i="11"/>
  <c r="M13" i="13"/>
  <c r="N13" i="13"/>
  <c r="AW37" i="4"/>
  <c r="B34" i="1" l="1"/>
  <c r="O35" i="12"/>
  <c r="S35" i="12"/>
  <c r="S26" i="11"/>
  <c r="S28" i="11"/>
  <c r="E20" i="1"/>
  <c r="F20" i="1"/>
  <c r="O38" i="12"/>
  <c r="O37" i="12"/>
  <c r="O36" i="12"/>
  <c r="O39" i="12"/>
  <c r="AV37" i="4"/>
  <c r="AT37" i="4"/>
  <c r="F29" i="1"/>
  <c r="C33" i="1"/>
  <c r="C31" i="1"/>
  <c r="C29" i="1"/>
  <c r="F30" i="1"/>
  <c r="F33" i="1"/>
  <c r="F32" i="1"/>
  <c r="C20" i="1"/>
  <c r="C32" i="1"/>
  <c r="F31" i="1"/>
  <c r="F13" i="1"/>
  <c r="F27" i="1"/>
  <c r="C27" i="1"/>
  <c r="C13" i="1"/>
  <c r="C30" i="1"/>
  <c r="AE41" i="4"/>
  <c r="G17" i="1" s="1"/>
  <c r="H17" i="1" s="1"/>
  <c r="I17" i="1" s="1"/>
  <c r="G15" i="1"/>
  <c r="H15" i="1" s="1"/>
  <c r="I15" i="1" s="1"/>
  <c r="AE43" i="4"/>
  <c r="G19" i="1" s="1"/>
  <c r="H19" i="1" s="1"/>
  <c r="I19" i="1" s="1"/>
  <c r="AE42" i="4"/>
  <c r="G18" i="1" s="1"/>
  <c r="H18" i="1" s="1"/>
  <c r="I18" i="1" s="1"/>
  <c r="AE40" i="4"/>
  <c r="G16" i="1" s="1"/>
  <c r="G8" i="1"/>
  <c r="P40" i="4"/>
  <c r="G9" i="1" s="1"/>
  <c r="H9" i="1" s="1"/>
  <c r="I9" i="1" s="1"/>
  <c r="P42" i="4"/>
  <c r="G11" i="1" s="1"/>
  <c r="P41" i="4"/>
  <c r="G10" i="1" s="1"/>
  <c r="P43" i="4"/>
  <c r="G12" i="1" s="1"/>
  <c r="P31" i="11"/>
  <c r="P32" i="11"/>
  <c r="P29" i="11"/>
  <c r="P30" i="11"/>
  <c r="AV42" i="4"/>
  <c r="AV40" i="4"/>
  <c r="AV41" i="4"/>
  <c r="AV43" i="4"/>
  <c r="Q26" i="11"/>
  <c r="Q32" i="11"/>
  <c r="Q31" i="11"/>
  <c r="Q29" i="11"/>
  <c r="Q30" i="11"/>
  <c r="R26" i="11"/>
  <c r="R32" i="11"/>
  <c r="R30" i="11"/>
  <c r="R29" i="11"/>
  <c r="R31" i="11"/>
  <c r="S33" i="12"/>
  <c r="F33" i="12"/>
  <c r="F37" i="12"/>
  <c r="F36" i="12"/>
  <c r="F39" i="12"/>
  <c r="F38" i="12"/>
  <c r="AW41" i="4"/>
  <c r="AW43" i="4"/>
  <c r="AW42" i="4"/>
  <c r="AW40" i="4"/>
  <c r="F31" i="11"/>
  <c r="F29" i="11"/>
  <c r="F30" i="11"/>
  <c r="F32" i="11"/>
  <c r="AT43" i="4"/>
  <c r="G26" i="1" s="1"/>
  <c r="H26" i="1" s="1"/>
  <c r="I26" i="1" s="1"/>
  <c r="G22" i="1"/>
  <c r="AT42" i="4"/>
  <c r="G25" i="1" s="1"/>
  <c r="H25" i="1" s="1"/>
  <c r="I25" i="1" s="1"/>
  <c r="AT41" i="4"/>
  <c r="G24" i="1" s="1"/>
  <c r="H24" i="1" s="1"/>
  <c r="I24" i="1" s="1"/>
  <c r="AT40" i="4"/>
  <c r="G23" i="1" s="1"/>
  <c r="H23" i="1" s="1"/>
  <c r="I23" i="1" s="1"/>
  <c r="T9" i="12"/>
  <c r="S39" i="12"/>
  <c r="S37" i="12"/>
  <c r="S38" i="12"/>
  <c r="S36" i="12"/>
  <c r="D31" i="1"/>
  <c r="I25" i="9"/>
  <c r="I26" i="9" s="1"/>
  <c r="D13" i="1"/>
  <c r="D32" i="1"/>
  <c r="D33" i="1"/>
  <c r="F20" i="13"/>
  <c r="F21" i="13" s="1"/>
  <c r="C20" i="13"/>
  <c r="C21" i="13" s="1"/>
  <c r="E20" i="13"/>
  <c r="E21" i="13" s="1"/>
  <c r="D20" i="13"/>
  <c r="D21" i="13" s="1"/>
  <c r="E33" i="1"/>
  <c r="E31" i="1"/>
  <c r="D29" i="1"/>
  <c r="T19" i="12"/>
  <c r="T11" i="12"/>
  <c r="U11" i="12" s="1"/>
  <c r="T20" i="12"/>
  <c r="U20" i="12" s="1"/>
  <c r="W20" i="12" s="1"/>
  <c r="T16" i="12"/>
  <c r="U16" i="12" s="1"/>
  <c r="W16" i="12" s="1"/>
  <c r="E13" i="1"/>
  <c r="W32" i="12"/>
  <c r="V32" i="12"/>
  <c r="X32" i="12"/>
  <c r="Y32" i="12" s="1"/>
  <c r="T23" i="12"/>
  <c r="U23" i="12" s="1"/>
  <c r="W23" i="12" s="1"/>
  <c r="D20" i="1"/>
  <c r="W31" i="12"/>
  <c r="X31" i="12"/>
  <c r="Y31" i="12" s="1"/>
  <c r="V31" i="12"/>
  <c r="U25" i="12"/>
  <c r="G20" i="13"/>
  <c r="G21" i="13" s="1"/>
  <c r="T14" i="12"/>
  <c r="T10" i="12"/>
  <c r="U10" i="12" s="1"/>
  <c r="W10" i="12" s="1"/>
  <c r="W27" i="12"/>
  <c r="V27" i="12"/>
  <c r="X27" i="12"/>
  <c r="Y27" i="12" s="1"/>
  <c r="W28" i="12"/>
  <c r="X28" i="12"/>
  <c r="Y28" i="12" s="1"/>
  <c r="V28" i="12"/>
  <c r="T15" i="12"/>
  <c r="U15" i="12" s="1"/>
  <c r="W15" i="12" s="1"/>
  <c r="D27" i="1"/>
  <c r="T13" i="12"/>
  <c r="U13" i="12" s="1"/>
  <c r="W13" i="12" s="1"/>
  <c r="W26" i="12"/>
  <c r="X26" i="12"/>
  <c r="Y26" i="12" s="1"/>
  <c r="V26" i="12"/>
  <c r="T22" i="12"/>
  <c r="U22" i="12" s="1"/>
  <c r="W22" i="12" s="1"/>
  <c r="T18" i="12"/>
  <c r="U18" i="12" s="1"/>
  <c r="W18" i="12" s="1"/>
  <c r="T24" i="12"/>
  <c r="AX37" i="4"/>
  <c r="T21" i="12"/>
  <c r="U21" i="12" s="1"/>
  <c r="W21" i="12" s="1"/>
  <c r="T17" i="12"/>
  <c r="U17" i="12" s="1"/>
  <c r="W17" i="12" s="1"/>
  <c r="U30" i="12"/>
  <c r="T12" i="12"/>
  <c r="U12" i="12" s="1"/>
  <c r="W12" i="12" s="1"/>
  <c r="D30" i="1"/>
  <c r="E30" i="1"/>
  <c r="E32" i="1"/>
  <c r="E29" i="1"/>
  <c r="N21" i="13" l="1"/>
  <c r="N24" i="13" s="1"/>
  <c r="B28" i="13" s="1"/>
  <c r="T35" i="12"/>
  <c r="C34" i="1"/>
  <c r="F34" i="1"/>
  <c r="G20" i="1"/>
  <c r="H20" i="1" s="1"/>
  <c r="I20" i="1" s="1"/>
  <c r="H16" i="1"/>
  <c r="I16" i="1" s="1"/>
  <c r="E39" i="12"/>
  <c r="E38" i="12"/>
  <c r="E37" i="12"/>
  <c r="E36" i="12"/>
  <c r="S30" i="11"/>
  <c r="S32" i="11"/>
  <c r="S31" i="11"/>
  <c r="S29" i="11"/>
  <c r="E30" i="11"/>
  <c r="E31" i="11"/>
  <c r="E32" i="11"/>
  <c r="E29" i="11"/>
  <c r="AX41" i="4"/>
  <c r="AX43" i="4"/>
  <c r="AX40" i="4"/>
  <c r="AX42" i="4"/>
  <c r="G33" i="12"/>
  <c r="G38" i="12"/>
  <c r="G39" i="12"/>
  <c r="G36" i="12"/>
  <c r="G37" i="12"/>
  <c r="T33" i="12"/>
  <c r="T36" i="12"/>
  <c r="T37" i="12"/>
  <c r="T38" i="12"/>
  <c r="T39" i="12"/>
  <c r="U29" i="12"/>
  <c r="W29" i="12" s="1"/>
  <c r="G30" i="1"/>
  <c r="H30" i="1" s="1"/>
  <c r="I30" i="1" s="1"/>
  <c r="G29" i="1"/>
  <c r="H29" i="1" s="1"/>
  <c r="I29" i="1" s="1"/>
  <c r="X21" i="12"/>
  <c r="Y21" i="12" s="1"/>
  <c r="V17" i="12"/>
  <c r="X18" i="12"/>
  <c r="Y18" i="12" s="1"/>
  <c r="X17" i="12"/>
  <c r="Y17" i="12" s="1"/>
  <c r="V18" i="12"/>
  <c r="H8" i="1"/>
  <c r="I8" i="1" s="1"/>
  <c r="V12" i="12"/>
  <c r="V20" i="12"/>
  <c r="W11" i="12"/>
  <c r="V11" i="12"/>
  <c r="X11" i="12"/>
  <c r="Y11" i="12" s="1"/>
  <c r="X12" i="12"/>
  <c r="Y12" i="12" s="1"/>
  <c r="U24" i="12"/>
  <c r="X13" i="12"/>
  <c r="Y13" i="12" s="1"/>
  <c r="U9" i="12"/>
  <c r="V15" i="12"/>
  <c r="W25" i="12"/>
  <c r="V25" i="12"/>
  <c r="X25" i="12"/>
  <c r="Y25" i="12" s="1"/>
  <c r="G27" i="1"/>
  <c r="H27" i="1" s="1"/>
  <c r="I27" i="1" s="1"/>
  <c r="H22" i="1"/>
  <c r="I22" i="1" s="1"/>
  <c r="X23" i="12"/>
  <c r="Y23" i="12" s="1"/>
  <c r="X20" i="12"/>
  <c r="Y20" i="12" s="1"/>
  <c r="G32" i="1"/>
  <c r="H32" i="1" s="1"/>
  <c r="I32" i="1" s="1"/>
  <c r="H11" i="1"/>
  <c r="I11" i="1" s="1"/>
  <c r="U14" i="12"/>
  <c r="G13" i="1"/>
  <c r="H13" i="1" s="1"/>
  <c r="I13" i="1" s="1"/>
  <c r="V21" i="12"/>
  <c r="X22" i="12"/>
  <c r="Y22" i="12" s="1"/>
  <c r="V13" i="12"/>
  <c r="X15" i="12"/>
  <c r="Y15" i="12" s="1"/>
  <c r="X10" i="12"/>
  <c r="Y10" i="12" s="1"/>
  <c r="V23" i="12"/>
  <c r="V16" i="12"/>
  <c r="U19" i="12"/>
  <c r="W30" i="12"/>
  <c r="V30" i="12"/>
  <c r="X30" i="12"/>
  <c r="Y30" i="12" s="1"/>
  <c r="V22" i="12"/>
  <c r="G33" i="1"/>
  <c r="H33" i="1" s="1"/>
  <c r="I33" i="1" s="1"/>
  <c r="H12" i="1"/>
  <c r="I12" i="1" s="1"/>
  <c r="G31" i="1"/>
  <c r="H31" i="1" s="1"/>
  <c r="I31" i="1" s="1"/>
  <c r="H10" i="1"/>
  <c r="I10" i="1" s="1"/>
  <c r="V10" i="12"/>
  <c r="X16" i="12"/>
  <c r="Y16" i="12" s="1"/>
  <c r="D34" i="1"/>
  <c r="C48" i="1" s="1"/>
  <c r="C50" i="1" s="1"/>
  <c r="E34" i="1"/>
  <c r="U35" i="12" l="1"/>
  <c r="U33" i="12"/>
  <c r="U39" i="12"/>
  <c r="U37" i="12"/>
  <c r="U38" i="12"/>
  <c r="U36" i="12"/>
  <c r="V29" i="12"/>
  <c r="X29" i="12"/>
  <c r="Y29" i="12" s="1"/>
  <c r="G34" i="1"/>
  <c r="B48" i="1" s="1"/>
  <c r="B50" i="1" s="1"/>
  <c r="W24" i="12"/>
  <c r="V24" i="12"/>
  <c r="X24" i="12"/>
  <c r="Y24" i="12" s="1"/>
  <c r="W19" i="12"/>
  <c r="X19" i="12"/>
  <c r="Y19" i="12" s="1"/>
  <c r="V19" i="12"/>
  <c r="W14" i="12"/>
  <c r="V14" i="12"/>
  <c r="X14" i="12"/>
  <c r="Y14" i="12" s="1"/>
  <c r="W9" i="12"/>
  <c r="X9" i="12"/>
  <c r="X35" i="12" s="1"/>
  <c r="V9" i="12"/>
  <c r="V35" i="12" s="1"/>
  <c r="W35" i="12" l="1"/>
  <c r="Y9" i="12"/>
  <c r="Y35" i="12" s="1"/>
  <c r="X33" i="12"/>
  <c r="X38" i="12"/>
  <c r="X36" i="12"/>
  <c r="X39" i="12"/>
  <c r="X37" i="12"/>
  <c r="V33" i="12"/>
  <c r="V37" i="12"/>
  <c r="V39" i="12"/>
  <c r="V38" i="12"/>
  <c r="V36" i="12"/>
  <c r="W33" i="12"/>
  <c r="W37" i="12"/>
  <c r="W38" i="12"/>
  <c r="W39" i="12"/>
  <c r="W36" i="12"/>
  <c r="H34" i="1"/>
  <c r="I34" i="1" s="1"/>
  <c r="M41" i="37"/>
  <c r="D10" i="36" s="1"/>
  <c r="D24" i="36" s="1"/>
  <c r="O40" i="37"/>
  <c r="P43" i="37"/>
  <c r="G12" i="36" s="1"/>
  <c r="G8" i="36"/>
  <c r="N41" i="37"/>
  <c r="O43" i="37"/>
  <c r="M42" i="37"/>
  <c r="D11" i="36" s="1"/>
  <c r="D25" i="36" s="1"/>
  <c r="G26" i="36" l="1"/>
  <c r="Z37" i="37"/>
  <c r="Y37" i="37"/>
  <c r="G22" i="36"/>
  <c r="Y33" i="12"/>
  <c r="Y37" i="12"/>
  <c r="Y38" i="12"/>
  <c r="Y36" i="12"/>
  <c r="Y39" i="12"/>
  <c r="Z42" i="37"/>
  <c r="Z41" i="37"/>
  <c r="Z43" i="37"/>
  <c r="P40" i="37"/>
  <c r="G9" i="36" s="1"/>
  <c r="N43" i="37"/>
  <c r="O41" i="37"/>
  <c r="H8" i="36"/>
  <c r="I8" i="36" s="1"/>
  <c r="P42" i="37"/>
  <c r="G11" i="36" s="1"/>
  <c r="N42" i="37"/>
  <c r="O42" i="37"/>
  <c r="M40" i="37"/>
  <c r="D9" i="36" s="1"/>
  <c r="D23" i="36" s="1"/>
  <c r="N40" i="37"/>
  <c r="Z40" i="37"/>
  <c r="P41" i="37"/>
  <c r="G10" i="36" s="1"/>
  <c r="M43" i="37"/>
  <c r="D12" i="36" s="1"/>
  <c r="D26" i="36" s="1"/>
  <c r="H26" i="36" s="1"/>
  <c r="I26" i="36" s="1"/>
  <c r="H12" i="36" l="1"/>
  <c r="I12" i="36" s="1"/>
  <c r="H10" i="36"/>
  <c r="I10" i="36" s="1"/>
  <c r="G24" i="36"/>
  <c r="H24" i="36" s="1"/>
  <c r="I24" i="36" s="1"/>
  <c r="H9" i="36"/>
  <c r="I9" i="36" s="1"/>
  <c r="G23" i="36"/>
  <c r="H23" i="36" s="1"/>
  <c r="I23" i="36" s="1"/>
  <c r="D13" i="36"/>
  <c r="D22" i="36"/>
  <c r="G13" i="36"/>
  <c r="G25" i="36"/>
  <c r="H25" i="36" s="1"/>
  <c r="I25" i="36" s="1"/>
  <c r="H11" i="36"/>
  <c r="I11" i="36" s="1"/>
  <c r="Y42" i="37"/>
  <c r="Y40" i="37"/>
  <c r="Y43" i="37"/>
  <c r="Y41" i="37"/>
  <c r="G27" i="36" l="1"/>
  <c r="D27" i="36"/>
  <c r="H22" i="36"/>
  <c r="I22" i="36" s="1"/>
  <c r="H13" i="36"/>
  <c r="I13" i="36" s="1"/>
  <c r="H27" i="36" l="1"/>
  <c r="I27" i="36" s="1"/>
  <c r="C42" i="36"/>
  <c r="C44" i="36" s="1"/>
  <c r="B42" i="36"/>
  <c r="B44" i="36"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<sst xmlns="http://schemas.openxmlformats.org/spreadsheetml/2006/main" count="1680" uniqueCount="1232">
  <si>
    <t>致同会计师事务所</t>
  </si>
  <si>
    <t>附注披露信息（上市公司）</t>
    <phoneticPr fontId="10" type="noConversion"/>
  </si>
  <si>
    <t>合计</t>
  </si>
  <si>
    <r>
      <rPr>
        <b/>
        <sz val="10"/>
        <rFont val="宋体"/>
        <family val="3"/>
        <charset val="134"/>
      </rPr>
      <t>项目名称</t>
    </r>
  </si>
  <si>
    <r>
      <rPr>
        <b/>
        <sz val="10"/>
        <rFont val="宋体"/>
        <family val="3"/>
        <charset val="134"/>
      </rPr>
      <t>备注</t>
    </r>
    <phoneticPr fontId="10" type="noConversion"/>
  </si>
  <si>
    <r>
      <rPr>
        <b/>
        <sz val="10"/>
        <rFont val="宋体"/>
        <family val="3"/>
        <charset val="134"/>
      </rPr>
      <t>销售协议价格</t>
    </r>
    <phoneticPr fontId="10" type="noConversion"/>
  </si>
  <si>
    <r>
      <rPr>
        <b/>
        <sz val="10"/>
        <rFont val="宋体"/>
        <family val="3"/>
        <charset val="134"/>
      </rPr>
      <t>说明</t>
    </r>
    <phoneticPr fontId="10" type="noConversion"/>
  </si>
  <si>
    <r>
      <rPr>
        <b/>
        <sz val="10"/>
        <rFont val="宋体"/>
        <family val="3"/>
        <charset val="134"/>
      </rPr>
      <t>资产活跃市场价格</t>
    </r>
    <phoneticPr fontId="10" type="noConversion"/>
  </si>
  <si>
    <r>
      <rPr>
        <b/>
        <sz val="10"/>
        <rFont val="宋体"/>
        <family val="3"/>
        <charset val="134"/>
      </rPr>
      <t>估计价格</t>
    </r>
    <phoneticPr fontId="10" type="noConversion"/>
  </si>
  <si>
    <r>
      <rPr>
        <b/>
        <sz val="10"/>
        <rFont val="宋体"/>
        <family val="3"/>
        <charset val="134"/>
      </rPr>
      <t>法律费用</t>
    </r>
    <phoneticPr fontId="10" type="noConversion"/>
  </si>
  <si>
    <r>
      <rPr>
        <b/>
        <sz val="10"/>
        <rFont val="宋体"/>
        <family val="3"/>
        <charset val="134"/>
      </rPr>
      <t>相关税费</t>
    </r>
    <phoneticPr fontId="10" type="noConversion"/>
  </si>
  <si>
    <r>
      <rPr>
        <b/>
        <sz val="10"/>
        <rFont val="宋体"/>
        <family val="3"/>
        <charset val="134"/>
      </rPr>
      <t>搬运费</t>
    </r>
    <phoneticPr fontId="10" type="noConversion"/>
  </si>
  <si>
    <r>
      <rPr>
        <b/>
        <sz val="10"/>
        <rFont val="宋体"/>
        <family val="3"/>
        <charset val="134"/>
      </rPr>
      <t>直接费用</t>
    </r>
    <phoneticPr fontId="10" type="noConversion"/>
  </si>
  <si>
    <r>
      <rPr>
        <b/>
        <sz val="10"/>
        <rFont val="宋体"/>
        <family val="3"/>
        <charset val="134"/>
      </rPr>
      <t>其他费用</t>
    </r>
    <phoneticPr fontId="10" type="noConversion"/>
  </si>
  <si>
    <r>
      <rPr>
        <b/>
        <sz val="10"/>
        <rFont val="宋体"/>
        <family val="3"/>
        <charset val="134"/>
      </rPr>
      <t>处置费用合计</t>
    </r>
    <phoneticPr fontId="10" type="noConversion"/>
  </si>
  <si>
    <r>
      <rPr>
        <b/>
        <sz val="10"/>
        <rFont val="宋体"/>
        <family val="3"/>
        <charset val="134"/>
      </rPr>
      <t>审计说明：</t>
    </r>
    <phoneticPr fontId="10" type="noConversion"/>
  </si>
  <si>
    <r>
      <rPr>
        <b/>
        <sz val="10"/>
        <rFont val="宋体"/>
        <family val="3"/>
        <charset val="134"/>
      </rPr>
      <t>（二）资产预计未来现金流量的现值</t>
    </r>
    <phoneticPr fontId="10" type="noConversion"/>
  </si>
  <si>
    <r>
      <rPr>
        <b/>
        <sz val="10"/>
        <rFont val="宋体"/>
        <family val="3"/>
        <charset val="134"/>
      </rPr>
      <t>预计未来现金流量</t>
    </r>
    <phoneticPr fontId="10" type="noConversion"/>
  </si>
  <si>
    <r>
      <rPr>
        <b/>
        <sz val="10"/>
        <rFont val="宋体"/>
        <family val="3"/>
        <charset val="134"/>
      </rPr>
      <t>预算或者预测期</t>
    </r>
    <phoneticPr fontId="10" type="noConversion"/>
  </si>
  <si>
    <r>
      <rPr>
        <b/>
        <sz val="10"/>
        <rFont val="宋体"/>
        <family val="3"/>
        <charset val="134"/>
      </rPr>
      <t>以后年度</t>
    </r>
    <phoneticPr fontId="10" type="noConversion"/>
  </si>
  <si>
    <r>
      <rPr>
        <sz val="10"/>
        <rFont val="宋体"/>
        <family val="3"/>
        <charset val="134"/>
      </rPr>
      <t>行业的长期平均增长率</t>
    </r>
    <phoneticPr fontId="10" type="noConversion"/>
  </si>
  <si>
    <r>
      <rPr>
        <sz val="10"/>
        <rFont val="宋体"/>
        <family val="3"/>
        <charset val="134"/>
      </rPr>
      <t>市场长期平均增长率</t>
    </r>
    <phoneticPr fontId="10" type="noConversion"/>
  </si>
  <si>
    <r>
      <rPr>
        <sz val="10"/>
        <rFont val="宋体"/>
        <family val="3"/>
        <charset val="134"/>
      </rPr>
      <t>所在国家或地区的长期平均增长率</t>
    </r>
    <phoneticPr fontId="10" type="noConversion"/>
  </si>
  <si>
    <r>
      <rPr>
        <b/>
        <sz val="10"/>
        <rFont val="宋体"/>
        <family val="3"/>
        <charset val="134"/>
      </rPr>
      <t>增长率确定依据</t>
    </r>
    <phoneticPr fontId="10" type="noConversion"/>
  </si>
  <si>
    <r>
      <rPr>
        <b/>
        <sz val="10"/>
        <rFont val="宋体"/>
        <family val="3"/>
        <charset val="134"/>
      </rPr>
      <t>预计未来现金流量的现值</t>
    </r>
    <phoneticPr fontId="10" type="noConversion"/>
  </si>
  <si>
    <r>
      <rPr>
        <b/>
        <sz val="10"/>
        <rFont val="宋体"/>
        <family val="3"/>
        <charset val="134"/>
      </rPr>
      <t>第一年</t>
    </r>
    <phoneticPr fontId="10" type="noConversion"/>
  </si>
  <si>
    <r>
      <rPr>
        <b/>
        <sz val="10"/>
        <rFont val="宋体"/>
        <family val="3"/>
        <charset val="134"/>
      </rPr>
      <t>第二年</t>
    </r>
    <phoneticPr fontId="10" type="noConversion"/>
  </si>
  <si>
    <r>
      <rPr>
        <b/>
        <sz val="10"/>
        <rFont val="宋体"/>
        <family val="3"/>
        <charset val="134"/>
      </rPr>
      <t>第三年</t>
    </r>
    <phoneticPr fontId="10" type="noConversion"/>
  </si>
  <si>
    <r>
      <rPr>
        <b/>
        <sz val="10"/>
        <rFont val="宋体"/>
        <family val="3"/>
        <charset val="134"/>
      </rPr>
      <t>第四年</t>
    </r>
    <phoneticPr fontId="10" type="noConversion"/>
  </si>
  <si>
    <r>
      <rPr>
        <b/>
        <sz val="10"/>
        <rFont val="宋体"/>
        <family val="3"/>
        <charset val="134"/>
      </rPr>
      <t>第五年</t>
    </r>
    <phoneticPr fontId="10" type="noConversion"/>
  </si>
  <si>
    <r>
      <rPr>
        <b/>
        <sz val="10"/>
        <rFont val="宋体"/>
        <family val="3"/>
        <charset val="134"/>
      </rPr>
      <t>基数</t>
    </r>
    <phoneticPr fontId="10" type="noConversion"/>
  </si>
  <si>
    <r>
      <rPr>
        <b/>
        <sz val="10"/>
        <rFont val="宋体"/>
        <family val="3"/>
        <charset val="134"/>
      </rPr>
      <t>增长率</t>
    </r>
    <phoneticPr fontId="10" type="noConversion"/>
  </si>
  <si>
    <r>
      <rPr>
        <sz val="10"/>
        <rFont val="宋体"/>
        <family val="3"/>
        <charset val="134"/>
      </rPr>
      <t>现金净流量（税前）</t>
    </r>
    <phoneticPr fontId="10" type="noConversion"/>
  </si>
  <si>
    <r>
      <rPr>
        <sz val="10"/>
        <rFont val="宋体"/>
        <family val="3"/>
        <charset val="134"/>
      </rPr>
      <t>折现系数</t>
    </r>
    <phoneticPr fontId="10" type="noConversion"/>
  </si>
  <si>
    <r>
      <rPr>
        <sz val="10"/>
        <rFont val="宋体"/>
        <family val="3"/>
        <charset val="134"/>
      </rPr>
      <t>现值</t>
    </r>
    <phoneticPr fontId="10" type="noConversion"/>
  </si>
  <si>
    <r>
      <rPr>
        <b/>
        <sz val="10"/>
        <rFont val="宋体"/>
        <family val="3"/>
        <charset val="134"/>
      </rPr>
      <t>折现率</t>
    </r>
    <phoneticPr fontId="10" type="noConversion"/>
  </si>
  <si>
    <r>
      <rPr>
        <b/>
        <sz val="10"/>
        <rFont val="宋体"/>
        <family val="3"/>
        <charset val="134"/>
      </rPr>
      <t>所得税率</t>
    </r>
    <phoneticPr fontId="10" type="noConversion"/>
  </si>
  <si>
    <r>
      <rPr>
        <b/>
        <sz val="10"/>
        <rFont val="宋体"/>
        <family val="3"/>
        <charset val="134"/>
      </rPr>
      <t xml:space="preserve">债务总额
</t>
    </r>
    <r>
      <rPr>
        <b/>
        <sz val="10"/>
        <rFont val="Arial Narrow"/>
        <family val="2"/>
      </rPr>
      <t>D</t>
    </r>
    <phoneticPr fontId="10" type="noConversion"/>
  </si>
  <si>
    <r>
      <rPr>
        <b/>
        <sz val="10"/>
        <rFont val="宋体"/>
        <family val="3"/>
        <charset val="134"/>
      </rPr>
      <t xml:space="preserve">资本总额
</t>
    </r>
    <r>
      <rPr>
        <b/>
        <sz val="10"/>
        <rFont val="Arial Narrow"/>
        <family val="2"/>
      </rPr>
      <t>E</t>
    </r>
    <phoneticPr fontId="10" type="noConversion"/>
  </si>
  <si>
    <r>
      <t>β</t>
    </r>
    <r>
      <rPr>
        <b/>
        <sz val="10"/>
        <rFont val="宋体"/>
        <family val="3"/>
        <charset val="134"/>
      </rPr>
      <t>系数</t>
    </r>
    <phoneticPr fontId="10" type="noConversion"/>
  </si>
  <si>
    <r>
      <rPr>
        <b/>
        <sz val="10"/>
        <rFont val="宋体"/>
        <family val="3"/>
        <charset val="134"/>
      </rPr>
      <t>资本成本</t>
    </r>
    <r>
      <rPr>
        <b/>
        <sz val="10"/>
        <rFont val="Arial Narrow"/>
        <family val="2"/>
      </rPr>
      <t>Ke</t>
    </r>
    <phoneticPr fontId="10" type="noConversion"/>
  </si>
  <si>
    <r>
      <t>WACC
(</t>
    </r>
    <r>
      <rPr>
        <b/>
        <sz val="10"/>
        <rFont val="宋体"/>
        <family val="3"/>
        <charset val="134"/>
      </rPr>
      <t>税后</t>
    </r>
    <r>
      <rPr>
        <b/>
        <sz val="10"/>
        <rFont val="Arial Narrow"/>
        <family val="2"/>
      </rPr>
      <t>)</t>
    </r>
    <phoneticPr fontId="10" type="noConversion"/>
  </si>
  <si>
    <r>
      <rPr>
        <b/>
        <sz val="10"/>
        <rFont val="宋体"/>
        <family val="3"/>
        <charset val="134"/>
      </rPr>
      <t>税后折税前调整说明</t>
    </r>
    <phoneticPr fontId="10" type="noConversion"/>
  </si>
  <si>
    <r>
      <rPr>
        <b/>
        <sz val="10"/>
        <rFont val="宋体"/>
        <family val="3"/>
        <charset val="134"/>
      </rPr>
      <t>可收回金额</t>
    </r>
    <phoneticPr fontId="10" type="noConversion"/>
  </si>
  <si>
    <r>
      <rPr>
        <b/>
        <sz val="10"/>
        <rFont val="宋体"/>
        <family val="3"/>
        <charset val="134"/>
      </rPr>
      <t>适用税率</t>
    </r>
    <phoneticPr fontId="10" type="noConversion"/>
  </si>
  <si>
    <r>
      <rPr>
        <b/>
        <sz val="10"/>
        <rFont val="宋体"/>
        <family val="3"/>
        <charset val="134"/>
      </rPr>
      <t>税率调整</t>
    </r>
    <phoneticPr fontId="10" type="noConversion"/>
  </si>
  <si>
    <r>
      <rPr>
        <b/>
        <sz val="10"/>
        <rFont val="宋体"/>
        <family val="3"/>
        <charset val="134"/>
      </rPr>
      <t>调整说明</t>
    </r>
    <phoneticPr fontId="10" type="noConversion"/>
  </si>
  <si>
    <r>
      <rPr>
        <sz val="10"/>
        <rFont val="宋体"/>
        <family val="3"/>
        <charset val="134"/>
      </rPr>
      <t>加权平均资金成本</t>
    </r>
    <phoneticPr fontId="10" type="noConversion"/>
  </si>
  <si>
    <r>
      <rPr>
        <b/>
        <sz val="10"/>
        <rFont val="宋体"/>
        <family val="3"/>
        <charset val="134"/>
      </rPr>
      <t>（三）可收回金额</t>
    </r>
    <phoneticPr fontId="10" type="noConversion"/>
  </si>
  <si>
    <r>
      <rPr>
        <sz val="10"/>
        <rFont val="宋体"/>
        <family val="3"/>
        <charset val="134"/>
      </rPr>
      <t>资产的公允价值减去处置费用后的净额与资产预计未来现金流量的现值两者之间较高者</t>
    </r>
    <phoneticPr fontId="10" type="noConversion"/>
  </si>
  <si>
    <r>
      <rPr>
        <i/>
        <sz val="10"/>
        <color indexed="12"/>
        <rFont val="宋体"/>
        <family val="3"/>
        <charset val="134"/>
      </rPr>
      <t>编制说明：</t>
    </r>
    <phoneticPr fontId="10" type="noConversion"/>
  </si>
  <si>
    <r>
      <t>1</t>
    </r>
    <r>
      <rPr>
        <sz val="10"/>
        <color indexed="12"/>
        <rFont val="宋体"/>
        <family val="3"/>
        <charset val="134"/>
      </rPr>
      <t>、可收回金额应当根据资产的公允价值减去处置费用后的净额与资产预计未来现金流量的现值两者之间较高者确定。</t>
    </r>
    <phoneticPr fontId="10"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</si>
  <si>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10"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</si>
  <si>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10"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</si>
  <si>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10" type="noConversion"/>
  </si>
  <si>
    <r>
      <t>3</t>
    </r>
    <r>
      <rPr>
        <sz val="10"/>
        <color indexed="12"/>
        <rFont val="宋体"/>
        <family val="3"/>
        <charset val="134"/>
      </rPr>
      <t>、处置费用包括与资产处置有关的法律费用、相关税费、搬运费以及为使资产达到可销售状态所发生的直接费用等。</t>
    </r>
    <phoneticPr fontId="10"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</si>
  <si>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10" type="noConversion"/>
  </si>
  <si>
    <r>
      <rPr>
        <sz val="10"/>
        <color indexed="12"/>
        <rFont val="宋体"/>
        <family val="3"/>
        <charset val="134"/>
      </rPr>
      <t>预计的资产未来现金流量应当包括下列各项：</t>
    </r>
    <phoneticPr fontId="10" type="noConversion"/>
  </si>
  <si>
    <r>
      <rPr>
        <sz val="10"/>
        <color indexed="12"/>
        <rFont val="宋体"/>
        <family val="3"/>
        <charset val="134"/>
      </rPr>
      <t>　　（一）资产持续使用过程中预计产生的现金流入。</t>
    </r>
    <phoneticPr fontId="10"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</si>
  <si>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10" type="noConversion"/>
  </si>
  <si>
    <r>
      <rPr>
        <sz val="10"/>
        <color indexed="12"/>
        <rFont val="宋体"/>
        <family val="3"/>
        <charset val="134"/>
      </rPr>
      <t>于或者可通过合理和一致的基础分配到资产中的现金流出。</t>
    </r>
    <phoneticPr fontId="10"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</si>
  <si>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10" type="noConversion"/>
  </si>
  <si>
    <r>
      <rPr>
        <sz val="10"/>
        <color indexed="12"/>
        <rFont val="宋体"/>
        <family val="3"/>
        <charset val="134"/>
      </rPr>
      <t>处置中获取或者支付的、减去预计处置费用后的金额。</t>
    </r>
    <phoneticPr fontId="10" type="noConversion"/>
  </si>
  <si>
    <r>
      <rPr>
        <sz val="10"/>
        <rFont val="宋体"/>
        <family val="3"/>
        <charset val="134"/>
      </rPr>
      <t>建立在预算或者预测基础上的预计现金流量最多涵盖</t>
    </r>
    <r>
      <rPr>
        <sz val="10"/>
        <rFont val="Arial Narrow"/>
        <family val="2"/>
      </rPr>
      <t>5</t>
    </r>
    <r>
      <rPr>
        <sz val="10"/>
        <rFont val="宋体"/>
        <family val="3"/>
        <charset val="134"/>
      </rPr>
      <t>年（涵盖更长的期间需证明合理性）。</t>
    </r>
    <phoneticPr fontId="14" type="noConversion"/>
  </si>
  <si>
    <r>
      <rPr>
        <sz val="10"/>
        <color indexed="12"/>
        <rFont val="宋体"/>
        <family val="3"/>
        <charset val="134"/>
      </rPr>
      <t>折现率的确定通常应当以该资产的市场利率为依据。无法从市场获得的，可以使用替代利率估计折现率。</t>
    </r>
    <phoneticPr fontId="10" type="noConversion"/>
  </si>
  <si>
    <r>
      <rPr>
        <sz val="10"/>
        <color indexed="12"/>
        <rFont val="宋体"/>
        <family val="3"/>
        <charset val="134"/>
      </rPr>
      <t>加权平均资金成本（税后）</t>
    </r>
    <r>
      <rPr>
        <sz val="10"/>
        <color indexed="12"/>
        <rFont val="Arial Narrow"/>
        <family val="2"/>
      </rPr>
      <t>:</t>
    </r>
    <phoneticPr fontId="10" type="noConversion"/>
  </si>
  <si>
    <r>
      <rPr>
        <sz val="10"/>
        <rFont val="宋体"/>
        <family val="3"/>
        <charset val="134"/>
      </rPr>
      <t>折现率应当反映与内含在预计现金流量中的假设相一致的假设</t>
    </r>
    <phoneticPr fontId="10" type="noConversion"/>
  </si>
  <si>
    <r>
      <rPr>
        <b/>
        <sz val="10"/>
        <rFont val="宋体"/>
        <family val="3"/>
        <charset val="134"/>
      </rPr>
      <t>债务总额（</t>
    </r>
    <r>
      <rPr>
        <b/>
        <sz val="10"/>
        <rFont val="Arial Narrow"/>
        <family val="2"/>
      </rPr>
      <t>D</t>
    </r>
    <r>
      <rPr>
        <b/>
        <sz val="10"/>
        <rFont val="宋体"/>
        <family val="3"/>
        <charset val="134"/>
      </rPr>
      <t>）</t>
    </r>
    <phoneticPr fontId="10" type="noConversion"/>
  </si>
  <si>
    <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phoneticPr fontId="10" type="noConversion"/>
  </si>
  <si>
    <r>
      <rPr>
        <sz val="10"/>
        <rFont val="宋体"/>
        <family val="3"/>
        <charset val="134"/>
      </rPr>
      <t>如果企业的长期资产有一部分是由短期负债支撑的，可以用短期借款</t>
    </r>
    <r>
      <rPr>
        <sz val="10"/>
        <rFont val="Arial Narrow"/>
        <family val="2"/>
      </rPr>
      <t>+</t>
    </r>
    <r>
      <rPr>
        <sz val="10"/>
        <rFont val="宋体"/>
        <family val="3"/>
        <charset val="134"/>
      </rPr>
      <t>长期借款。</t>
    </r>
    <phoneticPr fontId="10" type="noConversion"/>
  </si>
  <si>
    <r>
      <t>Capital Employed</t>
    </r>
    <r>
      <rPr>
        <sz val="10"/>
        <rFont val="宋体"/>
        <family val="3"/>
        <charset val="134"/>
      </rPr>
      <t>（</t>
    </r>
    <r>
      <rPr>
        <sz val="10"/>
        <rFont val="Arial Narrow"/>
        <family val="2"/>
      </rPr>
      <t>CE</t>
    </r>
    <r>
      <rPr>
        <sz val="10"/>
        <rFont val="宋体"/>
        <family val="3"/>
        <charset val="134"/>
      </rPr>
      <t>）中股东投入的部分，包含股本、股本溢价及留存收益。</t>
    </r>
    <phoneticPr fontId="10" type="noConversion"/>
  </si>
  <si>
    <r>
      <rPr>
        <sz val="10"/>
        <rFont val="宋体"/>
        <family val="3"/>
        <charset val="134"/>
      </rPr>
      <t>严格来说，计算</t>
    </r>
    <r>
      <rPr>
        <sz val="10"/>
        <rFont val="Arial Narrow"/>
        <family val="2"/>
      </rPr>
      <t>WACC</t>
    </r>
    <r>
      <rPr>
        <sz val="10"/>
        <rFont val="宋体"/>
        <family val="3"/>
        <charset val="134"/>
      </rPr>
      <t>应使用资本总额的市场价值；一般认为资本的市场价值就是股票市值。</t>
    </r>
    <phoneticPr fontId="10" type="noConversion"/>
  </si>
  <si>
    <r>
      <rPr>
        <b/>
        <sz val="10"/>
        <rFont val="宋体"/>
        <family val="3"/>
        <charset val="134"/>
      </rPr>
      <t>税前债务成本（</t>
    </r>
    <r>
      <rPr>
        <b/>
        <sz val="10"/>
        <rFont val="Arial Narrow"/>
        <family val="2"/>
      </rPr>
      <t>Kd</t>
    </r>
    <r>
      <rPr>
        <b/>
        <sz val="10"/>
        <rFont val="宋体"/>
        <family val="3"/>
        <charset val="134"/>
      </rPr>
      <t>）</t>
    </r>
    <phoneticPr fontId="10" type="noConversion"/>
  </si>
  <si>
    <r>
      <rPr>
        <sz val="10"/>
        <rFont val="宋体"/>
        <family val="3"/>
        <charset val="134"/>
      </rPr>
      <t>应当是未来的增量资金的边际成本，不是已经筹集资金的历史成本。</t>
    </r>
    <phoneticPr fontId="10" type="noConversion"/>
  </si>
  <si>
    <r>
      <rPr>
        <sz val="10"/>
        <rFont val="宋体"/>
        <family val="3"/>
        <charset val="134"/>
      </rPr>
      <t>实务中可以选择企业或可比企业发行的长期债券的到期收益率（将债券在预期存续期间内的未来现金流量，折现为该债券当前市价所使用的利率）。</t>
    </r>
    <phoneticPr fontId="10" type="noConversion"/>
  </si>
  <si>
    <r>
      <rPr>
        <sz val="10"/>
        <rFont val="宋体"/>
        <family val="3"/>
        <charset val="134"/>
      </rPr>
      <t>若企业没有上市的债券，也找不到合适的可比公司，则可以使用增量借款利率或企业最近一次借款的利率。</t>
    </r>
    <phoneticPr fontId="10" type="noConversion"/>
  </si>
  <si>
    <r>
      <rPr>
        <b/>
        <sz val="10"/>
        <rFont val="宋体"/>
        <family val="3"/>
        <charset val="134"/>
      </rPr>
      <t>市场平均收益率</t>
    </r>
    <r>
      <rPr>
        <b/>
        <sz val="10"/>
        <rFont val="Arial Narrow"/>
        <family val="2"/>
      </rPr>
      <t>Rm</t>
    </r>
    <phoneticPr fontId="10" type="noConversion"/>
  </si>
  <si>
    <r>
      <rPr>
        <sz val="10"/>
        <color indexed="12"/>
        <rFont val="宋体"/>
        <family val="3"/>
        <charset val="134"/>
      </rPr>
      <t>资产组，是指企业可以认定的最小资产组合，其产生的现金流入应当基本上独立于其他资产或者资产组产生的现金流入。</t>
    </r>
    <phoneticPr fontId="10" type="noConversion"/>
  </si>
  <si>
    <t>……</t>
  </si>
  <si>
    <t>二、累计折旧</t>
  </si>
  <si>
    <t>三、减值准备</t>
  </si>
  <si>
    <t>四、账面价值</t>
  </si>
  <si>
    <r>
      <rPr>
        <b/>
        <sz val="10"/>
        <color indexed="8"/>
        <rFont val="宋体"/>
        <family val="3"/>
        <charset val="134"/>
      </rPr>
      <t>一、审计目标</t>
    </r>
    <r>
      <rPr>
        <b/>
        <sz val="10"/>
        <color indexed="8"/>
        <rFont val="Arial Narrow"/>
        <family val="2"/>
      </rPr>
      <t>:</t>
    </r>
    <phoneticPr fontId="14" type="noConversion"/>
  </si>
  <si>
    <r>
      <rPr>
        <b/>
        <sz val="10"/>
        <rFont val="宋体"/>
        <family val="3"/>
        <charset val="134"/>
      </rPr>
      <t>二、审计过程：</t>
    </r>
    <phoneticPr fontId="10" type="noConversion"/>
  </si>
  <si>
    <t>…</t>
    <phoneticPr fontId="10" type="noConversion"/>
  </si>
  <si>
    <r>
      <rPr>
        <b/>
        <sz val="10"/>
        <color indexed="8"/>
        <rFont val="宋体"/>
        <family val="3"/>
        <charset val="134"/>
      </rPr>
      <t>项目</t>
    </r>
  </si>
  <si>
    <r>
      <rPr>
        <b/>
        <sz val="10"/>
        <color indexed="8"/>
        <rFont val="宋体"/>
        <family val="3"/>
        <charset val="134"/>
      </rPr>
      <t>合计</t>
    </r>
    <phoneticPr fontId="10" type="noConversion"/>
  </si>
  <si>
    <r>
      <rPr>
        <b/>
        <sz val="10"/>
        <color indexed="8"/>
        <rFont val="宋体"/>
        <family val="3"/>
        <charset val="134"/>
      </rPr>
      <t>期初数</t>
    </r>
    <phoneticPr fontId="10" type="noConversion"/>
  </si>
  <si>
    <r>
      <rPr>
        <b/>
        <sz val="10"/>
        <color indexed="8"/>
        <rFont val="宋体"/>
        <family val="3"/>
        <charset val="134"/>
      </rPr>
      <t>本期增加</t>
    </r>
    <phoneticPr fontId="10" type="noConversion"/>
  </si>
  <si>
    <r>
      <rPr>
        <b/>
        <sz val="10"/>
        <color indexed="8"/>
        <rFont val="宋体"/>
        <family val="3"/>
        <charset val="134"/>
      </rPr>
      <t>本期减少</t>
    </r>
    <phoneticPr fontId="10" type="noConversion"/>
  </si>
  <si>
    <r>
      <rPr>
        <b/>
        <sz val="10"/>
        <color indexed="8"/>
        <rFont val="宋体"/>
        <family val="3"/>
        <charset val="134"/>
      </rPr>
      <t>本期增加</t>
    </r>
  </si>
  <si>
    <r>
      <rPr>
        <b/>
        <sz val="10"/>
        <color indexed="8"/>
        <rFont val="宋体"/>
        <family val="3"/>
        <charset val="134"/>
      </rPr>
      <t>其他增加</t>
    </r>
  </si>
  <si>
    <t>类别</t>
  </si>
  <si>
    <r>
      <rPr>
        <b/>
        <sz val="10"/>
        <color indexed="8"/>
        <rFont val="宋体"/>
        <family val="3"/>
        <charset val="134"/>
      </rPr>
      <t>同行业公司</t>
    </r>
    <r>
      <rPr>
        <b/>
        <sz val="10"/>
        <color indexed="8"/>
        <rFont val="Arial Narrow"/>
        <family val="2"/>
      </rPr>
      <t>1</t>
    </r>
    <phoneticPr fontId="10" type="noConversion"/>
  </si>
  <si>
    <r>
      <rPr>
        <b/>
        <sz val="10"/>
        <color indexed="8"/>
        <rFont val="宋体"/>
        <family val="3"/>
        <charset val="134"/>
      </rPr>
      <t>同行业公司</t>
    </r>
    <r>
      <rPr>
        <b/>
        <sz val="10"/>
        <color indexed="8"/>
        <rFont val="Arial Narrow"/>
        <family val="2"/>
      </rPr>
      <t>2</t>
    </r>
    <phoneticPr fontId="10" type="noConversion"/>
  </si>
  <si>
    <r>
      <rPr>
        <b/>
        <sz val="10"/>
        <color indexed="8"/>
        <rFont val="宋体"/>
        <family val="3"/>
        <charset val="134"/>
      </rPr>
      <t>同行业公司</t>
    </r>
    <r>
      <rPr>
        <b/>
        <sz val="10"/>
        <color indexed="8"/>
        <rFont val="Arial Narrow"/>
        <family val="2"/>
      </rPr>
      <t>3</t>
    </r>
    <phoneticPr fontId="10" type="noConversion"/>
  </si>
  <si>
    <t xml:space="preserve"> %</t>
  </si>
  <si>
    <r>
      <rPr>
        <b/>
        <sz val="10"/>
        <rFont val="宋体"/>
        <family val="3"/>
        <charset val="134"/>
      </rPr>
      <t>一、资产负债表日：</t>
    </r>
    <r>
      <rPr>
        <b/>
        <u/>
        <sz val="10"/>
        <rFont val="Arial Narrow"/>
        <family val="2"/>
      </rPr>
      <t xml:space="preserve">                            </t>
    </r>
  </si>
  <si>
    <r>
      <rPr>
        <b/>
        <sz val="10"/>
        <rFont val="宋体"/>
        <family val="3"/>
        <charset val="134"/>
      </rPr>
      <t>序号</t>
    </r>
    <phoneticPr fontId="10" type="noConversion"/>
  </si>
  <si>
    <r>
      <rPr>
        <b/>
        <sz val="10"/>
        <rFont val="宋体"/>
        <family val="3"/>
        <charset val="134"/>
      </rPr>
      <t>资产类别</t>
    </r>
    <phoneticPr fontId="10" type="noConversion"/>
  </si>
  <si>
    <r>
      <rPr>
        <b/>
        <sz val="10"/>
        <rFont val="宋体"/>
        <family val="3"/>
        <charset val="134"/>
      </rPr>
      <t>三、了解资产管理情况</t>
    </r>
  </si>
  <si>
    <r>
      <rPr>
        <b/>
        <sz val="10"/>
        <rFont val="宋体"/>
        <family val="3"/>
        <charset val="134"/>
      </rPr>
      <t>三、参与盘点人员：</t>
    </r>
  </si>
  <si>
    <r>
      <t>2</t>
    </r>
    <r>
      <rPr>
        <b/>
        <sz val="10"/>
        <rFont val="宋体"/>
        <family val="3"/>
        <charset val="134"/>
      </rPr>
      <t>．</t>
    </r>
    <r>
      <rPr>
        <b/>
        <sz val="10"/>
        <rFont val="Arial Narrow"/>
        <family val="2"/>
      </rPr>
      <t xml:space="preserve"> </t>
    </r>
    <r>
      <rPr>
        <b/>
        <sz val="10"/>
        <rFont val="宋体"/>
        <family val="3"/>
        <charset val="134"/>
      </rPr>
      <t>审计人员：</t>
    </r>
    <r>
      <rPr>
        <b/>
        <u/>
        <sz val="10"/>
        <rFont val="Arial Narrow"/>
        <family val="2"/>
      </rPr>
      <t xml:space="preserve">                                                           </t>
    </r>
  </si>
  <si>
    <r>
      <t>1</t>
    </r>
    <r>
      <rPr>
        <sz val="10"/>
        <rFont val="宋体"/>
        <family val="3"/>
        <charset val="134"/>
      </rPr>
      <t>．资产现场观察说明：</t>
    </r>
    <r>
      <rPr>
        <u/>
        <sz val="10"/>
        <rFont val="Arial Narrow"/>
        <family val="2"/>
      </rPr>
      <t xml:space="preserve">                                                   </t>
    </r>
  </si>
  <si>
    <r>
      <t>2</t>
    </r>
    <r>
      <rPr>
        <sz val="10"/>
        <rFont val="宋体"/>
        <family val="3"/>
        <charset val="134"/>
      </rPr>
      <t>．盘点前检查程序：</t>
    </r>
  </si>
  <si>
    <r>
      <t xml:space="preserve"> </t>
    </r>
    <r>
      <rPr>
        <sz val="10"/>
        <rFont val="宋体"/>
        <family val="3"/>
        <charset val="134"/>
      </rPr>
      <t>索引：</t>
    </r>
    <phoneticPr fontId="10" type="noConversion"/>
  </si>
  <si>
    <r>
      <rPr>
        <sz val="10"/>
        <rFont val="宋体"/>
        <family val="3"/>
        <charset val="134"/>
      </rPr>
      <t>结束时间：</t>
    </r>
    <r>
      <rPr>
        <sz val="10"/>
        <rFont val="Arial Narrow"/>
        <family val="2"/>
      </rPr>
      <t xml:space="preserve"> </t>
    </r>
    <phoneticPr fontId="10" type="noConversion"/>
  </si>
  <si>
    <r>
      <rPr>
        <sz val="10"/>
        <rFont val="宋体"/>
        <family val="3"/>
        <charset val="134"/>
      </rPr>
      <t>（一）企业实际盘点人员</t>
    </r>
  </si>
  <si>
    <r>
      <rPr>
        <sz val="10"/>
        <rFont val="宋体"/>
        <family val="3"/>
        <charset val="134"/>
      </rPr>
      <t>岗位：</t>
    </r>
    <r>
      <rPr>
        <sz val="10"/>
        <rFont val="Arial Narrow"/>
        <family val="2"/>
      </rPr>
      <t xml:space="preserve">               </t>
    </r>
  </si>
  <si>
    <r>
      <rPr>
        <sz val="10"/>
        <rFont val="宋体"/>
        <family val="3"/>
        <charset val="134"/>
      </rPr>
      <t>组，其中：</t>
    </r>
  </si>
  <si>
    <r>
      <rPr>
        <sz val="10"/>
        <rFont val="宋体"/>
        <family val="3"/>
        <charset val="134"/>
      </rPr>
      <t>第一组：</t>
    </r>
    <r>
      <rPr>
        <u/>
        <sz val="10"/>
        <rFont val="Arial Narrow"/>
        <family val="2"/>
      </rPr>
      <t xml:space="preserve">             </t>
    </r>
    <r>
      <rPr>
        <sz val="10"/>
        <rFont val="宋体"/>
        <family val="3"/>
        <charset val="134"/>
      </rPr>
      <t/>
    </r>
    <phoneticPr fontId="10" type="noConversion"/>
  </si>
  <si>
    <r>
      <t xml:space="preserve"> </t>
    </r>
    <r>
      <rPr>
        <sz val="10"/>
        <rFont val="宋体"/>
        <family val="3"/>
        <charset val="134"/>
      </rPr>
      <t>记录</t>
    </r>
  </si>
  <si>
    <r>
      <rPr>
        <sz val="10"/>
        <rFont val="宋体"/>
        <family val="3"/>
        <charset val="134"/>
      </rPr>
      <t>（二）特殊情况说明：</t>
    </r>
  </si>
  <si>
    <r>
      <rPr>
        <sz val="10"/>
        <rFont val="宋体"/>
        <family val="3"/>
        <charset val="134"/>
      </rPr>
      <t>（一）抽盘样本确定方法</t>
    </r>
  </si>
  <si>
    <r>
      <t>1</t>
    </r>
    <r>
      <rPr>
        <sz val="10"/>
        <rFont val="宋体"/>
        <family val="3"/>
        <charset val="134"/>
      </rPr>
      <t>．从会计明细账中抽取的方法</t>
    </r>
  </si>
  <si>
    <r>
      <t>2</t>
    </r>
    <r>
      <rPr>
        <sz val="10"/>
        <rFont val="宋体"/>
        <family val="3"/>
        <charset val="134"/>
      </rPr>
      <t>．从实物资产中抽取样本的方法</t>
    </r>
  </si>
  <si>
    <r>
      <rPr>
        <sz val="10"/>
        <rFont val="宋体"/>
        <family val="3"/>
        <charset val="134"/>
      </rPr>
      <t>（二）盘点方法：</t>
    </r>
  </si>
  <si>
    <r>
      <t>1</t>
    </r>
    <r>
      <rPr>
        <sz val="10"/>
        <rFont val="宋体"/>
        <family val="3"/>
        <charset val="134"/>
      </rPr>
      <t>．盘点人员共分</t>
    </r>
    <r>
      <rPr>
        <sz val="10"/>
        <rFont val="Arial Narrow"/>
        <family val="2"/>
      </rPr>
      <t xml:space="preserve"> </t>
    </r>
    <r>
      <rPr>
        <u/>
        <sz val="10"/>
        <rFont val="Arial Narrow"/>
        <family val="2"/>
      </rPr>
      <t xml:space="preserve">          </t>
    </r>
    <phoneticPr fontId="10" type="noConversion"/>
  </si>
  <si>
    <r>
      <rPr>
        <sz val="10"/>
        <rFont val="宋体"/>
        <family val="3"/>
        <charset val="134"/>
      </rPr>
      <t>记录</t>
    </r>
  </si>
  <si>
    <r>
      <t>4</t>
    </r>
    <r>
      <rPr>
        <sz val="10"/>
        <rFont val="宋体"/>
        <family val="3"/>
        <charset val="134"/>
      </rPr>
      <t>．监盘中特殊情况说明：</t>
    </r>
  </si>
  <si>
    <r>
      <rPr>
        <sz val="10"/>
        <rFont val="宋体"/>
        <family val="3"/>
        <charset val="134"/>
      </rPr>
      <t>外，自始至终未离开现场</t>
    </r>
    <r>
      <rPr>
        <sz val="10"/>
        <rFont val="Arial Narrow"/>
        <family val="2"/>
      </rPr>
      <t xml:space="preserve">  </t>
    </r>
    <r>
      <rPr>
        <sz val="10"/>
        <rFont val="宋体"/>
        <family val="3"/>
        <charset val="134"/>
      </rPr>
      <t>是（</t>
    </r>
    <r>
      <rPr>
        <sz val="10"/>
        <rFont val="Arial Narrow"/>
        <family val="2"/>
      </rPr>
      <t xml:space="preserve">   </t>
    </r>
    <r>
      <rPr>
        <sz val="10"/>
        <rFont val="宋体"/>
        <family val="3"/>
        <charset val="134"/>
      </rPr>
      <t>）</t>
    </r>
    <r>
      <rPr>
        <sz val="10"/>
        <rFont val="Arial Narrow"/>
        <family val="2"/>
      </rPr>
      <t xml:space="preserve"> </t>
    </r>
    <r>
      <rPr>
        <sz val="10"/>
        <rFont val="宋体"/>
        <family val="3"/>
        <charset val="134"/>
      </rPr>
      <t>否（</t>
    </r>
    <r>
      <rPr>
        <sz val="10"/>
        <rFont val="Arial Narrow"/>
        <family val="2"/>
      </rPr>
      <t xml:space="preserve">   </t>
    </r>
    <r>
      <rPr>
        <sz val="10"/>
        <rFont val="宋体"/>
        <family val="3"/>
        <charset val="134"/>
      </rPr>
      <t>）。</t>
    </r>
  </si>
  <si>
    <r>
      <rPr>
        <sz val="10"/>
        <rFont val="宋体"/>
        <family val="3"/>
        <charset val="134"/>
      </rPr>
      <t>检查记录索引：</t>
    </r>
  </si>
  <si>
    <r>
      <t>2</t>
    </r>
    <r>
      <rPr>
        <sz val="10"/>
        <rFont val="宋体"/>
        <family val="3"/>
        <charset val="134"/>
      </rPr>
      <t>、复盘统计：</t>
    </r>
  </si>
  <si>
    <r>
      <rPr>
        <sz val="10"/>
        <rFont val="宋体"/>
        <family val="3"/>
        <charset val="134"/>
      </rPr>
      <t>元，实施复盘：</t>
    </r>
    <r>
      <rPr>
        <sz val="10"/>
        <rFont val="Arial Narrow"/>
        <family val="2"/>
      </rPr>
      <t xml:space="preserve">          </t>
    </r>
    <phoneticPr fontId="10" type="noConversion"/>
  </si>
  <si>
    <r>
      <t xml:space="preserve">    </t>
    </r>
    <r>
      <rPr>
        <sz val="10"/>
        <rFont val="宋体"/>
        <family val="3"/>
        <charset val="134"/>
      </rPr>
      <t>倒退至资产负债表日是否存在尚未购入且未入账的资产：</t>
    </r>
    <r>
      <rPr>
        <u/>
        <sz val="10"/>
        <rFont val="Arial Narrow"/>
        <family val="2"/>
      </rPr>
      <t xml:space="preserve">                </t>
    </r>
  </si>
  <si>
    <r>
      <t xml:space="preserve">    </t>
    </r>
    <r>
      <rPr>
        <sz val="10"/>
        <rFont val="宋体"/>
        <family val="3"/>
        <charset val="134"/>
      </rPr>
      <t>倒退至资产负债表日分析是否存在已报废与处置的资产：</t>
    </r>
    <r>
      <rPr>
        <u/>
        <sz val="10"/>
        <rFont val="Arial Narrow"/>
        <family val="2"/>
      </rPr>
      <t xml:space="preserve">               </t>
    </r>
  </si>
  <si>
    <r>
      <t>3</t>
    </r>
    <r>
      <rPr>
        <sz val="10"/>
        <rFont val="宋体"/>
        <family val="3"/>
        <charset val="134"/>
      </rPr>
      <t>、计算复盘正确率：</t>
    </r>
  </si>
  <si>
    <r>
      <rPr>
        <sz val="10"/>
        <rFont val="宋体"/>
        <family val="3"/>
        <charset val="134"/>
      </rPr>
      <t>盘点结束后的工作记录</t>
    </r>
  </si>
  <si>
    <r>
      <t xml:space="preserve"> 1</t>
    </r>
    <r>
      <rPr>
        <sz val="10"/>
        <rFont val="宋体"/>
        <family val="3"/>
        <charset val="134"/>
      </rPr>
      <t>、对盘点工作的评价：</t>
    </r>
  </si>
  <si>
    <r>
      <t xml:space="preserve">    </t>
    </r>
    <r>
      <rPr>
        <sz val="10"/>
        <rFont val="宋体"/>
        <family val="3"/>
        <charset val="134"/>
      </rPr>
      <t>对审计人员索取的资料配合程度：</t>
    </r>
    <r>
      <rPr>
        <u/>
        <sz val="10"/>
        <rFont val="Arial Narrow"/>
        <family val="2"/>
      </rPr>
      <t xml:space="preserve">                                   </t>
    </r>
  </si>
  <si>
    <r>
      <rPr>
        <b/>
        <sz val="10"/>
        <rFont val="宋体"/>
        <family val="3"/>
        <charset val="134"/>
      </rPr>
      <t>四、实际盘点前的检查程序：</t>
    </r>
  </si>
  <si>
    <r>
      <t xml:space="preserve"> </t>
    </r>
    <r>
      <rPr>
        <b/>
        <sz val="10"/>
        <rFont val="宋体"/>
        <family val="3"/>
        <charset val="134"/>
      </rPr>
      <t>五、实际盘点时间：</t>
    </r>
  </si>
  <si>
    <r>
      <t xml:space="preserve"> </t>
    </r>
    <r>
      <rPr>
        <b/>
        <sz val="10"/>
        <rFont val="宋体"/>
        <family val="3"/>
        <charset val="134"/>
      </rPr>
      <t>六、企业实际盘点情况说明</t>
    </r>
  </si>
  <si>
    <r>
      <rPr>
        <b/>
        <sz val="10"/>
        <rFont val="宋体"/>
        <family val="3"/>
        <charset val="134"/>
      </rPr>
      <t>七、审计人员复盘记录：</t>
    </r>
  </si>
  <si>
    <r>
      <rPr>
        <b/>
        <sz val="10"/>
        <rFont val="宋体"/>
        <family val="3"/>
        <charset val="134"/>
      </rPr>
      <t>八、盘点中异常情况说明：</t>
    </r>
  </si>
  <si>
    <r>
      <rPr>
        <b/>
        <sz val="10"/>
        <rFont val="宋体"/>
        <family val="3"/>
        <charset val="134"/>
      </rPr>
      <t>九、复盘记录：</t>
    </r>
    <r>
      <rPr>
        <b/>
        <sz val="10"/>
        <color indexed="12"/>
        <rFont val="宋体"/>
        <family val="3"/>
        <charset val="134"/>
      </rPr>
      <t>（提示：应按照审计准则规定确定复盘的样本）</t>
    </r>
  </si>
  <si>
    <r>
      <rPr>
        <b/>
        <sz val="10"/>
        <rFont val="宋体"/>
        <family val="3"/>
        <charset val="134"/>
      </rPr>
      <t>十、盘点结束工作说明：</t>
    </r>
  </si>
  <si>
    <t>……</t>
    <phoneticPr fontId="10" type="noConversion"/>
  </si>
  <si>
    <t>种植业</t>
  </si>
  <si>
    <t>畜牧养殖业</t>
  </si>
  <si>
    <t>林业</t>
  </si>
  <si>
    <t>水产业</t>
  </si>
  <si>
    <r>
      <t>5</t>
    </r>
    <r>
      <rPr>
        <sz val="10"/>
        <color indexed="12"/>
        <rFont val="宋体"/>
        <family val="3"/>
        <charset val="134"/>
      </rPr>
      <t>、对于因清产核资、资产评估调增有关长期资产价值的，检查有关清产核资报告、资产评估报告、国有资产管理等部门的确认文件、验资报告等，检查会计处理是否正确。</t>
    </r>
    <phoneticPr fontId="10" type="noConversion"/>
  </si>
  <si>
    <r>
      <t>6</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0" type="noConversion"/>
  </si>
  <si>
    <r>
      <t>2</t>
    </r>
    <r>
      <rPr>
        <sz val="10"/>
        <color indexed="12"/>
        <rFont val="宋体"/>
        <family val="3"/>
        <charset val="134"/>
      </rPr>
      <t>、财务账面记录与资产管理部门账面记录应一致，若存在差异应调整一致。</t>
    </r>
    <phoneticPr fontId="10" type="noConversion"/>
  </si>
  <si>
    <r>
      <t>4</t>
    </r>
    <r>
      <rPr>
        <sz val="10"/>
        <color indexed="12"/>
        <rFont val="宋体"/>
        <family val="3"/>
        <charset val="134"/>
      </rPr>
      <t>、盘点时应关注资产的品质状况（影响减值准备的计提）。</t>
    </r>
    <phoneticPr fontId="10" type="noConversion"/>
  </si>
  <si>
    <r>
      <t>1</t>
    </r>
    <r>
      <rPr>
        <sz val="10"/>
        <rFont val="宋体"/>
        <family val="3"/>
        <charset val="134"/>
      </rPr>
      <t>．生产性生物资产盘点说明：</t>
    </r>
    <phoneticPr fontId="10" type="noConversion"/>
  </si>
  <si>
    <r>
      <t xml:space="preserve">     </t>
    </r>
    <r>
      <rPr>
        <sz val="10"/>
        <rFont val="宋体"/>
        <family val="3"/>
        <charset val="134"/>
      </rPr>
      <t>生产性生物资产账面余额：</t>
    </r>
    <r>
      <rPr>
        <u/>
        <sz val="10"/>
        <rFont val="Arial Narrow"/>
        <family val="2"/>
      </rPr>
      <t xml:space="preserve">            </t>
    </r>
    <r>
      <rPr>
        <sz val="10"/>
        <rFont val="宋体"/>
        <family val="3"/>
        <charset val="134"/>
      </rPr>
      <t/>
    </r>
    <phoneticPr fontId="10" type="noConversion"/>
  </si>
  <si>
    <r>
      <rPr>
        <sz val="10"/>
        <rFont val="宋体"/>
        <family val="3"/>
        <charset val="134"/>
      </rPr>
      <t>（</t>
    </r>
    <r>
      <rPr>
        <sz val="10"/>
        <rFont val="Arial Narrow"/>
        <family val="2"/>
      </rPr>
      <t>5</t>
    </r>
    <r>
      <rPr>
        <sz val="10"/>
        <rFont val="宋体"/>
        <family val="3"/>
        <charset val="134"/>
      </rPr>
      <t>）关注资产的品质状况：</t>
    </r>
    <r>
      <rPr>
        <u/>
        <sz val="10"/>
        <rFont val="Arial Narrow"/>
        <family val="2"/>
      </rPr>
      <t xml:space="preserve">                </t>
    </r>
    <phoneticPr fontId="10"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</si>
  <si>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0" type="noConversion"/>
  </si>
  <si>
    <r>
      <t>(</t>
    </r>
    <r>
      <rPr>
        <sz val="10"/>
        <color indexed="12"/>
        <rFont val="宋体"/>
        <family val="3"/>
        <charset val="134"/>
      </rPr>
      <t>识别和实际评估的重大错报风险、尤其识特别风险，以及对内控了解和控制测试情况〔采用综合方案时〕）；</t>
    </r>
    <phoneticPr fontId="10" type="noConversion"/>
  </si>
  <si>
    <t>生产性生物资产审定表（公允价值模式）</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</si>
  <si>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0" type="noConversion"/>
  </si>
  <si>
    <t>二、本期变动</t>
  </si>
  <si>
    <t>三、期末余额</t>
  </si>
  <si>
    <t>附注披露信息（国有企业）</t>
    <phoneticPr fontId="10" type="noConversion"/>
  </si>
  <si>
    <t>本期增加额</t>
  </si>
  <si>
    <t>本期减少额</t>
  </si>
  <si>
    <t>期末账面价值</t>
  </si>
  <si>
    <t>一、种植业</t>
  </si>
  <si>
    <t>二、畜牧养殖业</t>
  </si>
  <si>
    <t>三、林业</t>
  </si>
  <si>
    <t>四、水产业</t>
  </si>
  <si>
    <r>
      <rPr>
        <b/>
        <sz val="10"/>
        <rFont val="宋体"/>
        <family val="3"/>
        <charset val="134"/>
      </rPr>
      <t>财务报表的认定　</t>
    </r>
  </si>
  <si>
    <r>
      <rPr>
        <sz val="10"/>
        <rFont val="宋体"/>
        <family val="3"/>
        <charset val="134"/>
      </rPr>
      <t>完整性</t>
    </r>
    <phoneticPr fontId="10" type="noConversion"/>
  </si>
  <si>
    <r>
      <rPr>
        <sz val="10"/>
        <rFont val="宋体"/>
        <family val="3"/>
        <charset val="134"/>
      </rPr>
      <t>权利和义务</t>
    </r>
    <phoneticPr fontId="10" type="noConversion"/>
  </si>
  <si>
    <r>
      <rPr>
        <sz val="10"/>
        <rFont val="宋体"/>
        <family val="3"/>
        <charset val="134"/>
      </rPr>
      <t>√</t>
    </r>
    <phoneticPr fontId="10" type="noConversion"/>
  </si>
  <si>
    <r>
      <rPr>
        <b/>
        <sz val="10"/>
        <rFont val="宋体"/>
        <family val="3"/>
        <charset val="134"/>
      </rPr>
      <t>①</t>
    </r>
    <phoneticPr fontId="10" type="noConversion"/>
  </si>
  <si>
    <t>2</t>
  </si>
  <si>
    <t>3</t>
  </si>
  <si>
    <t>4</t>
  </si>
  <si>
    <t>5</t>
  </si>
  <si>
    <t>6</t>
  </si>
  <si>
    <t>7</t>
  </si>
  <si>
    <t>H7-10</t>
  </si>
  <si>
    <t>H7-8</t>
  </si>
  <si>
    <t>H7-4</t>
  </si>
  <si>
    <t>H7-2</t>
  </si>
  <si>
    <t>H7-5</t>
  </si>
  <si>
    <t>H7-6</t>
  </si>
  <si>
    <t>H7-7</t>
  </si>
  <si>
    <t>H7-11</t>
  </si>
  <si>
    <t>H7-12</t>
  </si>
  <si>
    <t>H7A</t>
  </si>
  <si>
    <r>
      <t>24</t>
    </r>
    <r>
      <rPr>
        <sz val="12"/>
        <rFont val="宋体"/>
        <family val="3"/>
        <charset val="134"/>
      </rPr>
      <t>、</t>
    </r>
    <r>
      <rPr>
        <sz val="12"/>
        <rFont val="仿宋_GB2312"/>
        <family val="3"/>
        <charset val="134"/>
      </rPr>
      <t>生产性生物资产</t>
    </r>
    <r>
      <rPr>
        <sz val="12"/>
        <color rgb="FF0000FF"/>
        <rFont val="仿宋_GB2312"/>
        <family val="3"/>
        <charset val="134"/>
      </rPr>
      <t>（不适用的删除）</t>
    </r>
    <phoneticPr fontId="10" type="noConversion"/>
  </si>
  <si>
    <r>
      <t>（有公益性生物资产的企业，应增设</t>
    </r>
    <r>
      <rPr>
        <sz val="12"/>
        <color rgb="FF0000FF"/>
        <rFont val="Arial Narrow"/>
        <family val="2"/>
      </rPr>
      <t>“</t>
    </r>
    <r>
      <rPr>
        <sz val="12"/>
        <color rgb="FF0000FF"/>
        <rFont val="仿宋_GB2312"/>
        <family val="3"/>
        <charset val="134"/>
      </rPr>
      <t>公益性生物资产</t>
    </r>
    <r>
      <rPr>
        <sz val="12"/>
        <color rgb="FF0000FF"/>
        <rFont val="Arial Narrow"/>
        <family val="2"/>
      </rPr>
      <t>”</t>
    </r>
    <r>
      <rPr>
        <sz val="12"/>
        <color rgb="FF0000FF"/>
        <rFont val="仿宋_GB2312"/>
        <family val="3"/>
        <charset val="134"/>
      </rPr>
      <t>项目，列在</t>
    </r>
    <r>
      <rPr>
        <sz val="12"/>
        <color rgb="FF0000FF"/>
        <rFont val="Arial Narrow"/>
        <family val="2"/>
      </rPr>
      <t>“</t>
    </r>
    <r>
      <rPr>
        <sz val="12"/>
        <color rgb="FF0000FF"/>
        <rFont val="仿宋_GB2312"/>
        <family val="3"/>
        <charset val="134"/>
      </rPr>
      <t>生产性生物资产</t>
    </r>
    <r>
      <rPr>
        <sz val="12"/>
        <color rgb="FF0000FF"/>
        <rFont val="Arial Narrow"/>
        <family val="2"/>
      </rPr>
      <t>”</t>
    </r>
    <r>
      <rPr>
        <sz val="12"/>
        <color rgb="FF0000FF"/>
        <rFont val="仿宋_GB2312"/>
        <family val="3"/>
        <charset val="134"/>
      </rPr>
      <t>项目之后）</t>
    </r>
  </si>
  <si>
    <r>
      <t>（</t>
    </r>
    <r>
      <rPr>
        <sz val="12"/>
        <rFont val="Arial Narrow"/>
        <family val="2"/>
      </rPr>
      <t>1</t>
    </r>
    <r>
      <rPr>
        <sz val="12"/>
        <rFont val="仿宋_GB2312"/>
        <family val="3"/>
        <charset val="134"/>
      </rPr>
      <t>）以成本计量</t>
    </r>
  </si>
  <si>
    <r>
      <t>项</t>
    </r>
    <r>
      <rPr>
        <b/>
        <sz val="9"/>
        <color rgb="FF000000"/>
        <rFont val="Arial Narrow"/>
        <family val="2"/>
      </rPr>
      <t xml:space="preserve">  </t>
    </r>
    <r>
      <rPr>
        <b/>
        <sz val="9"/>
        <color rgb="FF000000"/>
        <rFont val="仿宋_GB2312"/>
        <family val="3"/>
        <charset val="134"/>
      </rPr>
      <t>目</t>
    </r>
  </si>
  <si>
    <t>一、账面原值</t>
  </si>
  <si>
    <r>
      <t xml:space="preserve">    1.</t>
    </r>
    <r>
      <rPr>
        <sz val="9"/>
        <color rgb="FF000000"/>
        <rFont val="仿宋_GB2312"/>
        <family val="3"/>
        <charset val="134"/>
      </rPr>
      <t>期初余额</t>
    </r>
  </si>
  <si>
    <r>
      <t xml:space="preserve">    2.</t>
    </r>
    <r>
      <rPr>
        <sz val="9"/>
        <color rgb="FF000000"/>
        <rFont val="仿宋_GB2312"/>
        <family val="3"/>
        <charset val="134"/>
      </rPr>
      <t>本期增加金额</t>
    </r>
  </si>
  <si>
    <r>
      <t xml:space="preserve">   </t>
    </r>
    <r>
      <rPr>
        <sz val="9"/>
        <color rgb="FF000000"/>
        <rFont val="仿宋_GB2312"/>
        <family val="3"/>
        <charset val="134"/>
      </rPr>
      <t>（</t>
    </r>
    <r>
      <rPr>
        <sz val="9"/>
        <color rgb="FF000000"/>
        <rFont val="Arial Narrow"/>
        <family val="2"/>
      </rPr>
      <t>1</t>
    </r>
    <r>
      <rPr>
        <sz val="9"/>
        <color rgb="FF000000"/>
        <rFont val="仿宋_GB2312"/>
        <family val="3"/>
        <charset val="134"/>
      </rPr>
      <t>）外购</t>
    </r>
  </si>
  <si>
    <r>
      <t xml:space="preserve">   </t>
    </r>
    <r>
      <rPr>
        <sz val="9"/>
        <color rgb="FF000000"/>
        <rFont val="仿宋_GB2312"/>
        <family val="3"/>
        <charset val="134"/>
      </rPr>
      <t>（</t>
    </r>
    <r>
      <rPr>
        <sz val="9"/>
        <color rgb="FF000000"/>
        <rFont val="Arial Narrow"/>
        <family val="2"/>
      </rPr>
      <t>2</t>
    </r>
    <r>
      <rPr>
        <sz val="9"/>
        <color rgb="FF000000"/>
        <rFont val="仿宋_GB2312"/>
        <family val="3"/>
        <charset val="134"/>
      </rPr>
      <t>）自行培育</t>
    </r>
  </si>
  <si>
    <r>
      <t xml:space="preserve">   </t>
    </r>
    <r>
      <rPr>
        <sz val="9"/>
        <color rgb="FF000000"/>
        <rFont val="仿宋_GB2312"/>
        <family val="3"/>
        <charset val="134"/>
      </rPr>
      <t>（</t>
    </r>
    <r>
      <rPr>
        <sz val="9"/>
        <color rgb="FF000000"/>
        <rFont val="Arial Narrow"/>
        <family val="2"/>
      </rPr>
      <t>3</t>
    </r>
    <r>
      <rPr>
        <sz val="9"/>
        <color rgb="FF000000"/>
        <rFont val="仿宋_GB2312"/>
        <family val="3"/>
        <charset val="134"/>
      </rPr>
      <t>）其他增加</t>
    </r>
  </si>
  <si>
    <r>
      <t xml:space="preserve">    3.</t>
    </r>
    <r>
      <rPr>
        <sz val="9"/>
        <color rgb="FF000000"/>
        <rFont val="仿宋_GB2312"/>
        <family val="3"/>
        <charset val="134"/>
      </rPr>
      <t>本期减少金额</t>
    </r>
  </si>
  <si>
    <r>
      <t xml:space="preserve">   </t>
    </r>
    <r>
      <rPr>
        <sz val="9"/>
        <color rgb="FF000000"/>
        <rFont val="仿宋_GB2312"/>
        <family val="3"/>
        <charset val="134"/>
      </rPr>
      <t>（</t>
    </r>
    <r>
      <rPr>
        <sz val="9"/>
        <color rgb="FF000000"/>
        <rFont val="Arial Narrow"/>
        <family val="2"/>
      </rPr>
      <t>1</t>
    </r>
    <r>
      <rPr>
        <sz val="9"/>
        <color rgb="FF000000"/>
        <rFont val="仿宋_GB2312"/>
        <family val="3"/>
        <charset val="134"/>
      </rPr>
      <t>）处置</t>
    </r>
  </si>
  <si>
    <r>
      <t xml:space="preserve">   </t>
    </r>
    <r>
      <rPr>
        <sz val="9"/>
        <color rgb="FF000000"/>
        <rFont val="仿宋_GB2312"/>
        <family val="3"/>
        <charset val="134"/>
      </rPr>
      <t>（</t>
    </r>
    <r>
      <rPr>
        <sz val="9"/>
        <color rgb="FF000000"/>
        <rFont val="Arial Narrow"/>
        <family val="2"/>
      </rPr>
      <t>2</t>
    </r>
    <r>
      <rPr>
        <sz val="9"/>
        <color rgb="FF000000"/>
        <rFont val="仿宋_GB2312"/>
        <family val="3"/>
        <charset val="134"/>
      </rPr>
      <t>）其他</t>
    </r>
  </si>
  <si>
    <r>
      <t xml:space="preserve">   </t>
    </r>
    <r>
      <rPr>
        <sz val="9"/>
        <color rgb="FF000000"/>
        <rFont val="仿宋_GB2312"/>
        <family val="3"/>
        <charset val="134"/>
      </rPr>
      <t>……</t>
    </r>
  </si>
  <si>
    <r>
      <t xml:space="preserve">   4.</t>
    </r>
    <r>
      <rPr>
        <sz val="9"/>
        <color rgb="FF000000"/>
        <rFont val="仿宋_GB2312"/>
        <family val="3"/>
        <charset val="134"/>
      </rPr>
      <t>期末余额</t>
    </r>
  </si>
  <si>
    <r>
      <t xml:space="preserve">   </t>
    </r>
    <r>
      <rPr>
        <sz val="9"/>
        <color rgb="FF000000"/>
        <rFont val="仿宋_GB2312"/>
        <family val="3"/>
        <charset val="134"/>
      </rPr>
      <t>（</t>
    </r>
    <r>
      <rPr>
        <sz val="9"/>
        <color rgb="FF000000"/>
        <rFont val="Arial Narrow"/>
        <family val="2"/>
      </rPr>
      <t>1</t>
    </r>
    <r>
      <rPr>
        <sz val="9"/>
        <color rgb="FF000000"/>
        <rFont val="仿宋_GB2312"/>
        <family val="3"/>
        <charset val="134"/>
      </rPr>
      <t>）计提</t>
    </r>
  </si>
  <si>
    <r>
      <t xml:space="preserve">   </t>
    </r>
    <r>
      <rPr>
        <sz val="9"/>
        <color rgb="FF000000"/>
        <rFont val="仿宋_GB2312"/>
        <family val="3"/>
        <charset val="134"/>
      </rPr>
      <t>（</t>
    </r>
    <r>
      <rPr>
        <sz val="9"/>
        <color rgb="FF000000"/>
        <rFont val="Arial Narrow"/>
        <family val="2"/>
      </rPr>
      <t>2</t>
    </r>
    <r>
      <rPr>
        <sz val="9"/>
        <color rgb="FF000000"/>
        <rFont val="仿宋_GB2312"/>
        <family val="3"/>
        <charset val="134"/>
      </rPr>
      <t>）其他增加</t>
    </r>
  </si>
  <si>
    <r>
      <t xml:space="preserve">    4.</t>
    </r>
    <r>
      <rPr>
        <sz val="9"/>
        <color rgb="FF000000"/>
        <rFont val="仿宋_GB2312"/>
        <family val="3"/>
        <charset val="134"/>
      </rPr>
      <t>期末余额</t>
    </r>
  </si>
  <si>
    <r>
      <t xml:space="preserve">    1.</t>
    </r>
    <r>
      <rPr>
        <sz val="9"/>
        <color rgb="FF000000"/>
        <rFont val="仿宋_GB2312"/>
        <family val="3"/>
        <charset val="134"/>
      </rPr>
      <t>期末账面价值</t>
    </r>
  </si>
  <si>
    <r>
      <t xml:space="preserve">    2.</t>
    </r>
    <r>
      <rPr>
        <sz val="9"/>
        <color rgb="FF000000"/>
        <rFont val="仿宋_GB2312"/>
        <family val="3"/>
        <charset val="134"/>
      </rPr>
      <t>期初账面价值</t>
    </r>
  </si>
  <si>
    <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family val="2"/>
      </rPr>
      <t>15</t>
    </r>
    <r>
      <rPr>
        <sz val="12"/>
        <color rgb="FF0000FF"/>
        <rFont val="仿宋_GB2312"/>
        <family val="3"/>
        <charset val="134"/>
      </rPr>
      <t>号文第十九条（十九）】</t>
    </r>
  </si>
  <si>
    <t>注意：本年执行减值测试的，即使未计提减值，也要参照上述要求披露。</t>
  </si>
  <si>
    <t>（提示：如有天然起源的生物资产，还应披露该资产的类别、取得方式和数量等。各类生产性生物资产的预计使用寿命、预计净残值、折旧方法、累计折旧和减值准备累计金额。与生物资产相关的风险情况与管理措施。）</t>
  </si>
  <si>
    <r>
      <t>（</t>
    </r>
    <r>
      <rPr>
        <sz val="12"/>
        <rFont val="Arial Narrow"/>
        <family val="2"/>
      </rPr>
      <t>2</t>
    </r>
    <r>
      <rPr>
        <sz val="12"/>
        <rFont val="仿宋_GB2312"/>
        <family val="3"/>
        <charset val="134"/>
      </rPr>
      <t>）以公允价值计量</t>
    </r>
  </si>
  <si>
    <t>一、期初余额</t>
  </si>
  <si>
    <r>
      <t xml:space="preserve">    </t>
    </r>
    <r>
      <rPr>
        <sz val="9"/>
        <color rgb="FF000000"/>
        <rFont val="仿宋_GB2312"/>
        <family val="3"/>
        <charset val="134"/>
      </rPr>
      <t>加：外购</t>
    </r>
  </si>
  <si>
    <r>
      <t xml:space="preserve">        </t>
    </r>
    <r>
      <rPr>
        <sz val="9"/>
        <color rgb="FF000000"/>
        <rFont val="仿宋_GB2312"/>
        <family val="3"/>
        <charset val="134"/>
      </rPr>
      <t>自行培育</t>
    </r>
  </si>
  <si>
    <r>
      <t xml:space="preserve">        </t>
    </r>
    <r>
      <rPr>
        <sz val="9"/>
        <color rgb="FF000000"/>
        <rFont val="仿宋_GB2312"/>
        <family val="3"/>
        <charset val="134"/>
      </rPr>
      <t>企业合并增加</t>
    </r>
  </si>
  <si>
    <r>
      <t xml:space="preserve">        </t>
    </r>
    <r>
      <rPr>
        <sz val="9"/>
        <color rgb="FF000000"/>
        <rFont val="仿宋_GB2312"/>
        <family val="3"/>
        <charset val="134"/>
      </rPr>
      <t>……</t>
    </r>
  </si>
  <si>
    <r>
      <t xml:space="preserve">    </t>
    </r>
    <r>
      <rPr>
        <sz val="9"/>
        <color rgb="FF000000"/>
        <rFont val="仿宋_GB2312"/>
        <family val="3"/>
        <charset val="134"/>
      </rPr>
      <t>减：处置</t>
    </r>
  </si>
  <si>
    <r>
      <t xml:space="preserve">        </t>
    </r>
    <r>
      <rPr>
        <sz val="9"/>
        <color rgb="FF000000"/>
        <rFont val="仿宋_GB2312"/>
        <family val="3"/>
        <charset val="134"/>
      </rPr>
      <t>其他转出</t>
    </r>
  </si>
  <si>
    <r>
      <t xml:space="preserve">    </t>
    </r>
    <r>
      <rPr>
        <sz val="9"/>
        <color rgb="FF000000"/>
        <rFont val="仿宋_GB2312"/>
        <family val="3"/>
        <charset val="134"/>
      </rPr>
      <t>公允价值变动</t>
    </r>
  </si>
  <si>
    <r>
      <t>24</t>
    </r>
    <r>
      <rPr>
        <sz val="12"/>
        <rFont val="宋体"/>
        <family val="3"/>
        <charset val="134"/>
      </rPr>
      <t>、</t>
    </r>
    <r>
      <rPr>
        <sz val="12"/>
        <rFont val="仿宋_GB2312"/>
        <family val="3"/>
        <charset val="134"/>
      </rPr>
      <t>生产性生物资产</t>
    </r>
    <phoneticPr fontId="10" type="noConversion"/>
  </si>
  <si>
    <r>
      <t>（1）</t>
    </r>
    <r>
      <rPr>
        <sz val="12"/>
        <rFont val="仿宋_GB2312"/>
        <family val="3"/>
        <charset val="134"/>
      </rPr>
      <t>以成本计量</t>
    </r>
  </si>
  <si>
    <r>
      <t>项</t>
    </r>
    <r>
      <rPr>
        <b/>
        <sz val="10.5"/>
        <rFont val="Arial Narrow"/>
        <family val="2"/>
      </rPr>
      <t xml:space="preserve">  </t>
    </r>
    <r>
      <rPr>
        <b/>
        <sz val="10.5"/>
        <rFont val="仿宋_GB2312"/>
        <family val="3"/>
        <charset val="134"/>
      </rPr>
      <t>目</t>
    </r>
  </si>
  <si>
    <t>期初账面价值</t>
  </si>
  <si>
    <r>
      <t>其中：</t>
    </r>
    <r>
      <rPr>
        <sz val="10.5"/>
        <rFont val="Arial Narrow"/>
        <family val="2"/>
      </rPr>
      <t>1</t>
    </r>
    <r>
      <rPr>
        <sz val="10.5"/>
        <rFont val="仿宋_GB2312"/>
        <family val="3"/>
        <charset val="134"/>
      </rPr>
      <t>．</t>
    </r>
  </si>
  <si>
    <t xml:space="preserve">      ……</t>
  </si>
  <si>
    <r>
      <t>合</t>
    </r>
    <r>
      <rPr>
        <b/>
        <sz val="10.5"/>
        <rFont val="Arial Narrow"/>
        <family val="2"/>
      </rPr>
      <t xml:space="preserve">  </t>
    </r>
    <r>
      <rPr>
        <b/>
        <sz val="10.5"/>
        <rFont val="仿宋_GB2312"/>
        <family val="3"/>
        <charset val="134"/>
      </rPr>
      <t>计</t>
    </r>
  </si>
  <si>
    <t>①各类生物资产的期末实物数量，如有天然起源的生物资产，还应披露该资产的类别、取得方式和数量等。</t>
  </si>
  <si>
    <t>②各类生产性生物资产的预计使用寿命、预计净残值、折旧方法、累计折旧和减值准备累计金额。）</t>
  </si>
  <si>
    <r>
      <rPr>
        <sz val="12"/>
        <rFont val="宋体"/>
        <family val="3"/>
        <charset val="134"/>
      </rPr>
      <t>（</t>
    </r>
    <r>
      <rPr>
        <sz val="12"/>
        <rFont val="Arial Narrow"/>
        <family val="2"/>
      </rPr>
      <t>2</t>
    </r>
    <r>
      <rPr>
        <sz val="12"/>
        <rFont val="宋体"/>
        <family val="3"/>
        <charset val="134"/>
      </rPr>
      <t>）</t>
    </r>
    <r>
      <rPr>
        <sz val="12"/>
        <rFont val="仿宋_GB2312"/>
        <family val="3"/>
        <charset val="134"/>
      </rPr>
      <t>以公允价值计量</t>
    </r>
    <phoneticPr fontId="10" type="noConversion"/>
  </si>
  <si>
    <t>注：应披露公允价值确认依据。</t>
  </si>
  <si>
    <r>
      <rPr>
        <sz val="12"/>
        <rFont val="宋体"/>
        <family val="3"/>
        <charset val="134"/>
      </rPr>
      <t>（</t>
    </r>
    <r>
      <rPr>
        <sz val="12"/>
        <rFont val="Arial Narrow"/>
        <family val="2"/>
      </rPr>
      <t>3</t>
    </r>
    <r>
      <rPr>
        <sz val="12"/>
        <rFont val="宋体"/>
        <family val="3"/>
        <charset val="134"/>
      </rPr>
      <t>）</t>
    </r>
    <r>
      <rPr>
        <sz val="12"/>
        <rFont val="仿宋_GB2312"/>
        <family val="3"/>
        <charset val="134"/>
      </rPr>
      <t>说明生产性生物资产相关的风险情况与管理措施。</t>
    </r>
    <phoneticPr fontId="10" type="noConversion"/>
  </si>
  <si>
    <r>
      <t>2024</t>
    </r>
    <r>
      <rPr>
        <b/>
        <sz val="10"/>
        <rFont val="宋体"/>
        <family val="3"/>
        <charset val="134"/>
      </rPr>
      <t>年</t>
    </r>
    <phoneticPr fontId="10" type="noConversion"/>
  </si>
  <si>
    <r>
      <rPr>
        <b/>
        <sz val="10"/>
        <rFont val="宋体"/>
        <family val="3"/>
        <charset val="134"/>
      </rPr>
      <t>累计折旧</t>
    </r>
  </si>
  <si>
    <r>
      <rPr>
        <b/>
        <sz val="10"/>
        <rFont val="宋体"/>
        <family val="3"/>
        <charset val="134"/>
      </rPr>
      <t>期初数</t>
    </r>
    <phoneticPr fontId="10" type="noConversion"/>
  </si>
  <si>
    <r>
      <rPr>
        <b/>
        <sz val="10"/>
        <rFont val="宋体"/>
        <family val="3"/>
        <charset val="134"/>
      </rPr>
      <t>未审数</t>
    </r>
    <phoneticPr fontId="10" type="noConversion"/>
  </si>
  <si>
    <r>
      <rPr>
        <b/>
        <sz val="10"/>
        <rFont val="宋体"/>
        <family val="3"/>
        <charset val="134"/>
      </rPr>
      <t>审定数</t>
    </r>
    <phoneticPr fontId="10" type="noConversion"/>
  </si>
  <si>
    <r>
      <rPr>
        <b/>
        <sz val="10"/>
        <rFont val="宋体"/>
        <family val="3"/>
        <charset val="134"/>
      </rPr>
      <t>账项调整</t>
    </r>
    <phoneticPr fontId="10" type="noConversion"/>
  </si>
  <si>
    <r>
      <rPr>
        <b/>
        <sz val="10"/>
        <rFont val="宋体"/>
        <family val="3"/>
        <charset val="134"/>
      </rPr>
      <t>变动额</t>
    </r>
    <phoneticPr fontId="10" type="noConversion"/>
  </si>
  <si>
    <t>……</t>
    <phoneticPr fontId="10" type="noConversion"/>
  </si>
  <si>
    <t>……</t>
    <phoneticPr fontId="10" type="noConversion"/>
  </si>
  <si>
    <r>
      <rPr>
        <sz val="10"/>
        <color theme="1"/>
        <rFont val="宋体"/>
        <family val="3"/>
        <charset val="134"/>
      </rPr>
      <t>常规★</t>
    </r>
    <phoneticPr fontId="5" type="noConversion"/>
  </si>
  <si>
    <r>
      <t xml:space="preserve">A. </t>
    </r>
    <r>
      <rPr>
        <sz val="10"/>
        <rFont val="宋体"/>
        <family val="3"/>
        <charset val="134"/>
      </rPr>
      <t>资产负债表中记录的生产性生物资产是存在的，且已记录于恰当的账户</t>
    </r>
    <phoneticPr fontId="10" type="noConversion"/>
  </si>
  <si>
    <r>
      <rPr>
        <b/>
        <sz val="10"/>
        <rFont val="宋体"/>
        <family val="3"/>
        <charset val="134"/>
      </rPr>
      <t>内容</t>
    </r>
  </si>
  <si>
    <r>
      <rPr>
        <b/>
        <sz val="10"/>
        <rFont val="宋体"/>
        <family val="3"/>
        <charset val="134"/>
      </rPr>
      <t>索引号</t>
    </r>
    <phoneticPr fontId="10" type="noConversion"/>
  </si>
  <si>
    <r>
      <rPr>
        <sz val="10"/>
        <rFont val="宋体"/>
        <family val="3"/>
        <charset val="134"/>
      </rPr>
      <t>编制人：</t>
    </r>
    <phoneticPr fontId="10" type="noConversion"/>
  </si>
  <si>
    <r>
      <rPr>
        <sz val="10"/>
        <rFont val="宋体"/>
        <family val="3"/>
        <charset val="134"/>
      </rPr>
      <t>复核人：</t>
    </r>
    <phoneticPr fontId="10" type="noConversion"/>
  </si>
  <si>
    <r>
      <rPr>
        <sz val="10"/>
        <rFont val="宋体"/>
        <family val="3"/>
        <charset val="134"/>
      </rPr>
      <t>编制日期：</t>
    </r>
    <phoneticPr fontId="10" type="noConversion"/>
  </si>
  <si>
    <r>
      <rPr>
        <sz val="10"/>
        <rFont val="宋体"/>
        <family val="3"/>
        <charset val="134"/>
      </rPr>
      <t>复核日期：</t>
    </r>
    <phoneticPr fontId="10" type="noConversion"/>
  </si>
  <si>
    <r>
      <rPr>
        <b/>
        <sz val="10"/>
        <color rgb="FF000000"/>
        <rFont val="宋体"/>
        <family val="3"/>
        <charset val="134"/>
      </rPr>
      <t>生物性生物资产类别设置（以下内容请根据实际情况修改）：</t>
    </r>
    <phoneticPr fontId="10" type="noConversion"/>
  </si>
  <si>
    <r>
      <rPr>
        <sz val="10"/>
        <color rgb="FF000000"/>
        <rFont val="宋体"/>
        <family val="3"/>
        <charset val="134"/>
      </rPr>
      <t>种植业</t>
    </r>
  </si>
  <si>
    <r>
      <rPr>
        <sz val="10"/>
        <color rgb="FF000000"/>
        <rFont val="宋体"/>
        <family val="3"/>
        <charset val="134"/>
      </rPr>
      <t>畜牧养殖业</t>
    </r>
  </si>
  <si>
    <r>
      <rPr>
        <sz val="10"/>
        <color rgb="FF000000"/>
        <rFont val="宋体"/>
        <family val="3"/>
        <charset val="134"/>
      </rPr>
      <t>林业</t>
    </r>
  </si>
  <si>
    <r>
      <rPr>
        <sz val="10"/>
        <color rgb="FF000000"/>
        <rFont val="宋体"/>
        <family val="3"/>
        <charset val="134"/>
      </rPr>
      <t>水产业</t>
    </r>
  </si>
  <si>
    <r>
      <rPr>
        <b/>
        <sz val="10"/>
        <rFont val="宋体"/>
        <family val="3"/>
        <charset val="134"/>
      </rPr>
      <t>底稿开列时，可先在以下单元格填写有关内容，以便其他底稿引用有关数据：</t>
    </r>
    <phoneticPr fontId="10" type="noConversion"/>
  </si>
  <si>
    <r>
      <rPr>
        <sz val="10"/>
        <rFont val="宋体"/>
        <family val="3"/>
        <charset val="134"/>
      </rPr>
      <t>被审计单位：</t>
    </r>
    <phoneticPr fontId="10" type="noConversion"/>
  </si>
  <si>
    <t>H7A</t>
    <phoneticPr fontId="10" type="noConversion"/>
  </si>
  <si>
    <t>H7-1</t>
    <phoneticPr fontId="10" type="noConversion"/>
  </si>
  <si>
    <t>H7-2</t>
    <phoneticPr fontId="10" type="noConversion"/>
  </si>
  <si>
    <t>H7-3</t>
    <phoneticPr fontId="10" type="noConversion"/>
  </si>
  <si>
    <t>H7-4</t>
    <phoneticPr fontId="10" type="noConversion"/>
  </si>
  <si>
    <t>H7-5</t>
    <phoneticPr fontId="10" type="noConversion"/>
  </si>
  <si>
    <t>H7-6</t>
    <phoneticPr fontId="10" type="noConversion"/>
  </si>
  <si>
    <t>H7-7</t>
    <phoneticPr fontId="10" type="noConversion"/>
  </si>
  <si>
    <t>H7-8</t>
    <phoneticPr fontId="10" type="noConversion"/>
  </si>
  <si>
    <t>H7-9</t>
  </si>
  <si>
    <t>H7-9</t>
    <phoneticPr fontId="10" type="noConversion"/>
  </si>
  <si>
    <t>H7-10</t>
    <phoneticPr fontId="10" type="noConversion"/>
  </si>
  <si>
    <t>H7-11</t>
    <phoneticPr fontId="10" type="noConversion"/>
  </si>
  <si>
    <t>H7-12</t>
    <phoneticPr fontId="10" type="noConversion"/>
  </si>
  <si>
    <t>H7-13</t>
  </si>
  <si>
    <t>H7-14</t>
  </si>
  <si>
    <t>H7-15</t>
  </si>
  <si>
    <t>H7-15</t>
    <phoneticPr fontId="10" type="noConversion"/>
  </si>
  <si>
    <t>H7-16</t>
  </si>
  <si>
    <t>H7-16</t>
    <phoneticPr fontId="10" type="noConversion"/>
  </si>
  <si>
    <t>H7-17</t>
  </si>
  <si>
    <t>H7-17</t>
    <phoneticPr fontId="10" type="noConversion"/>
  </si>
  <si>
    <t>H7-5</t>
    <phoneticPr fontId="10" type="noConversion"/>
  </si>
  <si>
    <t>H7-6</t>
    <phoneticPr fontId="10" type="noConversion"/>
  </si>
  <si>
    <t>H7-7</t>
    <phoneticPr fontId="10" type="noConversion"/>
  </si>
  <si>
    <t>H7-13</t>
    <phoneticPr fontId="10" type="noConversion"/>
  </si>
  <si>
    <t>H7-14</t>
    <phoneticPr fontId="10" type="noConversion"/>
  </si>
  <si>
    <t>H7-17</t>
    <phoneticPr fontId="10" type="noConversion"/>
  </si>
  <si>
    <r>
      <rPr>
        <sz val="10"/>
        <color indexed="12"/>
        <rFont val="宋体"/>
        <family val="3"/>
        <charset val="134"/>
      </rPr>
      <t>附注披露信息（上市公司）</t>
    </r>
  </si>
  <si>
    <r>
      <rPr>
        <sz val="10"/>
        <color indexed="12"/>
        <rFont val="宋体"/>
        <family val="3"/>
        <charset val="134"/>
      </rPr>
      <t>附注披露信息（国有企业）</t>
    </r>
  </si>
  <si>
    <t>生物资产实质性程序表</t>
    <phoneticPr fontId="10" type="noConversion"/>
  </si>
  <si>
    <t>审定表（成本模式）</t>
    <phoneticPr fontId="10" type="noConversion"/>
  </si>
  <si>
    <t>审定表（公允价值模式）</t>
    <phoneticPr fontId="10" type="noConversion"/>
  </si>
  <si>
    <t>H7-1</t>
    <phoneticPr fontId="10" type="noConversion"/>
  </si>
  <si>
    <t>无需打印</t>
    <phoneticPr fontId="10" type="noConversion"/>
  </si>
  <si>
    <t>H7-3</t>
    <phoneticPr fontId="10" type="noConversion"/>
  </si>
  <si>
    <t>明细表（成本模式）</t>
    <phoneticPr fontId="10" type="noConversion"/>
  </si>
  <si>
    <t>明细表（公允价值模式）</t>
    <phoneticPr fontId="10" type="noConversion"/>
  </si>
  <si>
    <t>调整分录汇总</t>
    <phoneticPr fontId="10" type="noConversion"/>
  </si>
  <si>
    <t>会计政策估计检查表</t>
    <phoneticPr fontId="10" type="noConversion"/>
  </si>
  <si>
    <t>分析表</t>
    <phoneticPr fontId="10" type="noConversion"/>
  </si>
  <si>
    <t>增加检查表（成本模式）</t>
    <phoneticPr fontId="10" type="noConversion"/>
  </si>
  <si>
    <t>增加检查表（公允价值模式）</t>
    <phoneticPr fontId="10" type="noConversion"/>
  </si>
  <si>
    <t>减少检查表（成本模式）</t>
    <phoneticPr fontId="10" type="noConversion"/>
  </si>
  <si>
    <t>减少检查表（公允价值模式）</t>
    <phoneticPr fontId="10" type="noConversion"/>
  </si>
  <si>
    <t>监盘计划</t>
    <phoneticPr fontId="10" type="noConversion"/>
  </si>
  <si>
    <t>盘点检查表</t>
    <phoneticPr fontId="10" type="noConversion"/>
  </si>
  <si>
    <t>监盘小结</t>
    <phoneticPr fontId="10" type="noConversion"/>
  </si>
  <si>
    <r>
      <rPr>
        <sz val="10"/>
        <color indexed="12"/>
        <rFont val="宋体"/>
        <family val="3"/>
        <charset val="134"/>
      </rPr>
      <t>折旧测算表（不含减值）</t>
    </r>
    <r>
      <rPr>
        <sz val="10"/>
        <color indexed="12"/>
        <rFont val="Arial Narrow"/>
        <family val="2"/>
      </rPr>
      <t>-</t>
    </r>
    <r>
      <rPr>
        <sz val="10"/>
        <color indexed="12"/>
        <rFont val="宋体"/>
        <family val="3"/>
        <charset val="134"/>
      </rPr>
      <t>直线法</t>
    </r>
    <phoneticPr fontId="10" type="noConversion"/>
  </si>
  <si>
    <t>折旧测算表（含减值）</t>
    <phoneticPr fontId="10" type="noConversion"/>
  </si>
  <si>
    <t>折旧分配分析表</t>
    <phoneticPr fontId="10" type="noConversion"/>
  </si>
  <si>
    <t>公允价值复核表</t>
    <phoneticPr fontId="10" type="noConversion"/>
  </si>
  <si>
    <t>互转审核表</t>
    <phoneticPr fontId="10" type="noConversion"/>
  </si>
  <si>
    <t>减值测算表</t>
    <phoneticPr fontId="10" type="noConversion"/>
  </si>
  <si>
    <t>可收回金额测试表</t>
    <phoneticPr fontId="10" type="noConversion"/>
  </si>
  <si>
    <t>关联交易检查表</t>
    <phoneticPr fontId="10" type="noConversion"/>
  </si>
  <si>
    <t>返回目录</t>
    <phoneticPr fontId="10" type="noConversion"/>
  </si>
  <si>
    <r>
      <rPr>
        <b/>
        <sz val="10"/>
        <rFont val="宋体"/>
        <family val="3"/>
        <charset val="134"/>
      </rPr>
      <t>盘点前财务账面记录</t>
    </r>
  </si>
  <si>
    <r>
      <rPr>
        <b/>
        <sz val="10"/>
        <rFont val="宋体"/>
        <family val="3"/>
        <charset val="134"/>
      </rPr>
      <t>抽盘数量</t>
    </r>
    <phoneticPr fontId="10" type="noConversion"/>
  </si>
  <si>
    <r>
      <rPr>
        <b/>
        <sz val="10"/>
        <rFont val="宋体"/>
        <family val="3"/>
        <charset val="134"/>
      </rPr>
      <t>数量</t>
    </r>
  </si>
  <si>
    <r>
      <rPr>
        <b/>
        <sz val="10"/>
        <rFont val="宋体"/>
        <family val="3"/>
        <charset val="134"/>
      </rPr>
      <t>金额</t>
    </r>
  </si>
  <si>
    <r>
      <rPr>
        <sz val="10"/>
        <color theme="1"/>
        <rFont val="宋体"/>
        <family val="3"/>
        <charset val="134"/>
      </rPr>
      <t>备选</t>
    </r>
  </si>
  <si>
    <r>
      <rPr>
        <sz val="10"/>
        <color theme="1"/>
        <rFont val="宋体"/>
        <family val="3"/>
        <charset val="134"/>
      </rPr>
      <t>常规★</t>
    </r>
    <phoneticPr fontId="5"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</si>
  <si>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10" type="noConversion"/>
  </si>
  <si>
    <r>
      <rPr>
        <b/>
        <sz val="10"/>
        <rFont val="宋体"/>
        <family val="3"/>
        <charset val="134"/>
      </rPr>
      <t>√</t>
    </r>
    <phoneticPr fontId="10" type="noConversion"/>
  </si>
  <si>
    <r>
      <rPr>
        <sz val="10"/>
        <rFont val="宋体"/>
        <family val="3"/>
        <charset val="134"/>
      </rPr>
      <t>√</t>
    </r>
    <phoneticPr fontId="10" type="noConversion"/>
  </si>
  <si>
    <r>
      <rPr>
        <sz val="10"/>
        <rFont val="宋体"/>
        <family val="3"/>
        <charset val="134"/>
      </rPr>
      <t>√</t>
    </r>
    <phoneticPr fontId="10" type="noConversion"/>
  </si>
  <si>
    <r>
      <rPr>
        <sz val="10"/>
        <rFont val="宋体"/>
        <family val="3"/>
        <charset val="134"/>
      </rPr>
      <t>√</t>
    </r>
    <phoneticPr fontId="10" type="noConversion"/>
  </si>
  <si>
    <r>
      <rPr>
        <b/>
        <sz val="10"/>
        <rFont val="宋体"/>
        <family val="3"/>
        <charset val="134"/>
      </rPr>
      <t>存在</t>
    </r>
    <phoneticPr fontId="10" type="noConversion"/>
  </si>
  <si>
    <r>
      <rPr>
        <sz val="10"/>
        <rFont val="宋体"/>
        <family val="3"/>
        <charset val="134"/>
      </rPr>
      <t>√</t>
    </r>
    <phoneticPr fontId="10" type="noConversion"/>
  </si>
  <si>
    <r>
      <rPr>
        <sz val="10"/>
        <color theme="1"/>
        <rFont val="宋体"/>
        <family val="3"/>
        <charset val="134"/>
      </rPr>
      <t>常规★</t>
    </r>
    <phoneticPr fontId="5" type="noConversion"/>
  </si>
  <si>
    <r>
      <rPr>
        <b/>
        <sz val="10"/>
        <rFont val="宋体"/>
        <family val="3"/>
        <charset val="134"/>
      </rPr>
      <t>序号</t>
    </r>
    <phoneticPr fontId="10" type="noConversion"/>
  </si>
  <si>
    <r>
      <rPr>
        <b/>
        <sz val="10"/>
        <rFont val="宋体"/>
        <family val="3"/>
        <charset val="134"/>
      </rPr>
      <t>底稿索引号</t>
    </r>
    <phoneticPr fontId="10" type="noConversion"/>
  </si>
  <si>
    <r>
      <rPr>
        <b/>
        <sz val="10"/>
        <rFont val="宋体"/>
        <family val="3"/>
        <charset val="134"/>
      </rPr>
      <t>列报</t>
    </r>
    <phoneticPr fontId="10"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</si>
  <si>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</si>
  <si>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color theme="1"/>
        <rFont val="宋体"/>
        <family val="3"/>
        <charset val="134"/>
      </rPr>
      <t>常规★</t>
    </r>
  </si>
  <si>
    <r>
      <rPr>
        <sz val="10"/>
        <rFont val="宋体"/>
        <family val="3"/>
        <charset val="134"/>
      </rPr>
      <t>常规★</t>
    </r>
  </si>
  <si>
    <r>
      <rPr>
        <sz val="10"/>
        <rFont val="宋体"/>
        <family val="3"/>
        <charset val="134"/>
      </rPr>
      <t>其他方式增加或减少生产性生物资产，考虑执行下列程序
（</t>
    </r>
    <r>
      <rPr>
        <sz val="10"/>
        <rFont val="Arial Narrow"/>
        <family val="2"/>
      </rPr>
      <t>1</t>
    </r>
    <r>
      <rPr>
        <sz val="10"/>
        <rFont val="宋体"/>
        <family val="3"/>
        <charset val="134"/>
      </rPr>
      <t>）对于非货币性资产交换、债务重组、企业合并、投资者投入等交易方式取得或减少的有关长期资产，检查相关合同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）对于因清产核资、资产评估调增或调减有关长期资产价值的，检查有关清产核资报告、资产评估报告、国有资产管理等部门的确认文件、验资报告等，检查会计处理是否正确。</t>
    </r>
    <phoneticPr fontId="10" type="noConversion"/>
  </si>
  <si>
    <r>
      <rPr>
        <b/>
        <sz val="10"/>
        <rFont val="宋体"/>
        <family val="3"/>
        <charset val="134"/>
      </rPr>
      <t>一、本账户涉及的科目</t>
    </r>
    <phoneticPr fontId="10" type="noConversion"/>
  </si>
  <si>
    <r>
      <rPr>
        <sz val="10"/>
        <rFont val="宋体"/>
        <family val="3"/>
        <charset val="134"/>
      </rPr>
      <t>生物资产、累计折旧、减值准备</t>
    </r>
    <phoneticPr fontId="5" type="noConversion"/>
  </si>
  <si>
    <r>
      <rPr>
        <sz val="10"/>
        <rFont val="宋体"/>
        <family val="3"/>
        <charset val="134"/>
      </rPr>
      <t>存在</t>
    </r>
    <phoneticPr fontId="10" type="noConversion"/>
  </si>
  <si>
    <r>
      <rPr>
        <b/>
        <sz val="10"/>
        <rFont val="宋体"/>
        <family val="3"/>
        <charset val="134"/>
      </rPr>
      <t>程序分类</t>
    </r>
    <phoneticPr fontId="10" type="noConversion"/>
  </si>
  <si>
    <r>
      <rPr>
        <b/>
        <sz val="10"/>
        <rFont val="宋体"/>
        <family val="3"/>
        <charset val="134"/>
      </rPr>
      <t>财务报表的认定</t>
    </r>
    <phoneticPr fontId="10" type="noConversion"/>
  </si>
  <si>
    <r>
      <rPr>
        <b/>
        <sz val="10"/>
        <rFont val="宋体"/>
        <family val="3"/>
        <charset val="134"/>
      </rPr>
      <t>完整性</t>
    </r>
    <phoneticPr fontId="10" type="noConversion"/>
  </si>
  <si>
    <r>
      <rPr>
        <b/>
        <sz val="10"/>
        <rFont val="宋体"/>
        <family val="3"/>
        <charset val="134"/>
      </rPr>
      <t>权利和
义务</t>
    </r>
    <phoneticPr fontId="10" type="noConversion"/>
  </si>
  <si>
    <r>
      <rPr>
        <b/>
        <sz val="10"/>
        <rFont val="宋体"/>
        <family val="3"/>
        <charset val="134"/>
      </rPr>
      <t>准确性、计价和分摊</t>
    </r>
    <phoneticPr fontId="10" type="noConversion"/>
  </si>
  <si>
    <r>
      <rPr>
        <sz val="10"/>
        <rFont val="宋体"/>
        <family val="3"/>
        <charset val="134"/>
      </rPr>
      <t>针对长期资产租赁，考虑执行下列程序：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协议，核对重要条款，检查租赁分类是否正确。对于重大的租约，核对租赁协议重要条款。
（</t>
    </r>
    <r>
      <rPr>
        <sz val="10"/>
        <rFont val="Arial Narrow"/>
        <family val="2"/>
      </rPr>
      <t>2</t>
    </r>
    <r>
      <rPr>
        <sz val="10"/>
        <rFont val="宋体"/>
        <family val="3"/>
        <charset val="134"/>
      </rPr>
      <t>）检查租入资产是否确属企业必需，出租资产是否确属企业多余、闲置不用。必要时，实施函证。</t>
    </r>
    <phoneticPr fontId="10" type="noConversion"/>
  </si>
  <si>
    <r>
      <rPr>
        <sz val="10"/>
        <rFont val="宋体"/>
        <family val="3"/>
        <charset val="134"/>
      </rPr>
      <t>备选</t>
    </r>
    <phoneticPr fontId="5" type="noConversion"/>
  </si>
  <si>
    <r>
      <t>A 1-1/</t>
    </r>
    <r>
      <rPr>
        <sz val="10"/>
        <color rgb="FFFF0000"/>
        <rFont val="Arial Narrow"/>
        <family val="2"/>
      </rPr>
      <t>A1-15 /A1-16</t>
    </r>
    <phoneticPr fontId="10" type="noConversion"/>
  </si>
  <si>
    <r>
      <rPr>
        <b/>
        <sz val="10"/>
        <color indexed="8"/>
        <rFont val="宋体"/>
        <family val="3"/>
        <charset val="134"/>
      </rPr>
      <t>一、生产性生物资产原值</t>
    </r>
    <phoneticPr fontId="10" type="noConversion"/>
  </si>
  <si>
    <r>
      <rPr>
        <b/>
        <sz val="10"/>
        <color indexed="8"/>
        <rFont val="宋体"/>
        <family val="3"/>
        <charset val="134"/>
      </rPr>
      <t>二、累计折旧</t>
    </r>
    <phoneticPr fontId="10" type="noConversion"/>
  </si>
  <si>
    <r>
      <rPr>
        <b/>
        <sz val="10"/>
        <color indexed="8"/>
        <rFont val="宋体"/>
        <family val="3"/>
        <charset val="134"/>
      </rPr>
      <t>三、减值准备</t>
    </r>
    <phoneticPr fontId="10" type="noConversion"/>
  </si>
  <si>
    <r>
      <rPr>
        <sz val="10"/>
        <rFont val="宋体"/>
        <family val="3"/>
        <charset val="134"/>
      </rPr>
      <t>生产性生物资产净值审定数</t>
    </r>
    <phoneticPr fontId="14" type="noConversion"/>
  </si>
  <si>
    <r>
      <rPr>
        <sz val="10"/>
        <rFont val="宋体"/>
        <family val="3"/>
        <charset val="134"/>
      </rPr>
      <t>试算平衡表数</t>
    </r>
    <phoneticPr fontId="14" type="noConversion"/>
  </si>
  <si>
    <r>
      <rPr>
        <b/>
        <sz val="10"/>
        <color indexed="12"/>
        <rFont val="宋体"/>
        <family val="3"/>
        <charset val="134"/>
      </rPr>
      <t>特别风险涉及的事项包括但不限于：</t>
    </r>
    <r>
      <rPr>
        <sz val="10"/>
        <color indexed="12"/>
        <rFont val="Arial Narrow"/>
        <family val="2"/>
      </rPr>
      <t/>
    </r>
    <phoneticPr fontId="10" type="noConversion"/>
  </si>
  <si>
    <r>
      <rPr>
        <sz val="10"/>
        <color indexed="12"/>
        <rFont val="宋体"/>
        <family val="3"/>
        <charset val="134"/>
      </rPr>
      <t>高度自动化处理）等等。</t>
    </r>
    <phoneticPr fontId="10" type="noConversion"/>
  </si>
  <si>
    <r>
      <t>B</t>
    </r>
    <r>
      <rPr>
        <sz val="10"/>
        <color indexed="12"/>
        <rFont val="宋体"/>
        <family val="3"/>
        <charset val="134"/>
      </rPr>
      <t>、发现的重大不符事项（如适用）</t>
    </r>
    <phoneticPr fontId="10" type="noConversion"/>
  </si>
  <si>
    <r>
      <t>2</t>
    </r>
    <r>
      <rPr>
        <sz val="10"/>
        <color indexed="12"/>
        <rFont val="宋体"/>
        <family val="3"/>
        <charset val="134"/>
      </rPr>
      <t>、说明基于获取的审计证据，在有关认定方面，是否发现重大错报或存在重大异常。</t>
    </r>
    <phoneticPr fontId="10" type="noConversion"/>
  </si>
  <si>
    <r>
      <rPr>
        <b/>
        <sz val="10"/>
        <rFont val="宋体"/>
        <family val="3"/>
        <charset val="134"/>
      </rPr>
      <t>期末数</t>
    </r>
    <phoneticPr fontId="10" type="noConversion"/>
  </si>
  <si>
    <r>
      <rPr>
        <b/>
        <sz val="10"/>
        <color indexed="8"/>
        <rFont val="宋体"/>
        <family val="3"/>
        <charset val="134"/>
      </rPr>
      <t>本期审定数与上期
审定数的比较</t>
    </r>
    <phoneticPr fontId="10" type="noConversion"/>
  </si>
  <si>
    <r>
      <rPr>
        <b/>
        <sz val="10"/>
        <rFont val="宋体"/>
        <family val="3"/>
        <charset val="134"/>
      </rPr>
      <t>未审数</t>
    </r>
    <phoneticPr fontId="10" type="noConversion"/>
  </si>
  <si>
    <r>
      <rPr>
        <b/>
        <sz val="10"/>
        <rFont val="宋体"/>
        <family val="3"/>
        <charset val="134"/>
      </rPr>
      <t>账项调整</t>
    </r>
    <phoneticPr fontId="10" type="noConversion"/>
  </si>
  <si>
    <r>
      <rPr>
        <b/>
        <sz val="10"/>
        <rFont val="宋体"/>
        <family val="3"/>
        <charset val="134"/>
      </rPr>
      <t>未审数</t>
    </r>
    <phoneticPr fontId="10" type="noConversion"/>
  </si>
  <si>
    <r>
      <rPr>
        <b/>
        <sz val="10"/>
        <rFont val="宋体"/>
        <family val="3"/>
        <charset val="134"/>
      </rPr>
      <t>审定数</t>
    </r>
    <phoneticPr fontId="10" type="noConversion"/>
  </si>
  <si>
    <r>
      <rPr>
        <b/>
        <sz val="10"/>
        <color indexed="8"/>
        <rFont val="宋体"/>
        <family val="3"/>
        <charset val="134"/>
      </rPr>
      <t>变动率</t>
    </r>
    <phoneticPr fontId="10" type="noConversion"/>
  </si>
  <si>
    <r>
      <rPr>
        <b/>
        <sz val="10"/>
        <color indexed="8"/>
        <rFont val="宋体"/>
        <family val="3"/>
        <charset val="134"/>
      </rPr>
      <t>一、生产性生物资产原值</t>
    </r>
    <phoneticPr fontId="10" type="noConversion"/>
  </si>
  <si>
    <r>
      <rPr>
        <b/>
        <sz val="10"/>
        <color indexed="8"/>
        <rFont val="宋体"/>
        <family val="3"/>
        <charset val="134"/>
      </rPr>
      <t>四、净值</t>
    </r>
    <phoneticPr fontId="10" type="noConversion"/>
  </si>
  <si>
    <r>
      <rPr>
        <b/>
        <sz val="10"/>
        <color indexed="8"/>
        <rFont val="宋体"/>
        <family val="3"/>
        <charset val="134"/>
      </rPr>
      <t>合计</t>
    </r>
    <phoneticPr fontId="10" type="noConversion"/>
  </si>
  <si>
    <r>
      <rPr>
        <sz val="10"/>
        <color indexed="12"/>
        <rFont val="宋体"/>
        <family val="3"/>
        <charset val="134"/>
      </rPr>
      <t>以及可能对审计报告的影响。</t>
    </r>
    <phoneticPr fontId="10" type="noConversion"/>
  </si>
  <si>
    <r>
      <t>b</t>
    </r>
    <r>
      <rPr>
        <sz val="10"/>
        <color indexed="12"/>
        <rFont val="宋体"/>
        <family val="3"/>
        <charset val="134"/>
      </rPr>
      <t>、涉及特别风险时，应当重点说明有关事项、应当措施、结果〔可索引有关底稿〕。</t>
    </r>
  </si>
  <si>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</si>
  <si>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</si>
  <si>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〔即具体事项内容和调整分录，见经索引的本科目或相关科目的检查表或测算表〕</t>
    </r>
    <phoneticPr fontId="10" type="noConversion"/>
  </si>
  <si>
    <r>
      <rPr>
        <b/>
        <sz val="10"/>
        <rFont val="宋体"/>
        <family val="3"/>
        <charset val="134"/>
      </rPr>
      <t>期初数</t>
    </r>
    <phoneticPr fontId="10" type="noConversion"/>
  </si>
  <si>
    <r>
      <rPr>
        <b/>
        <sz val="10"/>
        <rFont val="宋体"/>
        <family val="3"/>
        <charset val="134"/>
      </rPr>
      <t>期末数</t>
    </r>
    <phoneticPr fontId="10" type="noConversion"/>
  </si>
  <si>
    <r>
      <rPr>
        <b/>
        <sz val="10"/>
        <color indexed="8"/>
        <rFont val="宋体"/>
        <family val="3"/>
        <charset val="134"/>
      </rPr>
      <t>本期审定数与上期
审定数的比较</t>
    </r>
    <phoneticPr fontId="10" type="noConversion"/>
  </si>
  <si>
    <r>
      <rPr>
        <b/>
        <sz val="10"/>
        <rFont val="宋体"/>
        <family val="3"/>
        <charset val="134"/>
      </rPr>
      <t>审定数</t>
    </r>
    <phoneticPr fontId="10" type="noConversion"/>
  </si>
  <si>
    <r>
      <rPr>
        <b/>
        <sz val="10"/>
        <rFont val="宋体"/>
        <family val="3"/>
        <charset val="134"/>
      </rPr>
      <t>未审数</t>
    </r>
    <phoneticPr fontId="10" type="noConversion"/>
  </si>
  <si>
    <r>
      <rPr>
        <b/>
        <sz val="10"/>
        <rFont val="宋体"/>
        <family val="3"/>
        <charset val="134"/>
      </rPr>
      <t>变动额</t>
    </r>
    <phoneticPr fontId="10" type="noConversion"/>
  </si>
  <si>
    <r>
      <rPr>
        <b/>
        <sz val="10"/>
        <color indexed="8"/>
        <rFont val="宋体"/>
        <family val="3"/>
        <charset val="134"/>
      </rPr>
      <t>变动率</t>
    </r>
    <phoneticPr fontId="10" type="noConversion"/>
  </si>
  <si>
    <r>
      <rPr>
        <b/>
        <sz val="10"/>
        <color indexed="8"/>
        <rFont val="宋体"/>
        <family val="3"/>
        <charset val="134"/>
      </rPr>
      <t>二、公允价值变动</t>
    </r>
    <phoneticPr fontId="10" type="noConversion"/>
  </si>
  <si>
    <r>
      <rPr>
        <b/>
        <sz val="10"/>
        <color indexed="8"/>
        <rFont val="宋体"/>
        <family val="3"/>
        <charset val="134"/>
      </rPr>
      <t>三、净值</t>
    </r>
    <phoneticPr fontId="10" type="noConversion"/>
  </si>
  <si>
    <r>
      <t>1</t>
    </r>
    <r>
      <rPr>
        <b/>
        <sz val="10"/>
        <rFont val="宋体"/>
        <family val="3"/>
        <charset val="134"/>
      </rPr>
      <t>、审计说明：</t>
    </r>
    <phoneticPr fontId="10" type="noConversion"/>
  </si>
  <si>
    <r>
      <rPr>
        <sz val="10"/>
        <rFont val="宋体"/>
        <family val="3"/>
        <charset val="134"/>
      </rPr>
      <t>（</t>
    </r>
    <r>
      <rPr>
        <sz val="10"/>
        <rFont val="Arial Narrow"/>
        <family val="2"/>
      </rPr>
      <t>1</t>
    </r>
    <r>
      <rPr>
        <sz val="10"/>
        <rFont val="宋体"/>
        <family val="3"/>
        <charset val="134"/>
      </rPr>
      <t>）生产性生物资产期末账面价值较期初账面价值增加（负数为减少）：</t>
    </r>
    <phoneticPr fontId="10"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</si>
  <si>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0" type="noConversion"/>
  </si>
  <si>
    <r>
      <rPr>
        <sz val="10"/>
        <rFont val="宋体"/>
        <family val="3"/>
        <charset val="134"/>
      </rPr>
      <t>（</t>
    </r>
    <r>
      <rPr>
        <sz val="10"/>
        <rFont val="Arial Narrow"/>
        <family val="2"/>
      </rPr>
      <t>2</t>
    </r>
    <r>
      <rPr>
        <sz val="10"/>
        <rFont val="宋体"/>
        <family val="3"/>
        <charset val="134"/>
      </rPr>
      <t>）生产性生物资产公允价值的确定依据及公允价值金额的增减变动情况说明：</t>
    </r>
    <phoneticPr fontId="10" type="noConversion"/>
  </si>
  <si>
    <r>
      <rPr>
        <sz val="10"/>
        <rFont val="宋体"/>
        <family val="3"/>
        <charset val="134"/>
      </rPr>
      <t>（</t>
    </r>
    <r>
      <rPr>
        <sz val="10"/>
        <rFont val="Arial Narrow"/>
        <family val="2"/>
      </rPr>
      <t>3</t>
    </r>
    <r>
      <rPr>
        <sz val="10"/>
        <rFont val="宋体"/>
        <family val="3"/>
        <charset val="134"/>
      </rPr>
      <t>）其他说明：</t>
    </r>
    <phoneticPr fontId="10" type="noConversion"/>
  </si>
  <si>
    <r>
      <rPr>
        <sz val="10"/>
        <rFont val="宋体"/>
        <family val="3"/>
        <charset val="134"/>
      </rPr>
      <t>（</t>
    </r>
    <r>
      <rPr>
        <sz val="10"/>
        <rFont val="Arial Narrow"/>
        <family val="2"/>
      </rPr>
      <t>4</t>
    </r>
    <r>
      <rPr>
        <sz val="10"/>
        <rFont val="宋体"/>
        <family val="3"/>
        <charset val="134"/>
      </rPr>
      <t>）与试算平衡表核对</t>
    </r>
    <phoneticPr fontId="10" type="noConversion"/>
  </si>
  <si>
    <r>
      <rPr>
        <sz val="10"/>
        <rFont val="宋体"/>
        <family val="3"/>
        <charset val="134"/>
      </rPr>
      <t>期末数</t>
    </r>
    <phoneticPr fontId="14" type="noConversion"/>
  </si>
  <si>
    <r>
      <rPr>
        <sz val="10"/>
        <rFont val="宋体"/>
        <family val="3"/>
        <charset val="134"/>
      </rPr>
      <t>期初数</t>
    </r>
    <phoneticPr fontId="14" type="noConversion"/>
  </si>
  <si>
    <r>
      <rPr>
        <sz val="10"/>
        <rFont val="宋体"/>
        <family val="3"/>
        <charset val="134"/>
      </rPr>
      <t>差异</t>
    </r>
    <phoneticPr fontId="14" type="noConversion"/>
  </si>
  <si>
    <r>
      <t>2</t>
    </r>
    <r>
      <rPr>
        <b/>
        <sz val="10"/>
        <rFont val="宋体"/>
        <family val="3"/>
        <charset val="134"/>
      </rPr>
      <t>、审计结论：</t>
    </r>
    <phoneticPr fontId="10"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</si>
  <si>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0"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</si>
  <si>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10"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</si>
  <si>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0" type="noConversion"/>
  </si>
  <si>
    <r>
      <rPr>
        <sz val="10"/>
        <color indexed="12"/>
        <rFont val="宋体"/>
        <family val="3"/>
        <charset val="134"/>
      </rPr>
      <t>按调整事项，逐笔概述调整原因及对本科目的调整金额，并说明相关底稿的索引号。</t>
    </r>
    <phoneticPr fontId="10" type="noConversion"/>
  </si>
  <si>
    <r>
      <rPr>
        <b/>
        <sz val="10"/>
        <color indexed="12"/>
        <rFont val="宋体"/>
        <family val="3"/>
        <charset val="134"/>
      </rPr>
      <t>《企业会计准则</t>
    </r>
    <r>
      <rPr>
        <b/>
        <sz val="10"/>
        <color indexed="12"/>
        <rFont val="Arial Narrow"/>
        <family val="2"/>
      </rPr>
      <t>5</t>
    </r>
    <r>
      <rPr>
        <b/>
        <sz val="10"/>
        <color indexed="12"/>
        <rFont val="宋体"/>
        <family val="3"/>
        <charset val="134"/>
      </rPr>
      <t>号</t>
    </r>
    <r>
      <rPr>
        <b/>
        <sz val="10"/>
        <color indexed="12"/>
        <rFont val="Arial Narrow"/>
        <family val="2"/>
      </rPr>
      <t>-</t>
    </r>
    <r>
      <rPr>
        <b/>
        <sz val="10"/>
        <color indexed="12"/>
        <rFont val="宋体"/>
        <family val="3"/>
        <charset val="134"/>
      </rPr>
      <t>生物资产》</t>
    </r>
    <phoneticPr fontId="10" type="noConversion"/>
  </si>
  <si>
    <r>
      <rPr>
        <sz val="10"/>
        <color indexed="12"/>
        <rFont val="宋体"/>
        <family val="3"/>
        <charset val="134"/>
      </rPr>
      <t>根据本准则规定，生物资产通常按照成本计量，但有确凿证据表明其公允价值能够持续可靠取得的除外。采用公允价值计量的生物资产，应当同时满足下列两个条件：</t>
    </r>
  </si>
  <si>
    <r>
      <rPr>
        <sz val="10"/>
        <color indexed="12"/>
        <rFont val="宋体"/>
        <family val="3"/>
        <charset val="134"/>
      </rPr>
      <t>一是生物资产有活跃的交易市场。活跃的交易市场，是指同时具有下列特征的市场：</t>
    </r>
  </si>
  <si>
    <r>
      <rPr>
        <sz val="10"/>
        <color indexed="12"/>
        <rFont val="宋体"/>
        <family val="3"/>
        <charset val="134"/>
      </rPr>
      <t>（</t>
    </r>
    <r>
      <rPr>
        <sz val="10"/>
        <color indexed="12"/>
        <rFont val="Arial Narrow"/>
        <family val="2"/>
      </rPr>
      <t>1</t>
    </r>
    <r>
      <rPr>
        <sz val="10"/>
        <color indexed="12"/>
        <rFont val="宋体"/>
        <family val="3"/>
        <charset val="134"/>
      </rPr>
      <t>）市场内交易的对象具有同质性；</t>
    </r>
  </si>
  <si>
    <r>
      <rPr>
        <sz val="10"/>
        <color indexed="12"/>
        <rFont val="宋体"/>
        <family val="3"/>
        <charset val="134"/>
      </rPr>
      <t>（</t>
    </r>
    <r>
      <rPr>
        <sz val="10"/>
        <color indexed="12"/>
        <rFont val="Arial Narrow"/>
        <family val="2"/>
      </rPr>
      <t>2</t>
    </r>
    <r>
      <rPr>
        <sz val="10"/>
        <color indexed="12"/>
        <rFont val="宋体"/>
        <family val="3"/>
        <charset val="134"/>
      </rPr>
      <t>）可以随时找到自愿交易的买方和卖方；</t>
    </r>
  </si>
  <si>
    <r>
      <rPr>
        <sz val="10"/>
        <color indexed="12"/>
        <rFont val="宋体"/>
        <family val="3"/>
        <charset val="134"/>
      </rPr>
      <t>（</t>
    </r>
    <r>
      <rPr>
        <sz val="10"/>
        <color indexed="12"/>
        <rFont val="Arial Narrow"/>
        <family val="2"/>
      </rPr>
      <t>3</t>
    </r>
    <r>
      <rPr>
        <sz val="10"/>
        <color indexed="12"/>
        <rFont val="宋体"/>
        <family val="3"/>
        <charset val="134"/>
      </rPr>
      <t>）市场价格的信息是公开的。</t>
    </r>
  </si>
  <si>
    <r>
      <rPr>
        <sz val="10"/>
        <color indexed="12"/>
        <rFont val="宋体"/>
        <family val="3"/>
        <charset val="134"/>
      </rPr>
      <t>二是能够从交易市场上取得同类或类似生物资产的市场价格及其他相关信息，从而对生物资产的公允价值作出合理估计。同类或类似，是指生物资产的品种相同或类似、质量等级相同或类似、生长时间相同或类似、所处气候和地理环境相同或类似。</t>
    </r>
  </si>
  <si>
    <r>
      <rPr>
        <b/>
        <sz val="10"/>
        <color indexed="8"/>
        <rFont val="宋体"/>
        <family val="3"/>
        <charset val="134"/>
      </rPr>
      <t>一、审计目标</t>
    </r>
    <r>
      <rPr>
        <b/>
        <sz val="10"/>
        <color indexed="8"/>
        <rFont val="Arial Narrow"/>
        <family val="2"/>
      </rPr>
      <t>:</t>
    </r>
    <phoneticPr fontId="14" type="noConversion"/>
  </si>
  <si>
    <r>
      <t xml:space="preserve">1. </t>
    </r>
    <r>
      <rPr>
        <sz val="10"/>
        <color indexed="8"/>
        <rFont val="宋体"/>
        <family val="3"/>
        <charset val="134"/>
      </rPr>
      <t>资产负债表中记录的生产性生物资产是存在的，且已记录于恰当的账户；</t>
    </r>
    <r>
      <rPr>
        <sz val="10"/>
        <color indexed="8"/>
        <rFont val="Arial Narrow"/>
        <family val="2"/>
      </rPr>
      <t xml:space="preserve">2. </t>
    </r>
    <r>
      <rPr>
        <sz val="10"/>
        <color indexed="8"/>
        <rFont val="宋体"/>
        <family val="3"/>
        <charset val="134"/>
      </rPr>
      <t>所有应记录的生产性生物资产均已记录，所有应当包括在财务报表中的相关披露均已包括；</t>
    </r>
    <phoneticPr fontId="14" type="noConversion"/>
  </si>
  <si>
    <r>
      <t xml:space="preserve">3. </t>
    </r>
    <r>
      <rPr>
        <sz val="10"/>
        <rFont val="宋体"/>
        <family val="3"/>
        <charset val="134"/>
      </rPr>
      <t>生产性生物资产以恰当的金额包括在财务报表中，与之相关的计价或分摊调整已恰当记录，相关披露已得到恰当计量和描述</t>
    </r>
    <r>
      <rPr>
        <sz val="10"/>
        <rFont val="Arial Narrow"/>
        <family val="2"/>
      </rPr>
      <t>.</t>
    </r>
    <phoneticPr fontId="14" type="noConversion"/>
  </si>
  <si>
    <r>
      <rPr>
        <b/>
        <sz val="10"/>
        <rFont val="宋体"/>
        <family val="3"/>
        <charset val="134"/>
      </rPr>
      <t>二、审计过程：</t>
    </r>
    <phoneticPr fontId="10" type="noConversion"/>
  </si>
  <si>
    <r>
      <rPr>
        <b/>
        <sz val="10"/>
        <rFont val="宋体"/>
        <family val="3"/>
        <charset val="134"/>
      </rPr>
      <t>生产性生物资产类别</t>
    </r>
    <phoneticPr fontId="10" type="noConversion"/>
  </si>
  <si>
    <r>
      <rPr>
        <b/>
        <sz val="10"/>
        <rFont val="宋体"/>
        <family val="3"/>
        <charset val="134"/>
      </rPr>
      <t>生产性生物资产编号</t>
    </r>
    <phoneticPr fontId="10" type="noConversion"/>
  </si>
  <si>
    <r>
      <rPr>
        <b/>
        <sz val="10"/>
        <rFont val="宋体"/>
        <family val="3"/>
        <charset val="134"/>
      </rPr>
      <t>生产性生物资产名称</t>
    </r>
    <phoneticPr fontId="10" type="noConversion"/>
  </si>
  <si>
    <r>
      <rPr>
        <b/>
        <sz val="10"/>
        <color indexed="8"/>
        <rFont val="宋体"/>
        <family val="3"/>
        <charset val="134"/>
      </rPr>
      <t>生产性生物资产原值</t>
    </r>
    <phoneticPr fontId="49" type="noConversion"/>
  </si>
  <si>
    <r>
      <rPr>
        <b/>
        <sz val="10"/>
        <color indexed="8"/>
        <rFont val="宋体"/>
        <family val="3"/>
        <charset val="134"/>
      </rPr>
      <t>累计折旧</t>
    </r>
    <phoneticPr fontId="49" type="noConversion"/>
  </si>
  <si>
    <r>
      <rPr>
        <b/>
        <sz val="10"/>
        <color indexed="8"/>
        <rFont val="宋体"/>
        <family val="3"/>
        <charset val="134"/>
      </rPr>
      <t>减值准备</t>
    </r>
    <phoneticPr fontId="49" type="noConversion"/>
  </si>
  <si>
    <r>
      <rPr>
        <b/>
        <sz val="10"/>
        <color indexed="8"/>
        <rFont val="宋体"/>
        <family val="3"/>
        <charset val="134"/>
      </rPr>
      <t>期初净值</t>
    </r>
    <phoneticPr fontId="49" type="noConversion"/>
  </si>
  <si>
    <r>
      <rPr>
        <b/>
        <sz val="10"/>
        <color indexed="8"/>
        <rFont val="宋体"/>
        <family val="3"/>
        <charset val="134"/>
      </rPr>
      <t>期末净值</t>
    </r>
    <phoneticPr fontId="49" type="noConversion"/>
  </si>
  <si>
    <r>
      <rPr>
        <b/>
        <sz val="10"/>
        <color indexed="8"/>
        <rFont val="宋体"/>
        <family val="3"/>
        <charset val="134"/>
      </rPr>
      <t>未审数</t>
    </r>
    <phoneticPr fontId="49" type="noConversion"/>
  </si>
  <si>
    <r>
      <rPr>
        <b/>
        <sz val="10"/>
        <color indexed="8"/>
        <rFont val="宋体"/>
        <family val="3"/>
        <charset val="134"/>
      </rPr>
      <t>期初调整</t>
    </r>
    <phoneticPr fontId="49" type="noConversion"/>
  </si>
  <si>
    <r>
      <rPr>
        <b/>
        <sz val="10"/>
        <color indexed="8"/>
        <rFont val="宋体"/>
        <family val="3"/>
        <charset val="134"/>
      </rPr>
      <t>账项调整</t>
    </r>
    <phoneticPr fontId="49" type="noConversion"/>
  </si>
  <si>
    <r>
      <rPr>
        <b/>
        <sz val="10"/>
        <color indexed="8"/>
        <rFont val="宋体"/>
        <family val="3"/>
        <charset val="134"/>
      </rPr>
      <t>审定数</t>
    </r>
    <phoneticPr fontId="49" type="noConversion"/>
  </si>
  <si>
    <r>
      <rPr>
        <b/>
        <sz val="10"/>
        <color indexed="8"/>
        <rFont val="宋体"/>
        <family val="3"/>
        <charset val="134"/>
      </rPr>
      <t>未审数</t>
    </r>
    <phoneticPr fontId="49" type="noConversion"/>
  </si>
  <si>
    <r>
      <rPr>
        <b/>
        <sz val="10"/>
        <color indexed="8"/>
        <rFont val="宋体"/>
        <family val="3"/>
        <charset val="134"/>
      </rPr>
      <t>期初调整</t>
    </r>
    <phoneticPr fontId="49" type="noConversion"/>
  </si>
  <si>
    <r>
      <rPr>
        <b/>
        <sz val="10"/>
        <color indexed="8"/>
        <rFont val="宋体"/>
        <family val="3"/>
        <charset val="134"/>
      </rPr>
      <t>账项调整</t>
    </r>
    <phoneticPr fontId="49" type="noConversion"/>
  </si>
  <si>
    <r>
      <rPr>
        <b/>
        <sz val="10"/>
        <color indexed="8"/>
        <rFont val="宋体"/>
        <family val="3"/>
        <charset val="134"/>
      </rPr>
      <t>审定数</t>
    </r>
    <phoneticPr fontId="49" type="noConversion"/>
  </si>
  <si>
    <r>
      <rPr>
        <b/>
        <sz val="10"/>
        <color indexed="8"/>
        <rFont val="宋体"/>
        <family val="3"/>
        <charset val="134"/>
      </rPr>
      <t>本期减少</t>
    </r>
    <phoneticPr fontId="49" type="noConversion"/>
  </si>
  <si>
    <r>
      <rPr>
        <b/>
        <sz val="10"/>
        <color indexed="8"/>
        <rFont val="宋体"/>
        <family val="3"/>
        <charset val="134"/>
      </rPr>
      <t>期末数</t>
    </r>
    <phoneticPr fontId="49" type="noConversion"/>
  </si>
  <si>
    <r>
      <rPr>
        <b/>
        <sz val="10"/>
        <color indexed="8"/>
        <rFont val="宋体"/>
        <family val="3"/>
        <charset val="134"/>
      </rPr>
      <t>本期减少</t>
    </r>
    <phoneticPr fontId="10" type="noConversion"/>
  </si>
  <si>
    <r>
      <rPr>
        <b/>
        <sz val="10"/>
        <color indexed="8"/>
        <rFont val="宋体"/>
        <family val="3"/>
        <charset val="134"/>
      </rPr>
      <t>期初数</t>
    </r>
    <phoneticPr fontId="10" type="noConversion"/>
  </si>
  <si>
    <r>
      <rPr>
        <b/>
        <sz val="10"/>
        <color indexed="8"/>
        <rFont val="宋体"/>
        <family val="3"/>
        <charset val="134"/>
      </rPr>
      <t>本期减少</t>
    </r>
    <phoneticPr fontId="10" type="noConversion"/>
  </si>
  <si>
    <r>
      <rPr>
        <b/>
        <sz val="10"/>
        <color indexed="8"/>
        <rFont val="宋体"/>
        <family val="3"/>
        <charset val="134"/>
      </rPr>
      <t>期末数</t>
    </r>
    <phoneticPr fontId="10" type="noConversion"/>
  </si>
  <si>
    <r>
      <rPr>
        <b/>
        <sz val="10"/>
        <color indexed="8"/>
        <rFont val="宋体"/>
        <family val="3"/>
        <charset val="134"/>
      </rPr>
      <t>期初数</t>
    </r>
    <phoneticPr fontId="10" type="noConversion"/>
  </si>
  <si>
    <r>
      <rPr>
        <b/>
        <sz val="10"/>
        <color indexed="8"/>
        <rFont val="宋体"/>
        <family val="3"/>
        <charset val="134"/>
      </rPr>
      <t>期末数</t>
    </r>
    <phoneticPr fontId="10" type="noConversion"/>
  </si>
  <si>
    <r>
      <rPr>
        <b/>
        <sz val="10"/>
        <color indexed="8"/>
        <rFont val="宋体"/>
        <family val="3"/>
        <charset val="134"/>
      </rPr>
      <t>本期减少</t>
    </r>
    <phoneticPr fontId="49" type="noConversion"/>
  </si>
  <si>
    <r>
      <rPr>
        <b/>
        <sz val="10"/>
        <color indexed="8"/>
        <rFont val="宋体"/>
        <family val="3"/>
        <charset val="134"/>
      </rPr>
      <t>本期减少</t>
    </r>
    <phoneticPr fontId="49" type="noConversion"/>
  </si>
  <si>
    <r>
      <rPr>
        <b/>
        <sz val="10"/>
        <color indexed="8"/>
        <rFont val="宋体"/>
        <family val="3"/>
        <charset val="134"/>
      </rPr>
      <t>期末数</t>
    </r>
    <phoneticPr fontId="10" type="noConversion"/>
  </si>
  <si>
    <r>
      <rPr>
        <b/>
        <sz val="10"/>
        <color indexed="8"/>
        <rFont val="宋体"/>
        <family val="3"/>
        <charset val="134"/>
      </rPr>
      <t>期末数</t>
    </r>
    <phoneticPr fontId="10" type="noConversion"/>
  </si>
  <si>
    <r>
      <rPr>
        <b/>
        <sz val="10"/>
        <color indexed="8"/>
        <rFont val="宋体"/>
        <family val="3"/>
        <charset val="134"/>
      </rPr>
      <t>期初数</t>
    </r>
    <phoneticPr fontId="10" type="noConversion"/>
  </si>
  <si>
    <r>
      <rPr>
        <b/>
        <sz val="10"/>
        <color indexed="8"/>
        <rFont val="宋体"/>
        <family val="3"/>
        <charset val="134"/>
      </rPr>
      <t>本期增加</t>
    </r>
    <phoneticPr fontId="10" type="noConversion"/>
  </si>
  <si>
    <r>
      <rPr>
        <b/>
        <sz val="10"/>
        <color indexed="8"/>
        <rFont val="宋体"/>
        <family val="3"/>
        <charset val="134"/>
      </rPr>
      <t>本期减少</t>
    </r>
    <phoneticPr fontId="10" type="noConversion"/>
  </si>
  <si>
    <r>
      <rPr>
        <b/>
        <sz val="10"/>
        <color indexed="8"/>
        <rFont val="宋体"/>
        <family val="3"/>
        <charset val="134"/>
      </rPr>
      <t>未审净值</t>
    </r>
    <phoneticPr fontId="49" type="noConversion"/>
  </si>
  <si>
    <r>
      <rPr>
        <b/>
        <sz val="10"/>
        <color indexed="8"/>
        <rFont val="宋体"/>
        <family val="3"/>
        <charset val="134"/>
      </rPr>
      <t>审定净值</t>
    </r>
    <phoneticPr fontId="49" type="noConversion"/>
  </si>
  <si>
    <r>
      <rPr>
        <b/>
        <sz val="10"/>
        <color indexed="8"/>
        <rFont val="宋体"/>
        <family val="3"/>
        <charset val="134"/>
      </rPr>
      <t>未审净值</t>
    </r>
    <phoneticPr fontId="49" type="noConversion"/>
  </si>
  <si>
    <r>
      <rPr>
        <b/>
        <sz val="10"/>
        <color indexed="8"/>
        <rFont val="宋体"/>
        <family val="3"/>
        <charset val="134"/>
      </rPr>
      <t>审定净值</t>
    </r>
    <phoneticPr fontId="49" type="noConversion"/>
  </si>
  <si>
    <r>
      <rPr>
        <b/>
        <sz val="10"/>
        <color indexed="8"/>
        <rFont val="宋体"/>
        <family val="3"/>
        <charset val="134"/>
      </rPr>
      <t>金额</t>
    </r>
    <phoneticPr fontId="10" type="noConversion"/>
  </si>
  <si>
    <r>
      <rPr>
        <b/>
        <sz val="10"/>
        <color rgb="FFFF0000"/>
        <rFont val="宋体"/>
        <family val="3"/>
        <charset val="134"/>
      </rPr>
      <t>增加方式</t>
    </r>
    <phoneticPr fontId="10" type="noConversion"/>
  </si>
  <si>
    <r>
      <rPr>
        <b/>
        <sz val="10"/>
        <color rgb="FFFF0000"/>
        <rFont val="宋体"/>
        <family val="3"/>
        <charset val="134"/>
      </rPr>
      <t>减少方式</t>
    </r>
    <phoneticPr fontId="10" type="noConversion"/>
  </si>
  <si>
    <r>
      <rPr>
        <b/>
        <sz val="10"/>
        <color indexed="8"/>
        <rFont val="宋体"/>
        <family val="3"/>
        <charset val="134"/>
      </rPr>
      <t>本期计提</t>
    </r>
    <phoneticPr fontId="10" type="noConversion"/>
  </si>
  <si>
    <r>
      <rPr>
        <b/>
        <sz val="10"/>
        <color indexed="8"/>
        <rFont val="宋体"/>
        <family val="3"/>
        <charset val="134"/>
      </rPr>
      <t>处置</t>
    </r>
    <phoneticPr fontId="49" type="noConversion"/>
  </si>
  <si>
    <r>
      <rPr>
        <b/>
        <sz val="10"/>
        <color indexed="8"/>
        <rFont val="宋体"/>
        <family val="3"/>
        <charset val="134"/>
      </rPr>
      <t>其他减少</t>
    </r>
    <phoneticPr fontId="49" type="noConversion"/>
  </si>
  <si>
    <r>
      <rPr>
        <b/>
        <sz val="10"/>
        <color indexed="8"/>
        <rFont val="宋体"/>
        <family val="3"/>
        <charset val="134"/>
      </rPr>
      <t>本期计提</t>
    </r>
    <phoneticPr fontId="10" type="noConversion"/>
  </si>
  <si>
    <r>
      <rPr>
        <b/>
        <sz val="10"/>
        <color indexed="8"/>
        <rFont val="宋体"/>
        <family val="3"/>
        <charset val="134"/>
      </rPr>
      <t>处置</t>
    </r>
    <phoneticPr fontId="49" type="noConversion"/>
  </si>
  <si>
    <r>
      <rPr>
        <b/>
        <sz val="10"/>
        <color indexed="8"/>
        <rFont val="宋体"/>
        <family val="3"/>
        <charset val="134"/>
      </rPr>
      <t>其他减少</t>
    </r>
    <phoneticPr fontId="49" type="noConversion"/>
  </si>
  <si>
    <r>
      <rPr>
        <b/>
        <sz val="10"/>
        <color indexed="8"/>
        <rFont val="宋体"/>
        <family val="3"/>
        <charset val="134"/>
      </rPr>
      <t>本期计提</t>
    </r>
    <phoneticPr fontId="49" type="noConversion"/>
  </si>
  <si>
    <r>
      <rPr>
        <b/>
        <sz val="10"/>
        <color indexed="8"/>
        <rFont val="宋体"/>
        <family val="3"/>
        <charset val="134"/>
      </rPr>
      <t>处置</t>
    </r>
    <phoneticPr fontId="49" type="noConversion"/>
  </si>
  <si>
    <r>
      <rPr>
        <b/>
        <sz val="10"/>
        <color indexed="8"/>
        <rFont val="宋体"/>
        <family val="3"/>
        <charset val="134"/>
      </rPr>
      <t>本期计提</t>
    </r>
    <phoneticPr fontId="49" type="noConversion"/>
  </si>
  <si>
    <r>
      <rPr>
        <b/>
        <sz val="10"/>
        <color indexed="8"/>
        <rFont val="宋体"/>
        <family val="3"/>
        <charset val="134"/>
      </rPr>
      <t>其他减少</t>
    </r>
    <phoneticPr fontId="49" type="noConversion"/>
  </si>
  <si>
    <r>
      <rPr>
        <b/>
        <sz val="10"/>
        <rFont val="宋体"/>
        <family val="3"/>
        <charset val="134"/>
      </rPr>
      <t>合计</t>
    </r>
  </si>
  <si>
    <r>
      <rPr>
        <b/>
        <sz val="10"/>
        <rFont val="宋体"/>
        <family val="3"/>
        <charset val="134"/>
      </rPr>
      <t>三、审计说明：</t>
    </r>
    <phoneticPr fontId="10" type="noConversion"/>
  </si>
  <si>
    <r>
      <rPr>
        <b/>
        <sz val="10"/>
        <rFont val="宋体"/>
        <family val="3"/>
        <charset val="134"/>
      </rPr>
      <t>四、审计结论</t>
    </r>
    <phoneticPr fontId="10" type="noConversion"/>
  </si>
  <si>
    <r>
      <t>1</t>
    </r>
    <r>
      <rPr>
        <sz val="10"/>
        <color indexed="12"/>
        <rFont val="宋体"/>
        <family val="3"/>
        <charset val="134"/>
      </rPr>
      <t>、本科目核算为产出农产品、提供劳务或出租等目的而持有的生物资产，包括经济林、薪炭林、产畜和役畜等</t>
    </r>
    <phoneticPr fontId="10" type="noConversion"/>
  </si>
  <si>
    <r>
      <rPr>
        <b/>
        <sz val="10"/>
        <rFont val="宋体"/>
        <family val="3"/>
        <charset val="134"/>
      </rPr>
      <t>生产性生物资产明细表（公允价值模式）</t>
    </r>
  </si>
  <si>
    <r>
      <rPr>
        <b/>
        <sz val="10"/>
        <color theme="1"/>
        <rFont val="宋体"/>
        <family val="3"/>
        <charset val="134"/>
      </rPr>
      <t>生产性生物资产类别</t>
    </r>
  </si>
  <si>
    <r>
      <rPr>
        <b/>
        <sz val="10"/>
        <color theme="1"/>
        <rFont val="宋体"/>
        <family val="3"/>
        <charset val="134"/>
      </rPr>
      <t>生产性生物资产名称</t>
    </r>
  </si>
  <si>
    <r>
      <rPr>
        <b/>
        <sz val="10"/>
        <color theme="1"/>
        <rFont val="宋体"/>
        <family val="3"/>
        <charset val="134"/>
      </rPr>
      <t>生产性生物资产原值</t>
    </r>
  </si>
  <si>
    <r>
      <rPr>
        <b/>
        <sz val="10"/>
        <color theme="1"/>
        <rFont val="宋体"/>
        <family val="3"/>
        <charset val="134"/>
      </rPr>
      <t>公允价值变动</t>
    </r>
    <phoneticPr fontId="10" type="noConversion"/>
  </si>
  <si>
    <r>
      <rPr>
        <b/>
        <sz val="10"/>
        <color theme="1"/>
        <rFont val="宋体"/>
        <family val="3"/>
        <charset val="134"/>
      </rPr>
      <t>期末净值</t>
    </r>
  </si>
  <si>
    <r>
      <rPr>
        <b/>
        <sz val="10"/>
        <color theme="1"/>
        <rFont val="宋体"/>
        <family val="3"/>
        <charset val="134"/>
      </rPr>
      <t>是否有权属证明</t>
    </r>
    <phoneticPr fontId="10" type="noConversion"/>
  </si>
  <si>
    <r>
      <rPr>
        <b/>
        <sz val="10"/>
        <color theme="1"/>
        <rFont val="宋体"/>
        <family val="3"/>
        <charset val="134"/>
      </rPr>
      <t>是否抵押受限</t>
    </r>
    <phoneticPr fontId="10" type="noConversion"/>
  </si>
  <si>
    <r>
      <rPr>
        <b/>
        <sz val="10"/>
        <color theme="1"/>
        <rFont val="宋体"/>
        <family val="3"/>
        <charset val="134"/>
      </rPr>
      <t>审定数</t>
    </r>
    <phoneticPr fontId="10" type="noConversion"/>
  </si>
  <si>
    <r>
      <rPr>
        <b/>
        <sz val="10"/>
        <color theme="1"/>
        <rFont val="宋体"/>
        <family val="3"/>
        <charset val="134"/>
      </rPr>
      <t>期初余额</t>
    </r>
  </si>
  <si>
    <r>
      <rPr>
        <b/>
        <sz val="10"/>
        <color theme="1"/>
        <rFont val="宋体"/>
        <family val="3"/>
        <charset val="134"/>
      </rPr>
      <t>本年增加</t>
    </r>
  </si>
  <si>
    <r>
      <rPr>
        <b/>
        <sz val="10"/>
        <color rgb="FFFF0000"/>
        <rFont val="宋体"/>
        <family val="3"/>
        <charset val="134"/>
      </rPr>
      <t>增加方式</t>
    </r>
    <phoneticPr fontId="10" type="noConversion"/>
  </si>
  <si>
    <r>
      <rPr>
        <b/>
        <sz val="10"/>
        <color theme="1"/>
        <rFont val="宋体"/>
        <family val="3"/>
        <charset val="134"/>
      </rPr>
      <t>本年减少</t>
    </r>
  </si>
  <si>
    <r>
      <rPr>
        <b/>
        <sz val="10"/>
        <color theme="1"/>
        <rFont val="宋体"/>
        <family val="3"/>
        <charset val="134"/>
      </rPr>
      <t>期末余额</t>
    </r>
  </si>
  <si>
    <r>
      <rPr>
        <b/>
        <sz val="10"/>
        <rFont val="宋体"/>
        <family val="3"/>
        <charset val="134"/>
      </rPr>
      <t>三、审计说明：</t>
    </r>
    <phoneticPr fontId="10" type="noConversion"/>
  </si>
  <si>
    <r>
      <t xml:space="preserve">3. </t>
    </r>
    <r>
      <rPr>
        <sz val="10"/>
        <rFont val="宋体"/>
        <family val="3"/>
        <charset val="134"/>
      </rPr>
      <t>生产性生物资产以恰当的金额包括在财务报表中，与之相关的计价或分摊调整已恰当记录，相关披露已得到恰当计量和描述</t>
    </r>
    <r>
      <rPr>
        <sz val="10"/>
        <rFont val="Arial Narrow"/>
        <family val="2"/>
      </rPr>
      <t>.</t>
    </r>
    <phoneticPr fontId="14" type="noConversion"/>
  </si>
  <si>
    <r>
      <rPr>
        <b/>
        <sz val="10"/>
        <rFont val="宋体"/>
        <family val="3"/>
        <charset val="134"/>
      </rPr>
      <t>二、审计过程：</t>
    </r>
    <phoneticPr fontId="10" type="noConversion"/>
  </si>
  <si>
    <r>
      <rPr>
        <b/>
        <sz val="10"/>
        <color theme="1"/>
        <rFont val="宋体"/>
        <family val="3"/>
        <charset val="134"/>
      </rPr>
      <t>生产性生物资产编号</t>
    </r>
    <phoneticPr fontId="10" type="noConversion"/>
  </si>
  <si>
    <r>
      <rPr>
        <b/>
        <sz val="10"/>
        <color theme="1"/>
        <rFont val="宋体"/>
        <family val="3"/>
        <charset val="134"/>
      </rPr>
      <t>期初净值</t>
    </r>
    <phoneticPr fontId="10" type="noConversion"/>
  </si>
  <si>
    <r>
      <rPr>
        <b/>
        <sz val="10"/>
        <color theme="1"/>
        <rFont val="宋体"/>
        <family val="3"/>
        <charset val="134"/>
      </rPr>
      <t>未审数</t>
    </r>
    <phoneticPr fontId="10" type="noConversion"/>
  </si>
  <si>
    <r>
      <rPr>
        <b/>
        <sz val="10"/>
        <color theme="1"/>
        <rFont val="宋体"/>
        <family val="3"/>
        <charset val="134"/>
      </rPr>
      <t>未审数</t>
    </r>
    <phoneticPr fontId="10" type="noConversion"/>
  </si>
  <si>
    <r>
      <rPr>
        <b/>
        <sz val="10"/>
        <color indexed="8"/>
        <rFont val="宋体"/>
        <family val="3"/>
        <charset val="134"/>
      </rPr>
      <t>本期变动调整</t>
    </r>
    <phoneticPr fontId="10" type="noConversion"/>
  </si>
  <si>
    <r>
      <rPr>
        <b/>
        <sz val="10"/>
        <color theme="1"/>
        <rFont val="宋体"/>
        <family val="3"/>
        <charset val="134"/>
      </rPr>
      <t>审定数</t>
    </r>
    <phoneticPr fontId="10" type="noConversion"/>
  </si>
  <si>
    <r>
      <rPr>
        <b/>
        <sz val="10"/>
        <color rgb="FFFF0000"/>
        <rFont val="宋体"/>
        <family val="3"/>
        <charset val="134"/>
      </rPr>
      <t>减少方式</t>
    </r>
    <phoneticPr fontId="10" type="noConversion"/>
  </si>
  <si>
    <r>
      <rPr>
        <b/>
        <sz val="10"/>
        <color theme="1"/>
        <rFont val="宋体"/>
        <family val="3"/>
        <charset val="134"/>
      </rPr>
      <t>本年变动</t>
    </r>
    <phoneticPr fontId="10" type="noConversion"/>
  </si>
  <si>
    <r>
      <rPr>
        <b/>
        <sz val="10"/>
        <color theme="1"/>
        <rFont val="宋体"/>
        <family val="3"/>
        <charset val="134"/>
      </rPr>
      <t>本年变动</t>
    </r>
    <phoneticPr fontId="10" type="noConversion"/>
  </si>
  <si>
    <r>
      <rPr>
        <b/>
        <sz val="10"/>
        <rFont val="宋体"/>
        <family val="3"/>
        <charset val="134"/>
      </rPr>
      <t>四、审计结论</t>
    </r>
    <phoneticPr fontId="10" type="noConversion"/>
  </si>
  <si>
    <r>
      <rPr>
        <sz val="10"/>
        <color rgb="FF0000FF"/>
        <rFont val="宋体"/>
        <family val="3"/>
        <charset val="134"/>
      </rPr>
      <t>审计过程提示</t>
    </r>
    <phoneticPr fontId="10" type="noConversion"/>
  </si>
  <si>
    <r>
      <rPr>
        <b/>
        <sz val="10"/>
        <color indexed="8"/>
        <rFont val="宋体"/>
        <family val="3"/>
        <charset val="134"/>
      </rPr>
      <t>报表项目</t>
    </r>
    <phoneticPr fontId="10" type="noConversion"/>
  </si>
  <si>
    <r>
      <rPr>
        <b/>
        <sz val="10"/>
        <color indexed="8"/>
        <rFont val="宋体"/>
        <family val="3"/>
        <charset val="134"/>
      </rPr>
      <t>调整事项说明</t>
    </r>
    <phoneticPr fontId="10" type="noConversion"/>
  </si>
  <si>
    <r>
      <rPr>
        <b/>
        <sz val="10"/>
        <rFont val="宋体"/>
        <family val="3"/>
        <charset val="134"/>
      </rPr>
      <t>科目名称</t>
    </r>
    <phoneticPr fontId="10" type="noConversion"/>
  </si>
  <si>
    <r>
      <rPr>
        <b/>
        <sz val="10"/>
        <rFont val="宋体"/>
        <family val="3"/>
        <charset val="134"/>
      </rPr>
      <t>备注</t>
    </r>
    <phoneticPr fontId="10"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</si>
  <si>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0" type="noConversion"/>
  </si>
  <si>
    <r>
      <rPr>
        <b/>
        <sz val="10"/>
        <rFont val="宋体"/>
        <family val="3"/>
        <charset val="134"/>
      </rPr>
      <t>附注项目</t>
    </r>
    <phoneticPr fontId="10" type="noConversion"/>
  </si>
  <si>
    <r>
      <rPr>
        <b/>
        <sz val="10"/>
        <rFont val="宋体"/>
        <family val="3"/>
        <charset val="134"/>
      </rPr>
      <t>借方调整金额</t>
    </r>
    <phoneticPr fontId="10" type="noConversion"/>
  </si>
  <si>
    <r>
      <rPr>
        <b/>
        <sz val="10"/>
        <rFont val="宋体"/>
        <family val="3"/>
        <charset val="134"/>
      </rPr>
      <t>贷方调整金额</t>
    </r>
    <phoneticPr fontId="10" type="noConversion"/>
  </si>
  <si>
    <r>
      <rPr>
        <b/>
        <sz val="10"/>
        <rFont val="宋体"/>
        <family val="3"/>
        <charset val="134"/>
      </rPr>
      <t>索引</t>
    </r>
    <phoneticPr fontId="10" type="noConversion"/>
  </si>
  <si>
    <r>
      <rPr>
        <b/>
        <sz val="10"/>
        <color indexed="8"/>
        <rFont val="宋体"/>
        <family val="3"/>
        <charset val="134"/>
      </rPr>
      <t>类别</t>
    </r>
  </si>
  <si>
    <r>
      <rPr>
        <b/>
        <sz val="10"/>
        <color indexed="8"/>
        <rFont val="宋体"/>
        <family val="3"/>
        <charset val="134"/>
      </rPr>
      <t>一、审计目标：</t>
    </r>
    <phoneticPr fontId="14" type="noConversion"/>
  </si>
  <si>
    <r>
      <rPr>
        <b/>
        <sz val="10"/>
        <rFont val="宋体"/>
        <family val="3"/>
        <charset val="134"/>
      </rPr>
      <t>二、审计过程：</t>
    </r>
    <phoneticPr fontId="10" type="noConversion"/>
  </si>
  <si>
    <r>
      <rPr>
        <b/>
        <sz val="10"/>
        <rFont val="宋体"/>
        <family val="3"/>
        <charset val="134"/>
      </rPr>
      <t>（一）被审计单位对生产性生物资产的计量属性的选择及其原因：</t>
    </r>
    <phoneticPr fontId="10" type="noConversion"/>
  </si>
  <si>
    <r>
      <rPr>
        <b/>
        <sz val="10"/>
        <color indexed="8"/>
        <rFont val="宋体"/>
        <family val="3"/>
        <charset val="134"/>
      </rPr>
      <t>序号</t>
    </r>
    <phoneticPr fontId="10" type="noConversion"/>
  </si>
  <si>
    <r>
      <rPr>
        <b/>
        <sz val="10"/>
        <color indexed="8"/>
        <rFont val="宋体"/>
        <family val="3"/>
        <charset val="134"/>
      </rPr>
      <t>折旧年限</t>
    </r>
    <phoneticPr fontId="10" type="noConversion"/>
  </si>
  <si>
    <r>
      <rPr>
        <b/>
        <sz val="10"/>
        <color indexed="8"/>
        <rFont val="宋体"/>
        <family val="3"/>
        <charset val="134"/>
      </rPr>
      <t>折旧方法</t>
    </r>
    <phoneticPr fontId="10" type="noConversion"/>
  </si>
  <si>
    <r>
      <rPr>
        <b/>
        <sz val="10"/>
        <color indexed="8"/>
        <rFont val="宋体"/>
        <family val="3"/>
        <charset val="134"/>
      </rPr>
      <t>残值率</t>
    </r>
    <phoneticPr fontId="10" type="noConversion"/>
  </si>
  <si>
    <r>
      <rPr>
        <b/>
        <sz val="10"/>
        <color indexed="8"/>
        <rFont val="宋体"/>
        <family val="3"/>
        <charset val="134"/>
      </rPr>
      <t>是否与相关资产所包含的经济利益预期实现方式相一致</t>
    </r>
  </si>
  <si>
    <r>
      <rPr>
        <sz val="10"/>
        <color rgb="FFFF0000"/>
        <rFont val="宋体"/>
        <family val="3"/>
        <charset val="134"/>
      </rPr>
      <t>种植业</t>
    </r>
  </si>
  <si>
    <r>
      <rPr>
        <sz val="10"/>
        <color rgb="FFFF0000"/>
        <rFont val="宋体"/>
        <family val="3"/>
        <charset val="134"/>
      </rPr>
      <t>畜牧养殖业</t>
    </r>
  </si>
  <si>
    <r>
      <rPr>
        <sz val="10"/>
        <color rgb="FFFF0000"/>
        <rFont val="宋体"/>
        <family val="3"/>
        <charset val="134"/>
      </rPr>
      <t>林业</t>
    </r>
  </si>
  <si>
    <r>
      <rPr>
        <sz val="10"/>
        <color rgb="FFFF0000"/>
        <rFont val="宋体"/>
        <family val="3"/>
        <charset val="134"/>
      </rPr>
      <t>水产业</t>
    </r>
  </si>
  <si>
    <r>
      <rPr>
        <b/>
        <sz val="10"/>
        <color indexed="8"/>
        <rFont val="宋体"/>
        <family val="3"/>
        <charset val="134"/>
      </rPr>
      <t>使用寿命</t>
    </r>
  </si>
  <si>
    <r>
      <rPr>
        <b/>
        <sz val="10"/>
        <color indexed="8"/>
        <rFont val="宋体"/>
        <family val="3"/>
        <charset val="134"/>
      </rPr>
      <t>摊销方法</t>
    </r>
  </si>
  <si>
    <r>
      <rPr>
        <b/>
        <sz val="10"/>
        <rFont val="宋体"/>
        <family val="3"/>
        <charset val="134"/>
      </rPr>
      <t>四、审计结论：</t>
    </r>
    <phoneticPr fontId="10" type="noConversion"/>
  </si>
  <si>
    <r>
      <rPr>
        <b/>
        <sz val="10"/>
        <color indexed="8"/>
        <rFont val="宋体"/>
        <family val="3"/>
        <charset val="134"/>
      </rPr>
      <t>是否符合实际经营情况和会计准则的要求</t>
    </r>
    <phoneticPr fontId="10" type="noConversion"/>
  </si>
  <si>
    <r>
      <rPr>
        <b/>
        <sz val="10"/>
        <rFont val="宋体"/>
        <family val="3"/>
        <charset val="134"/>
      </rPr>
      <t>（三）成本模式下同行业其他公司的生产性生物资产折旧政策</t>
    </r>
    <phoneticPr fontId="10" type="noConversion"/>
  </si>
  <si>
    <r>
      <rPr>
        <b/>
        <sz val="10"/>
        <color indexed="8"/>
        <rFont val="宋体"/>
        <family val="3"/>
        <charset val="134"/>
      </rPr>
      <t>序号</t>
    </r>
    <phoneticPr fontId="10" type="noConversion"/>
  </si>
  <si>
    <r>
      <rPr>
        <b/>
        <sz val="10"/>
        <color indexed="8"/>
        <rFont val="宋体"/>
        <family val="3"/>
        <charset val="134"/>
      </rPr>
      <t>残值率</t>
    </r>
    <phoneticPr fontId="10" type="noConversion"/>
  </si>
  <si>
    <r>
      <rPr>
        <b/>
        <sz val="10"/>
        <rFont val="宋体"/>
        <family val="3"/>
        <charset val="134"/>
      </rPr>
      <t>三、审计说明：</t>
    </r>
    <phoneticPr fontId="10" type="noConversion"/>
  </si>
  <si>
    <r>
      <rPr>
        <b/>
        <sz val="10"/>
        <rFont val="宋体"/>
        <family val="3"/>
        <charset val="134"/>
      </rPr>
      <t>（二）成本模式下被审计单位的生产性生物资产折旧政策：</t>
    </r>
    <phoneticPr fontId="10" type="noConversion"/>
  </si>
  <si>
    <r>
      <rPr>
        <b/>
        <sz val="10"/>
        <rFont val="宋体"/>
        <family val="3"/>
        <charset val="134"/>
      </rPr>
      <t>（四）公允价值模式下，期末生产性生物资产公允价值的取得：</t>
    </r>
    <phoneticPr fontId="10" type="noConversion"/>
  </si>
  <si>
    <r>
      <rPr>
        <b/>
        <sz val="10"/>
        <rFont val="宋体"/>
        <family val="3"/>
        <charset val="134"/>
      </rPr>
      <t>（五）如本期存在会计估计变更，原会计估计如下：</t>
    </r>
    <phoneticPr fontId="10" type="noConversion"/>
  </si>
  <si>
    <r>
      <rPr>
        <b/>
        <sz val="10"/>
        <color indexed="8"/>
        <rFont val="宋体"/>
        <family val="3"/>
        <charset val="134"/>
      </rPr>
      <t>与同行业公司相比，会计政策是否合理</t>
    </r>
    <phoneticPr fontId="10" type="noConversion"/>
  </si>
  <si>
    <r>
      <rPr>
        <b/>
        <sz val="10"/>
        <color indexed="8"/>
        <rFont val="宋体"/>
        <family val="3"/>
        <charset val="134"/>
      </rPr>
      <t>备注</t>
    </r>
    <phoneticPr fontId="10" type="noConversion"/>
  </si>
  <si>
    <r>
      <rPr>
        <b/>
        <sz val="10"/>
        <rFont val="宋体"/>
        <family val="3"/>
        <charset val="134"/>
      </rPr>
      <t>四、审计结论：</t>
    </r>
    <phoneticPr fontId="10" type="noConversion"/>
  </si>
  <si>
    <r>
      <rPr>
        <b/>
        <sz val="10"/>
        <color indexed="8"/>
        <rFont val="宋体"/>
        <family val="3"/>
        <charset val="134"/>
      </rPr>
      <t>是否存在会计政策</t>
    </r>
    <r>
      <rPr>
        <b/>
        <sz val="10"/>
        <color indexed="8"/>
        <rFont val="Arial Narrow"/>
        <family val="2"/>
      </rPr>
      <t>/</t>
    </r>
    <r>
      <rPr>
        <b/>
        <sz val="10"/>
        <color indexed="8"/>
        <rFont val="宋体"/>
        <family val="3"/>
        <charset val="134"/>
      </rPr>
      <t>会计估计变更</t>
    </r>
    <phoneticPr fontId="10" type="noConversion"/>
  </si>
  <si>
    <r>
      <rPr>
        <b/>
        <sz val="10"/>
        <color indexed="8"/>
        <rFont val="宋体"/>
        <family val="3"/>
        <charset val="134"/>
      </rPr>
      <t>会计政策</t>
    </r>
    <r>
      <rPr>
        <b/>
        <sz val="10"/>
        <color indexed="8"/>
        <rFont val="Arial Narrow"/>
        <family val="2"/>
      </rPr>
      <t>/</t>
    </r>
    <r>
      <rPr>
        <b/>
        <sz val="10"/>
        <color indexed="8"/>
        <rFont val="宋体"/>
        <family val="3"/>
        <charset val="134"/>
      </rPr>
      <t>会计估计变更是否合理</t>
    </r>
    <phoneticPr fontId="10" type="noConversion"/>
  </si>
  <si>
    <r>
      <rPr>
        <b/>
        <sz val="10"/>
        <rFont val="宋体"/>
        <family val="3"/>
        <charset val="134"/>
      </rPr>
      <t>变动</t>
    </r>
    <phoneticPr fontId="10" type="noConversion"/>
  </si>
  <si>
    <r>
      <rPr>
        <b/>
        <sz val="10"/>
        <rFont val="宋体"/>
        <family val="3"/>
        <charset val="134"/>
      </rPr>
      <t>比例</t>
    </r>
  </si>
  <si>
    <r>
      <rPr>
        <sz val="10"/>
        <rFont val="宋体"/>
        <family val="3"/>
        <charset val="134"/>
      </rPr>
      <t>生产性生物资产原值</t>
    </r>
  </si>
  <si>
    <r>
      <rPr>
        <sz val="10"/>
        <rFont val="宋体"/>
        <family val="3"/>
        <charset val="134"/>
      </rPr>
      <t>累计折旧</t>
    </r>
  </si>
  <si>
    <r>
      <rPr>
        <sz val="10"/>
        <rFont val="宋体"/>
        <family val="3"/>
        <charset val="134"/>
      </rPr>
      <t>生产性生物资产周转率</t>
    </r>
  </si>
  <si>
    <r>
      <rPr>
        <sz val="10"/>
        <rFont val="宋体"/>
        <family val="3"/>
        <charset val="134"/>
      </rPr>
      <t>生产性生物资产管护费</t>
    </r>
  </si>
  <si>
    <r>
      <rPr>
        <b/>
        <sz val="10"/>
        <rFont val="宋体"/>
        <family val="3"/>
        <charset val="134"/>
      </rPr>
      <t>序号</t>
    </r>
    <phoneticPr fontId="10" type="noConversion"/>
  </si>
  <si>
    <r>
      <rPr>
        <sz val="10"/>
        <rFont val="宋体"/>
        <family val="3"/>
        <charset val="134"/>
      </rPr>
      <t>本期计提折旧</t>
    </r>
    <r>
      <rPr>
        <sz val="10"/>
        <rFont val="Arial Narrow"/>
        <family val="2"/>
      </rPr>
      <t>/</t>
    </r>
    <r>
      <rPr>
        <sz val="10"/>
        <rFont val="宋体"/>
        <family val="3"/>
        <charset val="134"/>
      </rPr>
      <t>生产性生物资产原值</t>
    </r>
  </si>
  <si>
    <r>
      <rPr>
        <sz val="10"/>
        <rFont val="宋体"/>
        <family val="3"/>
        <charset val="134"/>
      </rPr>
      <t>累计折旧</t>
    </r>
    <r>
      <rPr>
        <sz val="10"/>
        <rFont val="Arial Narrow"/>
        <family val="2"/>
      </rPr>
      <t>/</t>
    </r>
    <r>
      <rPr>
        <sz val="10"/>
        <rFont val="宋体"/>
        <family val="3"/>
        <charset val="134"/>
      </rPr>
      <t>生产性生物资产原值</t>
    </r>
  </si>
  <si>
    <r>
      <rPr>
        <sz val="10"/>
        <rFont val="宋体"/>
        <family val="3"/>
        <charset val="134"/>
      </rPr>
      <t>生产性生物资产减值准备</t>
    </r>
    <r>
      <rPr>
        <sz val="10"/>
        <rFont val="Arial Narrow"/>
        <family val="2"/>
      </rPr>
      <t>/</t>
    </r>
    <r>
      <rPr>
        <sz val="10"/>
        <rFont val="宋体"/>
        <family val="3"/>
        <charset val="134"/>
      </rPr>
      <t>生产性生物资产原值</t>
    </r>
  </si>
  <si>
    <r>
      <rPr>
        <sz val="10"/>
        <rFont val="宋体"/>
        <family val="3"/>
        <charset val="134"/>
      </rPr>
      <t>主要类别生产性生物资产原值</t>
    </r>
    <r>
      <rPr>
        <sz val="10"/>
        <rFont val="Arial Narrow"/>
        <family val="2"/>
      </rPr>
      <t>/</t>
    </r>
    <r>
      <rPr>
        <sz val="10"/>
        <rFont val="宋体"/>
        <family val="3"/>
        <charset val="134"/>
      </rPr>
      <t>生产性生物资产原值</t>
    </r>
  </si>
  <si>
    <r>
      <rPr>
        <sz val="10"/>
        <rFont val="宋体"/>
        <family val="3"/>
        <charset val="134"/>
      </rPr>
      <t>生产性生物资产原值</t>
    </r>
    <r>
      <rPr>
        <sz val="10"/>
        <rFont val="Arial Narrow"/>
        <family val="2"/>
      </rPr>
      <t>/</t>
    </r>
    <r>
      <rPr>
        <sz val="10"/>
        <rFont val="宋体"/>
        <family val="3"/>
        <charset val="134"/>
      </rPr>
      <t>本期产量</t>
    </r>
  </si>
  <si>
    <r>
      <rPr>
        <sz val="10"/>
        <rFont val="宋体"/>
        <family val="3"/>
        <charset val="134"/>
      </rPr>
      <t>生产性生物资产养殖成本</t>
    </r>
    <r>
      <rPr>
        <sz val="10"/>
        <rFont val="Arial Narrow"/>
        <family val="2"/>
      </rPr>
      <t>÷</t>
    </r>
    <r>
      <rPr>
        <sz val="10"/>
        <rFont val="宋体"/>
        <family val="3"/>
        <charset val="134"/>
      </rPr>
      <t>生产性生物资产原值</t>
    </r>
    <phoneticPr fontId="10" type="noConversion"/>
  </si>
  <si>
    <r>
      <rPr>
        <sz val="10"/>
        <rFont val="宋体"/>
        <family val="3"/>
        <charset val="134"/>
      </rPr>
      <t>主营业务收入</t>
    </r>
    <r>
      <rPr>
        <sz val="10"/>
        <rFont val="Arial Narrow"/>
        <family val="2"/>
      </rPr>
      <t>/</t>
    </r>
    <r>
      <rPr>
        <sz val="10"/>
        <rFont val="宋体"/>
        <family val="3"/>
        <charset val="134"/>
      </rPr>
      <t>生产性生物资产原值</t>
    </r>
    <phoneticPr fontId="10" type="noConversion"/>
  </si>
  <si>
    <r>
      <rPr>
        <sz val="10"/>
        <rFont val="宋体"/>
        <family val="3"/>
        <charset val="134"/>
      </rPr>
      <t>生产性生物资产管护费</t>
    </r>
    <r>
      <rPr>
        <sz val="10"/>
        <rFont val="Arial Narrow"/>
        <family val="2"/>
      </rPr>
      <t>/</t>
    </r>
    <r>
      <rPr>
        <sz val="10"/>
        <rFont val="宋体"/>
        <family val="3"/>
        <charset val="134"/>
      </rPr>
      <t>生产性生物资产原值</t>
    </r>
  </si>
  <si>
    <r>
      <rPr>
        <sz val="10"/>
        <rFont val="宋体"/>
        <family val="3"/>
        <charset val="134"/>
      </rPr>
      <t>生产性生物资产管护费</t>
    </r>
    <r>
      <rPr>
        <sz val="10"/>
        <rFont val="Arial Narrow"/>
        <family val="2"/>
      </rPr>
      <t>/</t>
    </r>
    <r>
      <rPr>
        <sz val="10"/>
        <rFont val="宋体"/>
        <family val="3"/>
        <charset val="134"/>
      </rPr>
      <t>营业收入</t>
    </r>
  </si>
  <si>
    <r>
      <rPr>
        <sz val="10"/>
        <rFont val="宋体"/>
        <family val="3"/>
        <charset val="134"/>
      </rPr>
      <t>生产性生物资产管护费</t>
    </r>
    <r>
      <rPr>
        <sz val="10"/>
        <rFont val="Arial Narrow"/>
        <family val="2"/>
      </rPr>
      <t>/</t>
    </r>
    <r>
      <rPr>
        <sz val="10"/>
        <rFont val="宋体"/>
        <family val="3"/>
        <charset val="134"/>
      </rPr>
      <t>费用总额</t>
    </r>
  </si>
  <si>
    <r>
      <rPr>
        <b/>
        <sz val="10"/>
        <color indexed="8"/>
        <rFont val="宋体"/>
        <family val="3"/>
        <charset val="134"/>
      </rPr>
      <t>一、审计目标</t>
    </r>
    <r>
      <rPr>
        <b/>
        <sz val="10"/>
        <color indexed="8"/>
        <rFont val="Arial Narrow"/>
        <family val="2"/>
      </rPr>
      <t>:</t>
    </r>
    <phoneticPr fontId="14" type="noConversion"/>
  </si>
  <si>
    <r>
      <t xml:space="preserve">1. </t>
    </r>
    <r>
      <rPr>
        <sz val="10"/>
        <color indexed="8"/>
        <rFont val="宋体"/>
        <family val="3"/>
        <charset val="134"/>
      </rPr>
      <t>资产负债表中记录的生产性生物资产是存在的，且已记录于恰当的账户；</t>
    </r>
    <r>
      <rPr>
        <sz val="10"/>
        <color indexed="8"/>
        <rFont val="Arial Narrow"/>
        <family val="2"/>
      </rPr>
      <t xml:space="preserve">2. </t>
    </r>
    <r>
      <rPr>
        <sz val="10"/>
        <color indexed="8"/>
        <rFont val="宋体"/>
        <family val="3"/>
        <charset val="134"/>
      </rPr>
      <t>所有应记录的生产性生物资产均已记录，所有应当包括在财务报表中的相关披露均已包括。</t>
    </r>
    <phoneticPr fontId="14" type="noConversion"/>
  </si>
  <si>
    <r>
      <t xml:space="preserve">3. </t>
    </r>
    <r>
      <rPr>
        <sz val="10"/>
        <color indexed="8"/>
        <rFont val="宋体"/>
        <family val="3"/>
        <charset val="134"/>
      </rPr>
      <t>生产性生物资产以恰当的金额包括在财务报表中，与之相关的计价或分摊调整已恰当记录，相关披露已得到恰当计量和描述</t>
    </r>
    <r>
      <rPr>
        <sz val="10"/>
        <color indexed="8"/>
        <rFont val="Arial Narrow"/>
        <family val="2"/>
      </rPr>
      <t xml:space="preserve"> </t>
    </r>
    <phoneticPr fontId="14" type="noConversion"/>
  </si>
  <si>
    <r>
      <rPr>
        <b/>
        <sz val="10"/>
        <color indexed="8"/>
        <rFont val="宋体"/>
        <family val="3"/>
        <charset val="134"/>
      </rPr>
      <t>二、审计过程：</t>
    </r>
    <phoneticPr fontId="14" type="noConversion"/>
  </si>
  <si>
    <r>
      <t>2025</t>
    </r>
    <r>
      <rPr>
        <b/>
        <sz val="10"/>
        <rFont val="宋体"/>
        <family val="3"/>
        <charset val="134"/>
      </rPr>
      <t>年</t>
    </r>
    <phoneticPr fontId="10" type="noConversion"/>
  </si>
  <si>
    <r>
      <rPr>
        <b/>
        <sz val="10"/>
        <rFont val="宋体"/>
        <family val="3"/>
        <charset val="134"/>
      </rPr>
      <t>变动原因及合理性解释</t>
    </r>
    <phoneticPr fontId="10" type="noConversion"/>
  </si>
  <si>
    <r>
      <rPr>
        <sz val="10"/>
        <rFont val="宋体"/>
        <family val="3"/>
        <charset val="134"/>
      </rPr>
      <t>生产性生物资产净值</t>
    </r>
    <r>
      <rPr>
        <sz val="10"/>
        <rFont val="Arial Narrow"/>
        <family val="2"/>
      </rPr>
      <t>/</t>
    </r>
    <r>
      <rPr>
        <sz val="10"/>
        <rFont val="宋体"/>
        <family val="3"/>
        <charset val="134"/>
      </rPr>
      <t>总资产</t>
    </r>
    <phoneticPr fontId="10" type="noConversion"/>
  </si>
  <si>
    <r>
      <t>1</t>
    </r>
    <r>
      <rPr>
        <sz val="10"/>
        <color indexed="12"/>
        <rFont val="宋体"/>
        <family val="3"/>
        <charset val="134"/>
      </rPr>
      <t>、分析生产性生物资产的构成及其增减变动情况、增减变动原因，与现金流量表等相关信息交叉复核，检查生产性生物资产相关金额的合理性和准确性；</t>
    </r>
    <phoneticPr fontId="10" type="noConversion"/>
  </si>
  <si>
    <r>
      <t>2</t>
    </r>
    <r>
      <rPr>
        <sz val="10"/>
        <color indexed="12"/>
        <rFont val="宋体"/>
        <family val="3"/>
        <charset val="134"/>
      </rPr>
      <t>、分析本期末生产性生物资产减值准备数额占期末生产性生物资产原价的比率，并与期初数比较。</t>
    </r>
    <phoneticPr fontId="10" type="noConversion"/>
  </si>
  <si>
    <r>
      <rPr>
        <b/>
        <sz val="10"/>
        <rFont val="宋体"/>
        <family val="3"/>
        <charset val="134"/>
      </rPr>
      <t>二、样本选取标准与规模：</t>
    </r>
    <phoneticPr fontId="37" type="noConversion"/>
  </si>
  <si>
    <r>
      <rPr>
        <sz val="10"/>
        <rFont val="宋体"/>
        <family val="3"/>
        <charset val="134"/>
      </rPr>
      <t>测试总体：</t>
    </r>
    <phoneticPr fontId="10" type="noConversion"/>
  </si>
  <si>
    <r>
      <rPr>
        <sz val="10"/>
        <rFont val="宋体"/>
        <family val="3"/>
        <charset val="134"/>
      </rPr>
      <t>特定样本：</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</si>
  <si>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</si>
  <si>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</si>
  <si>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</si>
  <si>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</si>
  <si>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</si>
  <si>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</si>
  <si>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rFont val="宋体"/>
        <family val="3"/>
        <charset val="134"/>
      </rPr>
      <t>抽样方法：</t>
    </r>
    <phoneticPr fontId="10" type="noConversion"/>
  </si>
  <si>
    <r>
      <rPr>
        <sz val="10"/>
        <rFont val="宋体"/>
        <family val="3"/>
        <charset val="134"/>
      </rPr>
      <t>抽样过程：</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</si>
  <si>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</si>
  <si>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三、测试过程：</t>
    </r>
    <phoneticPr fontId="37" type="noConversion"/>
  </si>
  <si>
    <r>
      <rPr>
        <b/>
        <sz val="10"/>
        <rFont val="宋体"/>
        <family val="3"/>
        <charset val="134"/>
      </rPr>
      <t>生产性生物资产编号</t>
    </r>
    <phoneticPr fontId="10" type="noConversion"/>
  </si>
  <si>
    <r>
      <rPr>
        <b/>
        <sz val="10"/>
        <rFont val="宋体"/>
        <family val="3"/>
        <charset val="134"/>
      </rPr>
      <t>增加日期</t>
    </r>
    <phoneticPr fontId="10" type="noConversion"/>
  </si>
  <si>
    <r>
      <rPr>
        <b/>
        <sz val="10"/>
        <rFont val="宋体"/>
        <family val="3"/>
        <charset val="134"/>
      </rPr>
      <t>增加方式</t>
    </r>
    <phoneticPr fontId="10" type="noConversion"/>
  </si>
  <si>
    <r>
      <rPr>
        <b/>
        <sz val="10"/>
        <rFont val="宋体"/>
        <family val="3"/>
        <charset val="134"/>
      </rPr>
      <t>入账凭证号</t>
    </r>
    <phoneticPr fontId="10" type="noConversion"/>
  </si>
  <si>
    <r>
      <rPr>
        <b/>
        <sz val="10"/>
        <rFont val="宋体"/>
        <family val="3"/>
        <charset val="134"/>
      </rPr>
      <t>对方科目</t>
    </r>
    <phoneticPr fontId="10" type="noConversion"/>
  </si>
  <si>
    <r>
      <rPr>
        <b/>
        <sz val="10"/>
        <rFont val="宋体"/>
        <family val="3"/>
        <charset val="134"/>
      </rPr>
      <t>增加情况</t>
    </r>
    <phoneticPr fontId="10" type="noConversion"/>
  </si>
  <si>
    <r>
      <rPr>
        <b/>
        <sz val="10"/>
        <rFont val="宋体"/>
        <family val="3"/>
        <charset val="134"/>
      </rPr>
      <t>是否异常</t>
    </r>
    <phoneticPr fontId="10" type="noConversion"/>
  </si>
  <si>
    <r>
      <rPr>
        <b/>
        <sz val="10"/>
        <rFont val="宋体"/>
        <family val="3"/>
        <charset val="134"/>
      </rPr>
      <t>原值</t>
    </r>
    <phoneticPr fontId="10" type="noConversion"/>
  </si>
  <si>
    <r>
      <rPr>
        <b/>
        <sz val="10"/>
        <rFont val="宋体"/>
        <family val="3"/>
        <charset val="134"/>
      </rPr>
      <t>减值准备</t>
    </r>
    <phoneticPr fontId="10" type="noConversion"/>
  </si>
  <si>
    <r>
      <rPr>
        <b/>
        <sz val="10"/>
        <rFont val="宋体"/>
        <family val="3"/>
        <charset val="134"/>
      </rPr>
      <t>净值</t>
    </r>
    <phoneticPr fontId="10" type="noConversion"/>
  </si>
  <si>
    <r>
      <rPr>
        <b/>
        <sz val="10"/>
        <rFont val="宋体"/>
        <family val="3"/>
        <charset val="134"/>
      </rPr>
      <t>金额</t>
    </r>
    <phoneticPr fontId="10" type="noConversion"/>
  </si>
  <si>
    <r>
      <rPr>
        <b/>
        <sz val="10"/>
        <rFont val="宋体"/>
        <family val="3"/>
        <charset val="134"/>
      </rPr>
      <t>合计</t>
    </r>
    <phoneticPr fontId="10" type="noConversion"/>
  </si>
  <si>
    <r>
      <rPr>
        <b/>
        <sz val="10"/>
        <rFont val="宋体"/>
        <family val="3"/>
        <charset val="134"/>
      </rPr>
      <t>本期新增生产性生物资产合计</t>
    </r>
    <phoneticPr fontId="10" type="noConversion"/>
  </si>
  <si>
    <r>
      <rPr>
        <b/>
        <sz val="10"/>
        <rFont val="宋体"/>
        <family val="3"/>
        <charset val="134"/>
      </rPr>
      <t>四、审计说明：</t>
    </r>
    <phoneticPr fontId="37" type="noConversion"/>
  </si>
  <si>
    <r>
      <rPr>
        <b/>
        <sz val="10"/>
        <rFont val="宋体"/>
        <family val="3"/>
        <charset val="134"/>
      </rPr>
      <t>五、审计结论：</t>
    </r>
    <phoneticPr fontId="10" type="noConversion"/>
  </si>
  <si>
    <r>
      <t>1</t>
    </r>
    <r>
      <rPr>
        <sz val="10"/>
        <color indexed="12"/>
        <rFont val="宋体"/>
        <family val="3"/>
        <charset val="134"/>
      </rPr>
      <t>、本表用于汇总本年度增加生产性生物资产的测试情况。</t>
    </r>
    <phoneticPr fontId="10" type="noConversion"/>
  </si>
  <si>
    <r>
      <t>2</t>
    </r>
    <r>
      <rPr>
        <sz val="10"/>
        <color indexed="12"/>
        <rFont val="宋体"/>
        <family val="3"/>
        <charset val="134"/>
      </rPr>
      <t>、对于外购生产性生物资产，检查购货合同、发票、保险单、发运凭证等文件，抽查测试其计价是否正确，会计处理是否正确；如果购买生产性生物资产的价款超过正常信用条件延期支付，</t>
    </r>
    <phoneticPr fontId="10" type="noConversion"/>
  </si>
  <si>
    <r>
      <rPr>
        <sz val="10"/>
        <color indexed="12"/>
        <rFont val="宋体"/>
        <family val="3"/>
        <charset val="134"/>
      </rPr>
      <t>检查实质上是否具有融资性质，生产性生物资产的成本是否以购买价款的现值为基础确定。</t>
    </r>
    <phoneticPr fontId="10" type="noConversion"/>
  </si>
  <si>
    <r>
      <t>3</t>
    </r>
    <r>
      <rPr>
        <sz val="10"/>
        <color indexed="12"/>
        <rFont val="宋体"/>
        <family val="3"/>
        <charset val="134"/>
      </rPr>
      <t>、对于自行培育的生产性生物资产，检查增加的生产性生物资产原值是否真实。</t>
    </r>
    <phoneticPr fontId="10" type="noConversion"/>
  </si>
  <si>
    <r>
      <t>4</t>
    </r>
    <r>
      <rPr>
        <sz val="10"/>
        <color indexed="12"/>
        <rFont val="宋体"/>
        <family val="3"/>
        <charset val="134"/>
      </rPr>
      <t>、对于非货币性资产交换、债务重组、企业合并、投资者投入等交易方式取得的有关长期资产，检查相关合同</t>
    </r>
    <r>
      <rPr>
        <sz val="10"/>
        <color indexed="12"/>
        <rFont val="Arial Narrow"/>
        <family val="2"/>
      </rPr>
      <t>/</t>
    </r>
    <r>
      <rPr>
        <sz val="10"/>
        <color indexed="12"/>
        <rFont val="宋体"/>
        <family val="3"/>
        <charset val="134"/>
      </rPr>
      <t>协议，关注计价是否正确、移交手续是否办理以及会计处理是否正确。</t>
    </r>
    <phoneticPr fontId="10" type="noConversion"/>
  </si>
  <si>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</si>
  <si>
    <r>
      <rPr>
        <b/>
        <sz val="10"/>
        <rFont val="宋体"/>
        <family val="3"/>
        <charset val="134"/>
      </rPr>
      <t>一、审计目标：</t>
    </r>
    <r>
      <rPr>
        <sz val="10"/>
        <rFont val="Arial Narrow"/>
        <family val="2"/>
      </rPr>
      <t>1.</t>
    </r>
    <r>
      <rPr>
        <sz val="10"/>
        <rFont val="宋体"/>
        <family val="3"/>
        <charset val="134"/>
      </rPr>
      <t>资产负债表中记录的生产性生物资产是存在的，且已记录于恰当的账户；</t>
    </r>
    <r>
      <rPr>
        <sz val="10"/>
        <rFont val="Arial Narrow"/>
        <family val="2"/>
      </rPr>
      <t>2.</t>
    </r>
    <r>
      <rPr>
        <sz val="10"/>
        <rFont val="宋体"/>
        <family val="3"/>
        <charset val="134"/>
      </rPr>
      <t>所有应记录的生产性生物资产均已记录，所有应当包括在财务报表中的相关披露均已包括；</t>
    </r>
    <r>
      <rPr>
        <sz val="10"/>
        <rFont val="Arial Narrow"/>
        <family val="2"/>
      </rPr>
      <t>3.</t>
    </r>
    <r>
      <rPr>
        <sz val="10"/>
        <rFont val="宋体"/>
        <family val="3"/>
        <charset val="134"/>
      </rPr>
      <t>记录的生产性生物资产由被审计单位拥有或控制；</t>
    </r>
    <r>
      <rPr>
        <sz val="10"/>
        <rFont val="Arial Narrow"/>
        <family val="2"/>
      </rPr>
      <t>4.</t>
    </r>
    <r>
      <rPr>
        <sz val="10"/>
        <rFont val="宋体"/>
        <family val="3"/>
        <charset val="134"/>
      </rPr>
      <t>生产性生物资产以恰当的金额包括在财务报表中，与之相关的计价或分摊调整已恰当记录，相关披露已得到恰当计量和描述。</t>
    </r>
    <phoneticPr fontId="37" type="noConversion"/>
  </si>
  <si>
    <r>
      <rPr>
        <b/>
        <sz val="10"/>
        <rFont val="宋体"/>
        <family val="3"/>
        <charset val="134"/>
      </rPr>
      <t>二、样本选取标准与规模：</t>
    </r>
    <phoneticPr fontId="37" type="noConversion"/>
  </si>
  <si>
    <r>
      <rPr>
        <sz val="10"/>
        <rFont val="宋体"/>
        <family val="3"/>
        <charset val="134"/>
      </rPr>
      <t>特定样本：</t>
    </r>
    <phoneticPr fontId="10" type="noConversion"/>
  </si>
  <si>
    <r>
      <rPr>
        <sz val="10"/>
        <rFont val="宋体"/>
        <family val="3"/>
        <charset val="134"/>
      </rPr>
      <t>抽样总体：</t>
    </r>
    <phoneticPr fontId="10"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</si>
  <si>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</si>
  <si>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</si>
  <si>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抽样过程：</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</si>
  <si>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</si>
  <si>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三、测试：</t>
    </r>
    <phoneticPr fontId="37" type="noConversion"/>
  </si>
  <si>
    <r>
      <rPr>
        <b/>
        <sz val="10"/>
        <rFont val="宋体"/>
        <family val="3"/>
        <charset val="134"/>
      </rPr>
      <t>生产性生物资产类别类别</t>
    </r>
    <phoneticPr fontId="10" type="noConversion"/>
  </si>
  <si>
    <r>
      <rPr>
        <b/>
        <sz val="10"/>
        <rFont val="宋体"/>
        <family val="3"/>
        <charset val="134"/>
      </rPr>
      <t>生产性生物资产名称</t>
    </r>
    <phoneticPr fontId="10" type="noConversion"/>
  </si>
  <si>
    <r>
      <rPr>
        <b/>
        <sz val="10"/>
        <rFont val="宋体"/>
        <family val="3"/>
        <charset val="134"/>
      </rPr>
      <t>索引号</t>
    </r>
    <phoneticPr fontId="10" type="noConversion"/>
  </si>
  <si>
    <r>
      <rPr>
        <b/>
        <sz val="10"/>
        <rFont val="宋体"/>
        <family val="3"/>
        <charset val="134"/>
      </rPr>
      <t>是否异常</t>
    </r>
    <phoneticPr fontId="10" type="noConversion"/>
  </si>
  <si>
    <r>
      <rPr>
        <b/>
        <sz val="10"/>
        <rFont val="宋体"/>
        <family val="3"/>
        <charset val="134"/>
      </rPr>
      <t>期末余额</t>
    </r>
    <phoneticPr fontId="10" type="noConversion"/>
  </si>
  <si>
    <r>
      <rPr>
        <b/>
        <sz val="10"/>
        <rFont val="宋体"/>
        <family val="3"/>
        <charset val="134"/>
      </rPr>
      <t>日期</t>
    </r>
    <r>
      <rPr>
        <b/>
        <sz val="10"/>
        <rFont val="Arial Narrow"/>
        <family val="2"/>
      </rPr>
      <t>/</t>
    </r>
    <r>
      <rPr>
        <b/>
        <sz val="10"/>
        <rFont val="宋体"/>
        <family val="3"/>
        <charset val="134"/>
      </rPr>
      <t>编号</t>
    </r>
    <phoneticPr fontId="10" type="noConversion"/>
  </si>
  <si>
    <r>
      <rPr>
        <b/>
        <sz val="10"/>
        <rFont val="宋体"/>
        <family val="3"/>
        <charset val="134"/>
      </rPr>
      <t>本期新增生产性生物资产合计</t>
    </r>
  </si>
  <si>
    <r>
      <rPr>
        <b/>
        <sz val="10"/>
        <rFont val="宋体"/>
        <family val="3"/>
        <charset val="134"/>
      </rPr>
      <t>五、审计结论：</t>
    </r>
    <phoneticPr fontId="10" type="noConversion"/>
  </si>
  <si>
    <r>
      <t>1</t>
    </r>
    <r>
      <rPr>
        <sz val="10"/>
        <color indexed="12"/>
        <rFont val="宋体"/>
        <family val="3"/>
        <charset val="134"/>
      </rPr>
      <t>、本表用于汇总本年度增加、减少生产性生物资产的测试情况。</t>
    </r>
    <phoneticPr fontId="10" type="noConversion"/>
  </si>
  <si>
    <r>
      <rPr>
        <b/>
        <sz val="10"/>
        <rFont val="宋体"/>
        <family val="3"/>
        <charset val="134"/>
      </rPr>
      <t>二、样本选取标准与规模：</t>
    </r>
    <phoneticPr fontId="37"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</si>
  <si>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</si>
  <si>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</si>
  <si>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</si>
  <si>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</si>
  <si>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三、测试过程：</t>
    </r>
    <phoneticPr fontId="37" type="noConversion"/>
  </si>
  <si>
    <r>
      <rPr>
        <b/>
        <sz val="10"/>
        <rFont val="宋体"/>
        <family val="3"/>
        <charset val="134"/>
      </rPr>
      <t>减少日期</t>
    </r>
    <phoneticPr fontId="10" type="noConversion"/>
  </si>
  <si>
    <r>
      <rPr>
        <b/>
        <sz val="10"/>
        <rFont val="宋体"/>
        <family val="3"/>
        <charset val="134"/>
      </rPr>
      <t>凭证号</t>
    </r>
    <phoneticPr fontId="10" type="noConversion"/>
  </si>
  <si>
    <r>
      <rPr>
        <b/>
        <sz val="10"/>
        <rFont val="宋体"/>
        <family val="3"/>
        <charset val="134"/>
      </rPr>
      <t>对方科目</t>
    </r>
    <phoneticPr fontId="10" type="noConversion"/>
  </si>
  <si>
    <r>
      <t>1</t>
    </r>
    <r>
      <rPr>
        <sz val="10"/>
        <color indexed="12"/>
        <rFont val="宋体"/>
        <family val="3"/>
        <charset val="134"/>
      </rPr>
      <t>、本表用于汇总本年度减少生产性生物资产的测试情况。</t>
    </r>
    <phoneticPr fontId="10" type="noConversion"/>
  </si>
  <si>
    <r>
      <t>2</t>
    </r>
    <r>
      <rPr>
        <sz val="10"/>
        <color indexed="12"/>
        <rFont val="宋体"/>
        <family val="3"/>
        <charset val="134"/>
      </rPr>
      <t>、检查当年减少的生产性生物资产的销账情况，减少的生产性生物资产产生的损益是否及时记入营业外收支科目，账务处理是否与减少生产性生物资产的授权批准文件一致。</t>
    </r>
    <phoneticPr fontId="10" type="noConversion"/>
  </si>
  <si>
    <r>
      <t>3</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0" type="noConversion"/>
  </si>
  <si>
    <r>
      <rPr>
        <b/>
        <sz val="10"/>
        <rFont val="宋体"/>
        <family val="3"/>
        <charset val="134"/>
      </rPr>
      <t>一、审计目标：</t>
    </r>
    <r>
      <rPr>
        <sz val="10"/>
        <rFont val="Arial Narrow"/>
        <family val="2"/>
      </rPr>
      <t xml:space="preserve">1. </t>
    </r>
    <r>
      <rPr>
        <sz val="10"/>
        <rFont val="宋体"/>
        <family val="3"/>
        <charset val="134"/>
      </rPr>
      <t>资产负债表中记录的生产性生物资产是存在的，且已记录于恰当的账户；</t>
    </r>
    <r>
      <rPr>
        <sz val="10"/>
        <rFont val="Arial Narrow"/>
        <family val="2"/>
      </rPr>
      <t xml:space="preserve">2. </t>
    </r>
    <r>
      <rPr>
        <sz val="10"/>
        <rFont val="宋体"/>
        <family val="3"/>
        <charset val="134"/>
      </rPr>
      <t>所有应记录的生产性生物资产均已记录，所有应当包括在财务报表中的相关披露均已包括；</t>
    </r>
    <r>
      <rPr>
        <sz val="10"/>
        <rFont val="Arial Narrow"/>
        <family val="2"/>
      </rPr>
      <t xml:space="preserve">3. </t>
    </r>
    <r>
      <rPr>
        <sz val="10"/>
        <rFont val="宋体"/>
        <family val="3"/>
        <charset val="134"/>
      </rPr>
      <t>生产性生物资产以恰当的金额包括在财务报表中，与之相关的计价或分摊调整已恰当记录，相关披露已得到恰当计量和描述。</t>
    </r>
    <phoneticPr fontId="37" type="noConversion"/>
  </si>
  <si>
    <r>
      <rPr>
        <sz val="10"/>
        <rFont val="宋体"/>
        <family val="3"/>
        <charset val="134"/>
      </rPr>
      <t>测试总体：</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</si>
  <si>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</si>
  <si>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</si>
  <si>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</si>
  <si>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</si>
  <si>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抽样方法：</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</si>
  <si>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</si>
  <si>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三、测试：</t>
    </r>
    <phoneticPr fontId="37" type="noConversion"/>
  </si>
  <si>
    <r>
      <rPr>
        <b/>
        <sz val="10"/>
        <rFont val="宋体"/>
        <family val="3"/>
        <charset val="134"/>
      </rPr>
      <t>减少方式</t>
    </r>
    <phoneticPr fontId="10" type="noConversion"/>
  </si>
  <si>
    <r>
      <rPr>
        <b/>
        <sz val="10"/>
        <rFont val="宋体"/>
        <family val="3"/>
        <charset val="134"/>
      </rPr>
      <t>减少情况</t>
    </r>
    <phoneticPr fontId="10" type="noConversion"/>
  </si>
  <si>
    <r>
      <rPr>
        <b/>
        <sz val="10"/>
        <rFont val="宋体"/>
        <family val="3"/>
        <charset val="134"/>
      </rPr>
      <t>付款审批单</t>
    </r>
    <phoneticPr fontId="10" type="noConversion"/>
  </si>
  <si>
    <r>
      <rPr>
        <b/>
        <sz val="10"/>
        <rFont val="宋体"/>
        <family val="3"/>
        <charset val="134"/>
      </rPr>
      <t>合同</t>
    </r>
    <r>
      <rPr>
        <b/>
        <sz val="10"/>
        <rFont val="Arial Narrow"/>
        <family val="2"/>
      </rPr>
      <t>/</t>
    </r>
    <r>
      <rPr>
        <b/>
        <sz val="10"/>
        <rFont val="宋体"/>
        <family val="3"/>
        <charset val="134"/>
      </rPr>
      <t>协议</t>
    </r>
    <r>
      <rPr>
        <b/>
        <sz val="10"/>
        <rFont val="Arial Narrow"/>
        <family val="2"/>
      </rPr>
      <t>/</t>
    </r>
    <r>
      <rPr>
        <b/>
        <sz val="10"/>
        <rFont val="宋体"/>
        <family val="3"/>
        <charset val="134"/>
      </rPr>
      <t>订单</t>
    </r>
    <phoneticPr fontId="10" type="noConversion"/>
  </si>
  <si>
    <r>
      <rPr>
        <b/>
        <sz val="10"/>
        <rFont val="宋体"/>
        <family val="3"/>
        <charset val="134"/>
      </rPr>
      <t>索引号</t>
    </r>
    <phoneticPr fontId="10" type="noConversion"/>
  </si>
  <si>
    <r>
      <rPr>
        <b/>
        <sz val="10"/>
        <rFont val="宋体"/>
        <family val="3"/>
        <charset val="134"/>
      </rPr>
      <t>公允价值变动</t>
    </r>
    <phoneticPr fontId="10" type="noConversion"/>
  </si>
  <si>
    <r>
      <rPr>
        <b/>
        <sz val="10"/>
        <rFont val="宋体"/>
        <family val="3"/>
        <charset val="134"/>
      </rPr>
      <t>日期</t>
    </r>
    <r>
      <rPr>
        <b/>
        <sz val="10"/>
        <rFont val="Arial Narrow"/>
        <family val="2"/>
      </rPr>
      <t>/</t>
    </r>
    <r>
      <rPr>
        <b/>
        <sz val="10"/>
        <rFont val="宋体"/>
        <family val="3"/>
        <charset val="134"/>
      </rPr>
      <t>编号</t>
    </r>
    <phoneticPr fontId="10" type="noConversion"/>
  </si>
  <si>
    <r>
      <rPr>
        <sz val="10"/>
        <color rgb="FF0000FF"/>
        <rFont val="宋体"/>
        <family val="3"/>
        <charset val="134"/>
      </rPr>
      <t>检查的关键证据和要素根据被审计单位具体情况修改</t>
    </r>
    <phoneticPr fontId="10" type="noConversion"/>
  </si>
  <si>
    <r>
      <t>1</t>
    </r>
    <r>
      <rPr>
        <sz val="10"/>
        <color indexed="12"/>
        <rFont val="宋体"/>
        <family val="3"/>
        <charset val="134"/>
      </rPr>
      <t>、本表用于汇总本年度增加、减少生产性生物资产的测试情况。</t>
    </r>
  </si>
  <si>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0" type="noConversion"/>
  </si>
  <si>
    <r>
      <rPr>
        <b/>
        <sz val="10"/>
        <rFont val="宋体"/>
        <family val="3"/>
        <charset val="134"/>
      </rPr>
      <t>被审计单位名称：</t>
    </r>
    <r>
      <rPr>
        <b/>
        <u/>
        <sz val="10"/>
        <rFont val="Arial Narrow"/>
        <family val="2"/>
      </rPr>
      <t xml:space="preserve">                         </t>
    </r>
    <r>
      <rPr>
        <b/>
        <sz val="10"/>
        <rFont val="Arial Narrow"/>
        <family val="2"/>
      </rPr>
      <t xml:space="preserve">   </t>
    </r>
    <phoneticPr fontId="10" type="noConversion"/>
  </si>
  <si>
    <r>
      <rPr>
        <b/>
        <sz val="10"/>
        <rFont val="宋体"/>
        <family val="3"/>
        <charset val="134"/>
      </rPr>
      <t>审计目标：</t>
    </r>
    <r>
      <rPr>
        <b/>
        <sz val="10"/>
        <rFont val="Arial Narrow"/>
        <family val="2"/>
      </rPr>
      <t xml:space="preserve">                       </t>
    </r>
    <phoneticPr fontId="10" type="noConversion"/>
  </si>
  <si>
    <r>
      <rPr>
        <b/>
        <sz val="10"/>
        <rFont val="宋体"/>
        <family val="3"/>
        <charset val="134"/>
      </rPr>
      <t>一、确定的生产性生物资产存在性认定可能存在重大错报的风险程度：</t>
    </r>
    <phoneticPr fontId="10" type="noConversion"/>
  </si>
  <si>
    <r>
      <rPr>
        <b/>
        <sz val="10"/>
        <rFont val="宋体"/>
        <family val="3"/>
        <charset val="134"/>
      </rPr>
      <t>二、了解被审计单位生产性生物资产期末状况与管理规定：</t>
    </r>
    <phoneticPr fontId="10" type="noConversion"/>
  </si>
  <si>
    <r>
      <rPr>
        <b/>
        <sz val="10"/>
        <rFont val="宋体"/>
        <family val="3"/>
        <charset val="134"/>
      </rPr>
      <t>（一）生产性生物资产的期末状况：</t>
    </r>
    <phoneticPr fontId="10" type="noConversion"/>
  </si>
  <si>
    <r>
      <t xml:space="preserve">  1</t>
    </r>
    <r>
      <rPr>
        <sz val="10"/>
        <rFont val="宋体"/>
        <family val="3"/>
        <charset val="134"/>
      </rPr>
      <t>．期末余额：</t>
    </r>
    <r>
      <rPr>
        <u/>
        <sz val="10"/>
        <rFont val="Arial Narrow"/>
        <family val="2"/>
      </rPr>
      <t xml:space="preserve">                 </t>
    </r>
    <r>
      <rPr>
        <sz val="10"/>
        <rFont val="Arial Narrow"/>
        <family val="2"/>
      </rPr>
      <t xml:space="preserve"> </t>
    </r>
    <phoneticPr fontId="10" type="noConversion"/>
  </si>
  <si>
    <r>
      <rPr>
        <sz val="10"/>
        <rFont val="宋体"/>
        <family val="3"/>
        <charset val="134"/>
      </rPr>
      <t>提取的减值准备金额：</t>
    </r>
    <r>
      <rPr>
        <sz val="10"/>
        <rFont val="Arial Narrow"/>
        <family val="2"/>
      </rPr>
      <t xml:space="preserve">              </t>
    </r>
    <phoneticPr fontId="10" type="noConversion"/>
  </si>
  <si>
    <r>
      <t xml:space="preserve">  2</t>
    </r>
    <r>
      <rPr>
        <sz val="10"/>
        <rFont val="宋体"/>
        <family val="3"/>
        <charset val="134"/>
      </rPr>
      <t>．大类生产性生物资产金额情况：</t>
    </r>
    <phoneticPr fontId="10" type="noConversion"/>
  </si>
  <si>
    <r>
      <rPr>
        <b/>
        <sz val="10"/>
        <rFont val="宋体"/>
        <family val="3"/>
        <charset val="134"/>
      </rPr>
      <t>类别</t>
    </r>
    <phoneticPr fontId="10" type="noConversion"/>
  </si>
  <si>
    <r>
      <rPr>
        <b/>
        <sz val="10"/>
        <rFont val="宋体"/>
        <family val="3"/>
        <charset val="134"/>
      </rPr>
      <t>期末余额</t>
    </r>
  </si>
  <si>
    <r>
      <rPr>
        <b/>
        <sz val="10"/>
        <rFont val="宋体"/>
        <family val="3"/>
        <charset val="134"/>
      </rPr>
      <t>减值准备</t>
    </r>
    <phoneticPr fontId="10" type="noConversion"/>
  </si>
  <si>
    <r>
      <rPr>
        <b/>
        <sz val="10"/>
        <rFont val="宋体"/>
        <family val="3"/>
        <charset val="134"/>
      </rPr>
      <t>账面净值</t>
    </r>
  </si>
  <si>
    <r>
      <t xml:space="preserve">  3</t>
    </r>
    <r>
      <rPr>
        <sz val="10"/>
        <rFont val="宋体"/>
        <family val="3"/>
        <charset val="134"/>
      </rPr>
      <t>．期末资产数量：</t>
    </r>
    <phoneticPr fontId="10" type="noConversion"/>
  </si>
  <si>
    <r>
      <rPr>
        <b/>
        <sz val="10"/>
        <rFont val="宋体"/>
        <family val="3"/>
        <charset val="134"/>
      </rPr>
      <t>类</t>
    </r>
    <r>
      <rPr>
        <b/>
        <sz val="10"/>
        <rFont val="Arial Narrow"/>
        <family val="2"/>
      </rPr>
      <t xml:space="preserve">   </t>
    </r>
    <r>
      <rPr>
        <b/>
        <sz val="10"/>
        <rFont val="宋体"/>
        <family val="3"/>
        <charset val="134"/>
      </rPr>
      <t>别</t>
    </r>
    <phoneticPr fontId="10" type="noConversion"/>
  </si>
  <si>
    <r>
      <rPr>
        <b/>
        <sz val="10"/>
        <rFont val="宋体"/>
        <family val="3"/>
        <charset val="134"/>
      </rPr>
      <t>计量单位</t>
    </r>
  </si>
  <si>
    <r>
      <rPr>
        <b/>
        <sz val="10"/>
        <rFont val="宋体"/>
        <family val="3"/>
        <charset val="134"/>
      </rPr>
      <t>数量</t>
    </r>
    <phoneticPr fontId="10" type="noConversion"/>
  </si>
  <si>
    <r>
      <rPr>
        <b/>
        <sz val="10"/>
        <rFont val="宋体"/>
        <family val="3"/>
        <charset val="134"/>
      </rPr>
      <t>说明</t>
    </r>
    <phoneticPr fontId="10" type="noConversion"/>
  </si>
  <si>
    <r>
      <t xml:space="preserve">  4</t>
    </r>
    <r>
      <rPr>
        <sz val="10"/>
        <rFont val="宋体"/>
        <family val="3"/>
        <charset val="134"/>
      </rPr>
      <t>．资产存放地点：</t>
    </r>
    <phoneticPr fontId="10" type="noConversion"/>
  </si>
  <si>
    <r>
      <rPr>
        <b/>
        <sz val="10"/>
        <rFont val="宋体"/>
        <family val="3"/>
        <charset val="134"/>
      </rPr>
      <t>类</t>
    </r>
    <r>
      <rPr>
        <b/>
        <sz val="10"/>
        <rFont val="Arial Narrow"/>
        <family val="2"/>
      </rPr>
      <t xml:space="preserve">   </t>
    </r>
    <r>
      <rPr>
        <b/>
        <sz val="10"/>
        <rFont val="宋体"/>
        <family val="3"/>
        <charset val="134"/>
      </rPr>
      <t>别</t>
    </r>
    <phoneticPr fontId="10" type="noConversion"/>
  </si>
  <si>
    <r>
      <rPr>
        <b/>
        <sz val="10"/>
        <rFont val="宋体"/>
        <family val="3"/>
        <charset val="134"/>
      </rPr>
      <t>仓库（或场所）</t>
    </r>
  </si>
  <si>
    <r>
      <rPr>
        <b/>
        <sz val="10"/>
        <rFont val="宋体"/>
        <family val="3"/>
        <charset val="134"/>
      </rPr>
      <t>地点</t>
    </r>
    <phoneticPr fontId="10" type="noConversion"/>
  </si>
  <si>
    <r>
      <rPr>
        <b/>
        <sz val="10"/>
        <rFont val="宋体"/>
        <family val="3"/>
        <charset val="134"/>
      </rPr>
      <t>说明</t>
    </r>
    <phoneticPr fontId="10" type="noConversion"/>
  </si>
  <si>
    <r>
      <rPr>
        <b/>
        <sz val="10"/>
        <rFont val="宋体"/>
        <family val="3"/>
        <charset val="134"/>
      </rPr>
      <t>（二）企业定期盘点内部控制制度与执行情况：</t>
    </r>
  </si>
  <si>
    <r>
      <t>1</t>
    </r>
    <r>
      <rPr>
        <sz val="10"/>
        <rFont val="宋体"/>
        <family val="3"/>
        <charset val="134"/>
      </rPr>
      <t>．制度名称：</t>
    </r>
    <r>
      <rPr>
        <b/>
        <sz val="10"/>
        <color indexed="12"/>
        <rFont val="宋体"/>
        <family val="3"/>
        <charset val="134"/>
      </rPr>
      <t>（提示：按企业内部控制制度名称填写</t>
    </r>
    <r>
      <rPr>
        <b/>
        <sz val="10"/>
        <rFont val="宋体"/>
        <family val="3"/>
        <charset val="134"/>
      </rPr>
      <t>）</t>
    </r>
    <r>
      <rPr>
        <b/>
        <sz val="10"/>
        <rFont val="Arial Narrow"/>
        <family val="2"/>
      </rPr>
      <t xml:space="preserve">   </t>
    </r>
    <r>
      <rPr>
        <sz val="10"/>
        <rFont val="宋体"/>
        <family val="3"/>
        <charset val="134"/>
      </rPr>
      <t>索引号：（</t>
    </r>
    <r>
      <rPr>
        <sz val="10"/>
        <rFont val="Arial Narrow"/>
        <family val="2"/>
      </rPr>
      <t xml:space="preserve">                </t>
    </r>
    <r>
      <rPr>
        <sz val="10"/>
        <rFont val="宋体"/>
        <family val="3"/>
        <charset val="134"/>
      </rPr>
      <t>）</t>
    </r>
    <phoneticPr fontId="10" type="noConversion"/>
  </si>
  <si>
    <r>
      <rPr>
        <sz val="10"/>
        <rFont val="宋体"/>
        <family val="3"/>
        <charset val="134"/>
      </rPr>
      <t>（</t>
    </r>
    <r>
      <rPr>
        <sz val="10"/>
        <rFont val="Arial Narrow"/>
        <family val="2"/>
      </rPr>
      <t>1</t>
    </r>
    <r>
      <rPr>
        <sz val="10"/>
        <rFont val="宋体"/>
        <family val="3"/>
        <charset val="134"/>
      </rPr>
      <t>）规定盘点的时间与次数：</t>
    </r>
    <r>
      <rPr>
        <u/>
        <sz val="10"/>
        <rFont val="Arial Narrow"/>
        <family val="2"/>
      </rPr>
      <t xml:space="preserve">                                   </t>
    </r>
    <phoneticPr fontId="10" type="noConversion"/>
  </si>
  <si>
    <r>
      <rPr>
        <sz val="10"/>
        <rFont val="宋体"/>
        <family val="3"/>
        <charset val="134"/>
      </rPr>
      <t>（</t>
    </r>
    <r>
      <rPr>
        <sz val="10"/>
        <rFont val="Arial Narrow"/>
        <family val="2"/>
      </rPr>
      <t>2</t>
    </r>
    <r>
      <rPr>
        <sz val="10"/>
        <rFont val="宋体"/>
        <family val="3"/>
        <charset val="134"/>
      </rPr>
      <t>）负责盘点的部门：</t>
    </r>
    <r>
      <rPr>
        <u/>
        <sz val="10"/>
        <rFont val="Arial Narrow"/>
        <family val="2"/>
      </rPr>
      <t xml:space="preserve">                 </t>
    </r>
    <r>
      <rPr>
        <sz val="10"/>
        <rFont val="Arial Narrow"/>
        <family val="2"/>
      </rPr>
      <t xml:space="preserve"> </t>
    </r>
    <phoneticPr fontId="10" type="noConversion"/>
  </si>
  <si>
    <r>
      <rPr>
        <sz val="10"/>
        <rFont val="宋体"/>
        <family val="3"/>
        <charset val="134"/>
      </rPr>
      <t>负责人：</t>
    </r>
    <r>
      <rPr>
        <sz val="10"/>
        <rFont val="Arial Narrow"/>
        <family val="2"/>
      </rPr>
      <t xml:space="preserve">               </t>
    </r>
  </si>
  <si>
    <r>
      <rPr>
        <sz val="10"/>
        <color indexed="12"/>
        <rFont val="宋体"/>
        <family val="3"/>
        <charset val="134"/>
      </rPr>
      <t>（提示：如制度规定与实际执行不一致的，应按制度规定与实际负责的部门分别填写）</t>
    </r>
    <phoneticPr fontId="10" type="noConversion"/>
  </si>
  <si>
    <r>
      <t>2</t>
    </r>
    <r>
      <rPr>
        <sz val="10"/>
        <rFont val="宋体"/>
        <family val="3"/>
        <charset val="134"/>
      </rPr>
      <t>．企业实际盘点情况：</t>
    </r>
  </si>
  <si>
    <r>
      <rPr>
        <sz val="10"/>
        <rFont val="宋体"/>
        <family val="3"/>
        <charset val="134"/>
      </rPr>
      <t>（</t>
    </r>
    <r>
      <rPr>
        <sz val="10"/>
        <rFont val="Arial Narrow"/>
        <family val="2"/>
      </rPr>
      <t>1</t>
    </r>
    <r>
      <rPr>
        <sz val="10"/>
        <rFont val="宋体"/>
        <family val="3"/>
        <charset val="134"/>
      </rPr>
      <t>）盘点计划安排：</t>
    </r>
    <r>
      <rPr>
        <u/>
        <sz val="10"/>
        <rFont val="Arial Narrow"/>
        <family val="2"/>
      </rPr>
      <t xml:space="preserve">                                                      </t>
    </r>
  </si>
  <si>
    <r>
      <rPr>
        <sz val="10"/>
        <rFont val="宋体"/>
        <family val="3"/>
        <charset val="134"/>
      </rPr>
      <t>（</t>
    </r>
    <r>
      <rPr>
        <sz val="10"/>
        <rFont val="Arial Narrow"/>
        <family val="2"/>
      </rPr>
      <t>2</t>
    </r>
    <r>
      <rPr>
        <sz val="10"/>
        <rFont val="宋体"/>
        <family val="3"/>
        <charset val="134"/>
      </rPr>
      <t>）盘点会议情况：</t>
    </r>
    <r>
      <rPr>
        <u/>
        <sz val="10"/>
        <rFont val="Arial Narrow"/>
        <family val="2"/>
      </rPr>
      <t xml:space="preserve">                                                      </t>
    </r>
  </si>
  <si>
    <r>
      <rPr>
        <sz val="10"/>
        <rFont val="宋体"/>
        <family val="3"/>
        <charset val="134"/>
      </rPr>
      <t>（</t>
    </r>
    <r>
      <rPr>
        <sz val="10"/>
        <rFont val="Arial Narrow"/>
        <family val="2"/>
      </rPr>
      <t>3</t>
    </r>
    <r>
      <rPr>
        <sz val="10"/>
        <rFont val="宋体"/>
        <family val="3"/>
        <charset val="134"/>
      </rPr>
      <t>）预计安排的盘点人员数量：</t>
    </r>
    <r>
      <rPr>
        <u/>
        <sz val="10"/>
        <rFont val="Arial Narrow"/>
        <family val="2"/>
      </rPr>
      <t xml:space="preserve">                      </t>
    </r>
    <r>
      <rPr>
        <sz val="10"/>
        <rFont val="Arial Narrow"/>
        <family val="2"/>
      </rPr>
      <t xml:space="preserve">   </t>
    </r>
    <phoneticPr fontId="10" type="noConversion"/>
  </si>
  <si>
    <r>
      <rPr>
        <sz val="10"/>
        <rFont val="宋体"/>
        <family val="3"/>
        <charset val="134"/>
      </rPr>
      <t>（</t>
    </r>
    <r>
      <rPr>
        <sz val="10"/>
        <rFont val="Arial Narrow"/>
        <family val="2"/>
      </rPr>
      <t>4</t>
    </r>
    <r>
      <rPr>
        <sz val="10"/>
        <rFont val="宋体"/>
        <family val="3"/>
        <charset val="134"/>
      </rPr>
      <t>）对企业盘点计划的评价：</t>
    </r>
  </si>
  <si>
    <r>
      <rPr>
        <b/>
        <sz val="10"/>
        <rFont val="宋体"/>
        <family val="3"/>
        <charset val="134"/>
      </rPr>
      <t>（三）查阅以前年度工作底稿记录：</t>
    </r>
  </si>
  <si>
    <r>
      <t xml:space="preserve"> 1</t>
    </r>
    <r>
      <rPr>
        <sz val="10"/>
        <rFont val="宋体"/>
        <family val="3"/>
        <charset val="134"/>
      </rPr>
      <t>．上一年度监盘时间：</t>
    </r>
    <r>
      <rPr>
        <u/>
        <sz val="10"/>
        <rFont val="Arial Narrow"/>
        <family val="2"/>
      </rPr>
      <t xml:space="preserve">                  </t>
    </r>
    <r>
      <rPr>
        <sz val="10"/>
        <rFont val="Arial Narrow"/>
        <family val="2"/>
      </rPr>
      <t xml:space="preserve"> </t>
    </r>
    <phoneticPr fontId="10" type="noConversion"/>
  </si>
  <si>
    <r>
      <rPr>
        <sz val="10"/>
        <rFont val="宋体"/>
        <family val="3"/>
        <charset val="134"/>
      </rPr>
      <t>实施监盘的人员：</t>
    </r>
    <r>
      <rPr>
        <sz val="10"/>
        <rFont val="Arial Narrow"/>
        <family val="2"/>
      </rPr>
      <t xml:space="preserve">                </t>
    </r>
  </si>
  <si>
    <r>
      <t xml:space="preserve"> 2</t>
    </r>
    <r>
      <rPr>
        <sz val="10"/>
        <rFont val="宋体"/>
        <family val="3"/>
        <charset val="134"/>
      </rPr>
      <t>．抽盘的生产性生物资产范围：</t>
    </r>
    <r>
      <rPr>
        <sz val="10"/>
        <rFont val="Arial Narrow"/>
        <family val="2"/>
      </rPr>
      <t xml:space="preserve">                                  </t>
    </r>
    <phoneticPr fontId="10" type="noConversion"/>
  </si>
  <si>
    <r>
      <rPr>
        <sz val="10"/>
        <rFont val="宋体"/>
        <family val="3"/>
        <charset val="134"/>
      </rPr>
      <t>抽盘比例：</t>
    </r>
    <r>
      <rPr>
        <sz val="10"/>
        <rFont val="Arial Narrow"/>
        <family val="2"/>
      </rPr>
      <t xml:space="preserve">         </t>
    </r>
  </si>
  <si>
    <r>
      <t xml:space="preserve"> 3</t>
    </r>
    <r>
      <rPr>
        <sz val="10"/>
        <rFont val="宋体"/>
        <family val="3"/>
        <charset val="134"/>
      </rPr>
      <t>．实施监盘中发现的问题与存在的不足：</t>
    </r>
    <r>
      <rPr>
        <u/>
        <sz val="10"/>
        <rFont val="Arial Narrow"/>
        <family val="2"/>
      </rPr>
      <t xml:space="preserve">                                   </t>
    </r>
  </si>
  <si>
    <r>
      <rPr>
        <sz val="10"/>
        <color indexed="12"/>
        <rFont val="宋体"/>
        <family val="3"/>
        <charset val="134"/>
      </rPr>
      <t>（提示：上年度如是本所实施监盘的，应当查阅上一年度工作底稿；如不是本所实施审计的，应当在与前任会计师实施沟通程序中安排本项沟通内容。）</t>
    </r>
    <phoneticPr fontId="10" type="noConversion"/>
  </si>
  <si>
    <r>
      <rPr>
        <b/>
        <sz val="10"/>
        <rFont val="宋体"/>
        <family val="3"/>
        <charset val="134"/>
      </rPr>
      <t>三、评估审计人员的专业胜任能力：</t>
    </r>
    <phoneticPr fontId="10" type="noConversion"/>
  </si>
  <si>
    <r>
      <rPr>
        <sz val="10"/>
        <color indexed="12"/>
        <rFont val="宋体"/>
        <family val="3"/>
        <charset val="134"/>
      </rPr>
      <t>提示：针对特殊类型的存货，应当评估审计人员是否具备专业胜任能力</t>
    </r>
    <phoneticPr fontId="10" type="noConversion"/>
  </si>
  <si>
    <r>
      <rPr>
        <b/>
        <sz val="10"/>
        <rFont val="宋体"/>
        <family val="3"/>
        <charset val="134"/>
      </rPr>
      <t>四、盘点计划安排：</t>
    </r>
    <phoneticPr fontId="10" type="noConversion"/>
  </si>
  <si>
    <r>
      <rPr>
        <sz val="10"/>
        <rFont val="宋体"/>
        <family val="3"/>
        <charset val="134"/>
      </rPr>
      <t>（一）预计监盘时间：</t>
    </r>
    <r>
      <rPr>
        <u/>
        <sz val="10"/>
        <rFont val="Arial Narrow"/>
        <family val="2"/>
      </rPr>
      <t xml:space="preserve">                    </t>
    </r>
  </si>
  <si>
    <r>
      <rPr>
        <sz val="10"/>
        <rFont val="宋体"/>
        <family val="3"/>
        <charset val="134"/>
      </rPr>
      <t>（二）预计安排监盘人员数量：</t>
    </r>
    <r>
      <rPr>
        <u/>
        <sz val="10"/>
        <rFont val="Arial Narrow"/>
        <family val="2"/>
      </rPr>
      <t xml:space="preserve">              </t>
    </r>
    <r>
      <rPr>
        <sz val="10"/>
        <rFont val="Arial Narrow"/>
        <family val="2"/>
      </rPr>
      <t xml:space="preserve">    </t>
    </r>
    <phoneticPr fontId="10" type="noConversion"/>
  </si>
  <si>
    <r>
      <rPr>
        <sz val="10"/>
        <rFont val="宋体"/>
        <family val="3"/>
        <charset val="134"/>
      </rPr>
      <t>监盘程序负责人：</t>
    </r>
    <r>
      <rPr>
        <sz val="10"/>
        <rFont val="Arial Narrow"/>
        <family val="2"/>
      </rPr>
      <t xml:space="preserve">          </t>
    </r>
  </si>
  <si>
    <r>
      <rPr>
        <sz val="10"/>
        <rFont val="宋体"/>
        <family val="3"/>
        <charset val="134"/>
      </rPr>
      <t>（三）预计监盘的生产性生物资产范围：</t>
    </r>
    <phoneticPr fontId="10" type="noConversion"/>
  </si>
  <si>
    <r>
      <t xml:space="preserve">  1</t>
    </r>
    <r>
      <rPr>
        <sz val="10"/>
        <rFont val="宋体"/>
        <family val="3"/>
        <charset val="134"/>
      </rPr>
      <t>．类别范围：</t>
    </r>
    <r>
      <rPr>
        <u/>
        <sz val="10"/>
        <rFont val="Arial Narrow"/>
        <family val="2"/>
      </rPr>
      <t xml:space="preserve">                                                           </t>
    </r>
  </si>
  <si>
    <r>
      <t xml:space="preserve">  2</t>
    </r>
    <r>
      <rPr>
        <sz val="10"/>
        <rFont val="宋体"/>
        <family val="3"/>
        <charset val="134"/>
      </rPr>
      <t>．地点范围：</t>
    </r>
    <r>
      <rPr>
        <u/>
        <sz val="10"/>
        <rFont val="Arial Narrow"/>
        <family val="2"/>
      </rPr>
      <t xml:space="preserve">                                                           </t>
    </r>
  </si>
  <si>
    <r>
      <rPr>
        <sz val="10"/>
        <rFont val="宋体"/>
        <family val="3"/>
        <charset val="134"/>
      </rPr>
      <t>（四）拟实施的盘点方法：</t>
    </r>
  </si>
  <si>
    <r>
      <rPr>
        <sz val="10"/>
        <rFont val="宋体"/>
        <family val="3"/>
        <charset val="134"/>
      </rPr>
      <t>（五）就监盘计划与管理层沟通事项</t>
    </r>
  </si>
  <si>
    <r>
      <t xml:space="preserve">  1</t>
    </r>
    <r>
      <rPr>
        <sz val="10"/>
        <rFont val="宋体"/>
        <family val="3"/>
        <charset val="134"/>
      </rPr>
      <t>．时间：</t>
    </r>
    <r>
      <rPr>
        <u/>
        <sz val="10"/>
        <rFont val="Arial Narrow"/>
        <family val="2"/>
      </rPr>
      <t xml:space="preserve">                 </t>
    </r>
    <r>
      <rPr>
        <sz val="10"/>
        <rFont val="Arial Narrow"/>
        <family val="2"/>
      </rPr>
      <t xml:space="preserve">       </t>
    </r>
    <phoneticPr fontId="10" type="noConversion"/>
  </si>
  <si>
    <r>
      <t xml:space="preserve"> 2.</t>
    </r>
    <r>
      <rPr>
        <sz val="10"/>
        <rFont val="宋体"/>
        <family val="3"/>
        <charset val="134"/>
      </rPr>
      <t>管理层人员：</t>
    </r>
    <r>
      <rPr>
        <sz val="10"/>
        <rFont val="Arial Narrow"/>
        <family val="2"/>
      </rPr>
      <t xml:space="preserve">                       </t>
    </r>
    <phoneticPr fontId="10" type="noConversion"/>
  </si>
  <si>
    <r>
      <t xml:space="preserve">  3</t>
    </r>
    <r>
      <rPr>
        <sz val="10"/>
        <rFont val="宋体"/>
        <family val="3"/>
        <charset val="134"/>
      </rPr>
      <t>．审计小组参与人员：</t>
    </r>
    <r>
      <rPr>
        <u/>
        <sz val="10"/>
        <rFont val="Arial Narrow"/>
        <family val="2"/>
      </rPr>
      <t xml:space="preserve">                                                   </t>
    </r>
  </si>
  <si>
    <r>
      <rPr>
        <sz val="10"/>
        <rFont val="宋体"/>
        <family val="3"/>
        <charset val="134"/>
      </rPr>
      <t>（六）针对被审计单位具体情况，需要向管理层提出的监盘的特殊要求：</t>
    </r>
  </si>
  <si>
    <r>
      <rPr>
        <sz val="10"/>
        <rFont val="宋体"/>
        <family val="3"/>
        <charset val="134"/>
      </rPr>
      <t>（七）预计监盘中抽取样本的方法与数量</t>
    </r>
  </si>
  <si>
    <r>
      <t xml:space="preserve">  1</t>
    </r>
    <r>
      <rPr>
        <sz val="10"/>
        <rFont val="宋体"/>
        <family val="3"/>
        <charset val="134"/>
      </rPr>
      <t>．从会计明细账簿中选取样本的方法：</t>
    </r>
    <r>
      <rPr>
        <u/>
        <sz val="10"/>
        <rFont val="Arial Narrow"/>
        <family val="2"/>
      </rPr>
      <t xml:space="preserve">          </t>
    </r>
    <r>
      <rPr>
        <sz val="10.5"/>
        <rFont val="仿宋_GB2312"/>
        <family val="3"/>
        <charset val="134"/>
      </rPr>
      <t/>
    </r>
    <phoneticPr fontId="10" type="noConversion"/>
  </si>
  <si>
    <r>
      <rPr>
        <sz val="10"/>
        <rFont val="宋体"/>
        <family val="3"/>
        <charset val="134"/>
      </rPr>
      <t>预计选取数量：</t>
    </r>
    <r>
      <rPr>
        <sz val="10"/>
        <rFont val="Arial Narrow"/>
        <family val="2"/>
      </rPr>
      <t xml:space="preserve">            </t>
    </r>
  </si>
  <si>
    <r>
      <t xml:space="preserve">  2</t>
    </r>
    <r>
      <rPr>
        <sz val="10"/>
        <rFont val="宋体"/>
        <family val="3"/>
        <charset val="134"/>
      </rPr>
      <t>．从实际生产性生物资产中选取样本的方法：</t>
    </r>
    <r>
      <rPr>
        <u/>
        <sz val="10"/>
        <rFont val="Arial Narrow"/>
        <family val="2"/>
      </rPr>
      <t xml:space="preserve">          </t>
    </r>
    <r>
      <rPr>
        <sz val="10.5"/>
        <rFont val="仿宋_GB2312"/>
        <family val="3"/>
        <charset val="134"/>
      </rPr>
      <t/>
    </r>
    <phoneticPr fontId="10" type="noConversion"/>
  </si>
  <si>
    <r>
      <rPr>
        <sz val="10"/>
        <rFont val="宋体"/>
        <family val="3"/>
        <charset val="134"/>
      </rPr>
      <t>（八）实际监盘时点至资产负债表日的推算方法：</t>
    </r>
  </si>
  <si>
    <r>
      <t xml:space="preserve">  1</t>
    </r>
    <r>
      <rPr>
        <sz val="10"/>
        <rFont val="宋体"/>
        <family val="3"/>
        <charset val="134"/>
      </rPr>
      <t>．推断方法说明：</t>
    </r>
    <r>
      <rPr>
        <sz val="10"/>
        <rFont val="Arial Narrow"/>
        <family val="2"/>
      </rPr>
      <t xml:space="preserve">                                                      </t>
    </r>
  </si>
  <si>
    <r>
      <t xml:space="preserve">  2</t>
    </r>
    <r>
      <rPr>
        <sz val="10"/>
        <rFont val="宋体"/>
        <family val="3"/>
        <charset val="134"/>
      </rPr>
      <t>．预计拟要求的盘点复盘比例：</t>
    </r>
    <r>
      <rPr>
        <sz val="10"/>
        <rFont val="Arial Narrow"/>
        <family val="2"/>
      </rPr>
      <t xml:space="preserve">               </t>
    </r>
  </si>
  <si>
    <r>
      <rPr>
        <b/>
        <sz val="10"/>
        <rFont val="宋体"/>
        <family val="3"/>
        <charset val="134"/>
      </rPr>
      <t>一、审计目标：</t>
    </r>
    <phoneticPr fontId="37" type="noConversion"/>
  </si>
  <si>
    <r>
      <t>3.</t>
    </r>
    <r>
      <rPr>
        <sz val="10"/>
        <rFont val="宋体"/>
        <family val="3"/>
        <charset val="134"/>
      </rPr>
      <t>生产性生物资产产以恰当的金额包括在财务报表中，与之相关的计价或分摊调整已恰当记录，相关披露已得到恰当计量和描述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0" type="noConversion"/>
  </si>
  <si>
    <r>
      <rPr>
        <b/>
        <sz val="10"/>
        <rFont val="宋体"/>
        <family val="3"/>
        <charset val="134"/>
      </rPr>
      <t>二、样本选取标准与规模：</t>
    </r>
    <phoneticPr fontId="37" type="noConversion"/>
  </si>
  <si>
    <r>
      <rPr>
        <sz val="10"/>
        <rFont val="宋体"/>
        <family val="3"/>
        <charset val="134"/>
      </rPr>
      <t>特定样本：</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</si>
  <si>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</si>
  <si>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</si>
  <si>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</si>
  <si>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</si>
  <si>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</si>
  <si>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抽样过程：</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</si>
  <si>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</si>
  <si>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三、审计过程：</t>
    </r>
    <phoneticPr fontId="37" type="noConversion"/>
  </si>
  <si>
    <r>
      <rPr>
        <b/>
        <sz val="10"/>
        <rFont val="宋体"/>
        <family val="3"/>
        <charset val="134"/>
      </rPr>
      <t>（一）从生产性生物资产盘点记录中选取项目追查至生产性生物资产实物</t>
    </r>
    <phoneticPr fontId="10" type="noConversion"/>
  </si>
  <si>
    <r>
      <rPr>
        <b/>
        <sz val="10"/>
        <rFont val="宋体"/>
        <family val="3"/>
        <charset val="134"/>
      </rPr>
      <t>生产性生物资产名称</t>
    </r>
    <r>
      <rPr>
        <b/>
        <sz val="10"/>
        <rFont val="Arial Narrow"/>
        <family val="2"/>
      </rPr>
      <t>/</t>
    </r>
    <r>
      <rPr>
        <b/>
        <sz val="10"/>
        <rFont val="宋体"/>
        <family val="3"/>
        <charset val="134"/>
      </rPr>
      <t>类别</t>
    </r>
    <phoneticPr fontId="10" type="noConversion"/>
  </si>
  <si>
    <r>
      <rPr>
        <b/>
        <sz val="10"/>
        <rFont val="宋体"/>
        <family val="3"/>
        <charset val="134"/>
      </rPr>
      <t>资产编号</t>
    </r>
    <phoneticPr fontId="10" type="noConversion"/>
  </si>
  <si>
    <r>
      <rPr>
        <b/>
        <sz val="10"/>
        <rFont val="宋体"/>
        <family val="3"/>
        <charset val="134"/>
      </rPr>
      <t>规格</t>
    </r>
    <phoneticPr fontId="10" type="noConversion"/>
  </si>
  <si>
    <r>
      <rPr>
        <b/>
        <sz val="10"/>
        <rFont val="宋体"/>
        <family val="3"/>
        <charset val="134"/>
      </rPr>
      <t>单位</t>
    </r>
    <phoneticPr fontId="10" type="noConversion"/>
  </si>
  <si>
    <r>
      <rPr>
        <b/>
        <sz val="10"/>
        <rFont val="宋体"/>
        <family val="3"/>
        <charset val="134"/>
      </rPr>
      <t>单价</t>
    </r>
    <phoneticPr fontId="10" type="noConversion"/>
  </si>
  <si>
    <r>
      <rPr>
        <b/>
        <sz val="10"/>
        <rFont val="宋体"/>
        <family val="3"/>
        <charset val="134"/>
      </rPr>
      <t>企业盘点记录数量</t>
    </r>
    <phoneticPr fontId="10"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</si>
  <si>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10" type="noConversion"/>
  </si>
  <si>
    <r>
      <rPr>
        <b/>
        <sz val="10"/>
        <rFont val="宋体"/>
        <family val="3"/>
        <charset val="134"/>
      </rPr>
      <t>抽盘与企业盘点差异</t>
    </r>
    <phoneticPr fontId="10" type="noConversion"/>
  </si>
  <si>
    <r>
      <rPr>
        <b/>
        <sz val="10"/>
        <rFont val="宋体"/>
        <family val="3"/>
        <charset val="134"/>
      </rPr>
      <t>企业盘点与账面差异</t>
    </r>
    <phoneticPr fontId="10" type="noConversion"/>
  </si>
  <si>
    <r>
      <rPr>
        <b/>
        <sz val="10"/>
        <rFont val="宋体"/>
        <family val="3"/>
        <charset val="134"/>
      </rPr>
      <t>品质状况（正常</t>
    </r>
    <r>
      <rPr>
        <b/>
        <sz val="10"/>
        <rFont val="Arial Narrow"/>
        <family val="2"/>
      </rPr>
      <t>/</t>
    </r>
    <r>
      <rPr>
        <b/>
        <sz val="10"/>
        <rFont val="宋体"/>
        <family val="3"/>
        <charset val="134"/>
      </rPr>
      <t>残次</t>
    </r>
    <r>
      <rPr>
        <b/>
        <sz val="10"/>
        <rFont val="Arial Narrow"/>
        <family val="2"/>
      </rPr>
      <t>/</t>
    </r>
    <r>
      <rPr>
        <b/>
        <sz val="10"/>
        <rFont val="宋体"/>
        <family val="3"/>
        <charset val="134"/>
      </rPr>
      <t>毁损</t>
    </r>
    <r>
      <rPr>
        <b/>
        <sz val="10"/>
        <rFont val="Arial Narrow"/>
        <family val="2"/>
      </rPr>
      <t>/</t>
    </r>
    <r>
      <rPr>
        <b/>
        <sz val="10"/>
        <rFont val="宋体"/>
        <family val="3"/>
        <charset val="134"/>
      </rPr>
      <t>滞销等）</t>
    </r>
    <phoneticPr fontId="10" type="noConversion"/>
  </si>
  <si>
    <r>
      <rPr>
        <b/>
        <sz val="10"/>
        <rFont val="宋体"/>
        <family val="3"/>
        <charset val="134"/>
      </rPr>
      <t>合计</t>
    </r>
    <phoneticPr fontId="10" type="noConversion"/>
  </si>
  <si>
    <r>
      <rPr>
        <b/>
        <sz val="10"/>
        <rFont val="宋体"/>
        <family val="3"/>
        <charset val="134"/>
      </rPr>
      <t>期末生产性生物资产原值合计：</t>
    </r>
    <phoneticPr fontId="10"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</si>
  <si>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10" type="noConversion"/>
  </si>
  <si>
    <r>
      <rPr>
        <b/>
        <sz val="10"/>
        <rFont val="宋体"/>
        <family val="3"/>
        <charset val="134"/>
      </rPr>
      <t>（二）从生产性生物资产实物中选取项目追查至生产性生物资产盘点记录</t>
    </r>
    <phoneticPr fontId="10" type="noConversion"/>
  </si>
  <si>
    <r>
      <rPr>
        <b/>
        <sz val="10"/>
        <rFont val="宋体"/>
        <family val="3"/>
        <charset val="134"/>
      </rPr>
      <t>生产性生物资产名称</t>
    </r>
    <r>
      <rPr>
        <b/>
        <sz val="10"/>
        <rFont val="Arial Narrow"/>
        <family val="2"/>
      </rPr>
      <t>/</t>
    </r>
    <r>
      <rPr>
        <b/>
        <sz val="10"/>
        <rFont val="宋体"/>
        <family val="3"/>
        <charset val="134"/>
      </rPr>
      <t>类别</t>
    </r>
    <phoneticPr fontId="10" type="noConversion"/>
  </si>
  <si>
    <r>
      <rPr>
        <b/>
        <sz val="10"/>
        <rFont val="宋体"/>
        <family val="3"/>
        <charset val="134"/>
      </rPr>
      <t>抽盘数量</t>
    </r>
    <phoneticPr fontId="10" type="noConversion"/>
  </si>
  <si>
    <r>
      <rPr>
        <b/>
        <sz val="10"/>
        <rFont val="宋体"/>
        <family val="3"/>
        <charset val="134"/>
      </rPr>
      <t>抽盘与企业盘点差异</t>
    </r>
    <phoneticPr fontId="10" type="noConversion"/>
  </si>
  <si>
    <r>
      <rPr>
        <b/>
        <sz val="10"/>
        <rFont val="宋体"/>
        <family val="3"/>
        <charset val="134"/>
      </rPr>
      <t>企业盘点与账面差异</t>
    </r>
    <phoneticPr fontId="10" type="noConversion"/>
  </si>
  <si>
    <r>
      <rPr>
        <b/>
        <sz val="10"/>
        <rFont val="宋体"/>
        <family val="3"/>
        <charset val="134"/>
      </rPr>
      <t>合计</t>
    </r>
    <phoneticPr fontId="10" type="noConversion"/>
  </si>
  <si>
    <r>
      <rPr>
        <b/>
        <sz val="10"/>
        <rFont val="宋体"/>
        <family val="3"/>
        <charset val="134"/>
      </rPr>
      <t>期末生产性生物资产原值合计：</t>
    </r>
    <phoneticPr fontId="10"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</si>
  <si>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10" type="noConversion"/>
  </si>
  <si>
    <r>
      <rPr>
        <b/>
        <sz val="10"/>
        <rFont val="宋体"/>
        <family val="3"/>
        <charset val="134"/>
      </rPr>
      <t>四、审计说明：</t>
    </r>
    <phoneticPr fontId="10" type="noConversion"/>
  </si>
  <si>
    <r>
      <rPr>
        <sz val="10"/>
        <rFont val="宋体"/>
        <family val="3"/>
        <charset val="134"/>
      </rPr>
      <t>（</t>
    </r>
    <r>
      <rPr>
        <sz val="10"/>
        <rFont val="Arial Narrow"/>
        <family val="2"/>
      </rPr>
      <t>1</t>
    </r>
    <r>
      <rPr>
        <sz val="10"/>
        <rFont val="宋体"/>
        <family val="3"/>
        <charset val="134"/>
      </rPr>
      <t>）备忘录详见</t>
    </r>
    <r>
      <rPr>
        <sz val="10"/>
        <rFont val="Arial Narrow"/>
        <family val="2"/>
      </rPr>
      <t>“</t>
    </r>
    <r>
      <rPr>
        <sz val="10"/>
        <rFont val="宋体"/>
        <family val="3"/>
        <charset val="134"/>
      </rPr>
      <t>生产性生物资产盘点实地监盘备忘录</t>
    </r>
    <r>
      <rPr>
        <sz val="10"/>
        <rFont val="Arial Narrow"/>
        <family val="2"/>
      </rPr>
      <t>”</t>
    </r>
    <r>
      <rPr>
        <sz val="10"/>
        <rFont val="宋体"/>
        <family val="3"/>
        <charset val="134"/>
      </rPr>
      <t>。</t>
    </r>
    <phoneticPr fontId="10" type="noConversion"/>
  </si>
  <si>
    <r>
      <t>1</t>
    </r>
    <r>
      <rPr>
        <sz val="10"/>
        <color indexed="12"/>
        <rFont val="宋体"/>
        <family val="3"/>
        <charset val="134"/>
      </rPr>
      <t>、本表可作为生产性生物资产盘点汇总表或盘点明细表或生产性生物资产抽盘表。</t>
    </r>
    <phoneticPr fontId="10" type="noConversion"/>
  </si>
  <si>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</si>
  <si>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rPr>
        <b/>
        <sz val="10"/>
        <rFont val="宋体"/>
        <family val="3"/>
        <charset val="134"/>
      </rPr>
      <t>二、主要资产存放情况：</t>
    </r>
    <phoneticPr fontId="10" type="noConversion"/>
  </si>
  <si>
    <r>
      <rPr>
        <b/>
        <sz val="10"/>
        <rFont val="宋体"/>
        <family val="3"/>
        <charset val="134"/>
      </rPr>
      <t>序号</t>
    </r>
    <phoneticPr fontId="10" type="noConversion"/>
  </si>
  <si>
    <r>
      <rPr>
        <b/>
        <sz val="10"/>
        <rFont val="宋体"/>
        <family val="3"/>
        <charset val="134"/>
      </rPr>
      <t>资产类别</t>
    </r>
    <phoneticPr fontId="10" type="noConversion"/>
  </si>
  <si>
    <r>
      <rPr>
        <b/>
        <sz val="10"/>
        <rFont val="宋体"/>
        <family val="3"/>
        <charset val="134"/>
      </rPr>
      <t>资产名称</t>
    </r>
    <phoneticPr fontId="10" type="noConversion"/>
  </si>
  <si>
    <r>
      <rPr>
        <b/>
        <sz val="10"/>
        <rFont val="宋体"/>
        <family val="3"/>
        <charset val="134"/>
      </rPr>
      <t>存放地点</t>
    </r>
    <phoneticPr fontId="10" type="noConversion"/>
  </si>
  <si>
    <r>
      <rPr>
        <b/>
        <sz val="10"/>
        <rFont val="宋体"/>
        <family val="3"/>
        <charset val="134"/>
      </rPr>
      <t>项目</t>
    </r>
    <phoneticPr fontId="10" type="noConversion"/>
  </si>
  <si>
    <r>
      <rPr>
        <sz val="10"/>
        <rFont val="宋体"/>
        <family val="3"/>
        <charset val="134"/>
      </rPr>
      <t>资产管理部门：</t>
    </r>
    <phoneticPr fontId="10" type="noConversion"/>
  </si>
  <si>
    <r>
      <rPr>
        <sz val="10"/>
        <rFont val="宋体"/>
        <family val="3"/>
        <charset val="134"/>
      </rPr>
      <t>管理人员：</t>
    </r>
    <phoneticPr fontId="10" type="noConversion"/>
  </si>
  <si>
    <r>
      <rPr>
        <sz val="10"/>
        <rFont val="宋体"/>
        <family val="3"/>
        <charset val="134"/>
      </rPr>
      <t>资产是否具有管理标识：</t>
    </r>
    <phoneticPr fontId="10" type="noConversion"/>
  </si>
  <si>
    <r>
      <rPr>
        <sz val="10"/>
        <rFont val="宋体"/>
        <family val="3"/>
        <charset val="134"/>
      </rPr>
      <t>资产是否具有定期保养制度：</t>
    </r>
    <phoneticPr fontId="10" type="noConversion"/>
  </si>
  <si>
    <r>
      <rPr>
        <sz val="10"/>
        <rFont val="宋体"/>
        <family val="3"/>
        <charset val="134"/>
      </rPr>
      <t>资产明细账（卡）是否完整：</t>
    </r>
    <phoneticPr fontId="10" type="noConversion"/>
  </si>
  <si>
    <r>
      <rPr>
        <sz val="10"/>
        <rFont val="宋体"/>
        <family val="3"/>
        <charset val="134"/>
      </rPr>
      <t>资产明细账（卡）的各项记录是否完整：</t>
    </r>
    <phoneticPr fontId="10" type="noConversion"/>
  </si>
  <si>
    <r>
      <t>1</t>
    </r>
    <r>
      <rPr>
        <b/>
        <sz val="10"/>
        <rFont val="宋体"/>
        <family val="3"/>
        <charset val="134"/>
      </rPr>
      <t>．</t>
    </r>
    <r>
      <rPr>
        <b/>
        <sz val="10"/>
        <rFont val="Arial Narrow"/>
        <family val="2"/>
      </rPr>
      <t xml:space="preserve"> </t>
    </r>
    <r>
      <rPr>
        <b/>
        <sz val="10"/>
        <rFont val="宋体"/>
        <family val="3"/>
        <charset val="134"/>
      </rPr>
      <t>被审计单位的人员：</t>
    </r>
    <r>
      <rPr>
        <b/>
        <sz val="10"/>
        <rFont val="Arial Narrow"/>
        <family val="2"/>
      </rPr>
      <t xml:space="preserve">      </t>
    </r>
    <phoneticPr fontId="10" type="noConversion"/>
  </si>
  <si>
    <r>
      <rPr>
        <b/>
        <sz val="10"/>
        <rFont val="宋体"/>
        <family val="3"/>
        <charset val="134"/>
      </rPr>
      <t>盘点人员所属部门</t>
    </r>
    <phoneticPr fontId="10" type="noConversion"/>
  </si>
  <si>
    <r>
      <rPr>
        <b/>
        <sz val="10"/>
        <rFont val="宋体"/>
        <family val="3"/>
        <charset val="134"/>
      </rPr>
      <t>人员数量</t>
    </r>
    <phoneticPr fontId="10" type="noConversion"/>
  </si>
  <si>
    <r>
      <rPr>
        <b/>
        <sz val="10"/>
        <rFont val="宋体"/>
        <family val="3"/>
        <charset val="134"/>
      </rPr>
      <t>人员名称</t>
    </r>
    <phoneticPr fontId="10" type="noConversion"/>
  </si>
  <si>
    <r>
      <rPr>
        <b/>
        <sz val="10"/>
        <rFont val="宋体"/>
        <family val="3"/>
        <charset val="134"/>
      </rPr>
      <t>所负责的部分</t>
    </r>
    <phoneticPr fontId="10" type="noConversion"/>
  </si>
  <si>
    <r>
      <rPr>
        <b/>
        <sz val="10"/>
        <rFont val="宋体"/>
        <family val="3"/>
        <charset val="134"/>
      </rPr>
      <t>负责的部分</t>
    </r>
    <phoneticPr fontId="10" type="noConversion"/>
  </si>
  <si>
    <r>
      <rPr>
        <sz val="10"/>
        <rFont val="宋体"/>
        <family val="3"/>
        <charset val="134"/>
      </rPr>
      <t>（</t>
    </r>
    <r>
      <rPr>
        <sz val="10"/>
        <rFont val="Arial Narrow"/>
        <family val="2"/>
      </rPr>
      <t>1</t>
    </r>
    <r>
      <rPr>
        <sz val="10"/>
        <rFont val="宋体"/>
        <family val="3"/>
        <charset val="134"/>
      </rPr>
      <t>）资产明细账（卡）</t>
    </r>
    <r>
      <rPr>
        <sz val="10"/>
        <rFont val="Arial Narrow"/>
        <family val="2"/>
      </rPr>
      <t xml:space="preserve"> </t>
    </r>
    <r>
      <rPr>
        <sz val="10"/>
        <rFont val="宋体"/>
        <family val="3"/>
        <charset val="134"/>
      </rPr>
      <t>是否获取：</t>
    </r>
    <r>
      <rPr>
        <sz val="10"/>
        <rFont val="Arial Narrow"/>
        <family val="2"/>
      </rPr>
      <t xml:space="preserve">   </t>
    </r>
    <r>
      <rPr>
        <u/>
        <sz val="10"/>
        <rFont val="Arial Narrow"/>
        <family val="2"/>
      </rPr>
      <t xml:space="preserve">            </t>
    </r>
    <r>
      <rPr>
        <sz val="10"/>
        <rFont val="宋体"/>
        <family val="3"/>
        <charset val="134"/>
      </rPr>
      <t/>
    </r>
    <phoneticPr fontId="10" type="noConversion"/>
  </si>
  <si>
    <r>
      <t xml:space="preserve"> </t>
    </r>
    <r>
      <rPr>
        <sz val="10"/>
        <rFont val="宋体"/>
        <family val="3"/>
        <charset val="134"/>
      </rPr>
      <t>索引：</t>
    </r>
    <phoneticPr fontId="10" type="noConversion"/>
  </si>
  <si>
    <r>
      <rPr>
        <sz val="10"/>
        <rFont val="宋体"/>
        <family val="3"/>
        <charset val="134"/>
      </rPr>
      <t>（</t>
    </r>
    <r>
      <rPr>
        <sz val="10"/>
        <rFont val="Arial Narrow"/>
        <family val="2"/>
      </rPr>
      <t>2</t>
    </r>
    <r>
      <rPr>
        <sz val="10"/>
        <rFont val="宋体"/>
        <family val="3"/>
        <charset val="134"/>
      </rPr>
      <t>）生产性生物资产管理制度</t>
    </r>
    <r>
      <rPr>
        <sz val="10"/>
        <rFont val="Arial Narrow"/>
        <family val="2"/>
      </rPr>
      <t xml:space="preserve"> </t>
    </r>
    <r>
      <rPr>
        <sz val="10"/>
        <rFont val="宋体"/>
        <family val="3"/>
        <charset val="134"/>
      </rPr>
      <t>是否获取：</t>
    </r>
    <phoneticPr fontId="10" type="noConversion"/>
  </si>
  <si>
    <r>
      <rPr>
        <sz val="10"/>
        <rFont val="宋体"/>
        <family val="3"/>
        <charset val="134"/>
      </rPr>
      <t>（</t>
    </r>
    <r>
      <rPr>
        <sz val="10"/>
        <rFont val="Arial Narrow"/>
        <family val="2"/>
      </rPr>
      <t>3</t>
    </r>
    <r>
      <rPr>
        <sz val="10"/>
        <rFont val="宋体"/>
        <family val="3"/>
        <charset val="134"/>
      </rPr>
      <t>）获取或编制资产位置简图：</t>
    </r>
    <r>
      <rPr>
        <u/>
        <sz val="10"/>
        <rFont val="宋体"/>
        <family val="3"/>
        <charset val="134"/>
      </rPr>
      <t/>
    </r>
    <phoneticPr fontId="10" type="noConversion"/>
  </si>
  <si>
    <r>
      <t xml:space="preserve"> </t>
    </r>
    <r>
      <rPr>
        <sz val="10"/>
        <rFont val="宋体"/>
        <family val="3"/>
        <charset val="134"/>
      </rPr>
      <t>索引：</t>
    </r>
    <phoneticPr fontId="10" type="noConversion"/>
  </si>
  <si>
    <r>
      <rPr>
        <sz val="10"/>
        <rFont val="宋体"/>
        <family val="3"/>
        <charset val="134"/>
      </rPr>
      <t>实际监盘（盘点）日：</t>
    </r>
    <r>
      <rPr>
        <u/>
        <sz val="10"/>
        <rFont val="宋体"/>
        <family val="3"/>
        <charset val="134"/>
      </rPr>
      <t/>
    </r>
    <phoneticPr fontId="10" type="noConversion"/>
  </si>
  <si>
    <r>
      <rPr>
        <sz val="10"/>
        <rFont val="宋体"/>
        <family val="3"/>
        <charset val="134"/>
      </rPr>
      <t>开始时间：</t>
    </r>
    <phoneticPr fontId="10"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</si>
  <si>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</si>
  <si>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姓名：</t>
    </r>
    <r>
      <rPr>
        <sz val="10"/>
        <rFont val="Arial Narrow"/>
        <family val="2"/>
      </rPr>
      <t xml:space="preserve">            </t>
    </r>
    <phoneticPr fontId="10"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</si>
  <si>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</si>
  <si>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姓名：</t>
    </r>
    <r>
      <rPr>
        <sz val="10"/>
        <rFont val="Arial Narrow"/>
        <family val="2"/>
      </rPr>
      <t xml:space="preserve">            </t>
    </r>
    <phoneticPr fontId="10" type="noConversion"/>
  </si>
  <si>
    <r>
      <t xml:space="preserve"> </t>
    </r>
    <r>
      <rPr>
        <sz val="10"/>
        <rFont val="宋体"/>
        <family val="3"/>
        <charset val="134"/>
      </rPr>
      <t>盘点人员共分</t>
    </r>
    <r>
      <rPr>
        <sz val="10"/>
        <rFont val="Arial Narrow"/>
        <family val="2"/>
      </rPr>
      <t xml:space="preserve"> </t>
    </r>
    <r>
      <rPr>
        <u/>
        <sz val="10"/>
        <rFont val="Arial Narrow"/>
        <family val="2"/>
      </rPr>
      <t xml:space="preserve">          </t>
    </r>
    <phoneticPr fontId="10" type="noConversion"/>
  </si>
  <si>
    <r>
      <rPr>
        <sz val="10"/>
        <rFont val="宋体"/>
        <family val="3"/>
        <charset val="134"/>
      </rPr>
      <t>点数并报出类别、标识，</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</si>
  <si>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第二组：</t>
    </r>
    <r>
      <rPr>
        <u/>
        <sz val="10"/>
        <rFont val="宋体"/>
        <family val="3"/>
        <charset val="134"/>
      </rPr>
      <t/>
    </r>
    <phoneticPr fontId="10" type="noConversion"/>
  </si>
  <si>
    <r>
      <rPr>
        <sz val="10"/>
        <rFont val="宋体"/>
        <family val="3"/>
        <charset val="134"/>
      </rPr>
      <t>点数并报出类别、标识，</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</si>
  <si>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第三组：</t>
    </r>
    <r>
      <rPr>
        <u/>
        <sz val="10"/>
        <rFont val="宋体"/>
        <family val="3"/>
        <charset val="134"/>
      </rPr>
      <t/>
    </r>
    <phoneticPr fontId="10" type="noConversion"/>
  </si>
  <si>
    <r>
      <t>2</t>
    </r>
    <r>
      <rPr>
        <sz val="10"/>
        <rFont val="宋体"/>
        <family val="3"/>
        <charset val="134"/>
      </rPr>
      <t>．第一组：</t>
    </r>
    <r>
      <rPr>
        <u/>
        <sz val="10"/>
        <rFont val="Arial Narrow"/>
        <family val="2"/>
      </rPr>
      <t xml:space="preserve">               </t>
    </r>
    <r>
      <rPr>
        <sz val="10"/>
        <rFont val="Arial Narrow"/>
        <family val="2"/>
      </rPr>
      <t xml:space="preserve">  </t>
    </r>
    <r>
      <rPr>
        <u/>
        <sz val="10"/>
        <rFont val="Arial Narrow"/>
        <family val="2"/>
      </rPr>
      <t xml:space="preserve">                 </t>
    </r>
    <phoneticPr fontId="10" type="noConversion"/>
  </si>
  <si>
    <r>
      <rPr>
        <sz val="10"/>
        <rFont val="宋体"/>
        <family val="3"/>
        <charset val="134"/>
      </rPr>
      <t>负责监盘的生产性生物资产类别：</t>
    </r>
    <phoneticPr fontId="10" type="noConversion"/>
  </si>
  <si>
    <r>
      <t xml:space="preserve">   </t>
    </r>
    <r>
      <rPr>
        <sz val="10"/>
        <rFont val="宋体"/>
        <family val="3"/>
        <charset val="134"/>
      </rPr>
      <t>第二组：</t>
    </r>
    <r>
      <rPr>
        <u/>
        <sz val="10"/>
        <rFont val="Arial Narrow"/>
        <family val="2"/>
      </rPr>
      <t xml:space="preserve">               </t>
    </r>
    <r>
      <rPr>
        <sz val="10"/>
        <rFont val="Arial Narrow"/>
        <family val="2"/>
      </rPr>
      <t xml:space="preserve">  </t>
    </r>
    <phoneticPr fontId="10" type="noConversion"/>
  </si>
  <si>
    <r>
      <rPr>
        <sz val="10"/>
        <rFont val="宋体"/>
        <family val="3"/>
        <charset val="134"/>
      </rPr>
      <t>负责监盘的生产性生物资产类别：</t>
    </r>
    <phoneticPr fontId="10" type="noConversion"/>
  </si>
  <si>
    <r>
      <rPr>
        <sz val="10"/>
        <rFont val="宋体"/>
        <family val="3"/>
        <charset val="134"/>
      </rPr>
      <t>点数并报出类别、标识，</t>
    </r>
    <r>
      <rPr>
        <sz val="10"/>
        <rFont val="Arial Narrow"/>
        <family val="2"/>
      </rPr>
      <t xml:space="preserve">   </t>
    </r>
    <r>
      <rPr>
        <u/>
        <sz val="10"/>
        <rFont val="Arial Narrow"/>
        <family val="2"/>
      </rPr>
      <t xml:space="preserve">              </t>
    </r>
    <r>
      <rPr>
        <sz val="10"/>
        <rFont val="Arial Narrow"/>
        <family val="2"/>
      </rPr>
      <t xml:space="preserve"> </t>
    </r>
    <phoneticPr fontId="10" type="noConversion"/>
  </si>
  <si>
    <r>
      <t xml:space="preserve">   </t>
    </r>
    <r>
      <rPr>
        <sz val="10"/>
        <rFont val="宋体"/>
        <family val="3"/>
        <charset val="134"/>
      </rPr>
      <t>第三组：</t>
    </r>
    <r>
      <rPr>
        <u/>
        <sz val="10"/>
        <rFont val="Arial Narrow"/>
        <family val="2"/>
      </rPr>
      <t xml:space="preserve">               </t>
    </r>
    <r>
      <rPr>
        <sz val="10"/>
        <rFont val="Arial Narrow"/>
        <family val="2"/>
      </rPr>
      <t xml:space="preserve">  </t>
    </r>
    <phoneticPr fontId="10" type="noConversion"/>
  </si>
  <si>
    <r>
      <t xml:space="preserve">3. </t>
    </r>
    <r>
      <rPr>
        <sz val="10"/>
        <rFont val="宋体"/>
        <family val="3"/>
        <charset val="134"/>
      </rPr>
      <t>生产性生物资产是否停止流动</t>
    </r>
    <r>
      <rPr>
        <u/>
        <sz val="10"/>
        <rFont val="Arial Narrow"/>
        <family val="2"/>
      </rPr>
      <t xml:space="preserve">                                     </t>
    </r>
    <phoneticPr fontId="10" type="noConversion"/>
  </si>
  <si>
    <r>
      <rPr>
        <sz val="10"/>
        <rFont val="宋体"/>
        <family val="3"/>
        <charset val="134"/>
      </rPr>
      <t>上述人员在盘点过程中，除</t>
    </r>
    <r>
      <rPr>
        <u/>
        <sz val="10"/>
        <rFont val="Arial Narrow"/>
        <family val="2"/>
      </rPr>
      <t xml:space="preserve">        </t>
    </r>
    <phoneticPr fontId="10" type="noConversion"/>
  </si>
  <si>
    <r>
      <rPr>
        <sz val="10"/>
        <rFont val="宋体"/>
        <family val="3"/>
        <charset val="134"/>
      </rPr>
      <t>（三）审计人员实际抽盘情况</t>
    </r>
    <r>
      <rPr>
        <sz val="10"/>
        <rFont val="Arial Narrow"/>
        <family val="2"/>
      </rPr>
      <t xml:space="preserve">                              </t>
    </r>
    <r>
      <rPr>
        <u/>
        <sz val="10"/>
        <rFont val="Arial Narrow"/>
        <family val="2"/>
      </rPr>
      <t xml:space="preserve">         </t>
    </r>
    <phoneticPr fontId="10" type="noConversion"/>
  </si>
  <si>
    <r>
      <rPr>
        <sz val="10"/>
        <rFont val="宋体"/>
        <family val="3"/>
        <charset val="134"/>
      </rPr>
      <t>底稿索引：</t>
    </r>
    <phoneticPr fontId="10" type="noConversion"/>
  </si>
  <si>
    <r>
      <rPr>
        <sz val="10"/>
        <rFont val="宋体"/>
        <family val="3"/>
        <charset val="134"/>
      </rPr>
      <t>（</t>
    </r>
    <r>
      <rPr>
        <sz val="10"/>
        <rFont val="Arial Narrow"/>
        <family val="2"/>
      </rPr>
      <t>1</t>
    </r>
    <r>
      <rPr>
        <sz val="10"/>
        <rFont val="宋体"/>
        <family val="3"/>
        <charset val="134"/>
      </rPr>
      <t>）相同生产性生物资产是否具有可供识别的管理标识，并能清晰区分：</t>
    </r>
    <r>
      <rPr>
        <sz val="10"/>
        <rFont val="Arial Narrow"/>
        <family val="2"/>
      </rPr>
      <t xml:space="preserve"> </t>
    </r>
    <phoneticPr fontId="10" type="noConversion"/>
  </si>
  <si>
    <r>
      <t xml:space="preserve">     </t>
    </r>
    <r>
      <rPr>
        <sz val="10"/>
        <rFont val="宋体"/>
        <family val="3"/>
        <charset val="134"/>
      </rPr>
      <t>管理标识编号规则：</t>
    </r>
    <r>
      <rPr>
        <u/>
        <sz val="10"/>
        <rFont val="Arial Narrow"/>
        <family val="2"/>
      </rPr>
      <t xml:space="preserve">                </t>
    </r>
    <r>
      <rPr>
        <sz val="10"/>
        <rFont val="Arial Narrow"/>
        <family val="2"/>
      </rPr>
      <t xml:space="preserve">  </t>
    </r>
    <phoneticPr fontId="10" type="noConversion"/>
  </si>
  <si>
    <r>
      <rPr>
        <sz val="10"/>
        <rFont val="宋体"/>
        <family val="3"/>
        <charset val="134"/>
      </rPr>
      <t>（</t>
    </r>
    <r>
      <rPr>
        <sz val="10"/>
        <rFont val="Arial Narrow"/>
        <family val="2"/>
      </rPr>
      <t>2</t>
    </r>
    <r>
      <rPr>
        <sz val="10"/>
        <rFont val="宋体"/>
        <family val="3"/>
        <charset val="134"/>
      </rPr>
      <t>）各类型生产性生物资产数量是否与会计账簿记载的数量一致：</t>
    </r>
    <phoneticPr fontId="10" type="noConversion"/>
  </si>
  <si>
    <r>
      <rPr>
        <sz val="10"/>
        <rFont val="宋体"/>
        <family val="3"/>
        <charset val="134"/>
      </rPr>
      <t>（</t>
    </r>
    <r>
      <rPr>
        <sz val="10"/>
        <rFont val="Arial Narrow"/>
        <family val="2"/>
      </rPr>
      <t>3</t>
    </r>
    <r>
      <rPr>
        <sz val="10"/>
        <rFont val="宋体"/>
        <family val="3"/>
        <charset val="134"/>
      </rPr>
      <t>）是否存在实际已死亡或毁损而会计账簿仍记载的生产性生物资产：</t>
    </r>
    <r>
      <rPr>
        <u/>
        <sz val="10"/>
        <rFont val="Arial Narrow"/>
        <family val="2"/>
      </rPr>
      <t xml:space="preserve">                  </t>
    </r>
    <phoneticPr fontId="10" type="noConversion"/>
  </si>
  <si>
    <r>
      <rPr>
        <sz val="10"/>
        <rFont val="宋体"/>
        <family val="3"/>
        <charset val="134"/>
      </rPr>
      <t>（</t>
    </r>
    <r>
      <rPr>
        <sz val="10"/>
        <rFont val="Arial Narrow"/>
        <family val="2"/>
      </rPr>
      <t>4</t>
    </r>
    <r>
      <rPr>
        <sz val="10"/>
        <rFont val="宋体"/>
        <family val="3"/>
        <charset val="134"/>
      </rPr>
      <t>）是否有实际已使用而会计账簿未记载的生产性生物资产：</t>
    </r>
    <r>
      <rPr>
        <u/>
        <sz val="10"/>
        <rFont val="Arial Narrow"/>
        <family val="2"/>
      </rPr>
      <t xml:space="preserve">                        </t>
    </r>
    <phoneticPr fontId="10" type="noConversion"/>
  </si>
  <si>
    <r>
      <t>1</t>
    </r>
    <r>
      <rPr>
        <sz val="10"/>
        <rFont val="宋体"/>
        <family val="3"/>
        <charset val="134"/>
      </rPr>
      <t>、复盘人员：</t>
    </r>
    <r>
      <rPr>
        <u/>
        <sz val="10"/>
        <rFont val="Arial Narrow"/>
        <family val="2"/>
      </rPr>
      <t xml:space="preserve">                        </t>
    </r>
    <r>
      <rPr>
        <sz val="10"/>
        <rFont val="Arial Narrow"/>
        <family val="2"/>
      </rPr>
      <t xml:space="preserve">   </t>
    </r>
    <phoneticPr fontId="10" type="noConversion"/>
  </si>
  <si>
    <r>
      <rPr>
        <sz val="10"/>
        <rFont val="宋体"/>
        <family val="3"/>
        <charset val="134"/>
      </rPr>
      <t>复盘底稿记录索引：</t>
    </r>
    <phoneticPr fontId="10" type="noConversion"/>
  </si>
  <si>
    <r>
      <rPr>
        <sz val="10"/>
        <rFont val="宋体"/>
        <family val="3"/>
        <charset val="134"/>
      </rPr>
      <t>生产性生物资产共有</t>
    </r>
    <r>
      <rPr>
        <u/>
        <sz val="10"/>
        <rFont val="Arial Narrow"/>
        <family val="2"/>
      </rPr>
      <t xml:space="preserve">      </t>
    </r>
    <r>
      <rPr>
        <sz val="10"/>
        <rFont val="宋体"/>
        <family val="3"/>
        <charset val="134"/>
      </rPr>
      <t/>
    </r>
    <phoneticPr fontId="10" type="noConversion"/>
  </si>
  <si>
    <r>
      <rPr>
        <sz val="10"/>
        <rFont val="宋体"/>
        <family val="3"/>
        <charset val="134"/>
      </rPr>
      <t>（头）只等，实施复盘共：</t>
    </r>
    <r>
      <rPr>
        <sz val="10"/>
        <rFont val="Arial Narrow"/>
        <family val="2"/>
      </rPr>
      <t xml:space="preserve">        </t>
    </r>
    <phoneticPr fontId="10" type="noConversion"/>
  </si>
  <si>
    <r>
      <rPr>
        <sz val="10"/>
        <rFont val="宋体"/>
        <family val="3"/>
        <charset val="134"/>
      </rPr>
      <t>（头）只等，占</t>
    </r>
    <phoneticPr fontId="10" type="noConversion"/>
  </si>
  <si>
    <r>
      <rPr>
        <sz val="10"/>
        <rFont val="宋体"/>
        <family val="3"/>
        <charset val="134"/>
      </rPr>
      <t>元，占</t>
    </r>
    <r>
      <rPr>
        <sz val="10"/>
        <rFont val="Arial Narrow"/>
        <family val="2"/>
      </rPr>
      <t xml:space="preserve">       </t>
    </r>
    <phoneticPr fontId="10" type="noConversion"/>
  </si>
  <si>
    <r>
      <t xml:space="preserve">    </t>
    </r>
    <r>
      <rPr>
        <sz val="10"/>
        <rFont val="宋体"/>
        <family val="3"/>
        <charset val="134"/>
      </rPr>
      <t>本次复盘的资产余额合计占资产负债表日的生产性生物资产余额</t>
    </r>
    <r>
      <rPr>
        <u/>
        <sz val="10"/>
        <rFont val="Arial Narrow"/>
        <family val="2"/>
      </rPr>
      <t xml:space="preserve">         </t>
    </r>
    <phoneticPr fontId="10" type="noConversion"/>
  </si>
  <si>
    <r>
      <t xml:space="preserve">     </t>
    </r>
    <r>
      <rPr>
        <sz val="10"/>
        <rFont val="宋体"/>
        <family val="3"/>
        <charset val="134"/>
      </rPr>
      <t>复盘</t>
    </r>
    <r>
      <rPr>
        <sz val="10"/>
        <rFont val="Arial Narrow"/>
        <family val="2"/>
      </rPr>
      <t xml:space="preserve"> </t>
    </r>
    <r>
      <rPr>
        <u/>
        <sz val="10"/>
        <rFont val="Arial Narrow"/>
        <family val="2"/>
      </rPr>
      <t xml:space="preserve">        </t>
    </r>
    <r>
      <rPr>
        <sz val="10"/>
        <rFont val="宋体"/>
        <family val="3"/>
        <charset val="134"/>
      </rPr>
      <t/>
    </r>
    <phoneticPr fontId="10" type="noConversion"/>
  </si>
  <si>
    <r>
      <rPr>
        <sz val="10"/>
        <rFont val="宋体"/>
        <family val="3"/>
        <charset val="134"/>
      </rPr>
      <t>（头）只等，</t>
    </r>
    <r>
      <rPr>
        <sz val="10"/>
        <rFont val="Arial Narrow"/>
        <family val="2"/>
      </rPr>
      <t xml:space="preserve"> </t>
    </r>
    <r>
      <rPr>
        <sz val="10"/>
        <rFont val="宋体"/>
        <family val="3"/>
        <charset val="134"/>
      </rPr>
      <t>其中复盘正确的共</t>
    </r>
    <r>
      <rPr>
        <sz val="10"/>
        <rFont val="Arial Narrow"/>
        <family val="2"/>
      </rPr>
      <t xml:space="preserve">           </t>
    </r>
    <phoneticPr fontId="10" type="noConversion"/>
  </si>
  <si>
    <r>
      <t xml:space="preserve"> </t>
    </r>
    <r>
      <rPr>
        <sz val="10"/>
        <rFont val="宋体"/>
        <family val="3"/>
        <charset val="134"/>
      </rPr>
      <t>种，占</t>
    </r>
    <r>
      <rPr>
        <sz val="10"/>
        <rFont val="Arial Narrow"/>
        <family val="2"/>
      </rPr>
      <t xml:space="preserve">       </t>
    </r>
    <phoneticPr fontId="10" type="noConversion"/>
  </si>
  <si>
    <r>
      <t xml:space="preserve">     </t>
    </r>
    <r>
      <rPr>
        <sz val="10"/>
        <rFont val="宋体"/>
        <family val="3"/>
        <charset val="134"/>
      </rPr>
      <t>复盘金额</t>
    </r>
    <r>
      <rPr>
        <u/>
        <sz val="10"/>
        <rFont val="Arial Narrow"/>
        <family val="2"/>
      </rPr>
      <t xml:space="preserve">        </t>
    </r>
    <r>
      <rPr>
        <sz val="10"/>
        <rFont val="宋体"/>
        <family val="3"/>
        <charset val="134"/>
      </rPr>
      <t/>
    </r>
    <phoneticPr fontId="10" type="noConversion"/>
  </si>
  <si>
    <r>
      <rPr>
        <sz val="10"/>
        <rFont val="宋体"/>
        <family val="3"/>
        <charset val="134"/>
      </rPr>
      <t>元，</t>
    </r>
    <r>
      <rPr>
        <sz val="10"/>
        <rFont val="Arial Narrow"/>
        <family val="2"/>
      </rPr>
      <t xml:space="preserve"> </t>
    </r>
    <r>
      <rPr>
        <sz val="10"/>
        <rFont val="宋体"/>
        <family val="3"/>
        <charset val="134"/>
      </rPr>
      <t>其中复盘正确的共</t>
    </r>
    <r>
      <rPr>
        <sz val="10"/>
        <rFont val="Arial Narrow"/>
        <family val="2"/>
      </rPr>
      <t xml:space="preserve">            </t>
    </r>
    <phoneticPr fontId="10" type="noConversion"/>
  </si>
  <si>
    <r>
      <rPr>
        <sz val="10"/>
        <rFont val="宋体"/>
        <family val="3"/>
        <charset val="134"/>
      </rPr>
      <t>元，占</t>
    </r>
    <r>
      <rPr>
        <sz val="10"/>
        <rFont val="Arial Narrow"/>
        <family val="2"/>
      </rPr>
      <t xml:space="preserve">        </t>
    </r>
    <phoneticPr fontId="10" type="noConversion"/>
  </si>
  <si>
    <r>
      <t xml:space="preserve">    </t>
    </r>
    <r>
      <rPr>
        <sz val="10"/>
        <rFont val="宋体"/>
        <family val="3"/>
        <charset val="134"/>
      </rPr>
      <t>生产性生物资产管理人员对生产性生物资产管理业务的熟悉程度：</t>
    </r>
    <r>
      <rPr>
        <u/>
        <sz val="10"/>
        <rFont val="Arial Narrow"/>
        <family val="2"/>
      </rPr>
      <t xml:space="preserve">                           </t>
    </r>
    <phoneticPr fontId="10" type="noConversion"/>
  </si>
  <si>
    <r>
      <t xml:space="preserve">    </t>
    </r>
    <r>
      <rPr>
        <sz val="10"/>
        <rFont val="宋体"/>
        <family val="3"/>
        <charset val="134"/>
      </rPr>
      <t>生产性生物资产管理人员对盘点工作与复盘工作的负责态度：</t>
    </r>
    <r>
      <rPr>
        <u/>
        <sz val="10"/>
        <rFont val="Arial Narrow"/>
        <family val="2"/>
      </rPr>
      <t xml:space="preserve">                     </t>
    </r>
    <phoneticPr fontId="10" type="noConversion"/>
  </si>
  <si>
    <r>
      <t xml:space="preserve"> 2</t>
    </r>
    <r>
      <rPr>
        <sz val="10"/>
        <rFont val="宋体"/>
        <family val="3"/>
        <charset val="134"/>
      </rPr>
      <t>、索取由生产性生物资产人员编制的〈盘点差异说明〉，并请其加盖公章：</t>
    </r>
    <r>
      <rPr>
        <u/>
        <sz val="10"/>
        <rFont val="Arial Narrow"/>
        <family val="2"/>
      </rPr>
      <t xml:space="preserve">            </t>
    </r>
    <phoneticPr fontId="10" type="noConversion"/>
  </si>
  <si>
    <r>
      <t xml:space="preserve"> 3</t>
    </r>
    <r>
      <rPr>
        <sz val="10"/>
        <rFont val="宋体"/>
        <family val="3"/>
        <charset val="134"/>
      </rPr>
      <t>、请被审计单位的人员在〈生产性生物资产复盘抽查情况表〉上签字：</t>
    </r>
    <r>
      <rPr>
        <u/>
        <sz val="10"/>
        <rFont val="Arial Narrow"/>
        <family val="2"/>
      </rPr>
      <t xml:space="preserve">               </t>
    </r>
    <phoneticPr fontId="10" type="noConversion"/>
  </si>
  <si>
    <r>
      <rPr>
        <sz val="10"/>
        <rFont val="宋体"/>
        <family val="3"/>
        <charset val="134"/>
      </rPr>
      <t>监盘人员签字：</t>
    </r>
    <r>
      <rPr>
        <sz val="10"/>
        <rFont val="Arial Narrow"/>
        <family val="2"/>
      </rPr>
      <t xml:space="preserve"> </t>
    </r>
    <r>
      <rPr>
        <u/>
        <sz val="10"/>
        <rFont val="Arial Narrow"/>
        <family val="2"/>
      </rPr>
      <t xml:space="preserve">                     </t>
    </r>
    <phoneticPr fontId="10" type="noConversion"/>
  </si>
  <si>
    <r>
      <rPr>
        <sz val="10"/>
        <rFont val="宋体"/>
        <family val="3"/>
        <charset val="134"/>
      </rPr>
      <t>复核人员签字：</t>
    </r>
    <r>
      <rPr>
        <sz val="10"/>
        <rFont val="Arial Narrow"/>
        <family val="2"/>
      </rPr>
      <t xml:space="preserve"> </t>
    </r>
    <r>
      <rPr>
        <u/>
        <sz val="10"/>
        <rFont val="Arial Narrow"/>
        <family val="2"/>
      </rPr>
      <t xml:space="preserve">                     </t>
    </r>
    <phoneticPr fontId="10" type="noConversion"/>
  </si>
  <si>
    <r>
      <rPr>
        <b/>
        <sz val="10"/>
        <color indexed="8"/>
        <rFont val="宋体"/>
        <family val="3"/>
        <charset val="134"/>
      </rPr>
      <t>一、审计目标：</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</si>
  <si>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rPr>
        <sz val="10"/>
        <rFont val="宋体"/>
        <family val="3"/>
        <charset val="134"/>
      </rPr>
      <t>折旧期初：</t>
    </r>
    <phoneticPr fontId="10" type="noConversion"/>
  </si>
  <si>
    <r>
      <rPr>
        <sz val="10"/>
        <rFont val="宋体"/>
        <family val="3"/>
        <charset val="134"/>
      </rPr>
      <t>折旧期末：</t>
    </r>
    <phoneticPr fontId="10"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</si>
  <si>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0" type="noConversion"/>
  </si>
  <si>
    <r>
      <rPr>
        <b/>
        <sz val="10"/>
        <rFont val="宋体"/>
        <family val="3"/>
        <charset val="134"/>
      </rPr>
      <t>生产性生物资产编号</t>
    </r>
    <phoneticPr fontId="10" type="noConversion"/>
  </si>
  <si>
    <r>
      <rPr>
        <b/>
        <sz val="10"/>
        <rFont val="宋体"/>
        <family val="3"/>
        <charset val="134"/>
      </rPr>
      <t>三、审计说明：</t>
    </r>
    <phoneticPr fontId="10" type="noConversion"/>
  </si>
  <si>
    <r>
      <rPr>
        <b/>
        <sz val="10"/>
        <color indexed="12"/>
        <rFont val="宋体"/>
        <family val="3"/>
        <charset val="134"/>
      </rPr>
      <t>《企业所得税法实施条例》</t>
    </r>
    <phoneticPr fontId="10" type="noConversion"/>
  </si>
  <si>
    <r>
      <rPr>
        <sz val="10"/>
        <color indexed="12"/>
        <rFont val="宋体"/>
        <family val="3"/>
        <charset val="134"/>
      </rPr>
      <t>第六十二条生产性生物资产按照以下方法确定计税基础：</t>
    </r>
  </si>
  <si>
    <r>
      <rPr>
        <sz val="10"/>
        <color indexed="12"/>
        <rFont val="宋体"/>
        <family val="3"/>
        <charset val="134"/>
      </rPr>
      <t>（一）外购的生产性生物资产，以购买价款和支付的相关税费为计税基础；</t>
    </r>
  </si>
  <si>
    <r>
      <rPr>
        <sz val="10"/>
        <color indexed="12"/>
        <rFont val="宋体"/>
        <family val="3"/>
        <charset val="134"/>
      </rPr>
      <t>（二）通过捐赠、投资、非货币性资产交换、债务重组等方式取得的生产性生物资产，以该资产的公允价值和支付的相关税费为计税基础。</t>
    </r>
  </si>
  <si>
    <r>
      <rPr>
        <sz val="10"/>
        <color indexed="12"/>
        <rFont val="宋体"/>
        <family val="3"/>
        <charset val="134"/>
      </rPr>
      <t>前款所称生产性生物资产，是指企业为生产农产品、提供劳务或者出租等而持有的生物资产，包括经济林、薪炭林、产畜和役畜等。</t>
    </r>
  </si>
  <si>
    <r>
      <rPr>
        <sz val="10"/>
        <color indexed="12"/>
        <rFont val="宋体"/>
        <family val="3"/>
        <charset val="134"/>
      </rPr>
      <t>第六十三条生产性生物资产按照直线法计算的折旧，准予扣除。</t>
    </r>
  </si>
  <si>
    <r>
      <rPr>
        <sz val="10"/>
        <color indexed="12"/>
        <rFont val="宋体"/>
        <family val="3"/>
        <charset val="134"/>
      </rPr>
      <t>企业应当自生产性生物资产投入使用月份的次月起计算折旧；停止使用的生产性生物资产，应当自停止使用月份的次月起停止计算折旧。</t>
    </r>
  </si>
  <si>
    <r>
      <rPr>
        <sz val="10"/>
        <color indexed="12"/>
        <rFont val="宋体"/>
        <family val="3"/>
        <charset val="134"/>
      </rPr>
      <t>企业应当根据生产性生物资产的性质和使用情况，合理确定生产性生物资产的预计净残值。生产性生物资产的预计净残值一经确定，不得变更。</t>
    </r>
  </si>
  <si>
    <r>
      <rPr>
        <sz val="10"/>
        <color indexed="12"/>
        <rFont val="宋体"/>
        <family val="3"/>
        <charset val="134"/>
      </rPr>
      <t>第六十四条生产性生物资产计算折旧的最低年限如下：</t>
    </r>
  </si>
  <si>
    <r>
      <rPr>
        <sz val="10"/>
        <color indexed="12"/>
        <rFont val="宋体"/>
        <family val="3"/>
        <charset val="134"/>
      </rPr>
      <t>（一）林木类生产性生物资产，为</t>
    </r>
    <r>
      <rPr>
        <sz val="10"/>
        <color indexed="12"/>
        <rFont val="Arial Narrow"/>
        <family val="2"/>
      </rPr>
      <t>10</t>
    </r>
    <r>
      <rPr>
        <sz val="10"/>
        <color indexed="12"/>
        <rFont val="宋体"/>
        <family val="3"/>
        <charset val="134"/>
      </rPr>
      <t>年；</t>
    </r>
  </si>
  <si>
    <r>
      <rPr>
        <sz val="10"/>
        <color indexed="12"/>
        <rFont val="宋体"/>
        <family val="3"/>
        <charset val="134"/>
      </rPr>
      <t>（二）畜类生产性生物资产，为</t>
    </r>
    <r>
      <rPr>
        <sz val="10"/>
        <color indexed="12"/>
        <rFont val="Arial Narrow"/>
        <family val="2"/>
      </rPr>
      <t>3</t>
    </r>
    <r>
      <rPr>
        <sz val="10"/>
        <color indexed="12"/>
        <rFont val="宋体"/>
        <family val="3"/>
        <charset val="134"/>
      </rPr>
      <t>年。</t>
    </r>
  </si>
  <si>
    <r>
      <rPr>
        <b/>
        <sz val="10"/>
        <color indexed="12"/>
        <rFont val="宋体"/>
        <family val="3"/>
        <charset val="134"/>
      </rPr>
      <t>《企业会计准则</t>
    </r>
    <r>
      <rPr>
        <b/>
        <sz val="10"/>
        <color indexed="12"/>
        <rFont val="Arial Narrow"/>
        <family val="2"/>
      </rPr>
      <t>5</t>
    </r>
    <r>
      <rPr>
        <b/>
        <sz val="10"/>
        <color indexed="12"/>
        <rFont val="宋体"/>
        <family val="3"/>
        <charset val="134"/>
      </rPr>
      <t>号</t>
    </r>
    <r>
      <rPr>
        <b/>
        <sz val="10"/>
        <color indexed="12"/>
        <rFont val="Arial Narrow"/>
        <family val="2"/>
      </rPr>
      <t>-</t>
    </r>
    <r>
      <rPr>
        <b/>
        <sz val="10"/>
        <color indexed="12"/>
        <rFont val="宋体"/>
        <family val="3"/>
        <charset val="134"/>
      </rPr>
      <t>生物性资产》</t>
    </r>
    <phoneticPr fontId="10" type="noConversion"/>
  </si>
  <si>
    <r>
      <rPr>
        <sz val="10"/>
        <color indexed="12"/>
        <rFont val="宋体"/>
        <family val="3"/>
        <charset val="134"/>
      </rPr>
      <t>第十八条</t>
    </r>
    <r>
      <rPr>
        <sz val="10"/>
        <color indexed="12"/>
        <rFont val="Arial Narrow"/>
        <family val="2"/>
      </rPr>
      <t xml:space="preserve"> </t>
    </r>
    <r>
      <rPr>
        <sz val="10"/>
        <color indexed="12"/>
        <rFont val="宋体"/>
        <family val="3"/>
        <charset val="134"/>
      </rPr>
      <t>企业应当根据生产性生物资产的性质、使用情况和有关经济利益的预期实现方式，合理确定其使用寿命、预计净残值和折旧方法。可选用的折旧方法包括年限平均法、工作量法、产量法等。生产性生物资产的使用寿命、预计净残值和折旧方法一经确定，不得随意变更。但是，符合本准则第二十条规定的除外。</t>
    </r>
  </si>
  <si>
    <r>
      <rPr>
        <sz val="10"/>
        <color indexed="12"/>
        <rFont val="宋体"/>
        <family val="3"/>
        <charset val="134"/>
      </rPr>
      <t>第二十条</t>
    </r>
    <r>
      <rPr>
        <sz val="10"/>
        <color indexed="12"/>
        <rFont val="Arial Narrow"/>
        <family val="2"/>
      </rPr>
      <t xml:space="preserve"> </t>
    </r>
    <r>
      <rPr>
        <sz val="10"/>
        <color indexed="12"/>
        <rFont val="宋体"/>
        <family val="3"/>
        <charset val="134"/>
      </rPr>
      <t>企业至少应当于每年年度终了对生产性生物资产的使用寿命、预计净残值和折旧方法进行复核。使用寿命或预计净残值的预期数与原先估计数有差异的，或者有关经济利益预期实现方式有重大改变的，应当作为会计估计变更，按照《企业会计准则第</t>
    </r>
    <r>
      <rPr>
        <sz val="10"/>
        <color indexed="12"/>
        <rFont val="Arial Narrow"/>
        <family val="2"/>
      </rPr>
      <t xml:space="preserve">28 </t>
    </r>
    <r>
      <rPr>
        <sz val="10"/>
        <color indexed="12"/>
        <rFont val="宋体"/>
        <family val="3"/>
        <charset val="134"/>
      </rPr>
      <t>号</t>
    </r>
    <r>
      <rPr>
        <sz val="10"/>
        <color indexed="12"/>
        <rFont val="Arial Narrow"/>
        <family val="2"/>
      </rPr>
      <t>--</t>
    </r>
    <r>
      <rPr>
        <sz val="10"/>
        <color indexed="12"/>
        <rFont val="宋体"/>
        <family val="3"/>
        <charset val="134"/>
      </rPr>
      <t>会计政策、会计估计变更和差错更正》处理，调整生产性生物资产的使用寿命或预计净残值或者改变折旧方法。</t>
    </r>
  </si>
  <si>
    <r>
      <rPr>
        <b/>
        <sz val="10"/>
        <color indexed="8"/>
        <rFont val="宋体"/>
        <family val="3"/>
        <charset val="134"/>
      </rPr>
      <t>一、审计目标：</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</si>
  <si>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rPr>
        <b/>
        <sz val="10"/>
        <rFont val="宋体"/>
        <family val="3"/>
        <charset val="134"/>
      </rPr>
      <t>二、审计过程：</t>
    </r>
    <phoneticPr fontId="10" type="noConversion"/>
  </si>
  <si>
    <r>
      <rPr>
        <sz val="10"/>
        <rFont val="宋体"/>
        <family val="3"/>
        <charset val="134"/>
      </rPr>
      <t>折旧期初：</t>
    </r>
    <phoneticPr fontId="10" type="noConversion"/>
  </si>
  <si>
    <r>
      <rPr>
        <sz val="10"/>
        <rFont val="宋体"/>
        <family val="3"/>
        <charset val="134"/>
      </rPr>
      <t>折旧期末：</t>
    </r>
    <phoneticPr fontId="10" type="noConversion"/>
  </si>
  <si>
    <r>
      <rPr>
        <sz val="10"/>
        <rFont val="宋体"/>
        <family val="3"/>
        <charset val="134"/>
      </rPr>
      <t>计提减值准备日期：</t>
    </r>
    <phoneticPr fontId="10"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</si>
  <si>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0" type="noConversion"/>
  </si>
  <si>
    <r>
      <rPr>
        <b/>
        <sz val="10"/>
        <rFont val="宋体"/>
        <family val="3"/>
        <charset val="134"/>
      </rPr>
      <t>三、审计说明：</t>
    </r>
    <phoneticPr fontId="10" type="noConversion"/>
  </si>
  <si>
    <r>
      <rPr>
        <b/>
        <sz val="10"/>
        <color indexed="8"/>
        <rFont val="宋体"/>
        <family val="3"/>
        <charset val="134"/>
      </rPr>
      <t>一、审计目标：</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</si>
  <si>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rPr>
        <b/>
        <sz val="10"/>
        <rFont val="宋体"/>
        <family val="3"/>
        <charset val="134"/>
      </rPr>
      <t>生产性生物资产类别</t>
    </r>
    <phoneticPr fontId="10" type="noConversion"/>
  </si>
  <si>
    <r>
      <rPr>
        <b/>
        <sz val="10"/>
        <rFont val="宋体"/>
        <family val="3"/>
        <charset val="134"/>
      </rPr>
      <t>管理费用</t>
    </r>
  </si>
  <si>
    <r>
      <rPr>
        <b/>
        <sz val="10"/>
        <rFont val="宋体"/>
        <family val="3"/>
        <charset val="134"/>
      </rPr>
      <t>合计</t>
    </r>
    <phoneticPr fontId="10" type="noConversion"/>
  </si>
  <si>
    <r>
      <rPr>
        <b/>
        <sz val="10"/>
        <rFont val="宋体"/>
        <family val="3"/>
        <charset val="134"/>
      </rPr>
      <t>三、审计说明：</t>
    </r>
    <phoneticPr fontId="10" type="noConversion"/>
  </si>
  <si>
    <r>
      <rPr>
        <b/>
        <sz val="10"/>
        <rFont val="宋体"/>
        <family val="3"/>
        <charset val="134"/>
      </rPr>
      <t>生产成本</t>
    </r>
    <phoneticPr fontId="10" type="noConversion"/>
  </si>
  <si>
    <r>
      <rPr>
        <b/>
        <sz val="10"/>
        <color indexed="8"/>
        <rFont val="宋体"/>
        <family val="3"/>
        <charset val="134"/>
      </rPr>
      <t>一、审计目标：</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</si>
  <si>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rPr>
        <b/>
        <sz val="10"/>
        <rFont val="宋体"/>
        <family val="3"/>
        <charset val="134"/>
      </rPr>
      <t>账面数</t>
    </r>
  </si>
  <si>
    <r>
      <rPr>
        <b/>
        <sz val="10"/>
        <rFont val="宋体"/>
        <family val="3"/>
        <charset val="134"/>
      </rPr>
      <t>复核</t>
    </r>
  </si>
  <si>
    <r>
      <rPr>
        <b/>
        <sz val="10"/>
        <rFont val="宋体"/>
        <family val="3"/>
        <charset val="134"/>
      </rPr>
      <t>备注</t>
    </r>
  </si>
  <si>
    <r>
      <rPr>
        <b/>
        <sz val="10"/>
        <rFont val="宋体"/>
        <family val="3"/>
        <charset val="134"/>
      </rPr>
      <t>期初公允价值</t>
    </r>
  </si>
  <si>
    <r>
      <rPr>
        <b/>
        <sz val="10"/>
        <rFont val="宋体"/>
        <family val="3"/>
        <charset val="134"/>
      </rPr>
      <t>面积</t>
    </r>
  </si>
  <si>
    <r>
      <rPr>
        <b/>
        <sz val="10"/>
        <rFont val="宋体"/>
        <family val="3"/>
        <charset val="134"/>
      </rPr>
      <t>参考单价</t>
    </r>
  </si>
  <si>
    <r>
      <rPr>
        <b/>
        <sz val="10"/>
        <rFont val="宋体"/>
        <family val="3"/>
        <charset val="134"/>
      </rPr>
      <t>参考单价来源</t>
    </r>
  </si>
  <si>
    <r>
      <rPr>
        <b/>
        <sz val="10"/>
        <rFont val="宋体"/>
        <family val="3"/>
        <charset val="134"/>
      </rPr>
      <t>差异</t>
    </r>
  </si>
  <si>
    <r>
      <rPr>
        <b/>
        <sz val="10"/>
        <rFont val="宋体"/>
        <family val="3"/>
        <charset val="134"/>
      </rPr>
      <t>差异原因</t>
    </r>
  </si>
  <si>
    <r>
      <rPr>
        <b/>
        <sz val="10"/>
        <rFont val="宋体"/>
        <family val="3"/>
        <charset val="134"/>
      </rPr>
      <t>①</t>
    </r>
  </si>
  <si>
    <r>
      <rPr>
        <b/>
        <sz val="10"/>
        <rFont val="宋体"/>
        <family val="3"/>
        <charset val="134"/>
      </rPr>
      <t>②</t>
    </r>
  </si>
  <si>
    <r>
      <rPr>
        <b/>
        <sz val="10"/>
        <rFont val="宋体"/>
        <family val="3"/>
        <charset val="134"/>
      </rPr>
      <t>③</t>
    </r>
  </si>
  <si>
    <r>
      <rPr>
        <b/>
        <sz val="10"/>
        <rFont val="宋体"/>
        <family val="3"/>
        <charset val="134"/>
      </rPr>
      <t>④</t>
    </r>
  </si>
  <si>
    <r>
      <rPr>
        <b/>
        <sz val="10"/>
        <rFont val="宋体"/>
        <family val="3"/>
        <charset val="134"/>
      </rPr>
      <t>⑤</t>
    </r>
  </si>
  <si>
    <r>
      <rPr>
        <b/>
        <sz val="10"/>
        <rFont val="宋体"/>
        <family val="3"/>
        <charset val="134"/>
      </rPr>
      <t>⑧</t>
    </r>
  </si>
  <si>
    <r>
      <rPr>
        <b/>
        <sz val="10"/>
        <rFont val="宋体"/>
        <family val="3"/>
        <charset val="134"/>
      </rPr>
      <t>⑨</t>
    </r>
  </si>
  <si>
    <r>
      <t>1.</t>
    </r>
    <r>
      <rPr>
        <sz val="10"/>
        <color rgb="FF0000FF"/>
        <rFont val="宋体"/>
        <family val="3"/>
        <charset val="134"/>
      </rPr>
      <t>确定生产性生物资产后续计量选用公允价值模式政策恰当，计算复核期末计价正确：</t>
    </r>
  </si>
  <si>
    <r>
      <t>2.</t>
    </r>
    <r>
      <rPr>
        <sz val="10"/>
        <color rgb="FF0000FF"/>
        <rFont val="宋体"/>
        <family val="3"/>
        <charset val="134"/>
      </rPr>
      <t>逐项检查公允价值的确定依据是否充分，公允价值变动损益计算是否正确，会计处理是否正确；与利润表公允价值变动损益中的相应数字核对无误。</t>
    </r>
  </si>
  <si>
    <r>
      <t>3.</t>
    </r>
    <r>
      <rPr>
        <sz val="10"/>
        <color rgb="FF0000FF"/>
        <rFont val="宋体"/>
        <family val="3"/>
        <charset val="134"/>
      </rPr>
      <t>询问并获取相关资料，评价被审计单位确定公允价值方法的适当性、公允价值选用的合理性，包括公司的决策程序、公允价值的确定方法、估值模型的选择、披露的充分性等。</t>
    </r>
  </si>
  <si>
    <r>
      <t>4.</t>
    </r>
    <r>
      <rPr>
        <sz val="10"/>
        <color rgb="FF0000FF"/>
        <rFont val="宋体"/>
        <family val="3"/>
        <charset val="134"/>
      </rPr>
      <t>如果需利用专家等工作，应对专家的执业资格和胜任能力、工作结果等进行评价。</t>
    </r>
  </si>
  <si>
    <r>
      <rPr>
        <b/>
        <sz val="10"/>
        <rFont val="宋体"/>
        <family val="3"/>
        <charset val="134"/>
      </rPr>
      <t>公允价值</t>
    </r>
    <phoneticPr fontId="10" type="noConversion"/>
  </si>
  <si>
    <r>
      <rPr>
        <b/>
        <sz val="10"/>
        <rFont val="宋体"/>
        <family val="3"/>
        <charset val="134"/>
      </rPr>
      <t>与上期计价方法是否一致</t>
    </r>
    <phoneticPr fontId="10" type="noConversion"/>
  </si>
  <si>
    <r>
      <rPr>
        <b/>
        <sz val="10"/>
        <rFont val="宋体"/>
        <family val="3"/>
        <charset val="134"/>
      </rPr>
      <t>⑥</t>
    </r>
    <r>
      <rPr>
        <b/>
        <sz val="10"/>
        <rFont val="Arial Narrow"/>
        <family val="2"/>
      </rPr>
      <t>=</t>
    </r>
    <r>
      <rPr>
        <b/>
        <sz val="10"/>
        <rFont val="宋体"/>
        <family val="3"/>
        <charset val="134"/>
      </rPr>
      <t>②</t>
    </r>
    <r>
      <rPr>
        <b/>
        <sz val="10"/>
        <rFont val="Arial Narrow"/>
        <family val="2"/>
      </rPr>
      <t>×</t>
    </r>
    <r>
      <rPr>
        <b/>
        <sz val="10"/>
        <rFont val="宋体"/>
        <family val="3"/>
        <charset val="134"/>
      </rPr>
      <t>④</t>
    </r>
  </si>
  <si>
    <r>
      <rPr>
        <b/>
        <sz val="10"/>
        <rFont val="宋体"/>
        <family val="3"/>
        <charset val="134"/>
      </rPr>
      <t>⑦</t>
    </r>
    <r>
      <rPr>
        <b/>
        <sz val="10"/>
        <rFont val="Arial Narrow"/>
        <family val="2"/>
      </rPr>
      <t>=</t>
    </r>
    <r>
      <rPr>
        <b/>
        <sz val="10"/>
        <rFont val="宋体"/>
        <family val="3"/>
        <charset val="134"/>
      </rPr>
      <t>③</t>
    </r>
    <r>
      <rPr>
        <b/>
        <sz val="10"/>
        <rFont val="Arial Narrow"/>
        <family val="2"/>
      </rPr>
      <t>-</t>
    </r>
    <r>
      <rPr>
        <b/>
        <sz val="10"/>
        <rFont val="宋体"/>
        <family val="3"/>
        <charset val="134"/>
      </rPr>
      <t>⑥</t>
    </r>
  </si>
  <si>
    <r>
      <rPr>
        <sz val="10"/>
        <color indexed="12"/>
        <rFont val="宋体"/>
        <family val="3"/>
        <charset val="134"/>
      </rPr>
      <t>根据《企业会计准则</t>
    </r>
    <r>
      <rPr>
        <sz val="10"/>
        <color indexed="12"/>
        <rFont val="Arial Narrow"/>
        <family val="2"/>
      </rPr>
      <t>-</t>
    </r>
    <r>
      <rPr>
        <sz val="10"/>
        <color indexed="12"/>
        <rFont val="宋体"/>
        <family val="3"/>
        <charset val="134"/>
      </rPr>
      <t>生物资产》规定，生物资产通常按照成本计量，但有确凿证据表明其公允价值能够持续可靠取得的除外。采用公允价值计量的生物资产，应当同时满足下列两个条件：</t>
    </r>
    <phoneticPr fontId="10" type="noConversion"/>
  </si>
  <si>
    <r>
      <rPr>
        <b/>
        <sz val="10"/>
        <color indexed="8"/>
        <rFont val="宋体"/>
        <family val="3"/>
        <charset val="134"/>
      </rPr>
      <t>一、审计目标：</t>
    </r>
    <r>
      <rPr>
        <sz val="10"/>
        <color indexed="8"/>
        <rFont val="Arial Narrow"/>
        <family val="2"/>
      </rPr>
      <t/>
    </r>
    <phoneticPr fontId="14" type="noConversion"/>
  </si>
  <si>
    <r>
      <t xml:space="preserve">1. </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</si>
  <si>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t xml:space="preserve">2. </t>
    </r>
    <r>
      <rPr>
        <sz val="10"/>
        <color indexed="8"/>
        <rFont val="宋体"/>
        <family val="3"/>
        <charset val="134"/>
      </rPr>
      <t>生产性生物资产已被恰当地汇总或分解且表述清楚，相关披露在按照企业会计准则的编制基础下是相关的、可理解的</t>
    </r>
    <phoneticPr fontId="14" type="noConversion"/>
  </si>
  <si>
    <r>
      <rPr>
        <b/>
        <sz val="10"/>
        <rFont val="宋体"/>
        <family val="3"/>
        <charset val="134"/>
      </rPr>
      <t>生产性生物资产名称</t>
    </r>
    <phoneticPr fontId="10" type="noConversion"/>
  </si>
  <si>
    <r>
      <rPr>
        <b/>
        <sz val="10"/>
        <rFont val="宋体"/>
        <family val="3"/>
        <charset val="134"/>
      </rPr>
      <t>转换日期</t>
    </r>
    <phoneticPr fontId="10" type="noConversion"/>
  </si>
  <si>
    <r>
      <rPr>
        <b/>
        <sz val="10"/>
        <rFont val="宋体"/>
        <family val="3"/>
        <charset val="134"/>
      </rPr>
      <t>消耗性生物资产转换日价值</t>
    </r>
    <phoneticPr fontId="10" type="noConversion"/>
  </si>
  <si>
    <r>
      <rPr>
        <b/>
        <sz val="10"/>
        <rFont val="宋体"/>
        <family val="3"/>
        <charset val="134"/>
      </rPr>
      <t>生产性生物资产转换日价值</t>
    </r>
    <phoneticPr fontId="10" type="noConversion"/>
  </si>
  <si>
    <r>
      <rPr>
        <b/>
        <sz val="10"/>
        <rFont val="宋体"/>
        <family val="3"/>
        <charset val="134"/>
      </rPr>
      <t>转换影响</t>
    </r>
  </si>
  <si>
    <r>
      <rPr>
        <b/>
        <sz val="10"/>
        <rFont val="宋体"/>
        <family val="3"/>
        <charset val="134"/>
      </rPr>
      <t>转换原因</t>
    </r>
    <phoneticPr fontId="10" type="noConversion"/>
  </si>
  <si>
    <r>
      <rPr>
        <b/>
        <sz val="10"/>
        <rFont val="宋体"/>
        <family val="3"/>
        <charset val="134"/>
      </rPr>
      <t>批准文件</t>
    </r>
    <phoneticPr fontId="10" type="noConversion"/>
  </si>
  <si>
    <r>
      <rPr>
        <b/>
        <sz val="10"/>
        <rFont val="宋体"/>
        <family val="3"/>
        <charset val="134"/>
      </rPr>
      <t>成本模式</t>
    </r>
  </si>
  <si>
    <r>
      <rPr>
        <b/>
        <sz val="10"/>
        <rFont val="宋体"/>
        <family val="3"/>
        <charset val="134"/>
      </rPr>
      <t>公允价值模式</t>
    </r>
  </si>
  <si>
    <r>
      <rPr>
        <b/>
        <sz val="10"/>
        <rFont val="宋体"/>
        <family val="3"/>
        <charset val="134"/>
      </rPr>
      <t>资产原值</t>
    </r>
  </si>
  <si>
    <r>
      <rPr>
        <b/>
        <sz val="10"/>
        <rFont val="宋体"/>
        <family val="3"/>
        <charset val="134"/>
      </rPr>
      <t>累计折旧</t>
    </r>
    <phoneticPr fontId="10" type="noConversion"/>
  </si>
  <si>
    <r>
      <rPr>
        <b/>
        <sz val="10"/>
        <rFont val="宋体"/>
        <family val="3"/>
        <charset val="134"/>
      </rPr>
      <t>减值准备</t>
    </r>
  </si>
  <si>
    <r>
      <rPr>
        <b/>
        <sz val="10"/>
        <rFont val="宋体"/>
        <family val="3"/>
        <charset val="134"/>
      </rPr>
      <t>净额</t>
    </r>
    <phoneticPr fontId="10" type="noConversion"/>
  </si>
  <si>
    <r>
      <rPr>
        <b/>
        <sz val="10"/>
        <rFont val="宋体"/>
        <family val="3"/>
        <charset val="134"/>
      </rPr>
      <t>净额</t>
    </r>
    <phoneticPr fontId="10" type="noConversion"/>
  </si>
  <si>
    <r>
      <rPr>
        <b/>
        <sz val="10"/>
        <rFont val="宋体"/>
        <family val="3"/>
        <charset val="134"/>
      </rPr>
      <t>账面价值</t>
    </r>
  </si>
  <si>
    <r>
      <rPr>
        <b/>
        <sz val="10"/>
        <rFont val="宋体"/>
        <family val="3"/>
        <charset val="134"/>
      </rPr>
      <t>公允价值</t>
    </r>
  </si>
  <si>
    <r>
      <rPr>
        <b/>
        <sz val="10"/>
        <rFont val="宋体"/>
        <family val="3"/>
        <charset val="134"/>
      </rPr>
      <t>当期损益</t>
    </r>
  </si>
  <si>
    <r>
      <rPr>
        <b/>
        <sz val="10"/>
        <rFont val="宋体"/>
        <family val="3"/>
        <charset val="134"/>
      </rPr>
      <t>其他综合收益</t>
    </r>
    <phoneticPr fontId="10" type="noConversion"/>
  </si>
  <si>
    <r>
      <rPr>
        <sz val="10"/>
        <rFont val="宋体"/>
        <family val="3"/>
        <charset val="134"/>
      </rPr>
      <t>①</t>
    </r>
    <phoneticPr fontId="10" type="noConversion"/>
  </si>
  <si>
    <r>
      <rPr>
        <sz val="10"/>
        <rFont val="宋体"/>
        <family val="3"/>
        <charset val="134"/>
      </rPr>
      <t>②</t>
    </r>
    <phoneticPr fontId="10" type="noConversion"/>
  </si>
  <si>
    <r>
      <rPr>
        <sz val="10"/>
        <rFont val="宋体"/>
        <family val="3"/>
        <charset val="134"/>
      </rPr>
      <t>③</t>
    </r>
    <phoneticPr fontId="10" type="noConversion"/>
  </si>
  <si>
    <r>
      <rPr>
        <sz val="10"/>
        <rFont val="宋体"/>
        <family val="3"/>
        <charset val="134"/>
      </rPr>
      <t>④</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t>
    </r>
    <r>
      <rPr>
        <sz val="10"/>
        <rFont val="宋体"/>
        <family val="3"/>
        <charset val="134"/>
      </rPr>
      <t>③</t>
    </r>
    <phoneticPr fontId="10" type="noConversion"/>
  </si>
  <si>
    <r>
      <rPr>
        <sz val="10"/>
        <rFont val="宋体"/>
        <family val="3"/>
        <charset val="134"/>
      </rPr>
      <t>⑤</t>
    </r>
    <phoneticPr fontId="10" type="noConversion"/>
  </si>
  <si>
    <r>
      <rPr>
        <sz val="10"/>
        <rFont val="宋体"/>
        <family val="3"/>
        <charset val="134"/>
      </rPr>
      <t>⑥</t>
    </r>
    <phoneticPr fontId="10" type="noConversion"/>
  </si>
  <si>
    <r>
      <rPr>
        <sz val="10"/>
        <rFont val="宋体"/>
        <family val="3"/>
        <charset val="134"/>
      </rPr>
      <t>⑦</t>
    </r>
    <phoneticPr fontId="10" type="noConversion"/>
  </si>
  <si>
    <r>
      <rPr>
        <sz val="10"/>
        <rFont val="宋体"/>
        <family val="3"/>
        <charset val="134"/>
      </rPr>
      <t>⑧</t>
    </r>
    <r>
      <rPr>
        <sz val="10"/>
        <rFont val="Arial Narrow"/>
        <family val="2"/>
      </rPr>
      <t>=</t>
    </r>
    <r>
      <rPr>
        <sz val="10"/>
        <rFont val="宋体"/>
        <family val="3"/>
        <charset val="134"/>
      </rPr>
      <t>⑤</t>
    </r>
    <r>
      <rPr>
        <sz val="10"/>
        <rFont val="Arial Narrow"/>
        <family val="2"/>
      </rPr>
      <t>-</t>
    </r>
    <r>
      <rPr>
        <sz val="10"/>
        <rFont val="宋体"/>
        <family val="3"/>
        <charset val="134"/>
      </rPr>
      <t>⑥</t>
    </r>
    <r>
      <rPr>
        <sz val="10"/>
        <rFont val="Arial Narrow"/>
        <family val="2"/>
      </rPr>
      <t>-</t>
    </r>
    <r>
      <rPr>
        <sz val="10"/>
        <rFont val="宋体"/>
        <family val="3"/>
        <charset val="134"/>
      </rPr>
      <t>⑦</t>
    </r>
    <phoneticPr fontId="10" type="noConversion"/>
  </si>
  <si>
    <r>
      <rPr>
        <sz val="10"/>
        <rFont val="宋体"/>
        <family val="3"/>
        <charset val="134"/>
      </rPr>
      <t>⑨</t>
    </r>
    <phoneticPr fontId="10" type="noConversion"/>
  </si>
  <si>
    <r>
      <rPr>
        <sz val="10"/>
        <rFont val="宋体"/>
        <family val="3"/>
        <charset val="134"/>
      </rPr>
      <t>⑩</t>
    </r>
    <phoneticPr fontId="10" type="noConversion"/>
  </si>
  <si>
    <r>
      <rPr>
        <sz val="10"/>
        <rFont val="宋体"/>
        <family val="3"/>
        <charset val="134"/>
      </rPr>
      <t>⑾</t>
    </r>
    <r>
      <rPr>
        <sz val="10"/>
        <rFont val="Arial Narrow"/>
        <family val="2"/>
      </rPr>
      <t>=</t>
    </r>
    <r>
      <rPr>
        <sz val="10"/>
        <rFont val="宋体"/>
        <family val="3"/>
        <charset val="134"/>
      </rPr>
      <t>⑨</t>
    </r>
    <r>
      <rPr>
        <sz val="10"/>
        <rFont val="Arial Narrow"/>
        <family val="2"/>
      </rPr>
      <t>-</t>
    </r>
    <r>
      <rPr>
        <sz val="10"/>
        <rFont val="宋体"/>
        <family val="3"/>
        <charset val="134"/>
      </rPr>
      <t>⑩</t>
    </r>
    <phoneticPr fontId="10" type="noConversion"/>
  </si>
  <si>
    <r>
      <rPr>
        <sz val="10"/>
        <rFont val="宋体"/>
        <family val="3"/>
        <charset val="134"/>
      </rPr>
      <t>⑿</t>
    </r>
    <r>
      <rPr>
        <sz val="10"/>
        <rFont val="Arial Narrow"/>
        <family val="2"/>
      </rPr>
      <t>=</t>
    </r>
    <r>
      <rPr>
        <sz val="10"/>
        <rFont val="宋体"/>
        <family val="3"/>
        <charset val="134"/>
      </rPr>
      <t>⑩</t>
    </r>
    <r>
      <rPr>
        <sz val="10"/>
        <rFont val="Arial Narrow"/>
        <family val="2"/>
      </rPr>
      <t>-</t>
    </r>
    <r>
      <rPr>
        <sz val="10"/>
        <rFont val="宋体"/>
        <family val="3"/>
        <charset val="134"/>
      </rPr>
      <t>⑨</t>
    </r>
    <phoneticPr fontId="10" type="noConversion"/>
  </si>
  <si>
    <r>
      <t>1.</t>
    </r>
    <r>
      <rPr>
        <sz val="10"/>
        <color rgb="FF0000FF"/>
        <rFont val="宋体"/>
        <family val="3"/>
        <charset val="134"/>
      </rPr>
      <t>检查董事会等决议文件，确定后续计量模式改变的适当性、会计处理的正确性，并提请被审计单位进行充分披露。</t>
    </r>
  </si>
  <si>
    <r>
      <t>2.</t>
    </r>
    <r>
      <rPr>
        <sz val="10"/>
        <color rgb="FF0000FF"/>
        <rFont val="宋体"/>
        <family val="3"/>
        <charset val="134"/>
      </rPr>
      <t>审查生产性生物资产计量模式转为公允价值计量模式是否作为会计政策变更进行追溯调整期初留存收益处理；测算转换日的转换价值及相关损益是否计量正确</t>
    </r>
  </si>
  <si>
    <r>
      <rPr>
        <b/>
        <sz val="10"/>
        <rFont val="宋体"/>
        <family val="3"/>
        <charset val="134"/>
      </rPr>
      <t>二、审计过程：</t>
    </r>
    <phoneticPr fontId="10" type="noConversion"/>
  </si>
  <si>
    <r>
      <rPr>
        <b/>
        <sz val="10"/>
        <rFont val="宋体"/>
        <family val="3"/>
        <charset val="134"/>
      </rPr>
      <t>是否存在减值迹象</t>
    </r>
    <phoneticPr fontId="10" type="noConversion"/>
  </si>
  <si>
    <r>
      <rPr>
        <b/>
        <sz val="10"/>
        <rFont val="宋体"/>
        <family val="3"/>
        <charset val="134"/>
      </rPr>
      <t>减值迹象描述</t>
    </r>
    <phoneticPr fontId="10" type="noConversion"/>
  </si>
  <si>
    <r>
      <rPr>
        <b/>
        <sz val="10"/>
        <rFont val="宋体"/>
        <family val="3"/>
        <charset val="134"/>
      </rPr>
      <t>账面价值</t>
    </r>
    <phoneticPr fontId="10" type="noConversion"/>
  </si>
  <si>
    <r>
      <rPr>
        <b/>
        <sz val="10"/>
        <rFont val="宋体"/>
        <family val="3"/>
        <charset val="134"/>
      </rPr>
      <t>期末应计提的减值金额（当⑤＜②）</t>
    </r>
    <phoneticPr fontId="10" type="noConversion"/>
  </si>
  <si>
    <r>
      <rPr>
        <b/>
        <sz val="10"/>
        <rFont val="宋体"/>
        <family val="3"/>
        <charset val="134"/>
      </rPr>
      <t>期末账面已计提的减值准备</t>
    </r>
    <phoneticPr fontId="10" type="noConversion"/>
  </si>
  <si>
    <r>
      <rPr>
        <b/>
        <sz val="10"/>
        <rFont val="宋体"/>
        <family val="3"/>
        <charset val="134"/>
      </rPr>
      <t>本期应补提
或冲回的减值准备</t>
    </r>
    <phoneticPr fontId="10" type="noConversion"/>
  </si>
  <si>
    <r>
      <rPr>
        <b/>
        <sz val="10"/>
        <rFont val="宋体"/>
        <family val="3"/>
        <charset val="134"/>
      </rPr>
      <t>工作底稿索引号</t>
    </r>
    <phoneticPr fontId="10" type="noConversion"/>
  </si>
  <si>
    <r>
      <rPr>
        <b/>
        <sz val="10"/>
        <rFont val="宋体"/>
        <family val="3"/>
        <charset val="134"/>
      </rPr>
      <t>公允价值减处置费用的净额</t>
    </r>
    <phoneticPr fontId="10" type="noConversion"/>
  </si>
  <si>
    <r>
      <rPr>
        <b/>
        <sz val="10"/>
        <rFont val="宋体"/>
        <family val="3"/>
        <charset val="134"/>
      </rPr>
      <t>预计未来现金流量现值</t>
    </r>
    <phoneticPr fontId="10" type="noConversion"/>
  </si>
  <si>
    <r>
      <rPr>
        <b/>
        <sz val="10"/>
        <rFont val="宋体"/>
        <family val="3"/>
        <charset val="134"/>
      </rPr>
      <t>可收回金额（③、④较高者）</t>
    </r>
    <phoneticPr fontId="10" type="noConversion"/>
  </si>
  <si>
    <r>
      <rPr>
        <b/>
        <sz val="10"/>
        <rFont val="宋体"/>
        <family val="3"/>
        <charset val="134"/>
      </rPr>
      <t>期末已计提
减值准备</t>
    </r>
    <phoneticPr fontId="10" type="noConversion"/>
  </si>
  <si>
    <r>
      <rPr>
        <b/>
        <sz val="10"/>
        <rFont val="宋体"/>
        <family val="3"/>
        <charset val="134"/>
      </rPr>
      <t>②</t>
    </r>
    <phoneticPr fontId="10" type="noConversion"/>
  </si>
  <si>
    <r>
      <rPr>
        <b/>
        <sz val="10"/>
        <rFont val="宋体"/>
        <family val="3"/>
        <charset val="134"/>
      </rPr>
      <t>③</t>
    </r>
    <phoneticPr fontId="10" type="noConversion"/>
  </si>
  <si>
    <r>
      <rPr>
        <b/>
        <sz val="10"/>
        <rFont val="宋体"/>
        <family val="3"/>
        <charset val="134"/>
      </rPr>
      <t>④</t>
    </r>
    <phoneticPr fontId="10" type="noConversion"/>
  </si>
  <si>
    <r>
      <rPr>
        <b/>
        <sz val="10"/>
        <rFont val="宋体"/>
        <family val="3"/>
        <charset val="134"/>
      </rPr>
      <t>⑤</t>
    </r>
    <phoneticPr fontId="10" type="noConversion"/>
  </si>
  <si>
    <r>
      <rPr>
        <b/>
        <sz val="10"/>
        <rFont val="宋体"/>
        <family val="3"/>
        <charset val="134"/>
      </rPr>
      <t>⑥＝②</t>
    </r>
    <r>
      <rPr>
        <b/>
        <sz val="10"/>
        <rFont val="Arial Narrow"/>
        <family val="2"/>
      </rPr>
      <t>-</t>
    </r>
    <r>
      <rPr>
        <b/>
        <sz val="10"/>
        <rFont val="宋体"/>
        <family val="3"/>
        <charset val="134"/>
      </rPr>
      <t>⑤</t>
    </r>
    <phoneticPr fontId="10" type="noConversion"/>
  </si>
  <si>
    <r>
      <rPr>
        <b/>
        <sz val="10"/>
        <rFont val="宋体"/>
        <family val="3"/>
        <charset val="134"/>
      </rPr>
      <t>⑦</t>
    </r>
    <phoneticPr fontId="10"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</si>
  <si>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10" type="noConversion"/>
  </si>
  <si>
    <r>
      <rPr>
        <b/>
        <sz val="10"/>
        <color indexed="12"/>
        <rFont val="宋体"/>
        <family val="3"/>
        <charset val="134"/>
      </rPr>
      <t>根据本准则第二十一条规定，企业至少应当于每年年度终了对消耗性和生产性生物资产进行检查，有确凿证据表明生物资产发生减值的，应当计提消耗性生物资产跌价准备或生产性生物资产减值准备。</t>
    </r>
  </si>
  <si>
    <r>
      <rPr>
        <sz val="10"/>
        <color indexed="12"/>
        <rFont val="宋体"/>
        <family val="3"/>
        <charset val="134"/>
      </rPr>
      <t>生物资产存在下列情形之一的，通常表明该生物资产发生了减值：</t>
    </r>
  </si>
  <si>
    <r>
      <rPr>
        <sz val="10"/>
        <color indexed="12"/>
        <rFont val="宋体"/>
        <family val="3"/>
        <charset val="134"/>
      </rPr>
      <t>（一）因遭受火灾、旱灾、水灾、冻灾、台风、冰雹等自然灾害，造成消耗性或生产性生物资产发生实体损坏，影响该资产的进一步生长或生产，从而降低其产生经济利益的能力。</t>
    </r>
  </si>
  <si>
    <r>
      <rPr>
        <sz val="10"/>
        <color indexed="12"/>
        <rFont val="宋体"/>
        <family val="3"/>
        <charset val="134"/>
      </rPr>
      <t>（二）因遭受病虫害或动物疫病侵袭，造成消耗性或生产性生物资产的市场价格大幅度持续下跌，并且在可预见的未来无回升的希望。</t>
    </r>
  </si>
  <si>
    <r>
      <rPr>
        <sz val="10"/>
        <color indexed="12"/>
        <rFont val="宋体"/>
        <family val="3"/>
        <charset val="134"/>
      </rPr>
      <t>（三）因消费者偏好改变而使企业消耗性或生产性生物资产收获的农产品的市场需求发生变化，导致市场价格逐渐下跌。</t>
    </r>
  </si>
  <si>
    <r>
      <rPr>
        <sz val="10"/>
        <color indexed="12"/>
        <rFont val="宋体"/>
        <family val="3"/>
        <charset val="134"/>
      </rPr>
      <t>（四）因企业所处经营环境，如动植物检验检疫标准等发生重大变化，从而对企业产生不利影响，导致消耗性或生产性生物资产的市场价格逐渐下跌。</t>
    </r>
  </si>
  <si>
    <r>
      <rPr>
        <sz val="10"/>
        <color indexed="12"/>
        <rFont val="宋体"/>
        <family val="3"/>
        <charset val="134"/>
      </rPr>
      <t>（五）其他足以证明消耗性或生产性生物资产实质上已经发生减值的情形。</t>
    </r>
  </si>
  <si>
    <r>
      <t>1.</t>
    </r>
    <r>
      <rPr>
        <sz val="10"/>
        <color rgb="FF0000FF"/>
        <rFont val="宋体"/>
        <family val="3"/>
        <charset val="134"/>
      </rPr>
      <t>获取或编制生产性生物资产减值准备明细表，复核加计正确，并与总账数和明细账合计数核对相符；</t>
    </r>
  </si>
  <si>
    <r>
      <t>2.</t>
    </r>
    <r>
      <rPr>
        <sz val="10"/>
        <color rgb="FF0000FF"/>
        <rFont val="宋体"/>
        <family val="3"/>
        <charset val="134"/>
      </rPr>
      <t>检查生产性生物资产减值准备计提和转销的批准程序，取得书面报告等证明文件；检查被审计单位计提固定资产减值准备的依据是否充分，会计处理是否正确；</t>
    </r>
  </si>
  <si>
    <r>
      <t>3.</t>
    </r>
    <r>
      <rPr>
        <sz val="10"/>
        <color rgb="FF0000FF"/>
        <rFont val="宋体"/>
        <family val="3"/>
        <charset val="134"/>
      </rPr>
      <t>检查生产性生物资产转让时，相应的减值准备是否一并结转，会计处理是否正确；</t>
    </r>
  </si>
  <si>
    <r>
      <t>4.</t>
    </r>
    <r>
      <rPr>
        <sz val="10"/>
        <color rgb="FF0000FF"/>
        <rFont val="宋体"/>
        <family val="3"/>
        <charset val="134"/>
      </rPr>
      <t>重新测试被审计单位计提的减值准备是否合理；比较我们预期所估计减值准备和已记录的金额，调查所有重大差异；</t>
    </r>
  </si>
  <si>
    <r>
      <t>5.</t>
    </r>
    <r>
      <rPr>
        <sz val="10"/>
        <color rgb="FF0000FF"/>
        <rFont val="宋体"/>
        <family val="3"/>
        <charset val="134"/>
      </rPr>
      <t>上期确认的固定资产减值准备在本期的变动是否适当。</t>
    </r>
  </si>
  <si>
    <r>
      <rPr>
        <b/>
        <sz val="10"/>
        <color indexed="8"/>
        <rFont val="宋体"/>
        <family val="3"/>
        <charset val="134"/>
      </rPr>
      <t>一、审计目标：</t>
    </r>
    <r>
      <rPr>
        <sz val="10"/>
        <color indexed="8"/>
        <rFont val="宋体"/>
        <family val="3"/>
        <charset val="134"/>
      </rPr>
      <t>生产性生物资产以恰当的金额包括在财务报表中，与之相关的计价或分摊调整已恰当记录，相关披露已得到恰当计量和描述。</t>
    </r>
    <phoneticPr fontId="14" type="noConversion"/>
  </si>
  <si>
    <r>
      <rPr>
        <b/>
        <sz val="10"/>
        <rFont val="宋体"/>
        <family val="3"/>
        <charset val="134"/>
      </rPr>
      <t>二、审计过程：</t>
    </r>
    <phoneticPr fontId="10" type="noConversion"/>
  </si>
  <si>
    <r>
      <rPr>
        <b/>
        <sz val="10"/>
        <rFont val="宋体"/>
        <family val="3"/>
        <charset val="134"/>
      </rPr>
      <t>（一）资产的公允价值减去处置费用后的净额</t>
    </r>
    <phoneticPr fontId="10" type="noConversion"/>
  </si>
  <si>
    <r>
      <rPr>
        <b/>
        <sz val="10"/>
        <rFont val="宋体"/>
        <family val="3"/>
        <charset val="134"/>
      </rPr>
      <t>公允价值</t>
    </r>
    <phoneticPr fontId="10" type="noConversion"/>
  </si>
  <si>
    <r>
      <rPr>
        <b/>
        <sz val="10"/>
        <rFont val="宋体"/>
        <family val="3"/>
        <charset val="134"/>
      </rPr>
      <t>处置费用（资产处置的直接归属费用）</t>
    </r>
    <phoneticPr fontId="10" type="noConversion"/>
  </si>
  <si>
    <r>
      <rPr>
        <b/>
        <sz val="10"/>
        <rFont val="宋体"/>
        <family val="3"/>
        <charset val="134"/>
      </rPr>
      <t>公允价值</t>
    </r>
    <r>
      <rPr>
        <b/>
        <sz val="10"/>
        <rFont val="Arial Narrow"/>
        <family val="2"/>
      </rPr>
      <t>-</t>
    </r>
    <r>
      <rPr>
        <b/>
        <sz val="10"/>
        <rFont val="宋体"/>
        <family val="3"/>
        <charset val="134"/>
      </rPr>
      <t>处置费用</t>
    </r>
    <phoneticPr fontId="10" type="noConversion"/>
  </si>
  <si>
    <r>
      <rPr>
        <b/>
        <sz val="10"/>
        <rFont val="宋体"/>
        <family val="3"/>
        <charset val="134"/>
      </rPr>
      <t>备注</t>
    </r>
    <phoneticPr fontId="10" type="noConversion"/>
  </si>
  <si>
    <r>
      <rPr>
        <sz val="10"/>
        <color indexed="12"/>
        <rFont val="宋体"/>
        <family val="3"/>
        <charset val="134"/>
      </rPr>
      <t>（企业管理层如能证明递增的增长率是合理的，可以以递增的增长率为基础。）</t>
    </r>
    <phoneticPr fontId="10"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</si>
  <si>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年，更长期间需证明合理性。）</t>
    </r>
    <phoneticPr fontId="10" type="noConversion"/>
  </si>
  <si>
    <r>
      <rPr>
        <b/>
        <sz val="10"/>
        <rFont val="宋体"/>
        <family val="3"/>
        <charset val="134"/>
      </rPr>
      <t>债务成本</t>
    </r>
    <r>
      <rPr>
        <b/>
        <sz val="10"/>
        <rFont val="Arial Narrow"/>
        <family val="2"/>
      </rPr>
      <t>Kd</t>
    </r>
    <phoneticPr fontId="10" type="noConversion"/>
  </si>
  <si>
    <r>
      <rPr>
        <b/>
        <sz val="10"/>
        <rFont val="宋体"/>
        <family val="3"/>
        <charset val="134"/>
      </rPr>
      <t>无风险报酬率</t>
    </r>
    <r>
      <rPr>
        <b/>
        <sz val="10"/>
        <rFont val="Arial Narrow"/>
        <family val="2"/>
      </rPr>
      <t>Rf</t>
    </r>
    <phoneticPr fontId="10" type="noConversion"/>
  </si>
  <si>
    <r>
      <rPr>
        <b/>
        <sz val="10"/>
        <rFont val="宋体"/>
        <family val="3"/>
        <charset val="134"/>
      </rPr>
      <t xml:space="preserve">折现率
</t>
    </r>
    <r>
      <rPr>
        <b/>
        <sz val="10"/>
        <rFont val="Arial Narrow"/>
        <family val="2"/>
      </rPr>
      <t>(</t>
    </r>
    <r>
      <rPr>
        <b/>
        <sz val="10"/>
        <rFont val="宋体"/>
        <family val="3"/>
        <charset val="134"/>
      </rPr>
      <t>税前</t>
    </r>
    <r>
      <rPr>
        <b/>
        <sz val="10"/>
        <rFont val="Arial Narrow"/>
        <family val="2"/>
      </rPr>
      <t>)</t>
    </r>
    <phoneticPr fontId="10" type="noConversion"/>
  </si>
  <si>
    <r>
      <rPr>
        <sz val="10"/>
        <color indexed="12"/>
        <rFont val="宋体"/>
        <family val="3"/>
        <charset val="134"/>
      </rPr>
      <t>仍然无法可靠估计资产的公允价值减去处置费用后的净额的，应当以该资产预计未来现金流量的现值作为其可收回金额。</t>
    </r>
    <phoneticPr fontId="10"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</si>
  <si>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10"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</si>
  <si>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10" type="noConversion"/>
  </si>
  <si>
    <r>
      <rPr>
        <sz val="10"/>
        <rFont val="宋体"/>
        <family val="3"/>
        <charset val="134"/>
      </rPr>
      <t>折现率的口径应与现金流的口径一致，即现金流若为税后则相应折现率取税后。</t>
    </r>
    <phoneticPr fontId="10" type="noConversion"/>
  </si>
  <si>
    <r>
      <rPr>
        <sz val="10"/>
        <rFont val="宋体"/>
        <family val="3"/>
        <charset val="134"/>
      </rPr>
      <t>严格来说，计算</t>
    </r>
    <r>
      <rPr>
        <sz val="10"/>
        <rFont val="Arial Narrow"/>
        <family val="2"/>
      </rPr>
      <t>WACC</t>
    </r>
    <r>
      <rPr>
        <sz val="10"/>
        <rFont val="宋体"/>
        <family val="3"/>
        <charset val="134"/>
      </rPr>
      <t>应使用债务总额的市场价值；一般认为负债的市场价值和账面价值相同。</t>
    </r>
    <phoneticPr fontId="10" type="noConversion"/>
  </si>
  <si>
    <r>
      <rPr>
        <b/>
        <sz val="10"/>
        <rFont val="宋体"/>
        <family val="3"/>
        <charset val="134"/>
      </rPr>
      <t>资本总额（</t>
    </r>
    <r>
      <rPr>
        <b/>
        <sz val="10"/>
        <rFont val="Arial Narrow"/>
        <family val="2"/>
      </rPr>
      <t>E</t>
    </r>
    <r>
      <rPr>
        <b/>
        <sz val="10"/>
        <rFont val="宋体"/>
        <family val="3"/>
        <charset val="134"/>
      </rPr>
      <t>）</t>
    </r>
    <phoneticPr fontId="10" type="noConversion"/>
  </si>
  <si>
    <r>
      <rPr>
        <sz val="10"/>
        <rFont val="宋体"/>
        <family val="3"/>
        <charset val="134"/>
      </rPr>
      <t>通常可选择上市交易的政府长期债券的</t>
    </r>
    <r>
      <rPr>
        <b/>
        <sz val="10"/>
        <rFont val="宋体"/>
        <family val="3"/>
        <charset val="134"/>
      </rPr>
      <t>到期收益率</t>
    </r>
    <r>
      <rPr>
        <sz val="10"/>
        <rFont val="宋体"/>
        <family val="3"/>
        <charset val="134"/>
      </rPr>
      <t>（</t>
    </r>
    <r>
      <rPr>
        <sz val="10"/>
        <rFont val="Arial Narrow"/>
        <family val="2"/>
      </rPr>
      <t>10</t>
    </r>
    <r>
      <rPr>
        <sz val="10"/>
        <rFont val="宋体"/>
        <family val="3"/>
        <charset val="134"/>
      </rPr>
      <t>年期财政部债券名义利率）。</t>
    </r>
    <phoneticPr fontId="10" type="noConversion"/>
  </si>
  <si>
    <r>
      <rPr>
        <sz val="10"/>
        <rFont val="宋体"/>
        <family val="3"/>
        <charset val="134"/>
      </rPr>
      <t>指</t>
    </r>
    <r>
      <rPr>
        <sz val="10"/>
        <rFont val="Arial Narrow"/>
        <family val="2"/>
      </rPr>
      <t>β=1</t>
    </r>
    <r>
      <rPr>
        <sz val="10"/>
        <rFont val="宋体"/>
        <family val="3"/>
        <charset val="134"/>
      </rPr>
      <t>的股票要求的收益率，也是指包括所有股票的组合即市场组合要求的收益率。</t>
    </r>
    <phoneticPr fontId="10" type="noConversion"/>
  </si>
  <si>
    <r>
      <rPr>
        <sz val="10"/>
        <rFont val="宋体"/>
        <family val="3"/>
        <charset val="134"/>
      </rPr>
      <t>建议采用几何平均收益率，并应选择较长的时间跨度（既包括经济繁荣时期，也包括经济衰退时期）。</t>
    </r>
    <phoneticPr fontId="10" type="noConversion"/>
  </si>
  <si>
    <r>
      <rPr>
        <sz val="10"/>
        <rFont val="宋体"/>
        <family val="3"/>
        <charset val="134"/>
      </rPr>
      <t>资产组的收益率与市场组合之间的相关性，反映了相对于市场组合而言特定资产的系统风险。</t>
    </r>
    <phoneticPr fontId="10" type="noConversion"/>
  </si>
  <si>
    <r>
      <rPr>
        <sz val="10"/>
        <rFont val="宋体"/>
        <family val="3"/>
        <charset val="134"/>
      </rPr>
      <t>计算</t>
    </r>
    <r>
      <rPr>
        <sz val="10"/>
        <rFont val="Arial Narrow"/>
        <family val="2"/>
      </rPr>
      <t>β</t>
    </r>
    <r>
      <rPr>
        <sz val="10"/>
        <rFont val="宋体"/>
        <family val="3"/>
        <charset val="134"/>
      </rPr>
      <t>值时，需要考虑有关预测期间的长度和收益计量的时间间隔。在公司风险特征无重大变化时，可以采用</t>
    </r>
    <r>
      <rPr>
        <sz val="10"/>
        <rFont val="Arial Narrow"/>
        <family val="2"/>
      </rPr>
      <t>5</t>
    </r>
    <r>
      <rPr>
        <sz val="10"/>
        <rFont val="宋体"/>
        <family val="3"/>
        <charset val="134"/>
      </rPr>
      <t>年或更长的预测期长度；</t>
    </r>
    <phoneticPr fontId="10" type="noConversion"/>
  </si>
  <si>
    <r>
      <rPr>
        <sz val="10"/>
        <rFont val="宋体"/>
        <family val="3"/>
        <charset val="134"/>
      </rPr>
      <t>收益计量的时间间隔一般使用每周或每月的收益率。</t>
    </r>
    <phoneticPr fontId="10" type="noConversion"/>
  </si>
  <si>
    <r>
      <rPr>
        <b/>
        <sz val="10"/>
        <rFont val="宋体"/>
        <family val="3"/>
        <charset val="134"/>
      </rPr>
      <t>关联单位名称</t>
    </r>
    <phoneticPr fontId="10" type="noConversion"/>
  </si>
  <si>
    <r>
      <rPr>
        <b/>
        <sz val="10"/>
        <rFont val="宋体"/>
        <family val="3"/>
        <charset val="134"/>
      </rPr>
      <t>关联方关系</t>
    </r>
    <phoneticPr fontId="10" type="noConversion"/>
  </si>
  <si>
    <r>
      <rPr>
        <b/>
        <sz val="10"/>
        <rFont val="宋体"/>
        <family val="3"/>
        <charset val="134"/>
      </rPr>
      <t>购入时间</t>
    </r>
    <phoneticPr fontId="10" type="noConversion"/>
  </si>
  <si>
    <r>
      <rPr>
        <b/>
        <sz val="10"/>
        <rFont val="宋体"/>
        <family val="3"/>
        <charset val="134"/>
      </rPr>
      <t>定价政策</t>
    </r>
    <phoneticPr fontId="10" type="noConversion"/>
  </si>
  <si>
    <r>
      <rPr>
        <b/>
        <sz val="10"/>
        <rFont val="宋体"/>
        <family val="3"/>
        <charset val="134"/>
      </rPr>
      <t>关联交易是否存在异常</t>
    </r>
    <phoneticPr fontId="10" type="noConversion"/>
  </si>
  <si>
    <r>
      <rPr>
        <b/>
        <sz val="10"/>
        <rFont val="宋体"/>
        <family val="3"/>
        <charset val="134"/>
      </rPr>
      <t>出售固定资产名称</t>
    </r>
    <phoneticPr fontId="10" type="noConversion"/>
  </si>
  <si>
    <r>
      <rPr>
        <b/>
        <sz val="10"/>
        <rFont val="宋体"/>
        <family val="3"/>
        <charset val="134"/>
      </rPr>
      <t>出售时生产性生物资产原值</t>
    </r>
    <phoneticPr fontId="10" type="noConversion"/>
  </si>
  <si>
    <r>
      <rPr>
        <b/>
        <sz val="10"/>
        <rFont val="宋体"/>
        <family val="3"/>
        <charset val="134"/>
      </rPr>
      <t>出售时累计折旧</t>
    </r>
    <phoneticPr fontId="10" type="noConversion"/>
  </si>
  <si>
    <r>
      <rPr>
        <b/>
        <sz val="10"/>
        <rFont val="宋体"/>
        <family val="3"/>
        <charset val="134"/>
      </rPr>
      <t>出售时净值</t>
    </r>
    <phoneticPr fontId="10" type="noConversion"/>
  </si>
  <si>
    <r>
      <rPr>
        <b/>
        <sz val="10"/>
        <rFont val="宋体"/>
        <family val="3"/>
        <charset val="134"/>
      </rPr>
      <t>销售价格
（不含税）</t>
    </r>
    <phoneticPr fontId="10" type="noConversion"/>
  </si>
  <si>
    <r>
      <rPr>
        <b/>
        <sz val="10"/>
        <rFont val="宋体"/>
        <family val="3"/>
        <charset val="134"/>
      </rPr>
      <t>占同类交易金额的比例％</t>
    </r>
    <phoneticPr fontId="10" type="noConversion"/>
  </si>
  <si>
    <r>
      <rPr>
        <b/>
        <sz val="10"/>
        <rFont val="宋体"/>
        <family val="3"/>
        <charset val="134"/>
      </rPr>
      <t>出售时间</t>
    </r>
    <phoneticPr fontId="10" type="noConversion"/>
  </si>
  <si>
    <r>
      <rPr>
        <b/>
        <sz val="10"/>
        <color indexed="8"/>
        <rFont val="宋体"/>
        <family val="3"/>
        <charset val="134"/>
      </rPr>
      <t>三、审计说明：</t>
    </r>
    <phoneticPr fontId="14" type="noConversion"/>
  </si>
  <si>
    <r>
      <rPr>
        <b/>
        <sz val="10"/>
        <color indexed="8"/>
        <rFont val="宋体"/>
        <family val="3"/>
        <charset val="134"/>
      </rPr>
      <t>四、审计结论：</t>
    </r>
    <phoneticPr fontId="14" type="noConversion"/>
  </si>
  <si>
    <r>
      <rPr>
        <sz val="10"/>
        <color rgb="FF0000FF"/>
        <rFont val="宋体"/>
        <family val="3"/>
        <charset val="134"/>
      </rPr>
      <t>勿删</t>
    </r>
    <phoneticPr fontId="10" type="noConversion"/>
  </si>
  <si>
    <r>
      <rPr>
        <sz val="10"/>
        <color rgb="FF0000FF"/>
        <rFont val="宋体"/>
        <family val="3"/>
        <charset val="134"/>
      </rPr>
      <t>关联关系</t>
    </r>
    <phoneticPr fontId="10" type="noConversion"/>
  </si>
  <si>
    <r>
      <rPr>
        <sz val="10"/>
        <color rgb="FF0000FF"/>
        <rFont val="宋体"/>
        <family val="3"/>
        <charset val="134"/>
      </rPr>
      <t>控股股东</t>
    </r>
    <phoneticPr fontId="10" type="noConversion"/>
  </si>
  <si>
    <r>
      <rPr>
        <sz val="10"/>
        <color rgb="FF0000FF"/>
        <rFont val="宋体"/>
        <family val="3"/>
        <charset val="134"/>
      </rPr>
      <t>控股股东、实际控制人的附属企业</t>
    </r>
    <phoneticPr fontId="10" type="noConversion"/>
  </si>
  <si>
    <r>
      <rPr>
        <sz val="10"/>
        <color rgb="FF0000FF"/>
        <rFont val="宋体"/>
        <family val="3"/>
        <charset val="134"/>
      </rPr>
      <t>联营企业</t>
    </r>
    <phoneticPr fontId="10" type="noConversion"/>
  </si>
  <si>
    <r>
      <rPr>
        <sz val="10"/>
        <color rgb="FF0000FF"/>
        <rFont val="宋体"/>
        <family val="3"/>
        <charset val="134"/>
      </rPr>
      <t>合营企业</t>
    </r>
    <phoneticPr fontId="10" type="noConversion"/>
  </si>
  <si>
    <r>
      <rPr>
        <sz val="10"/>
        <color rgb="FF0000FF"/>
        <rFont val="宋体"/>
        <family val="3"/>
        <charset val="134"/>
      </rPr>
      <t>董高监等关键管理人员</t>
    </r>
    <phoneticPr fontId="10" type="noConversion"/>
  </si>
  <si>
    <r>
      <rPr>
        <sz val="10"/>
        <color rgb="FF0000FF"/>
        <rFont val="宋体"/>
        <family val="3"/>
        <charset val="134"/>
      </rPr>
      <t>其他关联方</t>
    </r>
    <phoneticPr fontId="10" type="noConversion"/>
  </si>
  <si>
    <r>
      <rPr>
        <sz val="10"/>
        <color rgb="FF0000FF"/>
        <rFont val="宋体"/>
        <family val="3"/>
        <charset val="134"/>
      </rPr>
      <t>实际控制人</t>
    </r>
    <phoneticPr fontId="10" type="noConversion"/>
  </si>
  <si>
    <r>
      <rPr>
        <b/>
        <sz val="10"/>
        <rFont val="宋体"/>
        <family val="3"/>
        <charset val="134"/>
      </rPr>
      <t>关联交易是否存在异常</t>
    </r>
    <phoneticPr fontId="10"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</si>
  <si>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10" type="noConversion"/>
  </si>
  <si>
    <r>
      <rPr>
        <b/>
        <sz val="10"/>
        <color indexed="8"/>
        <rFont val="宋体"/>
        <family val="3"/>
        <charset val="134"/>
      </rPr>
      <t>一、审计目标</t>
    </r>
    <r>
      <rPr>
        <b/>
        <sz val="10"/>
        <color indexed="8"/>
        <rFont val="Arial Narrow"/>
        <family val="2"/>
      </rPr>
      <t>:</t>
    </r>
    <phoneticPr fontId="14" type="noConversion"/>
  </si>
  <si>
    <r>
      <t>1.</t>
    </r>
    <r>
      <rPr>
        <sz val="10"/>
        <color indexed="8"/>
        <rFont val="宋体"/>
        <family val="3"/>
        <charset val="134"/>
      </rPr>
      <t>资产负债表中记录的生产性生物资产是存在的，且已记录于恰当的账户；</t>
    </r>
    <r>
      <rPr>
        <sz val="10"/>
        <color indexed="8"/>
        <rFont val="Arial Narrow"/>
        <family val="2"/>
      </rPr>
      <t>2.</t>
    </r>
    <r>
      <rPr>
        <sz val="10"/>
        <color indexed="8"/>
        <rFont val="宋体"/>
        <family val="3"/>
        <charset val="134"/>
      </rPr>
      <t>所有应记录的生产性生物资产均已记录，所有应当包括在财务报表中的相关披露均已包括；</t>
    </r>
    <r>
      <rPr>
        <sz val="10"/>
        <color indexed="8"/>
        <rFont val="Arial Narrow"/>
        <family val="2"/>
      </rPr>
      <t>3.</t>
    </r>
    <r>
      <rPr>
        <sz val="10"/>
        <color indexed="8"/>
        <rFont val="宋体"/>
        <family val="3"/>
        <charset val="134"/>
      </rPr>
      <t>记录的生产性生物资产由被审计单位拥有或控制；</t>
    </r>
    <phoneticPr fontId="14" type="noConversion"/>
  </si>
  <si>
    <r>
      <t>4.</t>
    </r>
    <r>
      <rPr>
        <sz val="10"/>
        <color indexed="8"/>
        <rFont val="宋体"/>
        <family val="3"/>
        <charset val="134"/>
      </rPr>
      <t>生产性生物资产以恰当的金额包括在财务报表中，与之相关的计价或分摊调整已恰当记录，相关披露已得到恰当计量和描述；</t>
    </r>
    <r>
      <rPr>
        <sz val="10"/>
        <color indexed="8"/>
        <rFont val="Arial Narrow"/>
        <family val="2"/>
      </rPr>
      <t>5.</t>
    </r>
    <r>
      <rPr>
        <sz val="10"/>
        <color indexed="8"/>
        <rFont val="宋体"/>
        <family val="3"/>
        <charset val="134"/>
      </rPr>
      <t>生产性生物资产已被恰当地汇总或分解且表述清楚，相关披露在按照企业会计准则的编制基础下是相关的、可理解的</t>
    </r>
    <r>
      <rPr>
        <sz val="10"/>
        <color indexed="8"/>
        <rFont val="Arial Narrow"/>
        <family val="2"/>
      </rPr>
      <t>.</t>
    </r>
    <phoneticPr fontId="14" type="noConversion"/>
  </si>
  <si>
    <r>
      <rPr>
        <b/>
        <sz val="10"/>
        <color indexed="8"/>
        <rFont val="宋体"/>
        <family val="3"/>
        <charset val="134"/>
      </rPr>
      <t>二、审计过程：</t>
    </r>
    <phoneticPr fontId="14" type="noConversion"/>
  </si>
  <si>
    <r>
      <rPr>
        <b/>
        <sz val="10"/>
        <rFont val="宋体"/>
        <family val="3"/>
        <charset val="134"/>
      </rPr>
      <t>关联单位名称</t>
    </r>
    <phoneticPr fontId="10" type="noConversion"/>
  </si>
  <si>
    <r>
      <rPr>
        <b/>
        <sz val="10"/>
        <rFont val="宋体"/>
        <family val="3"/>
        <charset val="134"/>
      </rPr>
      <t>关联方关系</t>
    </r>
    <phoneticPr fontId="10" type="noConversion"/>
  </si>
  <si>
    <r>
      <rPr>
        <b/>
        <sz val="10"/>
        <rFont val="宋体"/>
        <family val="3"/>
        <charset val="134"/>
      </rPr>
      <t>购买生产性生物资产名称</t>
    </r>
    <phoneticPr fontId="10" type="noConversion"/>
  </si>
  <si>
    <r>
      <rPr>
        <b/>
        <sz val="10"/>
        <rFont val="宋体"/>
        <family val="3"/>
        <charset val="134"/>
      </rPr>
      <t>购买价款</t>
    </r>
    <phoneticPr fontId="10" type="noConversion"/>
  </si>
  <si>
    <r>
      <rPr>
        <b/>
        <sz val="10"/>
        <rFont val="宋体"/>
        <family val="3"/>
        <charset val="134"/>
      </rPr>
      <t>生产性生物资产入账价值</t>
    </r>
    <phoneticPr fontId="10" type="noConversion"/>
  </si>
  <si>
    <r>
      <rPr>
        <b/>
        <sz val="10"/>
        <rFont val="宋体"/>
        <family val="3"/>
        <charset val="134"/>
      </rPr>
      <t>占同类交易金额的比例％</t>
    </r>
    <phoneticPr fontId="10" type="noConversion"/>
  </si>
  <si>
    <r>
      <rPr>
        <b/>
        <sz val="10"/>
        <rFont val="宋体"/>
        <family val="3"/>
        <charset val="134"/>
      </rPr>
      <t>折旧年限</t>
    </r>
    <phoneticPr fontId="10" type="noConversion"/>
  </si>
  <si>
    <r>
      <rPr>
        <b/>
        <sz val="10"/>
        <rFont val="宋体"/>
        <family val="3"/>
        <charset val="134"/>
      </rPr>
      <t>定价政策</t>
    </r>
    <phoneticPr fontId="10" type="noConversion"/>
  </si>
  <si>
    <r>
      <rPr>
        <b/>
        <sz val="10"/>
        <rFont val="宋体"/>
        <family val="3"/>
        <charset val="134"/>
      </rPr>
      <t>出售时减值准备</t>
    </r>
    <phoneticPr fontId="10" type="noConversion"/>
  </si>
  <si>
    <r>
      <rPr>
        <b/>
        <sz val="12"/>
        <rFont val="宋体"/>
        <family val="3"/>
        <charset val="134"/>
      </rPr>
      <t>致同会计师事务所</t>
    </r>
    <phoneticPr fontId="5" type="noConversion"/>
  </si>
  <si>
    <r>
      <rPr>
        <b/>
        <sz val="12"/>
        <rFont val="宋体"/>
        <family val="3"/>
        <charset val="134"/>
      </rPr>
      <t>致同会计师事务所</t>
    </r>
  </si>
  <si>
    <r>
      <rPr>
        <b/>
        <sz val="12"/>
        <color indexed="8"/>
        <rFont val="宋体"/>
        <family val="3"/>
        <charset val="134"/>
      </rPr>
      <t>致同会计师事务所</t>
    </r>
  </si>
  <si>
    <r>
      <rPr>
        <b/>
        <sz val="14"/>
        <rFont val="宋体"/>
        <family val="3"/>
        <charset val="134"/>
      </rPr>
      <t>生物资产实质性程序表</t>
    </r>
    <phoneticPr fontId="5" type="noConversion"/>
  </si>
  <si>
    <r>
      <rPr>
        <b/>
        <sz val="14"/>
        <rFont val="宋体"/>
        <family val="3"/>
        <charset val="134"/>
      </rPr>
      <t>关联交易检查表</t>
    </r>
    <phoneticPr fontId="10" type="noConversion"/>
  </si>
  <si>
    <r>
      <rPr>
        <b/>
        <sz val="14"/>
        <rFont val="宋体"/>
        <family val="3"/>
        <charset val="134"/>
      </rPr>
      <t>生产性生物资产与消耗性生物资产互转审核表</t>
    </r>
    <phoneticPr fontId="10" type="noConversion"/>
  </si>
  <si>
    <r>
      <rPr>
        <b/>
        <sz val="14"/>
        <rFont val="宋体"/>
        <family val="3"/>
        <charset val="134"/>
      </rPr>
      <t>生产性生物资产监盘小结</t>
    </r>
    <phoneticPr fontId="10" type="noConversion"/>
  </si>
  <si>
    <r>
      <rPr>
        <b/>
        <sz val="14"/>
        <rFont val="宋体"/>
        <family val="3"/>
        <charset val="134"/>
      </rPr>
      <t>生产性生物资产监盘计划</t>
    </r>
    <phoneticPr fontId="10" type="noConversion"/>
  </si>
  <si>
    <r>
      <rPr>
        <b/>
        <sz val="14"/>
        <rFont val="宋体"/>
        <family val="3"/>
        <charset val="134"/>
      </rPr>
      <t>减少检查表（公允价值模式）</t>
    </r>
    <phoneticPr fontId="10" type="noConversion"/>
  </si>
  <si>
    <r>
      <rPr>
        <b/>
        <sz val="14"/>
        <rFont val="宋体"/>
        <family val="3"/>
        <charset val="134"/>
      </rPr>
      <t>减少检查表（成本模式）</t>
    </r>
    <phoneticPr fontId="10" type="noConversion"/>
  </si>
  <si>
    <r>
      <rPr>
        <b/>
        <sz val="14"/>
        <rFont val="宋体"/>
        <family val="3"/>
        <charset val="134"/>
      </rPr>
      <t>增加检查表（成本模式）</t>
    </r>
    <phoneticPr fontId="10" type="noConversion"/>
  </si>
  <si>
    <r>
      <rPr>
        <b/>
        <sz val="14"/>
        <rFont val="宋体"/>
        <family val="3"/>
        <charset val="134"/>
      </rPr>
      <t>生产性生物资产分析表</t>
    </r>
    <phoneticPr fontId="10" type="noConversion"/>
  </si>
  <si>
    <r>
      <rPr>
        <b/>
        <sz val="14"/>
        <color indexed="8"/>
        <rFont val="宋体"/>
        <family val="3"/>
        <charset val="134"/>
      </rPr>
      <t>生产性生物资产相关会计政策</t>
    </r>
    <r>
      <rPr>
        <b/>
        <sz val="14"/>
        <color indexed="8"/>
        <rFont val="Arial Narrow"/>
        <family val="2"/>
      </rPr>
      <t>/</t>
    </r>
    <r>
      <rPr>
        <b/>
        <sz val="14"/>
        <color indexed="8"/>
        <rFont val="宋体"/>
        <family val="3"/>
        <charset val="134"/>
      </rPr>
      <t>估计检查表</t>
    </r>
    <phoneticPr fontId="10" type="noConversion"/>
  </si>
  <si>
    <r>
      <rPr>
        <b/>
        <sz val="14"/>
        <rFont val="宋体"/>
        <family val="3"/>
        <charset val="134"/>
      </rPr>
      <t>生产性生物资产明细表（公允价值模式）</t>
    </r>
    <phoneticPr fontId="10" type="noConversion"/>
  </si>
  <si>
    <r>
      <rPr>
        <b/>
        <sz val="14"/>
        <color indexed="8"/>
        <rFont val="宋体"/>
        <family val="3"/>
        <charset val="134"/>
      </rPr>
      <t>生产性生物资产、累计折旧、减值准备审定表（成本模式）</t>
    </r>
    <phoneticPr fontId="10" type="noConversion"/>
  </si>
  <si>
    <r>
      <rPr>
        <b/>
        <sz val="14"/>
        <rFont val="宋体"/>
        <family val="3"/>
        <charset val="134"/>
      </rPr>
      <t>生产性生物资产减值准备测试表</t>
    </r>
    <r>
      <rPr>
        <b/>
        <sz val="14"/>
        <rFont val="Arial Narrow"/>
        <family val="2"/>
      </rPr>
      <t>-</t>
    </r>
    <r>
      <rPr>
        <b/>
        <sz val="14"/>
        <rFont val="宋体"/>
        <family val="3"/>
        <charset val="134"/>
      </rPr>
      <t>可收回金额</t>
    </r>
    <phoneticPr fontId="10" type="noConversion"/>
  </si>
  <si>
    <r>
      <rPr>
        <b/>
        <sz val="14"/>
        <rFont val="宋体"/>
        <family val="3"/>
        <charset val="134"/>
      </rPr>
      <t>生产性生物资产减值测算表</t>
    </r>
    <phoneticPr fontId="10" type="noConversion"/>
  </si>
  <si>
    <r>
      <rPr>
        <b/>
        <sz val="14"/>
        <rFont val="宋体"/>
        <family val="3"/>
        <charset val="134"/>
      </rPr>
      <t>生产性生物资产折旧测算表</t>
    </r>
    <phoneticPr fontId="10" type="noConversion"/>
  </si>
  <si>
    <r>
      <rPr>
        <b/>
        <sz val="14"/>
        <rFont val="宋体"/>
        <family val="3"/>
        <charset val="134"/>
      </rPr>
      <t>生产性生物资产盘点检查表</t>
    </r>
    <phoneticPr fontId="10" type="noConversion"/>
  </si>
  <si>
    <r>
      <rPr>
        <b/>
        <sz val="14"/>
        <rFont val="宋体"/>
        <family val="3"/>
        <charset val="134"/>
      </rPr>
      <t>增加检查表（公允价值模式）</t>
    </r>
    <phoneticPr fontId="10" type="noConversion"/>
  </si>
  <si>
    <r>
      <rPr>
        <b/>
        <sz val="10"/>
        <rFont val="宋体"/>
        <family val="3"/>
        <charset val="134"/>
      </rPr>
      <t>其中：</t>
    </r>
    <phoneticPr fontId="10" type="noConversion"/>
  </si>
  <si>
    <r>
      <rPr>
        <b/>
        <sz val="10"/>
        <rFont val="宋体"/>
        <family val="3"/>
        <charset val="134"/>
      </rPr>
      <t>其中：</t>
    </r>
    <phoneticPr fontId="10" type="noConversion"/>
  </si>
  <si>
    <r>
      <rPr>
        <b/>
        <sz val="10"/>
        <rFont val="宋体"/>
        <family val="3"/>
        <charset val="134"/>
      </rPr>
      <t>本期减少生产性生物资产合计</t>
    </r>
    <phoneticPr fontId="10" type="noConversion"/>
  </si>
  <si>
    <r>
      <rPr>
        <b/>
        <sz val="10"/>
        <color rgb="FF0000FF"/>
        <rFont val="宋体"/>
        <family val="3"/>
        <charset val="134"/>
      </rPr>
      <t>检查的关键证据和要素根据被审计单位具体情况修改</t>
    </r>
    <phoneticPr fontId="10" type="noConversion"/>
  </si>
  <si>
    <r>
      <rPr>
        <b/>
        <sz val="10"/>
        <rFont val="宋体"/>
        <family val="3"/>
        <charset val="134"/>
      </rPr>
      <t>合计</t>
    </r>
    <phoneticPr fontId="10" type="noConversion"/>
  </si>
  <si>
    <r>
      <rPr>
        <b/>
        <sz val="10"/>
        <rFont val="宋体"/>
        <family val="3"/>
        <charset val="134"/>
      </rPr>
      <t>其中：</t>
    </r>
    <phoneticPr fontId="10" type="noConversion"/>
  </si>
  <si>
    <r>
      <rPr>
        <b/>
        <sz val="10"/>
        <rFont val="宋体"/>
        <family val="3"/>
        <charset val="134"/>
      </rPr>
      <t>合</t>
    </r>
    <r>
      <rPr>
        <b/>
        <sz val="10"/>
        <rFont val="Arial Narrow"/>
        <family val="2"/>
      </rPr>
      <t xml:space="preserve">  </t>
    </r>
    <r>
      <rPr>
        <b/>
        <sz val="10"/>
        <rFont val="宋体"/>
        <family val="3"/>
        <charset val="134"/>
      </rPr>
      <t>计</t>
    </r>
    <phoneticPr fontId="10" type="noConversion"/>
  </si>
  <si>
    <r>
      <rPr>
        <b/>
        <sz val="10"/>
        <rFont val="宋体"/>
        <family val="3"/>
        <charset val="134"/>
      </rPr>
      <t>序号</t>
    </r>
    <phoneticPr fontId="10" type="noConversion"/>
  </si>
  <si>
    <r>
      <rPr>
        <b/>
        <sz val="10"/>
        <rFont val="宋体"/>
        <family val="3"/>
        <charset val="134"/>
      </rPr>
      <t>索引号</t>
    </r>
    <phoneticPr fontId="10" type="noConversion"/>
  </si>
  <si>
    <r>
      <rPr>
        <b/>
        <sz val="14"/>
        <rFont val="宋体"/>
        <family val="3"/>
        <charset val="134"/>
      </rPr>
      <t>生产性生物资产、累计折旧及减值准备明细表</t>
    </r>
    <phoneticPr fontId="10" type="noConversion"/>
  </si>
  <si>
    <t>索引号：</t>
    <phoneticPr fontId="10" type="noConversion"/>
  </si>
  <si>
    <t>页  次：</t>
    <phoneticPr fontId="10" type="noConversion"/>
  </si>
  <si>
    <t>H0</t>
    <phoneticPr fontId="10" type="noConversion"/>
  </si>
  <si>
    <t>2.审计说明可以概述:(1)程序的测试情况、结果;(2)拟调整事项及其调整分录、未调整事项及其影响，审计范围受到限制情况及其影响。</t>
    <phoneticPr fontId="10" type="noConversion"/>
  </si>
  <si>
    <t>3.审计结论可参考：A、未见异常。 B、除上述重大不符事项应当作为调整事项予以调整外，其余未见异常。
C、由于存在以下重大未调整事项(或审计范围受到限制无法获取充分、适当证据)，不可确认。</t>
    <phoneticPr fontId="10" type="noConversion"/>
  </si>
  <si>
    <t>三、审计说明</t>
    <phoneticPr fontId="10" type="noConversion"/>
  </si>
  <si>
    <t>1</t>
    <phoneticPr fontId="10" type="noConversion"/>
  </si>
  <si>
    <t>8</t>
  </si>
  <si>
    <t>9</t>
  </si>
  <si>
    <t>10</t>
  </si>
  <si>
    <t>11</t>
  </si>
  <si>
    <t>12</t>
  </si>
  <si>
    <t>13</t>
  </si>
  <si>
    <t>14</t>
  </si>
  <si>
    <t>15</t>
  </si>
  <si>
    <t>16</t>
  </si>
  <si>
    <t>17</t>
  </si>
  <si>
    <t>18</t>
  </si>
  <si>
    <r>
      <rPr>
        <b/>
        <sz val="10"/>
        <rFont val="宋体"/>
        <family val="3"/>
        <charset val="134"/>
      </rPr>
      <t>（</t>
    </r>
    <r>
      <rPr>
        <b/>
        <sz val="10"/>
        <rFont val="Arial Narrow"/>
        <family val="2"/>
      </rPr>
      <t>1</t>
    </r>
    <r>
      <rPr>
        <b/>
        <sz val="10"/>
        <rFont val="宋体"/>
        <family val="3"/>
        <charset val="134"/>
      </rPr>
      <t>）向合并范围外关联方采购生产性生物资产</t>
    </r>
    <phoneticPr fontId="10" type="noConversion"/>
  </si>
  <si>
    <r>
      <rPr>
        <b/>
        <sz val="10"/>
        <rFont val="宋体"/>
        <family val="3"/>
        <charset val="134"/>
      </rPr>
      <t>（</t>
    </r>
    <r>
      <rPr>
        <b/>
        <sz val="10"/>
        <rFont val="Arial Narrow"/>
        <family val="2"/>
      </rPr>
      <t>2</t>
    </r>
    <r>
      <rPr>
        <b/>
        <sz val="10"/>
        <rFont val="宋体"/>
        <family val="3"/>
        <charset val="134"/>
      </rPr>
      <t>）向合并范围外关联方出售生产性生物资产</t>
    </r>
    <phoneticPr fontId="10" type="noConversion"/>
  </si>
  <si>
    <t>勾稽关系情况</t>
    <phoneticPr fontId="10" type="noConversion"/>
  </si>
  <si>
    <t>勾稽一致，详见xx-XX</t>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</si>
  <si>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</si>
  <si>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</si>
  <si>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</si>
  <si>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t>对手方名称</t>
  </si>
  <si>
    <t>对手方名称</t>
    <phoneticPr fontId="10" type="noConversion"/>
  </si>
  <si>
    <t>提示：本底稿适用于调整分录较多、较复杂的项目，且仅列示与本报表项目相关的审计调整。项目组可根据项目实际情况选择是否使用该底稿。</t>
    <phoneticPr fontId="10" type="noConversion"/>
  </si>
  <si>
    <r>
      <t>1.</t>
    </r>
    <r>
      <rPr>
        <sz val="10"/>
        <color indexed="8"/>
        <rFont val="宋体"/>
        <family val="3"/>
        <charset val="134"/>
      </rPr>
      <t>所有应记录的生产性生物资产均已记录，所有应当包括在财务报表中的相关披露均已包括；</t>
    </r>
    <phoneticPr fontId="10" type="noConversion"/>
  </si>
  <si>
    <r>
      <t>2.</t>
    </r>
    <r>
      <rPr>
        <sz val="10"/>
        <rFont val="宋体"/>
        <family val="3"/>
        <charset val="134"/>
      </rPr>
      <t>生产性生物资产以恰当的金额包括在财务报表中，与之相关的计价或分摊调整已恰当记录，相关披露已得到恰当计量和描述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0" type="noConversion"/>
  </si>
  <si>
    <t>提示：</t>
    <phoneticPr fontId="10" type="noConversion"/>
  </si>
  <si>
    <t>提示：</t>
    <phoneticPr fontId="10" type="noConversion"/>
  </si>
  <si>
    <t>提示：</t>
    <phoneticPr fontId="10" type="noConversion"/>
  </si>
  <si>
    <t>提示：</t>
    <phoneticPr fontId="10" type="noConversion"/>
  </si>
  <si>
    <t>提示：</t>
    <phoneticPr fontId="10" type="noConversion"/>
  </si>
  <si>
    <t>提示：</t>
    <phoneticPr fontId="10" type="noConversion"/>
  </si>
  <si>
    <t>提示：</t>
    <phoneticPr fontId="10" type="noConversion"/>
  </si>
  <si>
    <r>
      <rPr>
        <sz val="10"/>
        <rFont val="宋体"/>
        <family val="3"/>
        <charset val="134"/>
      </rPr>
      <t>获取或编制生产性生物资产的明细表，完成以下工作，并编制审定表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）结合生产性生物资产减值准备科目和报表数核对是否相符
（</t>
    </r>
    <r>
      <rPr>
        <sz val="10"/>
        <rFont val="Arial Narrow"/>
        <family val="2"/>
      </rPr>
      <t>3</t>
    </r>
    <r>
      <rPr>
        <sz val="10"/>
        <rFont val="宋体"/>
        <family val="3"/>
        <charset val="134"/>
      </rPr>
      <t>）询问闲置资产或未入账资产处置情况（如有）。</t>
    </r>
    <r>
      <rPr>
        <sz val="10"/>
        <rFont val="Arial Narrow"/>
        <family val="2"/>
      </rPr>
      <t xml:space="preserve"> </t>
    </r>
    <phoneticPr fontId="10" type="noConversion"/>
  </si>
  <si>
    <r>
      <rPr>
        <sz val="10"/>
        <color theme="1"/>
        <rFont val="宋体"/>
        <family val="3"/>
        <charset val="134"/>
      </rPr>
      <t>常规★</t>
    </r>
    <phoneticPr fontId="5" type="noConversion"/>
  </si>
  <si>
    <r>
      <rPr>
        <sz val="10"/>
        <color theme="1"/>
        <rFont val="宋体"/>
        <family val="3"/>
        <charset val="134"/>
      </rPr>
      <t>√</t>
    </r>
    <phoneticPr fontId="10" type="noConversion"/>
  </si>
  <si>
    <r>
      <rPr>
        <b/>
        <sz val="10"/>
        <color theme="1"/>
        <rFont val="宋体"/>
        <family val="3"/>
        <charset val="134"/>
      </rPr>
      <t>√</t>
    </r>
    <phoneticPr fontId="10"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</si>
  <si>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5"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</si>
  <si>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5" type="noConversion"/>
  </si>
  <si>
    <r>
      <rPr>
        <sz val="10"/>
        <rFont val="宋体"/>
        <family val="3"/>
        <charset val="134"/>
      </rPr>
      <t>对期初余额的审计，取得上期固定资产明细表复核加计是否正确，与总账、明细账合计数是否相符；</t>
    </r>
    <r>
      <rPr>
        <sz val="10"/>
        <rFont val="Arial Narrow"/>
        <family val="2"/>
      </rPr>
      <t xml:space="preserve"> </t>
    </r>
    <r>
      <rPr>
        <sz val="10"/>
        <rFont val="宋体"/>
        <family val="3"/>
        <charset val="134"/>
      </rPr>
      <t>重新测算期初累计折旧余额准确性；对单项金额重大资产，进行实地查看资产或检查支持性文件，其他必要追加的审计程序。</t>
    </r>
    <r>
      <rPr>
        <sz val="10"/>
        <color rgb="FFFF0000"/>
        <rFont val="宋体"/>
        <family val="3"/>
        <charset val="134"/>
      </rPr>
      <t>（适用于首次承接）</t>
    </r>
    <phoneticPr fontId="10" type="noConversion"/>
  </si>
  <si>
    <r>
      <rPr>
        <sz val="10"/>
        <color theme="1"/>
        <rFont val="宋体"/>
        <family val="3"/>
        <charset val="134"/>
      </rPr>
      <t>备选</t>
    </r>
    <phoneticPr fontId="10" type="noConversion"/>
  </si>
  <si>
    <r>
      <rPr>
        <b/>
        <sz val="10"/>
        <rFont val="宋体"/>
        <family val="3"/>
        <charset val="134"/>
      </rPr>
      <t>√</t>
    </r>
    <phoneticPr fontId="10" type="noConversion"/>
  </si>
  <si>
    <r>
      <rPr>
        <sz val="10"/>
        <rFont val="宋体"/>
        <family val="3"/>
        <charset val="134"/>
      </rPr>
      <t>√</t>
    </r>
    <phoneticPr fontId="10"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</si>
  <si>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）生产性生物资产资产的初始计量；
（</t>
    </r>
    <r>
      <rPr>
        <sz val="10"/>
        <rFont val="Arial Narrow"/>
        <family val="2"/>
      </rPr>
      <t>2</t>
    </r>
    <r>
      <rPr>
        <sz val="10"/>
        <rFont val="宋体"/>
        <family val="3"/>
        <charset val="134"/>
      </rPr>
      <t>）生产性生物资产折旧</t>
    </r>
    <r>
      <rPr>
        <sz val="10"/>
        <rFont val="Arial Narrow"/>
        <family val="2"/>
      </rPr>
      <t>/</t>
    </r>
    <r>
      <rPr>
        <sz val="10"/>
        <rFont val="宋体"/>
        <family val="3"/>
        <charset val="134"/>
      </rPr>
      <t>减值的政策和方法；
（</t>
    </r>
    <r>
      <rPr>
        <sz val="10"/>
        <rFont val="Arial Narrow"/>
        <family val="2"/>
      </rPr>
      <t>3</t>
    </r>
    <r>
      <rPr>
        <sz val="10"/>
        <rFont val="宋体"/>
        <family val="3"/>
        <charset val="134"/>
      </rPr>
      <t>）生产性生物资产的后续支出（包括支出费用化和资本化）及终止确认。</t>
    </r>
    <phoneticPr fontId="10" type="noConversion"/>
  </si>
  <si>
    <r>
      <rPr>
        <b/>
        <sz val="10"/>
        <rFont val="宋体"/>
        <family val="3"/>
        <charset val="134"/>
      </rPr>
      <t>√</t>
    </r>
    <phoneticPr fontId="10" type="noConversion"/>
  </si>
  <si>
    <t>执行分析性程序，考虑识别需要执行额外程序的领域：
（1）分析本期和上期生产性生物资产净值占资产总额比例、当期计提折旧额、累计折旧及减值准备余额分别占生产性生物资产原值比例是否异常；
（2）分析生产性生物资产周转率、原值与本期产品产量的比率等指标，并与以前年度对比；
（3）分析管护费、管护费占生产性生物资产、管护费占营业收入等的比例，并与以前年度对比；</t>
    <phoneticPr fontId="10" type="noConversion"/>
  </si>
  <si>
    <t>计算生产性生物资产养殖成本占生产性生物资产原值的比例，并进行本期各月、本期与以前各期的比较。</t>
    <phoneticPr fontId="10" type="noConversion"/>
  </si>
  <si>
    <t>IPO/上市/新三板/重组/舞弊应对</t>
    <phoneticPr fontId="5" type="noConversion"/>
  </si>
  <si>
    <r>
      <rPr>
        <sz val="10"/>
        <rFont val="宋体"/>
        <family val="3"/>
        <charset val="134"/>
      </rPr>
      <t>检查本期新增的生产性生物资产：
（</t>
    </r>
    <r>
      <rPr>
        <sz val="10"/>
        <rFont val="Arial Narrow"/>
        <family val="2"/>
      </rPr>
      <t>1</t>
    </r>
    <r>
      <rPr>
        <sz val="10"/>
        <rFont val="宋体"/>
        <family val="3"/>
        <charset val="134"/>
      </rPr>
      <t>）对于外购的生产性生物资产，检查购置合同、发票、保险单、发运凭证等文件，抽查测试其计价是否正确，会计处理是否正确；如果购买生物资产的价款超过正常信用条件延期支付，检查实质上是否具有融资性质，生物资产的成本是否以购买价款的现值为基础确定。
（</t>
    </r>
    <r>
      <rPr>
        <sz val="10"/>
        <rFont val="Arial Narrow"/>
        <family val="2"/>
      </rPr>
      <t>2</t>
    </r>
    <r>
      <rPr>
        <sz val="10"/>
        <rFont val="宋体"/>
        <family val="3"/>
        <charset val="134"/>
      </rPr>
      <t>）对于盘盈的生产性生物资产，检查生物资产计价及确认的损益是否符合会计准则及相关规定。</t>
    </r>
    <phoneticPr fontId="10" type="noConversion"/>
  </si>
  <si>
    <r>
      <rPr>
        <sz val="10"/>
        <rFont val="宋体"/>
        <family val="3"/>
        <charset val="134"/>
      </rPr>
      <t>检查本期生产性生物资产的处置：
（</t>
    </r>
    <r>
      <rPr>
        <sz val="10"/>
        <rFont val="Arial Narrow"/>
        <family val="2"/>
      </rPr>
      <t>1</t>
    </r>
    <r>
      <rPr>
        <sz val="10"/>
        <rFont val="宋体"/>
        <family val="3"/>
        <charset val="134"/>
      </rPr>
      <t>）检查处置、报废等相关的合同、发票及其他文件，确认已经办理审批手续，相关收益或损失已正确计算，并进行正确的会计处理。
（</t>
    </r>
    <r>
      <rPr>
        <sz val="10"/>
        <rFont val="Arial Narrow"/>
        <family val="2"/>
      </rPr>
      <t>2</t>
    </r>
    <r>
      <rPr>
        <sz val="10"/>
        <rFont val="宋体"/>
        <family val="3"/>
        <charset val="134"/>
      </rPr>
      <t>）检查死亡或毁损的生产性生物资产是否经授权批准，会计处理是否正确；</t>
    </r>
    <phoneticPr fontId="10" type="noConversion"/>
  </si>
  <si>
    <t>备选</t>
  </si>
  <si>
    <r>
      <rPr>
        <b/>
        <sz val="10"/>
        <rFont val="宋体"/>
        <family val="3"/>
        <charset val="134"/>
      </rPr>
      <t>√</t>
    </r>
    <phoneticPr fontId="10" type="noConversion"/>
  </si>
  <si>
    <r>
      <rPr>
        <sz val="10"/>
        <rFont val="宋体"/>
        <family val="3"/>
        <charset val="134"/>
      </rPr>
      <t>√</t>
    </r>
    <phoneticPr fontId="10" type="noConversion"/>
  </si>
  <si>
    <r>
      <rPr>
        <sz val="10"/>
        <rFont val="宋体"/>
        <family val="3"/>
        <charset val="134"/>
      </rPr>
      <t>监盘生产性生物资产：
（</t>
    </r>
    <r>
      <rPr>
        <sz val="10"/>
        <rFont val="Arial Narrow"/>
        <family val="2"/>
      </rPr>
      <t>1</t>
    </r>
    <r>
      <rPr>
        <sz val="10"/>
        <rFont val="宋体"/>
        <family val="3"/>
        <charset val="134"/>
      </rPr>
      <t>）取得公司生产性生物资产清单，盘点范围考虑包括本期新增、容易侵占、重要、数量巨大、已损坏项目、存放在第三方及其他异常等。
（</t>
    </r>
    <r>
      <rPr>
        <sz val="10"/>
        <rFont val="Arial Narrow"/>
        <family val="2"/>
      </rPr>
      <t>2</t>
    </r>
    <r>
      <rPr>
        <sz val="10"/>
        <rFont val="宋体"/>
        <family val="3"/>
        <charset val="134"/>
      </rPr>
      <t>）获取被审计单位对于生产性生物资产的盘点计划，制定和实施监盘计划（如有）及盘点控制文件的复印件（如：盘点清单，标签控制清单）；
（</t>
    </r>
    <r>
      <rPr>
        <sz val="10"/>
        <rFont val="Arial Narrow"/>
        <family val="2"/>
      </rPr>
      <t>3</t>
    </r>
    <r>
      <rPr>
        <sz val="10"/>
        <rFont val="宋体"/>
        <family val="3"/>
        <charset val="134"/>
      </rPr>
      <t>）取得生产性生物资产存放地点清单，初步确定监盘方式、时间、监盘计划；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）检查生产性生物资产的状态（未成材、成材等）；
（</t>
    </r>
    <r>
      <rPr>
        <sz val="10"/>
        <rFont val="Arial Narrow"/>
        <family val="2"/>
      </rPr>
      <t>6</t>
    </r>
    <r>
      <rPr>
        <sz val="10"/>
        <rFont val="宋体"/>
        <family val="3"/>
        <charset val="134"/>
      </rPr>
      <t>）执行抽盘，注册会计师从生产性生物资产盘点记录追查至生产性生物资产实物，以及从生产性生物资产实物中选取项目追查至生产性生物资产清单，将抽盘结果与账面核对；
（</t>
    </r>
    <r>
      <rPr>
        <sz val="10"/>
        <rFont val="Arial Narrow"/>
        <family val="2"/>
      </rPr>
      <t>7</t>
    </r>
    <r>
      <rPr>
        <sz val="10"/>
        <rFont val="宋体"/>
        <family val="3"/>
        <charset val="134"/>
      </rPr>
      <t>）评价生产性生物资产盘点结果，完成监盘小结。</t>
    </r>
    <phoneticPr fontId="10" type="noConversion"/>
  </si>
  <si>
    <r>
      <rPr>
        <sz val="10"/>
        <rFont val="宋体"/>
        <family val="3"/>
        <charset val="134"/>
      </rPr>
      <t>√</t>
    </r>
    <phoneticPr fontId="10" type="noConversion"/>
  </si>
  <si>
    <t xml:space="preserve">存放其他地方的资产（如有），考虑实地观察或函证由其他人保管或保管在盘点地之外的资产。 </t>
    <phoneticPr fontId="10" type="noConversion"/>
  </si>
  <si>
    <r>
      <rPr>
        <sz val="10"/>
        <rFont val="宋体"/>
        <family val="3"/>
        <charset val="134"/>
      </rPr>
      <t>检查累计折旧，考虑执行以下程序：
（</t>
    </r>
    <r>
      <rPr>
        <sz val="10"/>
        <rFont val="Arial Narrow"/>
        <family val="2"/>
      </rPr>
      <t>1</t>
    </r>
    <r>
      <rPr>
        <sz val="10"/>
        <rFont val="宋体"/>
        <family val="3"/>
        <charset val="134"/>
      </rPr>
      <t>）获取或编制累计折旧分类汇总表，复核加计正确，并与总账数和明细账合计数核对。
（</t>
    </r>
    <r>
      <rPr>
        <sz val="10"/>
        <rFont val="Arial Narrow"/>
        <family val="2"/>
      </rPr>
      <t>2</t>
    </r>
    <r>
      <rPr>
        <sz val="10"/>
        <rFont val="宋体"/>
        <family val="3"/>
        <charset val="134"/>
      </rPr>
      <t>）重新计算折旧。
（</t>
    </r>
    <r>
      <rPr>
        <sz val="10"/>
        <rFont val="Arial Narrow"/>
        <family val="2"/>
      </rPr>
      <t>3</t>
    </r>
    <r>
      <rPr>
        <sz val="10"/>
        <rFont val="宋体"/>
        <family val="3"/>
        <charset val="134"/>
      </rPr>
      <t>）获取暂时闲置、已提足折旧仍继续使用和前期已计提减值准备的生产性生物资产的相关证明文件，并观察其实际状况，检查是否已按规定计提折旧；</t>
    </r>
    <r>
      <rPr>
        <sz val="10"/>
        <rFont val="Arial Narrow"/>
        <family val="2"/>
      </rPr>
      <t xml:space="preserve"> 
</t>
    </r>
    <r>
      <rPr>
        <sz val="10"/>
        <rFont val="宋体"/>
        <family val="3"/>
        <charset val="134"/>
      </rPr>
      <t>（</t>
    </r>
    <r>
      <rPr>
        <sz val="10"/>
        <rFont val="Arial Narrow"/>
        <family val="2"/>
      </rPr>
      <t>4</t>
    </r>
    <r>
      <rPr>
        <sz val="10"/>
        <rFont val="宋体"/>
        <family val="3"/>
        <charset val="134"/>
      </rPr>
      <t>）检查折旧分配到成本、费用的情况，关注分配是否合理，与上期分配方法是否一致。</t>
    </r>
    <phoneticPr fontId="10" type="noConversion"/>
  </si>
  <si>
    <t>根据评估的舞弊风险等因素增加的审计程序。</t>
    <phoneticPr fontId="10" type="noConversion"/>
  </si>
  <si>
    <t>检查生产性生物资产保险情况，复核保险范围是否足够。</t>
    <phoneticPr fontId="10" type="noConversion"/>
  </si>
  <si>
    <t>检查生产性生物资产、抵押和担保情况等是否已按企业会计准则或其他适用的规定在财务报表中做出恰当列报和披露</t>
    <phoneticPr fontId="5" type="noConversion"/>
  </si>
  <si>
    <r>
      <rPr>
        <sz val="10"/>
        <rFont val="宋体"/>
        <family val="3"/>
        <charset val="134"/>
      </rPr>
      <t>期末数</t>
    </r>
    <phoneticPr fontId="14" type="noConversion"/>
  </si>
  <si>
    <r>
      <rPr>
        <sz val="10"/>
        <rFont val="宋体"/>
        <family val="3"/>
        <charset val="134"/>
      </rPr>
      <t>期初数</t>
    </r>
    <phoneticPr fontId="14" type="noConversion"/>
  </si>
  <si>
    <r>
      <t>1</t>
    </r>
    <r>
      <rPr>
        <b/>
        <sz val="10"/>
        <rFont val="宋体"/>
        <family val="3"/>
        <charset val="134"/>
      </rPr>
      <t>、审计说明：</t>
    </r>
    <phoneticPr fontId="10" type="noConversion"/>
  </si>
  <si>
    <r>
      <rPr>
        <sz val="10"/>
        <rFont val="宋体"/>
        <family val="3"/>
        <charset val="134"/>
      </rPr>
      <t>（</t>
    </r>
    <r>
      <rPr>
        <sz val="10"/>
        <rFont val="Arial Narrow"/>
        <family val="2"/>
      </rPr>
      <t>1</t>
    </r>
    <r>
      <rPr>
        <sz val="10"/>
        <rFont val="宋体"/>
        <family val="3"/>
        <charset val="134"/>
      </rPr>
      <t>）生产性生物资产期末净值较期初净值增加（负数为减少）：</t>
    </r>
    <phoneticPr fontId="10"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</si>
  <si>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0" type="noConversion"/>
  </si>
  <si>
    <r>
      <rPr>
        <sz val="10"/>
        <rFont val="宋体"/>
        <family val="3"/>
        <charset val="134"/>
      </rPr>
      <t>（</t>
    </r>
    <r>
      <rPr>
        <sz val="10"/>
        <rFont val="Arial Narrow"/>
        <family val="2"/>
      </rPr>
      <t>2</t>
    </r>
    <r>
      <rPr>
        <sz val="10"/>
        <rFont val="宋体"/>
        <family val="3"/>
        <charset val="134"/>
      </rPr>
      <t>）本期外购情况说明：</t>
    </r>
    <phoneticPr fontId="10" type="noConversion"/>
  </si>
  <si>
    <r>
      <rPr>
        <sz val="10"/>
        <rFont val="宋体"/>
        <family val="3"/>
        <charset val="134"/>
      </rPr>
      <t>（</t>
    </r>
    <r>
      <rPr>
        <sz val="10"/>
        <rFont val="Arial Narrow"/>
        <family val="2"/>
      </rPr>
      <t>3</t>
    </r>
    <r>
      <rPr>
        <sz val="10"/>
        <rFont val="宋体"/>
        <family val="3"/>
        <charset val="134"/>
      </rPr>
      <t>）自行营造或繁殖的生产性生物资产的成本情况说明：</t>
    </r>
    <phoneticPr fontId="10" type="noConversion"/>
  </si>
  <si>
    <r>
      <rPr>
        <sz val="10"/>
        <rFont val="宋体"/>
        <family val="3"/>
        <charset val="134"/>
      </rPr>
      <t>（</t>
    </r>
    <r>
      <rPr>
        <sz val="10"/>
        <rFont val="Arial Narrow"/>
        <family val="2"/>
      </rPr>
      <t>4</t>
    </r>
    <r>
      <rPr>
        <sz val="10"/>
        <rFont val="宋体"/>
        <family val="3"/>
        <charset val="134"/>
      </rPr>
      <t>）处置或其他情况说明：</t>
    </r>
    <phoneticPr fontId="10" type="noConversion"/>
  </si>
  <si>
    <r>
      <rPr>
        <sz val="10"/>
        <rFont val="宋体"/>
        <family val="3"/>
        <charset val="134"/>
      </rPr>
      <t>（</t>
    </r>
    <r>
      <rPr>
        <sz val="10"/>
        <rFont val="Arial Narrow"/>
        <family val="2"/>
      </rPr>
      <t>5</t>
    </r>
    <r>
      <rPr>
        <sz val="10"/>
        <rFont val="宋体"/>
        <family val="3"/>
        <charset val="134"/>
      </rPr>
      <t>）与试算平衡表核对</t>
    </r>
    <phoneticPr fontId="10" type="noConversion"/>
  </si>
  <si>
    <r>
      <rPr>
        <sz val="10"/>
        <rFont val="宋体"/>
        <family val="3"/>
        <charset val="134"/>
      </rPr>
      <t>生产性生物资产净值审定数</t>
    </r>
    <phoneticPr fontId="14" type="noConversion"/>
  </si>
  <si>
    <r>
      <rPr>
        <sz val="10"/>
        <rFont val="宋体"/>
        <family val="3"/>
        <charset val="134"/>
      </rPr>
      <t>试算平衡表数</t>
    </r>
    <phoneticPr fontId="14" type="noConversion"/>
  </si>
  <si>
    <r>
      <rPr>
        <sz val="10"/>
        <rFont val="宋体"/>
        <family val="3"/>
        <charset val="134"/>
      </rPr>
      <t>差异</t>
    </r>
    <phoneticPr fontId="14" type="noConversion"/>
  </si>
  <si>
    <r>
      <t>2</t>
    </r>
    <r>
      <rPr>
        <b/>
        <sz val="10"/>
        <rFont val="宋体"/>
        <family val="3"/>
        <charset val="134"/>
      </rPr>
      <t>、审计结论：</t>
    </r>
    <phoneticPr fontId="10" type="noConversion"/>
  </si>
  <si>
    <t>结合生产性生物资产清单和盘点程序，了解生产性生物资产的状态。针对存在减值迹象的生产性生物资产，考虑执行下列程序：
获取被审计单位在资产负债表日就生产性生物资产是否可能发生减值迹象的判断的说明，判断其合理性。对于已计提减值准备的生产性生物资产，检查减值测试相关参数是否合理，减值准备计提是否正确。对于管理层聘请评估专家出具的评估报告，复核评估报告。</t>
    <phoneticPr fontId="10" type="noConversion"/>
  </si>
  <si>
    <t>对采用公允价值计量的生产性生物资产：取得公允价值计算过程，关注公允价值来源和依据是否合理，与上期计价方法是否一致，复核公允价值计算是否正确。</t>
    <phoneticPr fontId="10" type="noConversion"/>
  </si>
  <si>
    <t>备选</t>
    <phoneticPr fontId="10" type="noConversion"/>
  </si>
  <si>
    <r>
      <rPr>
        <b/>
        <sz val="10"/>
        <rFont val="宋体"/>
        <family val="3"/>
        <charset val="134"/>
      </rPr>
      <t>一、审计目标：</t>
    </r>
    <r>
      <rPr>
        <sz val="10"/>
        <rFont val="Arial Narrow"/>
        <family val="2"/>
      </rPr>
      <t>1.</t>
    </r>
    <r>
      <rPr>
        <sz val="10"/>
        <rFont val="宋体"/>
        <family val="3"/>
        <charset val="134"/>
      </rPr>
      <t>资产负债表中记录的生产性生物资产是存在的，且已记录于恰当的账户；</t>
    </r>
    <r>
      <rPr>
        <sz val="10"/>
        <rFont val="Arial Narrow"/>
        <family val="2"/>
      </rPr>
      <t>2.</t>
    </r>
    <r>
      <rPr>
        <sz val="10"/>
        <rFont val="宋体"/>
        <family val="3"/>
        <charset val="134"/>
      </rPr>
      <t>所有应记录的生产性生物资产均已记录，所有应当包括在财务报表中的相关披露均已包括；</t>
    </r>
    <r>
      <rPr>
        <sz val="10"/>
        <rFont val="Arial Narrow"/>
        <family val="2"/>
      </rPr>
      <t>3.</t>
    </r>
    <r>
      <rPr>
        <sz val="10"/>
        <rFont val="宋体"/>
        <family val="3"/>
        <charset val="134"/>
      </rPr>
      <t>记录的生产性生物资产由被审计单位拥有或控制；</t>
    </r>
    <r>
      <rPr>
        <sz val="10"/>
        <rFont val="Arial Narrow"/>
        <family val="2"/>
      </rPr>
      <t>4.</t>
    </r>
    <r>
      <rPr>
        <sz val="10"/>
        <rFont val="宋体"/>
        <family val="3"/>
        <charset val="134"/>
      </rPr>
      <t>生产性生物资产以恰当的金额包括在财务报表中，与之相关的计价或分摊调整已恰当记录，相关披露已得到恰当计量和描述。</t>
    </r>
    <phoneticPr fontId="37" type="noConversion"/>
  </si>
  <si>
    <r>
      <rPr>
        <sz val="10"/>
        <color rgb="FF0000FF"/>
        <rFont val="宋体"/>
        <family val="3"/>
        <charset val="134"/>
      </rPr>
      <t>如生产性生物资产借方发生额所有凭证共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
    </r>
    <phoneticPr fontId="10" type="noConversion"/>
  </si>
  <si>
    <r>
      <rPr>
        <b/>
        <sz val="10"/>
        <rFont val="宋体"/>
        <family val="3"/>
        <charset val="134"/>
      </rPr>
      <t>一、审计目标：</t>
    </r>
    <r>
      <rPr>
        <sz val="10"/>
        <rFont val="Arial Narrow"/>
        <family val="2"/>
      </rPr>
      <t xml:space="preserve">1. </t>
    </r>
    <r>
      <rPr>
        <sz val="10"/>
        <rFont val="宋体"/>
        <family val="3"/>
        <charset val="134"/>
      </rPr>
      <t>资产负债表中记录的生产性生物资产是存在的，且已记录于恰当的账户；</t>
    </r>
    <r>
      <rPr>
        <sz val="10"/>
        <rFont val="Arial Narrow"/>
        <family val="2"/>
      </rPr>
      <t xml:space="preserve">2. </t>
    </r>
    <r>
      <rPr>
        <sz val="10"/>
        <rFont val="宋体"/>
        <family val="3"/>
        <charset val="134"/>
      </rPr>
      <t>所有应记录的生产性生物资产均已记录，所有应当包括在财务报表中的相关披露均已包括；</t>
    </r>
    <r>
      <rPr>
        <sz val="10"/>
        <rFont val="Arial Narrow"/>
        <family val="2"/>
      </rPr>
      <t xml:space="preserve">3. </t>
    </r>
    <r>
      <rPr>
        <sz val="10"/>
        <rFont val="宋体"/>
        <family val="3"/>
        <charset val="134"/>
      </rPr>
      <t>生产性生物资产以恰当的金额包括在财务报表中，与之相关的计价或分摊调整已恰当记录，相关披露已得到恰当计量和描述。</t>
    </r>
    <phoneticPr fontId="37" type="noConversion"/>
  </si>
  <si>
    <r>
      <rPr>
        <sz val="10"/>
        <color rgb="FF0000FF"/>
        <rFont val="宋体"/>
        <family val="3"/>
        <charset val="134"/>
      </rPr>
      <t>如生产性生物资产</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</si>
  <si>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t>是否经过恰当审批</t>
    <phoneticPr fontId="10" type="noConversion"/>
  </si>
  <si>
    <t>序号</t>
    <phoneticPr fontId="10" type="noConversion"/>
  </si>
  <si>
    <t>生产性生物资产类别</t>
    <phoneticPr fontId="10" type="noConversion"/>
  </si>
  <si>
    <t>生产性生物资产名称</t>
    <phoneticPr fontId="10" type="noConversion"/>
  </si>
  <si>
    <t>减少方式</t>
    <phoneticPr fontId="10" type="noConversion"/>
  </si>
  <si>
    <t>凭证号</t>
    <phoneticPr fontId="10" type="noConversion"/>
  </si>
  <si>
    <t>减少情况</t>
    <phoneticPr fontId="10" type="noConversion"/>
  </si>
  <si>
    <t>审批单</t>
    <phoneticPr fontId="10" type="noConversion"/>
  </si>
  <si>
    <t>合同/协议/订单</t>
    <phoneticPr fontId="10" type="noConversion"/>
  </si>
  <si>
    <t>索引号</t>
    <phoneticPr fontId="10" type="noConversion"/>
  </si>
  <si>
    <t>清理净收入</t>
    <phoneticPr fontId="10" type="noConversion"/>
  </si>
  <si>
    <t>日期/编号</t>
    <phoneticPr fontId="10" type="noConversion"/>
  </si>
  <si>
    <t>金额</t>
    <phoneticPr fontId="10" type="noConversion"/>
  </si>
  <si>
    <t>原值</t>
    <phoneticPr fontId="10" type="noConversion"/>
  </si>
  <si>
    <t>累计折旧</t>
  </si>
  <si>
    <t>生产性生物资产编号</t>
    <phoneticPr fontId="10" type="noConversion"/>
  </si>
  <si>
    <t>对方科目</t>
    <phoneticPr fontId="10" type="noConversion"/>
  </si>
  <si>
    <t>是否异常</t>
    <phoneticPr fontId="10" type="noConversion"/>
  </si>
  <si>
    <t>转入清理的生产性生物资产</t>
    <phoneticPr fontId="10" type="noConversion"/>
  </si>
  <si>
    <t>清理净损益</t>
    <phoneticPr fontId="10" type="noConversion"/>
  </si>
  <si>
    <t>净值</t>
    <phoneticPr fontId="10" type="noConversion"/>
  </si>
  <si>
    <t>减少日期</t>
    <phoneticPr fontId="10" type="noConversion"/>
  </si>
  <si>
    <t>减值准备</t>
    <phoneticPr fontId="10" type="noConversion"/>
  </si>
  <si>
    <t>清理费用</t>
    <phoneticPr fontId="10" type="noConversion"/>
  </si>
  <si>
    <t>清理收入</t>
    <phoneticPr fontId="10" type="noConversion"/>
  </si>
  <si>
    <t>检查的关键证据和要素根据被审计单位具体情况修改</t>
    <phoneticPr fontId="10" type="noConversion"/>
  </si>
  <si>
    <t>是否经过恰当审批</t>
    <phoneticPr fontId="10" type="noConversion"/>
  </si>
  <si>
    <r>
      <t>1.</t>
    </r>
    <r>
      <rPr>
        <sz val="10"/>
        <rFont val="宋体"/>
        <family val="3"/>
        <charset val="134"/>
      </rPr>
      <t>资产负债表中记录的生产性生物资产是存在的，且已记录于恰当的账户；</t>
    </r>
    <r>
      <rPr>
        <sz val="10"/>
        <rFont val="Arial Narrow"/>
        <family val="2"/>
      </rPr>
      <t>2.</t>
    </r>
    <r>
      <rPr>
        <sz val="10"/>
        <rFont val="宋体"/>
        <family val="3"/>
        <charset val="134"/>
      </rPr>
      <t>所有应记录的生产性生物资产均已记录，所有应当包括在财务报表中的相关披露均已包括；</t>
    </r>
    <phoneticPr fontId="10" type="noConversion"/>
  </si>
  <si>
    <r>
      <rPr>
        <sz val="10"/>
        <color rgb="FF0000FF"/>
        <rFont val="宋体"/>
        <family val="3"/>
        <charset val="134"/>
      </rPr>
      <t>如期末生产性生物资产数量</t>
    </r>
    <r>
      <rPr>
        <sz val="10"/>
        <color rgb="FF0000FF"/>
        <rFont val="Arial Narrow"/>
        <family val="2"/>
      </rPr>
      <t>XX</t>
    </r>
    <r>
      <rPr>
        <sz val="10"/>
        <color rgb="FF0000FF"/>
        <rFont val="宋体"/>
        <family val="3"/>
        <charset val="134"/>
      </rPr>
      <t>、金额</t>
    </r>
    <r>
      <rPr>
        <sz val="10"/>
        <color rgb="FF0000FF"/>
        <rFont val="Arial Narrow"/>
        <family val="2"/>
      </rPr>
      <t>XX</t>
    </r>
    <r>
      <rPr>
        <sz val="10"/>
        <color rgb="FF0000FF"/>
        <rFont val="宋体"/>
        <family val="3"/>
        <charset val="134"/>
      </rPr>
      <t/>
    </r>
    <phoneticPr fontId="10" type="noConversion"/>
  </si>
  <si>
    <r>
      <rPr>
        <sz val="10"/>
        <rFont val="宋体"/>
        <family val="3"/>
        <charset val="134"/>
      </rPr>
      <t>抽盘地点：</t>
    </r>
    <r>
      <rPr>
        <sz val="10"/>
        <rFont val="Arial Narrow"/>
        <family val="2"/>
      </rPr>
      <t>______________</t>
    </r>
    <phoneticPr fontId="10" type="noConversion"/>
  </si>
  <si>
    <t>盘点人员：</t>
    <phoneticPr fontId="10" type="noConversion"/>
  </si>
  <si>
    <t>被审计单位仓库盘点人和财务监盘人签字</t>
    <phoneticPr fontId="10" type="noConversion"/>
  </si>
  <si>
    <t>监盘人员：</t>
    <phoneticPr fontId="10" type="noConversion"/>
  </si>
  <si>
    <t>（审计人员签字）</t>
    <phoneticPr fontId="10" type="noConversion"/>
  </si>
  <si>
    <r>
      <rPr>
        <sz val="10"/>
        <rFont val="宋体"/>
        <family val="3"/>
        <charset val="134"/>
      </rPr>
      <t>盘点时间：</t>
    </r>
    <r>
      <rPr>
        <sz val="10"/>
        <rFont val="Arial Narrow"/>
        <family val="2"/>
      </rPr>
      <t>__________________</t>
    </r>
    <phoneticPr fontId="10" type="noConversion"/>
  </si>
  <si>
    <r>
      <rPr>
        <b/>
        <sz val="10"/>
        <rFont val="宋体"/>
        <family val="3"/>
        <charset val="134"/>
      </rPr>
      <t>品质状况（正常</t>
    </r>
    <r>
      <rPr>
        <b/>
        <sz val="10"/>
        <rFont val="Arial Narrow"/>
        <family val="2"/>
      </rPr>
      <t>/</t>
    </r>
    <r>
      <rPr>
        <b/>
        <sz val="10"/>
        <rFont val="宋体"/>
        <family val="3"/>
        <charset val="134"/>
      </rPr>
      <t>闲置</t>
    </r>
    <r>
      <rPr>
        <b/>
        <sz val="10"/>
        <rFont val="Arial Narrow"/>
        <family val="2"/>
      </rPr>
      <t>/</t>
    </r>
    <r>
      <rPr>
        <b/>
        <sz val="10"/>
        <rFont val="宋体"/>
        <family val="3"/>
        <charset val="134"/>
      </rPr>
      <t>毁损等）</t>
    </r>
    <phoneticPr fontId="10" type="noConversion"/>
  </si>
  <si>
    <t>原值</t>
  </si>
  <si>
    <t>使用年限</t>
  </si>
  <si>
    <t>管理部门</t>
  </si>
  <si>
    <t>已提折旧月份</t>
  </si>
  <si>
    <t>累计折旧额差异</t>
    <phoneticPr fontId="10" type="noConversion"/>
  </si>
  <si>
    <t>使用月限</t>
    <phoneticPr fontId="10" type="noConversion"/>
  </si>
  <si>
    <t>当期折旧费用</t>
    <phoneticPr fontId="10" type="noConversion"/>
  </si>
  <si>
    <t>月折旧额差异</t>
    <phoneticPr fontId="10" type="noConversion"/>
  </si>
  <si>
    <t>生产性生物资产类别</t>
    <phoneticPr fontId="10" type="noConversion"/>
  </si>
  <si>
    <t>生产性生物资产编号</t>
    <phoneticPr fontId="10" type="noConversion"/>
  </si>
  <si>
    <t>生产性生物资产名称</t>
    <phoneticPr fontId="10" type="noConversion"/>
  </si>
  <si>
    <t>开始使用日期</t>
    <phoneticPr fontId="5" type="noConversion"/>
  </si>
  <si>
    <t>残值率</t>
    <phoneticPr fontId="10" type="noConversion"/>
  </si>
  <si>
    <t>账面月折旧额</t>
    <phoneticPr fontId="10" type="noConversion"/>
  </si>
  <si>
    <t>测算到期日</t>
    <phoneticPr fontId="10" type="noConversion"/>
  </si>
  <si>
    <t>本期折旧月份</t>
    <phoneticPr fontId="10" type="noConversion"/>
  </si>
  <si>
    <t>测算月折旧</t>
    <phoneticPr fontId="10" type="noConversion"/>
  </si>
  <si>
    <t>当期折旧费用</t>
    <phoneticPr fontId="10" type="noConversion"/>
  </si>
  <si>
    <t>累计折旧费用</t>
    <phoneticPr fontId="10" type="noConversion"/>
  </si>
  <si>
    <t>开始使用日期</t>
  </si>
  <si>
    <t>本期折旧月份（减值后）</t>
    <phoneticPr fontId="10" type="noConversion"/>
  </si>
  <si>
    <t>减值准备</t>
    <phoneticPr fontId="10" type="noConversion"/>
  </si>
  <si>
    <t>本期折旧月份</t>
    <phoneticPr fontId="10" type="noConversion"/>
  </si>
  <si>
    <t>生产性生物资产类别</t>
    <phoneticPr fontId="10" type="noConversion"/>
  </si>
  <si>
    <t>生产性生物资产编号</t>
    <phoneticPr fontId="10" type="noConversion"/>
  </si>
  <si>
    <t>生产性生物资产名称</t>
    <phoneticPr fontId="10" type="noConversion"/>
  </si>
  <si>
    <t>账面月折旧额</t>
    <phoneticPr fontId="10" type="noConversion"/>
  </si>
  <si>
    <t>使用月限</t>
    <phoneticPr fontId="10" type="noConversion"/>
  </si>
  <si>
    <t>计提减值准备前累计折旧</t>
    <phoneticPr fontId="10" type="noConversion"/>
  </si>
  <si>
    <t>月折旧额差异</t>
    <phoneticPr fontId="10" type="noConversion"/>
  </si>
  <si>
    <t>累计折旧额差异</t>
    <phoneticPr fontId="10" type="noConversion"/>
  </si>
  <si>
    <t>管理部门</t>
    <phoneticPr fontId="10" type="noConversion"/>
  </si>
  <si>
    <t>残值率</t>
    <phoneticPr fontId="10" type="noConversion"/>
  </si>
  <si>
    <t>测算到期日</t>
    <phoneticPr fontId="10" type="noConversion"/>
  </si>
  <si>
    <t>截止计提减值准备日计提月份</t>
    <phoneticPr fontId="10" type="noConversion"/>
  </si>
  <si>
    <t>本期折旧月份（减值前）</t>
    <phoneticPr fontId="10" type="noConversion"/>
  </si>
  <si>
    <t>计提减值准备前月折旧</t>
    <phoneticPr fontId="10" type="noConversion"/>
  </si>
  <si>
    <t>计提减值准备后月折旧</t>
    <phoneticPr fontId="10" type="noConversion"/>
  </si>
  <si>
    <t>累计折旧费用</t>
    <phoneticPr fontId="10" type="noConversion"/>
  </si>
  <si>
    <t>生产性生物资产折旧分配分析表</t>
    <phoneticPr fontId="10" type="noConversion"/>
  </si>
  <si>
    <t>生产性生物资产公允价值复核表</t>
    <phoneticPr fontId="10" type="noConversion"/>
  </si>
  <si>
    <t>其中：</t>
    <phoneticPr fontId="10" type="noConversion"/>
  </si>
  <si>
    <t>H7-1
/H7-2</t>
    <phoneticPr fontId="10" type="noConversion"/>
  </si>
  <si>
    <t>T1
/</t>
    <phoneticPr fontId="10" type="noConversion"/>
  </si>
  <si>
    <t>H7-6
/H7-7</t>
    <phoneticPr fontId="10" type="noConversion"/>
  </si>
  <si>
    <t>H7-8
/H7-9
/H7-10</t>
    <phoneticPr fontId="10" type="noConversion"/>
  </si>
  <si>
    <t>H7-11
/H7-12</t>
    <phoneticPr fontId="10" type="noConversion"/>
  </si>
  <si>
    <t>H7-13</t>
    <phoneticPr fontId="10" type="noConversion"/>
  </si>
  <si>
    <t>H7-15
/H7-16</t>
    <phoneticPr fontId="10" type="noConversion"/>
  </si>
  <si>
    <t>19</t>
  </si>
  <si>
    <t>二、审计目标与认定的对应关系</t>
    <phoneticPr fontId="10" type="noConversion"/>
  </si>
  <si>
    <t>三、计划实施的实质性程序</t>
    <phoneticPr fontId="10" type="noConversion"/>
  </si>
  <si>
    <r>
      <rPr>
        <sz val="10"/>
        <rFont val="宋体"/>
        <family val="3"/>
        <charset val="134"/>
      </rPr>
      <t>截止日：</t>
    </r>
    <r>
      <rPr>
        <sz val="10"/>
        <rFont val="Arial Narrow"/>
        <family val="2"/>
      </rPr>
      <t/>
    </r>
    <phoneticPr fontId="10" type="noConversion"/>
  </si>
  <si>
    <r>
      <rPr>
        <b/>
        <sz val="10"/>
        <rFont val="宋体"/>
        <family val="3"/>
        <charset val="134"/>
      </rPr>
      <t>是否提足折旧</t>
    </r>
  </si>
  <si>
    <r>
      <rPr>
        <b/>
        <sz val="10"/>
        <color rgb="FFFF0000"/>
        <rFont val="宋体"/>
        <family val="3"/>
        <charset val="134"/>
      </rPr>
      <t>金额</t>
    </r>
    <phoneticPr fontId="10" type="noConversion"/>
  </si>
  <si>
    <r>
      <rPr>
        <b/>
        <sz val="10"/>
        <color rgb="FFFF0000"/>
        <rFont val="宋体"/>
        <family val="3"/>
        <charset val="134"/>
      </rPr>
      <t>对手方名称</t>
    </r>
    <phoneticPr fontId="10"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</si>
  <si>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10" type="noConversion"/>
  </si>
  <si>
    <r>
      <rPr>
        <b/>
        <sz val="10"/>
        <color rgb="FFFF0000"/>
        <rFont val="宋体"/>
        <family val="3"/>
        <charset val="134"/>
      </rPr>
      <t>采购发票</t>
    </r>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</si>
  <si>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</si>
  <si>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</si>
  <si>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r>
      <rPr>
        <b/>
        <sz val="10"/>
        <rFont val="宋体"/>
        <family val="3"/>
        <charset val="134"/>
      </rPr>
      <t>生产性生物资产编号</t>
    </r>
    <phoneticPr fontId="10" type="noConversion"/>
  </si>
  <si>
    <r>
      <rPr>
        <b/>
        <sz val="10"/>
        <rFont val="宋体"/>
        <family val="3"/>
        <charset val="134"/>
      </rPr>
      <t>生产性生物资产名称</t>
    </r>
    <phoneticPr fontId="10" type="noConversion"/>
  </si>
  <si>
    <r>
      <rPr>
        <b/>
        <sz val="10"/>
        <rFont val="宋体"/>
        <family val="3"/>
        <charset val="134"/>
      </rPr>
      <t>增加日期</t>
    </r>
    <phoneticPr fontId="10" type="noConversion"/>
  </si>
  <si>
    <r>
      <rPr>
        <b/>
        <sz val="10"/>
        <rFont val="宋体"/>
        <family val="3"/>
        <charset val="134"/>
      </rPr>
      <t>入账凭证号</t>
    </r>
    <phoneticPr fontId="10" type="noConversion"/>
  </si>
  <si>
    <r>
      <rPr>
        <b/>
        <sz val="10"/>
        <rFont val="宋体"/>
        <family val="3"/>
        <charset val="134"/>
      </rPr>
      <t>对方科目</t>
    </r>
    <phoneticPr fontId="10" type="noConversion"/>
  </si>
  <si>
    <r>
      <rPr>
        <b/>
        <sz val="10"/>
        <rFont val="宋体"/>
        <family val="3"/>
        <charset val="134"/>
      </rPr>
      <t>增加情况</t>
    </r>
    <phoneticPr fontId="10" type="noConversion"/>
  </si>
  <si>
    <r>
      <rPr>
        <b/>
        <sz val="10"/>
        <rFont val="宋体"/>
        <family val="3"/>
        <charset val="134"/>
      </rPr>
      <t>是否异常</t>
    </r>
    <phoneticPr fontId="10" type="noConversion"/>
  </si>
  <si>
    <r>
      <rPr>
        <b/>
        <sz val="10"/>
        <rFont val="宋体"/>
        <family val="3"/>
        <charset val="134"/>
      </rPr>
      <t>原值</t>
    </r>
    <phoneticPr fontId="10" type="noConversion"/>
  </si>
  <si>
    <r>
      <rPr>
        <b/>
        <sz val="10"/>
        <rFont val="宋体"/>
        <family val="3"/>
        <charset val="134"/>
      </rPr>
      <t>公允价值变动</t>
    </r>
    <phoneticPr fontId="10" type="noConversion"/>
  </si>
  <si>
    <r>
      <rPr>
        <b/>
        <sz val="10"/>
        <rFont val="宋体"/>
        <family val="3"/>
        <charset val="134"/>
      </rPr>
      <t>期末余额</t>
    </r>
    <phoneticPr fontId="10"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</si>
  <si>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10" type="noConversion"/>
  </si>
  <si>
    <r>
      <rPr>
        <b/>
        <sz val="10"/>
        <color rgb="FFFF0000"/>
        <rFont val="宋体"/>
        <family val="3"/>
        <charset val="134"/>
      </rPr>
      <t>采购发票</t>
    </r>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</si>
  <si>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</si>
  <si>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r>
      <rPr>
        <b/>
        <sz val="10"/>
        <color rgb="FFFF0000"/>
        <rFont val="宋体"/>
        <family val="3"/>
        <charset val="134"/>
      </rPr>
      <t>金额</t>
    </r>
    <phoneticPr fontId="10" type="noConversion"/>
  </si>
  <si>
    <r>
      <rPr>
        <b/>
        <sz val="10"/>
        <color rgb="FFFF0000"/>
        <rFont val="宋体"/>
        <family val="3"/>
        <charset val="134"/>
      </rPr>
      <t>对手方名称</t>
    </r>
    <phoneticPr fontId="10" type="noConversion"/>
  </si>
  <si>
    <r>
      <rPr>
        <sz val="10"/>
        <rFont val="宋体"/>
        <family val="3"/>
        <charset val="134"/>
      </rPr>
      <t>准确性、计价和分摊</t>
    </r>
    <phoneticPr fontId="10" type="noConversion"/>
  </si>
  <si>
    <r>
      <rPr>
        <sz val="10"/>
        <rFont val="宋体"/>
        <family val="3"/>
        <charset val="134"/>
      </rPr>
      <t>列报</t>
    </r>
    <phoneticPr fontId="10" type="noConversion"/>
  </si>
  <si>
    <r>
      <t xml:space="preserve">B. </t>
    </r>
    <r>
      <rPr>
        <sz val="10"/>
        <rFont val="宋体"/>
        <family val="3"/>
        <charset val="134"/>
      </rPr>
      <t>所有应记录的生产性生物资产均已记录，所有应当包括在财务报表中的相关披露均已包括</t>
    </r>
    <phoneticPr fontId="10" type="noConversion"/>
  </si>
  <si>
    <r>
      <t xml:space="preserve">C. </t>
    </r>
    <r>
      <rPr>
        <sz val="10"/>
        <rFont val="宋体"/>
        <family val="3"/>
        <charset val="134"/>
      </rPr>
      <t>记录的生产性生物资产由被审计单位拥有或控制；</t>
    </r>
    <phoneticPr fontId="10" type="noConversion"/>
  </si>
  <si>
    <r>
      <t xml:space="preserve">D. </t>
    </r>
    <r>
      <rPr>
        <sz val="10"/>
        <rFont val="宋体"/>
        <family val="3"/>
        <charset val="134"/>
      </rPr>
      <t>生产性生物资产以恰当的金额包括在财务报表中，与之相关的计价或分摊调整已恰当记录，相关披露已得到恰当计量和描述</t>
    </r>
    <r>
      <rPr>
        <sz val="10"/>
        <rFont val="Arial Narrow"/>
        <family val="2"/>
      </rPr>
      <t xml:space="preserve"> </t>
    </r>
    <phoneticPr fontId="10" type="noConversion"/>
  </si>
  <si>
    <r>
      <t xml:space="preserve">E. </t>
    </r>
    <r>
      <rPr>
        <sz val="10"/>
        <rFont val="宋体"/>
        <family val="3"/>
        <charset val="134"/>
      </rPr>
      <t>生产性生物资产已被恰当地汇总或分解且表述清楚，相关披露在按照企业会计准则的编制基础下是相关的、可理解的</t>
    </r>
    <phoneticPr fontId="10" type="noConversion"/>
  </si>
  <si>
    <t>审计目标</t>
    <phoneticPr fontId="10" type="noConversion"/>
  </si>
  <si>
    <t>根据被审计单位实际情况和风险评估情况裁剪、修改或增加审计程序</t>
    <phoneticPr fontId="10" type="noConversion"/>
  </si>
  <si>
    <t>审计程序</t>
    <phoneticPr fontId="5" type="noConversion"/>
  </si>
  <si>
    <t>关于工作底稿与审计程序索引号对应的说明</t>
    <phoneticPr fontId="10"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</si>
  <si>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</si>
  <si>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0"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</si>
  <si>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0" type="noConversion"/>
  </si>
  <si>
    <t>随机选样/系统选样/货币单元抽样/随意选样（非统计抽样适用）</t>
    <phoneticPr fontId="10" type="noConversion"/>
  </si>
  <si>
    <t>随机选样/系统选样/货币单元抽样/随意选样（非统计抽样适用）</t>
    <phoneticPr fontId="10" type="noConversion"/>
  </si>
  <si>
    <t>随机选样/系统选样/货币单元抽样/随意选样（非统计抽样适用）</t>
    <phoneticPr fontId="10" type="noConversion"/>
  </si>
  <si>
    <t>检查比例</t>
    <phoneticPr fontId="10" type="noConversion"/>
  </si>
  <si>
    <r>
      <t>1.</t>
    </r>
    <r>
      <rPr>
        <sz val="10"/>
        <color rgb="FFFF0000"/>
        <rFont val="宋体"/>
        <family val="3"/>
        <charset val="134"/>
      </rPr>
      <t>如果检查比例较低应扩大检查样本量或说明原因</t>
    </r>
    <phoneticPr fontId="10" type="noConversion"/>
  </si>
  <si>
    <r>
      <t>1.</t>
    </r>
    <r>
      <rPr>
        <sz val="10"/>
        <color rgb="FFFF0000"/>
        <rFont val="宋体"/>
        <family val="3"/>
        <charset val="134"/>
      </rPr>
      <t>如果检查比例较低应扩大检查样本量或说明原因</t>
    </r>
    <phoneticPr fontId="10" type="noConversion"/>
  </si>
  <si>
    <t>2.……</t>
    <phoneticPr fontId="10" type="noConversion"/>
  </si>
  <si>
    <t>2.……</t>
    <phoneticPr fontId="10" type="noConversion"/>
  </si>
  <si>
    <t>检查比例</t>
    <phoneticPr fontId="10" type="noConversion"/>
  </si>
  <si>
    <r>
      <t>1.</t>
    </r>
    <r>
      <rPr>
        <sz val="10"/>
        <color rgb="FFFF0000"/>
        <rFont val="宋体"/>
        <family val="3"/>
        <charset val="134"/>
      </rPr>
      <t>如果检查比例较低应扩大检查样本量或说明原因</t>
    </r>
    <phoneticPr fontId="10" type="noConversion"/>
  </si>
  <si>
    <t>2.……</t>
    <phoneticPr fontId="10" type="noConversion"/>
  </si>
  <si>
    <t>检查比例</t>
    <phoneticPr fontId="10" type="noConversion"/>
  </si>
  <si>
    <t>生物性生物资产调整分录汇总表</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</si>
</sst>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41" formatCode="_ * #,##0_ ;_ * \-#,##0_ ;_ * &quot;-&quot;_ ;_ @_ "/>
    <numFmt numFmtId="44" formatCode="_ &quot;¥&quot;* #,##0.00_ ;_ &quot;¥&quot;* \-#,##0.00_ ;_ &quot;¥&quot;*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 numFmtId="196" formatCode="_ * #,##0_ ;_ * \-#,##0_ ;_ * &quot;-&quot;??_ ;_ @_ "/>
    <numFmt numFmtId="197" formatCode="#,##0.00_ "/>
    <numFmt numFmtId="198" formatCode="#,##0.00_);\(#,##0.00\)"/>
    <numFmt numFmtId="199" formatCode="0_);[Red]\(0\)"/>
    <numFmt numFmtId="200" formatCode="_([$€-2]* #,##0.00_);_([$€-2]* \(#,##0.00\);_([$€-2]* &quot;-&quot;??_)"/>
    <numFmt numFmtId="201" formatCode="_ * #,##0.0000_ ;_ * \-#,##0.0000_ ;_ * &quot;-&quot;??_ ;_ @_ "/>
    <numFmt numFmtId="202" formatCode="#,##0.00_);[Red]\(#,##0.00\)"/>
  </numFmts>
  <fonts count="105">
    <font>
      <sz val="12"/>
      <name val="宋体"/>
      <family val="3"/>
      <charset val="134"/>
    </font>
    <font>
      <sz val="11"/>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sz val="10"/>
      <color indexed="12"/>
      <name val="宋体"/>
      <family val="3"/>
      <charset val="134"/>
    </font>
    <font>
      <i/>
      <sz val="10"/>
      <color indexed="12"/>
      <name val="宋体"/>
      <family val="3"/>
      <charset val="134"/>
    </font>
    <font>
      <sz val="10"/>
      <color indexed="12"/>
      <name val="Arial Narrow"/>
      <family val="2"/>
    </font>
    <font>
      <b/>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b/>
      <sz val="10"/>
      <color indexed="8"/>
      <name val="Arial Narrow"/>
      <family val="2"/>
    </font>
    <font>
      <sz val="10"/>
      <color indexed="8"/>
      <name val="Arial Narrow"/>
      <family val="2"/>
    </font>
    <font>
      <sz val="18"/>
      <color indexed="48"/>
      <name val="魏碑"/>
      <family val="3"/>
      <charset val="134"/>
    </font>
    <font>
      <sz val="10"/>
      <color indexed="53"/>
      <name val="宋体"/>
      <family val="3"/>
      <charset val="134"/>
    </font>
    <font>
      <i/>
      <sz val="10"/>
      <color indexed="12"/>
      <name val="Arial Narrow"/>
      <family val="2"/>
    </font>
    <font>
      <u/>
      <sz val="10"/>
      <name val="宋体"/>
      <family val="3"/>
      <charset val="134"/>
    </font>
    <font>
      <u/>
      <sz val="12"/>
      <color indexed="12"/>
      <name val="宋体"/>
      <family val="3"/>
      <charset val="134"/>
    </font>
    <font>
      <b/>
      <sz val="10"/>
      <color theme="1"/>
      <name val="Arial Narrow"/>
      <family val="2"/>
    </font>
    <font>
      <b/>
      <u/>
      <sz val="10"/>
      <color indexed="10"/>
      <name val="Arial Narrow"/>
      <family val="2"/>
    </font>
    <font>
      <b/>
      <sz val="10"/>
      <color rgb="FFFF0000"/>
      <name val="Arial Narrow"/>
      <family val="2"/>
    </font>
    <font>
      <sz val="10"/>
      <color rgb="FFFF0000"/>
      <name val="宋体"/>
      <family val="3"/>
      <charset val="134"/>
    </font>
    <font>
      <b/>
      <sz val="10"/>
      <color rgb="FFFF0000"/>
      <name val="宋体"/>
      <family val="3"/>
      <charset val="134"/>
    </font>
    <font>
      <sz val="10"/>
      <color indexed="48"/>
      <name val="Arial Narrow"/>
      <family val="2"/>
    </font>
    <font>
      <sz val="10"/>
      <color indexed="8"/>
      <name val="宋体"/>
      <family val="3"/>
      <charset val="134"/>
    </font>
    <font>
      <sz val="9"/>
      <name val="宋体"/>
      <family val="3"/>
      <charset val="134"/>
      <scheme val="minor"/>
    </font>
    <font>
      <sz val="10"/>
      <color theme="1"/>
      <name val="宋体"/>
      <family val="3"/>
      <charset val="134"/>
    </font>
    <font>
      <sz val="10"/>
      <name val="宋体"/>
      <family val="3"/>
      <charset val="134"/>
      <scheme val="minor"/>
    </font>
    <font>
      <b/>
      <sz val="12"/>
      <color indexed="8"/>
      <name val="宋体"/>
      <family val="3"/>
      <charset val="134"/>
    </font>
    <font>
      <b/>
      <sz val="12"/>
      <color indexed="8"/>
      <name val="Arial Narrow"/>
      <family val="2"/>
    </font>
    <font>
      <b/>
      <sz val="10"/>
      <color indexed="10"/>
      <name val="Arial Narrow"/>
      <family val="2"/>
    </font>
    <font>
      <sz val="10"/>
      <color rgb="FF0070C0"/>
      <name val="Arial Narrow"/>
      <family val="2"/>
    </font>
    <font>
      <sz val="10"/>
      <color rgb="FFFF0000"/>
      <name val="Arial Narrow"/>
      <family val="2"/>
    </font>
    <font>
      <sz val="10.5"/>
      <name val="仿宋_GB2312"/>
      <family val="3"/>
      <charset val="134"/>
    </font>
    <font>
      <b/>
      <u/>
      <sz val="10"/>
      <name val="Arial Narrow"/>
      <family val="2"/>
    </font>
    <font>
      <b/>
      <sz val="10"/>
      <color theme="1"/>
      <name val="宋体"/>
      <family val="3"/>
      <charset val="134"/>
    </font>
    <font>
      <b/>
      <sz val="10"/>
      <color rgb="FFE92841"/>
      <name val="Arial Narrow"/>
      <family val="2"/>
    </font>
    <font>
      <i/>
      <u/>
      <sz val="10"/>
      <color indexed="12"/>
      <name val="Arial Narrow"/>
      <family val="2"/>
    </font>
    <font>
      <b/>
      <sz val="10"/>
      <color rgb="FF000000"/>
      <name val="宋体"/>
      <family val="3"/>
      <charset val="134"/>
    </font>
    <font>
      <b/>
      <sz val="12"/>
      <name val="宋体"/>
      <family val="3"/>
      <charset val="134"/>
      <scheme val="minor"/>
    </font>
    <font>
      <sz val="12"/>
      <name val="宋体"/>
      <family val="3"/>
      <charset val="134"/>
      <scheme val="minor"/>
    </font>
    <font>
      <sz val="12"/>
      <name val="仿宋_GB2312"/>
      <family val="3"/>
      <charset val="134"/>
    </font>
    <font>
      <sz val="12"/>
      <color rgb="FF0000FF"/>
      <name val="仿宋_GB2312"/>
      <family val="3"/>
      <charset val="134"/>
    </font>
    <font>
      <sz val="12"/>
      <color rgb="FF0000FF"/>
      <name val="Arial Narrow"/>
      <family val="2"/>
    </font>
    <font>
      <b/>
      <sz val="9"/>
      <color rgb="FF000000"/>
      <name val="仿宋_GB2312"/>
      <family val="3"/>
      <charset val="134"/>
    </font>
    <font>
      <b/>
      <sz val="9"/>
      <color rgb="FF000000"/>
      <name val="Arial Narrow"/>
      <family val="2"/>
    </font>
    <font>
      <b/>
      <sz val="9"/>
      <color rgb="FFFF0000"/>
      <name val="仿宋_GB2312"/>
      <family val="3"/>
      <charset val="134"/>
    </font>
    <font>
      <b/>
      <sz val="9"/>
      <color rgb="FFFF0000"/>
      <name val="Arial Narrow"/>
      <family val="2"/>
    </font>
    <font>
      <sz val="9"/>
      <color rgb="FF000000"/>
      <name val="仿宋_GB2312"/>
      <family val="3"/>
      <charset val="134"/>
    </font>
    <font>
      <sz val="9"/>
      <color rgb="FF000000"/>
      <name val="Arial Narrow"/>
      <family val="2"/>
    </font>
    <font>
      <sz val="9"/>
      <name val="Arial Narrow"/>
      <family val="2"/>
    </font>
    <font>
      <b/>
      <sz val="10.5"/>
      <name val="仿宋_GB2312"/>
      <family val="3"/>
      <charset val="134"/>
    </font>
    <font>
      <b/>
      <sz val="10.5"/>
      <name val="Arial Narrow"/>
      <family val="2"/>
    </font>
    <font>
      <b/>
      <sz val="10.5"/>
      <color rgb="FF000000"/>
      <name val="仿宋_GB2312"/>
      <family val="3"/>
      <charset val="134"/>
    </font>
    <font>
      <sz val="10.5"/>
      <name val="Arial Narrow"/>
      <family val="2"/>
    </font>
    <font>
      <sz val="10"/>
      <color rgb="FF0000FF"/>
      <name val="宋体"/>
      <family val="3"/>
      <charset val="134"/>
    </font>
    <font>
      <sz val="10"/>
      <color theme="1"/>
      <name val="Arial Narrow"/>
      <family val="2"/>
    </font>
    <font>
      <sz val="10"/>
      <color rgb="FF0000FF"/>
      <name val="Arial Narrow"/>
      <family val="2"/>
    </font>
    <font>
      <b/>
      <sz val="10"/>
      <color rgb="FF0000FF"/>
      <name val="宋体"/>
      <family val="3"/>
      <charset val="134"/>
    </font>
    <font>
      <u/>
      <sz val="10"/>
      <color indexed="10"/>
      <name val="Arial Narrow"/>
      <family val="2"/>
    </font>
    <font>
      <b/>
      <sz val="10"/>
      <color rgb="FF0000FF"/>
      <name val="Arial Narrow"/>
      <family val="2"/>
    </font>
    <font>
      <sz val="10"/>
      <color rgb="FF000000"/>
      <name val="宋体"/>
      <family val="3"/>
      <charset val="134"/>
    </font>
    <font>
      <b/>
      <sz val="10"/>
      <color rgb="FF000000"/>
      <name val="Arial Narrow"/>
      <family val="2"/>
    </font>
    <font>
      <sz val="10"/>
      <color rgb="FF000000"/>
      <name val="Arial Narrow"/>
      <family val="2"/>
    </font>
    <font>
      <sz val="12"/>
      <color indexed="12"/>
      <name val="宋体"/>
      <family val="3"/>
      <charset val="134"/>
    </font>
    <font>
      <sz val="10"/>
      <color indexed="10"/>
      <name val="Arial Narrow"/>
      <family val="2"/>
    </font>
    <font>
      <b/>
      <sz val="10"/>
      <color indexed="12"/>
      <name val="Arial Narrow"/>
      <family val="2"/>
    </font>
    <font>
      <i/>
      <sz val="10"/>
      <color rgb="FF0070C0"/>
      <name val="Arial Narrow"/>
      <family val="2"/>
    </font>
    <font>
      <b/>
      <sz val="10"/>
      <color theme="3" tint="0.39997558519241921"/>
      <name val="Arial Narrow"/>
      <family val="2"/>
    </font>
    <font>
      <sz val="10"/>
      <color indexed="53"/>
      <name val="Arial Narrow"/>
      <family val="2"/>
    </font>
    <font>
      <b/>
      <sz val="14"/>
      <name val="Arial Narrow"/>
      <family val="2"/>
    </font>
    <font>
      <b/>
      <sz val="14"/>
      <name val="宋体"/>
      <family val="3"/>
      <charset val="134"/>
    </font>
    <font>
      <b/>
      <sz val="14"/>
      <color indexed="8"/>
      <name val="Arial Narrow"/>
      <family val="2"/>
    </font>
    <font>
      <b/>
      <sz val="14"/>
      <color indexed="8"/>
      <name val="宋体"/>
      <family val="3"/>
      <charset val="134"/>
    </font>
    <font>
      <sz val="14"/>
      <name val="Arial Narrow"/>
      <family val="2"/>
    </font>
    <font>
      <b/>
      <sz val="14"/>
      <name val="宋体"/>
      <family val="3"/>
      <charset val="134"/>
      <scheme val="minor"/>
    </font>
    <font>
      <sz val="9"/>
      <color rgb="FF0000FF"/>
      <name val="Arial Narrow"/>
      <family val="2"/>
    </font>
    <font>
      <sz val="9"/>
      <color rgb="FF0000FF"/>
      <name val="宋体"/>
      <family val="3"/>
      <charset val="134"/>
    </font>
    <font>
      <u val="singleAccounting"/>
      <sz val="10"/>
      <color rgb="FF0000FF"/>
      <name val="宋体"/>
      <family val="3"/>
      <charset val="134"/>
    </font>
    <font>
      <b/>
      <sz val="9"/>
      <color indexed="81"/>
      <name val="宋体"/>
      <family val="3"/>
      <charset val="134"/>
    </font>
    <font>
      <sz val="9"/>
      <color indexed="81"/>
      <name val="宋体"/>
      <family val="3"/>
      <charset val="134"/>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E4DFEC"/>
        <bgColor rgb="FFB7DEE8"/>
      </patternFill>
    </fill>
    <fill>
      <patternFill patternType="solid">
        <fgColor theme="7" tint="0.79998168889431442"/>
        <bgColor rgb="FFB7DEE8"/>
      </patternFill>
    </fill>
  </fills>
  <borders count="23">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rgb="FF000000"/>
      </bottom>
      <diagonal/>
    </border>
    <border>
      <left/>
      <right style="hair">
        <color indexed="64"/>
      </right>
      <top/>
      <bottom/>
      <diagonal/>
    </border>
    <border>
      <left style="hair">
        <color indexed="64"/>
      </left>
      <right/>
      <top/>
      <bottom/>
      <diagonal/>
    </border>
    <border>
      <left/>
      <right/>
      <top/>
      <bottom style="hair">
        <color indexed="64"/>
      </bottom>
      <diagonal/>
    </border>
  </borders>
  <cellStyleXfs count="61">
    <xf numFmtId="0" fontId="0" fillId="0" borderId="0">
      <protection locked="0"/>
    </xf>
    <xf numFmtId="43" fontId="7" fillId="0" borderId="0" applyFont="0" applyFill="0" applyBorder="0" applyAlignment="0" applyProtection="0"/>
    <xf numFmtId="9" fontId="7" fillId="0" borderId="0" applyFont="0" applyFill="0" applyBorder="0" applyAlignment="0" applyProtection="0"/>
    <xf numFmtId="0" fontId="3" fillId="0" borderId="0"/>
    <xf numFmtId="0" fontId="7" fillId="0" borderId="0" applyFill="0" applyBorder="0"/>
    <xf numFmtId="49" fontId="14" fillId="0" borderId="0" applyProtection="0">
      <alignment horizontal="left"/>
    </xf>
    <xf numFmtId="177" fontId="14" fillId="0" borderId="0" applyFill="0" applyBorder="0" applyProtection="0">
      <alignment horizontal="right"/>
    </xf>
    <xf numFmtId="178" fontId="14" fillId="0" borderId="0" applyFill="0" applyBorder="0" applyProtection="0">
      <alignment horizontal="right"/>
    </xf>
    <xf numFmtId="179" fontId="21" fillId="0" borderId="0" applyFill="0" applyBorder="0" applyProtection="0">
      <alignment horizontal="center"/>
    </xf>
    <xf numFmtId="180" fontId="21" fillId="0" borderId="0" applyFill="0" applyBorder="0" applyProtection="0">
      <alignment horizontal="center"/>
    </xf>
    <xf numFmtId="181" fontId="22"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4" fillId="0" borderId="0" applyFill="0" applyBorder="0" applyProtection="0">
      <alignment horizontal="right"/>
    </xf>
    <xf numFmtId="3" fontId="23" fillId="0" borderId="0"/>
    <xf numFmtId="186" fontId="24" fillId="0" borderId="5" applyAlignment="0" applyProtection="0"/>
    <xf numFmtId="187" fontId="25" fillId="0" borderId="0" applyFont="0" applyFill="0" applyBorder="0" applyAlignment="0" applyProtection="0"/>
    <xf numFmtId="188" fontId="25" fillId="0" borderId="0" applyFont="0" applyFill="0" applyBorder="0" applyAlignment="0" applyProtection="0"/>
    <xf numFmtId="189" fontId="25" fillId="0" borderId="0" applyFont="0" applyFill="0" applyBorder="0" applyAlignment="0" applyProtection="0"/>
    <xf numFmtId="190" fontId="25" fillId="0" borderId="0" applyFont="0" applyFill="0" applyBorder="0" applyAlignment="0" applyProtection="0"/>
    <xf numFmtId="41" fontId="25" fillId="0" borderId="0" applyFont="0" applyFill="0" applyBorder="0" applyAlignment="0" applyProtection="0"/>
    <xf numFmtId="43" fontId="25" fillId="0" borderId="0" applyFont="0" applyFill="0" applyBorder="0" applyAlignment="0" applyProtection="0"/>
    <xf numFmtId="0" fontId="14" fillId="0" borderId="0" applyFont="0" applyFill="0" applyBorder="0" applyAlignment="0" applyProtection="0"/>
    <xf numFmtId="0" fontId="26" fillId="0" borderId="0" applyNumberFormat="0" applyFill="0" applyBorder="0" applyAlignment="0" applyProtection="0">
      <alignment vertical="top"/>
      <protection locked="0"/>
    </xf>
    <xf numFmtId="38" fontId="27" fillId="2" borderId="0" applyNumberFormat="0" applyBorder="0" applyAlignment="0" applyProtection="0"/>
    <xf numFmtId="0" fontId="28" fillId="0" borderId="0" applyNumberFormat="0" applyFill="0" applyBorder="0" applyAlignment="0" applyProtection="0">
      <alignment vertical="top"/>
      <protection locked="0"/>
    </xf>
    <xf numFmtId="10" fontId="27" fillId="3" borderId="6" applyNumberFormat="0" applyBorder="0" applyAlignment="0" applyProtection="0"/>
    <xf numFmtId="191" fontId="7" fillId="0" borderId="0" applyFont="0" applyFill="0" applyBorder="0" applyAlignment="0" applyProtection="0"/>
    <xf numFmtId="192" fontId="7" fillId="0" borderId="0" applyFont="0" applyFill="0" applyBorder="0" applyAlignment="0" applyProtection="0"/>
    <xf numFmtId="0" fontId="29" fillId="0" borderId="0"/>
    <xf numFmtId="193" fontId="7" fillId="0" borderId="0"/>
    <xf numFmtId="0" fontId="30" fillId="0" borderId="0"/>
    <xf numFmtId="10" fontId="25" fillId="0" borderId="0" applyFont="0" applyFill="0" applyBorder="0" applyAlignment="0" applyProtection="0"/>
    <xf numFmtId="3" fontId="31" fillId="0" borderId="0"/>
    <xf numFmtId="0" fontId="7" fillId="0" borderId="0">
      <protection locked="0"/>
    </xf>
    <xf numFmtId="0" fontId="7" fillId="0" borderId="0">
      <protection locked="0"/>
    </xf>
    <xf numFmtId="0" fontId="32" fillId="0" borderId="0"/>
    <xf numFmtId="194" fontId="7" fillId="0" borderId="0" applyFont="0" applyFill="0" applyBorder="0" applyAlignment="0" applyProtection="0"/>
    <xf numFmtId="195" fontId="7" fillId="0" borderId="0" applyFont="0" applyFill="0" applyBorder="0" applyAlignment="0" applyProtection="0"/>
    <xf numFmtId="41" fontId="33" fillId="0" borderId="0" applyFont="0" applyFill="0" applyBorder="0" applyAlignment="0" applyProtection="0"/>
    <xf numFmtId="43" fontId="33" fillId="0" borderId="0" applyFont="0" applyFill="0" applyBorder="0" applyAlignment="0" applyProtection="0"/>
    <xf numFmtId="0" fontId="7" fillId="0" borderId="0">
      <alignment vertical="center"/>
    </xf>
    <xf numFmtId="0" fontId="7" fillId="0" borderId="0">
      <alignment vertical="center"/>
    </xf>
    <xf numFmtId="0" fontId="7" fillId="0" borderId="0"/>
    <xf numFmtId="0" fontId="14" fillId="0" borderId="0">
      <protection locked="0"/>
    </xf>
    <xf numFmtId="0" fontId="41" fillId="0" borderId="0" applyNumberFormat="0" applyFill="0" applyBorder="0" applyAlignment="0" applyProtection="0">
      <alignment vertical="top"/>
      <protection locked="0"/>
    </xf>
    <xf numFmtId="0" fontId="7" fillId="0" borderId="0"/>
    <xf numFmtId="0" fontId="7" fillId="0" borderId="0">
      <alignment vertical="center"/>
    </xf>
    <xf numFmtId="0" fontId="7" fillId="0" borderId="0"/>
    <xf numFmtId="0" fontId="13" fillId="0" borderId="0"/>
    <xf numFmtId="0" fontId="7" fillId="0" borderId="0">
      <alignment vertical="center"/>
      <protection locked="0"/>
    </xf>
    <xf numFmtId="0" fontId="7" fillId="0" borderId="0" applyFill="0" applyBorder="0"/>
    <xf numFmtId="0" fontId="7" fillId="0" borderId="0">
      <protection locked="0"/>
    </xf>
    <xf numFmtId="0" fontId="41" fillId="0" borderId="0" applyNumberFormat="0" applyFill="0" applyBorder="0" applyAlignment="0" applyProtection="0">
      <alignment vertical="top"/>
      <protection locked="0"/>
    </xf>
    <xf numFmtId="0" fontId="3" fillId="0" borderId="0"/>
    <xf numFmtId="200" fontId="2" fillId="0" borderId="0">
      <alignment vertical="center"/>
    </xf>
    <xf numFmtId="200" fontId="7" fillId="0" borderId="0">
      <protection locked="0"/>
    </xf>
    <xf numFmtId="200" fontId="7" fillId="0" borderId="0"/>
    <xf numFmtId="0" fontId="7" fillId="0" borderId="0">
      <protection locked="0"/>
    </xf>
    <xf numFmtId="200" fontId="1" fillId="0" borderId="0">
      <alignment vertical="center"/>
    </xf>
  </cellStyleXfs>
  <cellXfs count="770">
    <xf numFmtId="0" fontId="0" fillId="0" borderId="0" xfId="0">
      <protection locked="0"/>
    </xf>
    <xf numFmtId="43" fontId="8" fillId="0" borderId="0" xfId="4" applyNumberFormat="1" applyFont="1" applyBorder="1" applyAlignment="1">
      <alignment vertical="center"/>
    </xf>
    <xf numFmtId="43" fontId="12" fillId="0" borderId="0" xfId="4" applyNumberFormat="1" applyFont="1" applyBorder="1" applyAlignment="1">
      <alignment vertical="center"/>
    </xf>
    <xf numFmtId="0" fontId="8" fillId="0" borderId="0" xfId="0" applyFont="1" applyAlignment="1">
      <alignment vertical="center"/>
      <protection locked="0"/>
    </xf>
    <xf numFmtId="43" fontId="6" fillId="0" borderId="0" xfId="4" applyNumberFormat="1" applyFont="1" applyBorder="1" applyAlignment="1">
      <alignment vertical="center"/>
    </xf>
    <xf numFmtId="43" fontId="19" fillId="0" borderId="0" xfId="4" applyNumberFormat="1" applyFont="1" applyBorder="1" applyAlignment="1">
      <alignment vertical="center"/>
    </xf>
    <xf numFmtId="0" fontId="11" fillId="0" borderId="0" xfId="36" applyFont="1" applyAlignment="1">
      <alignment vertical="center"/>
      <protection locked="0"/>
    </xf>
    <xf numFmtId="0" fontId="7" fillId="0" borderId="0" xfId="36">
      <protection locked="0"/>
    </xf>
    <xf numFmtId="0" fontId="8" fillId="0" borderId="0" xfId="36" applyFont="1">
      <protection locked="0"/>
    </xf>
    <xf numFmtId="0" fontId="8" fillId="0" borderId="0" xfId="42" applyFont="1">
      <alignment vertical="center"/>
    </xf>
    <xf numFmtId="0" fontId="12" fillId="0" borderId="0" xfId="42" applyFont="1">
      <alignment vertical="center"/>
    </xf>
    <xf numFmtId="0" fontId="8" fillId="0" borderId="0" xfId="43" applyFont="1">
      <alignment vertical="center"/>
    </xf>
    <xf numFmtId="0" fontId="8" fillId="0" borderId="0" xfId="0" applyFont="1" applyAlignment="1">
      <alignment horizontal="center" vertical="center" wrapText="1"/>
      <protection locked="0"/>
    </xf>
    <xf numFmtId="0" fontId="8" fillId="0" borderId="9" xfId="0" applyFont="1" applyBorder="1" applyAlignment="1">
      <alignment horizontal="center" vertical="center" wrapText="1"/>
      <protection locked="0"/>
    </xf>
    <xf numFmtId="0" fontId="8" fillId="0" borderId="9" xfId="0" applyFont="1" applyBorder="1" applyAlignment="1">
      <alignment vertical="center"/>
      <protection locked="0"/>
    </xf>
    <xf numFmtId="0" fontId="8" fillId="0" borderId="10" xfId="0" applyFont="1" applyBorder="1" applyAlignment="1">
      <alignment vertical="center"/>
      <protection locked="0"/>
    </xf>
    <xf numFmtId="0" fontId="12" fillId="0" borderId="0" xfId="0" applyFont="1" applyAlignment="1">
      <alignment vertical="center"/>
      <protection locked="0"/>
    </xf>
    <xf numFmtId="0" fontId="19" fillId="0" borderId="0" xfId="0" applyFont="1" applyAlignment="1">
      <alignment vertical="center"/>
      <protection locked="0"/>
    </xf>
    <xf numFmtId="0" fontId="8" fillId="0" borderId="0" xfId="0" applyFont="1" applyAlignment="1">
      <alignment horizontal="center" vertical="center"/>
      <protection locked="0"/>
    </xf>
    <xf numFmtId="0" fontId="19" fillId="0" borderId="0" xfId="0" applyFont="1">
      <protection locked="0"/>
    </xf>
    <xf numFmtId="0" fontId="8" fillId="0" borderId="0" xfId="0" applyFont="1" applyAlignment="1">
      <alignment vertical="center" wrapText="1"/>
      <protection locked="0"/>
    </xf>
    <xf numFmtId="0" fontId="19" fillId="0" borderId="0" xfId="44" applyFont="1" applyAlignment="1" applyProtection="1">
      <alignment horizontal="center" vertical="center"/>
      <protection hidden="1"/>
    </xf>
    <xf numFmtId="0" fontId="19" fillId="0" borderId="0" xfId="44" applyFont="1" applyAlignment="1" applyProtection="1">
      <alignment horizontal="left" vertical="center"/>
      <protection locked="0"/>
    </xf>
    <xf numFmtId="0" fontId="8" fillId="0" borderId="0" xfId="44" applyFont="1" applyAlignment="1" applyProtection="1">
      <alignment vertical="center"/>
      <protection locked="0"/>
    </xf>
    <xf numFmtId="0" fontId="6" fillId="0" borderId="0" xfId="0" applyFont="1" applyAlignment="1">
      <alignment vertical="center"/>
      <protection locked="0"/>
    </xf>
    <xf numFmtId="0" fontId="8" fillId="0" borderId="0" xfId="0" applyFont="1" applyAlignment="1">
      <alignment horizontal="left" vertical="center"/>
      <protection locked="0"/>
    </xf>
    <xf numFmtId="0" fontId="8" fillId="0" borderId="0" xfId="0" applyFont="1" applyAlignment="1">
      <alignment horizontal="center"/>
      <protection locked="0"/>
    </xf>
    <xf numFmtId="10" fontId="8" fillId="0" borderId="9" xfId="2" applyNumberFormat="1" applyFont="1" applyBorder="1" applyAlignment="1" applyProtection="1">
      <alignment horizontal="center" vertical="center" wrapText="1"/>
      <protection locked="0"/>
    </xf>
    <xf numFmtId="0" fontId="8" fillId="0" borderId="0" xfId="0" applyFont="1">
      <protection locked="0"/>
    </xf>
    <xf numFmtId="0" fontId="12" fillId="0" borderId="0" xfId="0" applyFont="1">
      <protection locked="0"/>
    </xf>
    <xf numFmtId="0" fontId="8" fillId="0" borderId="9" xfId="0" applyFont="1" applyBorder="1" applyAlignment="1">
      <alignment vertical="center" wrapText="1"/>
      <protection locked="0"/>
    </xf>
    <xf numFmtId="0" fontId="6" fillId="0" borderId="0" xfId="0" applyFont="1" applyAlignment="1">
      <alignment horizontal="left" vertical="center"/>
      <protection locked="0"/>
    </xf>
    <xf numFmtId="9" fontId="8" fillId="0" borderId="0" xfId="2" applyFont="1" applyAlignment="1">
      <alignment vertical="center"/>
    </xf>
    <xf numFmtId="43" fontId="8" fillId="0" borderId="9" xfId="1" applyFont="1" applyBorder="1" applyAlignment="1">
      <alignment vertical="center"/>
    </xf>
    <xf numFmtId="14" fontId="8" fillId="0" borderId="9" xfId="1" applyNumberFormat="1" applyFont="1" applyBorder="1" applyAlignment="1">
      <alignment horizontal="center" vertical="center"/>
    </xf>
    <xf numFmtId="43" fontId="8" fillId="0" borderId="9" xfId="1" applyFont="1" applyBorder="1" applyAlignment="1">
      <alignment horizontal="center" vertical="center"/>
    </xf>
    <xf numFmtId="9" fontId="8" fillId="0" borderId="9" xfId="2" applyFont="1" applyBorder="1" applyAlignment="1">
      <alignment horizontal="center" vertical="center"/>
    </xf>
    <xf numFmtId="43" fontId="8" fillId="0" borderId="0" xfId="1" applyFont="1" applyAlignment="1">
      <alignment vertical="center"/>
    </xf>
    <xf numFmtId="43" fontId="8" fillId="0" borderId="9" xfId="1" applyFont="1" applyFill="1" applyBorder="1" applyAlignment="1">
      <alignment vertical="center"/>
    </xf>
    <xf numFmtId="43" fontId="8" fillId="0" borderId="9" xfId="1" applyFont="1" applyFill="1" applyBorder="1" applyAlignment="1">
      <alignment horizontal="center" vertical="center"/>
    </xf>
    <xf numFmtId="0" fontId="8" fillId="0" borderId="9" xfId="0" applyFont="1" applyBorder="1" applyAlignment="1">
      <alignment horizontal="center" vertical="center"/>
      <protection locked="0"/>
    </xf>
    <xf numFmtId="43" fontId="8" fillId="0" borderId="9" xfId="0" applyNumberFormat="1" applyFont="1" applyBorder="1" applyAlignment="1">
      <alignment horizontal="justify" vertical="center" wrapText="1"/>
      <protection locked="0"/>
    </xf>
    <xf numFmtId="43" fontId="8" fillId="0" borderId="9" xfId="0" applyNumberFormat="1" applyFont="1" applyBorder="1" applyAlignment="1">
      <alignment horizontal="center" vertical="center" wrapText="1"/>
      <protection locked="0"/>
    </xf>
    <xf numFmtId="9" fontId="8" fillId="0" borderId="9" xfId="2" applyFont="1" applyBorder="1" applyAlignment="1" applyProtection="1">
      <alignment horizontal="center" vertical="center" wrapText="1"/>
      <protection locked="0"/>
    </xf>
    <xf numFmtId="9" fontId="8" fillId="0" borderId="9" xfId="0" applyNumberFormat="1" applyFont="1" applyBorder="1" applyAlignment="1">
      <alignment horizontal="center" vertical="center" wrapText="1"/>
      <protection locked="0"/>
    </xf>
    <xf numFmtId="0" fontId="19" fillId="0" borderId="0" xfId="0" applyFont="1" applyAlignment="1">
      <alignment horizontal="left" vertical="center"/>
      <protection locked="0"/>
    </xf>
    <xf numFmtId="0" fontId="6" fillId="0" borderId="0" xfId="44" applyFont="1" applyAlignment="1">
      <alignment vertical="center"/>
    </xf>
    <xf numFmtId="0" fontId="8" fillId="0" borderId="0" xfId="44" applyFont="1" applyAlignment="1" applyProtection="1">
      <alignment vertical="center" wrapText="1"/>
      <protection locked="0"/>
    </xf>
    <xf numFmtId="0" fontId="8" fillId="0" borderId="9" xfId="0" applyFont="1" applyBorder="1" applyAlignment="1">
      <alignment vertical="center" shrinkToFit="1"/>
      <protection locked="0"/>
    </xf>
    <xf numFmtId="197" fontId="8" fillId="0" borderId="9" xfId="0" applyNumberFormat="1" applyFont="1" applyBorder="1" applyAlignment="1">
      <alignment vertical="center"/>
      <protection locked="0"/>
    </xf>
    <xf numFmtId="0" fontId="19" fillId="0" borderId="0" xfId="0" applyFont="1" applyAlignment="1">
      <alignment vertical="center" wrapText="1"/>
      <protection locked="0"/>
    </xf>
    <xf numFmtId="0" fontId="35" fillId="0" borderId="0" xfId="35" applyFont="1" applyAlignment="1" applyProtection="1">
      <alignment vertical="center"/>
    </xf>
    <xf numFmtId="0" fontId="6" fillId="0" borderId="0" xfId="35" applyFont="1" applyAlignment="1" applyProtection="1">
      <alignment horizontal="left" vertical="center"/>
    </xf>
    <xf numFmtId="0" fontId="8" fillId="0" borderId="0" xfId="35" applyFont="1" applyAlignment="1">
      <alignment vertical="center"/>
      <protection locked="0"/>
    </xf>
    <xf numFmtId="49" fontId="6" fillId="0" borderId="0" xfId="1" applyNumberFormat="1" applyFont="1" applyFill="1" applyAlignment="1" applyProtection="1">
      <alignment horizontal="right" vertical="center" shrinkToFit="1"/>
    </xf>
    <xf numFmtId="49" fontId="8" fillId="0" borderId="0" xfId="0" applyNumberFormat="1" applyFont="1" applyAlignment="1">
      <alignment vertical="center"/>
      <protection locked="0"/>
    </xf>
    <xf numFmtId="49" fontId="8" fillId="0" borderId="0" xfId="1" applyNumberFormat="1" applyFont="1" applyAlignment="1">
      <alignment vertical="center"/>
    </xf>
    <xf numFmtId="49" fontId="19" fillId="0" borderId="0" xfId="0" applyNumberFormat="1" applyFont="1" applyAlignment="1">
      <alignment vertical="center"/>
      <protection locked="0"/>
    </xf>
    <xf numFmtId="43" fontId="6" fillId="0" borderId="0" xfId="0" applyNumberFormat="1" applyFont="1" applyAlignment="1">
      <alignment horizontal="left" vertical="center"/>
      <protection locked="0"/>
    </xf>
    <xf numFmtId="49" fontId="8" fillId="0" borderId="0" xfId="0" applyNumberFormat="1" applyFont="1" applyAlignment="1">
      <alignment horizontal="left" vertical="center"/>
      <protection locked="0"/>
    </xf>
    <xf numFmtId="49" fontId="8" fillId="0" borderId="0" xfId="44" applyNumberFormat="1" applyFont="1" applyAlignment="1" applyProtection="1">
      <alignment vertical="center"/>
      <protection locked="0"/>
    </xf>
    <xf numFmtId="49" fontId="8" fillId="0" borderId="9" xfId="0" applyNumberFormat="1" applyFont="1" applyBorder="1" applyAlignment="1">
      <alignment horizontal="justify" vertical="center"/>
      <protection locked="0"/>
    </xf>
    <xf numFmtId="49" fontId="8" fillId="0" borderId="0" xfId="0" applyNumberFormat="1" applyFont="1" applyAlignment="1">
      <alignment horizontal="center" vertical="center"/>
      <protection locked="0"/>
    </xf>
    <xf numFmtId="49" fontId="6" fillId="0" borderId="0" xfId="0" applyNumberFormat="1" applyFont="1" applyAlignment="1">
      <alignment vertical="center"/>
      <protection locked="0"/>
    </xf>
    <xf numFmtId="49" fontId="6" fillId="0" borderId="0" xfId="0" applyNumberFormat="1" applyFont="1" applyAlignment="1">
      <alignment horizontal="left" vertical="center"/>
      <protection locked="0"/>
    </xf>
    <xf numFmtId="0" fontId="8" fillId="0" borderId="9" xfId="0" applyFont="1" applyBorder="1" applyAlignment="1">
      <alignment horizontal="justify" vertical="center" wrapText="1"/>
      <protection locked="0"/>
    </xf>
    <xf numFmtId="0" fontId="6" fillId="5" borderId="9" xfId="0" applyFont="1" applyFill="1" applyBorder="1" applyAlignment="1">
      <alignment horizontal="centerContinuous" vertical="center" wrapText="1"/>
      <protection locked="0"/>
    </xf>
    <xf numFmtId="0" fontId="8" fillId="5" borderId="9" xfId="0" applyFont="1" applyFill="1" applyBorder="1" applyAlignment="1">
      <alignment horizontal="centerContinuous" vertical="center"/>
      <protection locked="0"/>
    </xf>
    <xf numFmtId="0" fontId="35" fillId="0" borderId="0" xfId="0" applyFont="1" applyAlignment="1" applyProtection="1">
      <alignment vertical="center"/>
    </xf>
    <xf numFmtId="0" fontId="8" fillId="0" borderId="0" xfId="35" applyFont="1" applyAlignment="1">
      <alignment horizontal="right" vertical="center"/>
      <protection locked="0"/>
    </xf>
    <xf numFmtId="0" fontId="8" fillId="0" borderId="0" xfId="35" applyFont="1" applyAlignment="1">
      <alignment horizontal="justify" vertical="center" wrapText="1"/>
      <protection locked="0"/>
    </xf>
    <xf numFmtId="43" fontId="36" fillId="0" borderId="9" xfId="1" applyFont="1" applyFill="1" applyBorder="1" applyAlignment="1">
      <alignment vertical="center"/>
    </xf>
    <xf numFmtId="43" fontId="8" fillId="0" borderId="10" xfId="4" applyNumberFormat="1" applyFont="1" applyBorder="1" applyAlignment="1">
      <alignment vertical="center"/>
    </xf>
    <xf numFmtId="176" fontId="15" fillId="0" borderId="0" xfId="2" applyNumberFormat="1" applyFont="1" applyBorder="1" applyAlignment="1">
      <alignment horizontal="left" vertical="center"/>
    </xf>
    <xf numFmtId="0" fontId="53" fillId="0" borderId="0" xfId="0" applyFont="1" applyAlignment="1" applyProtection="1">
      <alignment vertical="center"/>
    </xf>
    <xf numFmtId="49" fontId="36" fillId="0" borderId="0" xfId="0" applyNumberFormat="1" applyFont="1" applyAlignment="1" applyProtection="1">
      <alignment vertical="center"/>
    </xf>
    <xf numFmtId="0" fontId="36" fillId="0" borderId="0" xfId="0" applyFont="1" applyAlignment="1" applyProtection="1">
      <alignment vertical="center"/>
    </xf>
    <xf numFmtId="49" fontId="6" fillId="0" borderId="0" xfId="35" applyNumberFormat="1" applyFont="1" applyAlignment="1" applyProtection="1">
      <alignment horizontal="left" vertical="center"/>
    </xf>
    <xf numFmtId="198" fontId="8" fillId="0" borderId="0" xfId="35" applyNumberFormat="1" applyFont="1" applyAlignment="1">
      <alignment vertical="center"/>
      <protection locked="0"/>
    </xf>
    <xf numFmtId="49" fontId="8" fillId="0" borderId="0" xfId="35" applyNumberFormat="1" applyFont="1" applyAlignment="1">
      <alignment vertical="center"/>
      <protection locked="0"/>
    </xf>
    <xf numFmtId="0" fontId="55" fillId="0" borderId="0" xfId="0" applyFont="1" applyAlignment="1" applyProtection="1">
      <alignment vertical="center"/>
    </xf>
    <xf numFmtId="49" fontId="6" fillId="0" borderId="0" xfId="44" applyNumberFormat="1" applyFont="1" applyAlignment="1">
      <alignment horizontal="right" vertical="center"/>
    </xf>
    <xf numFmtId="0" fontId="6" fillId="5" borderId="9" xfId="0" applyFont="1" applyFill="1" applyBorder="1" applyAlignment="1">
      <alignment horizontal="centerContinuous" vertical="center"/>
      <protection locked="0"/>
    </xf>
    <xf numFmtId="43" fontId="8" fillId="0" borderId="9" xfId="0" applyNumberFormat="1" applyFont="1" applyBorder="1" applyAlignment="1">
      <alignment horizontal="right" vertical="center" wrapText="1"/>
      <protection locked="0"/>
    </xf>
    <xf numFmtId="0" fontId="6" fillId="0" borderId="0" xfId="0" applyFont="1" applyAlignment="1" applyProtection="1">
      <alignment vertical="center"/>
    </xf>
    <xf numFmtId="0" fontId="8" fillId="0" borderId="0" xfId="0" applyFont="1" applyAlignment="1" applyProtection="1">
      <alignment vertical="center"/>
    </xf>
    <xf numFmtId="0" fontId="8" fillId="0" borderId="0" xfId="0" applyFont="1" applyAlignment="1" applyProtection="1">
      <alignment horizontal="center" vertical="center"/>
    </xf>
    <xf numFmtId="49" fontId="6" fillId="0" borderId="0" xfId="0" applyNumberFormat="1" applyFont="1" applyAlignment="1" applyProtection="1">
      <alignment horizontal="center" vertical="center"/>
    </xf>
    <xf numFmtId="0" fontId="6" fillId="0" borderId="0" xfId="0" applyFont="1" applyAlignment="1">
      <alignment horizontal="right" vertical="center"/>
      <protection locked="0"/>
    </xf>
    <xf numFmtId="43" fontId="8" fillId="0" borderId="9" xfId="1" applyFont="1" applyFill="1" applyBorder="1" applyAlignment="1">
      <alignment horizontal="right" vertical="center" wrapText="1"/>
    </xf>
    <xf numFmtId="0" fontId="36" fillId="0" borderId="9" xfId="0" applyFont="1" applyBorder="1" applyAlignment="1" applyProtection="1">
      <alignment vertical="center"/>
    </xf>
    <xf numFmtId="14" fontId="8" fillId="0" borderId="0" xfId="0" applyNumberFormat="1" applyFont="1" applyAlignment="1">
      <alignment vertical="center"/>
      <protection locked="0"/>
    </xf>
    <xf numFmtId="49" fontId="8" fillId="0" borderId="9" xfId="35" applyNumberFormat="1" applyFont="1" applyBorder="1" applyAlignment="1">
      <alignment horizontal="center" vertical="center" wrapText="1"/>
      <protection locked="0"/>
    </xf>
    <xf numFmtId="14" fontId="36" fillId="0" borderId="0" xfId="0" applyNumberFormat="1" applyFont="1" applyAlignment="1" applyProtection="1">
      <alignment vertical="center"/>
    </xf>
    <xf numFmtId="49" fontId="8" fillId="0" borderId="9" xfId="0" applyNumberFormat="1" applyFont="1" applyBorder="1" applyAlignment="1">
      <alignment horizontal="center" vertical="center"/>
      <protection locked="0"/>
    </xf>
    <xf numFmtId="14" fontId="8" fillId="0" borderId="0" xfId="0" applyNumberFormat="1" applyFont="1" applyAlignment="1">
      <alignment vertical="center" wrapText="1"/>
      <protection locked="0"/>
    </xf>
    <xf numFmtId="0" fontId="8" fillId="0" borderId="9" xfId="0" applyFont="1" applyBorder="1" applyAlignment="1">
      <alignment horizontal="center" vertical="center" shrinkToFit="1"/>
      <protection locked="0"/>
    </xf>
    <xf numFmtId="49" fontId="6" fillId="0" borderId="9" xfId="0" applyNumberFormat="1" applyFont="1" applyBorder="1" applyAlignment="1" applyProtection="1">
      <alignment horizontal="center" vertical="center"/>
    </xf>
    <xf numFmtId="0" fontId="6" fillId="0" borderId="9" xfId="0" applyFont="1" applyBorder="1" applyAlignment="1" applyProtection="1">
      <alignment vertical="center"/>
    </xf>
    <xf numFmtId="0" fontId="6" fillId="5" borderId="9" xfId="0" applyFont="1" applyFill="1" applyBorder="1" applyAlignment="1" applyProtection="1">
      <alignment horizontal="center" vertical="center"/>
    </xf>
    <xf numFmtId="49" fontId="6" fillId="5" borderId="9" xfId="0" applyNumberFormat="1" applyFont="1" applyFill="1" applyBorder="1" applyAlignment="1" applyProtection="1">
      <alignment horizontal="center" vertical="center"/>
    </xf>
    <xf numFmtId="0" fontId="6" fillId="5" borderId="9" xfId="0" applyFont="1" applyFill="1" applyBorder="1" applyAlignment="1" applyProtection="1">
      <alignment vertical="center"/>
    </xf>
    <xf numFmtId="0" fontId="12" fillId="0" borderId="0" xfId="0" applyFont="1" applyAlignment="1">
      <alignment horizontal="left" vertical="center"/>
      <protection locked="0"/>
    </xf>
    <xf numFmtId="0" fontId="8" fillId="0" borderId="0" xfId="45" applyFont="1">
      <protection locked="0"/>
    </xf>
    <xf numFmtId="10" fontId="8" fillId="0" borderId="9" xfId="2" applyNumberFormat="1" applyFont="1" applyBorder="1" applyAlignment="1" applyProtection="1">
      <alignment vertical="center"/>
      <protection locked="0"/>
    </xf>
    <xf numFmtId="43" fontId="19" fillId="0" borderId="0" xfId="4" applyNumberFormat="1" applyFont="1" applyFill="1" applyBorder="1" applyAlignment="1">
      <alignment vertical="center"/>
    </xf>
    <xf numFmtId="0" fontId="35" fillId="0" borderId="9" xfId="0" applyFont="1" applyBorder="1" applyAlignment="1" applyProtection="1">
      <alignment horizontal="center" vertical="center"/>
    </xf>
    <xf numFmtId="43" fontId="36" fillId="5" borderId="9" xfId="1" applyFont="1" applyFill="1" applyBorder="1" applyAlignment="1">
      <alignment horizontal="right" vertical="center"/>
    </xf>
    <xf numFmtId="43" fontId="8" fillId="5" borderId="9" xfId="1" applyFont="1" applyFill="1" applyBorder="1" applyAlignment="1">
      <alignment horizontal="right" vertical="center" wrapText="1"/>
    </xf>
    <xf numFmtId="10" fontId="8" fillId="5" borderId="9" xfId="2" applyNumberFormat="1" applyFont="1" applyFill="1" applyBorder="1" applyAlignment="1">
      <alignment horizontal="right" vertical="center" wrapText="1"/>
    </xf>
    <xf numFmtId="44" fontId="8" fillId="5" borderId="9" xfId="1" applyNumberFormat="1" applyFont="1" applyFill="1" applyBorder="1" applyAlignment="1">
      <alignment horizontal="right" vertical="center" wrapText="1"/>
    </xf>
    <xf numFmtId="44" fontId="8" fillId="5" borderId="9" xfId="2" applyNumberFormat="1" applyFont="1" applyFill="1" applyBorder="1" applyAlignment="1">
      <alignment horizontal="right" vertical="center" wrapText="1"/>
    </xf>
    <xf numFmtId="196" fontId="8" fillId="0" borderId="9" xfId="1" applyNumberFormat="1" applyFont="1" applyFill="1" applyBorder="1" applyAlignment="1">
      <alignment vertical="center"/>
    </xf>
    <xf numFmtId="10" fontId="8" fillId="0" borderId="9" xfId="2" applyNumberFormat="1" applyFont="1" applyFill="1" applyBorder="1" applyAlignment="1" applyProtection="1">
      <alignment horizontal="center" vertical="center" wrapText="1"/>
      <protection locked="0"/>
    </xf>
    <xf numFmtId="10" fontId="8" fillId="0" borderId="9" xfId="2" applyNumberFormat="1" applyFont="1" applyFill="1" applyBorder="1" applyAlignment="1" applyProtection="1">
      <alignment vertical="center"/>
      <protection locked="0"/>
    </xf>
    <xf numFmtId="43" fontId="8" fillId="0" borderId="9" xfId="0" applyNumberFormat="1" applyFont="1" applyBorder="1" applyAlignment="1">
      <alignment vertical="center"/>
      <protection locked="0"/>
    </xf>
    <xf numFmtId="0" fontId="8" fillId="0" borderId="0" xfId="3" applyNumberFormat="1" applyFont="1" applyAlignment="1">
      <alignment vertical="center"/>
    </xf>
    <xf numFmtId="0" fontId="8" fillId="0" borderId="6" xfId="3" applyNumberFormat="1" applyFont="1" applyBorder="1" applyAlignment="1">
      <alignment vertical="center"/>
    </xf>
    <xf numFmtId="0" fontId="8" fillId="0" borderId="6" xfId="3" applyNumberFormat="1" applyFont="1" applyBorder="1" applyAlignment="1">
      <alignment horizontal="center" vertical="center"/>
    </xf>
    <xf numFmtId="43" fontId="8" fillId="0" borderId="6" xfId="3" applyNumberFormat="1" applyFont="1" applyBorder="1" applyAlignment="1">
      <alignment vertical="center"/>
    </xf>
    <xf numFmtId="43" fontId="8" fillId="0" borderId="0" xfId="4" applyNumberFormat="1" applyFont="1" applyFill="1" applyBorder="1" applyAlignment="1">
      <alignment vertical="center"/>
    </xf>
    <xf numFmtId="43" fontId="8" fillId="0" borderId="9" xfId="0" applyNumberFormat="1" applyFont="1" applyBorder="1" applyAlignment="1">
      <alignment horizontal="left" vertical="center" wrapText="1"/>
      <protection locked="0"/>
    </xf>
    <xf numFmtId="43" fontId="8" fillId="0" borderId="9" xfId="0" applyNumberFormat="1" applyFont="1" applyBorder="1" applyAlignment="1">
      <alignment horizontal="justify" vertical="center"/>
      <protection locked="0"/>
    </xf>
    <xf numFmtId="0" fontId="8" fillId="0" borderId="9" xfId="0" applyFont="1" applyBorder="1" applyAlignment="1">
      <alignment horizontal="left" vertical="center" wrapText="1"/>
      <protection locked="0"/>
    </xf>
    <xf numFmtId="49" fontId="42" fillId="0" borderId="0" xfId="0" applyNumberFormat="1" applyFont="1" applyAlignment="1" applyProtection="1">
      <alignment horizontal="center" vertical="center"/>
    </xf>
    <xf numFmtId="0" fontId="8" fillId="0" borderId="0" xfId="35" applyFont="1" applyAlignment="1">
      <alignment horizontal="left" vertical="center"/>
      <protection locked="0"/>
    </xf>
    <xf numFmtId="0" fontId="8" fillId="0" borderId="9" xfId="35" applyFont="1" applyBorder="1" applyAlignment="1">
      <alignment vertical="center" wrapText="1"/>
      <protection locked="0"/>
    </xf>
    <xf numFmtId="0" fontId="8" fillId="0" borderId="10" xfId="35" applyFont="1" applyBorder="1" applyAlignment="1">
      <alignment vertical="center"/>
      <protection locked="0"/>
    </xf>
    <xf numFmtId="0" fontId="8" fillId="0" borderId="10" xfId="35" applyFont="1" applyBorder="1" applyAlignment="1">
      <alignment horizontal="center" vertical="center"/>
      <protection locked="0"/>
    </xf>
    <xf numFmtId="0" fontId="8" fillId="0" borderId="10" xfId="35" applyFont="1" applyBorder="1" applyAlignment="1">
      <alignment horizontal="left" vertical="center"/>
      <protection locked="0"/>
    </xf>
    <xf numFmtId="0" fontId="8" fillId="0" borderId="0" xfId="35" applyFont="1" applyAlignment="1">
      <alignment horizontal="center" vertical="center"/>
      <protection locked="0"/>
    </xf>
    <xf numFmtId="0" fontId="6" fillId="0" borderId="0" xfId="35" applyFont="1" applyAlignment="1">
      <alignment vertical="center"/>
      <protection locked="0"/>
    </xf>
    <xf numFmtId="0" fontId="6" fillId="0" borderId="0" xfId="35" applyFont="1" applyAlignment="1">
      <alignment horizontal="left" vertical="center"/>
      <protection locked="0"/>
    </xf>
    <xf numFmtId="0" fontId="19" fillId="0" borderId="0" xfId="35" applyFont="1" applyAlignment="1">
      <alignment vertical="center"/>
      <protection locked="0"/>
    </xf>
    <xf numFmtId="0" fontId="19" fillId="0" borderId="0" xfId="35" applyFont="1">
      <protection locked="0"/>
    </xf>
    <xf numFmtId="0" fontId="51" fillId="0" borderId="0" xfId="0" applyFont="1" applyAlignment="1">
      <alignment vertical="center"/>
      <protection locked="0"/>
    </xf>
    <xf numFmtId="43" fontId="8" fillId="0" borderId="0" xfId="52" applyNumberFormat="1" applyFont="1" applyBorder="1" applyAlignment="1">
      <alignment vertical="center"/>
    </xf>
    <xf numFmtId="43" fontId="8" fillId="0" borderId="0" xfId="52" applyNumberFormat="1" applyFont="1" applyBorder="1" applyAlignment="1">
      <alignment horizontal="left" vertical="center"/>
    </xf>
    <xf numFmtId="0" fontId="60" fillId="5" borderId="9" xfId="47" applyFont="1" applyFill="1" applyBorder="1" applyAlignment="1" applyProtection="1">
      <alignment horizontal="center" vertical="center" wrapText="1"/>
      <protection locked="0"/>
    </xf>
    <xf numFmtId="43" fontId="6" fillId="0" borderId="10" xfId="52" applyNumberFormat="1" applyFont="1" applyBorder="1" applyAlignment="1">
      <alignment horizontal="left" vertical="center"/>
    </xf>
    <xf numFmtId="43" fontId="8" fillId="0" borderId="10" xfId="52" applyNumberFormat="1" applyFont="1" applyBorder="1" applyAlignment="1">
      <alignment horizontal="left" vertical="center"/>
    </xf>
    <xf numFmtId="43" fontId="61" fillId="0" borderId="10" xfId="54" applyNumberFormat="1" applyFont="1" applyBorder="1" applyAlignment="1" applyProtection="1">
      <alignment horizontal="center" vertical="center"/>
    </xf>
    <xf numFmtId="0" fontId="6" fillId="0" borderId="0" xfId="55" applyFont="1" applyAlignment="1">
      <alignment vertical="center"/>
    </xf>
    <xf numFmtId="0" fontId="42" fillId="8" borderId="9" xfId="0" applyFont="1" applyFill="1" applyBorder="1" applyAlignment="1">
      <alignment horizontal="center" vertical="center" wrapText="1"/>
      <protection locked="0"/>
    </xf>
    <xf numFmtId="0" fontId="44" fillId="8" borderId="9" xfId="0" applyFont="1" applyFill="1" applyBorder="1" applyAlignment="1">
      <alignment horizontal="center" vertical="center" wrapText="1"/>
      <protection locked="0"/>
    </xf>
    <xf numFmtId="0" fontId="35" fillId="8" borderId="9" xfId="47" applyFont="1" applyFill="1" applyBorder="1" applyAlignment="1" applyProtection="1">
      <alignment vertical="center"/>
      <protection locked="0"/>
    </xf>
    <xf numFmtId="0" fontId="63" fillId="0" borderId="0" xfId="36" applyFont="1" applyAlignment="1">
      <alignment vertical="center"/>
      <protection locked="0"/>
    </xf>
    <xf numFmtId="0" fontId="64" fillId="0" borderId="0" xfId="36" applyFont="1">
      <protection locked="0"/>
    </xf>
    <xf numFmtId="0" fontId="51" fillId="0" borderId="0" xfId="36" applyFont="1" applyAlignment="1">
      <alignment horizontal="left" vertical="center"/>
      <protection locked="0"/>
    </xf>
    <xf numFmtId="0" fontId="51" fillId="0" borderId="0" xfId="36" applyFont="1">
      <protection locked="0"/>
    </xf>
    <xf numFmtId="0" fontId="63" fillId="0" borderId="0" xfId="0" applyFont="1" applyAlignment="1" applyProtection="1">
      <alignment horizontal="justify" vertical="center"/>
    </xf>
    <xf numFmtId="0" fontId="12" fillId="0" borderId="0" xfId="0" applyFont="1" applyAlignment="1">
      <alignment horizontal="justify" vertical="center"/>
      <protection locked="0"/>
    </xf>
    <xf numFmtId="0" fontId="66" fillId="0" borderId="0" xfId="0" applyFont="1" applyAlignment="1">
      <alignment horizontal="justify" vertical="center"/>
      <protection locked="0"/>
    </xf>
    <xf numFmtId="0" fontId="66" fillId="0" borderId="0" xfId="0" applyFont="1" applyAlignment="1">
      <alignment horizontal="left" vertical="center"/>
      <protection locked="0"/>
    </xf>
    <xf numFmtId="0" fontId="65" fillId="0" borderId="0" xfId="0" applyFont="1" applyAlignment="1">
      <alignment horizontal="justify" vertical="center"/>
      <protection locked="0"/>
    </xf>
    <xf numFmtId="0" fontId="70" fillId="0" borderId="8" xfId="0" applyFont="1" applyBorder="1" applyAlignment="1">
      <alignment horizontal="right" vertical="center"/>
      <protection locked="0"/>
    </xf>
    <xf numFmtId="0" fontId="71" fillId="0" borderId="8" xfId="0" applyFont="1" applyBorder="1" applyAlignment="1">
      <alignment horizontal="right" vertical="center"/>
      <protection locked="0"/>
    </xf>
    <xf numFmtId="0" fontId="72" fillId="0" borderId="0" xfId="0" applyFont="1" applyAlignment="1">
      <alignment horizontal="left" vertical="center"/>
      <protection locked="0"/>
    </xf>
    <xf numFmtId="0" fontId="73" fillId="0" borderId="0" xfId="0" applyFont="1" applyAlignment="1">
      <alignment horizontal="justify" vertical="center"/>
      <protection locked="0"/>
    </xf>
    <xf numFmtId="0" fontId="8" fillId="0" borderId="0" xfId="0" applyFont="1" applyAlignment="1">
      <alignment horizontal="right" vertical="center"/>
      <protection locked="0"/>
    </xf>
    <xf numFmtId="0" fontId="73" fillId="0" borderId="0" xfId="0" applyFont="1" applyAlignment="1">
      <alignment horizontal="left" vertical="center"/>
      <protection locked="0"/>
    </xf>
    <xf numFmtId="0" fontId="74" fillId="0" borderId="0" xfId="0" applyFont="1" applyAlignment="1">
      <alignment horizontal="right" vertical="center"/>
      <protection locked="0"/>
    </xf>
    <xf numFmtId="0" fontId="73" fillId="0" borderId="8" xfId="0" applyFont="1" applyBorder="1" applyAlignment="1">
      <alignment horizontal="left" vertical="center"/>
      <protection locked="0"/>
    </xf>
    <xf numFmtId="0" fontId="74" fillId="0" borderId="8" xfId="0" applyFont="1" applyBorder="1" applyAlignment="1">
      <alignment horizontal="right" vertical="center"/>
      <protection locked="0"/>
    </xf>
    <xf numFmtId="0" fontId="66" fillId="10" borderId="0" xfId="0" applyFont="1" applyFill="1" applyAlignment="1">
      <alignment horizontal="left" vertical="center"/>
      <protection locked="0"/>
    </xf>
    <xf numFmtId="0" fontId="7" fillId="10" borderId="0" xfId="36" applyFill="1">
      <protection locked="0"/>
    </xf>
    <xf numFmtId="0" fontId="72" fillId="0" borderId="8" xfId="0" applyFont="1" applyBorder="1" applyAlignment="1">
      <alignment horizontal="left" vertical="center"/>
      <protection locked="0"/>
    </xf>
    <xf numFmtId="0" fontId="75" fillId="0" borderId="7" xfId="0" applyFont="1" applyBorder="1" applyAlignment="1">
      <alignment horizontal="justify" vertical="center" wrapText="1"/>
      <protection locked="0"/>
    </xf>
    <xf numFmtId="0" fontId="77" fillId="0" borderId="7" xfId="0" applyFont="1" applyBorder="1" applyAlignment="1">
      <alignment horizontal="right" vertical="center" wrapText="1"/>
      <protection locked="0"/>
    </xf>
    <xf numFmtId="0" fontId="75" fillId="0" borderId="7" xfId="0" applyFont="1" applyBorder="1" applyAlignment="1">
      <alignment horizontal="right" vertical="center" wrapText="1"/>
      <protection locked="0"/>
    </xf>
    <xf numFmtId="0" fontId="57" fillId="0" borderId="0" xfId="0" applyFont="1" applyAlignment="1">
      <alignment horizontal="justify" vertical="center" wrapText="1"/>
      <protection locked="0"/>
    </xf>
    <xf numFmtId="0" fontId="78" fillId="0" borderId="0" xfId="0" applyFont="1" applyAlignment="1">
      <alignment horizontal="right" vertical="center" wrapText="1"/>
      <protection locked="0"/>
    </xf>
    <xf numFmtId="0" fontId="78" fillId="0" borderId="0" xfId="0" applyFont="1" applyAlignment="1">
      <alignment horizontal="justify" vertical="center" wrapText="1"/>
      <protection locked="0"/>
    </xf>
    <xf numFmtId="0" fontId="78" fillId="0" borderId="8" xfId="0" applyFont="1" applyBorder="1" applyAlignment="1">
      <alignment horizontal="justify" vertical="center" wrapText="1"/>
      <protection locked="0"/>
    </xf>
    <xf numFmtId="0" fontId="78" fillId="0" borderId="8" xfId="0" applyFont="1" applyBorder="1" applyAlignment="1">
      <alignment horizontal="right" vertical="center" wrapText="1"/>
      <protection locked="0"/>
    </xf>
    <xf numFmtId="0" fontId="75" fillId="0" borderId="8" xfId="0" applyFont="1" applyBorder="1" applyAlignment="1">
      <alignment horizontal="justify" vertical="center" wrapText="1"/>
      <protection locked="0"/>
    </xf>
    <xf numFmtId="0" fontId="76" fillId="0" borderId="8" xfId="0" applyFont="1" applyBorder="1" applyAlignment="1">
      <alignment horizontal="right" vertical="center" wrapText="1"/>
      <protection locked="0"/>
    </xf>
    <xf numFmtId="43" fontId="8" fillId="5" borderId="9" xfId="0" applyNumberFormat="1" applyFont="1" applyFill="1" applyBorder="1" applyAlignment="1">
      <alignment horizontal="justify" vertical="center"/>
      <protection locked="0"/>
    </xf>
    <xf numFmtId="43" fontId="8" fillId="5" borderId="9" xfId="0" applyNumberFormat="1" applyFont="1" applyFill="1" applyBorder="1" applyAlignment="1">
      <alignment horizontal="left" vertical="center"/>
      <protection locked="0"/>
    </xf>
    <xf numFmtId="0" fontId="8" fillId="0" borderId="14" xfId="0" applyNumberFormat="1" applyFont="1" applyFill="1" applyBorder="1" applyAlignment="1">
      <alignment horizontal="left" vertical="center"/>
      <protection locked="0"/>
    </xf>
    <xf numFmtId="0" fontId="8" fillId="0" borderId="10" xfId="0" applyFont="1" applyFill="1" applyBorder="1" applyAlignment="1">
      <alignment horizontal="left" vertical="center"/>
      <protection locked="0"/>
    </xf>
    <xf numFmtId="43" fontId="8" fillId="0" borderId="10" xfId="1" applyFont="1" applyFill="1" applyBorder="1" applyAlignment="1">
      <alignment horizontal="right" vertical="center" wrapText="1"/>
    </xf>
    <xf numFmtId="0" fontId="8" fillId="0" borderId="0" xfId="0" applyFont="1" applyFill="1" applyAlignment="1">
      <alignment vertical="center"/>
      <protection locked="0"/>
    </xf>
    <xf numFmtId="43" fontId="6" fillId="5" borderId="9" xfId="1" applyFont="1" applyFill="1" applyBorder="1" applyAlignment="1">
      <alignment horizontal="right" vertical="center" wrapText="1"/>
    </xf>
    <xf numFmtId="10" fontId="6" fillId="5" borderId="9" xfId="2" applyNumberFormat="1" applyFont="1" applyFill="1" applyBorder="1" applyAlignment="1">
      <alignment horizontal="right" vertical="center" wrapText="1"/>
    </xf>
    <xf numFmtId="196" fontId="8" fillId="5" borderId="9" xfId="1" applyNumberFormat="1" applyFont="1" applyFill="1" applyBorder="1" applyAlignment="1">
      <alignment vertical="center"/>
    </xf>
    <xf numFmtId="14" fontId="6" fillId="5" borderId="10" xfId="0" applyNumberFormat="1" applyFont="1" applyFill="1" applyBorder="1" applyAlignment="1">
      <alignment horizontal="center" vertical="center"/>
      <protection locked="0"/>
    </xf>
    <xf numFmtId="9" fontId="6" fillId="5" borderId="10" xfId="2" applyFont="1" applyFill="1" applyBorder="1" applyAlignment="1" applyProtection="1">
      <alignment horizontal="center" vertical="center"/>
      <protection locked="0"/>
    </xf>
    <xf numFmtId="0" fontId="6" fillId="5" borderId="10" xfId="0" applyFont="1" applyFill="1" applyBorder="1" applyAlignment="1">
      <alignment vertical="center"/>
      <protection locked="0"/>
    </xf>
    <xf numFmtId="14" fontId="8" fillId="5" borderId="9" xfId="1" applyNumberFormat="1" applyFont="1" applyFill="1" applyBorder="1" applyAlignment="1">
      <alignment horizontal="right" vertical="center" wrapText="1"/>
    </xf>
    <xf numFmtId="0" fontId="8" fillId="0" borderId="0" xfId="0" applyFont="1" applyBorder="1" applyAlignment="1">
      <alignment vertical="center"/>
      <protection locked="0"/>
    </xf>
    <xf numFmtId="49" fontId="8" fillId="0" borderId="0" xfId="0" applyNumberFormat="1" applyFont="1" applyBorder="1" applyAlignment="1">
      <alignment vertical="center"/>
      <protection locked="0"/>
    </xf>
    <xf numFmtId="14" fontId="6" fillId="5" borderId="9" xfId="0" applyNumberFormat="1" applyFont="1" applyFill="1" applyBorder="1" applyAlignment="1">
      <alignment horizontal="center" vertical="center"/>
      <protection locked="0"/>
    </xf>
    <xf numFmtId="9" fontId="6" fillId="5" borderId="9" xfId="2" applyFont="1" applyFill="1" applyBorder="1" applyAlignment="1" applyProtection="1">
      <alignment horizontal="center" vertical="center"/>
      <protection locked="0"/>
    </xf>
    <xf numFmtId="0" fontId="6" fillId="5" borderId="9" xfId="0" applyFont="1" applyFill="1" applyBorder="1" applyAlignment="1">
      <alignment vertical="center"/>
      <protection locked="0"/>
    </xf>
    <xf numFmtId="0" fontId="12" fillId="0" borderId="0" xfId="42" applyNumberFormat="1" applyFont="1">
      <alignment vertical="center"/>
    </xf>
    <xf numFmtId="0" fontId="8" fillId="0" borderId="0" xfId="0" applyNumberFormat="1" applyFont="1" applyAlignment="1">
      <alignment vertical="center"/>
      <protection locked="0"/>
    </xf>
    <xf numFmtId="0" fontId="8" fillId="0" borderId="0" xfId="0" applyNumberFormat="1" applyFont="1" applyAlignment="1">
      <alignment vertical="center" wrapText="1"/>
      <protection locked="0"/>
    </xf>
    <xf numFmtId="0" fontId="8" fillId="0" borderId="0" xfId="43" applyNumberFormat="1" applyFont="1">
      <alignment vertical="center"/>
    </xf>
    <xf numFmtId="0" fontId="6" fillId="0" borderId="0" xfId="35" applyNumberFormat="1" applyFont="1" applyAlignment="1" applyProtection="1">
      <alignment horizontal="left" vertical="center"/>
    </xf>
    <xf numFmtId="0" fontId="8" fillId="0" borderId="0" xfId="35" applyNumberFormat="1" applyFont="1" applyAlignment="1">
      <alignment vertical="center"/>
      <protection locked="0"/>
    </xf>
    <xf numFmtId="0" fontId="8" fillId="0" borderId="0" xfId="1" applyNumberFormat="1" applyFont="1" applyAlignment="1">
      <alignment vertical="center"/>
    </xf>
    <xf numFmtId="0" fontId="8" fillId="0" borderId="0" xfId="2" applyNumberFormat="1" applyFont="1" applyAlignment="1">
      <alignment vertical="center"/>
    </xf>
    <xf numFmtId="0" fontId="8" fillId="0" borderId="9" xfId="1" applyNumberFormat="1" applyFont="1" applyBorder="1" applyAlignment="1">
      <alignment horizontal="center" vertical="center"/>
    </xf>
    <xf numFmtId="14" fontId="8" fillId="0" borderId="0" xfId="1" applyNumberFormat="1" applyFont="1" applyAlignment="1">
      <alignment vertical="center"/>
    </xf>
    <xf numFmtId="43" fontId="6" fillId="5" borderId="9" xfId="1" applyFont="1" applyFill="1" applyBorder="1" applyAlignment="1">
      <alignment vertical="center"/>
    </xf>
    <xf numFmtId="0" fontId="6" fillId="5" borderId="10" xfId="0" applyNumberFormat="1" applyFont="1" applyFill="1" applyBorder="1" applyAlignment="1">
      <alignment horizontal="center" vertical="center"/>
      <protection locked="0"/>
    </xf>
    <xf numFmtId="0" fontId="8" fillId="5" borderId="9" xfId="1" applyNumberFormat="1" applyFont="1" applyFill="1" applyBorder="1" applyAlignment="1">
      <alignment horizontal="center" vertical="center"/>
    </xf>
    <xf numFmtId="14" fontId="8" fillId="5" borderId="9" xfId="1" applyNumberFormat="1" applyFont="1" applyFill="1" applyBorder="1" applyAlignment="1">
      <alignment vertical="center"/>
    </xf>
    <xf numFmtId="0" fontId="8" fillId="5" borderId="9" xfId="1" applyNumberFormat="1" applyFont="1" applyFill="1" applyBorder="1" applyAlignment="1">
      <alignment vertical="center"/>
    </xf>
    <xf numFmtId="0" fontId="6" fillId="5" borderId="10" xfId="0" applyNumberFormat="1" applyFont="1" applyFill="1" applyBorder="1" applyAlignment="1">
      <alignment vertical="center"/>
      <protection locked="0"/>
    </xf>
    <xf numFmtId="0" fontId="6" fillId="5" borderId="10" xfId="2" applyNumberFormat="1" applyFont="1" applyFill="1" applyBorder="1" applyAlignment="1" applyProtection="1">
      <alignment horizontal="center" vertical="center"/>
      <protection locked="0"/>
    </xf>
    <xf numFmtId="0" fontId="8" fillId="0" borderId="0" xfId="0" applyNumberFormat="1" applyFont="1" applyBorder="1" applyAlignment="1">
      <alignment vertical="center"/>
      <protection locked="0"/>
    </xf>
    <xf numFmtId="14" fontId="8" fillId="0" borderId="0" xfId="0" applyNumberFormat="1" applyFont="1" applyBorder="1" applyAlignment="1">
      <alignment vertical="center"/>
      <protection locked="0"/>
    </xf>
    <xf numFmtId="43" fontId="6" fillId="5" borderId="9" xfId="1" applyFont="1" applyFill="1" applyBorder="1" applyAlignment="1" applyProtection="1">
      <alignment horizontal="center" vertical="center"/>
      <protection locked="0"/>
    </xf>
    <xf numFmtId="43" fontId="6" fillId="5" borderId="9" xfId="1" applyFont="1" applyFill="1" applyBorder="1" applyAlignment="1" applyProtection="1">
      <alignment vertical="center"/>
      <protection locked="0"/>
    </xf>
    <xf numFmtId="43" fontId="8" fillId="0" borderId="0" xfId="1" applyFont="1" applyAlignment="1" applyProtection="1">
      <alignment vertical="center"/>
      <protection locked="0"/>
    </xf>
    <xf numFmtId="43" fontId="8" fillId="5" borderId="9" xfId="1" applyFont="1" applyFill="1" applyBorder="1" applyAlignment="1">
      <alignment vertical="center"/>
    </xf>
    <xf numFmtId="43" fontId="6" fillId="5" borderId="0" xfId="0" applyNumberFormat="1" applyFont="1" applyFill="1" applyAlignment="1">
      <alignment horizontal="left" vertical="center"/>
      <protection locked="0"/>
    </xf>
    <xf numFmtId="197" fontId="8" fillId="0" borderId="9" xfId="0" applyNumberFormat="1" applyFont="1" applyFill="1" applyBorder="1" applyAlignment="1">
      <alignment vertical="center"/>
      <protection locked="0"/>
    </xf>
    <xf numFmtId="43" fontId="8" fillId="5" borderId="6" xfId="3" applyNumberFormat="1" applyFont="1" applyFill="1" applyBorder="1" applyAlignment="1">
      <alignment vertical="center"/>
    </xf>
    <xf numFmtId="0" fontId="6" fillId="5" borderId="9" xfId="47" applyFont="1" applyFill="1" applyBorder="1" applyAlignment="1" applyProtection="1">
      <alignment horizontal="center" vertical="center" wrapText="1"/>
      <protection locked="0"/>
    </xf>
    <xf numFmtId="0" fontId="6" fillId="5" borderId="9" xfId="36" applyFont="1" applyFill="1" applyBorder="1" applyAlignment="1">
      <alignment horizontal="center" vertical="center"/>
      <protection locked="0"/>
    </xf>
    <xf numFmtId="0" fontId="35" fillId="5" borderId="9" xfId="36" applyFont="1" applyFill="1" applyBorder="1" applyAlignment="1">
      <alignment horizontal="center" vertical="center" wrapText="1"/>
      <protection locked="0"/>
    </xf>
    <xf numFmtId="43" fontId="8" fillId="5" borderId="12" xfId="1" applyFont="1" applyFill="1" applyBorder="1" applyAlignment="1">
      <alignment horizontal="right" vertical="center" wrapText="1"/>
    </xf>
    <xf numFmtId="49" fontId="8" fillId="0" borderId="0" xfId="0" applyNumberFormat="1" applyFont="1" applyBorder="1" applyAlignment="1">
      <alignment horizontal="center" vertical="center"/>
      <protection locked="0"/>
    </xf>
    <xf numFmtId="0" fontId="8" fillId="0" borderId="0" xfId="0" applyFont="1" applyBorder="1" applyAlignment="1">
      <alignment horizontal="left" vertical="center"/>
      <protection locked="0"/>
    </xf>
    <xf numFmtId="43" fontId="8" fillId="0" borderId="9" xfId="1" applyFont="1" applyFill="1" applyBorder="1" applyAlignment="1" applyProtection="1">
      <alignment vertical="center" shrinkToFit="1"/>
      <protection locked="0"/>
    </xf>
    <xf numFmtId="0" fontId="8" fillId="0" borderId="9" xfId="1" applyNumberFormat="1" applyFont="1" applyFill="1" applyBorder="1" applyAlignment="1">
      <alignment vertical="center" shrinkToFit="1"/>
    </xf>
    <xf numFmtId="43" fontId="8" fillId="0" borderId="9" xfId="1" applyNumberFormat="1" applyFont="1" applyFill="1" applyBorder="1" applyAlignment="1">
      <alignment vertical="center"/>
    </xf>
    <xf numFmtId="0" fontId="81" fillId="0" borderId="0" xfId="48" applyFont="1">
      <alignment vertical="center"/>
    </xf>
    <xf numFmtId="0" fontId="8" fillId="0" borderId="9" xfId="35" applyFont="1" applyBorder="1" applyAlignment="1">
      <alignment horizontal="center" vertical="center" wrapText="1"/>
      <protection locked="0"/>
    </xf>
    <xf numFmtId="0" fontId="81" fillId="0" borderId="0" xfId="0" applyFont="1" applyBorder="1" applyAlignment="1">
      <alignment vertical="center" wrapText="1"/>
      <protection locked="0"/>
    </xf>
    <xf numFmtId="200" fontId="84" fillId="0" borderId="0" xfId="57" applyFont="1" applyFill="1" applyAlignment="1" applyProtection="1">
      <alignment horizontal="left" vertical="center"/>
      <protection locked="0"/>
    </xf>
    <xf numFmtId="0" fontId="35" fillId="5" borderId="9" xfId="0" applyFont="1" applyFill="1" applyBorder="1" applyAlignment="1" applyProtection="1">
      <alignment horizontal="center" vertical="center"/>
    </xf>
    <xf numFmtId="0" fontId="35" fillId="5" borderId="9" xfId="0" applyFont="1" applyFill="1" applyBorder="1" applyAlignment="1" applyProtection="1">
      <alignment vertical="center"/>
    </xf>
    <xf numFmtId="0" fontId="6" fillId="5" borderId="10" xfId="0" applyFont="1" applyFill="1" applyBorder="1" applyAlignment="1">
      <alignment horizontal="center" vertical="center"/>
      <protection locked="0"/>
    </xf>
    <xf numFmtId="0" fontId="6" fillId="5" borderId="9" xfId="0" applyFont="1" applyFill="1" applyBorder="1" applyAlignment="1">
      <alignment horizontal="center" vertical="center"/>
      <protection locked="0"/>
    </xf>
    <xf numFmtId="0" fontId="6" fillId="5" borderId="9" xfId="35" applyFont="1" applyFill="1" applyBorder="1" applyAlignment="1">
      <alignment horizontal="center" vertical="center" wrapText="1"/>
      <protection locked="0"/>
    </xf>
    <xf numFmtId="0" fontId="6" fillId="5" borderId="9" xfId="0" applyFont="1" applyFill="1" applyBorder="1" applyAlignment="1">
      <alignment horizontal="center" vertical="center" wrapText="1"/>
      <protection locked="0"/>
    </xf>
    <xf numFmtId="199" fontId="8" fillId="0" borderId="0" xfId="0" applyNumberFormat="1" applyFont="1" applyAlignment="1">
      <alignment vertical="center"/>
      <protection locked="0"/>
    </xf>
    <xf numFmtId="0" fontId="8" fillId="4" borderId="0" xfId="0" applyFont="1" applyFill="1" applyAlignment="1">
      <alignment horizontal="justify" vertical="center" wrapText="1"/>
      <protection locked="0"/>
    </xf>
    <xf numFmtId="0" fontId="8" fillId="0" borderId="0" xfId="0" applyFont="1" applyAlignment="1">
      <alignment horizontal="justify" wrapText="1"/>
      <protection locked="0"/>
    </xf>
    <xf numFmtId="199" fontId="8" fillId="0" borderId="0" xfId="0" applyNumberFormat="1" applyFont="1">
      <protection locked="0"/>
    </xf>
    <xf numFmtId="0" fontId="6" fillId="0" borderId="6" xfId="0" applyFont="1" applyBorder="1" applyAlignment="1">
      <alignment horizontal="center" vertical="center"/>
      <protection locked="0"/>
    </xf>
    <xf numFmtId="0" fontId="8" fillId="0" borderId="0" xfId="0" applyFont="1" applyAlignment="1">
      <alignment horizontal="justify" vertical="top" wrapText="1"/>
      <protection locked="0"/>
    </xf>
    <xf numFmtId="0" fontId="8" fillId="0" borderId="6" xfId="0" applyFont="1" applyBorder="1" applyAlignment="1">
      <alignment vertical="center"/>
      <protection locked="0"/>
    </xf>
    <xf numFmtId="199" fontId="8" fillId="0" borderId="6" xfId="0" applyNumberFormat="1" applyFont="1" applyBorder="1" applyAlignment="1">
      <alignment horizontal="center" vertical="center" wrapText="1"/>
      <protection locked="0"/>
    </xf>
    <xf numFmtId="0" fontId="86" fillId="6" borderId="0" xfId="0" applyFont="1" applyFill="1" applyAlignment="1" applyProtection="1">
      <alignment vertical="center"/>
    </xf>
    <xf numFmtId="0" fontId="87" fillId="7" borderId="0" xfId="0" applyFont="1" applyFill="1" applyAlignment="1" applyProtection="1">
      <alignment vertical="center"/>
    </xf>
    <xf numFmtId="0" fontId="6" fillId="0" borderId="0" xfId="0" applyFont="1" applyAlignment="1">
      <alignment horizontal="justify"/>
      <protection locked="0"/>
    </xf>
    <xf numFmtId="0" fontId="88" fillId="0" borderId="0" xfId="46" applyFont="1" applyAlignment="1">
      <alignment vertical="center"/>
      <protection locked="0"/>
    </xf>
    <xf numFmtId="0" fontId="19" fillId="0" borderId="0" xfId="46" applyFont="1" applyAlignment="1">
      <alignment vertical="center"/>
      <protection locked="0"/>
    </xf>
    <xf numFmtId="0" fontId="17" fillId="0" borderId="6" xfId="46" applyFont="1" applyBorder="1" applyAlignment="1">
      <alignment vertical="center"/>
      <protection locked="0"/>
    </xf>
    <xf numFmtId="0" fontId="19" fillId="0" borderId="6" xfId="46" applyFont="1" applyBorder="1" applyAlignment="1">
      <alignment vertical="center"/>
      <protection locked="0"/>
    </xf>
    <xf numFmtId="49" fontId="81" fillId="0" borderId="0" xfId="0" applyNumberFormat="1" applyFont="1" applyAlignment="1" applyProtection="1">
      <alignment vertical="center"/>
    </xf>
    <xf numFmtId="43" fontId="8" fillId="5" borderId="9" xfId="1" applyFont="1" applyFill="1" applyBorder="1" applyAlignment="1" applyProtection="1">
      <alignment vertical="center"/>
      <protection locked="0"/>
    </xf>
    <xf numFmtId="0" fontId="15" fillId="0" borderId="0" xfId="0" applyFont="1" applyFill="1" applyAlignment="1">
      <alignment vertical="center"/>
      <protection locked="0"/>
    </xf>
    <xf numFmtId="0" fontId="8" fillId="0" borderId="0" xfId="0" applyFont="1" applyFill="1" applyAlignment="1">
      <alignment vertical="center" wrapText="1"/>
      <protection locked="0"/>
    </xf>
    <xf numFmtId="196" fontId="8" fillId="0" borderId="10" xfId="1" applyNumberFormat="1" applyFont="1" applyFill="1" applyBorder="1" applyAlignment="1">
      <alignment vertical="center"/>
    </xf>
    <xf numFmtId="0" fontId="81" fillId="9" borderId="0" xfId="35" applyFont="1" applyFill="1" applyAlignment="1" applyProtection="1">
      <alignment vertical="center"/>
    </xf>
    <xf numFmtId="0" fontId="81" fillId="0" borderId="0" xfId="0" applyNumberFormat="1" applyFont="1" applyAlignment="1">
      <alignment vertical="center"/>
      <protection locked="0"/>
    </xf>
    <xf numFmtId="0" fontId="81" fillId="0" borderId="0" xfId="0" applyFont="1" applyAlignment="1">
      <alignment vertical="center"/>
      <protection locked="0"/>
    </xf>
    <xf numFmtId="0" fontId="8" fillId="0" borderId="0" xfId="51" applyFont="1" applyAlignment="1">
      <alignment vertical="center"/>
      <protection locked="0"/>
    </xf>
    <xf numFmtId="0" fontId="8" fillId="0" borderId="0" xfId="51" applyFont="1">
      <alignment vertical="center"/>
      <protection locked="0"/>
    </xf>
    <xf numFmtId="0" fontId="8" fillId="0" borderId="0" xfId="51" applyFont="1" applyAlignment="1">
      <alignment horizontal="left" vertical="center"/>
      <protection locked="0"/>
    </xf>
    <xf numFmtId="0" fontId="8" fillId="0" borderId="0" xfId="51" applyFont="1" applyBorder="1" applyAlignment="1">
      <alignment vertical="center"/>
      <protection locked="0"/>
    </xf>
    <xf numFmtId="0" fontId="6" fillId="0" borderId="0" xfId="51" applyFont="1" applyAlignment="1">
      <alignment horizontal="left" vertical="center"/>
      <protection locked="0"/>
    </xf>
    <xf numFmtId="0" fontId="6" fillId="0" borderId="0" xfId="51" applyFont="1" applyAlignment="1">
      <alignment horizontal="justify" vertical="center"/>
      <protection locked="0"/>
    </xf>
    <xf numFmtId="0" fontId="8" fillId="10" borderId="0" xfId="51" applyFont="1" applyFill="1">
      <alignment vertical="center"/>
      <protection locked="0"/>
    </xf>
    <xf numFmtId="49" fontId="8" fillId="0" borderId="0" xfId="43" applyNumberFormat="1" applyFont="1" applyAlignment="1">
      <alignment horizontal="left" vertical="center"/>
    </xf>
    <xf numFmtId="198" fontId="36" fillId="0" borderId="9" xfId="0" applyNumberFormat="1" applyFont="1" applyBorder="1" applyAlignment="1" applyProtection="1">
      <alignment vertical="center"/>
    </xf>
    <xf numFmtId="43" fontId="6" fillId="0" borderId="10" xfId="4" applyNumberFormat="1" applyFont="1" applyBorder="1" applyAlignment="1">
      <alignment vertical="center"/>
    </xf>
    <xf numFmtId="0" fontId="8" fillId="0" borderId="0" xfId="3" applyFont="1" applyAlignment="1">
      <alignment vertical="center"/>
    </xf>
    <xf numFmtId="43" fontId="90" fillId="0" borderId="0" xfId="4" applyNumberFormat="1" applyFont="1" applyBorder="1" applyAlignment="1">
      <alignment vertical="center"/>
    </xf>
    <xf numFmtId="43" fontId="19" fillId="0" borderId="0" xfId="4" applyNumberFormat="1" applyFont="1" applyBorder="1" applyAlignment="1">
      <alignment horizontal="right" vertical="center"/>
    </xf>
    <xf numFmtId="43" fontId="6" fillId="0" borderId="0" xfId="4" applyNumberFormat="1" applyFont="1" applyFill="1" applyBorder="1" applyAlignment="1">
      <alignment vertical="center"/>
    </xf>
    <xf numFmtId="43" fontId="90" fillId="0" borderId="0" xfId="4" applyNumberFormat="1" applyFont="1" applyFill="1" applyBorder="1" applyAlignment="1">
      <alignment horizontal="left" vertical="center"/>
    </xf>
    <xf numFmtId="0" fontId="44" fillId="5" borderId="9" xfId="0" applyFont="1" applyFill="1" applyBorder="1" applyAlignment="1" applyProtection="1">
      <alignment horizontal="center" vertical="center"/>
    </xf>
    <xf numFmtId="0" fontId="6" fillId="0" borderId="10" xfId="0" applyFont="1" applyBorder="1" applyAlignment="1">
      <alignment vertical="center"/>
      <protection locked="0"/>
    </xf>
    <xf numFmtId="0" fontId="39" fillId="0" borderId="0" xfId="0" applyFont="1">
      <protection locked="0"/>
    </xf>
    <xf numFmtId="0" fontId="8" fillId="0" borderId="0" xfId="0" applyFont="1" applyFill="1">
      <protection locked="0"/>
    </xf>
    <xf numFmtId="0" fontId="81" fillId="0" borderId="0" xfId="0" applyFont="1">
      <protection locked="0"/>
    </xf>
    <xf numFmtId="0" fontId="8" fillId="0" borderId="0" xfId="53" applyFont="1">
      <protection locked="0"/>
    </xf>
    <xf numFmtId="0" fontId="35" fillId="5" borderId="9" xfId="53" applyFont="1" applyFill="1" applyBorder="1" applyAlignment="1" applyProtection="1">
      <alignment vertical="center"/>
    </xf>
    <xf numFmtId="0" fontId="35" fillId="5" borderId="9" xfId="53" applyFont="1" applyFill="1" applyBorder="1" applyAlignment="1" applyProtection="1">
      <alignment vertical="center" wrapText="1"/>
    </xf>
    <xf numFmtId="0" fontId="36" fillId="0" borderId="9" xfId="53" applyFont="1" applyBorder="1" applyAlignment="1" applyProtection="1">
      <alignment vertical="center"/>
    </xf>
    <xf numFmtId="0" fontId="8" fillId="0" borderId="0" xfId="35" applyFont="1" applyAlignment="1" applyProtection="1">
      <alignment vertical="center"/>
    </xf>
    <xf numFmtId="49" fontId="35" fillId="5" borderId="9" xfId="0" applyNumberFormat="1" applyFont="1" applyFill="1" applyBorder="1" applyAlignment="1" applyProtection="1">
      <alignment horizontal="center" vertical="center"/>
    </xf>
    <xf numFmtId="0" fontId="35" fillId="5" borderId="9" xfId="0" applyFont="1" applyFill="1" applyBorder="1" applyAlignment="1" applyProtection="1">
      <alignment horizontal="center" vertical="center" wrapText="1"/>
    </xf>
    <xf numFmtId="0" fontId="56" fillId="0" borderId="9" xfId="0" applyFont="1" applyBorder="1" applyAlignment="1" applyProtection="1">
      <alignment vertical="center"/>
    </xf>
    <xf numFmtId="49" fontId="91" fillId="0" borderId="0" xfId="35" applyNumberFormat="1" applyFont="1" applyAlignment="1" applyProtection="1">
      <alignment vertical="center"/>
    </xf>
    <xf numFmtId="0" fontId="56" fillId="0" borderId="0" xfId="0" applyFont="1" applyAlignment="1" applyProtection="1">
      <alignment vertical="center"/>
    </xf>
    <xf numFmtId="0" fontId="8" fillId="0" borderId="0" xfId="47" applyFont="1" applyAlignment="1">
      <alignment horizontal="left" vertical="center" wrapText="1"/>
    </xf>
    <xf numFmtId="0" fontId="8" fillId="0" borderId="0" xfId="47" applyFont="1" applyAlignment="1">
      <alignment horizontal="left" vertical="center"/>
    </xf>
    <xf numFmtId="0" fontId="8" fillId="0" borderId="9" xfId="35" applyFont="1" applyBorder="1" applyAlignment="1">
      <alignment horizontal="justify" vertical="center" wrapText="1"/>
      <protection locked="0"/>
    </xf>
    <xf numFmtId="0" fontId="81" fillId="0" borderId="0" xfId="35" applyFont="1" applyAlignment="1" applyProtection="1">
      <alignment vertical="center"/>
    </xf>
    <xf numFmtId="0" fontId="8" fillId="0" borderId="10" xfId="35" applyFont="1" applyBorder="1" applyAlignment="1">
      <alignment horizontal="justify" vertical="center" wrapText="1"/>
      <protection locked="0"/>
    </xf>
    <xf numFmtId="0" fontId="92" fillId="0" borderId="0" xfId="44" applyFont="1" applyAlignment="1" applyProtection="1">
      <alignment vertical="center"/>
      <protection locked="0"/>
    </xf>
    <xf numFmtId="0" fontId="6" fillId="5" borderId="12" xfId="0" applyFont="1" applyFill="1" applyBorder="1" applyAlignment="1">
      <alignment horizontal="center" vertical="center" wrapText="1"/>
      <protection locked="0"/>
    </xf>
    <xf numFmtId="0" fontId="6" fillId="0" borderId="10" xfId="44" applyFont="1" applyBorder="1" applyAlignment="1">
      <alignment vertical="center"/>
    </xf>
    <xf numFmtId="49" fontId="6" fillId="0" borderId="0" xfId="0" applyNumberFormat="1" applyFont="1" applyBorder="1" applyAlignment="1">
      <alignment vertical="center"/>
      <protection locked="0"/>
    </xf>
    <xf numFmtId="0" fontId="39" fillId="0" borderId="0" xfId="0" applyFont="1" applyAlignment="1">
      <alignment vertical="center"/>
      <protection locked="0"/>
    </xf>
    <xf numFmtId="49" fontId="6" fillId="0" borderId="0" xfId="44" applyNumberFormat="1" applyFont="1" applyAlignment="1">
      <alignment vertical="center"/>
    </xf>
    <xf numFmtId="0" fontId="54" fillId="0" borderId="0" xfId="0" applyFont="1" applyAlignment="1">
      <alignment vertical="center"/>
      <protection locked="0"/>
    </xf>
    <xf numFmtId="0" fontId="6" fillId="0" borderId="10" xfId="35" applyFont="1" applyBorder="1" applyAlignment="1">
      <alignment vertical="center"/>
      <protection locked="0"/>
    </xf>
    <xf numFmtId="0" fontId="39" fillId="0" borderId="0" xfId="35" applyFont="1" applyAlignment="1">
      <alignment vertical="center"/>
      <protection locked="0"/>
    </xf>
    <xf numFmtId="0" fontId="54" fillId="0" borderId="0" xfId="35" applyFont="1" applyAlignment="1">
      <alignment vertical="center"/>
      <protection locked="0"/>
    </xf>
    <xf numFmtId="0" fontId="8" fillId="0" borderId="9" xfId="0" applyFont="1" applyBorder="1" applyAlignment="1" applyProtection="1">
      <alignment vertical="center"/>
    </xf>
    <xf numFmtId="0" fontId="8" fillId="0" borderId="0" xfId="0" applyFont="1" applyAlignment="1" applyProtection="1">
      <alignment horizontal="left" vertical="center"/>
    </xf>
    <xf numFmtId="0" fontId="6" fillId="0" borderId="0" xfId="35" applyFont="1" applyFill="1" applyAlignment="1">
      <alignment vertical="center"/>
      <protection locked="0"/>
    </xf>
    <xf numFmtId="0" fontId="6" fillId="0" borderId="10" xfId="0" applyFont="1" applyFill="1" applyBorder="1" applyAlignment="1">
      <alignment horizontal="center" vertical="center" shrinkToFit="1"/>
      <protection locked="0"/>
    </xf>
    <xf numFmtId="0" fontId="39" fillId="0" borderId="0" xfId="0" applyFont="1" applyAlignment="1">
      <alignment vertical="center" wrapText="1"/>
      <protection locked="0"/>
    </xf>
    <xf numFmtId="0" fontId="19" fillId="0" borderId="0" xfId="46" applyFont="1" applyFill="1" applyAlignment="1">
      <alignment vertical="center"/>
      <protection locked="0"/>
    </xf>
    <xf numFmtId="0" fontId="8" fillId="0" borderId="0" xfId="51" applyFont="1" applyFill="1" applyAlignment="1">
      <alignment horizontal="left" vertical="center"/>
      <protection locked="0"/>
    </xf>
    <xf numFmtId="0" fontId="6" fillId="0" borderId="9" xfId="0" applyFont="1" applyBorder="1" applyAlignment="1" applyProtection="1">
      <alignment horizontal="center" vertical="center"/>
    </xf>
    <xf numFmtId="43" fontId="8" fillId="5" borderId="6" xfId="1" applyFont="1" applyFill="1" applyBorder="1" applyAlignment="1">
      <alignment horizontal="center" vertical="center"/>
    </xf>
    <xf numFmtId="43" fontId="19" fillId="0" borderId="0" xfId="1" applyFont="1" applyAlignment="1">
      <alignment vertical="center"/>
    </xf>
    <xf numFmtId="0" fontId="6" fillId="0" borderId="0" xfId="0" applyFont="1" applyBorder="1" applyAlignment="1">
      <alignment vertical="center"/>
      <protection locked="0"/>
    </xf>
    <xf numFmtId="0" fontId="90" fillId="0" borderId="0" xfId="0" applyFont="1" applyAlignment="1">
      <alignment vertical="center"/>
      <protection locked="0"/>
    </xf>
    <xf numFmtId="0" fontId="84" fillId="0" borderId="0" xfId="35" applyFont="1" applyAlignment="1" applyProtection="1">
      <alignment horizontal="left" vertical="center"/>
    </xf>
    <xf numFmtId="0" fontId="8" fillId="0" borderId="0" xfId="36" applyNumberFormat="1" applyFont="1">
      <protection locked="0"/>
    </xf>
    <xf numFmtId="0" fontId="8" fillId="0" borderId="0" xfId="0" applyNumberFormat="1" applyFont="1" applyAlignment="1">
      <alignment horizontal="right" vertical="center"/>
      <protection locked="0"/>
    </xf>
    <xf numFmtId="0" fontId="8" fillId="5" borderId="16" xfId="1" applyNumberFormat="1" applyFont="1" applyFill="1" applyBorder="1" applyAlignment="1">
      <alignment horizontal="center" vertical="center"/>
    </xf>
    <xf numFmtId="0" fontId="8" fillId="5" borderId="16" xfId="1" applyNumberFormat="1" applyFont="1" applyFill="1" applyBorder="1" applyAlignment="1">
      <alignment horizontal="center" vertical="center" shrinkToFit="1"/>
    </xf>
    <xf numFmtId="0" fontId="19" fillId="0" borderId="0" xfId="1" applyNumberFormat="1" applyFont="1" applyAlignment="1">
      <alignment vertical="center"/>
    </xf>
    <xf numFmtId="0" fontId="6" fillId="0" borderId="0" xfId="0" applyNumberFormat="1" applyFont="1" applyBorder="1" applyAlignment="1">
      <alignment vertical="center"/>
      <protection locked="0"/>
    </xf>
    <xf numFmtId="0" fontId="6" fillId="0" borderId="0" xfId="0" applyNumberFormat="1" applyFont="1" applyAlignment="1">
      <alignment vertical="center"/>
      <protection locked="0"/>
    </xf>
    <xf numFmtId="0" fontId="81" fillId="0" borderId="0" xfId="0" applyFont="1" applyAlignment="1" applyProtection="1">
      <alignment vertical="center"/>
    </xf>
    <xf numFmtId="0" fontId="19" fillId="0" borderId="9" xfId="35" applyFont="1" applyBorder="1" applyAlignment="1">
      <alignment vertical="center"/>
      <protection locked="0"/>
    </xf>
    <xf numFmtId="0" fontId="6" fillId="0" borderId="0" xfId="47" applyNumberFormat="1" applyFont="1" applyAlignment="1">
      <alignment horizontal="left" vertical="center"/>
    </xf>
    <xf numFmtId="0" fontId="6" fillId="5" borderId="9" xfId="0" applyNumberFormat="1" applyFont="1" applyFill="1" applyBorder="1" applyAlignment="1" applyProtection="1">
      <alignment horizontal="center" vertical="center" wrapText="1"/>
    </xf>
    <xf numFmtId="0" fontId="6" fillId="5" borderId="9" xfId="50" applyNumberFormat="1" applyFont="1" applyFill="1" applyBorder="1" applyAlignment="1">
      <alignment horizontal="center" vertical="center" wrapText="1"/>
    </xf>
    <xf numFmtId="0" fontId="8" fillId="0" borderId="9" xfId="47" applyNumberFormat="1" applyFont="1" applyBorder="1" applyAlignment="1" applyProtection="1">
      <alignment vertical="center"/>
      <protection locked="0"/>
    </xf>
    <xf numFmtId="0" fontId="8" fillId="0" borderId="9" xfId="47" applyNumberFormat="1" applyFont="1" applyBorder="1" applyAlignment="1">
      <alignment horizontal="left" vertical="center" wrapText="1"/>
    </xf>
    <xf numFmtId="43" fontId="8" fillId="5" borderId="9" xfId="1" applyFont="1" applyFill="1" applyBorder="1" applyAlignment="1">
      <alignment horizontal="left" vertical="center" wrapText="1"/>
    </xf>
    <xf numFmtId="0" fontId="8" fillId="0" borderId="0" xfId="47" applyFont="1" applyAlignment="1" applyProtection="1">
      <alignment vertical="center" wrapText="1"/>
      <protection locked="0"/>
    </xf>
    <xf numFmtId="0" fontId="8" fillId="0" borderId="0" xfId="47" applyFont="1" applyAlignment="1" applyProtection="1">
      <alignment horizontal="left" vertical="center"/>
      <protection locked="0"/>
    </xf>
    <xf numFmtId="0" fontId="8" fillId="0" borderId="0" xfId="47" applyFont="1" applyAlignment="1" applyProtection="1">
      <alignment vertical="center"/>
      <protection locked="0"/>
    </xf>
    <xf numFmtId="0" fontId="8" fillId="0" borderId="0" xfId="47" applyFont="1" applyAlignment="1" applyProtection="1">
      <alignment horizontal="centerContinuous" vertical="center" wrapText="1"/>
      <protection locked="0"/>
    </xf>
    <xf numFmtId="0" fontId="8" fillId="0" borderId="0" xfId="47" applyFont="1" applyAlignment="1" applyProtection="1">
      <alignment horizontal="centerContinuous" vertical="center"/>
      <protection locked="0"/>
    </xf>
    <xf numFmtId="0" fontId="6" fillId="0" borderId="0" xfId="47" applyFont="1" applyAlignment="1" applyProtection="1">
      <alignment horizontal="left" vertical="center" wrapText="1"/>
      <protection locked="0"/>
    </xf>
    <xf numFmtId="0" fontId="81" fillId="0" borderId="0" xfId="47" applyNumberFormat="1" applyFont="1" applyProtection="1">
      <protection locked="0"/>
    </xf>
    <xf numFmtId="0" fontId="81" fillId="0" borderId="0" xfId="0" applyFont="1" applyBorder="1" applyAlignment="1">
      <alignment vertical="center"/>
      <protection locked="0"/>
    </xf>
    <xf numFmtId="0" fontId="12" fillId="0" borderId="0" xfId="53" applyFont="1">
      <protection locked="0"/>
    </xf>
    <xf numFmtId="0" fontId="7" fillId="0" borderId="0" xfId="36" applyFont="1">
      <protection locked="0"/>
    </xf>
    <xf numFmtId="0" fontId="98" fillId="0" borderId="0" xfId="0" applyFont="1">
      <protection locked="0"/>
    </xf>
    <xf numFmtId="0" fontId="98" fillId="0" borderId="0" xfId="42" applyFont="1">
      <alignment vertical="center"/>
    </xf>
    <xf numFmtId="0" fontId="99" fillId="0" borderId="0" xfId="36" applyFont="1" applyAlignment="1">
      <alignment vertical="center"/>
      <protection locked="0"/>
    </xf>
    <xf numFmtId="0" fontId="94" fillId="0" borderId="0" xfId="36" applyFont="1" applyAlignment="1">
      <alignment vertical="center"/>
      <protection locked="0"/>
    </xf>
    <xf numFmtId="43" fontId="98" fillId="0" borderId="0" xfId="4" applyNumberFormat="1" applyFont="1" applyBorder="1" applyAlignment="1">
      <alignment vertical="center"/>
    </xf>
    <xf numFmtId="0" fontId="11" fillId="0" borderId="0" xfId="0" applyNumberFormat="1" applyFont="1" applyAlignment="1">
      <alignment vertical="center"/>
      <protection locked="0"/>
    </xf>
    <xf numFmtId="0" fontId="12" fillId="0" borderId="0" xfId="0" applyNumberFormat="1" applyFont="1">
      <protection locked="0"/>
    </xf>
    <xf numFmtId="0" fontId="12" fillId="0" borderId="0" xfId="0" applyNumberFormat="1" applyFont="1" applyAlignment="1" applyProtection="1">
      <alignment vertical="center"/>
    </xf>
    <xf numFmtId="0" fontId="12" fillId="0" borderId="0" xfId="42" applyNumberFormat="1" applyFont="1" applyAlignment="1">
      <alignment vertical="center" wrapText="1"/>
    </xf>
    <xf numFmtId="0" fontId="11" fillId="0" borderId="0" xfId="42" applyNumberFormat="1" applyFont="1" applyAlignment="1">
      <alignment vertical="center" wrapText="1"/>
    </xf>
    <xf numFmtId="0" fontId="98" fillId="0" borderId="0" xfId="0" applyNumberFormat="1" applyFont="1">
      <protection locked="0"/>
    </xf>
    <xf numFmtId="0" fontId="94" fillId="0" borderId="0" xfId="42" applyNumberFormat="1" applyFont="1" applyAlignment="1">
      <alignment vertical="center" wrapText="1"/>
    </xf>
    <xf numFmtId="0" fontId="94" fillId="0" borderId="0" xfId="0" applyNumberFormat="1" applyFont="1" applyAlignment="1">
      <alignment vertical="center"/>
      <protection locked="0"/>
    </xf>
    <xf numFmtId="0" fontId="98" fillId="0" borderId="0" xfId="42" applyNumberFormat="1" applyFont="1">
      <alignment vertical="center"/>
    </xf>
    <xf numFmtId="0" fontId="98" fillId="0" borderId="0" xfId="0" applyNumberFormat="1" applyFont="1" applyAlignment="1" applyProtection="1">
      <alignment vertical="center"/>
    </xf>
    <xf numFmtId="0" fontId="98" fillId="0" borderId="0" xfId="42" applyNumberFormat="1" applyFont="1" applyAlignment="1">
      <alignment vertical="center" wrapText="1"/>
    </xf>
    <xf numFmtId="43" fontId="6" fillId="5" borderId="3" xfId="1" applyFont="1" applyFill="1" applyBorder="1" applyAlignment="1">
      <alignment horizontal="right" vertical="center" wrapText="1"/>
    </xf>
    <xf numFmtId="43" fontId="56" fillId="0" borderId="9" xfId="1" applyFont="1" applyFill="1" applyBorder="1" applyAlignment="1">
      <alignment vertical="center"/>
    </xf>
    <xf numFmtId="43" fontId="36" fillId="0" borderId="9" xfId="1" applyFont="1" applyFill="1" applyBorder="1" applyAlignment="1">
      <alignment horizontal="center" vertical="center"/>
    </xf>
    <xf numFmtId="49" fontId="8" fillId="0" borderId="9" xfId="0" applyNumberFormat="1" applyFont="1" applyBorder="1" applyAlignment="1">
      <alignment horizontal="left" vertical="center" wrapText="1"/>
      <protection locked="0"/>
    </xf>
    <xf numFmtId="0" fontId="6" fillId="0" borderId="0" xfId="0" applyFont="1">
      <protection locked="0"/>
    </xf>
    <xf numFmtId="43" fontId="8" fillId="0" borderId="9" xfId="1" applyFont="1" applyBorder="1" applyAlignment="1" applyProtection="1">
      <alignment horizontal="left" vertical="center" wrapText="1"/>
      <protection locked="0"/>
    </xf>
    <xf numFmtId="43" fontId="36" fillId="0" borderId="9" xfId="1" applyFont="1" applyBorder="1" applyAlignment="1" applyProtection="1">
      <alignment vertical="center"/>
    </xf>
    <xf numFmtId="49" fontId="36" fillId="0" borderId="9" xfId="53" applyNumberFormat="1" applyFont="1" applyBorder="1" applyAlignment="1" applyProtection="1">
      <alignment horizontal="center" vertical="center"/>
    </xf>
    <xf numFmtId="49" fontId="80" fillId="0" borderId="9" xfId="0" applyNumberFormat="1" applyFont="1" applyBorder="1" applyAlignment="1" applyProtection="1">
      <alignment horizontal="center" vertical="center"/>
    </xf>
    <xf numFmtId="43" fontId="8" fillId="0" borderId="9" xfId="1" applyFont="1" applyBorder="1" applyAlignment="1" applyProtection="1">
      <alignment vertical="center"/>
    </xf>
    <xf numFmtId="9" fontId="8" fillId="0" borderId="9" xfId="0" applyNumberFormat="1" applyFont="1" applyBorder="1" applyAlignment="1" applyProtection="1">
      <alignment horizontal="center" vertical="center"/>
    </xf>
    <xf numFmtId="0" fontId="8" fillId="0" borderId="9" xfId="0" applyFont="1" applyBorder="1" applyAlignment="1" applyProtection="1">
      <alignment horizontal="center" vertical="center"/>
    </xf>
    <xf numFmtId="43" fontId="8" fillId="0" borderId="9" xfId="1" applyFont="1" applyBorder="1" applyAlignment="1" applyProtection="1">
      <alignment horizontal="right" vertical="center" wrapText="1" shrinkToFit="1"/>
      <protection locked="0"/>
    </xf>
    <xf numFmtId="49" fontId="8" fillId="0" borderId="9" xfId="0" applyNumberFormat="1" applyFont="1" applyBorder="1" applyAlignment="1">
      <alignment vertical="center" wrapText="1"/>
      <protection locked="0"/>
    </xf>
    <xf numFmtId="49" fontId="8" fillId="0" borderId="9" xfId="0" applyNumberFormat="1" applyFont="1" applyBorder="1" applyAlignment="1">
      <alignment horizontal="center" vertical="center" wrapText="1"/>
      <protection locked="0"/>
    </xf>
    <xf numFmtId="14" fontId="8" fillId="0" borderId="9" xfId="0" applyNumberFormat="1" applyFont="1" applyBorder="1" applyAlignment="1">
      <alignment vertical="center" wrapText="1"/>
      <protection locked="0"/>
    </xf>
    <xf numFmtId="43" fontId="44" fillId="8" borderId="9" xfId="1" applyFont="1" applyFill="1" applyBorder="1" applyAlignment="1">
      <alignment horizontal="right" vertical="center" wrapText="1"/>
    </xf>
    <xf numFmtId="49" fontId="8" fillId="8" borderId="9" xfId="44" applyNumberFormat="1" applyFont="1" applyFill="1" applyBorder="1" applyAlignment="1" applyProtection="1">
      <alignment vertical="center"/>
      <protection locked="0"/>
    </xf>
    <xf numFmtId="0" fontId="8" fillId="8" borderId="9" xfId="0" applyFont="1" applyFill="1" applyBorder="1" applyAlignment="1">
      <alignment vertical="center"/>
      <protection locked="0"/>
    </xf>
    <xf numFmtId="43" fontId="6" fillId="8" borderId="9" xfId="1" applyFont="1" applyFill="1" applyBorder="1" applyAlignment="1">
      <alignment horizontal="right" vertical="center" wrapText="1"/>
    </xf>
    <xf numFmtId="10" fontId="44" fillId="8" borderId="9" xfId="2" applyNumberFormat="1" applyFont="1" applyFill="1" applyBorder="1" applyAlignment="1">
      <alignment horizontal="right" vertical="center" wrapText="1"/>
    </xf>
    <xf numFmtId="10" fontId="6" fillId="8" borderId="9" xfId="2" applyNumberFormat="1" applyFont="1" applyFill="1" applyBorder="1" applyAlignment="1">
      <alignment horizontal="right" vertical="center" wrapText="1"/>
    </xf>
    <xf numFmtId="43" fontId="8" fillId="0" borderId="9" xfId="1" applyFont="1" applyBorder="1" applyAlignment="1" applyProtection="1">
      <alignment horizontal="left" vertical="center"/>
      <protection locked="0"/>
    </xf>
    <xf numFmtId="43" fontId="6" fillId="8" borderId="12" xfId="1" applyFont="1" applyFill="1" applyBorder="1" applyAlignment="1">
      <alignment horizontal="right" vertical="center" wrapText="1"/>
    </xf>
    <xf numFmtId="49" fontId="8" fillId="0" borderId="9" xfId="44" applyNumberFormat="1" applyFont="1" applyBorder="1" applyAlignment="1" applyProtection="1">
      <alignment horizontal="center" vertical="center"/>
      <protection locked="0"/>
    </xf>
    <xf numFmtId="0" fontId="8" fillId="8" borderId="9" xfId="35" applyFont="1" applyFill="1" applyBorder="1" applyAlignment="1">
      <alignment vertical="center" wrapText="1"/>
      <protection locked="0"/>
    </xf>
    <xf numFmtId="43" fontId="35" fillId="8" borderId="9" xfId="1" applyFont="1" applyFill="1" applyBorder="1" applyAlignment="1">
      <alignment horizontal="right" vertical="center"/>
    </xf>
    <xf numFmtId="43" fontId="8" fillId="8" borderId="9" xfId="0" applyNumberFormat="1" applyFont="1" applyFill="1" applyBorder="1" applyAlignment="1">
      <alignment horizontal="left" vertical="center"/>
      <protection locked="0"/>
    </xf>
    <xf numFmtId="0" fontId="8" fillId="8" borderId="2" xfId="35" applyFont="1" applyFill="1" applyBorder="1" applyAlignment="1">
      <alignment vertical="center" wrapText="1"/>
      <protection locked="0"/>
    </xf>
    <xf numFmtId="43" fontId="8" fillId="0" borderId="12" xfId="1" applyFont="1" applyBorder="1" applyAlignment="1" applyProtection="1">
      <alignment horizontal="left" vertical="center"/>
      <protection locked="0"/>
    </xf>
    <xf numFmtId="43" fontId="8" fillId="8" borderId="15" xfId="0" applyNumberFormat="1" applyFont="1" applyFill="1" applyBorder="1" applyAlignment="1">
      <alignment horizontal="left" vertical="center"/>
      <protection locked="0"/>
    </xf>
    <xf numFmtId="0" fontId="8" fillId="8" borderId="20" xfId="35" applyFont="1" applyFill="1" applyBorder="1" applyAlignment="1">
      <alignment vertical="center" wrapText="1"/>
      <protection locked="0"/>
    </xf>
    <xf numFmtId="43" fontId="6" fillId="5" borderId="12" xfId="1" applyFont="1" applyFill="1" applyBorder="1" applyAlignment="1">
      <alignment horizontal="right" vertical="center" wrapText="1"/>
    </xf>
    <xf numFmtId="0" fontId="6" fillId="5" borderId="9" xfId="0" applyFont="1" applyFill="1" applyBorder="1" applyAlignment="1">
      <alignment vertical="center" wrapText="1"/>
      <protection locked="0"/>
    </xf>
    <xf numFmtId="0" fontId="6" fillId="5" borderId="9" xfId="0" applyFont="1" applyFill="1" applyBorder="1" applyAlignment="1">
      <alignment horizontal="left" vertical="center"/>
      <protection locked="0"/>
    </xf>
    <xf numFmtId="43" fontId="6" fillId="5" borderId="12" xfId="0" applyNumberFormat="1" applyFont="1" applyFill="1" applyBorder="1" applyAlignment="1">
      <alignment horizontal="left" vertical="center"/>
      <protection locked="0"/>
    </xf>
    <xf numFmtId="0" fontId="84" fillId="0" borderId="0" xfId="0" applyFont="1" applyAlignment="1">
      <alignment horizontal="left"/>
      <protection locked="0"/>
    </xf>
    <xf numFmtId="0" fontId="8" fillId="0" borderId="9" xfId="35" applyNumberFormat="1" applyFont="1" applyBorder="1" applyAlignment="1">
      <alignment horizontal="center" vertical="center"/>
      <protection locked="0"/>
    </xf>
    <xf numFmtId="0" fontId="8" fillId="0" borderId="0" xfId="35" applyFont="1" applyBorder="1" applyAlignment="1">
      <alignment vertical="center"/>
      <protection locked="0"/>
    </xf>
    <xf numFmtId="0" fontId="6" fillId="0" borderId="0" xfId="35" applyFont="1" applyBorder="1" applyAlignment="1">
      <alignment vertical="center"/>
      <protection locked="0"/>
    </xf>
    <xf numFmtId="0" fontId="8" fillId="0" borderId="0" xfId="35" applyFont="1" applyBorder="1" applyAlignment="1">
      <alignment horizontal="center" vertical="center"/>
      <protection locked="0"/>
    </xf>
    <xf numFmtId="0" fontId="8" fillId="0" borderId="0" xfId="35" applyFont="1" applyBorder="1" applyAlignment="1">
      <alignment horizontal="left" vertical="center"/>
      <protection locked="0"/>
    </xf>
    <xf numFmtId="0" fontId="6" fillId="8" borderId="9" xfId="35" applyFont="1" applyFill="1" applyBorder="1" applyAlignment="1">
      <alignment horizontal="left" vertical="center"/>
      <protection locked="0"/>
    </xf>
    <xf numFmtId="43" fontId="35" fillId="8" borderId="12" xfId="1" applyFont="1" applyFill="1" applyBorder="1" applyAlignment="1">
      <alignment horizontal="right" vertical="center"/>
    </xf>
    <xf numFmtId="14" fontId="8" fillId="0" borderId="3" xfId="0" applyNumberFormat="1" applyFont="1" applyBorder="1" applyAlignment="1">
      <alignment vertical="center" wrapText="1"/>
      <protection locked="0"/>
    </xf>
    <xf numFmtId="0" fontId="8" fillId="0" borderId="3" xfId="0" applyFont="1" applyBorder="1" applyAlignment="1">
      <alignment horizontal="center" vertical="center" wrapText="1"/>
      <protection locked="0"/>
    </xf>
    <xf numFmtId="0" fontId="8" fillId="8" borderId="9" xfId="35" applyFont="1" applyFill="1" applyBorder="1" applyAlignment="1">
      <alignment vertical="center"/>
      <protection locked="0"/>
    </xf>
    <xf numFmtId="43" fontId="6" fillId="5" borderId="10" xfId="1" applyFont="1" applyFill="1" applyBorder="1" applyAlignment="1">
      <alignment horizontal="right" vertical="center" wrapText="1"/>
    </xf>
    <xf numFmtId="43" fontId="6" fillId="0" borderId="0" xfId="1" applyFont="1" applyAlignment="1" applyProtection="1">
      <alignment vertical="center"/>
      <protection locked="0"/>
    </xf>
    <xf numFmtId="43" fontId="6" fillId="5" borderId="10" xfId="1" applyFont="1" applyFill="1" applyBorder="1" applyAlignment="1" applyProtection="1">
      <alignment horizontal="center" vertical="center"/>
      <protection locked="0"/>
    </xf>
    <xf numFmtId="43" fontId="6" fillId="5" borderId="0" xfId="1" applyFont="1" applyFill="1" applyAlignment="1" applyProtection="1">
      <alignment vertical="center"/>
      <protection locked="0"/>
    </xf>
    <xf numFmtId="0" fontId="8" fillId="0" borderId="0" xfId="0" applyFont="1" applyBorder="1" applyAlignment="1" applyProtection="1">
      <alignment vertical="center"/>
    </xf>
    <xf numFmtId="49" fontId="8" fillId="0" borderId="9" xfId="1" applyNumberFormat="1" applyFont="1" applyFill="1" applyBorder="1" applyAlignment="1" applyProtection="1">
      <alignment horizontal="center" vertical="center" shrinkToFit="1"/>
    </xf>
    <xf numFmtId="43" fontId="6" fillId="9" borderId="9" xfId="1" applyFont="1" applyFill="1" applyBorder="1" applyAlignment="1">
      <alignment vertical="center"/>
    </xf>
    <xf numFmtId="14" fontId="8" fillId="0" borderId="9" xfId="0" applyNumberFormat="1" applyFont="1" applyBorder="1" applyAlignment="1">
      <alignment horizontal="justify" vertical="center" wrapText="1"/>
      <protection locked="0"/>
    </xf>
    <xf numFmtId="49" fontId="8" fillId="0" borderId="9" xfId="0" applyNumberFormat="1" applyFont="1" applyBorder="1" applyAlignment="1">
      <alignment horizontal="justify" vertical="center" wrapText="1"/>
      <protection locked="0"/>
    </xf>
    <xf numFmtId="43" fontId="35" fillId="8" borderId="9" xfId="1" applyFont="1" applyFill="1" applyBorder="1" applyAlignment="1">
      <alignment vertical="center"/>
    </xf>
    <xf numFmtId="43" fontId="6" fillId="8" borderId="9" xfId="1" applyFont="1" applyFill="1" applyBorder="1" applyAlignment="1">
      <alignment vertical="center"/>
    </xf>
    <xf numFmtId="43" fontId="6" fillId="8" borderId="9" xfId="1" applyFont="1" applyFill="1" applyBorder="1" applyAlignment="1" applyProtection="1">
      <alignment horizontal="justify" vertical="center" wrapText="1"/>
      <protection locked="0"/>
    </xf>
    <xf numFmtId="0" fontId="6" fillId="8" borderId="9" xfId="0" applyFont="1" applyFill="1" applyBorder="1" applyAlignment="1">
      <alignment horizontal="center" vertical="center" wrapText="1"/>
      <protection locked="0"/>
    </xf>
    <xf numFmtId="43" fontId="6" fillId="8" borderId="9" xfId="1" applyFont="1" applyFill="1" applyBorder="1" applyAlignment="1" applyProtection="1">
      <alignment horizontal="center" vertical="center" wrapText="1"/>
      <protection locked="0"/>
    </xf>
    <xf numFmtId="10" fontId="8" fillId="5" borderId="9" xfId="2" applyNumberFormat="1" applyFont="1" applyFill="1" applyBorder="1" applyAlignment="1">
      <alignment vertical="center"/>
    </xf>
    <xf numFmtId="201" fontId="8" fillId="5" borderId="9" xfId="1" applyNumberFormat="1" applyFont="1" applyFill="1" applyBorder="1" applyAlignment="1">
      <alignment vertical="center"/>
    </xf>
    <xf numFmtId="0" fontId="8" fillId="0" borderId="9" xfId="47" applyNumberFormat="1" applyFont="1" applyBorder="1" applyAlignment="1" applyProtection="1">
      <alignment horizontal="left" vertical="center" shrinkToFit="1"/>
      <protection locked="0"/>
    </xf>
    <xf numFmtId="43" fontId="8" fillId="0" borderId="9" xfId="1" applyFont="1" applyBorder="1" applyAlignment="1" applyProtection="1">
      <alignment vertical="center"/>
      <protection locked="0"/>
    </xf>
    <xf numFmtId="10" fontId="8" fillId="0" borderId="9" xfId="2" applyNumberFormat="1" applyFont="1" applyBorder="1" applyAlignment="1">
      <alignment horizontal="center" vertical="center" wrapText="1"/>
    </xf>
    <xf numFmtId="14" fontId="8" fillId="0" borderId="9" xfId="47" applyNumberFormat="1" applyFont="1" applyBorder="1" applyAlignment="1">
      <alignment horizontal="center" vertical="center" wrapText="1"/>
    </xf>
    <xf numFmtId="0" fontId="8" fillId="0" borderId="9" xfId="47" applyNumberFormat="1" applyFont="1" applyBorder="1" applyAlignment="1">
      <alignment horizontal="center" vertical="center" wrapText="1"/>
    </xf>
    <xf numFmtId="49" fontId="8" fillId="0" borderId="9" xfId="47" applyNumberFormat="1" applyFont="1" applyBorder="1" applyAlignment="1">
      <alignment horizontal="center" vertical="center" wrapText="1"/>
    </xf>
    <xf numFmtId="0" fontId="6" fillId="12" borderId="6" xfId="59" applyFont="1" applyFill="1" applyBorder="1" applyAlignment="1">
      <alignment horizontal="center" vertical="center"/>
      <protection locked="0"/>
    </xf>
    <xf numFmtId="0" fontId="51" fillId="0" borderId="0" xfId="0" applyNumberFormat="1" applyFont="1" applyAlignment="1">
      <alignment horizontal="right" vertical="center"/>
      <protection locked="0"/>
    </xf>
    <xf numFmtId="0" fontId="51" fillId="0" borderId="0" xfId="0" applyNumberFormat="1" applyFont="1" applyAlignment="1">
      <alignment horizontal="left" vertical="center"/>
      <protection locked="0"/>
    </xf>
    <xf numFmtId="0" fontId="6" fillId="5" borderId="9" xfId="53" applyFont="1" applyFill="1" applyBorder="1" applyAlignment="1" applyProtection="1">
      <alignment horizontal="center" vertical="center" wrapText="1"/>
      <protection locked="0"/>
    </xf>
    <xf numFmtId="0" fontId="6" fillId="5" borderId="9" xfId="53" applyFont="1" applyFill="1" applyBorder="1" applyAlignment="1" applyProtection="1">
      <alignment horizontal="center" vertical="center"/>
      <protection locked="0"/>
    </xf>
    <xf numFmtId="0" fontId="35" fillId="5" borderId="9" xfId="0" applyFont="1" applyFill="1" applyBorder="1" applyAlignment="1" applyProtection="1">
      <alignment horizontal="center" vertical="center"/>
    </xf>
    <xf numFmtId="0" fontId="35" fillId="5" borderId="9" xfId="47" applyFont="1" applyFill="1" applyBorder="1" applyAlignment="1" applyProtection="1">
      <alignment horizontal="center" vertical="center"/>
      <protection locked="0"/>
    </xf>
    <xf numFmtId="0" fontId="8" fillId="0" borderId="9" xfId="0" applyFont="1" applyBorder="1" applyAlignment="1">
      <alignment horizontal="justify" vertical="center"/>
      <protection locked="0"/>
    </xf>
    <xf numFmtId="0" fontId="4" fillId="0" borderId="10" xfId="0" applyFont="1" applyBorder="1" applyAlignment="1">
      <alignment vertical="center"/>
      <protection locked="0"/>
    </xf>
    <xf numFmtId="0" fontId="81" fillId="0" borderId="0" xfId="35" applyFont="1" applyAlignment="1">
      <alignment horizontal="left" vertical="center"/>
      <protection locked="0"/>
    </xf>
    <xf numFmtId="49" fontId="81" fillId="0" borderId="0" xfId="0" applyNumberFormat="1" applyFont="1" applyAlignment="1">
      <alignment horizontal="left" vertical="center"/>
      <protection locked="0"/>
    </xf>
    <xf numFmtId="0" fontId="6" fillId="0" borderId="0" xfId="35" applyFont="1" applyBorder="1" applyAlignment="1">
      <alignment horizontal="left" vertical="center"/>
      <protection locked="0"/>
    </xf>
    <xf numFmtId="0" fontId="6" fillId="0" borderId="0" xfId="0" applyFont="1" applyFill="1" applyBorder="1" applyAlignment="1">
      <alignment horizontal="center" vertical="center" shrinkToFit="1"/>
      <protection locked="0"/>
    </xf>
    <xf numFmtId="196" fontId="8" fillId="0" borderId="0" xfId="1" applyNumberFormat="1" applyFont="1" applyFill="1" applyBorder="1" applyAlignment="1">
      <alignment vertical="center"/>
    </xf>
    <xf numFmtId="0" fontId="6" fillId="5" borderId="9" xfId="0" applyFont="1" applyFill="1" applyBorder="1" applyAlignment="1">
      <alignment horizontal="center" vertical="center" wrapText="1"/>
      <protection locked="0"/>
    </xf>
    <xf numFmtId="0" fontId="8" fillId="5" borderId="9" xfId="0" applyFont="1" applyFill="1" applyBorder="1" applyAlignment="1" applyProtection="1">
      <alignment horizontal="right" vertical="center"/>
    </xf>
    <xf numFmtId="0" fontId="56" fillId="5" borderId="9" xfId="0" applyFont="1" applyFill="1" applyBorder="1" applyAlignment="1" applyProtection="1">
      <alignment horizontal="center" vertical="center" wrapText="1"/>
    </xf>
    <xf numFmtId="49" fontId="8" fillId="0" borderId="3" xfId="1" applyNumberFormat="1" applyFont="1" applyFill="1" applyBorder="1" applyAlignment="1" applyProtection="1">
      <alignment horizontal="center" vertical="center" shrinkToFit="1"/>
    </xf>
    <xf numFmtId="0" fontId="56" fillId="0" borderId="3" xfId="0" applyFont="1" applyBorder="1" applyAlignment="1" applyProtection="1">
      <alignment vertical="center"/>
    </xf>
    <xf numFmtId="43" fontId="8" fillId="0" borderId="3" xfId="0" applyNumberFormat="1" applyFont="1" applyBorder="1" applyAlignment="1">
      <alignment horizontal="right" vertical="center" wrapText="1"/>
      <protection locked="0"/>
    </xf>
    <xf numFmtId="0" fontId="56" fillId="0" borderId="0" xfId="0" applyFont="1" applyFill="1" applyBorder="1" applyAlignment="1">
      <alignment horizontal="left" vertical="center"/>
      <protection locked="0"/>
    </xf>
    <xf numFmtId="202" fontId="17" fillId="0" borderId="0" xfId="57" applyNumberFormat="1" applyFont="1" applyAlignment="1">
      <alignment horizontal="left" vertical="center"/>
      <protection locked="0"/>
    </xf>
    <xf numFmtId="202" fontId="8" fillId="0" borderId="0" xfId="57" applyNumberFormat="1" applyFont="1" applyAlignment="1">
      <alignment horizontal="left" vertical="center"/>
      <protection locked="0"/>
    </xf>
    <xf numFmtId="43" fontId="18" fillId="0" borderId="0" xfId="4" applyNumberFormat="1" applyFont="1" applyBorder="1" applyAlignment="1">
      <alignment vertical="center"/>
    </xf>
    <xf numFmtId="0" fontId="18" fillId="0" borderId="0" xfId="0" applyFont="1">
      <protection locked="0"/>
    </xf>
    <xf numFmtId="0" fontId="18" fillId="0" borderId="0" xfId="0" applyFont="1" applyAlignment="1">
      <alignment vertical="center"/>
      <protection locked="0"/>
    </xf>
    <xf numFmtId="0" fontId="18" fillId="0" borderId="0" xfId="35" applyFont="1" applyAlignment="1">
      <alignment vertical="center"/>
      <protection locked="0"/>
    </xf>
    <xf numFmtId="0" fontId="18" fillId="0" borderId="0" xfId="0" applyFont="1" applyAlignment="1">
      <alignment vertical="center" wrapText="1"/>
      <protection locked="0"/>
    </xf>
    <xf numFmtId="0" fontId="18" fillId="0" borderId="0" xfId="0" applyFont="1" applyAlignment="1">
      <alignment horizontal="left" vertical="center"/>
      <protection locked="0"/>
    </xf>
    <xf numFmtId="49" fontId="8" fillId="0" borderId="12" xfId="51" applyNumberFormat="1" applyFont="1" applyFill="1" applyBorder="1" applyAlignment="1">
      <alignment horizontal="left" vertical="center" wrapText="1"/>
      <protection locked="0"/>
    </xf>
    <xf numFmtId="0" fontId="80" fillId="0" borderId="9" xfId="51" applyFont="1" applyFill="1" applyBorder="1" applyAlignment="1" applyProtection="1">
      <alignment horizontal="center" vertical="center" wrapText="1"/>
    </xf>
    <xf numFmtId="200" fontId="80" fillId="0" borderId="9" xfId="57" applyFont="1" applyFill="1" applyBorder="1" applyAlignment="1" applyProtection="1">
      <alignment horizontal="center" vertical="center" wrapText="1"/>
    </xf>
    <xf numFmtId="200" fontId="42" fillId="0" borderId="9" xfId="57" applyFont="1" applyFill="1" applyBorder="1" applyAlignment="1" applyProtection="1">
      <alignment horizontal="center" vertical="center" wrapText="1"/>
    </xf>
    <xf numFmtId="0" fontId="80" fillId="0" borderId="9" xfId="48" applyFont="1" applyFill="1" applyBorder="1" applyAlignment="1" applyProtection="1">
      <alignment horizontal="center" vertical="center" wrapText="1"/>
    </xf>
    <xf numFmtId="0" fontId="6" fillId="0" borderId="9" xfId="48" applyFont="1" applyFill="1" applyBorder="1" applyAlignment="1" applyProtection="1">
      <alignment horizontal="center" vertical="center" wrapText="1"/>
      <protection locked="0"/>
    </xf>
    <xf numFmtId="0" fontId="8" fillId="0" borderId="9" xfId="48" applyFont="1" applyFill="1" applyBorder="1" applyAlignment="1" applyProtection="1">
      <alignment horizontal="center" vertical="center" wrapText="1"/>
      <protection locked="0"/>
    </xf>
    <xf numFmtId="200" fontId="8" fillId="0" borderId="9" xfId="56" applyFont="1" applyFill="1" applyBorder="1" applyAlignment="1" applyProtection="1">
      <alignment horizontal="center" vertical="center"/>
      <protection locked="0"/>
    </xf>
    <xf numFmtId="200" fontId="6" fillId="0" borderId="9" xfId="57" applyFont="1" applyFill="1" applyBorder="1" applyAlignment="1" applyProtection="1">
      <alignment horizontal="center" vertical="center"/>
      <protection locked="0"/>
    </xf>
    <xf numFmtId="200" fontId="8" fillId="0" borderId="9" xfId="57" applyFont="1" applyFill="1" applyBorder="1" applyAlignment="1" applyProtection="1">
      <alignment horizontal="center" vertical="center"/>
      <protection locked="0"/>
    </xf>
    <xf numFmtId="0" fontId="13" fillId="0" borderId="12" xfId="48" applyFont="1" applyFill="1" applyBorder="1" applyAlignment="1" applyProtection="1">
      <alignment horizontal="left" vertical="center" wrapText="1"/>
      <protection locked="0"/>
    </xf>
    <xf numFmtId="200" fontId="50" fillId="0" borderId="9" xfId="57" applyFont="1" applyFill="1" applyBorder="1" applyAlignment="1" applyProtection="1">
      <alignment horizontal="center" vertical="center" wrapText="1"/>
    </xf>
    <xf numFmtId="43" fontId="50" fillId="0" borderId="9" xfId="1" applyFont="1" applyFill="1" applyBorder="1" applyAlignment="1" applyProtection="1">
      <alignment horizontal="center" vertical="center" wrapText="1"/>
    </xf>
    <xf numFmtId="43" fontId="8" fillId="0" borderId="9" xfId="1" applyFont="1" applyFill="1" applyBorder="1" applyAlignment="1" applyProtection="1">
      <alignment horizontal="center" vertical="center"/>
      <protection locked="0"/>
    </xf>
    <xf numFmtId="0" fontId="80" fillId="0" borderId="15" xfId="48" applyFont="1" applyFill="1" applyBorder="1" applyAlignment="1" applyProtection="1">
      <alignment horizontal="center" vertical="center" wrapText="1"/>
    </xf>
    <xf numFmtId="0" fontId="8" fillId="0" borderId="14" xfId="48" applyFont="1" applyFill="1" applyBorder="1" applyAlignment="1" applyProtection="1">
      <alignment horizontal="center" vertical="center" wrapText="1"/>
      <protection locked="0"/>
    </xf>
    <xf numFmtId="49" fontId="8" fillId="0" borderId="12" xfId="1" applyNumberFormat="1" applyFont="1" applyFill="1" applyBorder="1" applyAlignment="1" applyProtection="1">
      <alignment horizontal="left" vertical="center" wrapText="1"/>
      <protection locked="0"/>
    </xf>
    <xf numFmtId="0" fontId="13" fillId="0" borderId="12" xfId="51" applyFont="1" applyFill="1" applyBorder="1" applyAlignment="1" applyProtection="1">
      <alignment horizontal="left" vertical="center" wrapText="1"/>
      <protection locked="0"/>
    </xf>
    <xf numFmtId="0" fontId="13" fillId="0" borderId="12" xfId="51" applyFont="1" applyFill="1" applyBorder="1" applyAlignment="1">
      <alignment horizontal="left" vertical="center" wrapText="1"/>
      <protection locked="0"/>
    </xf>
    <xf numFmtId="49" fontId="8" fillId="0" borderId="9" xfId="51" applyNumberFormat="1" applyFont="1" applyFill="1" applyBorder="1" applyAlignment="1">
      <alignment horizontal="center" vertical="center"/>
      <protection locked="0"/>
    </xf>
    <xf numFmtId="0" fontId="8" fillId="0" borderId="9" xfId="53" applyFont="1" applyFill="1" applyBorder="1" applyAlignment="1" applyProtection="1">
      <alignment horizontal="center" vertical="center" wrapText="1"/>
      <protection locked="0"/>
    </xf>
    <xf numFmtId="0" fontId="8" fillId="0" borderId="9" xfId="51" applyFont="1" applyFill="1" applyBorder="1" applyAlignment="1">
      <alignment horizontal="center" vertical="center" wrapText="1"/>
      <protection locked="0"/>
    </xf>
    <xf numFmtId="49" fontId="8" fillId="0" borderId="9" xfId="51" applyNumberFormat="1" applyFont="1" applyFill="1" applyBorder="1" applyAlignment="1" applyProtection="1">
      <alignment horizontal="left" vertical="center" wrapText="1"/>
      <protection locked="0"/>
    </xf>
    <xf numFmtId="0" fontId="8" fillId="0" borderId="9" xfId="48" applyFont="1" applyFill="1" applyBorder="1" applyAlignment="1" applyProtection="1">
      <alignment horizontal="left" vertical="center" wrapText="1"/>
      <protection locked="0"/>
    </xf>
    <xf numFmtId="0" fontId="8" fillId="0" borderId="9" xfId="51" applyFont="1" applyFill="1" applyBorder="1" applyAlignment="1">
      <alignment horizontal="left" vertical="center" wrapText="1"/>
      <protection locked="0"/>
    </xf>
    <xf numFmtId="200" fontId="8" fillId="0" borderId="9" xfId="56" applyFont="1" applyFill="1" applyBorder="1" applyAlignment="1" applyProtection="1">
      <alignment horizontal="center" vertical="center" wrapText="1"/>
      <protection locked="0"/>
    </xf>
    <xf numFmtId="43" fontId="13" fillId="0" borderId="9" xfId="1" applyFont="1" applyFill="1" applyBorder="1" applyAlignment="1" applyProtection="1">
      <alignment horizontal="left" vertical="center" wrapText="1"/>
      <protection locked="0"/>
    </xf>
    <xf numFmtId="0" fontId="13" fillId="0" borderId="9" xfId="51" applyFont="1" applyFill="1" applyBorder="1" applyAlignment="1" applyProtection="1">
      <alignment horizontal="left" vertical="center" wrapText="1"/>
      <protection locked="0"/>
    </xf>
    <xf numFmtId="0" fontId="8" fillId="0" borderId="9" xfId="51" applyFont="1" applyFill="1" applyBorder="1" applyAlignment="1" applyProtection="1">
      <alignment horizontal="center" vertical="center" wrapText="1"/>
      <protection locked="0"/>
    </xf>
    <xf numFmtId="0" fontId="8" fillId="0" borderId="9" xfId="51" applyFont="1" applyFill="1" applyBorder="1" applyAlignment="1" applyProtection="1">
      <alignment horizontal="left" vertical="center" wrapText="1"/>
      <protection locked="0"/>
    </xf>
    <xf numFmtId="200" fontId="6" fillId="0" borderId="9" xfId="56" applyFont="1" applyFill="1" applyBorder="1" applyAlignment="1" applyProtection="1">
      <alignment horizontal="center" vertical="center"/>
      <protection locked="0"/>
    </xf>
    <xf numFmtId="49" fontId="8" fillId="0" borderId="9" xfId="1" applyNumberFormat="1" applyFont="1" applyFill="1" applyBorder="1" applyAlignment="1" applyProtection="1">
      <alignment horizontal="center" vertical="center" wrapText="1"/>
      <protection locked="0"/>
    </xf>
    <xf numFmtId="43" fontId="8" fillId="8" borderId="6" xfId="3" applyNumberFormat="1" applyFont="1" applyFill="1" applyBorder="1" applyAlignment="1">
      <alignment vertical="center"/>
    </xf>
    <xf numFmtId="49" fontId="13" fillId="0" borderId="12" xfId="1" applyNumberFormat="1" applyFont="1" applyFill="1" applyBorder="1" applyAlignment="1" applyProtection="1">
      <alignment horizontal="left" vertical="center" wrapText="1"/>
      <protection locked="0"/>
    </xf>
    <xf numFmtId="0" fontId="50" fillId="0" borderId="9" xfId="51" applyFont="1" applyFill="1" applyBorder="1" applyAlignment="1" applyProtection="1">
      <alignment horizontal="center" vertical="center" wrapText="1"/>
    </xf>
    <xf numFmtId="0" fontId="4" fillId="5" borderId="9" xfId="0" applyFont="1" applyFill="1" applyBorder="1" applyAlignment="1">
      <alignment horizontal="center" vertical="center" wrapText="1"/>
      <protection locked="0"/>
    </xf>
    <xf numFmtId="0" fontId="4" fillId="5" borderId="12" xfId="0" applyFont="1" applyFill="1" applyBorder="1" applyAlignment="1">
      <alignment horizontal="center" vertical="center" wrapText="1"/>
      <protection locked="0"/>
    </xf>
    <xf numFmtId="0" fontId="4" fillId="5" borderId="15" xfId="0" applyFont="1" applyFill="1" applyBorder="1" applyAlignment="1">
      <alignment horizontal="center" vertical="center" wrapText="1"/>
      <protection locked="0"/>
    </xf>
    <xf numFmtId="43" fontId="4" fillId="5" borderId="15" xfId="1" applyFont="1" applyFill="1" applyBorder="1" applyAlignment="1">
      <alignment horizontal="center" vertical="center" wrapText="1"/>
    </xf>
    <xf numFmtId="43" fontId="4" fillId="5" borderId="9" xfId="1" applyFont="1" applyFill="1" applyBorder="1" applyAlignment="1">
      <alignment horizontal="center" vertical="center" wrapText="1"/>
    </xf>
    <xf numFmtId="14" fontId="4" fillId="5" borderId="9" xfId="1" applyNumberFormat="1" applyFont="1" applyFill="1" applyBorder="1" applyAlignment="1">
      <alignment horizontal="center" vertical="center" wrapText="1"/>
    </xf>
    <xf numFmtId="9" fontId="4" fillId="5" borderId="9" xfId="2" applyFont="1" applyFill="1" applyBorder="1" applyAlignment="1">
      <alignment horizontal="center" vertical="center" wrapText="1"/>
    </xf>
    <xf numFmtId="49" fontId="4" fillId="5" borderId="9" xfId="1" applyNumberFormat="1" applyFont="1" applyFill="1" applyBorder="1" applyAlignment="1">
      <alignment horizontal="center" vertical="center" wrapText="1"/>
    </xf>
    <xf numFmtId="43" fontId="13" fillId="0" borderId="0" xfId="1" applyFont="1" applyAlignment="1">
      <alignment horizontal="center" vertical="center" wrapText="1"/>
    </xf>
    <xf numFmtId="43" fontId="4" fillId="5" borderId="9" xfId="1" applyFont="1" applyFill="1" applyBorder="1" applyAlignment="1" applyProtection="1">
      <alignment horizontal="center" vertical="center" wrapText="1"/>
      <protection locked="0"/>
    </xf>
    <xf numFmtId="43" fontId="6" fillId="8" borderId="13" xfId="1" applyFont="1" applyFill="1" applyBorder="1" applyAlignment="1" applyProtection="1">
      <alignment horizontal="justify" vertical="center" wrapText="1"/>
      <protection locked="0"/>
    </xf>
    <xf numFmtId="0" fontId="56" fillId="0" borderId="9" xfId="51" applyFont="1" applyFill="1" applyBorder="1" applyAlignment="1">
      <alignment horizontal="center" vertical="center" wrapText="1"/>
      <protection locked="0"/>
    </xf>
    <xf numFmtId="0" fontId="8" fillId="0" borderId="6" xfId="0" applyFont="1" applyBorder="1" applyAlignment="1">
      <alignment horizontal="center" vertical="center"/>
      <protection locked="0"/>
    </xf>
    <xf numFmtId="49" fontId="4" fillId="0" borderId="0" xfId="57" applyNumberFormat="1" applyFont="1" applyFill="1" applyAlignment="1" applyProtection="1">
      <alignment horizontal="left" vertical="center"/>
      <protection locked="0"/>
    </xf>
    <xf numFmtId="0" fontId="6" fillId="8" borderId="9" xfId="0" applyFont="1" applyFill="1" applyBorder="1" applyAlignment="1">
      <alignment horizontal="center" vertical="center" wrapText="1"/>
      <protection locked="0"/>
    </xf>
    <xf numFmtId="0" fontId="4" fillId="8" borderId="9" xfId="0" applyFont="1" applyFill="1" applyBorder="1" applyAlignment="1">
      <alignment horizontal="left" vertical="center" wrapText="1"/>
      <protection locked="0"/>
    </xf>
    <xf numFmtId="0" fontId="8" fillId="0" borderId="9" xfId="47" applyNumberFormat="1" applyFont="1" applyFill="1" applyBorder="1" applyAlignment="1" applyProtection="1">
      <alignment vertical="center"/>
      <protection locked="0"/>
    </xf>
    <xf numFmtId="43" fontId="36" fillId="8" borderId="9" xfId="1" applyFont="1" applyFill="1" applyBorder="1" applyAlignment="1">
      <alignment horizontal="right" vertical="center"/>
    </xf>
    <xf numFmtId="43" fontId="8" fillId="8" borderId="9" xfId="1" applyFont="1" applyFill="1" applyBorder="1" applyAlignment="1">
      <alignment horizontal="right" vertical="center" wrapText="1"/>
    </xf>
    <xf numFmtId="10" fontId="8" fillId="8" borderId="9" xfId="2" applyNumberFormat="1" applyFont="1" applyFill="1" applyBorder="1" applyAlignment="1">
      <alignment horizontal="right" vertical="center" wrapText="1"/>
    </xf>
    <xf numFmtId="44" fontId="8" fillId="8" borderId="9" xfId="1" applyNumberFormat="1" applyFont="1" applyFill="1" applyBorder="1" applyAlignment="1">
      <alignment horizontal="right" vertical="center" wrapText="1"/>
    </xf>
    <xf numFmtId="44" fontId="8" fillId="8" borderId="9" xfId="2" applyNumberFormat="1" applyFont="1" applyFill="1" applyBorder="1" applyAlignment="1">
      <alignment horizontal="right" vertical="center" wrapText="1"/>
    </xf>
    <xf numFmtId="0" fontId="36" fillId="0" borderId="0" xfId="35" applyFont="1" applyFill="1" applyAlignment="1" applyProtection="1">
      <alignment vertical="center"/>
    </xf>
    <xf numFmtId="0" fontId="8" fillId="0" borderId="0" xfId="43" applyFont="1" applyFill="1">
      <alignment vertical="center"/>
    </xf>
    <xf numFmtId="0" fontId="8" fillId="0" borderId="0" xfId="36" applyFont="1" applyFill="1">
      <protection locked="0"/>
    </xf>
    <xf numFmtId="0" fontId="8" fillId="0" borderId="0" xfId="0" applyFont="1" applyFill="1" applyAlignment="1">
      <alignment horizontal="right" vertical="center"/>
      <protection locked="0"/>
    </xf>
    <xf numFmtId="0" fontId="6" fillId="5" borderId="0" xfId="0" applyFont="1" applyFill="1" applyAlignment="1">
      <alignment vertical="center"/>
      <protection locked="0"/>
    </xf>
    <xf numFmtId="0" fontId="6" fillId="5" borderId="0" xfId="0" applyFont="1" applyFill="1">
      <protection locked="0"/>
    </xf>
    <xf numFmtId="0" fontId="35" fillId="5" borderId="9" xfId="53" applyFont="1" applyFill="1" applyBorder="1" applyAlignment="1" applyProtection="1">
      <alignment horizontal="center" vertical="center"/>
    </xf>
    <xf numFmtId="49" fontId="35" fillId="0" borderId="0" xfId="35" applyNumberFormat="1" applyFont="1" applyFill="1" applyAlignment="1" applyProtection="1">
      <alignment vertical="center"/>
    </xf>
    <xf numFmtId="0" fontId="8" fillId="0" borderId="0" xfId="35" applyFont="1" applyFill="1" applyAlignment="1">
      <alignment horizontal="right" vertical="center"/>
      <protection locked="0"/>
    </xf>
    <xf numFmtId="0" fontId="8" fillId="0" borderId="0" xfId="35" applyFont="1" applyFill="1" applyAlignment="1">
      <alignment vertical="center"/>
      <protection locked="0"/>
    </xf>
    <xf numFmtId="0" fontId="8" fillId="0" borderId="0" xfId="35" applyFont="1" applyFill="1" applyAlignment="1">
      <alignment horizontal="justify" vertical="center" wrapText="1"/>
      <protection locked="0"/>
    </xf>
    <xf numFmtId="49" fontId="36" fillId="0" borderId="0" xfId="35" applyNumberFormat="1" applyFont="1" applyFill="1" applyAlignment="1" applyProtection="1">
      <alignment vertical="center"/>
    </xf>
    <xf numFmtId="49" fontId="36" fillId="0" borderId="0" xfId="35" applyNumberFormat="1" applyFont="1" applyFill="1" applyAlignment="1" applyProtection="1">
      <alignment horizontal="left" vertical="center" wrapText="1"/>
    </xf>
    <xf numFmtId="49" fontId="35" fillId="0" borderId="0" xfId="35" applyNumberFormat="1" applyFont="1" applyFill="1" applyAlignment="1" applyProtection="1">
      <alignment horizontal="left" vertical="center" wrapText="1"/>
    </xf>
    <xf numFmtId="0" fontId="8" fillId="0" borderId="0" xfId="35" applyFont="1" applyFill="1" applyAlignment="1" applyProtection="1">
      <alignment vertical="center"/>
    </xf>
    <xf numFmtId="0" fontId="8" fillId="0" borderId="0" xfId="44" applyFont="1" applyFill="1" applyAlignment="1" applyProtection="1">
      <alignment vertical="center"/>
      <protection locked="0"/>
    </xf>
    <xf numFmtId="0" fontId="8" fillId="0" borderId="0" xfId="47" applyFont="1" applyFill="1" applyAlignment="1">
      <alignment horizontal="left" vertical="center"/>
    </xf>
    <xf numFmtId="0" fontId="8" fillId="0" borderId="0" xfId="44" applyFont="1" applyFill="1" applyAlignment="1" applyProtection="1">
      <alignment vertical="center" wrapText="1"/>
      <protection locked="0"/>
    </xf>
    <xf numFmtId="0" fontId="8" fillId="0" borderId="0" xfId="47" applyFont="1" applyFill="1" applyAlignment="1">
      <alignment horizontal="left" vertical="center" wrapText="1"/>
    </xf>
    <xf numFmtId="0" fontId="36" fillId="0" borderId="0" xfId="0" applyFont="1" applyFill="1" applyAlignment="1" applyProtection="1">
      <alignment vertical="center"/>
    </xf>
    <xf numFmtId="14" fontId="8" fillId="0" borderId="0" xfId="0" applyNumberFormat="1" applyFont="1" applyFill="1" applyAlignment="1">
      <alignment vertical="center"/>
      <protection locked="0"/>
    </xf>
    <xf numFmtId="49" fontId="8" fillId="0" borderId="0" xfId="0" applyNumberFormat="1" applyFont="1" applyFill="1" applyAlignment="1">
      <alignment vertical="center"/>
      <protection locked="0"/>
    </xf>
    <xf numFmtId="0" fontId="51" fillId="0" borderId="0" xfId="0" applyNumberFormat="1" applyFont="1" applyFill="1" applyAlignment="1">
      <alignment horizontal="right" vertical="center"/>
      <protection locked="0"/>
    </xf>
    <xf numFmtId="200" fontId="6" fillId="0" borderId="0" xfId="58" applyFont="1" applyFill="1" applyAlignment="1">
      <alignment horizontal="left" vertical="center"/>
    </xf>
    <xf numFmtId="200" fontId="8" fillId="0" borderId="0" xfId="57" applyFont="1" applyFill="1">
      <protection locked="0"/>
    </xf>
    <xf numFmtId="49" fontId="6" fillId="0" borderId="0" xfId="44" applyNumberFormat="1" applyFont="1" applyFill="1" applyAlignment="1">
      <alignment horizontal="left" vertical="center"/>
    </xf>
    <xf numFmtId="49" fontId="8" fillId="0" borderId="0" xfId="44" applyNumberFormat="1" applyFont="1" applyFill="1" applyAlignment="1" applyProtection="1">
      <alignment vertical="center"/>
      <protection locked="0"/>
    </xf>
    <xf numFmtId="200" fontId="8" fillId="0" borderId="0" xfId="58" applyFont="1" applyFill="1" applyAlignment="1">
      <alignment horizontal="left" vertical="center"/>
    </xf>
    <xf numFmtId="200" fontId="81" fillId="0" borderId="0" xfId="58" applyFont="1" applyFill="1" applyAlignment="1">
      <alignment horizontal="left" vertical="center"/>
    </xf>
    <xf numFmtId="0" fontId="4" fillId="13" borderId="9" xfId="35" applyNumberFormat="1" applyFont="1" applyFill="1" applyBorder="1" applyAlignment="1" applyProtection="1">
      <alignment horizontal="center" vertical="center" wrapText="1"/>
    </xf>
    <xf numFmtId="0" fontId="44" fillId="13" borderId="3" xfId="35" applyNumberFormat="1" applyFont="1" applyFill="1" applyBorder="1" applyAlignment="1" applyProtection="1">
      <alignment horizontal="center" vertical="center" wrapText="1"/>
    </xf>
    <xf numFmtId="0" fontId="46" fillId="13" borderId="9" xfId="35" applyNumberFormat="1" applyFont="1" applyFill="1" applyBorder="1" applyAlignment="1" applyProtection="1">
      <alignment horizontal="center" vertical="center" wrapText="1"/>
    </xf>
    <xf numFmtId="0" fontId="98" fillId="0" borderId="0" xfId="0" applyNumberFormat="1" applyFont="1" applyFill="1">
      <protection locked="0"/>
    </xf>
    <xf numFmtId="0" fontId="8" fillId="0" borderId="0" xfId="35" applyFont="1" applyFill="1" applyAlignment="1">
      <alignment horizontal="left" vertical="center"/>
      <protection locked="0"/>
    </xf>
    <xf numFmtId="0" fontId="6" fillId="8" borderId="9" xfId="35" applyFont="1" applyFill="1" applyBorder="1" applyAlignment="1">
      <alignment horizontal="center" vertical="center"/>
      <protection locked="0"/>
    </xf>
    <xf numFmtId="0" fontId="6" fillId="8" borderId="9" xfId="35" applyFont="1" applyFill="1" applyBorder="1" applyAlignment="1">
      <alignment horizontal="center" vertical="center" wrapText="1"/>
      <protection locked="0"/>
    </xf>
    <xf numFmtId="0" fontId="6" fillId="13" borderId="9" xfId="35" applyNumberFormat="1" applyFont="1" applyFill="1" applyBorder="1" applyAlignment="1" applyProtection="1">
      <alignment horizontal="center" vertical="center" wrapText="1"/>
    </xf>
    <xf numFmtId="0" fontId="44" fillId="13" borderId="1" xfId="35" applyNumberFormat="1" applyFont="1" applyFill="1" applyBorder="1" applyAlignment="1" applyProtection="1">
      <alignment horizontal="center" vertical="center" wrapText="1"/>
    </xf>
    <xf numFmtId="0" fontId="44" fillId="13" borderId="9" xfId="35" applyNumberFormat="1" applyFont="1" applyFill="1" applyBorder="1" applyAlignment="1" applyProtection="1">
      <alignment horizontal="center" vertical="center" wrapText="1"/>
    </xf>
    <xf numFmtId="0" fontId="94" fillId="0" borderId="0" xfId="0" applyNumberFormat="1" applyFont="1" applyFill="1" applyAlignment="1">
      <alignment vertical="center"/>
      <protection locked="0"/>
    </xf>
    <xf numFmtId="14" fontId="8" fillId="0" borderId="0" xfId="43" applyNumberFormat="1" applyFont="1" applyFill="1">
      <alignment vertical="center"/>
    </xf>
    <xf numFmtId="49" fontId="8" fillId="0" borderId="0" xfId="0" applyNumberFormat="1" applyFont="1" applyFill="1" applyAlignment="1">
      <alignment horizontal="left" vertical="center"/>
      <protection locked="0"/>
    </xf>
    <xf numFmtId="0" fontId="4" fillId="5" borderId="0" xfId="0" applyFont="1" applyFill="1" applyAlignment="1">
      <alignment vertical="center"/>
      <protection locked="0"/>
    </xf>
    <xf numFmtId="0" fontId="82" fillId="5" borderId="0" xfId="0" applyFont="1" applyFill="1" applyAlignment="1">
      <alignment horizontal="left"/>
      <protection locked="0"/>
    </xf>
    <xf numFmtId="0" fontId="8" fillId="8" borderId="0" xfId="0" applyFont="1" applyFill="1">
      <protection locked="0"/>
    </xf>
    <xf numFmtId="0" fontId="6" fillId="0" borderId="0" xfId="44" applyFont="1" applyFill="1" applyAlignment="1">
      <alignment vertical="center" wrapText="1"/>
    </xf>
    <xf numFmtId="0" fontId="6" fillId="0" borderId="0" xfId="44" applyFont="1" applyFill="1" applyAlignment="1">
      <alignment vertical="center"/>
    </xf>
    <xf numFmtId="0" fontId="19" fillId="0" borderId="0" xfId="44" applyFont="1" applyFill="1" applyAlignment="1" applyProtection="1">
      <alignment horizontal="center" vertical="center"/>
      <protection hidden="1"/>
    </xf>
    <xf numFmtId="0" fontId="19" fillId="0" borderId="0" xfId="44" applyFont="1" applyFill="1" applyAlignment="1" applyProtection="1">
      <alignment horizontal="left" vertical="center"/>
      <protection locked="0"/>
    </xf>
    <xf numFmtId="0" fontId="81" fillId="8" borderId="0" xfId="0" applyFont="1" applyFill="1" applyAlignment="1">
      <alignment horizontal="left"/>
      <protection locked="0"/>
    </xf>
    <xf numFmtId="43" fontId="36" fillId="8" borderId="3" xfId="1" applyFont="1" applyFill="1" applyBorder="1" applyAlignment="1">
      <alignment horizontal="right" vertical="center"/>
    </xf>
    <xf numFmtId="0" fontId="8" fillId="0" borderId="0" xfId="44" applyFont="1" applyFill="1" applyAlignment="1">
      <alignment vertical="center"/>
    </xf>
    <xf numFmtId="0" fontId="6" fillId="0" borderId="0" xfId="44" applyFont="1" applyFill="1" applyAlignment="1">
      <alignment horizontal="left" vertical="center" wrapText="1"/>
    </xf>
    <xf numFmtId="200" fontId="81" fillId="0" borderId="0" xfId="58" applyFont="1" applyFill="1" applyAlignment="1">
      <alignment vertical="center"/>
    </xf>
    <xf numFmtId="200" fontId="81" fillId="0" borderId="0" xfId="58" applyFont="1" applyFill="1" applyAlignment="1">
      <alignment vertical="center" wrapText="1"/>
    </xf>
    <xf numFmtId="0" fontId="19" fillId="0" borderId="0" xfId="44" applyFont="1" applyFill="1" applyAlignment="1" applyProtection="1">
      <alignment vertical="center"/>
      <protection hidden="1"/>
    </xf>
    <xf numFmtId="0" fontId="8" fillId="0" borderId="0" xfId="44" applyFont="1" applyFill="1" applyAlignment="1" applyProtection="1">
      <alignment vertical="center"/>
      <protection hidden="1"/>
    </xf>
    <xf numFmtId="0" fontId="19" fillId="0" borderId="0" xfId="44" applyFont="1" applyFill="1" applyAlignment="1" applyProtection="1">
      <alignment vertical="center"/>
      <protection locked="0"/>
    </xf>
    <xf numFmtId="0" fontId="13" fillId="0" borderId="0" xfId="0" applyFont="1" applyFill="1" applyAlignment="1">
      <alignment vertical="center"/>
      <protection locked="0"/>
    </xf>
    <xf numFmtId="0" fontId="102" fillId="0" borderId="0" xfId="0" applyFont="1" applyFill="1" applyAlignment="1">
      <alignment vertical="center"/>
      <protection locked="0"/>
    </xf>
    <xf numFmtId="0" fontId="8" fillId="8" borderId="0" xfId="0" applyFont="1" applyFill="1" applyAlignment="1">
      <alignment vertical="center"/>
      <protection locked="0"/>
    </xf>
    <xf numFmtId="0" fontId="35" fillId="0" borderId="0" xfId="35" applyFont="1" applyFill="1" applyAlignment="1" applyProtection="1">
      <alignment vertical="center"/>
    </xf>
    <xf numFmtId="14" fontId="8" fillId="0" borderId="6" xfId="1" applyNumberFormat="1" applyFont="1" applyFill="1" applyBorder="1" applyAlignment="1">
      <alignment vertical="center" shrinkToFit="1"/>
    </xf>
    <xf numFmtId="14" fontId="6" fillId="8" borderId="9" xfId="0" applyNumberFormat="1" applyFont="1" applyFill="1" applyBorder="1" applyAlignment="1">
      <alignment horizontal="center" vertical="center"/>
      <protection locked="0"/>
    </xf>
    <xf numFmtId="0" fontId="6" fillId="8" borderId="9" xfId="0" applyFont="1" applyFill="1" applyBorder="1" applyAlignment="1">
      <alignment horizontal="center" vertical="center"/>
      <protection locked="0"/>
    </xf>
    <xf numFmtId="9" fontId="6" fillId="8" borderId="9" xfId="2" applyFont="1" applyFill="1" applyBorder="1" applyAlignment="1" applyProtection="1">
      <alignment horizontal="center" vertical="center"/>
      <protection locked="0"/>
    </xf>
    <xf numFmtId="0" fontId="6" fillId="8" borderId="9" xfId="0" applyFont="1" applyFill="1" applyBorder="1" applyAlignment="1">
      <alignment vertical="center"/>
      <protection locked="0"/>
    </xf>
    <xf numFmtId="0" fontId="6" fillId="8" borderId="10" xfId="0" applyFont="1" applyFill="1" applyBorder="1" applyAlignment="1">
      <alignment horizontal="center" vertical="center"/>
      <protection locked="0"/>
    </xf>
    <xf numFmtId="0" fontId="6" fillId="8" borderId="0" xfId="0" applyFont="1" applyFill="1" applyAlignment="1">
      <alignment vertical="center"/>
      <protection locked="0"/>
    </xf>
    <xf numFmtId="0" fontId="8" fillId="0" borderId="0" xfId="36" applyNumberFormat="1" applyFont="1" applyFill="1">
      <protection locked="0"/>
    </xf>
    <xf numFmtId="0" fontId="8" fillId="0" borderId="0" xfId="0" applyNumberFormat="1" applyFont="1" applyFill="1" applyAlignment="1">
      <alignment vertical="center"/>
      <protection locked="0"/>
    </xf>
    <xf numFmtId="0" fontId="8" fillId="0" borderId="0" xfId="0" applyNumberFormat="1" applyFont="1" applyFill="1" applyAlignment="1">
      <alignment horizontal="right" vertical="center"/>
      <protection locked="0"/>
    </xf>
    <xf numFmtId="14" fontId="8" fillId="0" borderId="17" xfId="1" applyNumberFormat="1" applyFont="1" applyFill="1" applyBorder="1" applyAlignment="1">
      <alignment vertical="center" shrinkToFit="1"/>
    </xf>
    <xf numFmtId="0" fontId="8" fillId="8" borderId="9" xfId="1" applyNumberFormat="1" applyFont="1" applyFill="1" applyBorder="1" applyAlignment="1">
      <alignment horizontal="center" vertical="center"/>
    </xf>
    <xf numFmtId="14" fontId="8" fillId="8" borderId="9" xfId="1" applyNumberFormat="1" applyFont="1" applyFill="1" applyBorder="1" applyAlignment="1">
      <alignment vertical="center"/>
    </xf>
    <xf numFmtId="0" fontId="6" fillId="8" borderId="9" xfId="1" applyNumberFormat="1" applyFont="1" applyFill="1" applyBorder="1" applyAlignment="1">
      <alignment horizontal="center" vertical="center"/>
    </xf>
    <xf numFmtId="0" fontId="8" fillId="0" borderId="0" xfId="0" applyFont="1" applyFill="1" applyAlignment="1" applyProtection="1">
      <alignment vertical="center"/>
    </xf>
    <xf numFmtId="0" fontId="8" fillId="0" borderId="9" xfId="0" applyFont="1" applyFill="1" applyBorder="1" applyAlignment="1" applyProtection="1">
      <alignment vertical="center"/>
    </xf>
    <xf numFmtId="0" fontId="8" fillId="0" borderId="9" xfId="0" applyNumberFormat="1" applyFont="1" applyFill="1" applyBorder="1" applyAlignment="1">
      <alignment horizontal="left" vertical="center" wrapText="1"/>
      <protection locked="0"/>
    </xf>
    <xf numFmtId="43" fontId="8" fillId="0" borderId="9" xfId="0" applyNumberFormat="1" applyFont="1" applyFill="1" applyBorder="1" applyAlignment="1">
      <alignment horizontal="justify" vertical="center" wrapText="1"/>
      <protection locked="0"/>
    </xf>
    <xf numFmtId="43" fontId="8" fillId="0" borderId="9" xfId="0" applyNumberFormat="1" applyFont="1" applyFill="1" applyBorder="1" applyAlignment="1">
      <alignment horizontal="center" vertical="center" wrapText="1"/>
      <protection locked="0"/>
    </xf>
    <xf numFmtId="0" fontId="56" fillId="0" borderId="9" xfId="0" applyFont="1" applyFill="1" applyBorder="1" applyAlignment="1" applyProtection="1">
      <alignment vertical="center"/>
    </xf>
    <xf numFmtId="0" fontId="43" fillId="0" borderId="0" xfId="35" applyFont="1" applyFill="1" applyAlignment="1" applyProtection="1">
      <alignment horizontal="center"/>
    </xf>
    <xf numFmtId="0" fontId="83" fillId="0" borderId="0" xfId="35" applyFont="1" applyFill="1" applyAlignment="1" applyProtection="1">
      <alignment horizontal="center"/>
    </xf>
    <xf numFmtId="0" fontId="8" fillId="8" borderId="9" xfId="0" applyFont="1" applyFill="1" applyBorder="1" applyAlignment="1">
      <alignment horizontal="center" vertical="center" wrapText="1"/>
      <protection locked="0"/>
    </xf>
    <xf numFmtId="0" fontId="8" fillId="8" borderId="0" xfId="0" applyFont="1" applyFill="1" applyAlignment="1">
      <alignment horizontal="center" vertical="center" wrapText="1"/>
      <protection locked="0"/>
    </xf>
    <xf numFmtId="43" fontId="6" fillId="8" borderId="9" xfId="0" applyNumberFormat="1" applyFont="1" applyFill="1" applyBorder="1" applyAlignment="1">
      <alignment horizontal="justify" vertical="center" wrapText="1"/>
      <protection locked="0"/>
    </xf>
    <xf numFmtId="0" fontId="6" fillId="8" borderId="0" xfId="0" applyFont="1" applyFill="1">
      <protection locked="0"/>
    </xf>
    <xf numFmtId="0" fontId="6" fillId="8" borderId="9" xfId="0" applyFont="1" applyFill="1" applyBorder="1" applyAlignment="1">
      <alignment horizontal="justify" vertical="center" wrapText="1"/>
      <protection locked="0"/>
    </xf>
    <xf numFmtId="0" fontId="47" fillId="8" borderId="0" xfId="0" applyFont="1" applyFill="1" applyAlignment="1">
      <alignment vertical="center"/>
      <protection locked="0"/>
    </xf>
    <xf numFmtId="200" fontId="79" fillId="0" borderId="0" xfId="60" applyFont="1" applyFill="1" applyAlignment="1">
      <alignment horizontal="left" vertical="center"/>
    </xf>
    <xf numFmtId="0" fontId="95" fillId="0" borderId="0" xfId="0" applyFont="1" applyAlignment="1">
      <alignment horizontal="center" vertical="center"/>
      <protection locked="0"/>
    </xf>
    <xf numFmtId="0" fontId="79" fillId="0" borderId="0" xfId="44" applyFont="1" applyAlignment="1">
      <alignment horizontal="left" vertical="center"/>
    </xf>
    <xf numFmtId="0" fontId="56" fillId="0" borderId="0" xfId="35" applyFont="1" applyBorder="1" applyAlignment="1">
      <alignment vertical="center"/>
      <protection locked="0"/>
    </xf>
    <xf numFmtId="0" fontId="11" fillId="0" borderId="0" xfId="0" applyFont="1" applyAlignment="1">
      <alignment horizontal="left" vertical="center" wrapText="1"/>
      <protection locked="0"/>
    </xf>
    <xf numFmtId="0" fontId="12" fillId="0" borderId="0" xfId="0" applyFont="1" applyAlignment="1">
      <alignment horizontal="left" vertical="center" wrapText="1"/>
      <protection locked="0"/>
    </xf>
    <xf numFmtId="200" fontId="100" fillId="11" borderId="21" xfId="57" applyFont="1" applyFill="1" applyBorder="1" applyAlignment="1" applyProtection="1">
      <alignment horizontal="left" vertical="center" wrapText="1"/>
      <protection locked="0"/>
    </xf>
    <xf numFmtId="200" fontId="100" fillId="11" borderId="0" xfId="57" applyFont="1" applyFill="1" applyAlignment="1" applyProtection="1">
      <alignment horizontal="left" vertical="center" wrapText="1"/>
      <protection locked="0"/>
    </xf>
    <xf numFmtId="0" fontId="6" fillId="5" borderId="9" xfId="51" applyFont="1" applyFill="1" applyBorder="1" applyAlignment="1">
      <alignment horizontal="center" vertical="center" wrapText="1"/>
      <protection locked="0"/>
    </xf>
    <xf numFmtId="0" fontId="8" fillId="0" borderId="9" xfId="51" applyFont="1" applyBorder="1" applyAlignment="1">
      <alignment horizontal="center" vertical="center" wrapText="1"/>
      <protection locked="0"/>
    </xf>
    <xf numFmtId="0" fontId="11" fillId="0" borderId="0" xfId="42" applyFont="1" applyAlignment="1">
      <alignment horizontal="center" vertical="center"/>
    </xf>
    <xf numFmtId="0" fontId="94" fillId="0" borderId="0" xfId="42" applyFont="1" applyAlignment="1">
      <alignment horizontal="center" vertical="center"/>
    </xf>
    <xf numFmtId="0" fontId="6" fillId="0" borderId="0" xfId="51" applyFont="1" applyAlignment="1">
      <alignment horizontal="left" vertical="center"/>
      <protection locked="0"/>
    </xf>
    <xf numFmtId="0" fontId="6" fillId="5" borderId="9" xfId="53" applyFont="1" applyFill="1" applyBorder="1" applyAlignment="1" applyProtection="1">
      <alignment horizontal="center" vertical="center" wrapText="1"/>
      <protection locked="0"/>
    </xf>
    <xf numFmtId="0" fontId="4" fillId="0" borderId="22" xfId="53" applyFont="1" applyFill="1" applyBorder="1" applyAlignment="1" applyProtection="1">
      <alignment horizontal="left" vertical="center" wrapText="1"/>
      <protection locked="0"/>
    </xf>
    <xf numFmtId="0" fontId="6" fillId="5" borderId="9" xfId="53" applyFont="1" applyFill="1" applyBorder="1" applyAlignment="1" applyProtection="1">
      <alignment horizontal="center" vertical="center"/>
      <protection locked="0"/>
    </xf>
    <xf numFmtId="49" fontId="6" fillId="5" borderId="9" xfId="51" applyNumberFormat="1" applyFont="1" applyFill="1" applyBorder="1" applyAlignment="1">
      <alignment horizontal="center" vertical="center"/>
      <protection locked="0"/>
    </xf>
    <xf numFmtId="0" fontId="4" fillId="5" borderId="9" xfId="53" applyFont="1" applyFill="1" applyBorder="1" applyAlignment="1" applyProtection="1">
      <alignment horizontal="center" vertical="center" wrapText="1"/>
      <protection locked="0"/>
    </xf>
    <xf numFmtId="0" fontId="4" fillId="5" borderId="9" xfId="51" applyFont="1" applyFill="1" applyBorder="1" applyAlignment="1">
      <alignment horizontal="center" vertical="center" wrapText="1"/>
      <protection locked="0"/>
    </xf>
    <xf numFmtId="0" fontId="8" fillId="0" borderId="9" xfId="51" applyFont="1" applyBorder="1" applyAlignment="1">
      <alignment horizontal="left" vertical="center" wrapText="1"/>
      <protection locked="0"/>
    </xf>
    <xf numFmtId="0" fontId="35" fillId="5" borderId="9" xfId="36" applyFont="1" applyFill="1" applyBorder="1" applyAlignment="1">
      <alignment horizontal="center" vertical="center" wrapText="1"/>
      <protection locked="0"/>
    </xf>
    <xf numFmtId="0" fontId="6" fillId="5" borderId="9" xfId="36" applyFont="1" applyFill="1" applyBorder="1" applyAlignment="1">
      <alignment horizontal="center" vertical="center" wrapText="1"/>
      <protection locked="0"/>
    </xf>
    <xf numFmtId="0" fontId="53" fillId="0" borderId="0" xfId="0" applyNumberFormat="1" applyFont="1" applyAlignment="1" applyProtection="1">
      <alignment horizontal="center" vertical="center"/>
    </xf>
    <xf numFmtId="0" fontId="96" fillId="0" borderId="0" xfId="0" applyNumberFormat="1" applyFont="1" applyAlignment="1" applyProtection="1">
      <alignment horizontal="center" vertical="center"/>
    </xf>
    <xf numFmtId="0" fontId="35" fillId="5" borderId="9" xfId="0" applyFont="1" applyFill="1" applyBorder="1" applyAlignment="1" applyProtection="1">
      <alignment horizontal="center" vertical="center"/>
    </xf>
    <xf numFmtId="0" fontId="35" fillId="5" borderId="9" xfId="0" applyFont="1" applyFill="1" applyBorder="1" applyAlignment="1" applyProtection="1">
      <alignment vertical="center"/>
    </xf>
    <xf numFmtId="0" fontId="6" fillId="5" borderId="12" xfId="47" applyFont="1" applyFill="1" applyBorder="1" applyAlignment="1" applyProtection="1">
      <alignment horizontal="center" vertical="center" wrapText="1"/>
      <protection locked="0"/>
    </xf>
    <xf numFmtId="0" fontId="6" fillId="5" borderId="14" xfId="47" applyFont="1" applyFill="1" applyBorder="1" applyAlignment="1" applyProtection="1">
      <alignment horizontal="center" vertical="center" wrapText="1"/>
      <protection locked="0"/>
    </xf>
    <xf numFmtId="0" fontId="6" fillId="5" borderId="13" xfId="47" applyFont="1" applyFill="1" applyBorder="1" applyAlignment="1" applyProtection="1">
      <alignment horizontal="center" vertical="center" wrapText="1"/>
      <protection locked="0"/>
    </xf>
    <xf numFmtId="0" fontId="63" fillId="0" borderId="0" xfId="3" applyFont="1" applyAlignment="1">
      <alignment horizontal="center" vertical="center"/>
    </xf>
    <xf numFmtId="0" fontId="99" fillId="0" borderId="0" xfId="4" applyNumberFormat="1" applyFont="1" applyBorder="1" applyAlignment="1">
      <alignment horizontal="center" vertical="center"/>
    </xf>
    <xf numFmtId="0" fontId="35" fillId="5" borderId="3" xfId="0" applyFont="1" applyFill="1" applyBorder="1" applyAlignment="1" applyProtection="1">
      <alignment horizontal="center" vertical="center"/>
    </xf>
    <xf numFmtId="0" fontId="35" fillId="5" borderId="15" xfId="0" applyFont="1" applyFill="1" applyBorder="1" applyAlignment="1" applyProtection="1">
      <alignment horizontal="center" vertical="center"/>
    </xf>
    <xf numFmtId="0" fontId="35" fillId="5" borderId="12" xfId="36" applyFont="1" applyFill="1" applyBorder="1" applyAlignment="1">
      <alignment horizontal="center" vertical="center" wrapText="1"/>
      <protection locked="0"/>
    </xf>
    <xf numFmtId="0" fontId="35" fillId="5" borderId="13" xfId="36" applyFont="1" applyFill="1" applyBorder="1" applyAlignment="1">
      <alignment horizontal="center" vertical="center" wrapText="1"/>
      <protection locked="0"/>
    </xf>
    <xf numFmtId="0" fontId="66" fillId="0" borderId="0" xfId="0" applyFont="1" applyAlignment="1">
      <alignment horizontal="left" vertical="center" wrapText="1"/>
      <protection locked="0"/>
    </xf>
    <xf numFmtId="0" fontId="68" fillId="0" borderId="18" xfId="0" applyFont="1" applyBorder="1" applyAlignment="1">
      <alignment horizontal="left" vertical="center"/>
      <protection locked="0"/>
    </xf>
    <xf numFmtId="0" fontId="68" fillId="0" borderId="19" xfId="0" applyFont="1" applyBorder="1" applyAlignment="1">
      <alignment horizontal="left" vertical="center"/>
      <protection locked="0"/>
    </xf>
    <xf numFmtId="0" fontId="68" fillId="0" borderId="18" xfId="0" applyFont="1" applyBorder="1" applyAlignment="1">
      <alignment horizontal="center" vertical="center"/>
      <protection locked="0"/>
    </xf>
    <xf numFmtId="0" fontId="68" fillId="0" borderId="18" xfId="0" applyFont="1" applyBorder="1" applyAlignment="1">
      <alignment horizontal="right" vertical="center"/>
      <protection locked="0"/>
    </xf>
    <xf numFmtId="0" fontId="68" fillId="0" borderId="19" xfId="0" applyFont="1" applyBorder="1" applyAlignment="1">
      <alignment horizontal="right" vertical="center"/>
      <protection locked="0"/>
    </xf>
    <xf numFmtId="49" fontId="63" fillId="0" borderId="0" xfId="36" applyNumberFormat="1" applyFont="1" applyAlignment="1">
      <alignment horizontal="center" vertical="center"/>
      <protection locked="0"/>
    </xf>
    <xf numFmtId="0" fontId="99" fillId="0" borderId="0" xfId="36" applyFont="1" applyAlignment="1">
      <alignment horizontal="center" vertical="center"/>
      <protection locked="0"/>
    </xf>
    <xf numFmtId="0" fontId="63" fillId="0" borderId="0" xfId="36" applyFont="1" applyAlignment="1">
      <alignment horizontal="center" vertical="center"/>
      <protection locked="0"/>
    </xf>
    <xf numFmtId="49" fontId="11" fillId="0" borderId="0" xfId="42" applyNumberFormat="1" applyFont="1" applyAlignment="1">
      <alignment horizontal="center" vertical="center"/>
    </xf>
    <xf numFmtId="0" fontId="6" fillId="5" borderId="9" xfId="0" applyFont="1" applyFill="1" applyBorder="1" applyAlignment="1">
      <alignment horizontal="left" vertical="center"/>
      <protection locked="0"/>
    </xf>
    <xf numFmtId="0" fontId="6" fillId="5" borderId="9" xfId="0" applyFont="1" applyFill="1" applyBorder="1" applyAlignment="1">
      <alignment horizontal="center" vertical="center"/>
      <protection locked="0"/>
    </xf>
    <xf numFmtId="0" fontId="6" fillId="5" borderId="9" xfId="0" applyFont="1" applyFill="1" applyBorder="1" applyAlignment="1">
      <alignment horizontal="center" vertical="center" wrapText="1"/>
      <protection locked="0"/>
    </xf>
    <xf numFmtId="0" fontId="35" fillId="5" borderId="9" xfId="35" applyFont="1" applyFill="1" applyBorder="1" applyAlignment="1" applyProtection="1">
      <alignment horizontal="center" vertical="center"/>
    </xf>
    <xf numFmtId="0" fontId="35" fillId="5" borderId="9" xfId="47" applyFont="1" applyFill="1" applyBorder="1" applyAlignment="1" applyProtection="1">
      <alignment horizontal="center" vertical="center"/>
      <protection locked="0"/>
    </xf>
    <xf numFmtId="0" fontId="6" fillId="5" borderId="9" xfId="0" applyFont="1" applyFill="1" applyBorder="1" applyAlignment="1" applyProtection="1">
      <alignment horizontal="center" vertical="center" wrapText="1"/>
    </xf>
    <xf numFmtId="0" fontId="35" fillId="5" borderId="9" xfId="0" applyFont="1" applyFill="1" applyBorder="1" applyAlignment="1" applyProtection="1">
      <alignment horizontal="center" vertical="center" wrapText="1"/>
    </xf>
    <xf numFmtId="0" fontId="35" fillId="8" borderId="3" xfId="47" applyFont="1" applyFill="1" applyBorder="1" applyAlignment="1" applyProtection="1">
      <alignment horizontal="center" vertical="center"/>
      <protection locked="0"/>
    </xf>
    <xf numFmtId="0" fontId="35" fillId="8" borderId="15" xfId="47" applyFont="1" applyFill="1" applyBorder="1" applyAlignment="1" applyProtection="1">
      <alignment horizontal="center" vertical="center"/>
      <protection locked="0"/>
    </xf>
    <xf numFmtId="0" fontId="42" fillId="8" borderId="12" xfId="0" applyFont="1" applyFill="1" applyBorder="1" applyAlignment="1">
      <alignment horizontal="center" vertical="center" wrapText="1"/>
      <protection locked="0"/>
    </xf>
    <xf numFmtId="0" fontId="42" fillId="8" borderId="14" xfId="0" applyFont="1" applyFill="1" applyBorder="1" applyAlignment="1">
      <alignment horizontal="center" vertical="center" wrapText="1"/>
      <protection locked="0"/>
    </xf>
    <xf numFmtId="0" fontId="42" fillId="8" borderId="13" xfId="0" applyFont="1" applyFill="1" applyBorder="1" applyAlignment="1">
      <alignment horizontal="center" vertical="center" wrapText="1"/>
      <protection locked="0"/>
    </xf>
    <xf numFmtId="0" fontId="6" fillId="0" borderId="0" xfId="42" applyFont="1" applyAlignment="1">
      <alignment horizontal="center" vertical="center"/>
    </xf>
    <xf numFmtId="0" fontId="42" fillId="8" borderId="3" xfId="0" applyFont="1" applyFill="1" applyBorder="1" applyAlignment="1">
      <alignment horizontal="center" vertical="center" wrapText="1"/>
      <protection locked="0"/>
    </xf>
    <xf numFmtId="0" fontId="42" fillId="8" borderId="4" xfId="0" applyFont="1" applyFill="1" applyBorder="1" applyAlignment="1">
      <alignment horizontal="center" vertical="center" wrapText="1"/>
      <protection locked="0"/>
    </xf>
    <xf numFmtId="0" fontId="42" fillId="8" borderId="15" xfId="0" applyFont="1" applyFill="1" applyBorder="1" applyAlignment="1">
      <alignment horizontal="center" vertical="center" wrapText="1"/>
      <protection locked="0"/>
    </xf>
    <xf numFmtId="0" fontId="35" fillId="8" borderId="3" xfId="47" applyFont="1" applyFill="1" applyBorder="1" applyAlignment="1" applyProtection="1">
      <alignment horizontal="center" vertical="center" wrapText="1"/>
      <protection locked="0"/>
    </xf>
    <xf numFmtId="0" fontId="35" fillId="8" borderId="15" xfId="47" applyFont="1" applyFill="1" applyBorder="1" applyAlignment="1" applyProtection="1">
      <alignment horizontal="center" vertical="center" wrapText="1"/>
      <protection locked="0"/>
    </xf>
    <xf numFmtId="0" fontId="6" fillId="5" borderId="1" xfId="0" applyFont="1" applyFill="1" applyBorder="1" applyAlignment="1">
      <alignment horizontal="center" vertical="center"/>
      <protection locked="0"/>
    </xf>
    <xf numFmtId="0" fontId="6" fillId="5" borderId="10" xfId="0" applyFont="1" applyFill="1" applyBorder="1" applyAlignment="1">
      <alignment horizontal="center" vertical="center"/>
      <protection locked="0"/>
    </xf>
    <xf numFmtId="0" fontId="6" fillId="5" borderId="14" xfId="0" applyFont="1" applyFill="1" applyBorder="1" applyAlignment="1">
      <alignment horizontal="left" vertical="center"/>
      <protection locked="0"/>
    </xf>
    <xf numFmtId="0" fontId="35" fillId="8" borderId="12" xfId="47" applyFont="1" applyFill="1" applyBorder="1" applyAlignment="1" applyProtection="1">
      <alignment horizontal="center" vertical="center"/>
      <protection locked="0"/>
    </xf>
    <xf numFmtId="0" fontId="35" fillId="8" borderId="13" xfId="47" applyFont="1" applyFill="1" applyBorder="1" applyAlignment="1" applyProtection="1">
      <alignment horizontal="center" vertical="center"/>
      <protection locked="0"/>
    </xf>
    <xf numFmtId="0" fontId="53" fillId="0" borderId="0" xfId="0" applyFont="1" applyAlignment="1" applyProtection="1">
      <alignment horizontal="center" vertical="center"/>
    </xf>
    <xf numFmtId="0" fontId="96" fillId="0" borderId="0" xfId="0" applyFont="1" applyAlignment="1" applyProtection="1">
      <alignment horizontal="center" vertical="center"/>
    </xf>
    <xf numFmtId="0" fontId="35" fillId="0" borderId="0" xfId="0" applyFont="1" applyAlignment="1" applyProtection="1">
      <alignment horizontal="center" vertical="center"/>
    </xf>
    <xf numFmtId="49" fontId="35" fillId="5" borderId="3" xfId="0" applyNumberFormat="1" applyFont="1" applyFill="1" applyBorder="1" applyAlignment="1" applyProtection="1">
      <alignment horizontal="center" vertical="center"/>
    </xf>
    <xf numFmtId="49" fontId="35" fillId="5" borderId="15" xfId="0" applyNumberFormat="1" applyFont="1" applyFill="1" applyBorder="1" applyAlignment="1" applyProtection="1">
      <alignment horizontal="center" vertical="center"/>
    </xf>
    <xf numFmtId="49" fontId="11" fillId="0" borderId="0" xfId="0" applyNumberFormat="1" applyFont="1" applyAlignment="1">
      <alignment horizontal="center" vertical="center"/>
      <protection locked="0"/>
    </xf>
    <xf numFmtId="0" fontId="94" fillId="0" borderId="0" xfId="0" applyFont="1" applyAlignment="1">
      <alignment horizontal="center" vertical="center"/>
      <protection locked="0"/>
    </xf>
    <xf numFmtId="0" fontId="44" fillId="13" borderId="9" xfId="35" applyNumberFormat="1" applyFont="1" applyFill="1" applyBorder="1" applyAlignment="1" applyProtection="1">
      <alignment horizontal="center" vertical="center" wrapText="1"/>
    </xf>
    <xf numFmtId="0" fontId="6" fillId="13" borderId="9" xfId="35" applyNumberFormat="1" applyFont="1" applyFill="1" applyBorder="1" applyAlignment="1" applyProtection="1">
      <alignment horizontal="center" vertical="center" wrapText="1"/>
    </xf>
    <xf numFmtId="0" fontId="6" fillId="13" borderId="3" xfId="35" applyNumberFormat="1" applyFont="1" applyFill="1" applyBorder="1" applyAlignment="1" applyProtection="1">
      <alignment horizontal="center" vertical="center" wrapText="1"/>
    </xf>
    <xf numFmtId="0" fontId="6" fillId="0" borderId="0" xfId="44" applyFont="1" applyFill="1" applyAlignment="1">
      <alignment horizontal="left" vertical="center" wrapText="1"/>
    </xf>
    <xf numFmtId="0" fontId="11" fillId="0" borderId="0" xfId="0" applyNumberFormat="1" applyFont="1" applyAlignment="1">
      <alignment horizontal="center" vertical="center"/>
      <protection locked="0"/>
    </xf>
    <xf numFmtId="0" fontId="94" fillId="0" borderId="0" xfId="0" applyNumberFormat="1" applyFont="1" applyAlignment="1">
      <alignment horizontal="center" vertical="center"/>
      <protection locked="0"/>
    </xf>
    <xf numFmtId="0" fontId="6" fillId="5" borderId="12" xfId="0" applyFont="1" applyFill="1" applyBorder="1" applyAlignment="1">
      <alignment horizontal="center" vertical="center"/>
      <protection locked="0"/>
    </xf>
    <xf numFmtId="0" fontId="6" fillId="5" borderId="14" xfId="0" applyFont="1" applyFill="1" applyBorder="1" applyAlignment="1">
      <alignment horizontal="center" vertical="center"/>
      <protection locked="0"/>
    </xf>
    <xf numFmtId="49" fontId="6" fillId="5" borderId="12" xfId="0" applyNumberFormat="1" applyFont="1" applyFill="1" applyBorder="1" applyAlignment="1">
      <alignment horizontal="center" vertical="center"/>
      <protection locked="0"/>
    </xf>
    <xf numFmtId="49" fontId="6" fillId="5" borderId="14" xfId="0" applyNumberFormat="1" applyFont="1" applyFill="1" applyBorder="1" applyAlignment="1">
      <alignment horizontal="center" vertical="center"/>
      <protection locked="0"/>
    </xf>
    <xf numFmtId="49" fontId="6" fillId="5" borderId="13" xfId="0" applyNumberFormat="1" applyFont="1" applyFill="1" applyBorder="1" applyAlignment="1">
      <alignment horizontal="center" vertical="center"/>
      <protection locked="0"/>
    </xf>
    <xf numFmtId="49" fontId="4" fillId="5" borderId="12" xfId="0" applyNumberFormat="1" applyFont="1" applyFill="1" applyBorder="1" applyAlignment="1">
      <alignment horizontal="center" vertical="center"/>
      <protection locked="0"/>
    </xf>
    <xf numFmtId="0" fontId="6" fillId="5" borderId="3" xfId="0" applyFont="1" applyFill="1" applyBorder="1" applyAlignment="1">
      <alignment horizontal="center" vertical="center" wrapText="1"/>
      <protection locked="0"/>
    </xf>
    <xf numFmtId="0" fontId="6" fillId="5" borderId="15" xfId="0" applyFont="1" applyFill="1" applyBorder="1" applyAlignment="1">
      <alignment horizontal="center" vertical="center" wrapText="1"/>
      <protection locked="0"/>
    </xf>
    <xf numFmtId="0" fontId="6" fillId="8" borderId="3" xfId="0" applyFont="1" applyFill="1" applyBorder="1" applyAlignment="1">
      <alignment horizontal="center" vertical="center" wrapText="1"/>
      <protection locked="0"/>
    </xf>
    <xf numFmtId="0" fontId="6" fillId="8" borderId="15" xfId="0" applyFont="1" applyFill="1" applyBorder="1" applyAlignment="1">
      <alignment horizontal="center" vertical="center" wrapText="1"/>
      <protection locked="0"/>
    </xf>
    <xf numFmtId="0" fontId="11" fillId="0" borderId="0" xfId="35" applyNumberFormat="1" applyFont="1" applyAlignment="1">
      <alignment horizontal="center" vertical="center"/>
      <protection locked="0"/>
    </xf>
    <xf numFmtId="0" fontId="94" fillId="0" borderId="0" xfId="35" applyNumberFormat="1" applyFont="1" applyFill="1" applyAlignment="1">
      <alignment horizontal="center" vertical="center"/>
      <protection locked="0"/>
    </xf>
    <xf numFmtId="0" fontId="6" fillId="5" borderId="9" xfId="35" applyFont="1" applyFill="1" applyBorder="1" applyAlignment="1">
      <alignment horizontal="center" vertical="center" wrapText="1"/>
      <protection locked="0"/>
    </xf>
    <xf numFmtId="0" fontId="6" fillId="8" borderId="9" xfId="35" applyFont="1" applyFill="1" applyBorder="1" applyAlignment="1">
      <alignment horizontal="center" vertical="center" wrapText="1"/>
      <protection locked="0"/>
    </xf>
    <xf numFmtId="0" fontId="44" fillId="13" borderId="12" xfId="35" applyNumberFormat="1" applyFont="1" applyFill="1" applyBorder="1" applyAlignment="1" applyProtection="1">
      <alignment horizontal="center" vertical="center" wrapText="1"/>
    </xf>
    <xf numFmtId="0" fontId="6" fillId="8" borderId="12" xfId="35" applyFont="1" applyFill="1" applyBorder="1" applyAlignment="1">
      <alignment horizontal="center" vertical="center"/>
      <protection locked="0"/>
    </xf>
    <xf numFmtId="0" fontId="6" fillId="8" borderId="14" xfId="35" applyFont="1" applyFill="1" applyBorder="1" applyAlignment="1">
      <alignment horizontal="center" vertical="center"/>
      <protection locked="0"/>
    </xf>
    <xf numFmtId="0" fontId="6" fillId="8" borderId="13" xfId="35" applyFont="1" applyFill="1" applyBorder="1" applyAlignment="1">
      <alignment horizontal="center" vertical="center"/>
      <protection locked="0"/>
    </xf>
    <xf numFmtId="0" fontId="4" fillId="14" borderId="9" xfId="35" applyNumberFormat="1" applyFont="1" applyFill="1" applyBorder="1" applyAlignment="1" applyProtection="1">
      <alignment horizontal="center" vertical="center" wrapText="1"/>
    </xf>
    <xf numFmtId="49" fontId="4" fillId="5" borderId="9" xfId="0" applyNumberFormat="1" applyFont="1" applyFill="1" applyBorder="1" applyAlignment="1">
      <alignment horizontal="center" vertical="center" wrapText="1"/>
      <protection locked="0"/>
    </xf>
    <xf numFmtId="49" fontId="4" fillId="5" borderId="3" xfId="0" applyNumberFormat="1" applyFont="1" applyFill="1" applyBorder="1" applyAlignment="1">
      <alignment horizontal="center" vertical="center" wrapText="1"/>
      <protection locked="0"/>
    </xf>
    <xf numFmtId="0" fontId="62" fillId="14" borderId="9" xfId="35" applyNumberFormat="1" applyFont="1" applyFill="1" applyBorder="1" applyAlignment="1" applyProtection="1">
      <alignment horizontal="center" vertical="center" wrapText="1"/>
    </xf>
    <xf numFmtId="0" fontId="4" fillId="5" borderId="3" xfId="0" applyFont="1" applyFill="1" applyBorder="1" applyAlignment="1">
      <alignment horizontal="center" vertical="center" wrapText="1"/>
      <protection locked="0"/>
    </xf>
    <xf numFmtId="0" fontId="4" fillId="5" borderId="4" xfId="0" applyFont="1" applyFill="1" applyBorder="1" applyAlignment="1">
      <alignment horizontal="center" vertical="center" wrapText="1"/>
      <protection locked="0"/>
    </xf>
    <xf numFmtId="0" fontId="4" fillId="5" borderId="15" xfId="0" applyFont="1" applyFill="1" applyBorder="1" applyAlignment="1">
      <alignment horizontal="center" vertical="center" wrapText="1"/>
      <protection locked="0"/>
    </xf>
    <xf numFmtId="0" fontId="94" fillId="0" borderId="0" xfId="0" applyNumberFormat="1" applyFont="1" applyFill="1" applyAlignment="1">
      <alignment horizontal="center" vertical="center"/>
      <protection locked="0"/>
    </xf>
    <xf numFmtId="0" fontId="4" fillId="5" borderId="12" xfId="0" applyFont="1" applyFill="1" applyBorder="1" applyAlignment="1">
      <alignment horizontal="center" vertical="center"/>
      <protection locked="0"/>
    </xf>
    <xf numFmtId="0" fontId="4" fillId="5" borderId="14" xfId="0" applyFont="1" applyFill="1" applyBorder="1" applyAlignment="1">
      <alignment horizontal="center" vertical="center"/>
      <protection locked="0"/>
    </xf>
    <xf numFmtId="0" fontId="4" fillId="5" borderId="9" xfId="0" applyFont="1" applyFill="1" applyBorder="1" applyAlignment="1">
      <alignment horizontal="center" vertical="center"/>
      <protection locked="0"/>
    </xf>
    <xf numFmtId="0" fontId="4" fillId="5" borderId="1" xfId="0" applyFont="1" applyFill="1" applyBorder="1" applyAlignment="1">
      <alignment horizontal="center" vertical="center" wrapText="1"/>
      <protection locked="0"/>
    </xf>
    <xf numFmtId="0" fontId="4" fillId="5" borderId="11" xfId="0" applyFont="1" applyFill="1" applyBorder="1" applyAlignment="1">
      <alignment horizontal="center" vertical="center" wrapText="1"/>
      <protection locked="0"/>
    </xf>
    <xf numFmtId="0" fontId="6" fillId="8" borderId="3" xfId="0" applyFont="1" applyFill="1" applyBorder="1" applyAlignment="1" applyProtection="1">
      <alignment horizontal="center" vertical="center" wrapText="1"/>
      <protection locked="0"/>
    </xf>
    <xf numFmtId="0" fontId="6" fillId="8" borderId="4" xfId="0" applyFont="1" applyFill="1" applyBorder="1" applyAlignment="1" applyProtection="1">
      <alignment horizontal="center" vertical="center" wrapText="1"/>
      <protection locked="0"/>
    </xf>
    <xf numFmtId="0" fontId="94" fillId="0" borderId="0" xfId="35" applyNumberFormat="1" applyFont="1" applyAlignment="1">
      <alignment horizontal="center" vertical="center"/>
      <protection locked="0"/>
    </xf>
    <xf numFmtId="0" fontId="6" fillId="8" borderId="9" xfId="0" applyFont="1" applyFill="1" applyBorder="1" applyAlignment="1" applyProtection="1">
      <alignment horizontal="center" vertical="center"/>
      <protection locked="0"/>
    </xf>
    <xf numFmtId="0" fontId="11" fillId="0" borderId="0" xfId="42" applyNumberFormat="1" applyFont="1" applyAlignment="1">
      <alignment horizontal="center" vertical="center" wrapText="1"/>
    </xf>
    <xf numFmtId="0" fontId="94" fillId="0" borderId="0" xfId="42" applyNumberFormat="1" applyFont="1" applyAlignment="1">
      <alignment horizontal="center" vertical="center" wrapText="1"/>
    </xf>
    <xf numFmtId="0" fontId="6" fillId="5" borderId="12" xfId="0" applyFont="1" applyFill="1" applyBorder="1" applyAlignment="1">
      <alignment horizontal="center" vertical="center" shrinkToFit="1"/>
      <protection locked="0"/>
    </xf>
    <xf numFmtId="0" fontId="6" fillId="5" borderId="14" xfId="0" applyFont="1" applyFill="1" applyBorder="1" applyAlignment="1">
      <alignment horizontal="center" vertical="center" shrinkToFit="1"/>
      <protection locked="0"/>
    </xf>
    <xf numFmtId="0" fontId="6" fillId="5" borderId="13" xfId="0" applyFont="1" applyFill="1" applyBorder="1" applyAlignment="1">
      <alignment horizontal="center" vertical="center" shrinkToFit="1"/>
      <protection locked="0"/>
    </xf>
    <xf numFmtId="0" fontId="94" fillId="0" borderId="0" xfId="42" applyNumberFormat="1" applyFont="1" applyFill="1" applyAlignment="1">
      <alignment horizontal="center" vertical="center" wrapText="1"/>
    </xf>
    <xf numFmtId="0" fontId="6" fillId="8" borderId="12" xfId="35" applyFont="1" applyFill="1" applyBorder="1" applyAlignment="1">
      <alignment horizontal="center" vertical="center" wrapText="1"/>
      <protection locked="0"/>
    </xf>
    <xf numFmtId="0" fontId="6" fillId="8" borderId="13" xfId="35" applyFont="1" applyFill="1" applyBorder="1" applyAlignment="1">
      <alignment horizontal="center" vertical="center" wrapText="1"/>
      <protection locked="0"/>
    </xf>
    <xf numFmtId="0" fontId="6" fillId="8" borderId="3" xfId="35" applyFont="1" applyFill="1" applyBorder="1" applyAlignment="1">
      <alignment horizontal="center" vertical="center" wrapText="1"/>
      <protection locked="0"/>
    </xf>
    <xf numFmtId="0" fontId="6" fillId="8" borderId="15" xfId="35" applyFont="1" applyFill="1" applyBorder="1" applyAlignment="1">
      <alignment horizontal="center" vertical="center" wrapText="1"/>
      <protection locked="0"/>
    </xf>
    <xf numFmtId="0" fontId="6" fillId="8" borderId="9" xfId="0" applyFont="1" applyFill="1" applyBorder="1" applyAlignment="1">
      <alignment horizontal="center" vertical="center" wrapText="1"/>
      <protection locked="0"/>
    </xf>
    <xf numFmtId="0" fontId="11" fillId="0" borderId="0" xfId="42" applyNumberFormat="1" applyFont="1" applyAlignment="1">
      <alignment horizontal="center" vertical="center"/>
    </xf>
    <xf numFmtId="0" fontId="94" fillId="0" borderId="0" xfId="42" applyNumberFormat="1" applyFont="1" applyAlignment="1">
      <alignment horizontal="center" vertical="center"/>
    </xf>
    <xf numFmtId="0" fontId="4" fillId="5" borderId="9" xfId="0" applyFont="1" applyFill="1" applyBorder="1" applyAlignment="1">
      <alignment horizontal="left" vertical="center"/>
      <protection locked="0"/>
    </xf>
    <xf numFmtId="0" fontId="6" fillId="8" borderId="12" xfId="0" applyFont="1" applyFill="1" applyBorder="1" applyAlignment="1">
      <alignment horizontal="center" vertical="center"/>
      <protection locked="0"/>
    </xf>
    <xf numFmtId="0" fontId="6" fillId="8" borderId="14" xfId="0" applyFont="1" applyFill="1" applyBorder="1" applyAlignment="1">
      <alignment horizontal="center" vertical="center"/>
      <protection locked="0"/>
    </xf>
    <xf numFmtId="0" fontId="6" fillId="8" borderId="13" xfId="0" applyFont="1" applyFill="1" applyBorder="1" applyAlignment="1">
      <alignment horizontal="center" vertical="center"/>
      <protection locked="0"/>
    </xf>
    <xf numFmtId="0" fontId="6" fillId="5" borderId="1" xfId="0" applyFont="1" applyFill="1" applyBorder="1" applyAlignment="1">
      <alignment horizontal="left" vertical="center"/>
      <protection locked="0"/>
    </xf>
    <xf numFmtId="0" fontId="6" fillId="5" borderId="10" xfId="0" applyFont="1" applyFill="1" applyBorder="1" applyAlignment="1">
      <alignment horizontal="left" vertical="center"/>
      <protection locked="0"/>
    </xf>
    <xf numFmtId="0" fontId="6" fillId="5" borderId="2" xfId="0" applyFont="1" applyFill="1" applyBorder="1" applyAlignment="1">
      <alignment horizontal="left" vertical="center"/>
      <protection locked="0"/>
    </xf>
    <xf numFmtId="43" fontId="4" fillId="5" borderId="9" xfId="1" applyFont="1" applyFill="1" applyBorder="1" applyAlignment="1" applyProtection="1">
      <alignment horizontal="left" vertical="center"/>
      <protection locked="0"/>
    </xf>
    <xf numFmtId="0" fontId="6" fillId="5" borderId="12" xfId="0" applyNumberFormat="1" applyFont="1" applyFill="1" applyBorder="1" applyAlignment="1">
      <alignment horizontal="center" vertical="center"/>
      <protection locked="0"/>
    </xf>
    <xf numFmtId="0" fontId="6" fillId="5" borderId="14" xfId="0" applyNumberFormat="1" applyFont="1" applyFill="1" applyBorder="1" applyAlignment="1">
      <alignment horizontal="center" vertical="center"/>
      <protection locked="0"/>
    </xf>
    <xf numFmtId="0" fontId="6" fillId="5" borderId="13" xfId="0" applyNumberFormat="1" applyFont="1" applyFill="1" applyBorder="1" applyAlignment="1">
      <alignment horizontal="center" vertical="center"/>
      <protection locked="0"/>
    </xf>
    <xf numFmtId="0" fontId="6" fillId="5" borderId="1" xfId="0" applyNumberFormat="1" applyFont="1" applyFill="1" applyBorder="1" applyAlignment="1">
      <alignment horizontal="left" vertical="center"/>
      <protection locked="0"/>
    </xf>
    <xf numFmtId="0" fontId="6" fillId="5" borderId="10" xfId="0" applyNumberFormat="1" applyFont="1" applyFill="1" applyBorder="1" applyAlignment="1">
      <alignment horizontal="left" vertical="center"/>
      <protection locked="0"/>
    </xf>
    <xf numFmtId="0" fontId="6" fillId="5" borderId="2" xfId="0" applyNumberFormat="1" applyFont="1" applyFill="1" applyBorder="1" applyAlignment="1">
      <alignment horizontal="left" vertical="center"/>
      <protection locked="0"/>
    </xf>
    <xf numFmtId="0" fontId="52" fillId="0" borderId="0" xfId="0" applyNumberFormat="1" applyFont="1" applyAlignment="1" applyProtection="1">
      <alignment horizontal="center" vertical="center"/>
    </xf>
    <xf numFmtId="0" fontId="97" fillId="0" borderId="0" xfId="0" applyNumberFormat="1" applyFont="1" applyAlignment="1" applyProtection="1">
      <alignment horizontal="center" vertical="center"/>
    </xf>
    <xf numFmtId="0" fontId="9" fillId="0" borderId="0" xfId="42" applyNumberFormat="1" applyFont="1" applyAlignment="1">
      <alignment horizontal="center" vertical="center"/>
    </xf>
    <xf numFmtId="0" fontId="95" fillId="0" borderId="0" xfId="42" applyNumberFormat="1" applyFont="1" applyAlignment="1">
      <alignment horizontal="center" vertical="center"/>
    </xf>
    <xf numFmtId="0" fontId="6" fillId="8" borderId="9" xfId="0" applyFont="1" applyFill="1" applyBorder="1" applyAlignment="1">
      <alignment horizontal="left" vertical="center" wrapText="1"/>
      <protection locked="0"/>
    </xf>
    <xf numFmtId="0" fontId="6" fillId="8" borderId="4" xfId="0" applyFont="1" applyFill="1" applyBorder="1" applyAlignment="1">
      <alignment horizontal="center" vertical="center" wrapText="1"/>
      <protection locked="0"/>
    </xf>
    <xf numFmtId="0" fontId="6" fillId="8" borderId="12" xfId="0" applyFont="1" applyFill="1" applyBorder="1" applyAlignment="1">
      <alignment horizontal="center" vertical="center" wrapText="1"/>
      <protection locked="0"/>
    </xf>
    <xf numFmtId="0" fontId="6" fillId="8" borderId="14" xfId="0" applyFont="1" applyFill="1" applyBorder="1" applyAlignment="1">
      <alignment horizontal="center" vertical="center" wrapText="1"/>
      <protection locked="0"/>
    </xf>
    <xf numFmtId="0" fontId="6" fillId="8" borderId="13" xfId="0" applyFont="1" applyFill="1" applyBorder="1" applyAlignment="1">
      <alignment horizontal="center" vertical="center" wrapText="1"/>
      <protection locked="0"/>
    </xf>
    <xf numFmtId="0" fontId="4" fillId="8" borderId="9" xfId="0" applyFont="1" applyFill="1" applyBorder="1" applyAlignment="1">
      <alignment horizontal="left" vertical="center" wrapText="1"/>
      <protection locked="0"/>
    </xf>
    <xf numFmtId="43" fontId="4" fillId="8" borderId="12" xfId="1" applyFont="1" applyFill="1" applyBorder="1" applyAlignment="1" applyProtection="1">
      <alignment horizontal="left" vertical="center" wrapText="1"/>
      <protection locked="0"/>
    </xf>
    <xf numFmtId="43" fontId="4" fillId="8" borderId="14" xfId="1" applyFont="1" applyFill="1" applyBorder="1" applyAlignment="1" applyProtection="1">
      <alignment horizontal="left" vertical="center" wrapText="1"/>
      <protection locked="0"/>
    </xf>
    <xf numFmtId="43" fontId="4" fillId="8" borderId="13" xfId="1" applyFont="1" applyFill="1" applyBorder="1" applyAlignment="1" applyProtection="1">
      <alignment horizontal="left" vertical="center" wrapText="1"/>
      <protection locked="0"/>
    </xf>
    <xf numFmtId="43" fontId="6" fillId="8" borderId="12" xfId="1" applyFont="1" applyFill="1" applyBorder="1" applyAlignment="1" applyProtection="1">
      <alignment horizontal="center" vertical="center" wrapText="1"/>
      <protection locked="0"/>
    </xf>
    <xf numFmtId="43" fontId="6" fillId="8" borderId="14" xfId="1" applyFont="1" applyFill="1" applyBorder="1" applyAlignment="1" applyProtection="1">
      <alignment horizontal="center" vertical="center" wrapText="1"/>
      <protection locked="0"/>
    </xf>
    <xf numFmtId="43" fontId="6" fillId="8" borderId="13" xfId="1" applyFont="1" applyFill="1" applyBorder="1" applyAlignment="1" applyProtection="1">
      <alignment horizontal="center" vertical="center" wrapText="1"/>
      <protection locked="0"/>
    </xf>
    <xf numFmtId="43" fontId="6" fillId="0" borderId="9" xfId="0" applyNumberFormat="1" applyFont="1" applyBorder="1" applyAlignment="1">
      <alignment horizontal="center" vertical="center" wrapText="1"/>
      <protection locked="0"/>
    </xf>
    <xf numFmtId="0" fontId="8" fillId="5" borderId="9" xfId="0" applyFont="1" applyFill="1" applyBorder="1" applyAlignment="1">
      <alignment horizontal="center" vertical="center" wrapText="1"/>
      <protection locked="0"/>
    </xf>
    <xf numFmtId="43" fontId="9" fillId="0" borderId="0" xfId="52" applyNumberFormat="1" applyFont="1" applyBorder="1" applyAlignment="1">
      <alignment horizontal="center" vertical="center"/>
    </xf>
    <xf numFmtId="43" fontId="95" fillId="0" borderId="0" xfId="52" applyNumberFormat="1" applyFont="1" applyBorder="1" applyAlignment="1">
      <alignment horizontal="center" vertical="center"/>
    </xf>
  </cellXfs>
  <cellStyles count="61">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2" builtinId="5"/>
    <cellStyle name="常规" xfId="0" builtinId="0"/>
    <cellStyle name="常规 11 5" xfId="60"/>
    <cellStyle name="常规 2" xfId="35"/>
    <cellStyle name="常规 2 2" xfId="49"/>
    <cellStyle name="常规 3" xfId="36"/>
    <cellStyle name="常规 4" xfId="47"/>
    <cellStyle name="常规 5" xfId="48"/>
    <cellStyle name="常规 6" xfId="51"/>
    <cellStyle name="常规 7" xfId="53"/>
    <cellStyle name="常规 7 2" xfId="56"/>
    <cellStyle name="常规 7 3" xfId="57"/>
    <cellStyle name="常规_Book1" xfId="42"/>
    <cellStyle name="常规_c-资产类" xfId="3"/>
    <cellStyle name="常规_c-资产类 2" xfId="55"/>
    <cellStyle name="常规_SA 营业收入" xfId="50"/>
    <cellStyle name="常规_sheet" xfId="45"/>
    <cellStyle name="常规_进一步审计程序--销售与收款循环" xfId="44"/>
    <cellStyle name="常规_进一步审计程序--销售与收款循环 2" xfId="58"/>
    <cellStyle name="常规_通用表" xfId="59"/>
    <cellStyle name="常规_新审定表" xfId="4"/>
    <cellStyle name="常规_新审定表 2" xfId="52"/>
    <cellStyle name="常规_制造费用" xfId="43"/>
    <cellStyle name="超链接" xfId="46" builtinId="8"/>
    <cellStyle name="超链接 2" xfId="54"/>
    <cellStyle name="普通_ 外G9(3)" xfId="37"/>
    <cellStyle name="千分位[0]_宁波" xfId="38"/>
    <cellStyle name="千分位_宁波" xfId="39"/>
    <cellStyle name="千位[0]_laroux" xfId="40"/>
    <cellStyle name="千位_laroux" xfId="41"/>
    <cellStyle name="千位分隔" xfId="1" builtinId="3"/>
  </cellStyles>
  <dxfs count="2">
    <dxf>
      <fill>
        <patternFill>
          <bgColor rgb="FFFFC7CE"/>
        </patternFill>
      </fill>
    </dxf>
    <dxf>
      <fill>
        <patternFill>
          <bgColor rgb="FFFFC7CE"/>
        </patternFill>
      </fill>
    </dxf>
  </dxfs>
  <tableStyles count="0" defaultTableStyle="TableStyleMedium2" defaultPivotStyle="PivotStyleLight16"/>
  <colors>
    <mruColors>
      <color rgb="FFE4DFEC"/>
      <color rgb="FF0000FF"/>
      <color rgb="FF0066FF"/>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63</xdr:row>
          <xdr:rowOff>30480</xdr:rowOff>
        </xdr:from>
        <xdr:to>
          <xdr:col>3</xdr:col>
          <xdr:colOff>541020</xdr:colOff>
          <xdr:row>65</xdr:row>
          <xdr:rowOff>160020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18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63</xdr:row>
          <xdr:rowOff>144780</xdr:rowOff>
        </xdr:from>
        <xdr:to>
          <xdr:col>7</xdr:col>
          <xdr:colOff>198120</xdr:colOff>
          <xdr:row>65</xdr:row>
          <xdr:rowOff>76200</xdr:rowOff>
        </xdr:to>
        <xdr:sp macro="" textlink="">
          <xdr:nvSpPr>
            <xdr:cNvPr id="7172" name="Object 4" hidden="1">
              <a:extLst>
                <a:ext uri="{63B3BB69-23CF-44E3-9099-C40C66FF867C}">
                  <a14:compatExt spid="_x0000_s7172"/>
                </a:ext>
                <a:ext uri="{FF2B5EF4-FFF2-40B4-BE49-F238E27FC236}">
                  <a16:creationId xmlns:a16="http://schemas.microsoft.com/office/drawing/2014/main" id="{00000000-0008-0000-1800-000004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47</xdr:row>
          <xdr:rowOff>0</xdr:rowOff>
        </xdr:from>
        <xdr:to>
          <xdr:col>7</xdr:col>
          <xdr:colOff>480060</xdr:colOff>
          <xdr:row>50</xdr:row>
          <xdr:rowOff>30480</xdr:rowOff>
        </xdr:to>
        <xdr:sp macro="" textlink="">
          <xdr:nvSpPr>
            <xdr:cNvPr id="7173" name="Object 5" hidden="1">
              <a:extLst>
                <a:ext uri="{63B3BB69-23CF-44E3-9099-C40C66FF867C}">
                  <a14:compatExt spid="_x0000_s7173"/>
                </a:ext>
                <a:ext uri="{FF2B5EF4-FFF2-40B4-BE49-F238E27FC236}">
                  <a16:creationId xmlns:a16="http://schemas.microsoft.com/office/drawing/2014/main" id="{00000000-0008-0000-1800-000005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25.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8"/>
  <sheetViews>
    <sheetView tabSelected="1" workbookViewId="0"/>
  </sheetViews>
  <sheetFormatPr defaultRowHeight="19.95" customHeight="1"/>
  <cols>
    <col min="1" max="1" width="77.59765625" style="28" customWidth="1"/>
    <col min="2" max="2" width="2" style="28" customWidth="1"/>
    <col min="3" max="3" width="2.09765625" style="28" customWidth="1"/>
    <col min="4" max="4" width="5" style="243" customWidth="1"/>
    <col min="5" max="5" width="33.3984375" style="28" customWidth="1"/>
    <col min="6" max="6" width="9.5" style="26" customWidth="1"/>
    <col min="7" max="16384" width="8.796875" style="28"/>
  </cols>
  <sheetData>
    <row r="1" spans="1:8" s="3" customFormat="1" ht="19.95" customHeight="1">
      <c r="A1" s="24" t="s">
        <v>250</v>
      </c>
      <c r="D1" s="240"/>
      <c r="F1" s="18"/>
    </row>
    <row r="2" spans="1:8" ht="19.95" customHeight="1">
      <c r="A2" s="241" t="s">
        <v>251</v>
      </c>
      <c r="B2" s="242"/>
      <c r="C2" s="242"/>
      <c r="G2" s="242"/>
      <c r="H2" s="242"/>
    </row>
    <row r="3" spans="1:8" ht="19.95" customHeight="1">
      <c r="A3" s="241" t="s">
        <v>1183</v>
      </c>
      <c r="B3" s="242"/>
      <c r="C3" s="242"/>
      <c r="D3" s="431" t="s">
        <v>1008</v>
      </c>
      <c r="E3" s="431" t="s">
        <v>239</v>
      </c>
      <c r="F3" s="431" t="s">
        <v>1009</v>
      </c>
      <c r="G3" s="431" t="s">
        <v>482</v>
      </c>
      <c r="H3" s="245"/>
    </row>
    <row r="4" spans="1:8" ht="19.95" customHeight="1">
      <c r="A4" s="241" t="s">
        <v>241</v>
      </c>
      <c r="D4" s="247">
        <v>1</v>
      </c>
      <c r="E4" s="253" t="s">
        <v>282</v>
      </c>
      <c r="F4" s="507" t="s">
        <v>183</v>
      </c>
      <c r="G4" s="244"/>
      <c r="H4" s="242"/>
    </row>
    <row r="5" spans="1:8" ht="19.95" customHeight="1">
      <c r="A5" s="241" t="s">
        <v>242</v>
      </c>
      <c r="D5" s="247">
        <f>D4+1</f>
        <v>2</v>
      </c>
      <c r="E5" s="253" t="s">
        <v>283</v>
      </c>
      <c r="F5" s="507" t="s">
        <v>285</v>
      </c>
      <c r="G5" s="246"/>
    </row>
    <row r="6" spans="1:8" ht="19.95" customHeight="1">
      <c r="A6" s="241" t="s">
        <v>243</v>
      </c>
      <c r="D6" s="247">
        <f>D5+1</f>
        <v>3</v>
      </c>
      <c r="E6" s="253" t="s">
        <v>284</v>
      </c>
      <c r="F6" s="507" t="s">
        <v>285</v>
      </c>
      <c r="G6" s="246"/>
    </row>
    <row r="7" spans="1:8" ht="19.95" customHeight="1">
      <c r="A7" s="241" t="s">
        <v>244</v>
      </c>
      <c r="D7" s="247">
        <f t="shared" ref="D7:D28" si="0">D6+1</f>
        <v>4</v>
      </c>
      <c r="E7" s="254" t="s">
        <v>280</v>
      </c>
      <c r="F7" s="507"/>
      <c r="G7" s="246" t="s">
        <v>286</v>
      </c>
    </row>
    <row r="8" spans="1:8" ht="19.95" customHeight="1">
      <c r="A8" s="248" t="s">
        <v>245</v>
      </c>
      <c r="D8" s="247">
        <f t="shared" si="0"/>
        <v>5</v>
      </c>
      <c r="E8" s="254" t="s">
        <v>281</v>
      </c>
      <c r="F8" s="507"/>
      <c r="G8" s="246" t="s">
        <v>286</v>
      </c>
    </row>
    <row r="9" spans="1:8" ht="19.95" customHeight="1">
      <c r="A9" s="249" t="s">
        <v>246</v>
      </c>
      <c r="D9" s="247">
        <f t="shared" si="0"/>
        <v>6</v>
      </c>
      <c r="E9" s="253" t="s">
        <v>288</v>
      </c>
      <c r="F9" s="507" t="s">
        <v>177</v>
      </c>
      <c r="G9" s="246"/>
    </row>
    <row r="10" spans="1:8" ht="19.95" customHeight="1">
      <c r="A10" s="249" t="s">
        <v>247</v>
      </c>
      <c r="D10" s="247">
        <f t="shared" si="0"/>
        <v>7</v>
      </c>
      <c r="E10" s="253" t="s">
        <v>289</v>
      </c>
      <c r="F10" s="507" t="s">
        <v>177</v>
      </c>
      <c r="G10" s="246"/>
    </row>
    <row r="11" spans="1:8" ht="19.95" customHeight="1">
      <c r="A11" s="249" t="s">
        <v>248</v>
      </c>
      <c r="D11" s="247">
        <f t="shared" si="0"/>
        <v>8</v>
      </c>
      <c r="E11" s="253" t="s">
        <v>290</v>
      </c>
      <c r="F11" s="507" t="s">
        <v>287</v>
      </c>
      <c r="G11" s="246"/>
    </row>
    <row r="12" spans="1:8" ht="19.95" customHeight="1">
      <c r="A12" s="249" t="s">
        <v>249</v>
      </c>
      <c r="D12" s="247">
        <f t="shared" si="0"/>
        <v>9</v>
      </c>
      <c r="E12" s="253" t="s">
        <v>291</v>
      </c>
      <c r="F12" s="507" t="s">
        <v>176</v>
      </c>
      <c r="G12" s="246"/>
    </row>
    <row r="13" spans="1:8" ht="19.95" customHeight="1">
      <c r="A13" s="249" t="s">
        <v>78</v>
      </c>
      <c r="D13" s="247">
        <f t="shared" si="0"/>
        <v>10</v>
      </c>
      <c r="E13" s="253" t="s">
        <v>292</v>
      </c>
      <c r="F13" s="507" t="s">
        <v>178</v>
      </c>
      <c r="G13" s="246"/>
    </row>
    <row r="14" spans="1:8" ht="19.95" customHeight="1">
      <c r="A14" s="250"/>
      <c r="D14" s="247">
        <f t="shared" si="0"/>
        <v>11</v>
      </c>
      <c r="E14" s="253" t="s">
        <v>293</v>
      </c>
      <c r="F14" s="507" t="s">
        <v>179</v>
      </c>
      <c r="G14" s="246"/>
    </row>
    <row r="15" spans="1:8" ht="19.95" customHeight="1">
      <c r="A15" s="608" t="s">
        <v>1215</v>
      </c>
      <c r="D15" s="247">
        <f t="shared" si="0"/>
        <v>12</v>
      </c>
      <c r="E15" s="253" t="s">
        <v>294</v>
      </c>
      <c r="F15" s="507" t="s">
        <v>179</v>
      </c>
      <c r="G15" s="246"/>
    </row>
    <row r="16" spans="1:8" ht="19.95" customHeight="1">
      <c r="A16" s="611" t="s">
        <v>1216</v>
      </c>
      <c r="D16" s="247">
        <f t="shared" si="0"/>
        <v>13</v>
      </c>
      <c r="E16" s="253" t="s">
        <v>295</v>
      </c>
      <c r="F16" s="507" t="s">
        <v>180</v>
      </c>
      <c r="G16" s="246"/>
    </row>
    <row r="17" spans="1:7" ht="19.95" customHeight="1">
      <c r="A17" s="611"/>
      <c r="D17" s="247">
        <f t="shared" si="0"/>
        <v>14</v>
      </c>
      <c r="E17" s="253" t="s">
        <v>296</v>
      </c>
      <c r="F17" s="507" t="s">
        <v>180</v>
      </c>
      <c r="G17" s="246"/>
    </row>
    <row r="18" spans="1:7" ht="19.95" customHeight="1">
      <c r="A18" s="611"/>
      <c r="D18" s="247">
        <f t="shared" si="0"/>
        <v>15</v>
      </c>
      <c r="E18" s="253" t="s">
        <v>297</v>
      </c>
      <c r="F18" s="507" t="s">
        <v>175</v>
      </c>
      <c r="G18" s="246"/>
    </row>
    <row r="19" spans="1:7" ht="19.95" customHeight="1">
      <c r="A19" s="611"/>
      <c r="D19" s="247">
        <f t="shared" si="0"/>
        <v>16</v>
      </c>
      <c r="E19" s="253" t="s">
        <v>298</v>
      </c>
      <c r="F19" s="507" t="s">
        <v>261</v>
      </c>
      <c r="G19" s="246"/>
    </row>
    <row r="20" spans="1:7" ht="19.95" customHeight="1">
      <c r="A20" s="611" t="s">
        <v>1217</v>
      </c>
      <c r="D20" s="247">
        <f t="shared" si="0"/>
        <v>17</v>
      </c>
      <c r="E20" s="253" t="s">
        <v>299</v>
      </c>
      <c r="F20" s="507" t="s">
        <v>174</v>
      </c>
      <c r="G20" s="246"/>
    </row>
    <row r="21" spans="1:7" ht="19.95" customHeight="1">
      <c r="A21" s="611"/>
      <c r="D21" s="247">
        <f t="shared" si="0"/>
        <v>18</v>
      </c>
      <c r="E21" s="254" t="s">
        <v>300</v>
      </c>
      <c r="F21" s="507" t="s">
        <v>181</v>
      </c>
      <c r="G21" s="246"/>
    </row>
    <row r="22" spans="1:7" ht="19.95" customHeight="1">
      <c r="A22" s="611"/>
      <c r="D22" s="247">
        <f t="shared" si="0"/>
        <v>19</v>
      </c>
      <c r="E22" s="253" t="s">
        <v>301</v>
      </c>
      <c r="F22" s="507" t="s">
        <v>181</v>
      </c>
      <c r="G22" s="246"/>
    </row>
    <row r="23" spans="1:7" ht="19.95" customHeight="1">
      <c r="A23" s="612" t="s">
        <v>1218</v>
      </c>
      <c r="D23" s="247">
        <f t="shared" si="0"/>
        <v>20</v>
      </c>
      <c r="E23" s="253" t="s">
        <v>302</v>
      </c>
      <c r="F23" s="507" t="s">
        <v>182</v>
      </c>
      <c r="G23" s="246"/>
    </row>
    <row r="24" spans="1:7" ht="19.95" customHeight="1">
      <c r="A24" s="612"/>
      <c r="D24" s="247">
        <f t="shared" si="0"/>
        <v>21</v>
      </c>
      <c r="E24" s="253" t="s">
        <v>303</v>
      </c>
      <c r="F24" s="507" t="s">
        <v>266</v>
      </c>
      <c r="G24" s="246"/>
    </row>
    <row r="25" spans="1:7" ht="19.95" customHeight="1">
      <c r="A25" s="612"/>
      <c r="D25" s="247">
        <f t="shared" si="0"/>
        <v>22</v>
      </c>
      <c r="E25" s="253" t="s">
        <v>304</v>
      </c>
      <c r="F25" s="507" t="s">
        <v>267</v>
      </c>
      <c r="G25" s="246"/>
    </row>
    <row r="26" spans="1:7" ht="19.95" customHeight="1">
      <c r="D26" s="247">
        <f t="shared" si="0"/>
        <v>23</v>
      </c>
      <c r="E26" s="253" t="s">
        <v>305</v>
      </c>
      <c r="F26" s="507" t="s">
        <v>268</v>
      </c>
      <c r="G26" s="246"/>
    </row>
    <row r="27" spans="1:7" ht="19.95" customHeight="1">
      <c r="D27" s="247">
        <f t="shared" si="0"/>
        <v>24</v>
      </c>
      <c r="E27" s="253" t="s">
        <v>306</v>
      </c>
      <c r="F27" s="507" t="s">
        <v>270</v>
      </c>
      <c r="G27" s="246"/>
    </row>
    <row r="28" spans="1:7" ht="19.95" customHeight="1">
      <c r="D28" s="247">
        <f t="shared" si="0"/>
        <v>25</v>
      </c>
      <c r="E28" s="253" t="s">
        <v>307</v>
      </c>
      <c r="F28" s="507" t="s">
        <v>272</v>
      </c>
      <c r="G28" s="246"/>
    </row>
  </sheetData>
  <mergeCells count="3">
    <mergeCell ref="A16:A19"/>
    <mergeCell ref="A20:A22"/>
    <mergeCell ref="A23:A25"/>
  </mergeCells>
  <phoneticPr fontId="10" type="noConversion"/>
  <hyperlinks>
    <hyperlink ref="E4" location="'生物资产实质性程序表H7A'!A1" display="生物资产实质性程序表H7A"/>
    <hyperlink ref="E5" location="'审定表（成本模式）H7-1'!A1" display="审定表（成本模式）H7-1"/>
    <hyperlink ref="E6" location="'审定表（公允价值模式）H7-1'!A1" display="审定表（公允价值模式）H7-1"/>
    <hyperlink ref="E7" location="'附注披露信息（上市公司）'!A1" display="附注披露信息（上市公司）"/>
    <hyperlink ref="E8" location="'附注披露信息（国有企业）'!A1" display="附注披露信息（国有企业）"/>
    <hyperlink ref="E9" location="'明细表（成本模式）H7-2'!A1" display="明细表（成本模式）H7-2"/>
    <hyperlink ref="E10" location="'明细表（公允价值模式）H7-2'!A1" display="明细表（公允价值模式）H7-2"/>
    <hyperlink ref="E11" location="'调整分录汇总H7-3'!A1" display="调整分录汇总H7-3"/>
    <hyperlink ref="E12" location="'会计政策估计检查表H7-4'!A1" display="会计政策估计检查表H7-4"/>
    <hyperlink ref="E13" location="'分析表H7-5'!A1" display="分析表H7-5"/>
    <hyperlink ref="E14" location="'增加检查表（成本模式）H7-6'!A1" display="增加检查表（成本模式）H7-6"/>
    <hyperlink ref="E15" location="'增加检查表（公允价值模式）H7-6'!A1" display="增加检查表（公允价值模式）H7-6"/>
    <hyperlink ref="E16" location="'减少检查表（成本模式）H7-7'!A1" display="减少检查表（成本模式）H7-7"/>
    <hyperlink ref="E17" location="'减少检查表（公允价值模式）H7-7'!A1" display="减少检查表（公允价值模式）H7-7"/>
    <hyperlink ref="E18" location="'监盘计划H7-8'!A1" display="监盘计划H7-8"/>
    <hyperlink ref="E19" location="'盘点检查表H7-9'!A1" display="盘点检查表H7-9"/>
    <hyperlink ref="E20" location="'监盘小结H7-10'!A1" display="监盘小结H7-10"/>
    <hyperlink ref="E21" location="'折旧测算表（不含减值）-直线法H7-11'!A1" display="折旧测算表（不含减值）-直线法H7-11"/>
    <hyperlink ref="E22" location="'折旧测算表（含减值）H7-11'!A1" display="折旧测算表（含减值）H7-11"/>
    <hyperlink ref="E23" location="'折旧分配分析表H7-12'!A1" display="折旧分配分析表H7-12"/>
    <hyperlink ref="E24" location="'公允价值复核表H7-13'!A1" display="公允价值复核表H7-13"/>
    <hyperlink ref="E25" location="'互转审核表H7-14'!A1" display="互转审核表H7-14"/>
    <hyperlink ref="E26" location="'减值测算表H7-15'!A1" display="减值测算表H7-15"/>
    <hyperlink ref="E27" location="'可收回金额测试表H7-16'!A1" display="可收回金额测试表H7-16"/>
    <hyperlink ref="E28" location="'关联交易检查表H7-17'!A1" display="关联交易检查表H7-17"/>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35"/>
  <sheetViews>
    <sheetView view="pageBreakPreview" zoomScaleNormal="100" zoomScaleSheetLayoutView="100" workbookViewId="0">
      <selection sqref="A1:I1"/>
    </sheetView>
  </sheetViews>
  <sheetFormatPr defaultColWidth="9" defaultRowHeight="19.95" customHeight="1"/>
  <cols>
    <col min="1" max="1" width="4.796875" style="270" customWidth="1"/>
    <col min="2" max="2" width="63.69921875" style="11" customWidth="1"/>
    <col min="3" max="3" width="10.09765625" style="11" customWidth="1"/>
    <col min="4" max="4" width="5.3984375" style="11" customWidth="1"/>
    <col min="5" max="5" width="6.296875" style="11" customWidth="1"/>
    <col min="6" max="6" width="6.69921875" style="11" customWidth="1"/>
    <col min="7" max="7" width="7.3984375" style="11" customWidth="1"/>
    <col min="8" max="8" width="4.796875" style="11" customWidth="1"/>
    <col min="9" max="9" width="7" style="11" customWidth="1"/>
    <col min="10" max="10" width="37.59765625" style="11" customWidth="1"/>
    <col min="11" max="16384" width="9" style="11"/>
  </cols>
  <sheetData>
    <row r="1" spans="1:10" s="10" customFormat="1" ht="19.95" customHeight="1">
      <c r="A1" s="617" t="s">
        <v>981</v>
      </c>
      <c r="B1" s="617"/>
      <c r="C1" s="617"/>
      <c r="D1" s="617"/>
      <c r="E1" s="617"/>
      <c r="F1" s="617"/>
      <c r="G1" s="617"/>
      <c r="H1" s="617"/>
      <c r="I1" s="617"/>
    </row>
    <row r="2" spans="1:10" s="9" customFormat="1" ht="19.95" customHeight="1">
      <c r="A2" s="618" t="s">
        <v>984</v>
      </c>
      <c r="B2" s="618"/>
      <c r="C2" s="618"/>
      <c r="D2" s="618"/>
      <c r="E2" s="618"/>
      <c r="F2" s="618"/>
      <c r="G2" s="618"/>
      <c r="H2" s="618"/>
      <c r="I2" s="618"/>
    </row>
    <row r="3" spans="1:10" s="264" customFormat="1" ht="19.95" customHeight="1">
      <c r="A3" s="263" t="str">
        <f>底稿目录!A2</f>
        <v>被审计单位：</v>
      </c>
      <c r="B3" s="263"/>
      <c r="C3" s="264" t="str">
        <f>底稿目录!A4</f>
        <v>编制人：</v>
      </c>
      <c r="E3" s="264" t="str">
        <f>底稿目录!A6</f>
        <v>编制日期：</v>
      </c>
      <c r="H3" s="432" t="s">
        <v>1011</v>
      </c>
      <c r="I3" s="252" t="s">
        <v>252</v>
      </c>
    </row>
    <row r="4" spans="1:10" s="264" customFormat="1" ht="19.95" customHeight="1">
      <c r="A4" s="263" t="str">
        <f>底稿目录!A3</f>
        <v>截止日：</v>
      </c>
      <c r="B4" s="263"/>
      <c r="C4" s="264" t="str">
        <f>底稿目录!A5</f>
        <v>复核人：</v>
      </c>
      <c r="E4" s="264" t="str">
        <f>底稿目录!A7</f>
        <v>复核日期：</v>
      </c>
      <c r="H4" s="432" t="s">
        <v>1012</v>
      </c>
      <c r="I4" s="265"/>
    </row>
    <row r="5" spans="1:10" ht="19.95" customHeight="1">
      <c r="A5" s="619" t="s">
        <v>330</v>
      </c>
      <c r="B5" s="619"/>
    </row>
    <row r="6" spans="1:10" ht="19.95" customHeight="1">
      <c r="A6" s="266" t="s">
        <v>331</v>
      </c>
      <c r="B6" s="266"/>
      <c r="C6" s="266"/>
      <c r="D6" s="266"/>
      <c r="E6" s="266"/>
      <c r="F6" s="266"/>
      <c r="G6" s="266"/>
      <c r="H6" s="266"/>
      <c r="I6" s="266"/>
    </row>
    <row r="7" spans="1:10" s="264" customFormat="1" ht="19.95" customHeight="1">
      <c r="A7" s="508" t="s">
        <v>1181</v>
      </c>
      <c r="B7" s="267"/>
      <c r="C7" s="268"/>
    </row>
    <row r="8" spans="1:10" s="264" customFormat="1" ht="19.95" customHeight="1">
      <c r="A8" s="625" t="s">
        <v>1212</v>
      </c>
      <c r="B8" s="615"/>
      <c r="C8" s="615"/>
      <c r="D8" s="615"/>
      <c r="E8" s="615"/>
      <c r="F8" s="615"/>
      <c r="G8" s="615" t="s">
        <v>163</v>
      </c>
      <c r="H8" s="615"/>
      <c r="I8" s="615"/>
    </row>
    <row r="9" spans="1:10" s="264" customFormat="1" ht="19.95" customHeight="1">
      <c r="A9" s="626" t="s">
        <v>238</v>
      </c>
      <c r="B9" s="626"/>
      <c r="C9" s="626"/>
      <c r="D9" s="626"/>
      <c r="E9" s="626"/>
      <c r="F9" s="626"/>
      <c r="G9" s="616" t="s">
        <v>332</v>
      </c>
      <c r="H9" s="616"/>
      <c r="I9" s="616"/>
    </row>
    <row r="10" spans="1:10" s="264" customFormat="1" ht="19.95" customHeight="1">
      <c r="A10" s="626" t="s">
        <v>1208</v>
      </c>
      <c r="B10" s="626"/>
      <c r="C10" s="626"/>
      <c r="D10" s="626"/>
      <c r="E10" s="626"/>
      <c r="F10" s="626"/>
      <c r="G10" s="616" t="s">
        <v>164</v>
      </c>
      <c r="H10" s="616"/>
      <c r="I10" s="616"/>
    </row>
    <row r="11" spans="1:10" s="264" customFormat="1" ht="19.95" customHeight="1">
      <c r="A11" s="626" t="s">
        <v>1209</v>
      </c>
      <c r="B11" s="626"/>
      <c r="C11" s="626"/>
      <c r="D11" s="626"/>
      <c r="E11" s="626"/>
      <c r="F11" s="626"/>
      <c r="G11" s="616" t="s">
        <v>165</v>
      </c>
      <c r="H11" s="616"/>
      <c r="I11" s="616"/>
    </row>
    <row r="12" spans="1:10" s="264" customFormat="1" ht="19.95" customHeight="1">
      <c r="A12" s="626" t="s">
        <v>1210</v>
      </c>
      <c r="B12" s="626"/>
      <c r="C12" s="626"/>
      <c r="D12" s="626"/>
      <c r="E12" s="626"/>
      <c r="F12" s="626"/>
      <c r="G12" s="616" t="s">
        <v>1206</v>
      </c>
      <c r="H12" s="616"/>
      <c r="I12" s="616"/>
    </row>
    <row r="13" spans="1:10" s="264" customFormat="1" ht="19.95" customHeight="1">
      <c r="A13" s="626" t="s">
        <v>1211</v>
      </c>
      <c r="B13" s="626"/>
      <c r="C13" s="626"/>
      <c r="D13" s="626"/>
      <c r="E13" s="626"/>
      <c r="F13" s="626"/>
      <c r="G13" s="616" t="s">
        <v>1207</v>
      </c>
      <c r="H13" s="616"/>
      <c r="I13" s="616"/>
    </row>
    <row r="14" spans="1:10" s="264" customFormat="1" ht="19.95" customHeight="1">
      <c r="A14" s="621" t="s">
        <v>1182</v>
      </c>
      <c r="B14" s="621"/>
      <c r="C14" s="268"/>
    </row>
    <row r="15" spans="1:10" s="264" customFormat="1" ht="19.95" customHeight="1">
      <c r="A15" s="623" t="s">
        <v>98</v>
      </c>
      <c r="B15" s="624" t="s">
        <v>1214</v>
      </c>
      <c r="C15" s="620" t="s">
        <v>333</v>
      </c>
      <c r="D15" s="622" t="s">
        <v>334</v>
      </c>
      <c r="E15" s="622"/>
      <c r="F15" s="622"/>
      <c r="G15" s="622"/>
      <c r="H15" s="622"/>
      <c r="I15" s="620" t="s">
        <v>324</v>
      </c>
    </row>
    <row r="16" spans="1:10" s="264" customFormat="1" ht="33" customHeight="1">
      <c r="A16" s="623"/>
      <c r="B16" s="624"/>
      <c r="C16" s="620"/>
      <c r="D16" s="435" t="s">
        <v>320</v>
      </c>
      <c r="E16" s="435" t="s">
        <v>335</v>
      </c>
      <c r="F16" s="434" t="s">
        <v>336</v>
      </c>
      <c r="G16" s="434" t="s">
        <v>337</v>
      </c>
      <c r="H16" s="434" t="s">
        <v>325</v>
      </c>
      <c r="I16" s="620"/>
      <c r="J16" s="607" t="s">
        <v>1213</v>
      </c>
    </row>
    <row r="17" spans="1:12" s="264" customFormat="1" ht="69" customHeight="1">
      <c r="A17" s="479" t="s">
        <v>1017</v>
      </c>
      <c r="B17" s="460" t="s">
        <v>1048</v>
      </c>
      <c r="C17" s="461" t="s">
        <v>1049</v>
      </c>
      <c r="D17" s="462" t="s">
        <v>1050</v>
      </c>
      <c r="E17" s="462" t="s">
        <v>1050</v>
      </c>
      <c r="F17" s="462"/>
      <c r="G17" s="463" t="s">
        <v>1051</v>
      </c>
      <c r="H17" s="480"/>
      <c r="I17" s="481" t="s">
        <v>1173</v>
      </c>
    </row>
    <row r="18" spans="1:12" s="264" customFormat="1" ht="53.4" customHeight="1">
      <c r="A18" s="479" t="s">
        <v>168</v>
      </c>
      <c r="B18" s="482" t="s">
        <v>326</v>
      </c>
      <c r="C18" s="464" t="s">
        <v>1049</v>
      </c>
      <c r="D18" s="467"/>
      <c r="E18" s="468" t="s">
        <v>1056</v>
      </c>
      <c r="F18" s="467"/>
      <c r="G18" s="469" t="s">
        <v>1057</v>
      </c>
      <c r="H18" s="480"/>
      <c r="I18" s="506" t="s">
        <v>1174</v>
      </c>
      <c r="J18" s="613" t="s">
        <v>1052</v>
      </c>
      <c r="K18" s="614"/>
      <c r="L18" s="614"/>
    </row>
    <row r="19" spans="1:12" s="264" customFormat="1" ht="49.2" customHeight="1">
      <c r="A19" s="479" t="s">
        <v>169</v>
      </c>
      <c r="B19" s="460" t="s">
        <v>1054</v>
      </c>
      <c r="C19" s="464" t="s">
        <v>1055</v>
      </c>
      <c r="D19" s="465" t="s">
        <v>1056</v>
      </c>
      <c r="E19" s="466" t="s">
        <v>1057</v>
      </c>
      <c r="F19" s="466" t="s">
        <v>1057</v>
      </c>
      <c r="G19" s="466" t="s">
        <v>1057</v>
      </c>
      <c r="H19" s="480"/>
      <c r="I19" s="481"/>
      <c r="J19" s="613" t="s">
        <v>1053</v>
      </c>
      <c r="K19" s="614"/>
      <c r="L19" s="614"/>
    </row>
    <row r="20" spans="1:12" s="264" customFormat="1" ht="83.4" customHeight="1">
      <c r="A20" s="479" t="s">
        <v>170</v>
      </c>
      <c r="B20" s="483" t="s">
        <v>1058</v>
      </c>
      <c r="C20" s="464" t="s">
        <v>327</v>
      </c>
      <c r="D20" s="466" t="s">
        <v>318</v>
      </c>
      <c r="E20" s="466" t="s">
        <v>1057</v>
      </c>
      <c r="F20" s="466"/>
      <c r="G20" s="465" t="s">
        <v>1059</v>
      </c>
      <c r="H20" s="480"/>
      <c r="I20" s="481" t="s">
        <v>176</v>
      </c>
    </row>
    <row r="21" spans="1:12" s="264" customFormat="1" ht="90.6" customHeight="1">
      <c r="A21" s="479" t="s">
        <v>171</v>
      </c>
      <c r="B21" s="470" t="s">
        <v>1060</v>
      </c>
      <c r="C21" s="461" t="s">
        <v>322</v>
      </c>
      <c r="D21" s="466" t="s">
        <v>1057</v>
      </c>
      <c r="E21" s="466" t="s">
        <v>1057</v>
      </c>
      <c r="F21" s="466"/>
      <c r="G21" s="465" t="s">
        <v>1056</v>
      </c>
      <c r="H21" s="480"/>
      <c r="I21" s="481" t="s">
        <v>274</v>
      </c>
      <c r="J21" s="233"/>
    </row>
    <row r="22" spans="1:12" s="264" customFormat="1" ht="36.6" customHeight="1">
      <c r="A22" s="479" t="s">
        <v>172</v>
      </c>
      <c r="B22" s="470" t="s">
        <v>1061</v>
      </c>
      <c r="C22" s="471" t="s">
        <v>1062</v>
      </c>
      <c r="D22" s="466" t="s">
        <v>1057</v>
      </c>
      <c r="E22" s="466" t="s">
        <v>1057</v>
      </c>
      <c r="F22" s="466"/>
      <c r="G22" s="465" t="s">
        <v>1056</v>
      </c>
      <c r="H22" s="480"/>
      <c r="I22" s="481"/>
      <c r="J22" s="233"/>
    </row>
    <row r="23" spans="1:12" s="264" customFormat="1" ht="87.6">
      <c r="A23" s="479" t="s">
        <v>173</v>
      </c>
      <c r="B23" s="484" t="s">
        <v>1063</v>
      </c>
      <c r="C23" s="464" t="s">
        <v>327</v>
      </c>
      <c r="D23" s="465" t="s">
        <v>1059</v>
      </c>
      <c r="E23" s="466" t="s">
        <v>318</v>
      </c>
      <c r="F23" s="466" t="s">
        <v>1057</v>
      </c>
      <c r="G23" s="466" t="s">
        <v>1057</v>
      </c>
      <c r="H23" s="480"/>
      <c r="I23" s="481" t="s">
        <v>275</v>
      </c>
    </row>
    <row r="24" spans="1:12" s="264" customFormat="1" ht="60" customHeight="1">
      <c r="A24" s="479" t="s">
        <v>1018</v>
      </c>
      <c r="B24" s="484" t="s">
        <v>1064</v>
      </c>
      <c r="C24" s="461" t="s">
        <v>314</v>
      </c>
      <c r="D24" s="466" t="s">
        <v>318</v>
      </c>
      <c r="E24" s="466" t="s">
        <v>1057</v>
      </c>
      <c r="F24" s="466"/>
      <c r="G24" s="465" t="s">
        <v>1056</v>
      </c>
      <c r="H24" s="480"/>
      <c r="I24" s="481" t="s">
        <v>276</v>
      </c>
    </row>
    <row r="25" spans="1:12" s="264" customFormat="1" ht="93.6" customHeight="1">
      <c r="A25" s="479" t="s">
        <v>1019</v>
      </c>
      <c r="B25" s="484" t="s">
        <v>329</v>
      </c>
      <c r="C25" s="472" t="s">
        <v>1065</v>
      </c>
      <c r="D25" s="465" t="s">
        <v>1066</v>
      </c>
      <c r="E25" s="473"/>
      <c r="F25" s="466" t="s">
        <v>1067</v>
      </c>
      <c r="G25" s="466" t="s">
        <v>1067</v>
      </c>
      <c r="H25" s="480"/>
      <c r="I25" s="481" t="s">
        <v>1175</v>
      </c>
    </row>
    <row r="26" spans="1:12" s="264" customFormat="1" ht="156.6">
      <c r="A26" s="479" t="s">
        <v>1020</v>
      </c>
      <c r="B26" s="483" t="s">
        <v>1068</v>
      </c>
      <c r="C26" s="474" t="s">
        <v>327</v>
      </c>
      <c r="D26" s="465" t="s">
        <v>1056</v>
      </c>
      <c r="E26" s="475"/>
      <c r="F26" s="466" t="s">
        <v>1069</v>
      </c>
      <c r="G26" s="466" t="s">
        <v>1057</v>
      </c>
      <c r="H26" s="485"/>
      <c r="I26" s="481" t="s">
        <v>1176</v>
      </c>
    </row>
    <row r="27" spans="1:12" s="264" customFormat="1" ht="29.4" customHeight="1">
      <c r="A27" s="479" t="s">
        <v>1021</v>
      </c>
      <c r="B27" s="486" t="s">
        <v>1070</v>
      </c>
      <c r="C27" s="464" t="s">
        <v>313</v>
      </c>
      <c r="D27" s="465" t="s">
        <v>1056</v>
      </c>
      <c r="E27" s="475"/>
      <c r="F27" s="466" t="s">
        <v>1069</v>
      </c>
      <c r="G27" s="466" t="s">
        <v>1057</v>
      </c>
      <c r="H27" s="485"/>
      <c r="I27" s="481" t="s">
        <v>1013</v>
      </c>
    </row>
    <row r="28" spans="1:12" s="264" customFormat="1" ht="115.2" customHeight="1">
      <c r="A28" s="479" t="s">
        <v>1022</v>
      </c>
      <c r="B28" s="476" t="s">
        <v>1071</v>
      </c>
      <c r="C28" s="461" t="s">
        <v>237</v>
      </c>
      <c r="D28" s="467"/>
      <c r="E28" s="467"/>
      <c r="F28" s="467"/>
      <c r="G28" s="465" t="s">
        <v>1056</v>
      </c>
      <c r="H28" s="485"/>
      <c r="I28" s="481" t="s">
        <v>1177</v>
      </c>
    </row>
    <row r="29" spans="1:12" s="264" customFormat="1" ht="38.4" customHeight="1">
      <c r="A29" s="479" t="s">
        <v>1023</v>
      </c>
      <c r="B29" s="493" t="s">
        <v>1089</v>
      </c>
      <c r="C29" s="494" t="s">
        <v>1090</v>
      </c>
      <c r="D29" s="467"/>
      <c r="E29" s="467"/>
      <c r="F29" s="467"/>
      <c r="G29" s="465" t="s">
        <v>1056</v>
      </c>
      <c r="H29" s="485"/>
      <c r="I29" s="481" t="s">
        <v>1178</v>
      </c>
    </row>
    <row r="30" spans="1:12" s="264" customFormat="1" ht="75.599999999999994" customHeight="1">
      <c r="A30" s="479" t="s">
        <v>1024</v>
      </c>
      <c r="B30" s="487" t="s">
        <v>1088</v>
      </c>
      <c r="C30" s="488" t="s">
        <v>328</v>
      </c>
      <c r="D30" s="467"/>
      <c r="E30" s="467"/>
      <c r="F30" s="467"/>
      <c r="G30" s="467" t="s">
        <v>318</v>
      </c>
      <c r="H30" s="485"/>
      <c r="I30" s="481" t="s">
        <v>1179</v>
      </c>
    </row>
    <row r="31" spans="1:12" s="269" customFormat="1" ht="41.4" customHeight="1">
      <c r="A31" s="479" t="s">
        <v>1025</v>
      </c>
      <c r="B31" s="489" t="s">
        <v>315</v>
      </c>
      <c r="C31" s="488" t="s">
        <v>328</v>
      </c>
      <c r="D31" s="490" t="s">
        <v>316</v>
      </c>
      <c r="E31" s="467" t="s">
        <v>319</v>
      </c>
      <c r="F31" s="467" t="s">
        <v>317</v>
      </c>
      <c r="G31" s="490" t="s">
        <v>316</v>
      </c>
      <c r="H31" s="467" t="s">
        <v>317</v>
      </c>
      <c r="I31" s="481" t="s">
        <v>279</v>
      </c>
    </row>
    <row r="32" spans="1:12" s="264" customFormat="1" ht="70.2" customHeight="1">
      <c r="A32" s="479" t="s">
        <v>1026</v>
      </c>
      <c r="B32" s="489" t="s">
        <v>338</v>
      </c>
      <c r="C32" s="481" t="s">
        <v>339</v>
      </c>
      <c r="D32" s="467" t="s">
        <v>318</v>
      </c>
      <c r="E32" s="467" t="s">
        <v>318</v>
      </c>
      <c r="F32" s="467" t="s">
        <v>318</v>
      </c>
      <c r="G32" s="467" t="s">
        <v>318</v>
      </c>
      <c r="H32" s="485"/>
      <c r="I32" s="481"/>
    </row>
    <row r="33" spans="1:10" s="264" customFormat="1" ht="35.4" customHeight="1">
      <c r="A33" s="479" t="s">
        <v>1027</v>
      </c>
      <c r="B33" s="487" t="s">
        <v>1073</v>
      </c>
      <c r="C33" s="471" t="s">
        <v>1062</v>
      </c>
      <c r="D33" s="467"/>
      <c r="E33" s="467"/>
      <c r="F33" s="467"/>
      <c r="G33" s="467"/>
      <c r="H33" s="485"/>
      <c r="I33" s="481"/>
    </row>
    <row r="34" spans="1:10" s="264" customFormat="1" ht="37.799999999999997" customHeight="1">
      <c r="A34" s="479" t="s">
        <v>1028</v>
      </c>
      <c r="B34" s="477" t="s">
        <v>1072</v>
      </c>
      <c r="C34" s="471" t="s">
        <v>1062</v>
      </c>
      <c r="D34" s="467" t="s">
        <v>166</v>
      </c>
      <c r="E34" s="467" t="s">
        <v>321</v>
      </c>
      <c r="F34" s="467" t="s">
        <v>319</v>
      </c>
      <c r="G34" s="467" t="s">
        <v>166</v>
      </c>
      <c r="H34" s="485"/>
      <c r="I34" s="481"/>
      <c r="J34" s="233"/>
    </row>
    <row r="35" spans="1:10" s="264" customFormat="1" ht="40.799999999999997" customHeight="1">
      <c r="A35" s="479" t="s">
        <v>1180</v>
      </c>
      <c r="B35" s="478" t="s">
        <v>1074</v>
      </c>
      <c r="C35" s="461" t="s">
        <v>237</v>
      </c>
      <c r="D35" s="467"/>
      <c r="E35" s="467"/>
      <c r="F35" s="467"/>
      <c r="G35" s="467"/>
      <c r="H35" s="467" t="s">
        <v>166</v>
      </c>
      <c r="I35" s="491" t="s">
        <v>340</v>
      </c>
    </row>
  </sheetData>
  <mergeCells count="23">
    <mergeCell ref="A1:I1"/>
    <mergeCell ref="A2:I2"/>
    <mergeCell ref="A5:B5"/>
    <mergeCell ref="I15:I16"/>
    <mergeCell ref="A14:B14"/>
    <mergeCell ref="D15:H15"/>
    <mergeCell ref="A15:A16"/>
    <mergeCell ref="B15:B16"/>
    <mergeCell ref="C15:C16"/>
    <mergeCell ref="A8:F8"/>
    <mergeCell ref="A9:F9"/>
    <mergeCell ref="A10:F10"/>
    <mergeCell ref="A11:F11"/>
    <mergeCell ref="A12:F12"/>
    <mergeCell ref="A13:F13"/>
    <mergeCell ref="J19:L19"/>
    <mergeCell ref="J18:L18"/>
    <mergeCell ref="G8:I8"/>
    <mergeCell ref="G9:I9"/>
    <mergeCell ref="G10:I10"/>
    <mergeCell ref="G11:I11"/>
    <mergeCell ref="G12:I12"/>
    <mergeCell ref="G13:I13"/>
  </mergeCells>
  <phoneticPr fontId="10" type="noConversion"/>
  <hyperlinks>
    <hyperlink ref="I3" location="底稿目录!A1" display="H7A"/>
  </hyperlinks>
  <printOptions horizontalCentered="1"/>
  <pageMargins left="0.70866141732283472" right="0.70866141732283472" top="0.74803149606299213" bottom="0.74803149606299213" header="0.31496062992125984" footer="0.31496062992125984"/>
  <pageSetup paperSize="9" scale="70"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76"/>
  <sheetViews>
    <sheetView view="pageBreakPreview" zoomScaleSheetLayoutView="100" workbookViewId="0">
      <selection sqref="A1:I1"/>
    </sheetView>
  </sheetViews>
  <sheetFormatPr defaultColWidth="9" defaultRowHeight="19.95" customHeight="1"/>
  <cols>
    <col min="1" max="1" width="25.69921875" style="1" customWidth="1"/>
    <col min="2" max="7" width="11" style="1" customWidth="1"/>
    <col min="8" max="16384" width="9" style="1"/>
  </cols>
  <sheetData>
    <row r="1" spans="1:10" s="2" customFormat="1" ht="19.95" customHeight="1">
      <c r="A1" s="629" t="s">
        <v>983</v>
      </c>
      <c r="B1" s="629"/>
      <c r="C1" s="629"/>
      <c r="D1" s="629"/>
      <c r="E1" s="629"/>
      <c r="F1" s="629"/>
      <c r="G1" s="629"/>
      <c r="H1" s="629"/>
      <c r="I1" s="629"/>
    </row>
    <row r="2" spans="1:10" ht="19.95" customHeight="1">
      <c r="A2" s="630" t="s">
        <v>995</v>
      </c>
      <c r="B2" s="630"/>
      <c r="C2" s="630"/>
      <c r="D2" s="630"/>
      <c r="E2" s="630"/>
      <c r="F2" s="630"/>
      <c r="G2" s="630"/>
      <c r="H2" s="630"/>
      <c r="I2" s="630"/>
      <c r="J2" s="350"/>
    </row>
    <row r="3" spans="1:10" ht="19.95" customHeight="1">
      <c r="A3" s="3" t="str">
        <f>底稿目录!A2</f>
        <v>被审计单位：</v>
      </c>
      <c r="B3" s="3"/>
      <c r="C3" s="3"/>
      <c r="D3" s="3" t="str">
        <f>底稿目录!A4</f>
        <v>编制人：</v>
      </c>
      <c r="F3" s="3" t="str">
        <f>底稿目录!A6</f>
        <v>编制日期：</v>
      </c>
      <c r="H3" s="432" t="s">
        <v>1011</v>
      </c>
      <c r="I3" s="252" t="s">
        <v>253</v>
      </c>
    </row>
    <row r="4" spans="1:10" ht="19.95" customHeight="1">
      <c r="A4" s="3" t="str">
        <f>底稿目录!A3</f>
        <v>截止日：</v>
      </c>
      <c r="B4" s="3"/>
      <c r="C4" s="3"/>
      <c r="D4" s="3" t="str">
        <f>底稿目录!A5</f>
        <v>复核人：</v>
      </c>
      <c r="F4" s="3" t="str">
        <f>底稿目录!A7</f>
        <v>复核日期：</v>
      </c>
      <c r="H4" s="432" t="s">
        <v>1012</v>
      </c>
      <c r="I4" s="265"/>
    </row>
    <row r="5" spans="1:10" ht="25.8" customHeight="1">
      <c r="A5" s="631" t="s">
        <v>85</v>
      </c>
      <c r="B5" s="633" t="s">
        <v>230</v>
      </c>
      <c r="C5" s="634"/>
      <c r="D5" s="635"/>
      <c r="E5" s="633" t="s">
        <v>350</v>
      </c>
      <c r="F5" s="634"/>
      <c r="G5" s="635"/>
      <c r="H5" s="627" t="s">
        <v>351</v>
      </c>
      <c r="I5" s="628"/>
    </row>
    <row r="6" spans="1:10" ht="19.95" customHeight="1">
      <c r="A6" s="632"/>
      <c r="B6" s="221" t="s">
        <v>352</v>
      </c>
      <c r="C6" s="221" t="s">
        <v>353</v>
      </c>
      <c r="D6" s="221" t="s">
        <v>232</v>
      </c>
      <c r="E6" s="221" t="s">
        <v>354</v>
      </c>
      <c r="F6" s="221" t="s">
        <v>353</v>
      </c>
      <c r="G6" s="221" t="s">
        <v>355</v>
      </c>
      <c r="H6" s="222" t="s">
        <v>234</v>
      </c>
      <c r="I6" s="223" t="s">
        <v>356</v>
      </c>
    </row>
    <row r="7" spans="1:10" s="68" customFormat="1" ht="19.95" customHeight="1">
      <c r="A7" s="235" t="s">
        <v>357</v>
      </c>
      <c r="B7" s="107"/>
      <c r="C7" s="107"/>
      <c r="D7" s="107"/>
      <c r="E7" s="107"/>
      <c r="F7" s="107"/>
      <c r="G7" s="107"/>
      <c r="H7" s="108"/>
      <c r="I7" s="109"/>
    </row>
    <row r="8" spans="1:10" s="68" customFormat="1" ht="19.95" customHeight="1">
      <c r="A8" s="90" t="str">
        <f>底稿目录!A9</f>
        <v>种植业</v>
      </c>
      <c r="B8" s="107">
        <f>'明细表（成本模式）H7-2'!D39</f>
        <v>0</v>
      </c>
      <c r="C8" s="107">
        <f>'明细表（成本模式）H7-2'!J39</f>
        <v>0</v>
      </c>
      <c r="D8" s="107">
        <f>'明细表（成本模式）H7-2'!M39</f>
        <v>0</v>
      </c>
      <c r="E8" s="107">
        <f>'明细表（成本模式）H7-2'!I39</f>
        <v>0</v>
      </c>
      <c r="F8" s="107">
        <f>'明细表（成本模式）H7-2'!J39+'明细表（成本模式）H7-2'!K39-'明细表（成本模式）H7-2'!L39</f>
        <v>0</v>
      </c>
      <c r="G8" s="107">
        <f>'明细表（成本模式）H7-2'!P39</f>
        <v>0</v>
      </c>
      <c r="H8" s="108">
        <f t="shared" ref="H8:H13" si="0">G8-D8</f>
        <v>0</v>
      </c>
      <c r="I8" s="109">
        <f t="shared" ref="I8:I13" si="1">IF(AND(D8=0,H8=0),0,IF(AND(D8=0,H8&gt;0),1,H8/D8))</f>
        <v>0</v>
      </c>
    </row>
    <row r="9" spans="1:10" s="68" customFormat="1" ht="19.95" customHeight="1">
      <c r="A9" s="90" t="str">
        <f>底稿目录!A10</f>
        <v>畜牧养殖业</v>
      </c>
      <c r="B9" s="107">
        <f>'明细表（成本模式）H7-2'!D40</f>
        <v>0</v>
      </c>
      <c r="C9" s="107">
        <f>'明细表（成本模式）H7-2'!J40</f>
        <v>0</v>
      </c>
      <c r="D9" s="107">
        <f>'明细表（成本模式）H7-2'!M40</f>
        <v>0</v>
      </c>
      <c r="E9" s="107">
        <f>'明细表（成本模式）H7-2'!I40</f>
        <v>0</v>
      </c>
      <c r="F9" s="107">
        <f>'明细表（成本模式）H7-2'!J40+'明细表（成本模式）H7-2'!K40-'明细表（成本模式）H7-2'!L40</f>
        <v>0</v>
      </c>
      <c r="G9" s="107">
        <f>'明细表（成本模式）H7-2'!P40</f>
        <v>0</v>
      </c>
      <c r="H9" s="108">
        <f t="shared" si="0"/>
        <v>0</v>
      </c>
      <c r="I9" s="109">
        <f t="shared" si="1"/>
        <v>0</v>
      </c>
    </row>
    <row r="10" spans="1:10" s="68" customFormat="1" ht="19.95" customHeight="1">
      <c r="A10" s="90" t="str">
        <f>底稿目录!A11</f>
        <v>林业</v>
      </c>
      <c r="B10" s="107">
        <f>'明细表（成本模式）H7-2'!D41</f>
        <v>0</v>
      </c>
      <c r="C10" s="107">
        <f>'明细表（成本模式）H7-2'!J41</f>
        <v>0</v>
      </c>
      <c r="D10" s="107">
        <f>'明细表（成本模式）H7-2'!M41</f>
        <v>0</v>
      </c>
      <c r="E10" s="107">
        <f>'明细表（成本模式）H7-2'!I41</f>
        <v>0</v>
      </c>
      <c r="F10" s="107">
        <f>'明细表（成本模式）H7-2'!J41+'明细表（成本模式）H7-2'!K41-'明细表（成本模式）H7-2'!L41</f>
        <v>0</v>
      </c>
      <c r="G10" s="107">
        <f>'明细表（成本模式）H7-2'!P41</f>
        <v>0</v>
      </c>
      <c r="H10" s="108">
        <f t="shared" si="0"/>
        <v>0</v>
      </c>
      <c r="I10" s="109">
        <f t="shared" si="1"/>
        <v>0</v>
      </c>
    </row>
    <row r="11" spans="1:10" s="68" customFormat="1" ht="19.95" customHeight="1">
      <c r="A11" s="90" t="str">
        <f>底稿目录!A12</f>
        <v>水产业</v>
      </c>
      <c r="B11" s="107">
        <f>'明细表（成本模式）H7-2'!D42</f>
        <v>0</v>
      </c>
      <c r="C11" s="107">
        <f>'明细表（成本模式）H7-2'!J42</f>
        <v>0</v>
      </c>
      <c r="D11" s="107">
        <f>'明细表（成本模式）H7-2'!M42</f>
        <v>0</v>
      </c>
      <c r="E11" s="107">
        <f>'明细表（成本模式）H7-2'!I42</f>
        <v>0</v>
      </c>
      <c r="F11" s="107">
        <f>'明细表（成本模式）H7-2'!J42+'明细表（成本模式）H7-2'!K42-'明细表（成本模式）H7-2'!L42</f>
        <v>0</v>
      </c>
      <c r="G11" s="107">
        <f>'明细表（成本模式）H7-2'!P42</f>
        <v>0</v>
      </c>
      <c r="H11" s="108">
        <f t="shared" si="0"/>
        <v>0</v>
      </c>
      <c r="I11" s="109">
        <f t="shared" si="1"/>
        <v>0</v>
      </c>
    </row>
    <row r="12" spans="1:10" s="68" customFormat="1" ht="19.95" customHeight="1">
      <c r="A12" s="90" t="str">
        <f>底稿目录!A13</f>
        <v>……</v>
      </c>
      <c r="B12" s="107">
        <f>'明细表（成本模式）H7-2'!D43</f>
        <v>0</v>
      </c>
      <c r="C12" s="107">
        <f>'明细表（成本模式）H7-2'!J43</f>
        <v>0</v>
      </c>
      <c r="D12" s="107">
        <f>'明细表（成本模式）H7-2'!M43</f>
        <v>0</v>
      </c>
      <c r="E12" s="107">
        <f>'明细表（成本模式）H7-2'!I43</f>
        <v>0</v>
      </c>
      <c r="F12" s="107">
        <f>'明细表（成本模式）H7-2'!J43+'明细表（成本模式）H7-2'!K43-'明细表（成本模式）H7-2'!L43</f>
        <v>0</v>
      </c>
      <c r="G12" s="107">
        <f>'明细表（成本模式）H7-2'!P43</f>
        <v>0</v>
      </c>
      <c r="H12" s="108">
        <f t="shared" si="0"/>
        <v>0</v>
      </c>
      <c r="I12" s="109">
        <f t="shared" si="1"/>
        <v>0</v>
      </c>
    </row>
    <row r="13" spans="1:10" s="68" customFormat="1" ht="19.95" customHeight="1">
      <c r="A13" s="106" t="s">
        <v>86</v>
      </c>
      <c r="B13" s="107">
        <f>SUM(B8:B12)</f>
        <v>0</v>
      </c>
      <c r="C13" s="107">
        <f t="shared" ref="C13:G13" si="2">SUM(C8:C12)</f>
        <v>0</v>
      </c>
      <c r="D13" s="107">
        <f t="shared" si="2"/>
        <v>0</v>
      </c>
      <c r="E13" s="107">
        <f t="shared" si="2"/>
        <v>0</v>
      </c>
      <c r="F13" s="107">
        <f t="shared" si="2"/>
        <v>0</v>
      </c>
      <c r="G13" s="107">
        <f t="shared" si="2"/>
        <v>0</v>
      </c>
      <c r="H13" s="108">
        <f t="shared" si="0"/>
        <v>0</v>
      </c>
      <c r="I13" s="109">
        <f t="shared" si="1"/>
        <v>0</v>
      </c>
    </row>
    <row r="14" spans="1:10" s="68" customFormat="1" ht="19.95" customHeight="1">
      <c r="A14" s="235" t="s">
        <v>342</v>
      </c>
      <c r="B14" s="107"/>
      <c r="C14" s="107"/>
      <c r="D14" s="107"/>
      <c r="E14" s="107"/>
      <c r="F14" s="107"/>
      <c r="G14" s="107"/>
      <c r="H14" s="110"/>
      <c r="I14" s="111"/>
    </row>
    <row r="15" spans="1:10" s="68" customFormat="1" ht="19.95" customHeight="1">
      <c r="A15" s="271" t="str">
        <f>A8</f>
        <v>种植业</v>
      </c>
      <c r="B15" s="512">
        <f>'明细表（成本模式）H7-2'!Q39</f>
        <v>0</v>
      </c>
      <c r="C15" s="512">
        <f>'明细表（成本模式）H7-2'!W39</f>
        <v>0</v>
      </c>
      <c r="D15" s="512">
        <f>'明细表（成本模式）H7-2'!AB39</f>
        <v>0</v>
      </c>
      <c r="E15" s="512">
        <f>'明细表（成本模式）H7-2'!V39</f>
        <v>0</v>
      </c>
      <c r="F15" s="512">
        <f>'明细表（成本模式）H7-2'!W39+'明细表（成本模式）H7-2'!X39-'明细表（成本模式）H7-2'!Z39+'明细表（成本模式）H7-2'!Y39-'明细表（成本模式）H7-2'!AA39</f>
        <v>0</v>
      </c>
      <c r="G15" s="512">
        <f>'明细表（成本模式）H7-2'!AE39</f>
        <v>0</v>
      </c>
      <c r="H15" s="108">
        <f t="shared" ref="H15:H20" si="3">G15-D15</f>
        <v>0</v>
      </c>
      <c r="I15" s="109">
        <f t="shared" ref="I15:I20" si="4">IF(AND(D15=0,H15=0),0,IF(AND(D15=0,H15&gt;0),1,H15/D15))</f>
        <v>0</v>
      </c>
    </row>
    <row r="16" spans="1:10" s="68" customFormat="1" ht="19.95" customHeight="1">
      <c r="A16" s="271" t="str">
        <f>A9</f>
        <v>畜牧养殖业</v>
      </c>
      <c r="B16" s="512">
        <f>'明细表（成本模式）H7-2'!Q40</f>
        <v>0</v>
      </c>
      <c r="C16" s="512">
        <f>'明细表（成本模式）H7-2'!W40</f>
        <v>0</v>
      </c>
      <c r="D16" s="512">
        <f>'明细表（成本模式）H7-2'!AB40</f>
        <v>0</v>
      </c>
      <c r="E16" s="512">
        <f>'明细表（成本模式）H7-2'!V40</f>
        <v>0</v>
      </c>
      <c r="F16" s="512">
        <f>'明细表（成本模式）H7-2'!W40+'明细表（成本模式）H7-2'!X40-'明细表（成本模式）H7-2'!Z40+'明细表（成本模式）H7-2'!Y40-'明细表（成本模式）H7-2'!AA40</f>
        <v>0</v>
      </c>
      <c r="G16" s="512">
        <f>'明细表（成本模式）H7-2'!AE40</f>
        <v>0</v>
      </c>
      <c r="H16" s="108">
        <f t="shared" si="3"/>
        <v>0</v>
      </c>
      <c r="I16" s="109">
        <f t="shared" si="4"/>
        <v>0</v>
      </c>
    </row>
    <row r="17" spans="1:9" s="68" customFormat="1" ht="19.95" customHeight="1">
      <c r="A17" s="271" t="str">
        <f>A10</f>
        <v>林业</v>
      </c>
      <c r="B17" s="512">
        <f>'明细表（成本模式）H7-2'!Q41</f>
        <v>0</v>
      </c>
      <c r="C17" s="512">
        <f>'明细表（成本模式）H7-2'!W41</f>
        <v>0</v>
      </c>
      <c r="D17" s="512">
        <f>'明细表（成本模式）H7-2'!AB41</f>
        <v>0</v>
      </c>
      <c r="E17" s="512">
        <f>'明细表（成本模式）H7-2'!V41</f>
        <v>0</v>
      </c>
      <c r="F17" s="512">
        <f>'明细表（成本模式）H7-2'!W41+'明细表（成本模式）H7-2'!X41-'明细表（成本模式）H7-2'!Z41+'明细表（成本模式）H7-2'!Y41-'明细表（成本模式）H7-2'!AA41</f>
        <v>0</v>
      </c>
      <c r="G17" s="512">
        <f>'明细表（成本模式）H7-2'!AE41</f>
        <v>0</v>
      </c>
      <c r="H17" s="108">
        <f t="shared" si="3"/>
        <v>0</v>
      </c>
      <c r="I17" s="109">
        <f t="shared" si="4"/>
        <v>0</v>
      </c>
    </row>
    <row r="18" spans="1:9" s="68" customFormat="1" ht="19.95" customHeight="1">
      <c r="A18" s="271" t="str">
        <f>A11</f>
        <v>水产业</v>
      </c>
      <c r="B18" s="512">
        <f>'明细表（成本模式）H7-2'!Q42</f>
        <v>0</v>
      </c>
      <c r="C18" s="512">
        <f>'明细表（成本模式）H7-2'!W42</f>
        <v>0</v>
      </c>
      <c r="D18" s="512">
        <f>'明细表（成本模式）H7-2'!AB42</f>
        <v>0</v>
      </c>
      <c r="E18" s="512">
        <f>'明细表（成本模式）H7-2'!V42</f>
        <v>0</v>
      </c>
      <c r="F18" s="512">
        <f>'明细表（成本模式）H7-2'!W42+'明细表（成本模式）H7-2'!X42-'明细表（成本模式）H7-2'!Z42+'明细表（成本模式）H7-2'!Y42-'明细表（成本模式）H7-2'!AA42</f>
        <v>0</v>
      </c>
      <c r="G18" s="512">
        <f>'明细表（成本模式）H7-2'!AE42</f>
        <v>0</v>
      </c>
      <c r="H18" s="108">
        <f t="shared" si="3"/>
        <v>0</v>
      </c>
      <c r="I18" s="109">
        <f t="shared" si="4"/>
        <v>0</v>
      </c>
    </row>
    <row r="19" spans="1:9" s="68" customFormat="1" ht="19.95" customHeight="1">
      <c r="A19" s="271" t="str">
        <f>A12</f>
        <v>……</v>
      </c>
      <c r="B19" s="512">
        <f>'明细表（成本模式）H7-2'!Q43</f>
        <v>0</v>
      </c>
      <c r="C19" s="512">
        <f>'明细表（成本模式）H7-2'!W43</f>
        <v>0</v>
      </c>
      <c r="D19" s="512">
        <f>'明细表（成本模式）H7-2'!AB43</f>
        <v>0</v>
      </c>
      <c r="E19" s="512">
        <f>'明细表（成本模式）H7-2'!V43</f>
        <v>0</v>
      </c>
      <c r="F19" s="512">
        <f>'明细表（成本模式）H7-2'!W43+'明细表（成本模式）H7-2'!X43-'明细表（成本模式）H7-2'!Z43+'明细表（成本模式）H7-2'!Y43-'明细表（成本模式）H7-2'!AA43</f>
        <v>0</v>
      </c>
      <c r="G19" s="512">
        <f>'明细表（成本模式）H7-2'!AE43</f>
        <v>0</v>
      </c>
      <c r="H19" s="108">
        <f t="shared" si="3"/>
        <v>0</v>
      </c>
      <c r="I19" s="109">
        <f t="shared" si="4"/>
        <v>0</v>
      </c>
    </row>
    <row r="20" spans="1:9" s="68" customFormat="1" ht="19.95" customHeight="1">
      <c r="A20" s="106" t="s">
        <v>86</v>
      </c>
      <c r="B20" s="512">
        <f>SUM(B15:B19)</f>
        <v>0</v>
      </c>
      <c r="C20" s="512">
        <f t="shared" ref="C20" si="5">SUM(C15:C19)</f>
        <v>0</v>
      </c>
      <c r="D20" s="512">
        <f t="shared" ref="D20:F20" si="6">SUM(D15:D19)</f>
        <v>0</v>
      </c>
      <c r="E20" s="512">
        <f t="shared" si="6"/>
        <v>0</v>
      </c>
      <c r="F20" s="512">
        <f t="shared" si="6"/>
        <v>0</v>
      </c>
      <c r="G20" s="512">
        <f t="shared" ref="G20" si="7">SUM(G15:G19)</f>
        <v>0</v>
      </c>
      <c r="H20" s="108">
        <f t="shared" si="3"/>
        <v>0</v>
      </c>
      <c r="I20" s="109">
        <f t="shared" si="4"/>
        <v>0</v>
      </c>
    </row>
    <row r="21" spans="1:9" s="68" customFormat="1" ht="19.95" customHeight="1">
      <c r="A21" s="235" t="s">
        <v>343</v>
      </c>
      <c r="B21" s="512"/>
      <c r="C21" s="512"/>
      <c r="D21" s="512"/>
      <c r="E21" s="512"/>
      <c r="F21" s="512"/>
      <c r="G21" s="512"/>
      <c r="H21" s="110"/>
      <c r="I21" s="109"/>
    </row>
    <row r="22" spans="1:9" s="68" customFormat="1" ht="19.95" customHeight="1">
      <c r="A22" s="90" t="str">
        <f>A15</f>
        <v>种植业</v>
      </c>
      <c r="B22" s="512">
        <f>'明细表（成本模式）H7-2'!AF39</f>
        <v>0</v>
      </c>
      <c r="C22" s="512">
        <f>'明细表（成本模式）H7-2'!AL39</f>
        <v>0</v>
      </c>
      <c r="D22" s="512">
        <f>'明细表（成本模式）H7-2'!AQ39</f>
        <v>0</v>
      </c>
      <c r="E22" s="512">
        <f>'明细表（成本模式）H7-2'!AK39</f>
        <v>0</v>
      </c>
      <c r="F22" s="512">
        <f>'明细表（成本模式）H7-2'!AL39+'明细表（成本模式）H7-2'!AM39-'明细表（成本模式）H7-2'!AP39+'明细表（成本模式）H7-2'!AN39-'明细表（成本模式）H7-2'!AO39</f>
        <v>0</v>
      </c>
      <c r="G22" s="512">
        <f>'明细表（成本模式）H7-2'!AT39</f>
        <v>0</v>
      </c>
      <c r="H22" s="108">
        <f t="shared" ref="H22:H27" si="8">G22-D22</f>
        <v>0</v>
      </c>
      <c r="I22" s="109">
        <f t="shared" ref="I22:I27" si="9">IF(AND(D22=0,H22=0),0,IF(AND(D22=0,H22&gt;0),1,H22/D22))</f>
        <v>0</v>
      </c>
    </row>
    <row r="23" spans="1:9" s="68" customFormat="1" ht="19.95" customHeight="1">
      <c r="A23" s="90" t="str">
        <f>A16</f>
        <v>畜牧养殖业</v>
      </c>
      <c r="B23" s="512">
        <f>'明细表（成本模式）H7-2'!AF40</f>
        <v>0</v>
      </c>
      <c r="C23" s="512">
        <f>'明细表（成本模式）H7-2'!AL40</f>
        <v>0</v>
      </c>
      <c r="D23" s="512">
        <f>'明细表（成本模式）H7-2'!AQ40</f>
        <v>0</v>
      </c>
      <c r="E23" s="512">
        <f>'明细表（成本模式）H7-2'!AK40</f>
        <v>0</v>
      </c>
      <c r="F23" s="512">
        <f>'明细表（成本模式）H7-2'!AL40+'明细表（成本模式）H7-2'!AM40-'明细表（成本模式）H7-2'!AP40+'明细表（成本模式）H7-2'!AN40-'明细表（成本模式）H7-2'!AO40</f>
        <v>0</v>
      </c>
      <c r="G23" s="512">
        <f>'明细表（成本模式）H7-2'!AT40</f>
        <v>0</v>
      </c>
      <c r="H23" s="108">
        <f t="shared" si="8"/>
        <v>0</v>
      </c>
      <c r="I23" s="109">
        <f t="shared" si="9"/>
        <v>0</v>
      </c>
    </row>
    <row r="24" spans="1:9" s="68" customFormat="1" ht="19.95" customHeight="1">
      <c r="A24" s="90" t="str">
        <f>A17</f>
        <v>林业</v>
      </c>
      <c r="B24" s="512">
        <f>'明细表（成本模式）H7-2'!AF41</f>
        <v>0</v>
      </c>
      <c r="C24" s="512">
        <f>'明细表（成本模式）H7-2'!AL41</f>
        <v>0</v>
      </c>
      <c r="D24" s="512">
        <f>'明细表（成本模式）H7-2'!AQ41</f>
        <v>0</v>
      </c>
      <c r="E24" s="512">
        <f>'明细表（成本模式）H7-2'!AK41</f>
        <v>0</v>
      </c>
      <c r="F24" s="512">
        <f>'明细表（成本模式）H7-2'!AL41+'明细表（成本模式）H7-2'!AM41-'明细表（成本模式）H7-2'!AP41+'明细表（成本模式）H7-2'!AN41-'明细表（成本模式）H7-2'!AO41</f>
        <v>0</v>
      </c>
      <c r="G24" s="512">
        <f>'明细表（成本模式）H7-2'!AT41</f>
        <v>0</v>
      </c>
      <c r="H24" s="108">
        <f t="shared" si="8"/>
        <v>0</v>
      </c>
      <c r="I24" s="109">
        <f t="shared" si="9"/>
        <v>0</v>
      </c>
    </row>
    <row r="25" spans="1:9" s="68" customFormat="1" ht="19.95" customHeight="1">
      <c r="A25" s="90" t="str">
        <f>A18</f>
        <v>水产业</v>
      </c>
      <c r="B25" s="512">
        <f>'明细表（成本模式）H7-2'!AF42</f>
        <v>0</v>
      </c>
      <c r="C25" s="512">
        <f>'明细表（成本模式）H7-2'!AL42</f>
        <v>0</v>
      </c>
      <c r="D25" s="512">
        <f>'明细表（成本模式）H7-2'!AQ42</f>
        <v>0</v>
      </c>
      <c r="E25" s="512">
        <f>'明细表（成本模式）H7-2'!AK42</f>
        <v>0</v>
      </c>
      <c r="F25" s="512">
        <f>'明细表（成本模式）H7-2'!AL42+'明细表（成本模式）H7-2'!AM42-'明细表（成本模式）H7-2'!AP42+'明细表（成本模式）H7-2'!AN42-'明细表（成本模式）H7-2'!AO42</f>
        <v>0</v>
      </c>
      <c r="G25" s="512">
        <f>'明细表（成本模式）H7-2'!AT42</f>
        <v>0</v>
      </c>
      <c r="H25" s="108">
        <f t="shared" si="8"/>
        <v>0</v>
      </c>
      <c r="I25" s="109">
        <f t="shared" si="9"/>
        <v>0</v>
      </c>
    </row>
    <row r="26" spans="1:9" s="68" customFormat="1" ht="19.95" customHeight="1">
      <c r="A26" s="90" t="str">
        <f>A19</f>
        <v>……</v>
      </c>
      <c r="B26" s="512">
        <f>'明细表（成本模式）H7-2'!AF43</f>
        <v>0</v>
      </c>
      <c r="C26" s="512">
        <f>'明细表（成本模式）H7-2'!AL43</f>
        <v>0</v>
      </c>
      <c r="D26" s="512">
        <f>'明细表（成本模式）H7-2'!AQ43</f>
        <v>0</v>
      </c>
      <c r="E26" s="512">
        <f>'明细表（成本模式）H7-2'!AK43</f>
        <v>0</v>
      </c>
      <c r="F26" s="512">
        <f>'明细表（成本模式）H7-2'!AL43+'明细表（成本模式）H7-2'!AM43-'明细表（成本模式）H7-2'!AP43+'明细表（成本模式）H7-2'!AN43-'明细表（成本模式）H7-2'!AO43</f>
        <v>0</v>
      </c>
      <c r="G26" s="512">
        <f>'明细表（成本模式）H7-2'!AT43</f>
        <v>0</v>
      </c>
      <c r="H26" s="108">
        <f t="shared" si="8"/>
        <v>0</v>
      </c>
      <c r="I26" s="109">
        <f t="shared" si="9"/>
        <v>0</v>
      </c>
    </row>
    <row r="27" spans="1:9" s="68" customFormat="1" ht="19.95" customHeight="1">
      <c r="A27" s="106" t="s">
        <v>86</v>
      </c>
      <c r="B27" s="512">
        <f>SUM(B22:B26)</f>
        <v>0</v>
      </c>
      <c r="C27" s="512">
        <f t="shared" ref="C27" si="10">SUM(C22:C26)</f>
        <v>0</v>
      </c>
      <c r="D27" s="512">
        <f t="shared" ref="D27" si="11">SUM(D22:D26)</f>
        <v>0</v>
      </c>
      <c r="E27" s="512">
        <f t="shared" ref="E27" si="12">SUM(E22:E26)</f>
        <v>0</v>
      </c>
      <c r="F27" s="512">
        <f t="shared" ref="F27" si="13">SUM(F22:F26)</f>
        <v>0</v>
      </c>
      <c r="G27" s="512">
        <f t="shared" ref="G27" si="14">SUM(G22:G26)</f>
        <v>0</v>
      </c>
      <c r="H27" s="108">
        <f t="shared" si="8"/>
        <v>0</v>
      </c>
      <c r="I27" s="109">
        <f t="shared" si="9"/>
        <v>0</v>
      </c>
    </row>
    <row r="28" spans="1:9" s="68" customFormat="1" ht="19.95" customHeight="1">
      <c r="A28" s="235" t="s">
        <v>358</v>
      </c>
      <c r="B28" s="107"/>
      <c r="C28" s="107"/>
      <c r="D28" s="107"/>
      <c r="E28" s="107"/>
      <c r="F28" s="107"/>
      <c r="G28" s="107"/>
      <c r="H28" s="108"/>
      <c r="I28" s="109"/>
    </row>
    <row r="29" spans="1:9" s="68" customFormat="1" ht="19.95" customHeight="1">
      <c r="A29" s="90" t="str">
        <f>A22</f>
        <v>种植业</v>
      </c>
      <c r="B29" s="107">
        <f>B8-B15-B22</f>
        <v>0</v>
      </c>
      <c r="C29" s="107">
        <f t="shared" ref="C29:G29" si="15">C8-C15-C22</f>
        <v>0</v>
      </c>
      <c r="D29" s="107">
        <f t="shared" si="15"/>
        <v>0</v>
      </c>
      <c r="E29" s="107">
        <f t="shared" si="15"/>
        <v>0</v>
      </c>
      <c r="F29" s="107">
        <f t="shared" si="15"/>
        <v>0</v>
      </c>
      <c r="G29" s="107">
        <f t="shared" si="15"/>
        <v>0</v>
      </c>
      <c r="H29" s="108">
        <f t="shared" ref="H29:H34" si="16">G29-D29</f>
        <v>0</v>
      </c>
      <c r="I29" s="109">
        <f t="shared" ref="I29:I34" si="17">IF(AND(D29=0,H29=0),0,IF(AND(D29=0,H29&gt;0),1,H29/D29))</f>
        <v>0</v>
      </c>
    </row>
    <row r="30" spans="1:9" s="68" customFormat="1" ht="19.95" customHeight="1">
      <c r="A30" s="90" t="str">
        <f>A23</f>
        <v>畜牧养殖业</v>
      </c>
      <c r="B30" s="107">
        <f t="shared" ref="B30:G33" si="18">B9-B16-B23</f>
        <v>0</v>
      </c>
      <c r="C30" s="107">
        <f>C9-C16-C23</f>
        <v>0</v>
      </c>
      <c r="D30" s="107">
        <f t="shared" si="18"/>
        <v>0</v>
      </c>
      <c r="E30" s="107">
        <f t="shared" si="18"/>
        <v>0</v>
      </c>
      <c r="F30" s="107">
        <f t="shared" si="18"/>
        <v>0</v>
      </c>
      <c r="G30" s="107">
        <f t="shared" si="18"/>
        <v>0</v>
      </c>
      <c r="H30" s="108">
        <f t="shared" si="16"/>
        <v>0</v>
      </c>
      <c r="I30" s="109">
        <f t="shared" si="17"/>
        <v>0</v>
      </c>
    </row>
    <row r="31" spans="1:9" s="68" customFormat="1" ht="19.95" customHeight="1">
      <c r="A31" s="90" t="str">
        <f>A24</f>
        <v>林业</v>
      </c>
      <c r="B31" s="107">
        <f t="shared" si="18"/>
        <v>0</v>
      </c>
      <c r="C31" s="107">
        <f t="shared" si="18"/>
        <v>0</v>
      </c>
      <c r="D31" s="107">
        <f t="shared" si="18"/>
        <v>0</v>
      </c>
      <c r="E31" s="107">
        <f t="shared" si="18"/>
        <v>0</v>
      </c>
      <c r="F31" s="107">
        <f t="shared" si="18"/>
        <v>0</v>
      </c>
      <c r="G31" s="107">
        <f t="shared" si="18"/>
        <v>0</v>
      </c>
      <c r="H31" s="108">
        <f t="shared" si="16"/>
        <v>0</v>
      </c>
      <c r="I31" s="109">
        <f t="shared" si="17"/>
        <v>0</v>
      </c>
    </row>
    <row r="32" spans="1:9" s="68" customFormat="1" ht="19.95" customHeight="1">
      <c r="A32" s="90" t="str">
        <f>A25</f>
        <v>水产业</v>
      </c>
      <c r="B32" s="107">
        <f t="shared" si="18"/>
        <v>0</v>
      </c>
      <c r="C32" s="107">
        <f t="shared" si="18"/>
        <v>0</v>
      </c>
      <c r="D32" s="107">
        <f t="shared" si="18"/>
        <v>0</v>
      </c>
      <c r="E32" s="107">
        <f t="shared" si="18"/>
        <v>0</v>
      </c>
      <c r="F32" s="107">
        <f t="shared" si="18"/>
        <v>0</v>
      </c>
      <c r="G32" s="107">
        <f t="shared" si="18"/>
        <v>0</v>
      </c>
      <c r="H32" s="108">
        <f t="shared" si="16"/>
        <v>0</v>
      </c>
      <c r="I32" s="109">
        <f t="shared" si="17"/>
        <v>0</v>
      </c>
    </row>
    <row r="33" spans="1:9" s="68" customFormat="1" ht="19.95" customHeight="1">
      <c r="A33" s="90" t="str">
        <f>A26</f>
        <v>……</v>
      </c>
      <c r="B33" s="107">
        <f t="shared" si="18"/>
        <v>0</v>
      </c>
      <c r="C33" s="107">
        <f t="shared" si="18"/>
        <v>0</v>
      </c>
      <c r="D33" s="107">
        <f t="shared" si="18"/>
        <v>0</v>
      </c>
      <c r="E33" s="107">
        <f t="shared" si="18"/>
        <v>0</v>
      </c>
      <c r="F33" s="107">
        <f t="shared" si="18"/>
        <v>0</v>
      </c>
      <c r="G33" s="107">
        <f t="shared" si="18"/>
        <v>0</v>
      </c>
      <c r="H33" s="108">
        <f t="shared" si="16"/>
        <v>0</v>
      </c>
      <c r="I33" s="109">
        <f t="shared" si="17"/>
        <v>0</v>
      </c>
    </row>
    <row r="34" spans="1:9" s="68" customFormat="1" ht="19.95" customHeight="1">
      <c r="A34" s="106" t="s">
        <v>359</v>
      </c>
      <c r="B34" s="107">
        <f>SUM(B29:B33)</f>
        <v>0</v>
      </c>
      <c r="C34" s="107">
        <f t="shared" ref="C34" si="19">SUM(C29:C33)</f>
        <v>0</v>
      </c>
      <c r="D34" s="107">
        <f t="shared" ref="D34" si="20">SUM(D29:D33)</f>
        <v>0</v>
      </c>
      <c r="E34" s="107">
        <f t="shared" ref="E34" si="21">SUM(E29:E33)</f>
        <v>0</v>
      </c>
      <c r="F34" s="107">
        <f t="shared" ref="F34" si="22">SUM(F29:F33)</f>
        <v>0</v>
      </c>
      <c r="G34" s="107">
        <f t="shared" ref="G34" si="23">SUM(G29:G33)</f>
        <v>0</v>
      </c>
      <c r="H34" s="108">
        <f t="shared" si="16"/>
        <v>0</v>
      </c>
      <c r="I34" s="109">
        <f t="shared" si="17"/>
        <v>0</v>
      </c>
    </row>
    <row r="35" spans="1:9" ht="19.95" customHeight="1">
      <c r="A35" s="272" t="s">
        <v>1077</v>
      </c>
      <c r="B35" s="72"/>
      <c r="C35" s="72"/>
      <c r="D35" s="72"/>
      <c r="E35" s="72"/>
      <c r="F35" s="72"/>
      <c r="G35" s="72"/>
      <c r="H35" s="72"/>
      <c r="I35" s="72"/>
    </row>
    <row r="36" spans="1:9" ht="19.95" customHeight="1">
      <c r="A36" s="273" t="s">
        <v>1078</v>
      </c>
      <c r="D36" s="73"/>
    </row>
    <row r="37" spans="1:9" ht="19.95" customHeight="1">
      <c r="A37" s="273" t="s">
        <v>1079</v>
      </c>
    </row>
    <row r="39" spans="1:9" ht="19.95" customHeight="1">
      <c r="A39" s="1" t="s">
        <v>1080</v>
      </c>
    </row>
    <row r="41" spans="1:9" ht="19.95" customHeight="1">
      <c r="A41" s="120" t="s">
        <v>1081</v>
      </c>
    </row>
    <row r="43" spans="1:9" ht="19.95" customHeight="1">
      <c r="A43" s="1" t="s">
        <v>1082</v>
      </c>
    </row>
    <row r="46" spans="1:9" ht="19.95" customHeight="1">
      <c r="A46" s="1" t="s">
        <v>1083</v>
      </c>
      <c r="B46" s="116"/>
      <c r="C46" s="116"/>
    </row>
    <row r="47" spans="1:9" ht="19.95" customHeight="1">
      <c r="A47" s="117"/>
      <c r="B47" s="118" t="s">
        <v>1075</v>
      </c>
      <c r="C47" s="118" t="s">
        <v>1076</v>
      </c>
    </row>
    <row r="48" spans="1:9" ht="19.95" customHeight="1">
      <c r="A48" s="117" t="s">
        <v>1084</v>
      </c>
      <c r="B48" s="220">
        <f>G34</f>
        <v>0</v>
      </c>
      <c r="C48" s="220">
        <f>D34</f>
        <v>0</v>
      </c>
    </row>
    <row r="49" spans="1:3" ht="19.95" customHeight="1">
      <c r="A49" s="117" t="s">
        <v>1085</v>
      </c>
      <c r="B49" s="119"/>
      <c r="C49" s="119"/>
    </row>
    <row r="50" spans="1:3" ht="19.95" customHeight="1">
      <c r="A50" s="117" t="s">
        <v>1086</v>
      </c>
      <c r="B50" s="492">
        <f>B48-B49</f>
        <v>0</v>
      </c>
      <c r="C50" s="492">
        <f>C48-C49</f>
        <v>0</v>
      </c>
    </row>
    <row r="52" spans="1:3" ht="19.95" customHeight="1">
      <c r="A52" s="4" t="s">
        <v>1087</v>
      </c>
    </row>
    <row r="56" spans="1:3" s="5" customFormat="1" ht="19.95" customHeight="1">
      <c r="A56" s="454"/>
    </row>
    <row r="57" spans="1:3" s="5" customFormat="1" ht="19.95" customHeight="1">
      <c r="A57" s="105"/>
    </row>
    <row r="58" spans="1:3" s="5" customFormat="1" ht="19.95" customHeight="1"/>
    <row r="59" spans="1:3" s="5" customFormat="1" ht="19.95" customHeight="1"/>
    <row r="60" spans="1:3" s="5" customFormat="1" ht="19.95" customHeight="1"/>
    <row r="61" spans="1:3" s="5" customFormat="1" ht="19.95" customHeight="1"/>
    <row r="62" spans="1:3" s="5" customFormat="1" ht="19.95" customHeight="1"/>
    <row r="63" spans="1:3" s="5" customFormat="1" ht="19.95" customHeight="1">
      <c r="A63" s="274"/>
    </row>
    <row r="64" spans="1:3" s="5" customFormat="1" ht="19.95" customHeight="1"/>
    <row r="65" spans="1:2" s="5" customFormat="1" ht="19.95" customHeight="1"/>
    <row r="66" spans="1:2" ht="19.95" customHeight="1">
      <c r="A66" s="5"/>
    </row>
    <row r="67" spans="1:2" ht="19.95" customHeight="1">
      <c r="A67" s="5"/>
    </row>
    <row r="68" spans="1:2" ht="19.95" customHeight="1">
      <c r="A68" s="5"/>
    </row>
    <row r="69" spans="1:2" ht="19.95" customHeight="1">
      <c r="A69" s="5"/>
    </row>
    <row r="70" spans="1:2" ht="19.95" customHeight="1">
      <c r="A70" s="5"/>
    </row>
    <row r="72" spans="1:2" ht="19.95" customHeight="1">
      <c r="A72" s="5"/>
    </row>
    <row r="73" spans="1:2" ht="19.95" customHeight="1">
      <c r="A73" s="274"/>
    </row>
    <row r="74" spans="1:2" ht="19.95" customHeight="1">
      <c r="A74" s="275"/>
      <c r="B74" s="5"/>
    </row>
    <row r="75" spans="1:2" ht="19.95" customHeight="1">
      <c r="A75" s="275"/>
      <c r="B75" s="5"/>
    </row>
    <row r="76" spans="1:2" ht="19.95" customHeight="1">
      <c r="A76" s="275"/>
      <c r="B76" s="5"/>
    </row>
  </sheetData>
  <mergeCells count="6">
    <mergeCell ref="H5:I5"/>
    <mergeCell ref="A1:I1"/>
    <mergeCell ref="A2:I2"/>
    <mergeCell ref="A5:A6"/>
    <mergeCell ref="B5:D5"/>
    <mergeCell ref="E5:G5"/>
  </mergeCells>
  <phoneticPr fontId="10" type="noConversion"/>
  <conditionalFormatting sqref="B50:C50">
    <cfRule type="cellIs" dxfId="1" priority="1" operator="greaterThan">
      <formula>0</formula>
    </cfRule>
  </conditionalFormatting>
  <hyperlinks>
    <hyperlink ref="I3" location="底稿目录!A1" display="H7A"/>
  </hyperlinks>
  <printOptions horizontalCentered="1"/>
  <pageMargins left="0.82677165354330717" right="0.35433070866141736" top="0.59055118110236227" bottom="0.43307086614173229" header="0.51181102362204722" footer="0.27559055118110237"/>
  <pageSetup paperSize="9" scale="76" orientation="portrait" blackAndWhite="1" r:id="rId1"/>
  <headerFooter alignWithMargins="0">
    <oddFooter>&amp;C&amp;P/&amp;N</oddFooter>
  </headerFooter>
  <rowBreaks count="1" manualBreakCount="1">
    <brk id="27" max="1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78"/>
  <sheetViews>
    <sheetView view="pageBreakPreview" zoomScaleNormal="100" zoomScaleSheetLayoutView="100" workbookViewId="0">
      <pane ySplit="6" topLeftCell="A7" activePane="bottomLeft" state="frozen"/>
      <selection activeCell="A14" sqref="A14:B14"/>
      <selection pane="bottomLeft" sqref="A1:I1"/>
    </sheetView>
  </sheetViews>
  <sheetFormatPr defaultRowHeight="19.95" customHeight="1"/>
  <cols>
    <col min="1" max="1" width="20.3984375" style="28" customWidth="1"/>
    <col min="2" max="16384" width="8.796875" style="28"/>
  </cols>
  <sheetData>
    <row r="1" spans="1:10" s="29" customFormat="1" ht="19.95" customHeight="1">
      <c r="A1" s="636" t="s">
        <v>0</v>
      </c>
      <c r="B1" s="636"/>
      <c r="C1" s="636"/>
      <c r="D1" s="636"/>
      <c r="E1" s="636"/>
      <c r="F1" s="636"/>
      <c r="G1" s="636"/>
      <c r="H1" s="636"/>
      <c r="I1" s="636"/>
    </row>
    <row r="2" spans="1:10" ht="19.95" customHeight="1">
      <c r="A2" s="637" t="s">
        <v>151</v>
      </c>
      <c r="B2" s="637"/>
      <c r="C2" s="637"/>
      <c r="D2" s="637"/>
      <c r="E2" s="637"/>
      <c r="F2" s="637"/>
      <c r="G2" s="637"/>
      <c r="H2" s="637"/>
      <c r="I2" s="637"/>
      <c r="J2" s="346"/>
    </row>
    <row r="3" spans="1:10" ht="19.95" customHeight="1">
      <c r="A3" s="3" t="str">
        <f>底稿目录!A2</f>
        <v>被审计单位：</v>
      </c>
      <c r="B3" s="3"/>
      <c r="C3" s="3"/>
      <c r="D3" s="3" t="str">
        <f>底稿目录!A4</f>
        <v>编制人：</v>
      </c>
      <c r="E3" s="1"/>
      <c r="F3" s="3" t="str">
        <f>底稿目录!A6</f>
        <v>编制日期：</v>
      </c>
      <c r="H3" s="432" t="s">
        <v>1011</v>
      </c>
      <c r="I3" s="252" t="s">
        <v>253</v>
      </c>
    </row>
    <row r="4" spans="1:10" ht="19.95" customHeight="1">
      <c r="A4" s="3" t="str">
        <f>底稿目录!A3</f>
        <v>截止日：</v>
      </c>
      <c r="B4" s="3"/>
      <c r="C4" s="3"/>
      <c r="D4" s="3" t="str">
        <f>底稿目录!A5</f>
        <v>复核人：</v>
      </c>
      <c r="E4" s="1"/>
      <c r="F4" s="3" t="str">
        <f>底稿目录!A7</f>
        <v>复核日期：</v>
      </c>
      <c r="H4" s="432" t="s">
        <v>1012</v>
      </c>
      <c r="I4" s="265"/>
    </row>
    <row r="5" spans="1:10" ht="27.6" customHeight="1">
      <c r="A5" s="638" t="s">
        <v>85</v>
      </c>
      <c r="B5" s="633" t="s">
        <v>365</v>
      </c>
      <c r="C5" s="634"/>
      <c r="D5" s="635"/>
      <c r="E5" s="633" t="s">
        <v>366</v>
      </c>
      <c r="F5" s="634"/>
      <c r="G5" s="635"/>
      <c r="H5" s="640" t="s">
        <v>367</v>
      </c>
      <c r="I5" s="641"/>
    </row>
    <row r="6" spans="1:10" ht="19.95" customHeight="1">
      <c r="A6" s="639"/>
      <c r="B6" s="221" t="s">
        <v>231</v>
      </c>
      <c r="C6" s="221" t="s">
        <v>233</v>
      </c>
      <c r="D6" s="221" t="s">
        <v>368</v>
      </c>
      <c r="E6" s="221" t="s">
        <v>369</v>
      </c>
      <c r="F6" s="221" t="s">
        <v>233</v>
      </c>
      <c r="G6" s="221" t="s">
        <v>232</v>
      </c>
      <c r="H6" s="222" t="s">
        <v>370</v>
      </c>
      <c r="I6" s="223" t="s">
        <v>371</v>
      </c>
    </row>
    <row r="7" spans="1:10" ht="19.95" customHeight="1">
      <c r="A7" s="235" t="s">
        <v>341</v>
      </c>
      <c r="B7" s="512"/>
      <c r="C7" s="512"/>
      <c r="D7" s="512"/>
      <c r="E7" s="512"/>
      <c r="F7" s="512"/>
      <c r="G7" s="512"/>
      <c r="H7" s="513"/>
      <c r="I7" s="514"/>
    </row>
    <row r="8" spans="1:10" ht="19.95" customHeight="1">
      <c r="A8" s="90" t="str">
        <f>底稿目录!A9</f>
        <v>种植业</v>
      </c>
      <c r="B8" s="512">
        <f>'明细表（公允价值模式）H7-2'!D39</f>
        <v>0</v>
      </c>
      <c r="C8" s="512">
        <f>'明细表（公允价值模式）H7-2'!J39</f>
        <v>0</v>
      </c>
      <c r="D8" s="512">
        <f>'明细表（公允价值模式）H7-2'!M39</f>
        <v>0</v>
      </c>
      <c r="E8" s="512">
        <f>'明细表（公允价值模式）H7-2'!I39</f>
        <v>0</v>
      </c>
      <c r="F8" s="512">
        <f>'明细表（公允价值模式）H7-2'!J39+'明细表（公允价值模式）H7-2'!K39-'明细表（公允价值模式）H7-2'!L39</f>
        <v>0</v>
      </c>
      <c r="G8" s="512">
        <f>'明细表（公允价值模式）H7-2'!P39</f>
        <v>0</v>
      </c>
      <c r="H8" s="513">
        <f t="shared" ref="H8:H13" si="0">G8-D8</f>
        <v>0</v>
      </c>
      <c r="I8" s="514">
        <f t="shared" ref="I8:I13" si="1">IF(AND(D8=0,H8=0),0,IF(AND(D8=0,H8&gt;0),1,H8/D8))</f>
        <v>0</v>
      </c>
    </row>
    <row r="9" spans="1:10" ht="19.95" customHeight="1">
      <c r="A9" s="90" t="str">
        <f>底稿目录!A10</f>
        <v>畜牧养殖业</v>
      </c>
      <c r="B9" s="512">
        <f>'明细表（公允价值模式）H7-2'!D40</f>
        <v>0</v>
      </c>
      <c r="C9" s="512">
        <f>'明细表（公允价值模式）H7-2'!J40</f>
        <v>0</v>
      </c>
      <c r="D9" s="512">
        <f>'明细表（公允价值模式）H7-2'!M40</f>
        <v>0</v>
      </c>
      <c r="E9" s="512">
        <f>'明细表（公允价值模式）H7-2'!I40</f>
        <v>0</v>
      </c>
      <c r="F9" s="512">
        <f>'明细表（公允价值模式）H7-2'!J40+'明细表（公允价值模式）H7-2'!K40-'明细表（公允价值模式）H7-2'!L40</f>
        <v>0</v>
      </c>
      <c r="G9" s="512">
        <f>'明细表（公允价值模式）H7-2'!P40</f>
        <v>0</v>
      </c>
      <c r="H9" s="513">
        <f t="shared" si="0"/>
        <v>0</v>
      </c>
      <c r="I9" s="514">
        <f t="shared" si="1"/>
        <v>0</v>
      </c>
    </row>
    <row r="10" spans="1:10" ht="19.95" customHeight="1">
      <c r="A10" s="90" t="str">
        <f>底稿目录!A11</f>
        <v>林业</v>
      </c>
      <c r="B10" s="512">
        <f>'明细表（公允价值模式）H7-2'!D41</f>
        <v>0</v>
      </c>
      <c r="C10" s="512">
        <f>'明细表（公允价值模式）H7-2'!J41</f>
        <v>0</v>
      </c>
      <c r="D10" s="512">
        <f>'明细表（公允价值模式）H7-2'!M41</f>
        <v>0</v>
      </c>
      <c r="E10" s="512">
        <f>'明细表（公允价值模式）H7-2'!I41</f>
        <v>0</v>
      </c>
      <c r="F10" s="512">
        <f>'明细表（公允价值模式）H7-2'!J41+'明细表（公允价值模式）H7-2'!K41-'明细表（公允价值模式）H7-2'!L41</f>
        <v>0</v>
      </c>
      <c r="G10" s="512">
        <f>'明细表（公允价值模式）H7-2'!P41</f>
        <v>0</v>
      </c>
      <c r="H10" s="513">
        <f t="shared" si="0"/>
        <v>0</v>
      </c>
      <c r="I10" s="514">
        <f t="shared" si="1"/>
        <v>0</v>
      </c>
    </row>
    <row r="11" spans="1:10" ht="19.95" customHeight="1">
      <c r="A11" s="90" t="str">
        <f>底稿目录!A12</f>
        <v>水产业</v>
      </c>
      <c r="B11" s="512">
        <f>'明细表（公允价值模式）H7-2'!D42</f>
        <v>0</v>
      </c>
      <c r="C11" s="512">
        <f>'明细表（公允价值模式）H7-2'!J42</f>
        <v>0</v>
      </c>
      <c r="D11" s="512">
        <f>'明细表（公允价值模式）H7-2'!M42</f>
        <v>0</v>
      </c>
      <c r="E11" s="512">
        <f>'明细表（公允价值模式）H7-2'!I42</f>
        <v>0</v>
      </c>
      <c r="F11" s="512">
        <f>'明细表（公允价值模式）H7-2'!J42+'明细表（公允价值模式）H7-2'!K42-'明细表（公允价值模式）H7-2'!L42</f>
        <v>0</v>
      </c>
      <c r="G11" s="512">
        <f>'明细表（公允价值模式）H7-2'!P42</f>
        <v>0</v>
      </c>
      <c r="H11" s="513">
        <f t="shared" si="0"/>
        <v>0</v>
      </c>
      <c r="I11" s="514">
        <f t="shared" si="1"/>
        <v>0</v>
      </c>
    </row>
    <row r="12" spans="1:10" ht="19.95" customHeight="1">
      <c r="A12" s="90" t="str">
        <f>底稿目录!A13</f>
        <v>……</v>
      </c>
      <c r="B12" s="512">
        <f>'明细表（公允价值模式）H7-2'!D43</f>
        <v>0</v>
      </c>
      <c r="C12" s="512">
        <f>'明细表（公允价值模式）H7-2'!J43</f>
        <v>0</v>
      </c>
      <c r="D12" s="512">
        <f>'明细表（公允价值模式）H7-2'!M43</f>
        <v>0</v>
      </c>
      <c r="E12" s="512">
        <f>'明细表（公允价值模式）H7-2'!I43</f>
        <v>0</v>
      </c>
      <c r="F12" s="512">
        <f>'明细表（公允价值模式）H7-2'!J43+'明细表（公允价值模式）H7-2'!K43-'明细表（公允价值模式）H7-2'!L43</f>
        <v>0</v>
      </c>
      <c r="G12" s="512">
        <f>'明细表（公允价值模式）H7-2'!P43</f>
        <v>0</v>
      </c>
      <c r="H12" s="513">
        <f t="shared" si="0"/>
        <v>0</v>
      </c>
      <c r="I12" s="514">
        <f t="shared" si="1"/>
        <v>0</v>
      </c>
    </row>
    <row r="13" spans="1:10" ht="19.95" customHeight="1">
      <c r="A13" s="106" t="s">
        <v>86</v>
      </c>
      <c r="B13" s="512">
        <f>SUM(B8:B12)</f>
        <v>0</v>
      </c>
      <c r="C13" s="512">
        <f t="shared" ref="C13:E13" si="2">SUM(C8:C12)</f>
        <v>0</v>
      </c>
      <c r="D13" s="512">
        <f t="shared" si="2"/>
        <v>0</v>
      </c>
      <c r="E13" s="512">
        <f t="shared" si="2"/>
        <v>0</v>
      </c>
      <c r="F13" s="512">
        <f>SUM(F8:F12)</f>
        <v>0</v>
      </c>
      <c r="G13" s="512">
        <f>SUM(G8:G12)</f>
        <v>0</v>
      </c>
      <c r="H13" s="513">
        <f t="shared" si="0"/>
        <v>0</v>
      </c>
      <c r="I13" s="514">
        <f t="shared" si="1"/>
        <v>0</v>
      </c>
    </row>
    <row r="14" spans="1:10" ht="19.95" customHeight="1">
      <c r="A14" s="235" t="s">
        <v>372</v>
      </c>
      <c r="B14" s="512"/>
      <c r="C14" s="512"/>
      <c r="D14" s="512"/>
      <c r="E14" s="512"/>
      <c r="F14" s="512"/>
      <c r="G14" s="512"/>
      <c r="H14" s="515"/>
      <c r="I14" s="516"/>
    </row>
    <row r="15" spans="1:10" ht="19.95" customHeight="1">
      <c r="A15" s="90" t="str">
        <f>A8</f>
        <v>种植业</v>
      </c>
      <c r="B15" s="512">
        <f>'明细表（公允价值模式）H7-2'!Q39</f>
        <v>0</v>
      </c>
      <c r="C15" s="512">
        <f>'明细表（公允价值模式）H7-2'!T39</f>
        <v>0</v>
      </c>
      <c r="D15" s="512">
        <f>'明细表（公允价值模式）H7-2'!V39</f>
        <v>0</v>
      </c>
      <c r="E15" s="512">
        <f>'明细表（公允价值模式）H7-2'!S39</f>
        <v>0</v>
      </c>
      <c r="F15" s="512">
        <f>'明细表（公允价值模式）H7-2'!T39+'明细表（公允价值模式）H7-2'!U39</f>
        <v>0</v>
      </c>
      <c r="G15" s="512">
        <f>'明细表（公允价值模式）H7-2'!X39</f>
        <v>0</v>
      </c>
      <c r="H15" s="513">
        <f t="shared" ref="H15:H20" si="3">G15-D15</f>
        <v>0</v>
      </c>
      <c r="I15" s="514">
        <f t="shared" ref="I15:I20" si="4">IF(AND(D15=0,H15=0),0,IF(AND(D15=0,H15&gt;0),1,H15/D15))</f>
        <v>0</v>
      </c>
    </row>
    <row r="16" spans="1:10" ht="19.95" customHeight="1">
      <c r="A16" s="90" t="str">
        <f t="shared" ref="A16:A19" si="5">A9</f>
        <v>畜牧养殖业</v>
      </c>
      <c r="B16" s="512">
        <f>'明细表（公允价值模式）H7-2'!Q40</f>
        <v>0</v>
      </c>
      <c r="C16" s="512">
        <f>'明细表（公允价值模式）H7-2'!T40</f>
        <v>0</v>
      </c>
      <c r="D16" s="512">
        <f>'明细表（公允价值模式）H7-2'!V40</f>
        <v>0</v>
      </c>
      <c r="E16" s="512">
        <f>'明细表（公允价值模式）H7-2'!S40</f>
        <v>0</v>
      </c>
      <c r="F16" s="512">
        <f>'明细表（公允价值模式）H7-2'!T40+'明细表（公允价值模式）H7-2'!U40</f>
        <v>0</v>
      </c>
      <c r="G16" s="512">
        <f>'明细表（公允价值模式）H7-2'!X40</f>
        <v>0</v>
      </c>
      <c r="H16" s="513">
        <f t="shared" si="3"/>
        <v>0</v>
      </c>
      <c r="I16" s="514">
        <f t="shared" si="4"/>
        <v>0</v>
      </c>
    </row>
    <row r="17" spans="1:9" ht="19.95" customHeight="1">
      <c r="A17" s="90" t="str">
        <f t="shared" si="5"/>
        <v>林业</v>
      </c>
      <c r="B17" s="512">
        <f>'明细表（公允价值模式）H7-2'!Q41</f>
        <v>0</v>
      </c>
      <c r="C17" s="512">
        <f>'明细表（公允价值模式）H7-2'!T41</f>
        <v>0</v>
      </c>
      <c r="D17" s="512">
        <f>'明细表（公允价值模式）H7-2'!V41</f>
        <v>0</v>
      </c>
      <c r="E17" s="512">
        <f>'明细表（公允价值模式）H7-2'!S41</f>
        <v>0</v>
      </c>
      <c r="F17" s="512">
        <f>'明细表（公允价值模式）H7-2'!T41+'明细表（公允价值模式）H7-2'!U41</f>
        <v>0</v>
      </c>
      <c r="G17" s="512">
        <f>'明细表（公允价值模式）H7-2'!X41</f>
        <v>0</v>
      </c>
      <c r="H17" s="513">
        <f t="shared" si="3"/>
        <v>0</v>
      </c>
      <c r="I17" s="514">
        <f t="shared" si="4"/>
        <v>0</v>
      </c>
    </row>
    <row r="18" spans="1:9" ht="19.95" customHeight="1">
      <c r="A18" s="90" t="str">
        <f t="shared" si="5"/>
        <v>水产业</v>
      </c>
      <c r="B18" s="512">
        <f>'明细表（公允价值模式）H7-2'!Q42</f>
        <v>0</v>
      </c>
      <c r="C18" s="512">
        <f>'明细表（公允价值模式）H7-2'!T42</f>
        <v>0</v>
      </c>
      <c r="D18" s="512">
        <f>'明细表（公允价值模式）H7-2'!V42</f>
        <v>0</v>
      </c>
      <c r="E18" s="512">
        <f>'明细表（公允价值模式）H7-2'!S42</f>
        <v>0</v>
      </c>
      <c r="F18" s="512">
        <f>'明细表（公允价值模式）H7-2'!T42+'明细表（公允价值模式）H7-2'!U42</f>
        <v>0</v>
      </c>
      <c r="G18" s="512">
        <f>'明细表（公允价值模式）H7-2'!X42</f>
        <v>0</v>
      </c>
      <c r="H18" s="513">
        <f t="shared" si="3"/>
        <v>0</v>
      </c>
      <c r="I18" s="514">
        <f t="shared" si="4"/>
        <v>0</v>
      </c>
    </row>
    <row r="19" spans="1:9" ht="19.95" customHeight="1">
      <c r="A19" s="90" t="str">
        <f t="shared" si="5"/>
        <v>……</v>
      </c>
      <c r="B19" s="512">
        <f>'明细表（公允价值模式）H7-2'!Q43</f>
        <v>0</v>
      </c>
      <c r="C19" s="512">
        <f>'明细表（公允价值模式）H7-2'!T43</f>
        <v>0</v>
      </c>
      <c r="D19" s="512">
        <f>'明细表（公允价值模式）H7-2'!V43</f>
        <v>0</v>
      </c>
      <c r="E19" s="512">
        <f>'明细表（公允价值模式）H7-2'!S43</f>
        <v>0</v>
      </c>
      <c r="F19" s="512">
        <f>'明细表（公允价值模式）H7-2'!T43+'明细表（公允价值模式）H7-2'!U43</f>
        <v>0</v>
      </c>
      <c r="G19" s="512">
        <f>'明细表（公允价值模式）H7-2'!X43</f>
        <v>0</v>
      </c>
      <c r="H19" s="513">
        <f t="shared" si="3"/>
        <v>0</v>
      </c>
      <c r="I19" s="514">
        <f t="shared" si="4"/>
        <v>0</v>
      </c>
    </row>
    <row r="20" spans="1:9" ht="19.95" customHeight="1">
      <c r="A20" s="106" t="s">
        <v>86</v>
      </c>
      <c r="B20" s="512">
        <f>SUM(B15:B19)</f>
        <v>0</v>
      </c>
      <c r="C20" s="512">
        <f t="shared" ref="C20:D20" si="6">SUM(C15:C19)</f>
        <v>0</v>
      </c>
      <c r="D20" s="512">
        <f t="shared" si="6"/>
        <v>0</v>
      </c>
      <c r="E20" s="512">
        <f t="shared" ref="E20" si="7">SUM(E15:E19)</f>
        <v>0</v>
      </c>
      <c r="F20" s="512">
        <f t="shared" ref="F20" si="8">SUM(F15:F19)</f>
        <v>0</v>
      </c>
      <c r="G20" s="512">
        <f t="shared" ref="G20" si="9">SUM(G15:G19)</f>
        <v>0</v>
      </c>
      <c r="H20" s="513">
        <f t="shared" si="3"/>
        <v>0</v>
      </c>
      <c r="I20" s="514">
        <f t="shared" si="4"/>
        <v>0</v>
      </c>
    </row>
    <row r="21" spans="1:9" ht="19.95" customHeight="1">
      <c r="A21" s="235" t="s">
        <v>373</v>
      </c>
      <c r="B21" s="512"/>
      <c r="C21" s="512"/>
      <c r="D21" s="512"/>
      <c r="E21" s="512"/>
      <c r="F21" s="512"/>
      <c r="G21" s="512"/>
      <c r="H21" s="515"/>
      <c r="I21" s="516"/>
    </row>
    <row r="22" spans="1:9" ht="19.95" customHeight="1">
      <c r="A22" s="90" t="str">
        <f>A8</f>
        <v>种植业</v>
      </c>
      <c r="B22" s="512">
        <f>B8+B15</f>
        <v>0</v>
      </c>
      <c r="C22" s="512">
        <f t="shared" ref="C22:G22" si="10">C8+C15</f>
        <v>0</v>
      </c>
      <c r="D22" s="512">
        <f>D8+D15</f>
        <v>0</v>
      </c>
      <c r="E22" s="512">
        <f t="shared" si="10"/>
        <v>0</v>
      </c>
      <c r="F22" s="512">
        <f t="shared" si="10"/>
        <v>0</v>
      </c>
      <c r="G22" s="512">
        <f t="shared" si="10"/>
        <v>0</v>
      </c>
      <c r="H22" s="513">
        <f t="shared" ref="H22:H27" si="11">G22-D22</f>
        <v>0</v>
      </c>
      <c r="I22" s="514">
        <f t="shared" ref="I22:I27" si="12">IF(AND(D22=0,H22=0),0,IF(AND(D22=0,H22&gt;0),1,H22/D22))</f>
        <v>0</v>
      </c>
    </row>
    <row r="23" spans="1:9" ht="19.95" customHeight="1">
      <c r="A23" s="90" t="str">
        <f t="shared" ref="A23:A26" si="13">A9</f>
        <v>畜牧养殖业</v>
      </c>
      <c r="B23" s="512">
        <f>B9+B16</f>
        <v>0</v>
      </c>
      <c r="C23" s="512">
        <f>C9+C16</f>
        <v>0</v>
      </c>
      <c r="D23" s="512">
        <f>D9+D16</f>
        <v>0</v>
      </c>
      <c r="E23" s="512">
        <f t="shared" ref="E23:G26" si="14">E9+E16</f>
        <v>0</v>
      </c>
      <c r="F23" s="512">
        <f t="shared" si="14"/>
        <v>0</v>
      </c>
      <c r="G23" s="512">
        <f t="shared" si="14"/>
        <v>0</v>
      </c>
      <c r="H23" s="513">
        <f t="shared" si="11"/>
        <v>0</v>
      </c>
      <c r="I23" s="514">
        <f t="shared" si="12"/>
        <v>0</v>
      </c>
    </row>
    <row r="24" spans="1:9" ht="19.95" customHeight="1">
      <c r="A24" s="90" t="str">
        <f t="shared" si="13"/>
        <v>林业</v>
      </c>
      <c r="B24" s="512">
        <f>B10+B17</f>
        <v>0</v>
      </c>
      <c r="C24" s="512">
        <f>C10+C17</f>
        <v>0</v>
      </c>
      <c r="D24" s="512">
        <f>D10+D17</f>
        <v>0</v>
      </c>
      <c r="E24" s="512">
        <f t="shared" si="14"/>
        <v>0</v>
      </c>
      <c r="F24" s="512">
        <f t="shared" si="14"/>
        <v>0</v>
      </c>
      <c r="G24" s="512">
        <f t="shared" si="14"/>
        <v>0</v>
      </c>
      <c r="H24" s="513">
        <f t="shared" si="11"/>
        <v>0</v>
      </c>
      <c r="I24" s="514">
        <f t="shared" si="12"/>
        <v>0</v>
      </c>
    </row>
    <row r="25" spans="1:9" ht="19.95" customHeight="1">
      <c r="A25" s="90" t="str">
        <f t="shared" si="13"/>
        <v>水产业</v>
      </c>
      <c r="B25" s="512">
        <f>B11+B18</f>
        <v>0</v>
      </c>
      <c r="C25" s="512">
        <f>C11+C18</f>
        <v>0</v>
      </c>
      <c r="D25" s="512">
        <f>D11+D18</f>
        <v>0</v>
      </c>
      <c r="E25" s="512">
        <f t="shared" si="14"/>
        <v>0</v>
      </c>
      <c r="F25" s="512">
        <f t="shared" si="14"/>
        <v>0</v>
      </c>
      <c r="G25" s="512">
        <f t="shared" si="14"/>
        <v>0</v>
      </c>
      <c r="H25" s="513">
        <f t="shared" si="11"/>
        <v>0</v>
      </c>
      <c r="I25" s="514">
        <f t="shared" si="12"/>
        <v>0</v>
      </c>
    </row>
    <row r="26" spans="1:9" ht="19.95" customHeight="1">
      <c r="A26" s="90" t="str">
        <f t="shared" si="13"/>
        <v>……</v>
      </c>
      <c r="B26" s="512">
        <f>B12+B19</f>
        <v>0</v>
      </c>
      <c r="C26" s="512">
        <f>C12+C19</f>
        <v>0</v>
      </c>
      <c r="D26" s="512">
        <f>D12+D19</f>
        <v>0</v>
      </c>
      <c r="E26" s="512">
        <f t="shared" si="14"/>
        <v>0</v>
      </c>
      <c r="F26" s="512">
        <f t="shared" si="14"/>
        <v>0</v>
      </c>
      <c r="G26" s="512">
        <f t="shared" si="14"/>
        <v>0</v>
      </c>
      <c r="H26" s="513">
        <f t="shared" si="11"/>
        <v>0</v>
      </c>
      <c r="I26" s="514">
        <f t="shared" si="12"/>
        <v>0</v>
      </c>
    </row>
    <row r="27" spans="1:9" ht="19.95" customHeight="1">
      <c r="A27" s="106" t="s">
        <v>86</v>
      </c>
      <c r="B27" s="512">
        <f>SUM(B22:B26)</f>
        <v>0</v>
      </c>
      <c r="C27" s="512">
        <f t="shared" ref="C27:G27" si="15">SUM(C22:C26)</f>
        <v>0</v>
      </c>
      <c r="D27" s="512">
        <f t="shared" si="15"/>
        <v>0</v>
      </c>
      <c r="E27" s="512">
        <f t="shared" si="15"/>
        <v>0</v>
      </c>
      <c r="F27" s="512">
        <f t="shared" si="15"/>
        <v>0</v>
      </c>
      <c r="G27" s="512">
        <f t="shared" si="15"/>
        <v>0</v>
      </c>
      <c r="H27" s="513">
        <f t="shared" si="11"/>
        <v>0</v>
      </c>
      <c r="I27" s="514">
        <f t="shared" si="12"/>
        <v>0</v>
      </c>
    </row>
    <row r="28" spans="1:9" ht="19.95" customHeight="1">
      <c r="A28" s="276" t="s">
        <v>374</v>
      </c>
      <c r="B28" s="120"/>
      <c r="C28" s="120"/>
      <c r="D28" s="120"/>
      <c r="E28" s="120"/>
      <c r="F28" s="120"/>
      <c r="G28" s="120"/>
      <c r="H28" s="120"/>
      <c r="I28" s="120"/>
    </row>
    <row r="29" spans="1:9" ht="19.95" customHeight="1">
      <c r="A29" s="273" t="s">
        <v>375</v>
      </c>
      <c r="B29" s="1"/>
      <c r="C29" s="1"/>
      <c r="D29" s="73"/>
      <c r="E29" s="1"/>
      <c r="F29" s="1"/>
      <c r="G29" s="1"/>
      <c r="H29" s="1"/>
      <c r="I29" s="1"/>
    </row>
    <row r="30" spans="1:9" ht="19.95" customHeight="1">
      <c r="A30" s="273" t="s">
        <v>376</v>
      </c>
      <c r="B30" s="1"/>
      <c r="C30" s="1"/>
      <c r="D30" s="1"/>
      <c r="E30" s="1"/>
      <c r="F30" s="1"/>
      <c r="G30" s="1"/>
      <c r="H30" s="1"/>
      <c r="I30" s="1"/>
    </row>
    <row r="31" spans="1:9" ht="19.95" customHeight="1">
      <c r="A31" s="120"/>
      <c r="B31" s="1"/>
      <c r="C31" s="1"/>
      <c r="D31" s="1"/>
      <c r="E31" s="1"/>
      <c r="F31" s="1"/>
      <c r="G31" s="1"/>
      <c r="H31" s="1"/>
      <c r="I31" s="1"/>
    </row>
    <row r="32" spans="1:9" ht="19.95" customHeight="1">
      <c r="A32" s="120"/>
      <c r="B32" s="1"/>
      <c r="C32" s="1"/>
      <c r="D32" s="1"/>
      <c r="E32" s="1"/>
      <c r="F32" s="1"/>
      <c r="G32" s="1"/>
      <c r="H32" s="1"/>
      <c r="I32" s="1"/>
    </row>
    <row r="33" spans="1:9" ht="19.95" customHeight="1">
      <c r="A33" s="1" t="s">
        <v>377</v>
      </c>
      <c r="B33" s="1"/>
      <c r="C33" s="1"/>
      <c r="D33" s="1"/>
      <c r="E33" s="1"/>
      <c r="F33" s="1"/>
      <c r="G33" s="1"/>
      <c r="H33" s="1"/>
      <c r="I33" s="1"/>
    </row>
    <row r="34" spans="1:9" ht="19.95" customHeight="1">
      <c r="A34" s="1"/>
      <c r="B34" s="1"/>
      <c r="C34" s="1"/>
      <c r="D34" s="1"/>
      <c r="E34" s="1"/>
      <c r="F34" s="1"/>
      <c r="G34" s="1"/>
      <c r="H34" s="1"/>
      <c r="I34" s="1"/>
    </row>
    <row r="35" spans="1:9" ht="19.95" customHeight="1">
      <c r="A35" s="1"/>
      <c r="B35" s="1"/>
      <c r="C35" s="1"/>
      <c r="D35" s="1"/>
      <c r="E35" s="1"/>
      <c r="F35" s="1"/>
      <c r="G35" s="1"/>
      <c r="H35" s="1"/>
      <c r="I35" s="1"/>
    </row>
    <row r="36" spans="1:9" ht="19.95" customHeight="1">
      <c r="A36" s="1"/>
      <c r="B36" s="1"/>
      <c r="C36" s="1"/>
      <c r="D36" s="1"/>
      <c r="E36" s="1"/>
      <c r="F36" s="1"/>
      <c r="G36" s="1"/>
      <c r="H36" s="1"/>
      <c r="I36" s="1"/>
    </row>
    <row r="37" spans="1:9" ht="19.95" customHeight="1">
      <c r="A37" s="1" t="s">
        <v>378</v>
      </c>
      <c r="B37" s="1"/>
      <c r="C37" s="1"/>
      <c r="D37" s="1"/>
      <c r="E37" s="1"/>
      <c r="F37" s="1"/>
      <c r="G37" s="1"/>
      <c r="H37" s="1"/>
      <c r="I37" s="1"/>
    </row>
    <row r="38" spans="1:9" ht="19.95" customHeight="1">
      <c r="A38" s="1"/>
      <c r="B38" s="1"/>
      <c r="C38" s="1"/>
      <c r="D38" s="1"/>
      <c r="E38" s="1"/>
      <c r="F38" s="1"/>
      <c r="G38" s="1"/>
      <c r="H38" s="1"/>
      <c r="I38" s="1"/>
    </row>
    <row r="39" spans="1:9" ht="19.95" customHeight="1">
      <c r="A39" s="1"/>
      <c r="B39" s="1"/>
      <c r="C39" s="1"/>
      <c r="D39" s="1"/>
      <c r="E39" s="1"/>
      <c r="F39" s="1"/>
      <c r="G39" s="1"/>
      <c r="H39" s="1"/>
      <c r="I39" s="1"/>
    </row>
    <row r="40" spans="1:9" ht="19.95" customHeight="1">
      <c r="A40" s="1" t="s">
        <v>379</v>
      </c>
      <c r="B40" s="116"/>
      <c r="C40" s="116"/>
      <c r="D40" s="1"/>
      <c r="E40" s="1"/>
      <c r="F40" s="1"/>
      <c r="G40" s="1"/>
      <c r="H40" s="1"/>
      <c r="I40" s="1"/>
    </row>
    <row r="41" spans="1:9" ht="19.95" customHeight="1">
      <c r="A41" s="117"/>
      <c r="B41" s="118" t="s">
        <v>380</v>
      </c>
      <c r="C41" s="118" t="s">
        <v>381</v>
      </c>
      <c r="D41" s="1"/>
      <c r="E41" s="1"/>
      <c r="F41" s="1"/>
      <c r="G41" s="1"/>
      <c r="H41" s="1"/>
      <c r="I41" s="1"/>
    </row>
    <row r="42" spans="1:9" ht="19.95" customHeight="1">
      <c r="A42" s="117" t="s">
        <v>344</v>
      </c>
      <c r="B42" s="220">
        <f>G27</f>
        <v>0</v>
      </c>
      <c r="C42" s="220">
        <f>D27</f>
        <v>0</v>
      </c>
      <c r="D42" s="1"/>
      <c r="E42" s="1"/>
      <c r="F42" s="1"/>
      <c r="G42" s="1"/>
      <c r="H42" s="1"/>
      <c r="I42" s="1"/>
    </row>
    <row r="43" spans="1:9" ht="19.95" customHeight="1">
      <c r="A43" s="117" t="s">
        <v>345</v>
      </c>
      <c r="B43" s="119"/>
      <c r="C43" s="119"/>
      <c r="D43" s="1"/>
      <c r="E43" s="1"/>
      <c r="F43" s="1"/>
      <c r="G43" s="1"/>
      <c r="H43" s="1"/>
      <c r="I43" s="1"/>
    </row>
    <row r="44" spans="1:9" ht="19.95" customHeight="1">
      <c r="A44" s="117" t="s">
        <v>382</v>
      </c>
      <c r="B44" s="220">
        <f>B42-B43</f>
        <v>0</v>
      </c>
      <c r="C44" s="220">
        <f>C42-C43</f>
        <v>0</v>
      </c>
      <c r="D44" s="1"/>
      <c r="E44" s="1"/>
      <c r="F44" s="1"/>
      <c r="G44" s="1"/>
      <c r="H44" s="1"/>
      <c r="I44" s="1"/>
    </row>
    <row r="45" spans="1:9" ht="19.95" customHeight="1">
      <c r="A45" s="1"/>
      <c r="B45" s="1"/>
      <c r="C45" s="1"/>
      <c r="D45" s="1"/>
      <c r="E45" s="1"/>
      <c r="F45" s="1"/>
      <c r="G45" s="1"/>
      <c r="H45" s="1"/>
      <c r="I45" s="1"/>
    </row>
    <row r="46" spans="1:9" ht="19.95" customHeight="1">
      <c r="A46" s="1"/>
      <c r="B46" s="1"/>
      <c r="C46" s="1"/>
      <c r="D46" s="1"/>
      <c r="E46" s="1"/>
      <c r="F46" s="1"/>
      <c r="G46" s="1"/>
      <c r="H46" s="1"/>
      <c r="I46" s="1"/>
    </row>
    <row r="47" spans="1:9" ht="19.95" customHeight="1">
      <c r="A47" s="4" t="s">
        <v>383</v>
      </c>
      <c r="B47" s="1"/>
      <c r="C47" s="1"/>
      <c r="D47" s="1"/>
      <c r="E47" s="1"/>
      <c r="F47" s="1"/>
      <c r="G47" s="1"/>
      <c r="H47" s="1"/>
      <c r="I47" s="1"/>
    </row>
    <row r="48" spans="1:9" ht="19.95" customHeight="1">
      <c r="A48" s="1"/>
      <c r="B48" s="1"/>
      <c r="C48" s="1"/>
      <c r="D48" s="1"/>
      <c r="E48" s="1"/>
      <c r="F48" s="1"/>
      <c r="G48" s="1"/>
      <c r="H48" s="1"/>
      <c r="I48" s="1"/>
    </row>
    <row r="49" spans="1:9" ht="19.95" customHeight="1">
      <c r="A49" s="1"/>
      <c r="B49" s="1"/>
      <c r="C49" s="1"/>
      <c r="D49" s="1"/>
      <c r="E49" s="1"/>
      <c r="F49" s="1"/>
      <c r="G49" s="1"/>
      <c r="H49" s="1"/>
      <c r="I49" s="1"/>
    </row>
    <row r="50" spans="1:9" ht="19.95" customHeight="1">
      <c r="A50" s="1"/>
      <c r="B50" s="1"/>
      <c r="C50" s="1"/>
      <c r="D50" s="1"/>
      <c r="E50" s="1"/>
      <c r="F50" s="1"/>
      <c r="G50" s="1"/>
      <c r="H50" s="1"/>
      <c r="I50" s="1"/>
    </row>
    <row r="51" spans="1:9" ht="19.95" customHeight="1">
      <c r="A51" s="1"/>
      <c r="B51" s="1"/>
      <c r="C51" s="1"/>
      <c r="D51" s="1"/>
      <c r="E51" s="1"/>
      <c r="F51" s="1"/>
      <c r="G51" s="1"/>
      <c r="H51" s="1"/>
      <c r="I51" s="1"/>
    </row>
    <row r="52" spans="1:9" ht="19.95" customHeight="1">
      <c r="A52" s="1"/>
      <c r="B52" s="1"/>
      <c r="C52" s="1"/>
      <c r="D52" s="1"/>
      <c r="E52" s="1"/>
      <c r="F52" s="1"/>
      <c r="G52" s="1"/>
      <c r="H52" s="1"/>
      <c r="I52" s="1"/>
    </row>
    <row r="53" spans="1:9" ht="19.95" customHeight="1">
      <c r="A53" s="1"/>
      <c r="B53" s="1"/>
      <c r="C53" s="1"/>
      <c r="D53" s="1"/>
      <c r="E53" s="1"/>
      <c r="F53" s="1"/>
      <c r="G53" s="1"/>
      <c r="H53" s="1"/>
      <c r="I53" s="1"/>
    </row>
    <row r="54" spans="1:9" ht="19.95" customHeight="1">
      <c r="A54" s="454" t="s">
        <v>1041</v>
      </c>
      <c r="B54" s="5"/>
      <c r="C54" s="5"/>
      <c r="D54" s="5"/>
      <c r="E54" s="5"/>
      <c r="F54" s="5"/>
      <c r="G54" s="5"/>
      <c r="H54" s="5"/>
      <c r="I54" s="5"/>
    </row>
    <row r="55" spans="1:9" ht="19.95" customHeight="1">
      <c r="A55" s="5" t="s">
        <v>384</v>
      </c>
      <c r="B55" s="5"/>
      <c r="C55" s="5"/>
      <c r="D55" s="5"/>
      <c r="E55" s="5"/>
      <c r="F55" s="5"/>
      <c r="G55" s="5"/>
      <c r="H55" s="5"/>
      <c r="I55" s="5"/>
    </row>
    <row r="56" spans="1:9" ht="19.95" customHeight="1">
      <c r="A56" s="5" t="s">
        <v>360</v>
      </c>
      <c r="B56" s="5"/>
      <c r="C56" s="5"/>
      <c r="D56" s="5"/>
      <c r="E56" s="5"/>
      <c r="F56" s="5"/>
      <c r="G56" s="5"/>
      <c r="H56" s="5"/>
      <c r="I56" s="5"/>
    </row>
    <row r="57" spans="1:9" ht="19.95" customHeight="1">
      <c r="A57" s="5" t="s">
        <v>149</v>
      </c>
      <c r="B57" s="5"/>
      <c r="C57" s="5"/>
      <c r="D57" s="5"/>
      <c r="E57" s="5"/>
      <c r="F57" s="5"/>
      <c r="G57" s="5"/>
      <c r="H57" s="5"/>
      <c r="I57" s="5"/>
    </row>
    <row r="58" spans="1:9" ht="19.95" customHeight="1">
      <c r="A58" s="5" t="s">
        <v>150</v>
      </c>
      <c r="B58" s="5"/>
      <c r="C58" s="5"/>
      <c r="D58" s="5"/>
      <c r="E58" s="5"/>
      <c r="F58" s="5"/>
      <c r="G58" s="5"/>
      <c r="H58" s="5"/>
      <c r="I58" s="5"/>
    </row>
    <row r="59" spans="1:9" ht="19.95" customHeight="1">
      <c r="A59" s="5" t="s">
        <v>385</v>
      </c>
      <c r="B59" s="5"/>
      <c r="C59" s="5"/>
      <c r="D59" s="5"/>
      <c r="E59" s="5"/>
      <c r="F59" s="5"/>
      <c r="G59" s="5"/>
      <c r="H59" s="5"/>
      <c r="I59" s="5"/>
    </row>
    <row r="60" spans="1:9" ht="19.95" customHeight="1">
      <c r="A60" s="5" t="s">
        <v>361</v>
      </c>
      <c r="B60" s="5"/>
      <c r="C60" s="5"/>
      <c r="D60" s="5"/>
      <c r="E60" s="5"/>
      <c r="F60" s="5"/>
      <c r="G60" s="5"/>
      <c r="H60" s="5"/>
      <c r="I60" s="5"/>
    </row>
    <row r="61" spans="1:9" ht="19.95" customHeight="1">
      <c r="A61" s="274" t="s">
        <v>346</v>
      </c>
      <c r="B61" s="5"/>
      <c r="C61" s="5"/>
      <c r="D61" s="5"/>
      <c r="E61" s="5"/>
      <c r="F61" s="5"/>
      <c r="G61" s="5"/>
      <c r="H61" s="5"/>
      <c r="I61" s="5"/>
    </row>
    <row r="62" spans="1:9" ht="19.95" customHeight="1">
      <c r="A62" s="5" t="s">
        <v>386</v>
      </c>
      <c r="B62" s="5"/>
      <c r="C62" s="5"/>
      <c r="D62" s="5"/>
      <c r="E62" s="5"/>
      <c r="F62" s="5"/>
      <c r="G62" s="5"/>
      <c r="H62" s="5"/>
      <c r="I62" s="5"/>
    </row>
    <row r="63" spans="1:9" ht="19.95" customHeight="1">
      <c r="A63" s="5" t="s">
        <v>362</v>
      </c>
      <c r="B63" s="5"/>
      <c r="C63" s="5"/>
      <c r="D63" s="5"/>
      <c r="E63" s="5"/>
      <c r="F63" s="5"/>
      <c r="G63" s="5"/>
      <c r="H63" s="5"/>
      <c r="I63" s="5"/>
    </row>
    <row r="64" spans="1:9" ht="19.95" customHeight="1">
      <c r="A64" s="5" t="s">
        <v>363</v>
      </c>
      <c r="B64" s="1"/>
      <c r="C64" s="1"/>
      <c r="D64" s="1"/>
      <c r="E64" s="1"/>
      <c r="F64" s="1"/>
      <c r="G64" s="1"/>
      <c r="H64" s="1"/>
      <c r="I64" s="1"/>
    </row>
    <row r="65" spans="1:9" ht="19.95" customHeight="1">
      <c r="A65" s="5" t="s">
        <v>347</v>
      </c>
      <c r="B65" s="1"/>
      <c r="C65" s="1"/>
      <c r="D65" s="1"/>
      <c r="E65" s="1"/>
      <c r="F65" s="1"/>
      <c r="G65" s="1"/>
      <c r="H65" s="1"/>
      <c r="I65" s="1"/>
    </row>
    <row r="66" spans="1:9" ht="19.95" customHeight="1">
      <c r="A66" s="5" t="s">
        <v>348</v>
      </c>
      <c r="B66" s="1"/>
      <c r="C66" s="1"/>
      <c r="D66" s="1"/>
      <c r="E66" s="1"/>
      <c r="F66" s="1"/>
      <c r="G66" s="1"/>
      <c r="H66" s="1"/>
      <c r="I66" s="1"/>
    </row>
    <row r="67" spans="1:9" ht="19.95" customHeight="1">
      <c r="A67" s="5" t="s">
        <v>387</v>
      </c>
      <c r="B67" s="1"/>
      <c r="C67" s="1"/>
      <c r="D67" s="1"/>
      <c r="E67" s="1"/>
      <c r="F67" s="1"/>
      <c r="G67" s="1"/>
      <c r="H67" s="1"/>
      <c r="I67" s="1"/>
    </row>
    <row r="68" spans="1:9" ht="19.95" customHeight="1">
      <c r="A68" s="5" t="s">
        <v>364</v>
      </c>
      <c r="B68" s="1"/>
      <c r="C68" s="1"/>
      <c r="D68" s="1"/>
      <c r="E68" s="1"/>
      <c r="F68" s="1"/>
      <c r="G68" s="1"/>
      <c r="H68" s="1"/>
      <c r="I68" s="1"/>
    </row>
    <row r="69" spans="1:9" ht="19.95" customHeight="1">
      <c r="A69" s="1"/>
      <c r="B69" s="1"/>
      <c r="C69" s="1"/>
      <c r="D69" s="1"/>
      <c r="E69" s="1"/>
      <c r="F69" s="1"/>
      <c r="G69" s="1"/>
      <c r="H69" s="1"/>
      <c r="I69" s="1"/>
    </row>
    <row r="70" spans="1:9" ht="19.95" customHeight="1">
      <c r="A70" s="5" t="s">
        <v>349</v>
      </c>
      <c r="B70" s="1"/>
      <c r="C70" s="1"/>
      <c r="D70" s="1"/>
      <c r="E70" s="1"/>
      <c r="F70" s="1"/>
      <c r="G70" s="1"/>
      <c r="H70" s="1"/>
      <c r="I70" s="1"/>
    </row>
    <row r="72" spans="1:9" ht="19.95" customHeight="1">
      <c r="A72" s="277" t="s">
        <v>388</v>
      </c>
    </row>
    <row r="73" spans="1:9" ht="19.95" customHeight="1">
      <c r="A73" s="5" t="s">
        <v>389</v>
      </c>
    </row>
    <row r="74" spans="1:9" ht="19.95" customHeight="1">
      <c r="A74" s="5" t="s">
        <v>390</v>
      </c>
    </row>
    <row r="75" spans="1:9" ht="19.95" customHeight="1">
      <c r="A75" s="5" t="s">
        <v>391</v>
      </c>
    </row>
    <row r="76" spans="1:9" ht="19.95" customHeight="1">
      <c r="A76" s="5" t="s">
        <v>392</v>
      </c>
    </row>
    <row r="77" spans="1:9" ht="19.95" customHeight="1">
      <c r="A77" s="5" t="s">
        <v>393</v>
      </c>
    </row>
    <row r="78" spans="1:9" ht="19.95" customHeight="1">
      <c r="A78" s="5" t="s">
        <v>394</v>
      </c>
    </row>
  </sheetData>
  <mergeCells count="6">
    <mergeCell ref="A1:I1"/>
    <mergeCell ref="A2:I2"/>
    <mergeCell ref="A5:A6"/>
    <mergeCell ref="B5:D5"/>
    <mergeCell ref="E5:G5"/>
    <mergeCell ref="H5:I5"/>
  </mergeCells>
  <phoneticPr fontId="10" type="noConversion"/>
  <conditionalFormatting sqref="B44:C44">
    <cfRule type="cellIs" dxfId="0" priority="1" operator="greaterThan">
      <formula>0</formula>
    </cfRule>
  </conditionalFormatting>
  <hyperlinks>
    <hyperlink ref="I3" location="底稿目录!A1" display="H7A"/>
  </hyperlinks>
  <printOptions horizontalCentered="1"/>
  <pageMargins left="0.70866141732283472" right="0.70866141732283472" top="0.74803149606299213" bottom="0.74803149606299213" header="0.31496062992125984" footer="0.31496062992125984"/>
  <pageSetup paperSize="9" scale="74"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W64"/>
  <sheetViews>
    <sheetView view="pageBreakPreview" zoomScaleNormal="100" zoomScaleSheetLayoutView="100" workbookViewId="0">
      <selection sqref="A1:J1"/>
    </sheetView>
  </sheetViews>
  <sheetFormatPr defaultColWidth="9" defaultRowHeight="19.95" customHeight="1"/>
  <cols>
    <col min="1" max="1" width="27.19921875" style="7" customWidth="1"/>
    <col min="2" max="10" width="13.09765625" style="7" customWidth="1"/>
    <col min="11" max="16384" width="9" style="7"/>
  </cols>
  <sheetData>
    <row r="1" spans="1:257" s="345" customFormat="1" ht="19.95" customHeight="1">
      <c r="A1" s="648" t="s">
        <v>0</v>
      </c>
      <c r="B1" s="648"/>
      <c r="C1" s="648"/>
      <c r="D1" s="648"/>
      <c r="E1" s="648"/>
      <c r="F1" s="648"/>
      <c r="G1" s="648"/>
      <c r="H1" s="648"/>
      <c r="I1" s="648"/>
      <c r="J1" s="648"/>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row>
    <row r="2" spans="1:257" ht="19.95" customHeight="1">
      <c r="A2" s="649" t="s">
        <v>1</v>
      </c>
      <c r="B2" s="649"/>
      <c r="C2" s="649"/>
      <c r="D2" s="649"/>
      <c r="E2" s="649"/>
      <c r="F2" s="649"/>
      <c r="G2" s="649"/>
      <c r="H2" s="649"/>
      <c r="I2" s="649"/>
      <c r="J2" s="649"/>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row>
    <row r="3" spans="1:257" ht="19.95" customHeight="1">
      <c r="A3" s="135" t="str">
        <f>底稿目录!A2</f>
        <v>被审计单位：</v>
      </c>
      <c r="B3" s="135"/>
      <c r="C3" s="135" t="str">
        <f>底稿目录!A4</f>
        <v>编制人：</v>
      </c>
      <c r="D3" s="147"/>
      <c r="E3" s="147"/>
      <c r="F3" s="135" t="str">
        <f>底稿目录!A6</f>
        <v>编制日期：</v>
      </c>
      <c r="G3" s="148"/>
      <c r="H3" s="148"/>
      <c r="I3" s="433" t="s">
        <v>1011</v>
      </c>
      <c r="J3" s="8"/>
      <c r="K3" s="8"/>
      <c r="L3" s="8"/>
      <c r="M3" s="8"/>
      <c r="N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row>
    <row r="4" spans="1:257" ht="19.95" customHeight="1">
      <c r="A4" s="135" t="str">
        <f>底稿目录!A3</f>
        <v>截止日：</v>
      </c>
      <c r="B4" s="135"/>
      <c r="C4" s="135" t="str">
        <f>底稿目录!A5</f>
        <v>复核人：</v>
      </c>
      <c r="D4" s="147"/>
      <c r="E4" s="147"/>
      <c r="F4" s="135" t="str">
        <f>底稿目录!A7</f>
        <v>复核日期：</v>
      </c>
      <c r="G4" s="148"/>
      <c r="H4" s="148"/>
      <c r="I4" s="433" t="s">
        <v>1012</v>
      </c>
      <c r="J4" s="8"/>
      <c r="K4" s="8"/>
      <c r="L4" s="8"/>
      <c r="M4" s="8"/>
      <c r="N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row>
    <row r="5" spans="1:257" ht="19.95" customHeight="1">
      <c r="A5" s="150"/>
      <c r="B5" s="135"/>
      <c r="C5" s="135"/>
      <c r="D5" s="147"/>
      <c r="E5" s="147"/>
      <c r="F5" s="135"/>
      <c r="G5" s="148"/>
      <c r="H5" s="148"/>
      <c r="I5" s="149"/>
      <c r="J5" s="8"/>
      <c r="K5" s="251" t="s">
        <v>308</v>
      </c>
      <c r="L5" s="8"/>
      <c r="M5" s="8"/>
      <c r="N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row>
    <row r="6" spans="1:257" ht="19.95" customHeight="1">
      <c r="A6" s="102" t="s">
        <v>184</v>
      </c>
    </row>
    <row r="7" spans="1:257" ht="19.95" customHeight="1">
      <c r="A7" s="153" t="s">
        <v>185</v>
      </c>
    </row>
    <row r="8" spans="1:257" ht="19.95" customHeight="1" thickBot="1">
      <c r="A8" s="154" t="s">
        <v>186</v>
      </c>
    </row>
    <row r="9" spans="1:257" ht="19.95" customHeight="1">
      <c r="A9" s="643" t="s">
        <v>187</v>
      </c>
      <c r="B9" s="645" t="s">
        <v>138</v>
      </c>
      <c r="C9" s="645"/>
      <c r="D9" s="645" t="s">
        <v>139</v>
      </c>
      <c r="E9" s="645"/>
      <c r="F9" s="645" t="s">
        <v>140</v>
      </c>
      <c r="G9" s="645"/>
      <c r="H9" s="645" t="s">
        <v>141</v>
      </c>
      <c r="I9" s="645"/>
      <c r="J9" s="646" t="s">
        <v>2</v>
      </c>
    </row>
    <row r="10" spans="1:257" ht="19.95" customHeight="1" thickBot="1">
      <c r="A10" s="644"/>
      <c r="B10" s="155" t="s">
        <v>92</v>
      </c>
      <c r="C10" s="156" t="s">
        <v>78</v>
      </c>
      <c r="D10" s="155" t="s">
        <v>92</v>
      </c>
      <c r="E10" s="156" t="s">
        <v>78</v>
      </c>
      <c r="F10" s="155" t="s">
        <v>92</v>
      </c>
      <c r="G10" s="156" t="s">
        <v>78</v>
      </c>
      <c r="H10" s="155" t="s">
        <v>92</v>
      </c>
      <c r="I10" s="156" t="s">
        <v>78</v>
      </c>
      <c r="J10" s="647"/>
    </row>
    <row r="11" spans="1:257" ht="19.95" customHeight="1">
      <c r="A11" s="157" t="s">
        <v>188</v>
      </c>
      <c r="B11" s="158"/>
      <c r="C11" s="159"/>
      <c r="D11" s="159"/>
      <c r="E11" s="159"/>
      <c r="F11" s="159"/>
      <c r="G11" s="159"/>
      <c r="H11" s="159"/>
      <c r="I11" s="159"/>
      <c r="J11" s="159"/>
    </row>
    <row r="12" spans="1:257" ht="19.95" customHeight="1">
      <c r="A12" s="160" t="s">
        <v>189</v>
      </c>
      <c r="B12" s="161"/>
      <c r="C12" s="161"/>
      <c r="D12" s="161"/>
      <c r="E12" s="161"/>
      <c r="F12" s="161"/>
      <c r="G12" s="161"/>
      <c r="H12" s="161"/>
      <c r="I12" s="161"/>
      <c r="J12" s="161"/>
    </row>
    <row r="13" spans="1:257" ht="19.95" customHeight="1">
      <c r="A13" s="160" t="s">
        <v>190</v>
      </c>
      <c r="B13" s="161"/>
      <c r="C13" s="161"/>
      <c r="D13" s="161"/>
      <c r="E13" s="161"/>
      <c r="F13" s="161"/>
      <c r="G13" s="161"/>
      <c r="H13" s="161"/>
      <c r="I13" s="161"/>
      <c r="J13" s="161"/>
    </row>
    <row r="14" spans="1:257" ht="19.95" customHeight="1">
      <c r="A14" s="160" t="s">
        <v>191</v>
      </c>
      <c r="B14" s="161"/>
      <c r="C14" s="161"/>
      <c r="D14" s="161"/>
      <c r="E14" s="161"/>
      <c r="F14" s="161"/>
      <c r="G14" s="161"/>
      <c r="H14" s="161"/>
      <c r="I14" s="161"/>
      <c r="J14" s="161"/>
    </row>
    <row r="15" spans="1:257" ht="19.95" customHeight="1">
      <c r="A15" s="160" t="s">
        <v>192</v>
      </c>
      <c r="B15" s="161"/>
      <c r="C15" s="161"/>
      <c r="D15" s="161"/>
      <c r="E15" s="161"/>
      <c r="F15" s="161"/>
      <c r="G15" s="161"/>
      <c r="H15" s="161"/>
      <c r="I15" s="161"/>
      <c r="J15" s="161"/>
    </row>
    <row r="16" spans="1:257" ht="19.95" customHeight="1">
      <c r="A16" s="160" t="s">
        <v>193</v>
      </c>
      <c r="B16" s="161"/>
      <c r="C16" s="161"/>
      <c r="D16" s="161"/>
      <c r="E16" s="161"/>
      <c r="F16" s="161"/>
      <c r="G16" s="161"/>
      <c r="H16" s="161"/>
      <c r="I16" s="161"/>
      <c r="J16" s="161"/>
    </row>
    <row r="17" spans="1:10" ht="19.95" customHeight="1">
      <c r="A17" s="160" t="s">
        <v>194</v>
      </c>
      <c r="B17" s="161"/>
      <c r="C17" s="161"/>
      <c r="D17" s="161"/>
      <c r="E17" s="161"/>
      <c r="F17" s="161"/>
      <c r="G17" s="161"/>
      <c r="H17" s="161"/>
      <c r="I17" s="161"/>
      <c r="J17" s="161"/>
    </row>
    <row r="18" spans="1:10" ht="19.95" customHeight="1">
      <c r="A18" s="160" t="s">
        <v>195</v>
      </c>
      <c r="B18" s="161"/>
      <c r="C18" s="161"/>
      <c r="D18" s="161"/>
      <c r="E18" s="161"/>
      <c r="F18" s="161"/>
      <c r="G18" s="161"/>
      <c r="H18" s="161"/>
      <c r="I18" s="161"/>
      <c r="J18" s="161"/>
    </row>
    <row r="19" spans="1:10" ht="19.95" customHeight="1">
      <c r="A19" s="160" t="s">
        <v>196</v>
      </c>
      <c r="B19" s="161"/>
      <c r="C19" s="161"/>
      <c r="D19" s="161"/>
      <c r="E19" s="161"/>
      <c r="F19" s="161"/>
      <c r="G19" s="161"/>
      <c r="H19" s="161"/>
      <c r="I19" s="161"/>
      <c r="J19" s="161"/>
    </row>
    <row r="20" spans="1:10" ht="19.95" customHeight="1">
      <c r="A20" s="160" t="s">
        <v>197</v>
      </c>
      <c r="B20" s="161"/>
      <c r="C20" s="161"/>
      <c r="D20" s="161"/>
      <c r="E20" s="161"/>
      <c r="F20" s="161"/>
      <c r="G20" s="161"/>
      <c r="H20" s="161"/>
      <c r="I20" s="161"/>
      <c r="J20" s="161"/>
    </row>
    <row r="21" spans="1:10" ht="19.95" customHeight="1">
      <c r="A21" s="160" t="s">
        <v>198</v>
      </c>
      <c r="B21" s="161"/>
      <c r="C21" s="161"/>
      <c r="D21" s="161"/>
      <c r="E21" s="161"/>
      <c r="F21" s="161"/>
      <c r="G21" s="161"/>
      <c r="H21" s="161"/>
      <c r="I21" s="161"/>
      <c r="J21" s="161"/>
    </row>
    <row r="22" spans="1:10" ht="19.95" customHeight="1">
      <c r="A22" s="157" t="s">
        <v>79</v>
      </c>
      <c r="B22" s="158"/>
      <c r="C22" s="159"/>
      <c r="D22" s="159"/>
      <c r="E22" s="159"/>
      <c r="F22" s="159"/>
      <c r="G22" s="159"/>
      <c r="H22" s="159"/>
      <c r="I22" s="159"/>
      <c r="J22" s="159"/>
    </row>
    <row r="23" spans="1:10" ht="19.95" customHeight="1">
      <c r="A23" s="160" t="s">
        <v>189</v>
      </c>
      <c r="B23" s="161"/>
      <c r="C23" s="161"/>
      <c r="D23" s="161"/>
      <c r="E23" s="161"/>
      <c r="F23" s="161"/>
      <c r="G23" s="161"/>
      <c r="H23" s="161"/>
      <c r="I23" s="161"/>
      <c r="J23" s="161"/>
    </row>
    <row r="24" spans="1:10" ht="19.95" customHeight="1">
      <c r="A24" s="160" t="s">
        <v>190</v>
      </c>
      <c r="B24" s="161"/>
      <c r="C24" s="161"/>
      <c r="D24" s="161"/>
      <c r="E24" s="161"/>
      <c r="F24" s="161"/>
      <c r="G24" s="161"/>
      <c r="H24" s="161"/>
      <c r="I24" s="161"/>
      <c r="J24" s="161"/>
    </row>
    <row r="25" spans="1:10" ht="19.95" customHeight="1">
      <c r="A25" s="160" t="s">
        <v>199</v>
      </c>
      <c r="B25" s="161"/>
      <c r="C25" s="161"/>
      <c r="D25" s="161"/>
      <c r="E25" s="161"/>
      <c r="F25" s="161"/>
      <c r="G25" s="161"/>
      <c r="H25" s="161"/>
      <c r="I25" s="161"/>
      <c r="J25" s="161"/>
    </row>
    <row r="26" spans="1:10" ht="19.95" customHeight="1">
      <c r="A26" s="160" t="s">
        <v>200</v>
      </c>
      <c r="B26" s="161"/>
      <c r="C26" s="161"/>
      <c r="D26" s="161"/>
      <c r="E26" s="161"/>
      <c r="F26" s="161"/>
      <c r="G26" s="161"/>
      <c r="H26" s="161"/>
      <c r="I26" s="161"/>
      <c r="J26" s="161"/>
    </row>
    <row r="27" spans="1:10" ht="19.95" customHeight="1">
      <c r="A27" s="160" t="s">
        <v>194</v>
      </c>
      <c r="B27" s="161"/>
      <c r="C27" s="161"/>
      <c r="D27" s="161"/>
      <c r="E27" s="161"/>
      <c r="F27" s="161"/>
      <c r="G27" s="161"/>
      <c r="H27" s="161"/>
      <c r="I27" s="161"/>
      <c r="J27" s="161"/>
    </row>
    <row r="28" spans="1:10" ht="19.95" customHeight="1">
      <c r="A28" s="160" t="s">
        <v>195</v>
      </c>
      <c r="B28" s="161"/>
      <c r="C28" s="161"/>
      <c r="D28" s="161"/>
      <c r="E28" s="161"/>
      <c r="F28" s="161"/>
      <c r="G28" s="161"/>
      <c r="H28" s="161"/>
      <c r="I28" s="161"/>
      <c r="J28" s="161"/>
    </row>
    <row r="29" spans="1:10" ht="19.95" customHeight="1">
      <c r="A29" s="160" t="s">
        <v>196</v>
      </c>
      <c r="B29" s="161"/>
      <c r="C29" s="161"/>
      <c r="D29" s="161"/>
      <c r="E29" s="161"/>
      <c r="F29" s="161"/>
      <c r="G29" s="161"/>
      <c r="H29" s="161"/>
      <c r="I29" s="161"/>
      <c r="J29" s="161"/>
    </row>
    <row r="30" spans="1:10" ht="19.95" customHeight="1">
      <c r="A30" s="160" t="s">
        <v>197</v>
      </c>
      <c r="B30" s="161"/>
      <c r="C30" s="161"/>
      <c r="D30" s="161"/>
      <c r="E30" s="161"/>
      <c r="F30" s="161"/>
      <c r="G30" s="161"/>
      <c r="H30" s="161"/>
      <c r="I30" s="161"/>
      <c r="J30" s="161"/>
    </row>
    <row r="31" spans="1:10" ht="19.95" customHeight="1">
      <c r="A31" s="160" t="s">
        <v>201</v>
      </c>
      <c r="B31" s="161"/>
      <c r="C31" s="161"/>
      <c r="D31" s="161"/>
      <c r="E31" s="161"/>
      <c r="F31" s="161"/>
      <c r="G31" s="161"/>
      <c r="H31" s="161"/>
      <c r="I31" s="161"/>
      <c r="J31" s="161"/>
    </row>
    <row r="32" spans="1:10" ht="19.95" customHeight="1">
      <c r="A32" s="157" t="s">
        <v>80</v>
      </c>
      <c r="B32" s="158"/>
      <c r="C32" s="159"/>
      <c r="D32" s="159"/>
      <c r="E32" s="159"/>
      <c r="F32" s="159"/>
      <c r="G32" s="159"/>
      <c r="H32" s="159"/>
      <c r="I32" s="159"/>
      <c r="J32" s="159"/>
    </row>
    <row r="33" spans="1:10" ht="19.95" customHeight="1">
      <c r="A33" s="160" t="s">
        <v>189</v>
      </c>
      <c r="B33" s="161"/>
      <c r="C33" s="161"/>
      <c r="D33" s="161"/>
      <c r="E33" s="161"/>
      <c r="F33" s="161"/>
      <c r="G33" s="161"/>
      <c r="H33" s="161"/>
      <c r="I33" s="161"/>
      <c r="J33" s="161"/>
    </row>
    <row r="34" spans="1:10" ht="19.95" customHeight="1">
      <c r="A34" s="160" t="s">
        <v>190</v>
      </c>
      <c r="B34" s="161"/>
      <c r="C34" s="161"/>
      <c r="D34" s="161"/>
      <c r="E34" s="161"/>
      <c r="F34" s="161"/>
      <c r="G34" s="161"/>
      <c r="H34" s="161"/>
      <c r="I34" s="161"/>
      <c r="J34" s="161"/>
    </row>
    <row r="35" spans="1:10" ht="19.95" customHeight="1">
      <c r="A35" s="160" t="s">
        <v>199</v>
      </c>
      <c r="B35" s="161"/>
      <c r="C35" s="161"/>
      <c r="D35" s="161"/>
      <c r="E35" s="161"/>
      <c r="F35" s="161"/>
      <c r="G35" s="161"/>
      <c r="H35" s="161"/>
      <c r="I35" s="161"/>
      <c r="J35" s="161"/>
    </row>
    <row r="36" spans="1:10" ht="19.95" customHeight="1">
      <c r="A36" s="160" t="s">
        <v>200</v>
      </c>
      <c r="B36" s="161"/>
      <c r="C36" s="161"/>
      <c r="D36" s="161"/>
      <c r="E36" s="161"/>
      <c r="F36" s="161"/>
      <c r="G36" s="161"/>
      <c r="H36" s="161"/>
      <c r="I36" s="161"/>
      <c r="J36" s="161"/>
    </row>
    <row r="37" spans="1:10" ht="19.95" customHeight="1">
      <c r="A37" s="160" t="s">
        <v>194</v>
      </c>
      <c r="B37" s="161"/>
      <c r="C37" s="161"/>
      <c r="D37" s="161"/>
      <c r="E37" s="161"/>
      <c r="F37" s="161"/>
      <c r="G37" s="161"/>
      <c r="H37" s="161"/>
      <c r="I37" s="161"/>
      <c r="J37" s="161"/>
    </row>
    <row r="38" spans="1:10" ht="19.95" customHeight="1">
      <c r="A38" s="160" t="s">
        <v>195</v>
      </c>
      <c r="B38" s="161"/>
      <c r="C38" s="161"/>
      <c r="D38" s="161"/>
      <c r="E38" s="161"/>
      <c r="F38" s="161"/>
      <c r="G38" s="161"/>
      <c r="H38" s="161"/>
      <c r="I38" s="161"/>
      <c r="J38" s="161"/>
    </row>
    <row r="39" spans="1:10" ht="19.95" customHeight="1">
      <c r="A39" s="160" t="s">
        <v>196</v>
      </c>
      <c r="B39" s="161"/>
      <c r="C39" s="161"/>
      <c r="D39" s="161"/>
      <c r="E39" s="161"/>
      <c r="F39" s="161"/>
      <c r="G39" s="161"/>
      <c r="H39" s="161"/>
      <c r="I39" s="161"/>
      <c r="J39" s="161"/>
    </row>
    <row r="40" spans="1:10" ht="19.95" customHeight="1">
      <c r="A40" s="160" t="s">
        <v>197</v>
      </c>
      <c r="B40" s="161"/>
      <c r="C40" s="161"/>
      <c r="D40" s="161"/>
      <c r="E40" s="161"/>
      <c r="F40" s="161"/>
      <c r="G40" s="161"/>
      <c r="H40" s="161"/>
      <c r="I40" s="161"/>
      <c r="J40" s="161"/>
    </row>
    <row r="41" spans="1:10" ht="19.95" customHeight="1">
      <c r="A41" s="160" t="s">
        <v>201</v>
      </c>
      <c r="B41" s="161"/>
      <c r="C41" s="161"/>
      <c r="D41" s="161"/>
      <c r="E41" s="161"/>
      <c r="F41" s="161"/>
      <c r="G41" s="161"/>
      <c r="H41" s="161"/>
      <c r="I41" s="161"/>
      <c r="J41" s="161"/>
    </row>
    <row r="42" spans="1:10" ht="19.95" customHeight="1">
      <c r="A42" s="157" t="s">
        <v>81</v>
      </c>
      <c r="B42" s="158"/>
      <c r="C42" s="159"/>
      <c r="D42" s="159"/>
      <c r="E42" s="159"/>
      <c r="F42" s="159"/>
      <c r="G42" s="159"/>
      <c r="H42" s="159"/>
      <c r="I42" s="159"/>
      <c r="J42" s="159"/>
    </row>
    <row r="43" spans="1:10" ht="19.95" customHeight="1">
      <c r="A43" s="160" t="s">
        <v>202</v>
      </c>
      <c r="B43" s="161"/>
      <c r="C43" s="161"/>
      <c r="D43" s="161"/>
      <c r="E43" s="161"/>
      <c r="F43" s="161"/>
      <c r="G43" s="161"/>
      <c r="H43" s="161"/>
      <c r="I43" s="161"/>
      <c r="J43" s="161"/>
    </row>
    <row r="44" spans="1:10" ht="19.95" customHeight="1" thickBot="1">
      <c r="A44" s="162" t="s">
        <v>203</v>
      </c>
      <c r="B44" s="163"/>
      <c r="C44" s="163"/>
      <c r="D44" s="163"/>
      <c r="E44" s="163"/>
      <c r="F44" s="163"/>
      <c r="G44" s="163"/>
      <c r="H44" s="163"/>
      <c r="I44" s="163"/>
      <c r="J44" s="163"/>
    </row>
    <row r="46" spans="1:10" ht="19.95" customHeight="1">
      <c r="A46" s="642" t="s">
        <v>204</v>
      </c>
      <c r="B46" s="642"/>
      <c r="C46" s="642"/>
      <c r="D46" s="642"/>
      <c r="E46" s="642"/>
      <c r="F46" s="642"/>
      <c r="G46" s="642"/>
      <c r="H46" s="642"/>
      <c r="I46" s="642"/>
      <c r="J46" s="642"/>
    </row>
    <row r="47" spans="1:10" ht="19.95" customHeight="1">
      <c r="A47" s="164" t="s">
        <v>205</v>
      </c>
      <c r="B47" s="165"/>
      <c r="C47" s="165"/>
      <c r="D47" s="165"/>
    </row>
    <row r="48" spans="1:10" ht="19.95" customHeight="1">
      <c r="A48" s="642" t="s">
        <v>206</v>
      </c>
      <c r="B48" s="642"/>
      <c r="C48" s="642"/>
      <c r="D48" s="642"/>
      <c r="E48" s="642"/>
      <c r="F48" s="642"/>
      <c r="G48" s="642"/>
      <c r="H48" s="642"/>
      <c r="I48" s="642"/>
      <c r="J48" s="642"/>
    </row>
    <row r="50" spans="1:10" ht="19.95" customHeight="1" thickBot="1">
      <c r="A50" s="154" t="s">
        <v>207</v>
      </c>
    </row>
    <row r="51" spans="1:10" ht="19.95" customHeight="1">
      <c r="A51" s="643" t="s">
        <v>187</v>
      </c>
      <c r="B51" s="645" t="s">
        <v>138</v>
      </c>
      <c r="C51" s="645"/>
      <c r="D51" s="645" t="s">
        <v>139</v>
      </c>
      <c r="E51" s="645"/>
      <c r="F51" s="645" t="s">
        <v>140</v>
      </c>
      <c r="G51" s="645"/>
      <c r="H51" s="645" t="s">
        <v>141</v>
      </c>
      <c r="I51" s="645"/>
      <c r="J51" s="646" t="s">
        <v>2</v>
      </c>
    </row>
    <row r="52" spans="1:10" ht="19.95" customHeight="1" thickBot="1">
      <c r="A52" s="644"/>
      <c r="B52" s="155" t="s">
        <v>92</v>
      </c>
      <c r="C52" s="156" t="s">
        <v>78</v>
      </c>
      <c r="D52" s="155" t="s">
        <v>92</v>
      </c>
      <c r="E52" s="156" t="s">
        <v>78</v>
      </c>
      <c r="F52" s="155" t="s">
        <v>92</v>
      </c>
      <c r="G52" s="156" t="s">
        <v>78</v>
      </c>
      <c r="H52" s="155" t="s">
        <v>92</v>
      </c>
      <c r="I52" s="156" t="s">
        <v>78</v>
      </c>
      <c r="J52" s="647"/>
    </row>
    <row r="53" spans="1:10" ht="19.95" customHeight="1">
      <c r="A53" s="157" t="s">
        <v>208</v>
      </c>
      <c r="B53" s="161"/>
      <c r="C53" s="161"/>
      <c r="D53" s="161"/>
      <c r="E53" s="161"/>
      <c r="F53" s="161"/>
      <c r="G53" s="161"/>
      <c r="H53" s="161"/>
      <c r="I53" s="161"/>
      <c r="J53" s="161"/>
    </row>
    <row r="54" spans="1:10" ht="19.95" customHeight="1">
      <c r="A54" s="157" t="s">
        <v>153</v>
      </c>
      <c r="B54" s="158"/>
      <c r="C54" s="159"/>
      <c r="D54" s="159"/>
      <c r="E54" s="159"/>
      <c r="F54" s="159"/>
      <c r="G54" s="159"/>
      <c r="H54" s="159"/>
      <c r="I54" s="159"/>
      <c r="J54" s="159"/>
    </row>
    <row r="55" spans="1:10" ht="19.95" customHeight="1">
      <c r="A55" s="160" t="s">
        <v>209</v>
      </c>
      <c r="B55" s="161"/>
      <c r="C55" s="161"/>
      <c r="D55" s="161"/>
      <c r="E55" s="161"/>
      <c r="F55" s="161"/>
      <c r="G55" s="161"/>
      <c r="H55" s="161"/>
      <c r="I55" s="161"/>
      <c r="J55" s="161"/>
    </row>
    <row r="56" spans="1:10" ht="19.95" customHeight="1">
      <c r="A56" s="160" t="s">
        <v>210</v>
      </c>
      <c r="B56" s="161"/>
      <c r="C56" s="161"/>
      <c r="D56" s="161"/>
      <c r="E56" s="161"/>
      <c r="F56" s="161"/>
      <c r="G56" s="161"/>
      <c r="H56" s="161"/>
      <c r="I56" s="161"/>
      <c r="J56" s="161"/>
    </row>
    <row r="57" spans="1:10" ht="19.95" customHeight="1">
      <c r="A57" s="160" t="s">
        <v>211</v>
      </c>
      <c r="B57" s="161"/>
      <c r="C57" s="161"/>
      <c r="D57" s="161"/>
      <c r="E57" s="161"/>
      <c r="F57" s="161"/>
      <c r="G57" s="161"/>
      <c r="H57" s="161"/>
      <c r="I57" s="161"/>
      <c r="J57" s="161"/>
    </row>
    <row r="58" spans="1:10" ht="19.95" customHeight="1">
      <c r="A58" s="160" t="s">
        <v>212</v>
      </c>
      <c r="B58" s="161"/>
      <c r="C58" s="161"/>
      <c r="D58" s="161"/>
      <c r="E58" s="161"/>
      <c r="F58" s="161"/>
      <c r="G58" s="161"/>
      <c r="H58" s="161"/>
      <c r="I58" s="161"/>
      <c r="J58" s="161"/>
    </row>
    <row r="59" spans="1:10" ht="19.95" customHeight="1">
      <c r="A59" s="160" t="s">
        <v>213</v>
      </c>
      <c r="B59" s="161"/>
      <c r="C59" s="161"/>
      <c r="D59" s="161"/>
      <c r="E59" s="161"/>
      <c r="F59" s="161"/>
      <c r="G59" s="161"/>
      <c r="H59" s="161"/>
      <c r="I59" s="161"/>
      <c r="J59" s="161"/>
    </row>
    <row r="60" spans="1:10" ht="19.95" customHeight="1">
      <c r="A60" s="160" t="s">
        <v>214</v>
      </c>
      <c r="B60" s="161"/>
      <c r="C60" s="161"/>
      <c r="D60" s="161"/>
      <c r="E60" s="161"/>
      <c r="F60" s="161"/>
      <c r="G60" s="161"/>
      <c r="H60" s="161"/>
      <c r="I60" s="161"/>
      <c r="J60" s="161"/>
    </row>
    <row r="61" spans="1:10" ht="19.95" customHeight="1">
      <c r="A61" s="160"/>
      <c r="B61" s="161"/>
      <c r="C61" s="161"/>
      <c r="D61" s="161"/>
      <c r="E61" s="161"/>
      <c r="F61" s="161"/>
      <c r="G61" s="161"/>
      <c r="H61" s="161"/>
      <c r="I61" s="161"/>
      <c r="J61" s="161"/>
    </row>
    <row r="62" spans="1:10" ht="19.95" customHeight="1">
      <c r="A62" s="160" t="s">
        <v>215</v>
      </c>
      <c r="B62" s="161"/>
      <c r="C62" s="161"/>
      <c r="D62" s="161"/>
      <c r="E62" s="161"/>
      <c r="F62" s="161"/>
      <c r="G62" s="161"/>
      <c r="H62" s="161"/>
      <c r="I62" s="161"/>
      <c r="J62" s="161"/>
    </row>
    <row r="63" spans="1:10" ht="19.95" customHeight="1">
      <c r="A63" s="160" t="s">
        <v>212</v>
      </c>
      <c r="B63" s="161"/>
      <c r="C63" s="161"/>
      <c r="D63" s="161"/>
      <c r="E63" s="161"/>
      <c r="F63" s="161"/>
      <c r="G63" s="161"/>
      <c r="H63" s="161"/>
      <c r="I63" s="161"/>
      <c r="J63" s="161"/>
    </row>
    <row r="64" spans="1:10" ht="19.95" customHeight="1" thickBot="1">
      <c r="A64" s="166" t="s">
        <v>154</v>
      </c>
      <c r="B64" s="163"/>
      <c r="C64" s="163"/>
      <c r="D64" s="163"/>
      <c r="E64" s="163"/>
      <c r="F64" s="163"/>
      <c r="G64" s="163"/>
      <c r="H64" s="163"/>
      <c r="I64" s="163"/>
      <c r="J64" s="163"/>
    </row>
  </sheetData>
  <sortState ref="B34:F35">
    <sortCondition descending="1" ref="B34"/>
  </sortState>
  <mergeCells count="16">
    <mergeCell ref="A1:J1"/>
    <mergeCell ref="A2:J2"/>
    <mergeCell ref="H9:I9"/>
    <mergeCell ref="J9:J10"/>
    <mergeCell ref="A46:J46"/>
    <mergeCell ref="A9:A10"/>
    <mergeCell ref="B9:C9"/>
    <mergeCell ref="D9:E9"/>
    <mergeCell ref="F9:G9"/>
    <mergeCell ref="A48:J48"/>
    <mergeCell ref="A51:A52"/>
    <mergeCell ref="B51:C51"/>
    <mergeCell ref="D51:E51"/>
    <mergeCell ref="F51:G51"/>
    <mergeCell ref="H51:I51"/>
    <mergeCell ref="J51:J52"/>
  </mergeCells>
  <phoneticPr fontId="10" type="noConversion"/>
  <hyperlinks>
    <hyperlink ref="K5" location="底稿目录!A1" display="H7A"/>
  </hyperlinks>
  <printOptions horizontalCentered="1"/>
  <pageMargins left="0.98425196850393704" right="0.74803149606299213" top="0.98425196850393704" bottom="0.98425196850393704" header="0.51181102362204722" footer="0.51181102362204722"/>
  <pageSetup paperSize="9" scale="46"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IV40"/>
  <sheetViews>
    <sheetView view="pageBreakPreview" zoomScaleNormal="100" zoomScaleSheetLayoutView="100" workbookViewId="0">
      <selection sqref="A1:E1"/>
    </sheetView>
  </sheetViews>
  <sheetFormatPr defaultColWidth="9" defaultRowHeight="19.95" customHeight="1"/>
  <cols>
    <col min="1" max="1" width="32.59765625" style="7" customWidth="1"/>
    <col min="2" max="4" width="17.3984375" style="7" customWidth="1"/>
    <col min="5" max="5" width="14.09765625" style="7" customWidth="1"/>
    <col min="6" max="6" width="13.8984375" style="7" customWidth="1"/>
    <col min="7" max="7" width="14.59765625" style="7" customWidth="1"/>
    <col min="8" max="8" width="14.09765625" style="7" customWidth="1"/>
    <col min="9" max="16384" width="9" style="7"/>
  </cols>
  <sheetData>
    <row r="1" spans="1:256" s="345" customFormat="1" ht="19.95" customHeight="1">
      <c r="A1" s="648" t="s">
        <v>0</v>
      </c>
      <c r="B1" s="650"/>
      <c r="C1" s="650"/>
      <c r="D1" s="650"/>
      <c r="E1" s="650"/>
      <c r="F1" s="146"/>
      <c r="G1" s="146"/>
      <c r="H1" s="146"/>
      <c r="I1" s="14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row>
    <row r="2" spans="1:256" ht="19.95" customHeight="1">
      <c r="A2" s="649" t="s">
        <v>155</v>
      </c>
      <c r="B2" s="649"/>
      <c r="C2" s="649"/>
      <c r="D2" s="649"/>
      <c r="E2" s="649"/>
      <c r="F2" s="348"/>
      <c r="G2" s="348"/>
      <c r="H2" s="348"/>
      <c r="I2" s="348"/>
      <c r="J2" s="349"/>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row>
    <row r="3" spans="1:256" ht="19.95" customHeight="1">
      <c r="A3" s="135" t="str">
        <f>底稿目录!A2</f>
        <v>被审计单位：</v>
      </c>
      <c r="B3" s="135" t="str">
        <f>底稿目录!A4</f>
        <v>编制人：</v>
      </c>
      <c r="C3" s="147"/>
      <c r="D3" s="135" t="str">
        <f>底稿目录!A6</f>
        <v>编制日期：</v>
      </c>
      <c r="E3" s="433" t="s">
        <v>1011</v>
      </c>
      <c r="F3" s="148"/>
      <c r="G3" s="148"/>
      <c r="H3" s="149"/>
      <c r="I3" s="149"/>
      <c r="J3" s="8"/>
      <c r="K3" s="8"/>
      <c r="L3" s="8"/>
      <c r="M3" s="8"/>
      <c r="N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row>
    <row r="4" spans="1:256" ht="19.95" customHeight="1">
      <c r="A4" s="135" t="str">
        <f>底稿目录!A3</f>
        <v>截止日：</v>
      </c>
      <c r="B4" s="135" t="str">
        <f>底稿目录!A5</f>
        <v>复核人：</v>
      </c>
      <c r="C4" s="147"/>
      <c r="D4" s="135" t="str">
        <f>底稿目录!A7</f>
        <v>复核日期：</v>
      </c>
      <c r="E4" s="433" t="s">
        <v>1012</v>
      </c>
      <c r="F4" s="251" t="s">
        <v>308</v>
      </c>
      <c r="G4" s="148"/>
      <c r="H4" s="149"/>
      <c r="I4" s="149"/>
      <c r="J4" s="8"/>
      <c r="K4" s="8"/>
      <c r="L4" s="8"/>
      <c r="M4" s="8"/>
      <c r="N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row>
    <row r="5" spans="1:256" ht="19.95" customHeight="1">
      <c r="A5" s="150"/>
      <c r="B5" s="135"/>
      <c r="C5" s="135"/>
      <c r="D5" s="135"/>
      <c r="E5" s="148"/>
      <c r="G5" s="148"/>
      <c r="H5" s="149"/>
      <c r="I5" s="149"/>
      <c r="J5" s="8"/>
      <c r="K5" s="8"/>
      <c r="L5" s="8"/>
      <c r="M5" s="8"/>
      <c r="N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row>
    <row r="6" spans="1:256" s="8" customFormat="1" ht="19.95" customHeight="1">
      <c r="A6" s="16" t="s">
        <v>216</v>
      </c>
      <c r="B6" s="149"/>
      <c r="C6" s="149"/>
      <c r="D6" s="149"/>
      <c r="E6" s="149"/>
      <c r="F6" s="149"/>
      <c r="G6" s="149"/>
      <c r="H6" s="149"/>
      <c r="I6" s="149"/>
    </row>
    <row r="7" spans="1:256" s="8" customFormat="1" ht="19.95" customHeight="1" thickBot="1">
      <c r="A7" s="151" t="s">
        <v>217</v>
      </c>
      <c r="B7" s="149"/>
      <c r="C7" s="149"/>
      <c r="D7" s="149"/>
      <c r="E7" s="149"/>
      <c r="F7" s="149"/>
      <c r="G7" s="149"/>
      <c r="H7" s="149"/>
      <c r="I7" s="149"/>
    </row>
    <row r="8" spans="1:256" s="8" customFormat="1" ht="19.95" customHeight="1" thickBot="1">
      <c r="A8" s="167" t="s">
        <v>218</v>
      </c>
      <c r="B8" s="168" t="s">
        <v>219</v>
      </c>
      <c r="C8" s="169" t="s">
        <v>156</v>
      </c>
      <c r="D8" s="169" t="s">
        <v>157</v>
      </c>
      <c r="E8" s="168" t="s">
        <v>158</v>
      </c>
      <c r="G8" s="149"/>
      <c r="H8" s="149"/>
      <c r="I8" s="149"/>
    </row>
    <row r="9" spans="1:256" s="8" customFormat="1" ht="19.95" customHeight="1">
      <c r="A9" s="170" t="s">
        <v>159</v>
      </c>
      <c r="B9" s="171"/>
      <c r="C9" s="171"/>
      <c r="D9" s="171"/>
      <c r="E9" s="171"/>
      <c r="G9" s="149"/>
      <c r="H9" s="149"/>
      <c r="I9" s="149"/>
    </row>
    <row r="10" spans="1:256" s="8" customFormat="1" ht="19.95" customHeight="1">
      <c r="A10" s="170" t="s">
        <v>220</v>
      </c>
      <c r="B10" s="171"/>
      <c r="C10" s="171"/>
      <c r="D10" s="171"/>
      <c r="E10" s="171"/>
      <c r="F10" s="149"/>
      <c r="G10" s="149"/>
      <c r="H10" s="149"/>
      <c r="I10" s="149"/>
    </row>
    <row r="11" spans="1:256" s="8" customFormat="1" ht="19.95" customHeight="1">
      <c r="A11" s="172" t="s">
        <v>221</v>
      </c>
      <c r="B11" s="171"/>
      <c r="C11" s="171"/>
      <c r="D11" s="171"/>
      <c r="E11" s="171"/>
      <c r="F11" s="149"/>
      <c r="G11" s="149"/>
      <c r="H11" s="149"/>
      <c r="I11" s="149"/>
    </row>
    <row r="12" spans="1:256" s="8" customFormat="1" ht="19.95" customHeight="1">
      <c r="A12" s="170" t="s">
        <v>160</v>
      </c>
      <c r="B12" s="171"/>
      <c r="C12" s="171"/>
      <c r="D12" s="171"/>
      <c r="E12" s="171"/>
      <c r="F12" s="149"/>
      <c r="G12" s="149"/>
      <c r="H12" s="149"/>
      <c r="I12" s="149"/>
    </row>
    <row r="13" spans="1:256" s="8" customFormat="1" ht="19.95" customHeight="1">
      <c r="A13" s="170" t="s">
        <v>220</v>
      </c>
      <c r="B13" s="171"/>
      <c r="C13" s="171"/>
      <c r="D13" s="171"/>
      <c r="E13" s="171"/>
      <c r="F13" s="149"/>
      <c r="G13" s="149"/>
      <c r="H13" s="149"/>
      <c r="I13" s="149"/>
    </row>
    <row r="14" spans="1:256" s="8" customFormat="1" ht="19.95" customHeight="1">
      <c r="A14" s="172" t="s">
        <v>221</v>
      </c>
      <c r="B14" s="171"/>
      <c r="C14" s="171"/>
      <c r="D14" s="171"/>
      <c r="E14" s="171"/>
    </row>
    <row r="15" spans="1:256" s="8" customFormat="1" ht="19.95" customHeight="1">
      <c r="A15" s="170" t="s">
        <v>161</v>
      </c>
      <c r="B15" s="171"/>
      <c r="C15" s="171"/>
      <c r="D15" s="171"/>
      <c r="E15" s="171"/>
    </row>
    <row r="16" spans="1:256" s="8" customFormat="1" ht="19.95" customHeight="1">
      <c r="A16" s="170" t="s">
        <v>220</v>
      </c>
      <c r="B16" s="171"/>
      <c r="C16" s="171"/>
      <c r="D16" s="171"/>
      <c r="E16" s="171"/>
    </row>
    <row r="17" spans="1:5" s="8" customFormat="1" ht="19.95" customHeight="1">
      <c r="A17" s="172" t="s">
        <v>221</v>
      </c>
      <c r="B17" s="171"/>
      <c r="C17" s="171"/>
      <c r="D17" s="171"/>
      <c r="E17" s="171"/>
    </row>
    <row r="18" spans="1:5" s="8" customFormat="1" ht="19.95" customHeight="1">
      <c r="A18" s="170" t="s">
        <v>162</v>
      </c>
      <c r="B18" s="171"/>
      <c r="C18" s="171"/>
      <c r="D18" s="171"/>
      <c r="E18" s="171"/>
    </row>
    <row r="19" spans="1:5" s="8" customFormat="1" ht="19.95" customHeight="1">
      <c r="A19" s="170" t="s">
        <v>220</v>
      </c>
      <c r="B19" s="171"/>
      <c r="C19" s="171"/>
      <c r="D19" s="171"/>
      <c r="E19" s="171"/>
    </row>
    <row r="20" spans="1:5" s="8" customFormat="1" ht="19.95" customHeight="1" thickBot="1">
      <c r="A20" s="173" t="s">
        <v>221</v>
      </c>
      <c r="B20" s="174"/>
      <c r="C20" s="174"/>
      <c r="D20" s="174"/>
      <c r="E20" s="174"/>
    </row>
    <row r="21" spans="1:5" s="8" customFormat="1" ht="19.95" customHeight="1" thickBot="1">
      <c r="A21" s="175" t="s">
        <v>222</v>
      </c>
      <c r="B21" s="176"/>
      <c r="C21" s="176"/>
      <c r="D21" s="176"/>
      <c r="E21" s="176"/>
    </row>
    <row r="22" spans="1:5" s="8" customFormat="1" ht="19.95" customHeight="1">
      <c r="A22" s="153" t="s">
        <v>223</v>
      </c>
    </row>
    <row r="23" spans="1:5" s="8" customFormat="1" ht="19.95" customHeight="1">
      <c r="A23" s="153" t="s">
        <v>224</v>
      </c>
    </row>
    <row r="24" spans="1:5" s="8" customFormat="1" ht="19.95" customHeight="1" thickBot="1">
      <c r="A24" s="151" t="s">
        <v>225</v>
      </c>
    </row>
    <row r="25" spans="1:5" s="8" customFormat="1" ht="19.95" customHeight="1" thickBot="1">
      <c r="A25" s="167" t="s">
        <v>218</v>
      </c>
      <c r="B25" s="168" t="s">
        <v>219</v>
      </c>
      <c r="C25" s="169" t="s">
        <v>156</v>
      </c>
      <c r="D25" s="169" t="s">
        <v>157</v>
      </c>
      <c r="E25" s="168" t="s">
        <v>158</v>
      </c>
    </row>
    <row r="26" spans="1:5" s="8" customFormat="1" ht="19.95" customHeight="1">
      <c r="A26" s="170" t="s">
        <v>159</v>
      </c>
      <c r="B26" s="171"/>
      <c r="C26" s="171"/>
      <c r="D26" s="171"/>
      <c r="E26" s="171"/>
    </row>
    <row r="27" spans="1:5" s="8" customFormat="1" ht="19.95" customHeight="1">
      <c r="A27" s="170" t="s">
        <v>220</v>
      </c>
      <c r="B27" s="171"/>
      <c r="C27" s="171"/>
      <c r="D27" s="171"/>
      <c r="E27" s="171"/>
    </row>
    <row r="28" spans="1:5" s="8" customFormat="1" ht="19.95" customHeight="1">
      <c r="A28" s="172" t="s">
        <v>221</v>
      </c>
      <c r="B28" s="171"/>
      <c r="C28" s="171"/>
      <c r="D28" s="171"/>
      <c r="E28" s="171"/>
    </row>
    <row r="29" spans="1:5" s="8" customFormat="1" ht="19.95" customHeight="1">
      <c r="A29" s="170" t="s">
        <v>160</v>
      </c>
      <c r="B29" s="171"/>
      <c r="C29" s="171"/>
      <c r="D29" s="171"/>
      <c r="E29" s="171"/>
    </row>
    <row r="30" spans="1:5" ht="19.95" customHeight="1">
      <c r="A30" s="170" t="s">
        <v>220</v>
      </c>
      <c r="B30" s="171"/>
      <c r="C30" s="171"/>
      <c r="D30" s="171"/>
      <c r="E30" s="171"/>
    </row>
    <row r="31" spans="1:5" ht="19.95" customHeight="1">
      <c r="A31" s="172" t="s">
        <v>221</v>
      </c>
      <c r="B31" s="171"/>
      <c r="C31" s="171"/>
      <c r="D31" s="171"/>
      <c r="E31" s="171"/>
    </row>
    <row r="32" spans="1:5" ht="19.95" customHeight="1">
      <c r="A32" s="170" t="s">
        <v>161</v>
      </c>
      <c r="B32" s="171"/>
      <c r="C32" s="171"/>
      <c r="D32" s="171"/>
      <c r="E32" s="171"/>
    </row>
    <row r="33" spans="1:5" ht="19.95" customHeight="1">
      <c r="A33" s="170" t="s">
        <v>220</v>
      </c>
      <c r="B33" s="171"/>
      <c r="C33" s="171"/>
      <c r="D33" s="171"/>
      <c r="E33" s="171"/>
    </row>
    <row r="34" spans="1:5" ht="19.95" customHeight="1">
      <c r="A34" s="172" t="s">
        <v>221</v>
      </c>
      <c r="B34" s="171"/>
      <c r="C34" s="171"/>
      <c r="D34" s="171"/>
      <c r="E34" s="171"/>
    </row>
    <row r="35" spans="1:5" ht="19.95" customHeight="1">
      <c r="A35" s="170" t="s">
        <v>162</v>
      </c>
      <c r="B35" s="171"/>
      <c r="C35" s="171"/>
      <c r="D35" s="171"/>
      <c r="E35" s="171"/>
    </row>
    <row r="36" spans="1:5" ht="19.95" customHeight="1">
      <c r="A36" s="170" t="s">
        <v>220</v>
      </c>
      <c r="B36" s="171"/>
      <c r="C36" s="171"/>
      <c r="D36" s="171"/>
      <c r="E36" s="171"/>
    </row>
    <row r="37" spans="1:5" ht="19.95" customHeight="1" thickBot="1">
      <c r="A37" s="173" t="s">
        <v>221</v>
      </c>
      <c r="B37" s="174"/>
      <c r="C37" s="174"/>
      <c r="D37" s="174"/>
      <c r="E37" s="174"/>
    </row>
    <row r="38" spans="1:5" ht="19.95" customHeight="1" thickBot="1">
      <c r="A38" s="175" t="s">
        <v>222</v>
      </c>
      <c r="B38" s="176"/>
      <c r="C38" s="176"/>
      <c r="D38" s="176"/>
      <c r="E38" s="176"/>
    </row>
    <row r="39" spans="1:5" ht="19.95" customHeight="1">
      <c r="A39" s="152" t="s">
        <v>226</v>
      </c>
    </row>
    <row r="40" spans="1:5" ht="19.95" customHeight="1">
      <c r="A40" s="102" t="s">
        <v>227</v>
      </c>
    </row>
  </sheetData>
  <mergeCells count="2">
    <mergeCell ref="A1:E1"/>
    <mergeCell ref="A2:E2"/>
  </mergeCells>
  <phoneticPr fontId="10" type="noConversion"/>
  <hyperlinks>
    <hyperlink ref="F4" location="底稿目录!A1" display="H7A"/>
  </hyperlinks>
  <printOptions horizontalCentered="1"/>
  <pageMargins left="0.70866141732283472" right="0.70866141732283472" top="0.74803149606299213" bottom="0.74803149606299213" header="0.31496062992125984" footer="0.31496062992125984"/>
  <pageSetup paperSize="9" scale="48" orientation="portrait"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Y61"/>
  <sheetViews>
    <sheetView view="pageBreakPreview" zoomScaleSheetLayoutView="100" workbookViewId="0">
      <selection sqref="A1:P1"/>
    </sheetView>
  </sheetViews>
  <sheetFormatPr defaultColWidth="9" defaultRowHeight="19.95" customHeight="1"/>
  <cols>
    <col min="1" max="1" width="15" style="3" customWidth="1"/>
    <col min="2" max="2" width="12.09765625" style="3" customWidth="1"/>
    <col min="3" max="3" width="10.69921875" style="3" customWidth="1"/>
    <col min="4" max="4" width="10.59765625" style="3" customWidth="1"/>
    <col min="5" max="5" width="12.8984375" style="3" customWidth="1"/>
    <col min="6" max="6" width="8.59765625" style="3" customWidth="1"/>
    <col min="7" max="7" width="10.3984375" style="3" customWidth="1"/>
    <col min="8" max="8" width="11.3984375" style="3" customWidth="1"/>
    <col min="9" max="9" width="9.8984375" style="3" customWidth="1"/>
    <col min="10" max="10" width="10.5" style="3" customWidth="1"/>
    <col min="11" max="11" width="10.19921875" style="3" customWidth="1"/>
    <col min="12" max="12" width="9.5" style="3" customWidth="1"/>
    <col min="13" max="14" width="9.19921875" style="3" customWidth="1"/>
    <col min="15" max="16" width="8.5" style="3" customWidth="1"/>
    <col min="17" max="17" width="9.3984375" style="3" customWidth="1"/>
    <col min="18" max="18" width="12.69921875" style="3" customWidth="1"/>
    <col min="19" max="19" width="10.3984375" style="3" customWidth="1"/>
    <col min="20" max="20" width="11.5" style="3" customWidth="1"/>
    <col min="21" max="21" width="9.296875" style="3" customWidth="1"/>
    <col min="22" max="35" width="9" style="3"/>
    <col min="36" max="36" width="9.796875" style="3" customWidth="1"/>
    <col min="37" max="16384" width="9" style="3"/>
  </cols>
  <sheetData>
    <row r="1" spans="1:51" s="10" customFormat="1" ht="19.95" customHeight="1">
      <c r="A1" s="651" t="s">
        <v>982</v>
      </c>
      <c r="B1" s="651"/>
      <c r="C1" s="651"/>
      <c r="D1" s="651"/>
      <c r="E1" s="651"/>
      <c r="F1" s="651"/>
      <c r="G1" s="651"/>
      <c r="H1" s="651"/>
      <c r="I1" s="651"/>
      <c r="J1" s="651"/>
      <c r="K1" s="651"/>
      <c r="L1" s="651"/>
      <c r="M1" s="651"/>
      <c r="N1" s="651"/>
      <c r="O1" s="651"/>
      <c r="P1" s="651"/>
      <c r="Q1" s="651" t="s">
        <v>982</v>
      </c>
      <c r="R1" s="651"/>
      <c r="S1" s="651"/>
      <c r="T1" s="651"/>
      <c r="U1" s="651"/>
      <c r="V1" s="651"/>
      <c r="W1" s="651"/>
      <c r="X1" s="651"/>
      <c r="Y1" s="651"/>
      <c r="Z1" s="651"/>
      <c r="AA1" s="651"/>
      <c r="AB1" s="651"/>
      <c r="AC1" s="651"/>
      <c r="AD1" s="651"/>
      <c r="AE1" s="651"/>
      <c r="AF1" s="651" t="s">
        <v>982</v>
      </c>
      <c r="AG1" s="651"/>
      <c r="AH1" s="651"/>
      <c r="AI1" s="651"/>
      <c r="AJ1" s="651"/>
      <c r="AK1" s="651"/>
      <c r="AL1" s="651"/>
      <c r="AM1" s="651"/>
      <c r="AN1" s="651"/>
      <c r="AO1" s="651"/>
      <c r="AP1" s="651"/>
      <c r="AQ1" s="651"/>
      <c r="AR1" s="651"/>
      <c r="AS1" s="651"/>
      <c r="AT1" s="651"/>
      <c r="AU1" s="651"/>
      <c r="AV1" s="651"/>
      <c r="AW1" s="651"/>
      <c r="AX1" s="651"/>
      <c r="AY1" s="651"/>
    </row>
    <row r="2" spans="1:51" s="347" customFormat="1" ht="19.95" customHeight="1">
      <c r="A2" s="618" t="s">
        <v>1010</v>
      </c>
      <c r="B2" s="618"/>
      <c r="C2" s="618"/>
      <c r="D2" s="618"/>
      <c r="E2" s="618"/>
      <c r="F2" s="618"/>
      <c r="G2" s="618"/>
      <c r="H2" s="618"/>
      <c r="I2" s="618"/>
      <c r="J2" s="618"/>
      <c r="K2" s="618"/>
      <c r="L2" s="618"/>
      <c r="M2" s="618"/>
      <c r="N2" s="618"/>
      <c r="O2" s="618"/>
      <c r="P2" s="618"/>
      <c r="Q2" s="618" t="s">
        <v>1010</v>
      </c>
      <c r="R2" s="618"/>
      <c r="S2" s="618"/>
      <c r="T2" s="618"/>
      <c r="U2" s="618"/>
      <c r="V2" s="618"/>
      <c r="W2" s="618"/>
      <c r="X2" s="618"/>
      <c r="Y2" s="618"/>
      <c r="Z2" s="618"/>
      <c r="AA2" s="618"/>
      <c r="AB2" s="618"/>
      <c r="AC2" s="618"/>
      <c r="AD2" s="618"/>
      <c r="AE2" s="618"/>
      <c r="AF2" s="618" t="s">
        <v>1010</v>
      </c>
      <c r="AG2" s="618"/>
      <c r="AH2" s="618"/>
      <c r="AI2" s="618"/>
      <c r="AJ2" s="618"/>
      <c r="AK2" s="618"/>
      <c r="AL2" s="618"/>
      <c r="AM2" s="618"/>
      <c r="AN2" s="618"/>
      <c r="AO2" s="618"/>
      <c r="AP2" s="618"/>
      <c r="AQ2" s="618"/>
      <c r="AR2" s="618"/>
      <c r="AS2" s="618"/>
      <c r="AT2" s="618"/>
      <c r="AU2" s="618"/>
      <c r="AV2" s="618"/>
      <c r="AW2" s="618"/>
      <c r="AX2" s="618"/>
      <c r="AY2" s="618"/>
    </row>
    <row r="3" spans="1:51" ht="19.95" customHeight="1">
      <c r="A3" s="3" t="str">
        <f>底稿目录!A2</f>
        <v>被审计单位：</v>
      </c>
      <c r="G3" s="3" t="str">
        <f>底稿目录!A4</f>
        <v>编制人：</v>
      </c>
      <c r="H3" s="8"/>
      <c r="K3" s="3" t="str">
        <f>底稿目录!A6</f>
        <v>编制日期：</v>
      </c>
      <c r="O3" s="432" t="s">
        <v>1011</v>
      </c>
      <c r="P3" s="252" t="s">
        <v>254</v>
      </c>
      <c r="U3" s="3" t="str">
        <f>底稿目录!A4</f>
        <v>编制人：</v>
      </c>
      <c r="X3" s="91"/>
      <c r="Y3" s="3" t="str">
        <f>底稿目录!A6</f>
        <v>编制日期：</v>
      </c>
      <c r="AD3" s="432" t="s">
        <v>1011</v>
      </c>
      <c r="AE3" s="252" t="s">
        <v>254</v>
      </c>
      <c r="AJ3" s="3" t="str">
        <f>底稿目录!A4</f>
        <v>编制人：</v>
      </c>
      <c r="AL3" s="8"/>
      <c r="AQ3" s="3" t="str">
        <f>底稿目录!A6</f>
        <v>编制日期：</v>
      </c>
      <c r="AR3" s="91"/>
      <c r="AX3" s="432" t="s">
        <v>1011</v>
      </c>
      <c r="AY3" s="252" t="s">
        <v>254</v>
      </c>
    </row>
    <row r="4" spans="1:51" ht="19.95" customHeight="1">
      <c r="A4" s="3" t="str">
        <f>底稿目录!A3</f>
        <v>截止日：</v>
      </c>
      <c r="G4" s="3" t="str">
        <f>底稿目录!A5</f>
        <v>复核人：</v>
      </c>
      <c r="H4" s="8"/>
      <c r="K4" s="3" t="str">
        <f>底稿目录!A7</f>
        <v>复核日期：</v>
      </c>
      <c r="O4" s="432" t="s">
        <v>1012</v>
      </c>
      <c r="P4" s="265"/>
      <c r="U4" s="3" t="str">
        <f>底稿目录!A5</f>
        <v>复核人：</v>
      </c>
      <c r="X4" s="91"/>
      <c r="Y4" s="3" t="str">
        <f>底稿目录!A7</f>
        <v>复核日期：</v>
      </c>
      <c r="AD4" s="432" t="s">
        <v>1012</v>
      </c>
      <c r="AE4" s="265"/>
      <c r="AJ4" s="3" t="str">
        <f>底稿目录!A5</f>
        <v>复核人：</v>
      </c>
      <c r="AL4" s="8"/>
      <c r="AQ4" s="3" t="str">
        <f>底稿目录!A7</f>
        <v>复核日期：</v>
      </c>
      <c r="AR4" s="91"/>
      <c r="AX4" s="432" t="s">
        <v>1012</v>
      </c>
      <c r="AY4" s="265"/>
    </row>
    <row r="5" spans="1:51" ht="19.95" customHeight="1">
      <c r="A5" s="51" t="s">
        <v>395</v>
      </c>
      <c r="C5" s="11"/>
      <c r="H5" s="8"/>
      <c r="O5" s="159"/>
      <c r="P5" s="159"/>
      <c r="Q5" s="159"/>
      <c r="R5" s="159"/>
      <c r="S5" s="159"/>
      <c r="T5" s="159"/>
      <c r="U5" s="159"/>
    </row>
    <row r="6" spans="1:51" s="182" customFormat="1" ht="19.95" customHeight="1">
      <c r="A6" s="517" t="s">
        <v>396</v>
      </c>
      <c r="C6" s="518"/>
      <c r="H6" s="519"/>
      <c r="O6" s="520"/>
      <c r="P6" s="520"/>
      <c r="Q6" s="520"/>
      <c r="R6" s="520"/>
      <c r="S6" s="520"/>
      <c r="T6" s="520"/>
      <c r="U6" s="520"/>
    </row>
    <row r="7" spans="1:51" s="182" customFormat="1" ht="19.95" customHeight="1">
      <c r="A7" s="517" t="s">
        <v>397</v>
      </c>
      <c r="C7" s="518"/>
      <c r="H7" s="519"/>
      <c r="O7" s="520"/>
      <c r="P7" s="520"/>
      <c r="Q7" s="520"/>
      <c r="R7" s="520"/>
      <c r="S7" s="520"/>
      <c r="T7" s="520"/>
      <c r="U7" s="520"/>
    </row>
    <row r="8" spans="1:51" ht="19.95" customHeight="1">
      <c r="A8" s="52" t="s">
        <v>398</v>
      </c>
      <c r="C8" s="11"/>
      <c r="H8" s="8"/>
      <c r="O8" s="159"/>
      <c r="P8" s="159"/>
      <c r="Q8" s="159"/>
      <c r="R8" s="159"/>
      <c r="S8" s="159"/>
      <c r="T8" s="159"/>
      <c r="U8" s="159"/>
    </row>
    <row r="9" spans="1:51" s="12" customFormat="1" ht="19.95" customHeight="1">
      <c r="A9" s="654" t="s">
        <v>399</v>
      </c>
      <c r="B9" s="654" t="s">
        <v>400</v>
      </c>
      <c r="C9" s="654" t="s">
        <v>401</v>
      </c>
      <c r="D9" s="655" t="s">
        <v>402</v>
      </c>
      <c r="E9" s="655"/>
      <c r="F9" s="655"/>
      <c r="G9" s="655"/>
      <c r="H9" s="655"/>
      <c r="I9" s="655"/>
      <c r="J9" s="655"/>
      <c r="K9" s="655"/>
      <c r="L9" s="655"/>
      <c r="M9" s="655"/>
      <c r="N9" s="655"/>
      <c r="O9" s="655"/>
      <c r="P9" s="655"/>
      <c r="Q9" s="631" t="s">
        <v>403</v>
      </c>
      <c r="R9" s="631"/>
      <c r="S9" s="631"/>
      <c r="T9" s="631"/>
      <c r="U9" s="631"/>
      <c r="V9" s="631"/>
      <c r="W9" s="631"/>
      <c r="X9" s="631"/>
      <c r="Y9" s="631"/>
      <c r="Z9" s="631"/>
      <c r="AA9" s="631"/>
      <c r="AB9" s="631"/>
      <c r="AC9" s="631"/>
      <c r="AD9" s="631"/>
      <c r="AE9" s="631"/>
      <c r="AF9" s="631" t="s">
        <v>404</v>
      </c>
      <c r="AG9" s="631"/>
      <c r="AH9" s="631"/>
      <c r="AI9" s="631"/>
      <c r="AJ9" s="631"/>
      <c r="AK9" s="631"/>
      <c r="AL9" s="631"/>
      <c r="AM9" s="631"/>
      <c r="AN9" s="631"/>
      <c r="AO9" s="631"/>
      <c r="AP9" s="631"/>
      <c r="AQ9" s="631"/>
      <c r="AR9" s="631"/>
      <c r="AS9" s="631"/>
      <c r="AT9" s="631"/>
      <c r="AU9" s="631" t="s">
        <v>405</v>
      </c>
      <c r="AV9" s="631"/>
      <c r="AW9" s="631" t="s">
        <v>406</v>
      </c>
      <c r="AX9" s="631"/>
      <c r="AY9" s="657" t="s">
        <v>1184</v>
      </c>
    </row>
    <row r="10" spans="1:51" s="12" customFormat="1" ht="19.95" customHeight="1">
      <c r="A10" s="654"/>
      <c r="B10" s="654"/>
      <c r="C10" s="654"/>
      <c r="D10" s="655" t="s">
        <v>407</v>
      </c>
      <c r="E10" s="655"/>
      <c r="F10" s="655"/>
      <c r="G10" s="655"/>
      <c r="H10" s="655"/>
      <c r="I10" s="655"/>
      <c r="J10" s="656" t="s">
        <v>408</v>
      </c>
      <c r="K10" s="656" t="s">
        <v>409</v>
      </c>
      <c r="L10" s="656"/>
      <c r="M10" s="656" t="s">
        <v>410</v>
      </c>
      <c r="N10" s="656"/>
      <c r="O10" s="656"/>
      <c r="P10" s="656"/>
      <c r="Q10" s="631" t="s">
        <v>411</v>
      </c>
      <c r="R10" s="631"/>
      <c r="S10" s="631"/>
      <c r="T10" s="631"/>
      <c r="U10" s="631"/>
      <c r="V10" s="631"/>
      <c r="W10" s="656" t="s">
        <v>412</v>
      </c>
      <c r="X10" s="656" t="s">
        <v>413</v>
      </c>
      <c r="Y10" s="656"/>
      <c r="Z10" s="656"/>
      <c r="AA10" s="437"/>
      <c r="AB10" s="656" t="s">
        <v>410</v>
      </c>
      <c r="AC10" s="656"/>
      <c r="AD10" s="656"/>
      <c r="AE10" s="656"/>
      <c r="AF10" s="631" t="s">
        <v>411</v>
      </c>
      <c r="AG10" s="631"/>
      <c r="AH10" s="631"/>
      <c r="AI10" s="631"/>
      <c r="AJ10" s="631"/>
      <c r="AK10" s="631"/>
      <c r="AL10" s="656" t="s">
        <v>412</v>
      </c>
      <c r="AM10" s="656" t="s">
        <v>409</v>
      </c>
      <c r="AN10" s="656"/>
      <c r="AO10" s="656"/>
      <c r="AP10" s="656"/>
      <c r="AQ10" s="656" t="s">
        <v>414</v>
      </c>
      <c r="AR10" s="656"/>
      <c r="AS10" s="656"/>
      <c r="AT10" s="656"/>
      <c r="AU10" s="631"/>
      <c r="AV10" s="631"/>
      <c r="AW10" s="631"/>
      <c r="AX10" s="631"/>
      <c r="AY10" s="657"/>
    </row>
    <row r="11" spans="1:51" s="12" customFormat="1" ht="19.95" customHeight="1">
      <c r="A11" s="654"/>
      <c r="B11" s="654"/>
      <c r="C11" s="654"/>
      <c r="D11" s="656" t="s">
        <v>87</v>
      </c>
      <c r="E11" s="631" t="s">
        <v>88</v>
      </c>
      <c r="F11" s="631"/>
      <c r="G11" s="631" t="s">
        <v>415</v>
      </c>
      <c r="H11" s="631"/>
      <c r="I11" s="631" t="s">
        <v>416</v>
      </c>
      <c r="J11" s="656"/>
      <c r="K11" s="656" t="s">
        <v>88</v>
      </c>
      <c r="L11" s="656" t="s">
        <v>417</v>
      </c>
      <c r="M11" s="656" t="s">
        <v>418</v>
      </c>
      <c r="N11" s="656" t="s">
        <v>88</v>
      </c>
      <c r="O11" s="656" t="s">
        <v>419</v>
      </c>
      <c r="P11" s="656" t="s">
        <v>420</v>
      </c>
      <c r="Q11" s="656" t="s">
        <v>421</v>
      </c>
      <c r="R11" s="631" t="s">
        <v>90</v>
      </c>
      <c r="S11" s="631"/>
      <c r="T11" s="631" t="s">
        <v>415</v>
      </c>
      <c r="U11" s="631"/>
      <c r="V11" s="656" t="s">
        <v>422</v>
      </c>
      <c r="W11" s="656"/>
      <c r="X11" s="631" t="s">
        <v>90</v>
      </c>
      <c r="Y11" s="631"/>
      <c r="Z11" s="631" t="s">
        <v>423</v>
      </c>
      <c r="AA11" s="631"/>
      <c r="AB11" s="656" t="s">
        <v>421</v>
      </c>
      <c r="AC11" s="631" t="s">
        <v>90</v>
      </c>
      <c r="AD11" s="631" t="s">
        <v>424</v>
      </c>
      <c r="AE11" s="656" t="s">
        <v>425</v>
      </c>
      <c r="AF11" s="656" t="s">
        <v>87</v>
      </c>
      <c r="AG11" s="631" t="s">
        <v>90</v>
      </c>
      <c r="AH11" s="631"/>
      <c r="AI11" s="631" t="s">
        <v>424</v>
      </c>
      <c r="AJ11" s="631"/>
      <c r="AK11" s="656" t="s">
        <v>426</v>
      </c>
      <c r="AL11" s="656"/>
      <c r="AM11" s="631" t="s">
        <v>90</v>
      </c>
      <c r="AN11" s="631"/>
      <c r="AO11" s="631" t="s">
        <v>424</v>
      </c>
      <c r="AP11" s="631"/>
      <c r="AQ11" s="656" t="s">
        <v>427</v>
      </c>
      <c r="AR11" s="656" t="s">
        <v>428</v>
      </c>
      <c r="AS11" s="656" t="s">
        <v>429</v>
      </c>
      <c r="AT11" s="656" t="s">
        <v>426</v>
      </c>
      <c r="AU11" s="658" t="s">
        <v>430</v>
      </c>
      <c r="AV11" s="658" t="s">
        <v>431</v>
      </c>
      <c r="AW11" s="658" t="s">
        <v>432</v>
      </c>
      <c r="AX11" s="658" t="s">
        <v>433</v>
      </c>
      <c r="AY11" s="657"/>
    </row>
    <row r="12" spans="1:51" ht="19.95" customHeight="1">
      <c r="A12" s="654"/>
      <c r="B12" s="654"/>
      <c r="C12" s="654"/>
      <c r="D12" s="656"/>
      <c r="E12" s="436" t="s">
        <v>434</v>
      </c>
      <c r="F12" s="278" t="s">
        <v>435</v>
      </c>
      <c r="G12" s="436" t="s">
        <v>434</v>
      </c>
      <c r="H12" s="278" t="s">
        <v>436</v>
      </c>
      <c r="I12" s="631"/>
      <c r="J12" s="656"/>
      <c r="K12" s="656"/>
      <c r="L12" s="656"/>
      <c r="M12" s="656"/>
      <c r="N12" s="656"/>
      <c r="O12" s="656"/>
      <c r="P12" s="656"/>
      <c r="Q12" s="656"/>
      <c r="R12" s="436" t="s">
        <v>437</v>
      </c>
      <c r="S12" s="436" t="s">
        <v>91</v>
      </c>
      <c r="T12" s="436" t="s">
        <v>438</v>
      </c>
      <c r="U12" s="436" t="s">
        <v>439</v>
      </c>
      <c r="V12" s="656"/>
      <c r="W12" s="656"/>
      <c r="X12" s="436" t="s">
        <v>440</v>
      </c>
      <c r="Y12" s="436" t="s">
        <v>91</v>
      </c>
      <c r="Z12" s="436" t="s">
        <v>441</v>
      </c>
      <c r="AA12" s="436" t="s">
        <v>442</v>
      </c>
      <c r="AB12" s="656"/>
      <c r="AC12" s="631"/>
      <c r="AD12" s="631"/>
      <c r="AE12" s="656"/>
      <c r="AF12" s="656"/>
      <c r="AG12" s="436" t="s">
        <v>443</v>
      </c>
      <c r="AH12" s="436" t="s">
        <v>91</v>
      </c>
      <c r="AI12" s="436" t="s">
        <v>444</v>
      </c>
      <c r="AJ12" s="436" t="s">
        <v>439</v>
      </c>
      <c r="AK12" s="656"/>
      <c r="AL12" s="656"/>
      <c r="AM12" s="436" t="s">
        <v>445</v>
      </c>
      <c r="AN12" s="436" t="s">
        <v>91</v>
      </c>
      <c r="AO12" s="436" t="s">
        <v>444</v>
      </c>
      <c r="AP12" s="436" t="s">
        <v>446</v>
      </c>
      <c r="AQ12" s="656"/>
      <c r="AR12" s="656"/>
      <c r="AS12" s="656"/>
      <c r="AT12" s="656"/>
      <c r="AU12" s="658"/>
      <c r="AV12" s="658"/>
      <c r="AW12" s="658"/>
      <c r="AX12" s="658"/>
      <c r="AY12" s="657"/>
    </row>
    <row r="13" spans="1:51" ht="19.95" customHeight="1">
      <c r="A13" s="90"/>
      <c r="B13" s="61"/>
      <c r="C13" s="438"/>
      <c r="D13" s="71"/>
      <c r="E13" s="71"/>
      <c r="F13" s="363"/>
      <c r="G13" s="71"/>
      <c r="H13" s="363"/>
      <c r="I13" s="108">
        <f>SUM(D13:E13)-G13</f>
        <v>0</v>
      </c>
      <c r="J13" s="71"/>
      <c r="K13" s="71"/>
      <c r="L13" s="71"/>
      <c r="M13" s="108">
        <f>D13+J13</f>
        <v>0</v>
      </c>
      <c r="N13" s="108">
        <f>E13+K13</f>
        <v>0</v>
      </c>
      <c r="O13" s="108">
        <f>G13+L13</f>
        <v>0</v>
      </c>
      <c r="P13" s="108">
        <f>M13+N13-O13</f>
        <v>0</v>
      </c>
      <c r="Q13" s="71"/>
      <c r="R13" s="71"/>
      <c r="S13" s="71"/>
      <c r="T13" s="71"/>
      <c r="U13" s="71"/>
      <c r="V13" s="108">
        <f>SUM(Q13:S13)-SUM(T13:U13)</f>
        <v>0</v>
      </c>
      <c r="W13" s="71"/>
      <c r="X13" s="71"/>
      <c r="Y13" s="71"/>
      <c r="Z13" s="71"/>
      <c r="AA13" s="71"/>
      <c r="AB13" s="108">
        <f>Q13+W13</f>
        <v>0</v>
      </c>
      <c r="AC13" s="108">
        <f>R13+X13+S13+Y13</f>
        <v>0</v>
      </c>
      <c r="AD13" s="108">
        <f>T13+Z13+U13+AA13</f>
        <v>0</v>
      </c>
      <c r="AE13" s="108">
        <f>AB13+AC13-AD13</f>
        <v>0</v>
      </c>
      <c r="AF13" s="71"/>
      <c r="AG13" s="71"/>
      <c r="AH13" s="71"/>
      <c r="AI13" s="71"/>
      <c r="AJ13" s="71"/>
      <c r="AK13" s="108">
        <f>SUM(AF13:AH13)-SUM(AI13:AJ13)</f>
        <v>0</v>
      </c>
      <c r="AL13" s="71"/>
      <c r="AM13" s="71"/>
      <c r="AN13" s="71"/>
      <c r="AO13" s="71"/>
      <c r="AP13" s="71"/>
      <c r="AQ13" s="108">
        <f>AF13+AL13</f>
        <v>0</v>
      </c>
      <c r="AR13" s="108">
        <f>AG13+AM13+AH13+AN13</f>
        <v>0</v>
      </c>
      <c r="AS13" s="108">
        <f>AI13+AP13+AJ13+AO13</f>
        <v>0</v>
      </c>
      <c r="AT13" s="108">
        <f>AQ13+AR13-AS13</f>
        <v>0</v>
      </c>
      <c r="AU13" s="108">
        <f>D13-Q13-AF13</f>
        <v>0</v>
      </c>
      <c r="AV13" s="108">
        <f>M13-AB13-AQ13</f>
        <v>0</v>
      </c>
      <c r="AW13" s="108">
        <f>I13-V13-AK13</f>
        <v>0</v>
      </c>
      <c r="AX13" s="108">
        <f>P13-AE13-AT13</f>
        <v>0</v>
      </c>
      <c r="AY13" s="364"/>
    </row>
    <row r="14" spans="1:51" ht="19.95" customHeight="1">
      <c r="A14" s="90"/>
      <c r="B14" s="61"/>
      <c r="C14" s="438"/>
      <c r="D14" s="71"/>
      <c r="E14" s="71"/>
      <c r="F14" s="363"/>
      <c r="G14" s="71"/>
      <c r="H14" s="363"/>
      <c r="I14" s="108">
        <f t="shared" ref="I14:I36" si="0">SUM(D14:E14)-G14</f>
        <v>0</v>
      </c>
      <c r="J14" s="71"/>
      <c r="K14" s="71"/>
      <c r="L14" s="71"/>
      <c r="M14" s="108">
        <f t="shared" ref="M14:M36" si="1">D14+J14</f>
        <v>0</v>
      </c>
      <c r="N14" s="108">
        <f t="shared" ref="N14:N36" si="2">E14+K14</f>
        <v>0</v>
      </c>
      <c r="O14" s="108">
        <f t="shared" ref="O14:O36" si="3">G14+L14</f>
        <v>0</v>
      </c>
      <c r="P14" s="108">
        <f t="shared" ref="P14:P36" si="4">M14+N14-O14</f>
        <v>0</v>
      </c>
      <c r="Q14" s="71"/>
      <c r="R14" s="71"/>
      <c r="S14" s="71"/>
      <c r="T14" s="71"/>
      <c r="U14" s="71"/>
      <c r="V14" s="108">
        <f t="shared" ref="V14:V36" si="5">SUM(Q14:S14)-SUM(T14:U14)</f>
        <v>0</v>
      </c>
      <c r="W14" s="71"/>
      <c r="X14" s="71"/>
      <c r="Y14" s="71"/>
      <c r="Z14" s="71"/>
      <c r="AA14" s="71"/>
      <c r="AB14" s="108">
        <f t="shared" ref="AB14:AB36" si="6">Q14+W14</f>
        <v>0</v>
      </c>
      <c r="AC14" s="108">
        <f t="shared" ref="AC14:AC36" si="7">R14+X14+S14+Y14</f>
        <v>0</v>
      </c>
      <c r="AD14" s="108">
        <f t="shared" ref="AD14:AD36" si="8">T14+Z14+U14+AA14</f>
        <v>0</v>
      </c>
      <c r="AE14" s="108">
        <f t="shared" ref="AE14:AE36" si="9">AB14+AC14-AD14</f>
        <v>0</v>
      </c>
      <c r="AF14" s="71"/>
      <c r="AG14" s="71"/>
      <c r="AH14" s="71"/>
      <c r="AI14" s="71"/>
      <c r="AJ14" s="71"/>
      <c r="AK14" s="108">
        <f t="shared" ref="AK14:AK36" si="10">SUM(AF14:AH14)-SUM(AI14:AJ14)</f>
        <v>0</v>
      </c>
      <c r="AL14" s="71"/>
      <c r="AM14" s="71"/>
      <c r="AN14" s="71"/>
      <c r="AO14" s="71"/>
      <c r="AP14" s="71"/>
      <c r="AQ14" s="108">
        <f t="shared" ref="AQ14:AQ36" si="11">AF14+AL14</f>
        <v>0</v>
      </c>
      <c r="AR14" s="108">
        <f t="shared" ref="AR14:AR36" si="12">AG14+AM14+AH14+AN14</f>
        <v>0</v>
      </c>
      <c r="AS14" s="108">
        <f t="shared" ref="AS14:AS36" si="13">AI14+AP14+AJ14+AO14</f>
        <v>0</v>
      </c>
      <c r="AT14" s="108">
        <f t="shared" ref="AT14:AT35" si="14">AQ14+AR14-AS14</f>
        <v>0</v>
      </c>
      <c r="AU14" s="108">
        <f t="shared" ref="AU14:AU36" si="15">D14-Q14-AF14</f>
        <v>0</v>
      </c>
      <c r="AV14" s="108">
        <f t="shared" ref="AV14:AV36" si="16">M14-AB14-AQ14</f>
        <v>0</v>
      </c>
      <c r="AW14" s="108">
        <f t="shared" ref="AW14:AW36" si="17">I14-V14-AK14</f>
        <v>0</v>
      </c>
      <c r="AX14" s="108">
        <f t="shared" ref="AX14:AX36" si="18">P14-AE14-AT14</f>
        <v>0</v>
      </c>
      <c r="AY14" s="364"/>
    </row>
    <row r="15" spans="1:51" ht="19.95" customHeight="1">
      <c r="A15" s="90"/>
      <c r="B15" s="61"/>
      <c r="C15" s="438"/>
      <c r="D15" s="71"/>
      <c r="E15" s="71"/>
      <c r="F15" s="363"/>
      <c r="G15" s="71"/>
      <c r="H15" s="363"/>
      <c r="I15" s="108">
        <f t="shared" si="0"/>
        <v>0</v>
      </c>
      <c r="J15" s="71"/>
      <c r="K15" s="71"/>
      <c r="L15" s="71"/>
      <c r="M15" s="108">
        <f t="shared" si="1"/>
        <v>0</v>
      </c>
      <c r="N15" s="108">
        <f t="shared" si="2"/>
        <v>0</v>
      </c>
      <c r="O15" s="108">
        <f t="shared" si="3"/>
        <v>0</v>
      </c>
      <c r="P15" s="108">
        <f t="shared" si="4"/>
        <v>0</v>
      </c>
      <c r="Q15" s="71"/>
      <c r="R15" s="71"/>
      <c r="S15" s="71"/>
      <c r="T15" s="71"/>
      <c r="U15" s="71"/>
      <c r="V15" s="108">
        <f t="shared" si="5"/>
        <v>0</v>
      </c>
      <c r="W15" s="71"/>
      <c r="X15" s="71"/>
      <c r="Y15" s="71"/>
      <c r="Z15" s="71"/>
      <c r="AA15" s="71"/>
      <c r="AB15" s="108">
        <f t="shared" si="6"/>
        <v>0</v>
      </c>
      <c r="AC15" s="108">
        <f t="shared" si="7"/>
        <v>0</v>
      </c>
      <c r="AD15" s="108">
        <f t="shared" si="8"/>
        <v>0</v>
      </c>
      <c r="AE15" s="108">
        <f t="shared" si="9"/>
        <v>0</v>
      </c>
      <c r="AF15" s="71"/>
      <c r="AG15" s="71"/>
      <c r="AH15" s="71"/>
      <c r="AI15" s="71"/>
      <c r="AJ15" s="71"/>
      <c r="AK15" s="108">
        <f t="shared" si="10"/>
        <v>0</v>
      </c>
      <c r="AL15" s="71"/>
      <c r="AM15" s="71"/>
      <c r="AN15" s="71"/>
      <c r="AO15" s="71"/>
      <c r="AP15" s="71"/>
      <c r="AQ15" s="108">
        <f t="shared" si="11"/>
        <v>0</v>
      </c>
      <c r="AR15" s="108">
        <f t="shared" si="12"/>
        <v>0</v>
      </c>
      <c r="AS15" s="108">
        <f t="shared" si="13"/>
        <v>0</v>
      </c>
      <c r="AT15" s="108">
        <f t="shared" si="14"/>
        <v>0</v>
      </c>
      <c r="AU15" s="108">
        <f t="shared" si="15"/>
        <v>0</v>
      </c>
      <c r="AV15" s="108">
        <f t="shared" si="16"/>
        <v>0</v>
      </c>
      <c r="AW15" s="108">
        <f t="shared" si="17"/>
        <v>0</v>
      </c>
      <c r="AX15" s="108">
        <f t="shared" si="18"/>
        <v>0</v>
      </c>
      <c r="AY15" s="364"/>
    </row>
    <row r="16" spans="1:51" ht="19.95" customHeight="1">
      <c r="A16" s="90"/>
      <c r="B16" s="61"/>
      <c r="C16" s="438"/>
      <c r="D16" s="71"/>
      <c r="E16" s="71"/>
      <c r="F16" s="363"/>
      <c r="G16" s="71"/>
      <c r="H16" s="363"/>
      <c r="I16" s="108">
        <f t="shared" si="0"/>
        <v>0</v>
      </c>
      <c r="J16" s="71"/>
      <c r="K16" s="71"/>
      <c r="L16" s="71"/>
      <c r="M16" s="108">
        <f t="shared" si="1"/>
        <v>0</v>
      </c>
      <c r="N16" s="108">
        <f t="shared" si="2"/>
        <v>0</v>
      </c>
      <c r="O16" s="108">
        <f t="shared" si="3"/>
        <v>0</v>
      </c>
      <c r="P16" s="108">
        <f t="shared" si="4"/>
        <v>0</v>
      </c>
      <c r="Q16" s="71"/>
      <c r="R16" s="71"/>
      <c r="S16" s="71"/>
      <c r="T16" s="71"/>
      <c r="U16" s="71"/>
      <c r="V16" s="108">
        <f t="shared" si="5"/>
        <v>0</v>
      </c>
      <c r="W16" s="71"/>
      <c r="X16" s="71"/>
      <c r="Y16" s="71"/>
      <c r="Z16" s="71"/>
      <c r="AA16" s="71"/>
      <c r="AB16" s="108">
        <f t="shared" si="6"/>
        <v>0</v>
      </c>
      <c r="AC16" s="108">
        <f t="shared" si="7"/>
        <v>0</v>
      </c>
      <c r="AD16" s="108">
        <f t="shared" si="8"/>
        <v>0</v>
      </c>
      <c r="AE16" s="108">
        <f t="shared" si="9"/>
        <v>0</v>
      </c>
      <c r="AF16" s="71"/>
      <c r="AG16" s="71"/>
      <c r="AH16" s="71"/>
      <c r="AI16" s="71"/>
      <c r="AJ16" s="71"/>
      <c r="AK16" s="108">
        <f t="shared" si="10"/>
        <v>0</v>
      </c>
      <c r="AL16" s="71"/>
      <c r="AM16" s="71"/>
      <c r="AN16" s="71"/>
      <c r="AO16" s="71"/>
      <c r="AP16" s="71"/>
      <c r="AQ16" s="108">
        <f t="shared" si="11"/>
        <v>0</v>
      </c>
      <c r="AR16" s="108">
        <f t="shared" si="12"/>
        <v>0</v>
      </c>
      <c r="AS16" s="108">
        <f t="shared" si="13"/>
        <v>0</v>
      </c>
      <c r="AT16" s="108">
        <f t="shared" si="14"/>
        <v>0</v>
      </c>
      <c r="AU16" s="108">
        <f t="shared" si="15"/>
        <v>0</v>
      </c>
      <c r="AV16" s="108">
        <f t="shared" si="16"/>
        <v>0</v>
      </c>
      <c r="AW16" s="108">
        <f t="shared" si="17"/>
        <v>0</v>
      </c>
      <c r="AX16" s="108">
        <f t="shared" si="18"/>
        <v>0</v>
      </c>
      <c r="AY16" s="364"/>
    </row>
    <row r="17" spans="1:51" ht="19.95" customHeight="1">
      <c r="A17" s="90"/>
      <c r="B17" s="61"/>
      <c r="C17" s="438"/>
      <c r="D17" s="71"/>
      <c r="E17" s="71"/>
      <c r="F17" s="363"/>
      <c r="G17" s="71"/>
      <c r="H17" s="363"/>
      <c r="I17" s="108">
        <f t="shared" si="0"/>
        <v>0</v>
      </c>
      <c r="J17" s="71"/>
      <c r="K17" s="71"/>
      <c r="L17" s="71"/>
      <c r="M17" s="108">
        <f t="shared" si="1"/>
        <v>0</v>
      </c>
      <c r="N17" s="108">
        <f t="shared" si="2"/>
        <v>0</v>
      </c>
      <c r="O17" s="108">
        <f t="shared" si="3"/>
        <v>0</v>
      </c>
      <c r="P17" s="108">
        <f t="shared" si="4"/>
        <v>0</v>
      </c>
      <c r="Q17" s="71"/>
      <c r="R17" s="71"/>
      <c r="S17" s="71"/>
      <c r="T17" s="71"/>
      <c r="U17" s="71"/>
      <c r="V17" s="108">
        <f t="shared" si="5"/>
        <v>0</v>
      </c>
      <c r="W17" s="71"/>
      <c r="X17" s="71"/>
      <c r="Y17" s="71"/>
      <c r="Z17" s="71"/>
      <c r="AA17" s="71"/>
      <c r="AB17" s="108">
        <f t="shared" si="6"/>
        <v>0</v>
      </c>
      <c r="AC17" s="108">
        <f t="shared" si="7"/>
        <v>0</v>
      </c>
      <c r="AD17" s="108">
        <f t="shared" si="8"/>
        <v>0</v>
      </c>
      <c r="AE17" s="108">
        <f t="shared" si="9"/>
        <v>0</v>
      </c>
      <c r="AF17" s="71"/>
      <c r="AG17" s="71"/>
      <c r="AH17" s="71"/>
      <c r="AI17" s="71"/>
      <c r="AJ17" s="71"/>
      <c r="AK17" s="108">
        <f t="shared" si="10"/>
        <v>0</v>
      </c>
      <c r="AL17" s="71"/>
      <c r="AM17" s="71"/>
      <c r="AN17" s="71"/>
      <c r="AO17" s="71"/>
      <c r="AP17" s="71"/>
      <c r="AQ17" s="108">
        <f t="shared" si="11"/>
        <v>0</v>
      </c>
      <c r="AR17" s="108">
        <f t="shared" si="12"/>
        <v>0</v>
      </c>
      <c r="AS17" s="108">
        <f t="shared" si="13"/>
        <v>0</v>
      </c>
      <c r="AT17" s="108">
        <f t="shared" si="14"/>
        <v>0</v>
      </c>
      <c r="AU17" s="108">
        <f t="shared" si="15"/>
        <v>0</v>
      </c>
      <c r="AV17" s="108">
        <f t="shared" si="16"/>
        <v>0</v>
      </c>
      <c r="AW17" s="108">
        <f t="shared" si="17"/>
        <v>0</v>
      </c>
      <c r="AX17" s="108">
        <f t="shared" si="18"/>
        <v>0</v>
      </c>
      <c r="AY17" s="364"/>
    </row>
    <row r="18" spans="1:51" ht="19.95" customHeight="1">
      <c r="A18" s="90"/>
      <c r="B18" s="61"/>
      <c r="C18" s="438"/>
      <c r="D18" s="71"/>
      <c r="E18" s="71"/>
      <c r="F18" s="363"/>
      <c r="G18" s="71"/>
      <c r="H18" s="363"/>
      <c r="I18" s="108">
        <f t="shared" si="0"/>
        <v>0</v>
      </c>
      <c r="J18" s="71"/>
      <c r="K18" s="71"/>
      <c r="L18" s="71"/>
      <c r="M18" s="108">
        <f t="shared" si="1"/>
        <v>0</v>
      </c>
      <c r="N18" s="108">
        <f t="shared" si="2"/>
        <v>0</v>
      </c>
      <c r="O18" s="108">
        <f t="shared" si="3"/>
        <v>0</v>
      </c>
      <c r="P18" s="108">
        <f t="shared" si="4"/>
        <v>0</v>
      </c>
      <c r="Q18" s="71"/>
      <c r="R18" s="71"/>
      <c r="S18" s="71"/>
      <c r="T18" s="71"/>
      <c r="U18" s="71"/>
      <c r="V18" s="108">
        <f t="shared" si="5"/>
        <v>0</v>
      </c>
      <c r="W18" s="71"/>
      <c r="X18" s="71"/>
      <c r="Y18" s="71"/>
      <c r="Z18" s="71"/>
      <c r="AA18" s="71"/>
      <c r="AB18" s="108">
        <f t="shared" si="6"/>
        <v>0</v>
      </c>
      <c r="AC18" s="108">
        <f t="shared" si="7"/>
        <v>0</v>
      </c>
      <c r="AD18" s="108">
        <f t="shared" si="8"/>
        <v>0</v>
      </c>
      <c r="AE18" s="108">
        <f t="shared" si="9"/>
        <v>0</v>
      </c>
      <c r="AF18" s="71"/>
      <c r="AG18" s="71"/>
      <c r="AH18" s="71"/>
      <c r="AI18" s="71"/>
      <c r="AJ18" s="71"/>
      <c r="AK18" s="108">
        <f t="shared" si="10"/>
        <v>0</v>
      </c>
      <c r="AL18" s="71"/>
      <c r="AM18" s="71"/>
      <c r="AN18" s="71"/>
      <c r="AO18" s="71"/>
      <c r="AP18" s="71"/>
      <c r="AQ18" s="108">
        <f t="shared" si="11"/>
        <v>0</v>
      </c>
      <c r="AR18" s="108">
        <f t="shared" si="12"/>
        <v>0</v>
      </c>
      <c r="AS18" s="108">
        <f t="shared" si="13"/>
        <v>0</v>
      </c>
      <c r="AT18" s="108">
        <f t="shared" si="14"/>
        <v>0</v>
      </c>
      <c r="AU18" s="108">
        <f t="shared" si="15"/>
        <v>0</v>
      </c>
      <c r="AV18" s="108">
        <f t="shared" si="16"/>
        <v>0</v>
      </c>
      <c r="AW18" s="108">
        <f t="shared" si="17"/>
        <v>0</v>
      </c>
      <c r="AX18" s="108">
        <f t="shared" si="18"/>
        <v>0</v>
      </c>
      <c r="AY18" s="364"/>
    </row>
    <row r="19" spans="1:51" ht="19.95" customHeight="1">
      <c r="A19" s="90"/>
      <c r="B19" s="61"/>
      <c r="C19" s="438"/>
      <c r="D19" s="71"/>
      <c r="E19" s="71"/>
      <c r="F19" s="363"/>
      <c r="G19" s="71"/>
      <c r="H19" s="363"/>
      <c r="I19" s="108">
        <f t="shared" si="0"/>
        <v>0</v>
      </c>
      <c r="J19" s="71"/>
      <c r="K19" s="71"/>
      <c r="L19" s="71"/>
      <c r="M19" s="108">
        <f t="shared" si="1"/>
        <v>0</v>
      </c>
      <c r="N19" s="108">
        <f t="shared" si="2"/>
        <v>0</v>
      </c>
      <c r="O19" s="108">
        <f t="shared" si="3"/>
        <v>0</v>
      </c>
      <c r="P19" s="108">
        <f t="shared" si="4"/>
        <v>0</v>
      </c>
      <c r="Q19" s="71"/>
      <c r="R19" s="71"/>
      <c r="S19" s="71"/>
      <c r="T19" s="71"/>
      <c r="U19" s="71"/>
      <c r="V19" s="108">
        <f t="shared" si="5"/>
        <v>0</v>
      </c>
      <c r="W19" s="71"/>
      <c r="X19" s="71"/>
      <c r="Y19" s="71"/>
      <c r="Z19" s="71"/>
      <c r="AA19" s="71"/>
      <c r="AB19" s="108">
        <f t="shared" si="6"/>
        <v>0</v>
      </c>
      <c r="AC19" s="108">
        <f t="shared" si="7"/>
        <v>0</v>
      </c>
      <c r="AD19" s="108">
        <f t="shared" si="8"/>
        <v>0</v>
      </c>
      <c r="AE19" s="108">
        <f t="shared" si="9"/>
        <v>0</v>
      </c>
      <c r="AF19" s="71"/>
      <c r="AG19" s="71"/>
      <c r="AH19" s="71"/>
      <c r="AI19" s="71"/>
      <c r="AJ19" s="71"/>
      <c r="AK19" s="108">
        <f t="shared" si="10"/>
        <v>0</v>
      </c>
      <c r="AL19" s="71"/>
      <c r="AM19" s="71"/>
      <c r="AN19" s="71"/>
      <c r="AO19" s="71"/>
      <c r="AP19" s="71"/>
      <c r="AQ19" s="108">
        <f t="shared" si="11"/>
        <v>0</v>
      </c>
      <c r="AR19" s="108">
        <f t="shared" si="12"/>
        <v>0</v>
      </c>
      <c r="AS19" s="108">
        <f t="shared" si="13"/>
        <v>0</v>
      </c>
      <c r="AT19" s="108">
        <f t="shared" si="14"/>
        <v>0</v>
      </c>
      <c r="AU19" s="108">
        <f t="shared" si="15"/>
        <v>0</v>
      </c>
      <c r="AV19" s="108">
        <f t="shared" si="16"/>
        <v>0</v>
      </c>
      <c r="AW19" s="108">
        <f t="shared" si="17"/>
        <v>0</v>
      </c>
      <c r="AX19" s="108">
        <f t="shared" si="18"/>
        <v>0</v>
      </c>
      <c r="AY19" s="364"/>
    </row>
    <row r="20" spans="1:51" ht="19.95" customHeight="1">
      <c r="A20" s="90"/>
      <c r="B20" s="61"/>
      <c r="C20" s="438"/>
      <c r="D20" s="71"/>
      <c r="E20" s="71"/>
      <c r="F20" s="363"/>
      <c r="G20" s="71"/>
      <c r="H20" s="363"/>
      <c r="I20" s="108">
        <f t="shared" si="0"/>
        <v>0</v>
      </c>
      <c r="J20" s="71"/>
      <c r="K20" s="71"/>
      <c r="L20" s="71"/>
      <c r="M20" s="108">
        <f t="shared" si="1"/>
        <v>0</v>
      </c>
      <c r="N20" s="108">
        <f t="shared" si="2"/>
        <v>0</v>
      </c>
      <c r="O20" s="108">
        <f t="shared" si="3"/>
        <v>0</v>
      </c>
      <c r="P20" s="108">
        <f t="shared" si="4"/>
        <v>0</v>
      </c>
      <c r="Q20" s="71"/>
      <c r="R20" s="71"/>
      <c r="S20" s="71"/>
      <c r="T20" s="71"/>
      <c r="U20" s="71"/>
      <c r="V20" s="108">
        <f t="shared" si="5"/>
        <v>0</v>
      </c>
      <c r="W20" s="71"/>
      <c r="X20" s="71"/>
      <c r="Y20" s="71"/>
      <c r="Z20" s="71"/>
      <c r="AA20" s="71"/>
      <c r="AB20" s="108">
        <f t="shared" si="6"/>
        <v>0</v>
      </c>
      <c r="AC20" s="108">
        <f t="shared" si="7"/>
        <v>0</v>
      </c>
      <c r="AD20" s="108">
        <f t="shared" si="8"/>
        <v>0</v>
      </c>
      <c r="AE20" s="108">
        <f t="shared" si="9"/>
        <v>0</v>
      </c>
      <c r="AF20" s="71"/>
      <c r="AG20" s="71"/>
      <c r="AH20" s="71"/>
      <c r="AI20" s="71"/>
      <c r="AJ20" s="71"/>
      <c r="AK20" s="108">
        <f t="shared" si="10"/>
        <v>0</v>
      </c>
      <c r="AL20" s="71"/>
      <c r="AM20" s="71"/>
      <c r="AN20" s="71"/>
      <c r="AO20" s="71"/>
      <c r="AP20" s="71"/>
      <c r="AQ20" s="108">
        <f t="shared" si="11"/>
        <v>0</v>
      </c>
      <c r="AR20" s="108">
        <f t="shared" si="12"/>
        <v>0</v>
      </c>
      <c r="AS20" s="108">
        <f t="shared" si="13"/>
        <v>0</v>
      </c>
      <c r="AT20" s="108">
        <f t="shared" si="14"/>
        <v>0</v>
      </c>
      <c r="AU20" s="108">
        <f t="shared" si="15"/>
        <v>0</v>
      </c>
      <c r="AV20" s="108">
        <f t="shared" si="16"/>
        <v>0</v>
      </c>
      <c r="AW20" s="108">
        <f t="shared" si="17"/>
        <v>0</v>
      </c>
      <c r="AX20" s="108">
        <f t="shared" si="18"/>
        <v>0</v>
      </c>
      <c r="AY20" s="364"/>
    </row>
    <row r="21" spans="1:51" ht="19.95" customHeight="1">
      <c r="A21" s="90"/>
      <c r="B21" s="61"/>
      <c r="C21" s="438"/>
      <c r="D21" s="71"/>
      <c r="E21" s="71"/>
      <c r="F21" s="363"/>
      <c r="G21" s="71"/>
      <c r="H21" s="363"/>
      <c r="I21" s="108">
        <f t="shared" si="0"/>
        <v>0</v>
      </c>
      <c r="J21" s="71"/>
      <c r="K21" s="71"/>
      <c r="L21" s="71"/>
      <c r="M21" s="108">
        <f t="shared" si="1"/>
        <v>0</v>
      </c>
      <c r="N21" s="108">
        <f t="shared" si="2"/>
        <v>0</v>
      </c>
      <c r="O21" s="108">
        <f t="shared" si="3"/>
        <v>0</v>
      </c>
      <c r="P21" s="108">
        <f t="shared" si="4"/>
        <v>0</v>
      </c>
      <c r="Q21" s="71"/>
      <c r="R21" s="71"/>
      <c r="S21" s="71"/>
      <c r="T21" s="71"/>
      <c r="U21" s="71"/>
      <c r="V21" s="108">
        <f t="shared" si="5"/>
        <v>0</v>
      </c>
      <c r="W21" s="71"/>
      <c r="X21" s="71"/>
      <c r="Y21" s="71"/>
      <c r="Z21" s="71"/>
      <c r="AA21" s="71"/>
      <c r="AB21" s="108">
        <f t="shared" si="6"/>
        <v>0</v>
      </c>
      <c r="AC21" s="108">
        <f t="shared" si="7"/>
        <v>0</v>
      </c>
      <c r="AD21" s="108">
        <f t="shared" si="8"/>
        <v>0</v>
      </c>
      <c r="AE21" s="108">
        <f t="shared" si="9"/>
        <v>0</v>
      </c>
      <c r="AF21" s="71"/>
      <c r="AG21" s="71"/>
      <c r="AH21" s="71"/>
      <c r="AI21" s="71"/>
      <c r="AJ21" s="71"/>
      <c r="AK21" s="108">
        <f t="shared" si="10"/>
        <v>0</v>
      </c>
      <c r="AL21" s="71"/>
      <c r="AM21" s="71"/>
      <c r="AN21" s="71"/>
      <c r="AO21" s="71"/>
      <c r="AP21" s="71"/>
      <c r="AQ21" s="108">
        <f t="shared" si="11"/>
        <v>0</v>
      </c>
      <c r="AR21" s="108">
        <f t="shared" si="12"/>
        <v>0</v>
      </c>
      <c r="AS21" s="108">
        <f t="shared" si="13"/>
        <v>0</v>
      </c>
      <c r="AT21" s="108">
        <f t="shared" si="14"/>
        <v>0</v>
      </c>
      <c r="AU21" s="108">
        <f t="shared" si="15"/>
        <v>0</v>
      </c>
      <c r="AV21" s="108">
        <f t="shared" si="16"/>
        <v>0</v>
      </c>
      <c r="AW21" s="108">
        <f t="shared" si="17"/>
        <v>0</v>
      </c>
      <c r="AX21" s="108">
        <f t="shared" si="18"/>
        <v>0</v>
      </c>
      <c r="AY21" s="364"/>
    </row>
    <row r="22" spans="1:51" ht="19.95" customHeight="1">
      <c r="A22" s="90"/>
      <c r="B22" s="61"/>
      <c r="C22" s="438"/>
      <c r="D22" s="71"/>
      <c r="E22" s="71"/>
      <c r="F22" s="363"/>
      <c r="G22" s="71"/>
      <c r="H22" s="363"/>
      <c r="I22" s="108">
        <f t="shared" si="0"/>
        <v>0</v>
      </c>
      <c r="J22" s="71"/>
      <c r="K22" s="71"/>
      <c r="L22" s="71"/>
      <c r="M22" s="108">
        <f t="shared" si="1"/>
        <v>0</v>
      </c>
      <c r="N22" s="108">
        <f t="shared" si="2"/>
        <v>0</v>
      </c>
      <c r="O22" s="108">
        <f t="shared" si="3"/>
        <v>0</v>
      </c>
      <c r="P22" s="108">
        <f t="shared" si="4"/>
        <v>0</v>
      </c>
      <c r="Q22" s="71"/>
      <c r="R22" s="71"/>
      <c r="S22" s="71"/>
      <c r="T22" s="71"/>
      <c r="U22" s="71"/>
      <c r="V22" s="108">
        <f t="shared" si="5"/>
        <v>0</v>
      </c>
      <c r="W22" s="71"/>
      <c r="X22" s="71"/>
      <c r="Y22" s="71"/>
      <c r="Z22" s="71"/>
      <c r="AA22" s="71"/>
      <c r="AB22" s="108">
        <f t="shared" si="6"/>
        <v>0</v>
      </c>
      <c r="AC22" s="108">
        <f t="shared" si="7"/>
        <v>0</v>
      </c>
      <c r="AD22" s="108">
        <f t="shared" si="8"/>
        <v>0</v>
      </c>
      <c r="AE22" s="108">
        <f t="shared" si="9"/>
        <v>0</v>
      </c>
      <c r="AF22" s="71"/>
      <c r="AG22" s="71"/>
      <c r="AH22" s="71"/>
      <c r="AI22" s="71"/>
      <c r="AJ22" s="71"/>
      <c r="AK22" s="108">
        <f t="shared" si="10"/>
        <v>0</v>
      </c>
      <c r="AL22" s="71"/>
      <c r="AM22" s="71"/>
      <c r="AN22" s="71"/>
      <c r="AO22" s="71"/>
      <c r="AP22" s="71"/>
      <c r="AQ22" s="108">
        <f t="shared" si="11"/>
        <v>0</v>
      </c>
      <c r="AR22" s="108">
        <f t="shared" si="12"/>
        <v>0</v>
      </c>
      <c r="AS22" s="108">
        <f t="shared" si="13"/>
        <v>0</v>
      </c>
      <c r="AT22" s="108">
        <f t="shared" si="14"/>
        <v>0</v>
      </c>
      <c r="AU22" s="108">
        <f t="shared" si="15"/>
        <v>0</v>
      </c>
      <c r="AV22" s="108">
        <f t="shared" si="16"/>
        <v>0</v>
      </c>
      <c r="AW22" s="108">
        <f t="shared" si="17"/>
        <v>0</v>
      </c>
      <c r="AX22" s="108">
        <f t="shared" si="18"/>
        <v>0</v>
      </c>
      <c r="AY22" s="364"/>
    </row>
    <row r="23" spans="1:51" ht="19.95" customHeight="1">
      <c r="A23" s="90"/>
      <c r="B23" s="61"/>
      <c r="C23" s="438"/>
      <c r="D23" s="71"/>
      <c r="E23" s="71"/>
      <c r="F23" s="363"/>
      <c r="G23" s="71"/>
      <c r="H23" s="363"/>
      <c r="I23" s="108">
        <f t="shared" si="0"/>
        <v>0</v>
      </c>
      <c r="J23" s="71"/>
      <c r="K23" s="71"/>
      <c r="L23" s="71"/>
      <c r="M23" s="108">
        <f t="shared" si="1"/>
        <v>0</v>
      </c>
      <c r="N23" s="108">
        <f t="shared" si="2"/>
        <v>0</v>
      </c>
      <c r="O23" s="108">
        <f t="shared" si="3"/>
        <v>0</v>
      </c>
      <c r="P23" s="108">
        <f t="shared" si="4"/>
        <v>0</v>
      </c>
      <c r="Q23" s="71"/>
      <c r="R23" s="71"/>
      <c r="S23" s="71"/>
      <c r="T23" s="71"/>
      <c r="U23" s="71"/>
      <c r="V23" s="108">
        <f t="shared" si="5"/>
        <v>0</v>
      </c>
      <c r="W23" s="71"/>
      <c r="X23" s="71"/>
      <c r="Y23" s="71"/>
      <c r="Z23" s="71"/>
      <c r="AA23" s="71"/>
      <c r="AB23" s="108">
        <f t="shared" si="6"/>
        <v>0</v>
      </c>
      <c r="AC23" s="108">
        <f t="shared" si="7"/>
        <v>0</v>
      </c>
      <c r="AD23" s="108">
        <f t="shared" si="8"/>
        <v>0</v>
      </c>
      <c r="AE23" s="108">
        <f t="shared" si="9"/>
        <v>0</v>
      </c>
      <c r="AF23" s="71"/>
      <c r="AG23" s="71"/>
      <c r="AH23" s="71"/>
      <c r="AI23" s="71"/>
      <c r="AJ23" s="71"/>
      <c r="AK23" s="108">
        <f t="shared" si="10"/>
        <v>0</v>
      </c>
      <c r="AL23" s="71"/>
      <c r="AM23" s="71"/>
      <c r="AN23" s="71"/>
      <c r="AO23" s="71"/>
      <c r="AP23" s="71"/>
      <c r="AQ23" s="108">
        <f t="shared" si="11"/>
        <v>0</v>
      </c>
      <c r="AR23" s="108">
        <f t="shared" si="12"/>
        <v>0</v>
      </c>
      <c r="AS23" s="108">
        <f t="shared" si="13"/>
        <v>0</v>
      </c>
      <c r="AT23" s="108">
        <f t="shared" si="14"/>
        <v>0</v>
      </c>
      <c r="AU23" s="108">
        <f t="shared" si="15"/>
        <v>0</v>
      </c>
      <c r="AV23" s="108">
        <f t="shared" si="16"/>
        <v>0</v>
      </c>
      <c r="AW23" s="108">
        <f t="shared" si="17"/>
        <v>0</v>
      </c>
      <c r="AX23" s="108">
        <f t="shared" si="18"/>
        <v>0</v>
      </c>
      <c r="AY23" s="364"/>
    </row>
    <row r="24" spans="1:51" ht="19.95" customHeight="1">
      <c r="A24" s="90"/>
      <c r="B24" s="61"/>
      <c r="C24" s="438"/>
      <c r="D24" s="71"/>
      <c r="E24" s="71"/>
      <c r="F24" s="363"/>
      <c r="G24" s="71"/>
      <c r="H24" s="363"/>
      <c r="I24" s="108">
        <f t="shared" si="0"/>
        <v>0</v>
      </c>
      <c r="J24" s="71"/>
      <c r="K24" s="71"/>
      <c r="L24" s="71"/>
      <c r="M24" s="108">
        <f t="shared" si="1"/>
        <v>0</v>
      </c>
      <c r="N24" s="108">
        <f t="shared" si="2"/>
        <v>0</v>
      </c>
      <c r="O24" s="108">
        <f t="shared" si="3"/>
        <v>0</v>
      </c>
      <c r="P24" s="108">
        <f t="shared" si="4"/>
        <v>0</v>
      </c>
      <c r="Q24" s="71"/>
      <c r="R24" s="71"/>
      <c r="S24" s="71"/>
      <c r="T24" s="71"/>
      <c r="U24" s="71"/>
      <c r="V24" s="108">
        <f t="shared" si="5"/>
        <v>0</v>
      </c>
      <c r="W24" s="71"/>
      <c r="X24" s="71"/>
      <c r="Y24" s="71"/>
      <c r="Z24" s="71"/>
      <c r="AA24" s="71"/>
      <c r="AB24" s="108">
        <f t="shared" si="6"/>
        <v>0</v>
      </c>
      <c r="AC24" s="108">
        <f t="shared" si="7"/>
        <v>0</v>
      </c>
      <c r="AD24" s="108">
        <f t="shared" si="8"/>
        <v>0</v>
      </c>
      <c r="AE24" s="108">
        <f t="shared" si="9"/>
        <v>0</v>
      </c>
      <c r="AF24" s="71"/>
      <c r="AG24" s="71"/>
      <c r="AH24" s="71"/>
      <c r="AI24" s="71"/>
      <c r="AJ24" s="71"/>
      <c r="AK24" s="108">
        <f t="shared" si="10"/>
        <v>0</v>
      </c>
      <c r="AL24" s="71"/>
      <c r="AM24" s="71"/>
      <c r="AN24" s="71"/>
      <c r="AO24" s="71"/>
      <c r="AP24" s="71"/>
      <c r="AQ24" s="108">
        <f t="shared" si="11"/>
        <v>0</v>
      </c>
      <c r="AR24" s="108">
        <f t="shared" si="12"/>
        <v>0</v>
      </c>
      <c r="AS24" s="108">
        <f t="shared" si="13"/>
        <v>0</v>
      </c>
      <c r="AT24" s="108">
        <f t="shared" si="14"/>
        <v>0</v>
      </c>
      <c r="AU24" s="108">
        <f t="shared" si="15"/>
        <v>0</v>
      </c>
      <c r="AV24" s="108">
        <f t="shared" si="16"/>
        <v>0</v>
      </c>
      <c r="AW24" s="108">
        <f t="shared" si="17"/>
        <v>0</v>
      </c>
      <c r="AX24" s="108">
        <f t="shared" si="18"/>
        <v>0</v>
      </c>
      <c r="AY24" s="364"/>
    </row>
    <row r="25" spans="1:51" ht="19.95" customHeight="1">
      <c r="A25" s="90"/>
      <c r="B25" s="61"/>
      <c r="C25" s="438"/>
      <c r="D25" s="71"/>
      <c r="E25" s="71"/>
      <c r="F25" s="363"/>
      <c r="G25" s="71"/>
      <c r="H25" s="363"/>
      <c r="I25" s="108">
        <f t="shared" si="0"/>
        <v>0</v>
      </c>
      <c r="J25" s="71"/>
      <c r="K25" s="71"/>
      <c r="L25" s="71"/>
      <c r="M25" s="108">
        <f t="shared" si="1"/>
        <v>0</v>
      </c>
      <c r="N25" s="108">
        <f t="shared" si="2"/>
        <v>0</v>
      </c>
      <c r="O25" s="108">
        <f t="shared" si="3"/>
        <v>0</v>
      </c>
      <c r="P25" s="108">
        <f t="shared" si="4"/>
        <v>0</v>
      </c>
      <c r="Q25" s="71"/>
      <c r="R25" s="71"/>
      <c r="S25" s="71"/>
      <c r="T25" s="71"/>
      <c r="U25" s="71"/>
      <c r="V25" s="108">
        <f t="shared" si="5"/>
        <v>0</v>
      </c>
      <c r="W25" s="71"/>
      <c r="X25" s="71"/>
      <c r="Y25" s="71"/>
      <c r="Z25" s="71"/>
      <c r="AA25" s="71"/>
      <c r="AB25" s="108">
        <f t="shared" si="6"/>
        <v>0</v>
      </c>
      <c r="AC25" s="108">
        <f t="shared" si="7"/>
        <v>0</v>
      </c>
      <c r="AD25" s="108">
        <f t="shared" si="8"/>
        <v>0</v>
      </c>
      <c r="AE25" s="108">
        <f t="shared" si="9"/>
        <v>0</v>
      </c>
      <c r="AF25" s="71"/>
      <c r="AG25" s="71"/>
      <c r="AH25" s="71"/>
      <c r="AI25" s="71"/>
      <c r="AJ25" s="71"/>
      <c r="AK25" s="108">
        <f t="shared" si="10"/>
        <v>0</v>
      </c>
      <c r="AL25" s="71"/>
      <c r="AM25" s="71"/>
      <c r="AN25" s="71"/>
      <c r="AO25" s="71"/>
      <c r="AP25" s="71"/>
      <c r="AQ25" s="108">
        <f t="shared" si="11"/>
        <v>0</v>
      </c>
      <c r="AR25" s="108">
        <f t="shared" si="12"/>
        <v>0</v>
      </c>
      <c r="AS25" s="108">
        <f t="shared" si="13"/>
        <v>0</v>
      </c>
      <c r="AT25" s="108">
        <f t="shared" si="14"/>
        <v>0</v>
      </c>
      <c r="AU25" s="108">
        <f t="shared" si="15"/>
        <v>0</v>
      </c>
      <c r="AV25" s="108">
        <f t="shared" si="16"/>
        <v>0</v>
      </c>
      <c r="AW25" s="108">
        <f t="shared" si="17"/>
        <v>0</v>
      </c>
      <c r="AX25" s="108">
        <f t="shared" si="18"/>
        <v>0</v>
      </c>
      <c r="AY25" s="364"/>
    </row>
    <row r="26" spans="1:51" ht="19.95" customHeight="1">
      <c r="A26" s="90"/>
      <c r="B26" s="61"/>
      <c r="C26" s="438"/>
      <c r="D26" s="71"/>
      <c r="E26" s="71"/>
      <c r="F26" s="363"/>
      <c r="G26" s="71"/>
      <c r="H26" s="363"/>
      <c r="I26" s="108">
        <f t="shared" si="0"/>
        <v>0</v>
      </c>
      <c r="J26" s="71"/>
      <c r="K26" s="71"/>
      <c r="L26" s="71"/>
      <c r="M26" s="108">
        <f t="shared" si="1"/>
        <v>0</v>
      </c>
      <c r="N26" s="108">
        <f t="shared" si="2"/>
        <v>0</v>
      </c>
      <c r="O26" s="108">
        <f t="shared" si="3"/>
        <v>0</v>
      </c>
      <c r="P26" s="108">
        <f t="shared" si="4"/>
        <v>0</v>
      </c>
      <c r="Q26" s="71"/>
      <c r="R26" s="71"/>
      <c r="S26" s="71"/>
      <c r="T26" s="71"/>
      <c r="U26" s="71"/>
      <c r="V26" s="108">
        <f t="shared" si="5"/>
        <v>0</v>
      </c>
      <c r="W26" s="71"/>
      <c r="X26" s="71"/>
      <c r="Y26" s="71"/>
      <c r="Z26" s="71"/>
      <c r="AA26" s="71"/>
      <c r="AB26" s="108">
        <f t="shared" si="6"/>
        <v>0</v>
      </c>
      <c r="AC26" s="108">
        <f t="shared" si="7"/>
        <v>0</v>
      </c>
      <c r="AD26" s="108">
        <f t="shared" si="8"/>
        <v>0</v>
      </c>
      <c r="AE26" s="108">
        <f t="shared" si="9"/>
        <v>0</v>
      </c>
      <c r="AF26" s="71"/>
      <c r="AG26" s="71"/>
      <c r="AH26" s="71"/>
      <c r="AI26" s="71"/>
      <c r="AJ26" s="71"/>
      <c r="AK26" s="108">
        <f t="shared" si="10"/>
        <v>0</v>
      </c>
      <c r="AL26" s="71"/>
      <c r="AM26" s="71"/>
      <c r="AN26" s="71"/>
      <c r="AO26" s="71"/>
      <c r="AP26" s="71"/>
      <c r="AQ26" s="108">
        <f t="shared" si="11"/>
        <v>0</v>
      </c>
      <c r="AR26" s="108">
        <f t="shared" si="12"/>
        <v>0</v>
      </c>
      <c r="AS26" s="108">
        <f t="shared" si="13"/>
        <v>0</v>
      </c>
      <c r="AT26" s="108">
        <f t="shared" si="14"/>
        <v>0</v>
      </c>
      <c r="AU26" s="108">
        <f t="shared" si="15"/>
        <v>0</v>
      </c>
      <c r="AV26" s="108">
        <f t="shared" si="16"/>
        <v>0</v>
      </c>
      <c r="AW26" s="108">
        <f t="shared" si="17"/>
        <v>0</v>
      </c>
      <c r="AX26" s="108">
        <f t="shared" si="18"/>
        <v>0</v>
      </c>
      <c r="AY26" s="364"/>
    </row>
    <row r="27" spans="1:51" ht="19.95" customHeight="1">
      <c r="A27" s="90"/>
      <c r="B27" s="61"/>
      <c r="C27" s="438"/>
      <c r="D27" s="71"/>
      <c r="E27" s="71"/>
      <c r="F27" s="363"/>
      <c r="G27" s="71"/>
      <c r="H27" s="363"/>
      <c r="I27" s="108">
        <f t="shared" si="0"/>
        <v>0</v>
      </c>
      <c r="J27" s="71"/>
      <c r="K27" s="71"/>
      <c r="L27" s="71"/>
      <c r="M27" s="108">
        <f t="shared" si="1"/>
        <v>0</v>
      </c>
      <c r="N27" s="108">
        <f t="shared" si="2"/>
        <v>0</v>
      </c>
      <c r="O27" s="108">
        <f t="shared" si="3"/>
        <v>0</v>
      </c>
      <c r="P27" s="108">
        <f t="shared" si="4"/>
        <v>0</v>
      </c>
      <c r="Q27" s="71"/>
      <c r="R27" s="71"/>
      <c r="S27" s="71"/>
      <c r="T27" s="71"/>
      <c r="U27" s="71"/>
      <c r="V27" s="108">
        <f t="shared" si="5"/>
        <v>0</v>
      </c>
      <c r="W27" s="71"/>
      <c r="X27" s="71"/>
      <c r="Y27" s="71"/>
      <c r="Z27" s="71"/>
      <c r="AA27" s="71"/>
      <c r="AB27" s="108">
        <f t="shared" si="6"/>
        <v>0</v>
      </c>
      <c r="AC27" s="108">
        <f t="shared" si="7"/>
        <v>0</v>
      </c>
      <c r="AD27" s="108">
        <f t="shared" si="8"/>
        <v>0</v>
      </c>
      <c r="AE27" s="108">
        <f t="shared" si="9"/>
        <v>0</v>
      </c>
      <c r="AF27" s="71"/>
      <c r="AG27" s="71"/>
      <c r="AH27" s="71"/>
      <c r="AI27" s="71"/>
      <c r="AJ27" s="71"/>
      <c r="AK27" s="108">
        <f t="shared" si="10"/>
        <v>0</v>
      </c>
      <c r="AL27" s="71"/>
      <c r="AM27" s="71"/>
      <c r="AN27" s="71"/>
      <c r="AO27" s="71"/>
      <c r="AP27" s="71"/>
      <c r="AQ27" s="108">
        <f t="shared" si="11"/>
        <v>0</v>
      </c>
      <c r="AR27" s="108">
        <f t="shared" si="12"/>
        <v>0</v>
      </c>
      <c r="AS27" s="108">
        <f t="shared" si="13"/>
        <v>0</v>
      </c>
      <c r="AT27" s="108">
        <f t="shared" si="14"/>
        <v>0</v>
      </c>
      <c r="AU27" s="108">
        <f t="shared" si="15"/>
        <v>0</v>
      </c>
      <c r="AV27" s="108">
        <f t="shared" si="16"/>
        <v>0</v>
      </c>
      <c r="AW27" s="108">
        <f t="shared" si="17"/>
        <v>0</v>
      </c>
      <c r="AX27" s="108">
        <f t="shared" si="18"/>
        <v>0</v>
      </c>
      <c r="AY27" s="364"/>
    </row>
    <row r="28" spans="1:51" ht="19.95" customHeight="1">
      <c r="A28" s="90"/>
      <c r="B28" s="61"/>
      <c r="C28" s="438"/>
      <c r="D28" s="71"/>
      <c r="E28" s="71"/>
      <c r="F28" s="363"/>
      <c r="G28" s="71"/>
      <c r="H28" s="363"/>
      <c r="I28" s="108">
        <f t="shared" si="0"/>
        <v>0</v>
      </c>
      <c r="J28" s="71"/>
      <c r="K28" s="71"/>
      <c r="L28" s="71"/>
      <c r="M28" s="108">
        <f t="shared" si="1"/>
        <v>0</v>
      </c>
      <c r="N28" s="108">
        <f t="shared" si="2"/>
        <v>0</v>
      </c>
      <c r="O28" s="108">
        <f t="shared" si="3"/>
        <v>0</v>
      </c>
      <c r="P28" s="108">
        <f t="shared" si="4"/>
        <v>0</v>
      </c>
      <c r="Q28" s="71"/>
      <c r="R28" s="71"/>
      <c r="S28" s="71"/>
      <c r="T28" s="71"/>
      <c r="U28" s="71"/>
      <c r="V28" s="108">
        <f t="shared" si="5"/>
        <v>0</v>
      </c>
      <c r="W28" s="71"/>
      <c r="X28" s="71"/>
      <c r="Y28" s="71"/>
      <c r="Z28" s="71"/>
      <c r="AA28" s="71"/>
      <c r="AB28" s="108">
        <f t="shared" si="6"/>
        <v>0</v>
      </c>
      <c r="AC28" s="108">
        <f t="shared" si="7"/>
        <v>0</v>
      </c>
      <c r="AD28" s="108">
        <f t="shared" si="8"/>
        <v>0</v>
      </c>
      <c r="AE28" s="108">
        <f t="shared" si="9"/>
        <v>0</v>
      </c>
      <c r="AF28" s="71"/>
      <c r="AG28" s="71"/>
      <c r="AH28" s="71"/>
      <c r="AI28" s="71"/>
      <c r="AJ28" s="71"/>
      <c r="AK28" s="108">
        <f t="shared" si="10"/>
        <v>0</v>
      </c>
      <c r="AL28" s="71"/>
      <c r="AM28" s="71"/>
      <c r="AN28" s="71"/>
      <c r="AO28" s="71"/>
      <c r="AP28" s="71"/>
      <c r="AQ28" s="108">
        <f t="shared" si="11"/>
        <v>0</v>
      </c>
      <c r="AR28" s="108">
        <f t="shared" si="12"/>
        <v>0</v>
      </c>
      <c r="AS28" s="108">
        <f t="shared" si="13"/>
        <v>0</v>
      </c>
      <c r="AT28" s="108">
        <f t="shared" si="14"/>
        <v>0</v>
      </c>
      <c r="AU28" s="108">
        <f t="shared" si="15"/>
        <v>0</v>
      </c>
      <c r="AV28" s="108">
        <f t="shared" si="16"/>
        <v>0</v>
      </c>
      <c r="AW28" s="108">
        <f t="shared" si="17"/>
        <v>0</v>
      </c>
      <c r="AX28" s="108">
        <f t="shared" si="18"/>
        <v>0</v>
      </c>
      <c r="AY28" s="364"/>
    </row>
    <row r="29" spans="1:51" ht="19.95" customHeight="1">
      <c r="A29" s="90"/>
      <c r="B29" s="61"/>
      <c r="C29" s="438"/>
      <c r="D29" s="71"/>
      <c r="E29" s="71"/>
      <c r="F29" s="363"/>
      <c r="G29" s="71"/>
      <c r="H29" s="363"/>
      <c r="I29" s="108">
        <f t="shared" si="0"/>
        <v>0</v>
      </c>
      <c r="J29" s="71"/>
      <c r="K29" s="71"/>
      <c r="L29" s="71"/>
      <c r="M29" s="108">
        <f t="shared" si="1"/>
        <v>0</v>
      </c>
      <c r="N29" s="108">
        <f t="shared" si="2"/>
        <v>0</v>
      </c>
      <c r="O29" s="108">
        <f t="shared" si="3"/>
        <v>0</v>
      </c>
      <c r="P29" s="108">
        <f t="shared" si="4"/>
        <v>0</v>
      </c>
      <c r="Q29" s="71"/>
      <c r="R29" s="71"/>
      <c r="S29" s="71"/>
      <c r="T29" s="71"/>
      <c r="U29" s="71"/>
      <c r="V29" s="108">
        <f t="shared" si="5"/>
        <v>0</v>
      </c>
      <c r="W29" s="71"/>
      <c r="X29" s="71"/>
      <c r="Y29" s="71"/>
      <c r="Z29" s="71"/>
      <c r="AA29" s="71"/>
      <c r="AB29" s="108">
        <f t="shared" si="6"/>
        <v>0</v>
      </c>
      <c r="AC29" s="108">
        <f t="shared" si="7"/>
        <v>0</v>
      </c>
      <c r="AD29" s="108">
        <f t="shared" si="8"/>
        <v>0</v>
      </c>
      <c r="AE29" s="108">
        <f t="shared" si="9"/>
        <v>0</v>
      </c>
      <c r="AF29" s="71"/>
      <c r="AG29" s="71"/>
      <c r="AH29" s="71"/>
      <c r="AI29" s="71"/>
      <c r="AJ29" s="71"/>
      <c r="AK29" s="108">
        <f t="shared" si="10"/>
        <v>0</v>
      </c>
      <c r="AL29" s="71"/>
      <c r="AM29" s="71"/>
      <c r="AN29" s="71"/>
      <c r="AO29" s="71"/>
      <c r="AP29" s="71"/>
      <c r="AQ29" s="108">
        <f t="shared" si="11"/>
        <v>0</v>
      </c>
      <c r="AR29" s="108">
        <f t="shared" si="12"/>
        <v>0</v>
      </c>
      <c r="AS29" s="108">
        <f t="shared" si="13"/>
        <v>0</v>
      </c>
      <c r="AT29" s="108">
        <f t="shared" si="14"/>
        <v>0</v>
      </c>
      <c r="AU29" s="108">
        <f t="shared" si="15"/>
        <v>0</v>
      </c>
      <c r="AV29" s="108">
        <f t="shared" si="16"/>
        <v>0</v>
      </c>
      <c r="AW29" s="108">
        <f t="shared" si="17"/>
        <v>0</v>
      </c>
      <c r="AX29" s="108">
        <f t="shared" si="18"/>
        <v>0</v>
      </c>
      <c r="AY29" s="364"/>
    </row>
    <row r="30" spans="1:51" ht="19.95" customHeight="1">
      <c r="A30" s="90"/>
      <c r="B30" s="61"/>
      <c r="C30" s="438"/>
      <c r="D30" s="71"/>
      <c r="E30" s="71"/>
      <c r="F30" s="363"/>
      <c r="G30" s="71"/>
      <c r="H30" s="363"/>
      <c r="I30" s="108">
        <f t="shared" si="0"/>
        <v>0</v>
      </c>
      <c r="J30" s="71"/>
      <c r="K30" s="71"/>
      <c r="L30" s="71"/>
      <c r="M30" s="108">
        <f t="shared" si="1"/>
        <v>0</v>
      </c>
      <c r="N30" s="108">
        <f t="shared" si="2"/>
        <v>0</v>
      </c>
      <c r="O30" s="108">
        <f t="shared" si="3"/>
        <v>0</v>
      </c>
      <c r="P30" s="108">
        <f t="shared" si="4"/>
        <v>0</v>
      </c>
      <c r="Q30" s="71"/>
      <c r="R30" s="71"/>
      <c r="S30" s="71"/>
      <c r="T30" s="71"/>
      <c r="U30" s="71"/>
      <c r="V30" s="108">
        <f t="shared" si="5"/>
        <v>0</v>
      </c>
      <c r="W30" s="71"/>
      <c r="X30" s="71"/>
      <c r="Y30" s="71"/>
      <c r="Z30" s="71"/>
      <c r="AA30" s="71"/>
      <c r="AB30" s="108">
        <f t="shared" si="6"/>
        <v>0</v>
      </c>
      <c r="AC30" s="108">
        <f t="shared" si="7"/>
        <v>0</v>
      </c>
      <c r="AD30" s="108">
        <f t="shared" si="8"/>
        <v>0</v>
      </c>
      <c r="AE30" s="108">
        <f t="shared" si="9"/>
        <v>0</v>
      </c>
      <c r="AF30" s="71"/>
      <c r="AG30" s="71"/>
      <c r="AH30" s="71"/>
      <c r="AI30" s="71"/>
      <c r="AJ30" s="71"/>
      <c r="AK30" s="108">
        <f t="shared" si="10"/>
        <v>0</v>
      </c>
      <c r="AL30" s="71"/>
      <c r="AM30" s="71"/>
      <c r="AN30" s="71"/>
      <c r="AO30" s="71"/>
      <c r="AP30" s="71"/>
      <c r="AQ30" s="108">
        <f t="shared" si="11"/>
        <v>0</v>
      </c>
      <c r="AR30" s="108">
        <f t="shared" si="12"/>
        <v>0</v>
      </c>
      <c r="AS30" s="108">
        <f t="shared" si="13"/>
        <v>0</v>
      </c>
      <c r="AT30" s="108">
        <f t="shared" si="14"/>
        <v>0</v>
      </c>
      <c r="AU30" s="108">
        <f t="shared" si="15"/>
        <v>0</v>
      </c>
      <c r="AV30" s="108">
        <f t="shared" si="16"/>
        <v>0</v>
      </c>
      <c r="AW30" s="108">
        <f t="shared" si="17"/>
        <v>0</v>
      </c>
      <c r="AX30" s="108">
        <f t="shared" si="18"/>
        <v>0</v>
      </c>
      <c r="AY30" s="364"/>
    </row>
    <row r="31" spans="1:51" ht="19.95" customHeight="1">
      <c r="A31" s="90"/>
      <c r="B31" s="61"/>
      <c r="C31" s="438"/>
      <c r="D31" s="71"/>
      <c r="E31" s="71"/>
      <c r="F31" s="363"/>
      <c r="G31" s="71"/>
      <c r="H31" s="363"/>
      <c r="I31" s="108">
        <f t="shared" si="0"/>
        <v>0</v>
      </c>
      <c r="J31" s="71"/>
      <c r="K31" s="71"/>
      <c r="L31" s="71"/>
      <c r="M31" s="108">
        <f t="shared" si="1"/>
        <v>0</v>
      </c>
      <c r="N31" s="108">
        <f t="shared" si="2"/>
        <v>0</v>
      </c>
      <c r="O31" s="108">
        <f t="shared" si="3"/>
        <v>0</v>
      </c>
      <c r="P31" s="108">
        <f t="shared" si="4"/>
        <v>0</v>
      </c>
      <c r="Q31" s="71"/>
      <c r="R31" s="71"/>
      <c r="S31" s="71"/>
      <c r="T31" s="71"/>
      <c r="U31" s="71"/>
      <c r="V31" s="108">
        <f t="shared" si="5"/>
        <v>0</v>
      </c>
      <c r="W31" s="71"/>
      <c r="X31" s="71"/>
      <c r="Y31" s="71"/>
      <c r="Z31" s="71"/>
      <c r="AA31" s="71"/>
      <c r="AB31" s="108">
        <f t="shared" si="6"/>
        <v>0</v>
      </c>
      <c r="AC31" s="108">
        <f t="shared" si="7"/>
        <v>0</v>
      </c>
      <c r="AD31" s="108">
        <f t="shared" si="8"/>
        <v>0</v>
      </c>
      <c r="AE31" s="108">
        <f t="shared" si="9"/>
        <v>0</v>
      </c>
      <c r="AF31" s="71"/>
      <c r="AG31" s="71"/>
      <c r="AH31" s="71"/>
      <c r="AI31" s="71"/>
      <c r="AJ31" s="71"/>
      <c r="AK31" s="108">
        <f t="shared" si="10"/>
        <v>0</v>
      </c>
      <c r="AL31" s="71"/>
      <c r="AM31" s="71"/>
      <c r="AN31" s="71"/>
      <c r="AO31" s="71"/>
      <c r="AP31" s="71"/>
      <c r="AQ31" s="108">
        <f t="shared" si="11"/>
        <v>0</v>
      </c>
      <c r="AR31" s="108">
        <f t="shared" si="12"/>
        <v>0</v>
      </c>
      <c r="AS31" s="108">
        <f t="shared" si="13"/>
        <v>0</v>
      </c>
      <c r="AT31" s="108">
        <f t="shared" si="14"/>
        <v>0</v>
      </c>
      <c r="AU31" s="108">
        <f t="shared" si="15"/>
        <v>0</v>
      </c>
      <c r="AV31" s="108">
        <f t="shared" si="16"/>
        <v>0</v>
      </c>
      <c r="AW31" s="108">
        <f t="shared" si="17"/>
        <v>0</v>
      </c>
      <c r="AX31" s="108">
        <f t="shared" si="18"/>
        <v>0</v>
      </c>
      <c r="AY31" s="364"/>
    </row>
    <row r="32" spans="1:51" ht="19.95" customHeight="1">
      <c r="A32" s="90"/>
      <c r="B32" s="61"/>
      <c r="C32" s="438"/>
      <c r="D32" s="71"/>
      <c r="E32" s="71"/>
      <c r="F32" s="363"/>
      <c r="G32" s="71"/>
      <c r="H32" s="363"/>
      <c r="I32" s="108">
        <f t="shared" si="0"/>
        <v>0</v>
      </c>
      <c r="J32" s="71"/>
      <c r="K32" s="71"/>
      <c r="L32" s="71"/>
      <c r="M32" s="108">
        <f t="shared" si="1"/>
        <v>0</v>
      </c>
      <c r="N32" s="108">
        <f t="shared" si="2"/>
        <v>0</v>
      </c>
      <c r="O32" s="108">
        <f t="shared" si="3"/>
        <v>0</v>
      </c>
      <c r="P32" s="108">
        <f t="shared" si="4"/>
        <v>0</v>
      </c>
      <c r="Q32" s="71"/>
      <c r="R32" s="71"/>
      <c r="S32" s="71"/>
      <c r="T32" s="71"/>
      <c r="U32" s="71"/>
      <c r="V32" s="108">
        <f t="shared" si="5"/>
        <v>0</v>
      </c>
      <c r="W32" s="71"/>
      <c r="X32" s="71"/>
      <c r="Y32" s="71"/>
      <c r="Z32" s="71"/>
      <c r="AA32" s="71"/>
      <c r="AB32" s="108">
        <f t="shared" si="6"/>
        <v>0</v>
      </c>
      <c r="AC32" s="108">
        <f t="shared" si="7"/>
        <v>0</v>
      </c>
      <c r="AD32" s="108">
        <f t="shared" si="8"/>
        <v>0</v>
      </c>
      <c r="AE32" s="108">
        <f t="shared" si="9"/>
        <v>0</v>
      </c>
      <c r="AF32" s="71"/>
      <c r="AG32" s="71"/>
      <c r="AH32" s="71"/>
      <c r="AI32" s="71"/>
      <c r="AJ32" s="71"/>
      <c r="AK32" s="108">
        <f t="shared" si="10"/>
        <v>0</v>
      </c>
      <c r="AL32" s="71"/>
      <c r="AM32" s="71"/>
      <c r="AN32" s="71"/>
      <c r="AO32" s="71"/>
      <c r="AP32" s="71"/>
      <c r="AQ32" s="108">
        <f t="shared" si="11"/>
        <v>0</v>
      </c>
      <c r="AR32" s="108">
        <f t="shared" si="12"/>
        <v>0</v>
      </c>
      <c r="AS32" s="108">
        <f t="shared" si="13"/>
        <v>0</v>
      </c>
      <c r="AT32" s="108">
        <f t="shared" si="14"/>
        <v>0</v>
      </c>
      <c r="AU32" s="108">
        <f t="shared" si="15"/>
        <v>0</v>
      </c>
      <c r="AV32" s="108">
        <f t="shared" si="16"/>
        <v>0</v>
      </c>
      <c r="AW32" s="108">
        <f t="shared" si="17"/>
        <v>0</v>
      </c>
      <c r="AX32" s="108">
        <f t="shared" si="18"/>
        <v>0</v>
      </c>
      <c r="AY32" s="364"/>
    </row>
    <row r="33" spans="1:51" ht="19.95" customHeight="1">
      <c r="A33" s="90"/>
      <c r="B33" s="61"/>
      <c r="C33" s="438"/>
      <c r="D33" s="71"/>
      <c r="E33" s="71"/>
      <c r="F33" s="363"/>
      <c r="G33" s="71"/>
      <c r="H33" s="363"/>
      <c r="I33" s="108">
        <f t="shared" si="0"/>
        <v>0</v>
      </c>
      <c r="J33" s="71"/>
      <c r="K33" s="71"/>
      <c r="L33" s="71"/>
      <c r="M33" s="108">
        <f t="shared" si="1"/>
        <v>0</v>
      </c>
      <c r="N33" s="108">
        <f t="shared" si="2"/>
        <v>0</v>
      </c>
      <c r="O33" s="108">
        <f t="shared" si="3"/>
        <v>0</v>
      </c>
      <c r="P33" s="108">
        <f t="shared" si="4"/>
        <v>0</v>
      </c>
      <c r="Q33" s="71"/>
      <c r="R33" s="71"/>
      <c r="S33" s="71"/>
      <c r="T33" s="71"/>
      <c r="U33" s="71"/>
      <c r="V33" s="108">
        <f t="shared" si="5"/>
        <v>0</v>
      </c>
      <c r="W33" s="71"/>
      <c r="X33" s="71"/>
      <c r="Y33" s="71"/>
      <c r="Z33" s="71"/>
      <c r="AA33" s="71"/>
      <c r="AB33" s="108">
        <f t="shared" si="6"/>
        <v>0</v>
      </c>
      <c r="AC33" s="108">
        <f t="shared" si="7"/>
        <v>0</v>
      </c>
      <c r="AD33" s="108">
        <f t="shared" si="8"/>
        <v>0</v>
      </c>
      <c r="AE33" s="108">
        <f t="shared" si="9"/>
        <v>0</v>
      </c>
      <c r="AF33" s="71"/>
      <c r="AG33" s="71"/>
      <c r="AH33" s="71"/>
      <c r="AI33" s="71"/>
      <c r="AJ33" s="71"/>
      <c r="AK33" s="108">
        <f t="shared" si="10"/>
        <v>0</v>
      </c>
      <c r="AL33" s="71"/>
      <c r="AM33" s="71"/>
      <c r="AN33" s="71"/>
      <c r="AO33" s="71"/>
      <c r="AP33" s="71"/>
      <c r="AQ33" s="108">
        <f t="shared" si="11"/>
        <v>0</v>
      </c>
      <c r="AR33" s="108">
        <f t="shared" si="12"/>
        <v>0</v>
      </c>
      <c r="AS33" s="108">
        <f t="shared" si="13"/>
        <v>0</v>
      </c>
      <c r="AT33" s="108">
        <f t="shared" si="14"/>
        <v>0</v>
      </c>
      <c r="AU33" s="108">
        <f t="shared" si="15"/>
        <v>0</v>
      </c>
      <c r="AV33" s="108">
        <f t="shared" si="16"/>
        <v>0</v>
      </c>
      <c r="AW33" s="108">
        <f t="shared" si="17"/>
        <v>0</v>
      </c>
      <c r="AX33" s="108">
        <f t="shared" si="18"/>
        <v>0</v>
      </c>
      <c r="AY33" s="364"/>
    </row>
    <row r="34" spans="1:51" ht="19.95" customHeight="1">
      <c r="A34" s="90"/>
      <c r="B34" s="61"/>
      <c r="C34" s="438"/>
      <c r="D34" s="71"/>
      <c r="E34" s="71"/>
      <c r="F34" s="363"/>
      <c r="G34" s="71"/>
      <c r="H34" s="363"/>
      <c r="I34" s="108">
        <f t="shared" si="0"/>
        <v>0</v>
      </c>
      <c r="J34" s="71"/>
      <c r="K34" s="71"/>
      <c r="L34" s="71"/>
      <c r="M34" s="108">
        <f t="shared" si="1"/>
        <v>0</v>
      </c>
      <c r="N34" s="108">
        <f t="shared" si="2"/>
        <v>0</v>
      </c>
      <c r="O34" s="108">
        <f t="shared" si="3"/>
        <v>0</v>
      </c>
      <c r="P34" s="108">
        <f t="shared" si="4"/>
        <v>0</v>
      </c>
      <c r="Q34" s="71"/>
      <c r="R34" s="71"/>
      <c r="S34" s="71"/>
      <c r="T34" s="71"/>
      <c r="U34" s="71"/>
      <c r="V34" s="108">
        <f t="shared" si="5"/>
        <v>0</v>
      </c>
      <c r="W34" s="71"/>
      <c r="X34" s="71"/>
      <c r="Y34" s="71"/>
      <c r="Z34" s="71"/>
      <c r="AA34" s="71"/>
      <c r="AB34" s="108">
        <f t="shared" si="6"/>
        <v>0</v>
      </c>
      <c r="AC34" s="108">
        <f t="shared" si="7"/>
        <v>0</v>
      </c>
      <c r="AD34" s="108">
        <f t="shared" si="8"/>
        <v>0</v>
      </c>
      <c r="AE34" s="108">
        <f t="shared" si="9"/>
        <v>0</v>
      </c>
      <c r="AF34" s="71"/>
      <c r="AG34" s="71"/>
      <c r="AH34" s="71"/>
      <c r="AI34" s="71"/>
      <c r="AJ34" s="71"/>
      <c r="AK34" s="108">
        <f t="shared" si="10"/>
        <v>0</v>
      </c>
      <c r="AL34" s="71"/>
      <c r="AM34" s="71"/>
      <c r="AN34" s="71"/>
      <c r="AO34" s="71"/>
      <c r="AP34" s="71"/>
      <c r="AQ34" s="108">
        <f t="shared" si="11"/>
        <v>0</v>
      </c>
      <c r="AR34" s="108">
        <f t="shared" si="12"/>
        <v>0</v>
      </c>
      <c r="AS34" s="108">
        <f t="shared" si="13"/>
        <v>0</v>
      </c>
      <c r="AT34" s="108">
        <f t="shared" si="14"/>
        <v>0</v>
      </c>
      <c r="AU34" s="108">
        <f t="shared" si="15"/>
        <v>0</v>
      </c>
      <c r="AV34" s="108">
        <f t="shared" si="16"/>
        <v>0</v>
      </c>
      <c r="AW34" s="108">
        <f t="shared" si="17"/>
        <v>0</v>
      </c>
      <c r="AX34" s="108">
        <f t="shared" si="18"/>
        <v>0</v>
      </c>
      <c r="AY34" s="364"/>
    </row>
    <row r="35" spans="1:51" ht="19.95" customHeight="1">
      <c r="A35" s="90"/>
      <c r="B35" s="61"/>
      <c r="C35" s="438"/>
      <c r="D35" s="71"/>
      <c r="E35" s="71"/>
      <c r="F35" s="363"/>
      <c r="G35" s="71"/>
      <c r="H35" s="363"/>
      <c r="I35" s="108">
        <f t="shared" si="0"/>
        <v>0</v>
      </c>
      <c r="J35" s="71"/>
      <c r="K35" s="71"/>
      <c r="L35" s="71"/>
      <c r="M35" s="108">
        <f t="shared" si="1"/>
        <v>0</v>
      </c>
      <c r="N35" s="108">
        <f t="shared" si="2"/>
        <v>0</v>
      </c>
      <c r="O35" s="108">
        <f t="shared" si="3"/>
        <v>0</v>
      </c>
      <c r="P35" s="108">
        <f t="shared" si="4"/>
        <v>0</v>
      </c>
      <c r="Q35" s="71"/>
      <c r="R35" s="71"/>
      <c r="S35" s="71"/>
      <c r="T35" s="71"/>
      <c r="U35" s="71"/>
      <c r="V35" s="108">
        <f t="shared" si="5"/>
        <v>0</v>
      </c>
      <c r="W35" s="71"/>
      <c r="X35" s="71"/>
      <c r="Y35" s="71"/>
      <c r="Z35" s="71"/>
      <c r="AA35" s="71"/>
      <c r="AB35" s="108">
        <f t="shared" si="6"/>
        <v>0</v>
      </c>
      <c r="AC35" s="108">
        <f t="shared" si="7"/>
        <v>0</v>
      </c>
      <c r="AD35" s="108">
        <f t="shared" si="8"/>
        <v>0</v>
      </c>
      <c r="AE35" s="108">
        <f t="shared" si="9"/>
        <v>0</v>
      </c>
      <c r="AF35" s="71"/>
      <c r="AG35" s="71"/>
      <c r="AH35" s="71"/>
      <c r="AI35" s="71"/>
      <c r="AJ35" s="71"/>
      <c r="AK35" s="108">
        <f t="shared" si="10"/>
        <v>0</v>
      </c>
      <c r="AL35" s="71"/>
      <c r="AM35" s="71"/>
      <c r="AN35" s="71"/>
      <c r="AO35" s="71"/>
      <c r="AP35" s="71"/>
      <c r="AQ35" s="108">
        <f t="shared" si="11"/>
        <v>0</v>
      </c>
      <c r="AR35" s="108">
        <f t="shared" si="12"/>
        <v>0</v>
      </c>
      <c r="AS35" s="108">
        <f t="shared" si="13"/>
        <v>0</v>
      </c>
      <c r="AT35" s="108">
        <f t="shared" si="14"/>
        <v>0</v>
      </c>
      <c r="AU35" s="108">
        <f t="shared" si="15"/>
        <v>0</v>
      </c>
      <c r="AV35" s="108">
        <f t="shared" si="16"/>
        <v>0</v>
      </c>
      <c r="AW35" s="108">
        <f t="shared" si="17"/>
        <v>0</v>
      </c>
      <c r="AX35" s="108">
        <f t="shared" si="18"/>
        <v>0</v>
      </c>
      <c r="AY35" s="364"/>
    </row>
    <row r="36" spans="1:51" ht="19.95" customHeight="1">
      <c r="A36" s="90"/>
      <c r="B36" s="61"/>
      <c r="C36" s="438"/>
      <c r="D36" s="71"/>
      <c r="E36" s="71"/>
      <c r="F36" s="363"/>
      <c r="G36" s="71"/>
      <c r="H36" s="363"/>
      <c r="I36" s="108">
        <f t="shared" si="0"/>
        <v>0</v>
      </c>
      <c r="J36" s="71"/>
      <c r="K36" s="71"/>
      <c r="L36" s="71"/>
      <c r="M36" s="108">
        <f t="shared" si="1"/>
        <v>0</v>
      </c>
      <c r="N36" s="108">
        <f t="shared" si="2"/>
        <v>0</v>
      </c>
      <c r="O36" s="108">
        <f t="shared" si="3"/>
        <v>0</v>
      </c>
      <c r="P36" s="108">
        <f t="shared" si="4"/>
        <v>0</v>
      </c>
      <c r="Q36" s="71"/>
      <c r="R36" s="71"/>
      <c r="S36" s="71"/>
      <c r="T36" s="71"/>
      <c r="U36" s="71"/>
      <c r="V36" s="108">
        <f t="shared" si="5"/>
        <v>0</v>
      </c>
      <c r="W36" s="71"/>
      <c r="X36" s="71"/>
      <c r="Y36" s="71"/>
      <c r="Z36" s="71"/>
      <c r="AA36" s="71"/>
      <c r="AB36" s="108">
        <f t="shared" si="6"/>
        <v>0</v>
      </c>
      <c r="AC36" s="108">
        <f t="shared" si="7"/>
        <v>0</v>
      </c>
      <c r="AD36" s="108">
        <f t="shared" si="8"/>
        <v>0</v>
      </c>
      <c r="AE36" s="108">
        <f t="shared" si="9"/>
        <v>0</v>
      </c>
      <c r="AF36" s="71"/>
      <c r="AG36" s="71"/>
      <c r="AH36" s="71"/>
      <c r="AI36" s="71"/>
      <c r="AJ36" s="71"/>
      <c r="AK36" s="108">
        <f t="shared" si="10"/>
        <v>0</v>
      </c>
      <c r="AL36" s="71"/>
      <c r="AM36" s="71"/>
      <c r="AN36" s="71"/>
      <c r="AO36" s="71"/>
      <c r="AP36" s="71"/>
      <c r="AQ36" s="108">
        <f t="shared" si="11"/>
        <v>0</v>
      </c>
      <c r="AR36" s="108">
        <f t="shared" si="12"/>
        <v>0</v>
      </c>
      <c r="AS36" s="108">
        <f t="shared" si="13"/>
        <v>0</v>
      </c>
      <c r="AT36" s="108">
        <f>AQ36+AR36-AS36</f>
        <v>0</v>
      </c>
      <c r="AU36" s="108">
        <f t="shared" si="15"/>
        <v>0</v>
      </c>
      <c r="AV36" s="108">
        <f t="shared" si="16"/>
        <v>0</v>
      </c>
      <c r="AW36" s="108">
        <f t="shared" si="17"/>
        <v>0</v>
      </c>
      <c r="AX36" s="108">
        <f t="shared" si="18"/>
        <v>0</v>
      </c>
      <c r="AY36" s="364"/>
    </row>
    <row r="37" spans="1:51" s="521" customFormat="1" ht="19.95" customHeight="1">
      <c r="A37" s="653" t="s">
        <v>447</v>
      </c>
      <c r="B37" s="653"/>
      <c r="C37" s="653"/>
      <c r="D37" s="183">
        <f>SUM(D13:D36)</f>
        <v>0</v>
      </c>
      <c r="E37" s="183">
        <f t="shared" ref="E37:AX37" si="19">SUM(E13:E36)</f>
        <v>0</v>
      </c>
      <c r="F37" s="183"/>
      <c r="G37" s="183">
        <f t="shared" si="19"/>
        <v>0</v>
      </c>
      <c r="H37" s="183"/>
      <c r="I37" s="183">
        <f t="shared" si="19"/>
        <v>0</v>
      </c>
      <c r="J37" s="183">
        <f t="shared" si="19"/>
        <v>0</v>
      </c>
      <c r="K37" s="183">
        <f t="shared" si="19"/>
        <v>0</v>
      </c>
      <c r="L37" s="183">
        <f t="shared" si="19"/>
        <v>0</v>
      </c>
      <c r="M37" s="183">
        <f t="shared" si="19"/>
        <v>0</v>
      </c>
      <c r="N37" s="183">
        <f t="shared" si="19"/>
        <v>0</v>
      </c>
      <c r="O37" s="183">
        <f t="shared" si="19"/>
        <v>0</v>
      </c>
      <c r="P37" s="183">
        <f t="shared" si="19"/>
        <v>0</v>
      </c>
      <c r="Q37" s="183">
        <f t="shared" si="19"/>
        <v>0</v>
      </c>
      <c r="R37" s="183">
        <f t="shared" si="19"/>
        <v>0</v>
      </c>
      <c r="S37" s="183">
        <f t="shared" si="19"/>
        <v>0</v>
      </c>
      <c r="T37" s="183">
        <f t="shared" si="19"/>
        <v>0</v>
      </c>
      <c r="U37" s="183">
        <f t="shared" si="19"/>
        <v>0</v>
      </c>
      <c r="V37" s="183">
        <f t="shared" si="19"/>
        <v>0</v>
      </c>
      <c r="W37" s="183">
        <f t="shared" si="19"/>
        <v>0</v>
      </c>
      <c r="X37" s="183">
        <f t="shared" si="19"/>
        <v>0</v>
      </c>
      <c r="Y37" s="183">
        <f t="shared" si="19"/>
        <v>0</v>
      </c>
      <c r="Z37" s="183">
        <f t="shared" si="19"/>
        <v>0</v>
      </c>
      <c r="AA37" s="183">
        <f t="shared" si="19"/>
        <v>0</v>
      </c>
      <c r="AB37" s="183">
        <f t="shared" si="19"/>
        <v>0</v>
      </c>
      <c r="AC37" s="183">
        <f t="shared" si="19"/>
        <v>0</v>
      </c>
      <c r="AD37" s="183">
        <f t="shared" si="19"/>
        <v>0</v>
      </c>
      <c r="AE37" s="183">
        <f t="shared" si="19"/>
        <v>0</v>
      </c>
      <c r="AF37" s="183">
        <f t="shared" si="19"/>
        <v>0</v>
      </c>
      <c r="AG37" s="183">
        <f t="shared" si="19"/>
        <v>0</v>
      </c>
      <c r="AH37" s="183">
        <f t="shared" si="19"/>
        <v>0</v>
      </c>
      <c r="AI37" s="183">
        <f t="shared" si="19"/>
        <v>0</v>
      </c>
      <c r="AJ37" s="183">
        <f t="shared" si="19"/>
        <v>0</v>
      </c>
      <c r="AK37" s="183">
        <f t="shared" si="19"/>
        <v>0</v>
      </c>
      <c r="AL37" s="183">
        <f t="shared" si="19"/>
        <v>0</v>
      </c>
      <c r="AM37" s="183">
        <f t="shared" si="19"/>
        <v>0</v>
      </c>
      <c r="AN37" s="183">
        <f t="shared" si="19"/>
        <v>0</v>
      </c>
      <c r="AO37" s="183">
        <f t="shared" si="19"/>
        <v>0</v>
      </c>
      <c r="AP37" s="183">
        <f t="shared" si="19"/>
        <v>0</v>
      </c>
      <c r="AQ37" s="183">
        <f t="shared" si="19"/>
        <v>0</v>
      </c>
      <c r="AR37" s="183">
        <f t="shared" si="19"/>
        <v>0</v>
      </c>
      <c r="AS37" s="183">
        <f t="shared" si="19"/>
        <v>0</v>
      </c>
      <c r="AT37" s="183">
        <f t="shared" si="19"/>
        <v>0</v>
      </c>
      <c r="AU37" s="183">
        <f t="shared" si="19"/>
        <v>0</v>
      </c>
      <c r="AV37" s="183">
        <f t="shared" si="19"/>
        <v>0</v>
      </c>
      <c r="AW37" s="183">
        <f t="shared" si="19"/>
        <v>0</v>
      </c>
      <c r="AX37" s="183">
        <f t="shared" si="19"/>
        <v>0</v>
      </c>
      <c r="AY37" s="183"/>
    </row>
    <row r="38" spans="1:51" s="521" customFormat="1" ht="19.95" customHeight="1">
      <c r="A38" s="652" t="s">
        <v>1001</v>
      </c>
      <c r="B38" s="652"/>
      <c r="C38" s="652"/>
      <c r="D38" s="183"/>
      <c r="E38" s="183"/>
      <c r="F38" s="183"/>
      <c r="G38" s="183"/>
      <c r="H38" s="183"/>
      <c r="I38" s="183"/>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row>
    <row r="39" spans="1:51" s="521" customFormat="1" ht="19.95" customHeight="1">
      <c r="A39" s="652" t="str">
        <f>底稿目录!A9</f>
        <v>种植业</v>
      </c>
      <c r="B39" s="652"/>
      <c r="C39" s="652"/>
      <c r="D39" s="183">
        <f>SUMPRODUCT(($A$13:$A$36=$A39)*(D$13:D$36))</f>
        <v>0</v>
      </c>
      <c r="E39" s="183">
        <f>SUMPRODUCT(($A$13:$A$36=$A39)*(E$13:E$36))</f>
        <v>0</v>
      </c>
      <c r="F39" s="183"/>
      <c r="G39" s="183">
        <f>SUMPRODUCT(($A$13:$A$36=$A39)*(G$13:G$36))</f>
        <v>0</v>
      </c>
      <c r="H39" s="183"/>
      <c r="I39" s="183">
        <f t="shared" ref="I39:AM39" si="20">SUMPRODUCT(($A$13:$A$36=$A39)*(I$13:I$36))</f>
        <v>0</v>
      </c>
      <c r="J39" s="183">
        <f t="shared" si="20"/>
        <v>0</v>
      </c>
      <c r="K39" s="183">
        <f t="shared" si="20"/>
        <v>0</v>
      </c>
      <c r="L39" s="183">
        <f t="shared" si="20"/>
        <v>0</v>
      </c>
      <c r="M39" s="183">
        <f t="shared" si="20"/>
        <v>0</v>
      </c>
      <c r="N39" s="183">
        <f t="shared" si="20"/>
        <v>0</v>
      </c>
      <c r="O39" s="183">
        <f t="shared" si="20"/>
        <v>0</v>
      </c>
      <c r="P39" s="183">
        <f t="shared" si="20"/>
        <v>0</v>
      </c>
      <c r="Q39" s="183">
        <f t="shared" si="20"/>
        <v>0</v>
      </c>
      <c r="R39" s="183">
        <f t="shared" si="20"/>
        <v>0</v>
      </c>
      <c r="S39" s="183">
        <f t="shared" si="20"/>
        <v>0</v>
      </c>
      <c r="T39" s="183">
        <f t="shared" si="20"/>
        <v>0</v>
      </c>
      <c r="U39" s="183">
        <f t="shared" si="20"/>
        <v>0</v>
      </c>
      <c r="V39" s="183">
        <f t="shared" si="20"/>
        <v>0</v>
      </c>
      <c r="W39" s="183">
        <f t="shared" si="20"/>
        <v>0</v>
      </c>
      <c r="X39" s="183">
        <f t="shared" si="20"/>
        <v>0</v>
      </c>
      <c r="Y39" s="183">
        <f t="shared" si="20"/>
        <v>0</v>
      </c>
      <c r="Z39" s="183">
        <f t="shared" si="20"/>
        <v>0</v>
      </c>
      <c r="AA39" s="183">
        <f t="shared" si="20"/>
        <v>0</v>
      </c>
      <c r="AB39" s="183">
        <f t="shared" si="20"/>
        <v>0</v>
      </c>
      <c r="AC39" s="183">
        <f t="shared" si="20"/>
        <v>0</v>
      </c>
      <c r="AD39" s="183">
        <f t="shared" si="20"/>
        <v>0</v>
      </c>
      <c r="AE39" s="183">
        <f t="shared" si="20"/>
        <v>0</v>
      </c>
      <c r="AF39" s="183">
        <f t="shared" si="20"/>
        <v>0</v>
      </c>
      <c r="AG39" s="183">
        <f t="shared" si="20"/>
        <v>0</v>
      </c>
      <c r="AH39" s="183">
        <f t="shared" si="20"/>
        <v>0</v>
      </c>
      <c r="AI39" s="183">
        <f t="shared" si="20"/>
        <v>0</v>
      </c>
      <c r="AJ39" s="183">
        <f t="shared" si="20"/>
        <v>0</v>
      </c>
      <c r="AK39" s="183">
        <f t="shared" si="20"/>
        <v>0</v>
      </c>
      <c r="AL39" s="183">
        <f t="shared" si="20"/>
        <v>0</v>
      </c>
      <c r="AM39" s="183">
        <f t="shared" si="20"/>
        <v>0</v>
      </c>
      <c r="AN39" s="183">
        <f t="shared" ref="AN39:AO39" si="21">SUMPRODUCT(($A$13:$A$36=$A39)*(AN$13:AN$36))</f>
        <v>0</v>
      </c>
      <c r="AO39" s="183">
        <f t="shared" si="21"/>
        <v>0</v>
      </c>
      <c r="AP39" s="183">
        <f t="shared" ref="AP39:AX39" si="22">SUMPRODUCT(($A$13:$A$36=$A39)*(AP$13:AP$36))</f>
        <v>0</v>
      </c>
      <c r="AQ39" s="183">
        <f t="shared" si="22"/>
        <v>0</v>
      </c>
      <c r="AR39" s="183">
        <f t="shared" si="22"/>
        <v>0</v>
      </c>
      <c r="AS39" s="183">
        <f t="shared" si="22"/>
        <v>0</v>
      </c>
      <c r="AT39" s="183">
        <f t="shared" si="22"/>
        <v>0</v>
      </c>
      <c r="AU39" s="183">
        <f t="shared" si="22"/>
        <v>0</v>
      </c>
      <c r="AV39" s="183">
        <f t="shared" si="22"/>
        <v>0</v>
      </c>
      <c r="AW39" s="183">
        <f t="shared" si="22"/>
        <v>0</v>
      </c>
      <c r="AX39" s="183">
        <f t="shared" si="22"/>
        <v>0</v>
      </c>
      <c r="AY39" s="183"/>
    </row>
    <row r="40" spans="1:51" s="521" customFormat="1" ht="19.95" customHeight="1">
      <c r="A40" s="652" t="str">
        <f>底稿目录!A10</f>
        <v>畜牧养殖业</v>
      </c>
      <c r="B40" s="652"/>
      <c r="C40" s="652"/>
      <c r="D40" s="183">
        <f t="shared" ref="D40:M43" si="23">SUMPRODUCT(($A$13:$A$36=$A40)*(D$13:D$36))</f>
        <v>0</v>
      </c>
      <c r="E40" s="183">
        <f t="shared" si="23"/>
        <v>0</v>
      </c>
      <c r="F40" s="183"/>
      <c r="G40" s="183">
        <f t="shared" si="23"/>
        <v>0</v>
      </c>
      <c r="H40" s="183"/>
      <c r="I40" s="183">
        <f t="shared" si="23"/>
        <v>0</v>
      </c>
      <c r="J40" s="183">
        <f t="shared" si="23"/>
        <v>0</v>
      </c>
      <c r="K40" s="183">
        <f t="shared" si="23"/>
        <v>0</v>
      </c>
      <c r="L40" s="183">
        <f t="shared" si="23"/>
        <v>0</v>
      </c>
      <c r="M40" s="183">
        <f t="shared" si="23"/>
        <v>0</v>
      </c>
      <c r="N40" s="183">
        <f t="shared" ref="N40:AA43" si="24">SUMPRODUCT(($A$13:$A$36=$A40)*(N$13:N$36))</f>
        <v>0</v>
      </c>
      <c r="O40" s="183">
        <f t="shared" si="24"/>
        <v>0</v>
      </c>
      <c r="P40" s="183">
        <f t="shared" si="24"/>
        <v>0</v>
      </c>
      <c r="Q40" s="183">
        <f t="shared" si="24"/>
        <v>0</v>
      </c>
      <c r="R40" s="183">
        <f t="shared" si="24"/>
        <v>0</v>
      </c>
      <c r="S40" s="183">
        <f t="shared" si="24"/>
        <v>0</v>
      </c>
      <c r="T40" s="183">
        <f t="shared" si="24"/>
        <v>0</v>
      </c>
      <c r="U40" s="183">
        <f t="shared" si="24"/>
        <v>0</v>
      </c>
      <c r="V40" s="183">
        <f t="shared" si="24"/>
        <v>0</v>
      </c>
      <c r="W40" s="183">
        <f t="shared" si="24"/>
        <v>0</v>
      </c>
      <c r="X40" s="183">
        <f t="shared" si="24"/>
        <v>0</v>
      </c>
      <c r="Y40" s="183">
        <f t="shared" si="24"/>
        <v>0</v>
      </c>
      <c r="Z40" s="183">
        <f>SUMPRODUCT(($A$13:$A$36=$A40)*(Z$13:Z$36))</f>
        <v>0</v>
      </c>
      <c r="AA40" s="183">
        <f t="shared" si="24"/>
        <v>0</v>
      </c>
      <c r="AB40" s="183">
        <f t="shared" ref="AB40:AO43" si="25">SUMPRODUCT(($A$13:$A$36=$A40)*(AB$13:AB$36))</f>
        <v>0</v>
      </c>
      <c r="AC40" s="183">
        <f t="shared" si="25"/>
        <v>0</v>
      </c>
      <c r="AD40" s="183">
        <f t="shared" si="25"/>
        <v>0</v>
      </c>
      <c r="AE40" s="183">
        <f t="shared" si="25"/>
        <v>0</v>
      </c>
      <c r="AF40" s="183">
        <f t="shared" si="25"/>
        <v>0</v>
      </c>
      <c r="AG40" s="183">
        <f t="shared" si="25"/>
        <v>0</v>
      </c>
      <c r="AH40" s="183">
        <f t="shared" si="25"/>
        <v>0</v>
      </c>
      <c r="AI40" s="183">
        <f t="shared" si="25"/>
        <v>0</v>
      </c>
      <c r="AJ40" s="183">
        <f t="shared" si="25"/>
        <v>0</v>
      </c>
      <c r="AK40" s="183">
        <f t="shared" si="25"/>
        <v>0</v>
      </c>
      <c r="AL40" s="183">
        <f t="shared" si="25"/>
        <v>0</v>
      </c>
      <c r="AM40" s="183">
        <f t="shared" si="25"/>
        <v>0</v>
      </c>
      <c r="AN40" s="183">
        <f t="shared" si="25"/>
        <v>0</v>
      </c>
      <c r="AO40" s="183">
        <f t="shared" si="25"/>
        <v>0</v>
      </c>
      <c r="AP40" s="183">
        <f t="shared" ref="AP40:AX43" si="26">SUMPRODUCT(($A$13:$A$36=$A40)*(AP$13:AP$36))</f>
        <v>0</v>
      </c>
      <c r="AQ40" s="183">
        <f t="shared" si="26"/>
        <v>0</v>
      </c>
      <c r="AR40" s="183">
        <f t="shared" si="26"/>
        <v>0</v>
      </c>
      <c r="AS40" s="183">
        <f t="shared" si="26"/>
        <v>0</v>
      </c>
      <c r="AT40" s="183">
        <f t="shared" si="26"/>
        <v>0</v>
      </c>
      <c r="AU40" s="183">
        <f t="shared" si="26"/>
        <v>0</v>
      </c>
      <c r="AV40" s="183">
        <f t="shared" si="26"/>
        <v>0</v>
      </c>
      <c r="AW40" s="183">
        <f t="shared" si="26"/>
        <v>0</v>
      </c>
      <c r="AX40" s="183">
        <f t="shared" si="26"/>
        <v>0</v>
      </c>
      <c r="AY40" s="183"/>
    </row>
    <row r="41" spans="1:51" s="521" customFormat="1" ht="19.95" customHeight="1">
      <c r="A41" s="652" t="str">
        <f>底稿目录!A11</f>
        <v>林业</v>
      </c>
      <c r="B41" s="652"/>
      <c r="C41" s="652"/>
      <c r="D41" s="183">
        <f t="shared" si="23"/>
        <v>0</v>
      </c>
      <c r="E41" s="183">
        <f t="shared" si="23"/>
        <v>0</v>
      </c>
      <c r="F41" s="183"/>
      <c r="G41" s="183">
        <f t="shared" si="23"/>
        <v>0</v>
      </c>
      <c r="H41" s="183"/>
      <c r="I41" s="183">
        <f t="shared" si="23"/>
        <v>0</v>
      </c>
      <c r="J41" s="183">
        <f t="shared" si="23"/>
        <v>0</v>
      </c>
      <c r="K41" s="183">
        <f t="shared" si="23"/>
        <v>0</v>
      </c>
      <c r="L41" s="183">
        <f t="shared" si="23"/>
        <v>0</v>
      </c>
      <c r="M41" s="183">
        <f t="shared" si="23"/>
        <v>0</v>
      </c>
      <c r="N41" s="183">
        <f t="shared" si="24"/>
        <v>0</v>
      </c>
      <c r="O41" s="183">
        <f t="shared" si="24"/>
        <v>0</v>
      </c>
      <c r="P41" s="183">
        <f t="shared" si="24"/>
        <v>0</v>
      </c>
      <c r="Q41" s="183">
        <f t="shared" si="24"/>
        <v>0</v>
      </c>
      <c r="R41" s="183">
        <f t="shared" si="24"/>
        <v>0</v>
      </c>
      <c r="S41" s="183">
        <f t="shared" si="24"/>
        <v>0</v>
      </c>
      <c r="T41" s="183">
        <f t="shared" si="24"/>
        <v>0</v>
      </c>
      <c r="U41" s="183">
        <f t="shared" si="24"/>
        <v>0</v>
      </c>
      <c r="V41" s="183">
        <f t="shared" si="24"/>
        <v>0</v>
      </c>
      <c r="W41" s="183">
        <f t="shared" si="24"/>
        <v>0</v>
      </c>
      <c r="X41" s="183">
        <f t="shared" si="24"/>
        <v>0</v>
      </c>
      <c r="Y41" s="183">
        <f t="shared" si="24"/>
        <v>0</v>
      </c>
      <c r="Z41" s="183">
        <f>SUMPRODUCT(($A$13:$A$36=$A41)*(Z$13:Z$36))</f>
        <v>0</v>
      </c>
      <c r="AA41" s="183">
        <f t="shared" si="24"/>
        <v>0</v>
      </c>
      <c r="AB41" s="183">
        <f t="shared" si="25"/>
        <v>0</v>
      </c>
      <c r="AC41" s="183">
        <f t="shared" si="25"/>
        <v>0</v>
      </c>
      <c r="AD41" s="183">
        <f t="shared" si="25"/>
        <v>0</v>
      </c>
      <c r="AE41" s="183">
        <f t="shared" si="25"/>
        <v>0</v>
      </c>
      <c r="AF41" s="183">
        <f t="shared" si="25"/>
        <v>0</v>
      </c>
      <c r="AG41" s="183">
        <f t="shared" si="25"/>
        <v>0</v>
      </c>
      <c r="AH41" s="183">
        <f t="shared" si="25"/>
        <v>0</v>
      </c>
      <c r="AI41" s="183">
        <f t="shared" si="25"/>
        <v>0</v>
      </c>
      <c r="AJ41" s="183">
        <f t="shared" si="25"/>
        <v>0</v>
      </c>
      <c r="AK41" s="183">
        <f t="shared" si="25"/>
        <v>0</v>
      </c>
      <c r="AL41" s="183">
        <f t="shared" si="25"/>
        <v>0</v>
      </c>
      <c r="AM41" s="183">
        <f t="shared" si="25"/>
        <v>0</v>
      </c>
      <c r="AN41" s="183">
        <f t="shared" si="25"/>
        <v>0</v>
      </c>
      <c r="AO41" s="183">
        <f t="shared" si="25"/>
        <v>0</v>
      </c>
      <c r="AP41" s="183">
        <f t="shared" si="26"/>
        <v>0</v>
      </c>
      <c r="AQ41" s="183">
        <f t="shared" si="26"/>
        <v>0</v>
      </c>
      <c r="AR41" s="183">
        <f t="shared" si="26"/>
        <v>0</v>
      </c>
      <c r="AS41" s="183">
        <f t="shared" si="26"/>
        <v>0</v>
      </c>
      <c r="AT41" s="183">
        <f t="shared" si="26"/>
        <v>0</v>
      </c>
      <c r="AU41" s="183">
        <f t="shared" si="26"/>
        <v>0</v>
      </c>
      <c r="AV41" s="183">
        <f t="shared" si="26"/>
        <v>0</v>
      </c>
      <c r="AW41" s="183">
        <f t="shared" si="26"/>
        <v>0</v>
      </c>
      <c r="AX41" s="183">
        <f t="shared" si="26"/>
        <v>0</v>
      </c>
      <c r="AY41" s="183"/>
    </row>
    <row r="42" spans="1:51" s="521" customFormat="1" ht="19.95" customHeight="1">
      <c r="A42" s="652" t="str">
        <f>底稿目录!A12</f>
        <v>水产业</v>
      </c>
      <c r="B42" s="652"/>
      <c r="C42" s="652"/>
      <c r="D42" s="183">
        <f t="shared" si="23"/>
        <v>0</v>
      </c>
      <c r="E42" s="183">
        <f t="shared" si="23"/>
        <v>0</v>
      </c>
      <c r="F42" s="183"/>
      <c r="G42" s="183">
        <f t="shared" si="23"/>
        <v>0</v>
      </c>
      <c r="H42" s="183"/>
      <c r="I42" s="183">
        <f t="shared" si="23"/>
        <v>0</v>
      </c>
      <c r="J42" s="183">
        <f t="shared" si="23"/>
        <v>0</v>
      </c>
      <c r="K42" s="183">
        <f t="shared" si="23"/>
        <v>0</v>
      </c>
      <c r="L42" s="183">
        <f t="shared" si="23"/>
        <v>0</v>
      </c>
      <c r="M42" s="183">
        <f t="shared" si="23"/>
        <v>0</v>
      </c>
      <c r="N42" s="183">
        <f t="shared" si="24"/>
        <v>0</v>
      </c>
      <c r="O42" s="183">
        <f t="shared" si="24"/>
        <v>0</v>
      </c>
      <c r="P42" s="183">
        <f t="shared" si="24"/>
        <v>0</v>
      </c>
      <c r="Q42" s="183">
        <f t="shared" si="24"/>
        <v>0</v>
      </c>
      <c r="R42" s="183">
        <f t="shared" si="24"/>
        <v>0</v>
      </c>
      <c r="S42" s="183">
        <f t="shared" si="24"/>
        <v>0</v>
      </c>
      <c r="T42" s="183">
        <f t="shared" si="24"/>
        <v>0</v>
      </c>
      <c r="U42" s="183">
        <f t="shared" si="24"/>
        <v>0</v>
      </c>
      <c r="V42" s="183">
        <f t="shared" si="24"/>
        <v>0</v>
      </c>
      <c r="W42" s="183">
        <f t="shared" si="24"/>
        <v>0</v>
      </c>
      <c r="X42" s="183">
        <f t="shared" si="24"/>
        <v>0</v>
      </c>
      <c r="Y42" s="183">
        <f t="shared" si="24"/>
        <v>0</v>
      </c>
      <c r="Z42" s="183">
        <f>SUMPRODUCT(($A$13:$A$36=$A42)*(Z$13:Z$36))</f>
        <v>0</v>
      </c>
      <c r="AA42" s="183">
        <f t="shared" si="24"/>
        <v>0</v>
      </c>
      <c r="AB42" s="183">
        <f t="shared" si="25"/>
        <v>0</v>
      </c>
      <c r="AC42" s="183">
        <f t="shared" si="25"/>
        <v>0</v>
      </c>
      <c r="AD42" s="183">
        <f t="shared" si="25"/>
        <v>0</v>
      </c>
      <c r="AE42" s="183">
        <f t="shared" si="25"/>
        <v>0</v>
      </c>
      <c r="AF42" s="183">
        <f t="shared" si="25"/>
        <v>0</v>
      </c>
      <c r="AG42" s="183">
        <f t="shared" si="25"/>
        <v>0</v>
      </c>
      <c r="AH42" s="183">
        <f t="shared" si="25"/>
        <v>0</v>
      </c>
      <c r="AI42" s="183">
        <f t="shared" si="25"/>
        <v>0</v>
      </c>
      <c r="AJ42" s="183">
        <f t="shared" si="25"/>
        <v>0</v>
      </c>
      <c r="AK42" s="183">
        <f t="shared" si="25"/>
        <v>0</v>
      </c>
      <c r="AL42" s="183">
        <f t="shared" si="25"/>
        <v>0</v>
      </c>
      <c r="AM42" s="183">
        <f t="shared" si="25"/>
        <v>0</v>
      </c>
      <c r="AN42" s="183">
        <f t="shared" si="25"/>
        <v>0</v>
      </c>
      <c r="AO42" s="183">
        <f t="shared" si="25"/>
        <v>0</v>
      </c>
      <c r="AP42" s="183">
        <f t="shared" si="26"/>
        <v>0</v>
      </c>
      <c r="AQ42" s="183">
        <f t="shared" si="26"/>
        <v>0</v>
      </c>
      <c r="AR42" s="183">
        <f t="shared" si="26"/>
        <v>0</v>
      </c>
      <c r="AS42" s="183">
        <f t="shared" si="26"/>
        <v>0</v>
      </c>
      <c r="AT42" s="183">
        <f t="shared" si="26"/>
        <v>0</v>
      </c>
      <c r="AU42" s="183">
        <f t="shared" si="26"/>
        <v>0</v>
      </c>
      <c r="AV42" s="183">
        <f t="shared" si="26"/>
        <v>0</v>
      </c>
      <c r="AW42" s="183">
        <f t="shared" si="26"/>
        <v>0</v>
      </c>
      <c r="AX42" s="183">
        <f t="shared" si="26"/>
        <v>0</v>
      </c>
      <c r="AY42" s="183"/>
    </row>
    <row r="43" spans="1:51" s="521" customFormat="1" ht="19.95" customHeight="1">
      <c r="A43" s="652" t="str">
        <f>底稿目录!A13</f>
        <v>……</v>
      </c>
      <c r="B43" s="652"/>
      <c r="C43" s="652"/>
      <c r="D43" s="183">
        <f>SUMPRODUCT(($A$13:$A$36=$A43)*(D$13:D$36))</f>
        <v>0</v>
      </c>
      <c r="E43" s="183">
        <f t="shared" si="23"/>
        <v>0</v>
      </c>
      <c r="F43" s="183"/>
      <c r="G43" s="183">
        <f t="shared" si="23"/>
        <v>0</v>
      </c>
      <c r="H43" s="183"/>
      <c r="I43" s="183">
        <f t="shared" si="23"/>
        <v>0</v>
      </c>
      <c r="J43" s="183">
        <f t="shared" si="23"/>
        <v>0</v>
      </c>
      <c r="K43" s="183">
        <f t="shared" si="23"/>
        <v>0</v>
      </c>
      <c r="L43" s="183">
        <f t="shared" si="23"/>
        <v>0</v>
      </c>
      <c r="M43" s="183">
        <f t="shared" si="23"/>
        <v>0</v>
      </c>
      <c r="N43" s="183">
        <f t="shared" si="24"/>
        <v>0</v>
      </c>
      <c r="O43" s="183">
        <f t="shared" si="24"/>
        <v>0</v>
      </c>
      <c r="P43" s="183">
        <f t="shared" si="24"/>
        <v>0</v>
      </c>
      <c r="Q43" s="183">
        <f t="shared" si="24"/>
        <v>0</v>
      </c>
      <c r="R43" s="183">
        <f t="shared" si="24"/>
        <v>0</v>
      </c>
      <c r="S43" s="183">
        <f t="shared" si="24"/>
        <v>0</v>
      </c>
      <c r="T43" s="183">
        <f t="shared" si="24"/>
        <v>0</v>
      </c>
      <c r="U43" s="183">
        <f t="shared" si="24"/>
        <v>0</v>
      </c>
      <c r="V43" s="183">
        <f t="shared" si="24"/>
        <v>0</v>
      </c>
      <c r="W43" s="183">
        <f t="shared" si="24"/>
        <v>0</v>
      </c>
      <c r="X43" s="183">
        <f t="shared" si="24"/>
        <v>0</v>
      </c>
      <c r="Y43" s="183">
        <f t="shared" si="24"/>
        <v>0</v>
      </c>
      <c r="Z43" s="183">
        <f>SUMPRODUCT(($A$13:$A$36=$A43)*(Z$13:Z$36))</f>
        <v>0</v>
      </c>
      <c r="AA43" s="183">
        <f t="shared" si="24"/>
        <v>0</v>
      </c>
      <c r="AB43" s="183">
        <f t="shared" si="25"/>
        <v>0</v>
      </c>
      <c r="AC43" s="183">
        <f t="shared" si="25"/>
        <v>0</v>
      </c>
      <c r="AD43" s="183">
        <f t="shared" si="25"/>
        <v>0</v>
      </c>
      <c r="AE43" s="183">
        <f t="shared" si="25"/>
        <v>0</v>
      </c>
      <c r="AF43" s="183">
        <f t="shared" si="25"/>
        <v>0</v>
      </c>
      <c r="AG43" s="183">
        <f t="shared" si="25"/>
        <v>0</v>
      </c>
      <c r="AH43" s="183">
        <f t="shared" si="25"/>
        <v>0</v>
      </c>
      <c r="AI43" s="183">
        <f t="shared" si="25"/>
        <v>0</v>
      </c>
      <c r="AJ43" s="183">
        <f t="shared" si="25"/>
        <v>0</v>
      </c>
      <c r="AK43" s="183">
        <f t="shared" si="25"/>
        <v>0</v>
      </c>
      <c r="AL43" s="183">
        <f t="shared" si="25"/>
        <v>0</v>
      </c>
      <c r="AM43" s="183">
        <f t="shared" si="25"/>
        <v>0</v>
      </c>
      <c r="AN43" s="183">
        <f t="shared" si="25"/>
        <v>0</v>
      </c>
      <c r="AO43" s="183">
        <f t="shared" si="25"/>
        <v>0</v>
      </c>
      <c r="AP43" s="183">
        <f t="shared" si="26"/>
        <v>0</v>
      </c>
      <c r="AQ43" s="183">
        <f t="shared" si="26"/>
        <v>0</v>
      </c>
      <c r="AR43" s="183">
        <f t="shared" si="26"/>
        <v>0</v>
      </c>
      <c r="AS43" s="183">
        <f t="shared" si="26"/>
        <v>0</v>
      </c>
      <c r="AT43" s="183">
        <f t="shared" si="26"/>
        <v>0</v>
      </c>
      <c r="AU43" s="183">
        <f t="shared" si="26"/>
        <v>0</v>
      </c>
      <c r="AV43" s="183">
        <f t="shared" si="26"/>
        <v>0</v>
      </c>
      <c r="AW43" s="183">
        <f t="shared" si="26"/>
        <v>0</v>
      </c>
      <c r="AX43" s="183">
        <f t="shared" si="26"/>
        <v>0</v>
      </c>
      <c r="AY43" s="183"/>
    </row>
    <row r="44" spans="1:51" ht="19.95" customHeight="1">
      <c r="A44" s="279" t="s">
        <v>448</v>
      </c>
      <c r="B44" s="279"/>
    </row>
    <row r="47" spans="1:51" ht="19.95" customHeight="1">
      <c r="A47" s="24" t="s">
        <v>449</v>
      </c>
    </row>
    <row r="53" spans="1:2" ht="19.95" customHeight="1">
      <c r="A53" s="455" t="s">
        <v>1041</v>
      </c>
      <c r="B53" s="280"/>
    </row>
    <row r="54" spans="1:2" ht="19.95" customHeight="1">
      <c r="A54" s="17" t="s">
        <v>450</v>
      </c>
      <c r="B54" s="17"/>
    </row>
    <row r="55" spans="1:2" ht="19.95" customHeight="1">
      <c r="A55" s="17" t="s">
        <v>1014</v>
      </c>
      <c r="B55" s="17"/>
    </row>
    <row r="56" spans="1:2" ht="19.95" customHeight="1">
      <c r="A56" s="17" t="s">
        <v>1015</v>
      </c>
      <c r="B56" s="17"/>
    </row>
    <row r="57" spans="1:2" ht="19.95" customHeight="1">
      <c r="A57" s="17"/>
      <c r="B57" s="17"/>
    </row>
    <row r="58" spans="1:2" ht="19.95" customHeight="1">
      <c r="A58" s="262"/>
    </row>
    <row r="59" spans="1:2" ht="19.95" customHeight="1">
      <c r="A59" s="262"/>
    </row>
    <row r="60" spans="1:2" ht="19.95" customHeight="1">
      <c r="A60" s="262"/>
    </row>
    <row r="61" spans="1:2" ht="19.95" customHeight="1">
      <c r="A61" s="262"/>
    </row>
  </sheetData>
  <mergeCells count="68">
    <mergeCell ref="AY9:AY12"/>
    <mergeCell ref="AK11:AK12"/>
    <mergeCell ref="AD11:AD12"/>
    <mergeCell ref="AE11:AE12"/>
    <mergeCell ref="AU11:AU12"/>
    <mergeCell ref="AV11:AV12"/>
    <mergeCell ref="AX11:AX12"/>
    <mergeCell ref="AB10:AE10"/>
    <mergeCell ref="AO11:AP11"/>
    <mergeCell ref="Q9:AE9"/>
    <mergeCell ref="AW11:AW12"/>
    <mergeCell ref="AF10:AK10"/>
    <mergeCell ref="AM10:AP10"/>
    <mergeCell ref="Q11:Q12"/>
    <mergeCell ref="B9:B12"/>
    <mergeCell ref="A9:A12"/>
    <mergeCell ref="AT11:AT12"/>
    <mergeCell ref="AF11:AF12"/>
    <mergeCell ref="AG11:AH11"/>
    <mergeCell ref="AI11:AJ11"/>
    <mergeCell ref="AB11:AB12"/>
    <mergeCell ref="AC11:AC12"/>
    <mergeCell ref="M11:M12"/>
    <mergeCell ref="N11:N12"/>
    <mergeCell ref="O11:O12"/>
    <mergeCell ref="P11:P12"/>
    <mergeCell ref="AQ11:AQ12"/>
    <mergeCell ref="AR11:AR12"/>
    <mergeCell ref="AS11:AS12"/>
    <mergeCell ref="I11:I12"/>
    <mergeCell ref="K11:K12"/>
    <mergeCell ref="L11:L12"/>
    <mergeCell ref="AU9:AV10"/>
    <mergeCell ref="AW9:AX10"/>
    <mergeCell ref="K10:L10"/>
    <mergeCell ref="M10:P10"/>
    <mergeCell ref="AL10:AL12"/>
    <mergeCell ref="AQ10:AT10"/>
    <mergeCell ref="R11:S11"/>
    <mergeCell ref="T11:U11"/>
    <mergeCell ref="V11:V12"/>
    <mergeCell ref="D9:P9"/>
    <mergeCell ref="J10:J12"/>
    <mergeCell ref="W10:W12"/>
    <mergeCell ref="D11:D12"/>
    <mergeCell ref="X10:Z10"/>
    <mergeCell ref="A43:C43"/>
    <mergeCell ref="X11:Y11"/>
    <mergeCell ref="Z11:AA11"/>
    <mergeCell ref="AM11:AN11"/>
    <mergeCell ref="A37:C37"/>
    <mergeCell ref="A38:C38"/>
    <mergeCell ref="A39:C39"/>
    <mergeCell ref="A40:C40"/>
    <mergeCell ref="A41:C41"/>
    <mergeCell ref="A42:C42"/>
    <mergeCell ref="E11:F11"/>
    <mergeCell ref="G11:H11"/>
    <mergeCell ref="C9:C12"/>
    <mergeCell ref="AF9:AT9"/>
    <mergeCell ref="Q10:V10"/>
    <mergeCell ref="D10:I10"/>
    <mergeCell ref="AF1:AY1"/>
    <mergeCell ref="AF2:AY2"/>
    <mergeCell ref="A1:P1"/>
    <mergeCell ref="A2:P2"/>
    <mergeCell ref="Q1:AE1"/>
    <mergeCell ref="Q2:AE2"/>
  </mergeCells>
  <phoneticPr fontId="10" type="noConversion"/>
  <dataValidations count="3">
    <dataValidation type="list" allowBlank="1" showInputMessage="1" showErrorMessage="1" prompt="如要修改下列框的选项，单击“数据-数据有效性-设置-序列-来源”。_x000a_" sqref="H13:H36">
      <formula1>"处置,其他减少"</formula1>
    </dataValidation>
    <dataValidation type="list" allowBlank="1" showInputMessage="1" showErrorMessage="1" prompt="如要修改下列框的选项，单击“数据-数据有效性-设置-序列-来源”。" sqref="F13:F36">
      <formula1>"购置,在建工程转入,企业合并增加,其他增加"</formula1>
    </dataValidation>
    <dataValidation type="list" allowBlank="1" showInputMessage="1" showErrorMessage="1" sqref="AY13:AY36">
      <formula1>"√,X"</formula1>
    </dataValidation>
  </dataValidations>
  <hyperlinks>
    <hyperlink ref="P3" location="底稿目录!A1" display="H7A"/>
    <hyperlink ref="AE3" location="底稿目录!A1" display="H7A"/>
    <hyperlink ref="AY3" location="底稿目录!A1" display="H7A"/>
  </hyperlinks>
  <printOptions horizontalCentered="1"/>
  <pageMargins left="0.27559055118110237" right="0.23622047244094491" top="0.47244094488188981" bottom="0.47244094488188981" header="0.31496062992125984" footer="0.31496062992125984"/>
  <pageSetup paperSize="9" scale="52" fitToWidth="3" orientation="landscape" blackAndWhite="1" r:id="rId1"/>
  <headerFooter alignWithMargins="0">
    <oddFooter>&amp;C&amp;P/&amp;N</oddFooter>
  </headerFooter>
  <colBreaks count="2" manualBreakCount="2">
    <brk id="16" max="49" man="1"/>
    <brk id="31" max="49"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A13:A36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U57"/>
  <sheetViews>
    <sheetView view="pageBreakPreview" zoomScaleNormal="100" zoomScaleSheetLayoutView="100" workbookViewId="0">
      <selection sqref="A1:P1"/>
    </sheetView>
  </sheetViews>
  <sheetFormatPr defaultRowHeight="19.95" customHeight="1"/>
  <cols>
    <col min="1" max="1" width="11.3984375" style="28" customWidth="1"/>
    <col min="2" max="2" width="14.5" style="28" customWidth="1"/>
    <col min="3" max="16384" width="8.796875" style="28"/>
  </cols>
  <sheetData>
    <row r="1" spans="1:28" s="29" customFormat="1" ht="19.95" customHeight="1">
      <c r="A1" s="617" t="s">
        <v>982</v>
      </c>
      <c r="B1" s="617"/>
      <c r="C1" s="617"/>
      <c r="D1" s="617"/>
      <c r="E1" s="617"/>
      <c r="F1" s="617"/>
      <c r="G1" s="617"/>
      <c r="H1" s="617"/>
      <c r="I1" s="617"/>
      <c r="J1" s="617"/>
      <c r="K1" s="617"/>
      <c r="L1" s="617"/>
      <c r="M1" s="617"/>
      <c r="N1" s="617"/>
      <c r="O1" s="617"/>
      <c r="P1" s="617"/>
      <c r="Q1" s="617" t="s">
        <v>982</v>
      </c>
      <c r="R1" s="617"/>
      <c r="S1" s="617"/>
      <c r="T1" s="617"/>
      <c r="U1" s="617"/>
      <c r="V1" s="617"/>
      <c r="W1" s="617"/>
      <c r="X1" s="617"/>
      <c r="Y1" s="617"/>
      <c r="Z1" s="617"/>
      <c r="AA1" s="617"/>
      <c r="AB1" s="617"/>
    </row>
    <row r="2" spans="1:28" ht="19.95" customHeight="1">
      <c r="A2" s="618" t="s">
        <v>994</v>
      </c>
      <c r="B2" s="618"/>
      <c r="C2" s="618"/>
      <c r="D2" s="618"/>
      <c r="E2" s="618"/>
      <c r="F2" s="618"/>
      <c r="G2" s="618"/>
      <c r="H2" s="618"/>
      <c r="I2" s="618"/>
      <c r="J2" s="618"/>
      <c r="K2" s="618"/>
      <c r="L2" s="618"/>
      <c r="M2" s="618"/>
      <c r="N2" s="618"/>
      <c r="O2" s="618"/>
      <c r="P2" s="618"/>
      <c r="Q2" s="664" t="s">
        <v>451</v>
      </c>
      <c r="R2" s="664"/>
      <c r="S2" s="664"/>
      <c r="T2" s="664"/>
      <c r="U2" s="664"/>
      <c r="V2" s="664"/>
      <c r="W2" s="664"/>
      <c r="X2" s="664"/>
      <c r="Y2" s="664"/>
      <c r="Z2" s="664"/>
      <c r="AA2" s="664"/>
      <c r="AB2" s="664"/>
    </row>
    <row r="3" spans="1:28" ht="19.95" customHeight="1">
      <c r="A3" s="3" t="str">
        <f>底稿目录!A2</f>
        <v>被审计单位：</v>
      </c>
      <c r="B3" s="3"/>
      <c r="C3" s="3"/>
      <c r="D3" s="3"/>
      <c r="E3" s="3"/>
      <c r="F3" s="3"/>
      <c r="G3" s="3"/>
      <c r="H3" s="3" t="str">
        <f>底稿目录!A4</f>
        <v>编制人：</v>
      </c>
      <c r="J3" s="3"/>
      <c r="K3" s="3"/>
      <c r="L3" s="3" t="str">
        <f>底稿目录!A6</f>
        <v>编制日期：</v>
      </c>
      <c r="M3" s="3"/>
      <c r="N3" s="3"/>
      <c r="O3" s="432" t="s">
        <v>1011</v>
      </c>
      <c r="P3" s="252" t="s">
        <v>254</v>
      </c>
      <c r="Q3" s="3"/>
      <c r="R3" s="3"/>
      <c r="S3" s="3"/>
      <c r="T3" s="3"/>
      <c r="U3" s="3" t="str">
        <f>底稿目录!A4</f>
        <v>编制人：</v>
      </c>
      <c r="V3" s="3"/>
      <c r="W3" s="3"/>
      <c r="X3" s="3" t="str">
        <f>底稿目录!A6</f>
        <v>编制日期：</v>
      </c>
      <c r="Y3" s="91"/>
      <c r="Z3" s="3"/>
      <c r="AA3" s="432" t="s">
        <v>1011</v>
      </c>
      <c r="AB3" s="252" t="s">
        <v>254</v>
      </c>
    </row>
    <row r="4" spans="1:28" ht="19.95" customHeight="1">
      <c r="A4" s="3" t="str">
        <f>底稿目录!A3</f>
        <v>截止日：</v>
      </c>
      <c r="B4" s="3"/>
      <c r="C4" s="3"/>
      <c r="D4" s="3"/>
      <c r="E4" s="3"/>
      <c r="F4" s="3"/>
      <c r="G4" s="3"/>
      <c r="H4" s="3" t="str">
        <f>底稿目录!A5</f>
        <v>复核人：</v>
      </c>
      <c r="J4" s="3"/>
      <c r="K4" s="3"/>
      <c r="L4" s="3" t="str">
        <f>底稿目录!A7</f>
        <v>复核日期：</v>
      </c>
      <c r="M4" s="3"/>
      <c r="N4" s="3"/>
      <c r="O4" s="432" t="s">
        <v>1012</v>
      </c>
      <c r="P4" s="265"/>
      <c r="Q4" s="3"/>
      <c r="R4" s="3"/>
      <c r="S4" s="3"/>
      <c r="T4" s="3"/>
      <c r="U4" s="3" t="str">
        <f>底稿目录!A5</f>
        <v>复核人：</v>
      </c>
      <c r="V4" s="3"/>
      <c r="W4" s="3"/>
      <c r="X4" s="3" t="str">
        <f>底稿目录!A7</f>
        <v>复核日期：</v>
      </c>
      <c r="Y4" s="91"/>
      <c r="Z4" s="3"/>
      <c r="AA4" s="432" t="s">
        <v>1012</v>
      </c>
      <c r="AB4" s="265"/>
    </row>
    <row r="5" spans="1:28" ht="19.95" customHeight="1">
      <c r="A5" s="51" t="s">
        <v>82</v>
      </c>
      <c r="B5" s="51"/>
      <c r="C5" s="3"/>
      <c r="D5" s="3"/>
      <c r="E5" s="11"/>
      <c r="F5" s="3"/>
      <c r="G5" s="3"/>
      <c r="H5" s="3"/>
      <c r="J5" s="3"/>
      <c r="K5" s="3"/>
      <c r="L5" s="3"/>
      <c r="M5" s="3"/>
      <c r="N5" s="3"/>
      <c r="O5" s="3"/>
      <c r="P5" s="3"/>
      <c r="Q5" s="3"/>
      <c r="R5" s="3"/>
      <c r="S5" s="3"/>
      <c r="T5" s="3"/>
      <c r="U5" s="3"/>
      <c r="V5" s="3"/>
      <c r="W5" s="3"/>
      <c r="X5" s="3"/>
      <c r="Y5" s="3"/>
      <c r="Z5" s="159"/>
      <c r="AA5" s="159"/>
      <c r="AB5" s="159"/>
    </row>
    <row r="6" spans="1:28" s="182" customFormat="1" ht="19.95" customHeight="1">
      <c r="A6" s="517" t="s">
        <v>396</v>
      </c>
      <c r="C6" s="518"/>
      <c r="H6" s="519"/>
      <c r="O6" s="520"/>
      <c r="P6" s="520"/>
      <c r="Q6" s="520"/>
      <c r="R6" s="520"/>
      <c r="S6" s="520"/>
      <c r="T6" s="520"/>
      <c r="U6" s="520"/>
    </row>
    <row r="7" spans="1:28" s="182" customFormat="1" ht="19.95" customHeight="1">
      <c r="A7" s="517" t="s">
        <v>466</v>
      </c>
      <c r="C7" s="518"/>
      <c r="H7" s="519"/>
      <c r="O7" s="520"/>
      <c r="P7" s="520"/>
      <c r="Q7" s="520"/>
      <c r="R7" s="520"/>
      <c r="S7" s="520"/>
      <c r="T7" s="520"/>
      <c r="U7" s="520"/>
    </row>
    <row r="8" spans="1:28" ht="19.95" customHeight="1">
      <c r="A8" s="52" t="s">
        <v>467</v>
      </c>
      <c r="C8" s="3"/>
      <c r="D8" s="3"/>
      <c r="E8" s="11"/>
      <c r="F8" s="3"/>
      <c r="G8" s="3"/>
      <c r="H8" s="3"/>
      <c r="J8" s="3"/>
      <c r="K8" s="3"/>
      <c r="L8" s="3"/>
      <c r="M8" s="3"/>
      <c r="N8" s="3"/>
      <c r="O8" s="3"/>
      <c r="P8" s="3"/>
      <c r="Q8" s="3"/>
      <c r="R8" s="3"/>
      <c r="S8" s="3"/>
      <c r="T8" s="3"/>
      <c r="U8" s="3"/>
      <c r="V8" s="3"/>
      <c r="W8" s="3"/>
      <c r="X8" s="3"/>
      <c r="Y8" s="3"/>
      <c r="Z8" s="159"/>
      <c r="AA8" s="159"/>
      <c r="AB8" s="159"/>
    </row>
    <row r="9" spans="1:28" ht="19.95" customHeight="1">
      <c r="A9" s="665" t="s">
        <v>452</v>
      </c>
      <c r="B9" s="665" t="s">
        <v>468</v>
      </c>
      <c r="C9" s="665" t="s">
        <v>453</v>
      </c>
      <c r="D9" s="661" t="s">
        <v>454</v>
      </c>
      <c r="E9" s="662"/>
      <c r="F9" s="662"/>
      <c r="G9" s="662"/>
      <c r="H9" s="662"/>
      <c r="I9" s="662"/>
      <c r="J9" s="662"/>
      <c r="K9" s="662"/>
      <c r="L9" s="662"/>
      <c r="M9" s="662"/>
      <c r="N9" s="662"/>
      <c r="O9" s="662"/>
      <c r="P9" s="663"/>
      <c r="Q9" s="661" t="s">
        <v>455</v>
      </c>
      <c r="R9" s="662"/>
      <c r="S9" s="662"/>
      <c r="T9" s="662"/>
      <c r="U9" s="662"/>
      <c r="V9" s="662"/>
      <c r="W9" s="662"/>
      <c r="X9" s="663"/>
      <c r="Y9" s="665" t="s">
        <v>469</v>
      </c>
      <c r="Z9" s="665" t="s">
        <v>456</v>
      </c>
      <c r="AA9" s="665" t="s">
        <v>457</v>
      </c>
      <c r="AB9" s="665" t="s">
        <v>458</v>
      </c>
    </row>
    <row r="10" spans="1:28" ht="19.95" customHeight="1">
      <c r="A10" s="666"/>
      <c r="B10" s="666"/>
      <c r="C10" s="666"/>
      <c r="D10" s="661" t="s">
        <v>470</v>
      </c>
      <c r="E10" s="662"/>
      <c r="F10" s="662"/>
      <c r="G10" s="662"/>
      <c r="H10" s="662"/>
      <c r="I10" s="663"/>
      <c r="J10" s="659" t="s">
        <v>412</v>
      </c>
      <c r="K10" s="673" t="s">
        <v>413</v>
      </c>
      <c r="L10" s="674"/>
      <c r="M10" s="661" t="s">
        <v>459</v>
      </c>
      <c r="N10" s="662"/>
      <c r="O10" s="662"/>
      <c r="P10" s="663"/>
      <c r="Q10" s="661" t="s">
        <v>471</v>
      </c>
      <c r="R10" s="662"/>
      <c r="S10" s="663"/>
      <c r="T10" s="659" t="s">
        <v>412</v>
      </c>
      <c r="U10" s="668" t="s">
        <v>472</v>
      </c>
      <c r="V10" s="661" t="s">
        <v>473</v>
      </c>
      <c r="W10" s="662"/>
      <c r="X10" s="663"/>
      <c r="Y10" s="666"/>
      <c r="Z10" s="666"/>
      <c r="AA10" s="666"/>
      <c r="AB10" s="666"/>
    </row>
    <row r="11" spans="1:28" ht="19.95" customHeight="1">
      <c r="A11" s="667"/>
      <c r="B11" s="667"/>
      <c r="C11" s="667"/>
      <c r="D11" s="143" t="s">
        <v>460</v>
      </c>
      <c r="E11" s="143" t="s">
        <v>461</v>
      </c>
      <c r="F11" s="144" t="s">
        <v>462</v>
      </c>
      <c r="G11" s="143" t="s">
        <v>463</v>
      </c>
      <c r="H11" s="144" t="s">
        <v>474</v>
      </c>
      <c r="I11" s="143" t="s">
        <v>464</v>
      </c>
      <c r="J11" s="660"/>
      <c r="K11" s="145" t="s">
        <v>88</v>
      </c>
      <c r="L11" s="145" t="s">
        <v>89</v>
      </c>
      <c r="M11" s="143" t="s">
        <v>460</v>
      </c>
      <c r="N11" s="143" t="s">
        <v>461</v>
      </c>
      <c r="O11" s="143" t="s">
        <v>463</v>
      </c>
      <c r="P11" s="143" t="s">
        <v>464</v>
      </c>
      <c r="Q11" s="143" t="s">
        <v>460</v>
      </c>
      <c r="R11" s="143" t="s">
        <v>475</v>
      </c>
      <c r="S11" s="143" t="s">
        <v>464</v>
      </c>
      <c r="T11" s="660"/>
      <c r="U11" s="669"/>
      <c r="V11" s="143" t="s">
        <v>460</v>
      </c>
      <c r="W11" s="143" t="s">
        <v>476</v>
      </c>
      <c r="X11" s="143" t="s">
        <v>464</v>
      </c>
      <c r="Y11" s="667"/>
      <c r="Z11" s="667"/>
      <c r="AA11" s="667"/>
      <c r="AB11" s="667"/>
    </row>
    <row r="12" spans="1:28" ht="19.95" customHeight="1">
      <c r="A12" s="123"/>
      <c r="B12" s="365"/>
      <c r="C12" s="123"/>
      <c r="D12" s="121"/>
      <c r="E12" s="121"/>
      <c r="F12" s="363"/>
      <c r="G12" s="122"/>
      <c r="H12" s="363"/>
      <c r="I12" s="177">
        <f>D12+E12-G12</f>
        <v>0</v>
      </c>
      <c r="J12" s="122"/>
      <c r="K12" s="122"/>
      <c r="L12" s="122"/>
      <c r="M12" s="107">
        <f>D12+J12</f>
        <v>0</v>
      </c>
      <c r="N12" s="107">
        <f>E12+K12</f>
        <v>0</v>
      </c>
      <c r="O12" s="107">
        <f>G12+L12</f>
        <v>0</v>
      </c>
      <c r="P12" s="107">
        <f>M12+N12-O12</f>
        <v>0</v>
      </c>
      <c r="Q12" s="367"/>
      <c r="R12" s="367"/>
      <c r="S12" s="178">
        <f>Q12+R12</f>
        <v>0</v>
      </c>
      <c r="T12" s="122"/>
      <c r="U12" s="122"/>
      <c r="V12" s="107">
        <f>Q12+T12</f>
        <v>0</v>
      </c>
      <c r="W12" s="107">
        <f>R12+U12</f>
        <v>0</v>
      </c>
      <c r="X12" s="107">
        <f>V12+W12</f>
        <v>0</v>
      </c>
      <c r="Y12" s="107">
        <f>M12+V12</f>
        <v>0</v>
      </c>
      <c r="Z12" s="107">
        <f>P12+X12</f>
        <v>0</v>
      </c>
      <c r="AA12" s="364"/>
      <c r="AB12" s="364"/>
    </row>
    <row r="13" spans="1:28" ht="19.95" customHeight="1">
      <c r="A13" s="123"/>
      <c r="B13" s="365"/>
      <c r="C13" s="123"/>
      <c r="D13" s="121"/>
      <c r="E13" s="121"/>
      <c r="F13" s="363"/>
      <c r="G13" s="122"/>
      <c r="H13" s="363"/>
      <c r="I13" s="177">
        <f t="shared" ref="I13:I36" si="0">D13+E13-G13</f>
        <v>0</v>
      </c>
      <c r="J13" s="122"/>
      <c r="K13" s="122"/>
      <c r="L13" s="122"/>
      <c r="M13" s="107">
        <f t="shared" ref="M13:M36" si="1">D13+J13</f>
        <v>0</v>
      </c>
      <c r="N13" s="107">
        <f t="shared" ref="N13:N36" si="2">E13+K13</f>
        <v>0</v>
      </c>
      <c r="O13" s="107">
        <f t="shared" ref="O13:O36" si="3">G13+L13</f>
        <v>0</v>
      </c>
      <c r="P13" s="107">
        <f t="shared" ref="P13:P34" si="4">M13+N13-O13</f>
        <v>0</v>
      </c>
      <c r="Q13" s="367"/>
      <c r="R13" s="367"/>
      <c r="S13" s="178">
        <f>Q13+R13</f>
        <v>0</v>
      </c>
      <c r="T13" s="122"/>
      <c r="U13" s="122"/>
      <c r="V13" s="107">
        <f t="shared" ref="V13:W27" si="5">Q13+T13</f>
        <v>0</v>
      </c>
      <c r="W13" s="107">
        <f t="shared" ref="W13" si="6">R13+U13</f>
        <v>0</v>
      </c>
      <c r="X13" s="107">
        <f t="shared" ref="X13" si="7">V13+W13</f>
        <v>0</v>
      </c>
      <c r="Y13" s="107">
        <f t="shared" ref="Y13:Y36" si="8">M13+V13</f>
        <v>0</v>
      </c>
      <c r="Z13" s="107">
        <f t="shared" ref="Z13:Z36" si="9">P13+X13</f>
        <v>0</v>
      </c>
      <c r="AA13" s="364"/>
      <c r="AB13" s="364"/>
    </row>
    <row r="14" spans="1:28" ht="19.95" customHeight="1">
      <c r="A14" s="123"/>
      <c r="B14" s="365"/>
      <c r="C14" s="123"/>
      <c r="D14" s="121"/>
      <c r="E14" s="121"/>
      <c r="F14" s="363"/>
      <c r="G14" s="122"/>
      <c r="H14" s="363"/>
      <c r="I14" s="177">
        <f t="shared" si="0"/>
        <v>0</v>
      </c>
      <c r="J14" s="122"/>
      <c r="K14" s="122"/>
      <c r="L14" s="122"/>
      <c r="M14" s="107">
        <f t="shared" si="1"/>
        <v>0</v>
      </c>
      <c r="N14" s="107">
        <f t="shared" si="2"/>
        <v>0</v>
      </c>
      <c r="O14" s="107">
        <f t="shared" si="3"/>
        <v>0</v>
      </c>
      <c r="P14" s="107">
        <f t="shared" si="4"/>
        <v>0</v>
      </c>
      <c r="Q14" s="367"/>
      <c r="R14" s="367"/>
      <c r="S14" s="178">
        <f t="shared" ref="S14:S35" si="10">Q14+R14</f>
        <v>0</v>
      </c>
      <c r="T14" s="122"/>
      <c r="U14" s="122"/>
      <c r="V14" s="107">
        <f t="shared" si="5"/>
        <v>0</v>
      </c>
      <c r="W14" s="107">
        <f t="shared" si="5"/>
        <v>0</v>
      </c>
      <c r="X14" s="107">
        <f>V14+W14</f>
        <v>0</v>
      </c>
      <c r="Y14" s="107">
        <f t="shared" si="8"/>
        <v>0</v>
      </c>
      <c r="Z14" s="107">
        <f t="shared" si="9"/>
        <v>0</v>
      </c>
      <c r="AA14" s="364"/>
      <c r="AB14" s="364"/>
    </row>
    <row r="15" spans="1:28" ht="19.95" customHeight="1">
      <c r="A15" s="123"/>
      <c r="B15" s="365"/>
      <c r="C15" s="123"/>
      <c r="D15" s="121"/>
      <c r="E15" s="121"/>
      <c r="F15" s="363"/>
      <c r="G15" s="122"/>
      <c r="H15" s="363"/>
      <c r="I15" s="177">
        <f t="shared" si="0"/>
        <v>0</v>
      </c>
      <c r="J15" s="122"/>
      <c r="K15" s="122"/>
      <c r="L15" s="122"/>
      <c r="M15" s="107">
        <f t="shared" si="1"/>
        <v>0</v>
      </c>
      <c r="N15" s="107">
        <f t="shared" si="2"/>
        <v>0</v>
      </c>
      <c r="O15" s="107">
        <f t="shared" si="3"/>
        <v>0</v>
      </c>
      <c r="P15" s="107">
        <f t="shared" si="4"/>
        <v>0</v>
      </c>
      <c r="Q15" s="367"/>
      <c r="R15" s="367"/>
      <c r="S15" s="178">
        <f t="shared" si="10"/>
        <v>0</v>
      </c>
      <c r="T15" s="122"/>
      <c r="U15" s="122"/>
      <c r="V15" s="107">
        <f t="shared" si="5"/>
        <v>0</v>
      </c>
      <c r="W15" s="107">
        <f t="shared" si="5"/>
        <v>0</v>
      </c>
      <c r="X15" s="107">
        <f t="shared" ref="X15:X36" si="11">V15+W15</f>
        <v>0</v>
      </c>
      <c r="Y15" s="107">
        <f t="shared" si="8"/>
        <v>0</v>
      </c>
      <c r="Z15" s="107">
        <f t="shared" si="9"/>
        <v>0</v>
      </c>
      <c r="AA15" s="364"/>
      <c r="AB15" s="364"/>
    </row>
    <row r="16" spans="1:28" ht="19.95" customHeight="1">
      <c r="A16" s="123"/>
      <c r="B16" s="365"/>
      <c r="C16" s="123"/>
      <c r="D16" s="121"/>
      <c r="E16" s="121"/>
      <c r="F16" s="363"/>
      <c r="G16" s="122"/>
      <c r="H16" s="363"/>
      <c r="I16" s="177">
        <f t="shared" si="0"/>
        <v>0</v>
      </c>
      <c r="J16" s="122"/>
      <c r="K16" s="122"/>
      <c r="L16" s="122"/>
      <c r="M16" s="107">
        <f t="shared" si="1"/>
        <v>0</v>
      </c>
      <c r="N16" s="107">
        <f t="shared" si="2"/>
        <v>0</v>
      </c>
      <c r="O16" s="107">
        <f t="shared" si="3"/>
        <v>0</v>
      </c>
      <c r="P16" s="107">
        <f t="shared" si="4"/>
        <v>0</v>
      </c>
      <c r="Q16" s="367"/>
      <c r="R16" s="367"/>
      <c r="S16" s="178">
        <f t="shared" si="10"/>
        <v>0</v>
      </c>
      <c r="T16" s="122"/>
      <c r="U16" s="122"/>
      <c r="V16" s="107">
        <f t="shared" si="5"/>
        <v>0</v>
      </c>
      <c r="W16" s="107">
        <f t="shared" si="5"/>
        <v>0</v>
      </c>
      <c r="X16" s="107">
        <f t="shared" si="11"/>
        <v>0</v>
      </c>
      <c r="Y16" s="107">
        <f t="shared" si="8"/>
        <v>0</v>
      </c>
      <c r="Z16" s="107">
        <f t="shared" si="9"/>
        <v>0</v>
      </c>
      <c r="AA16" s="364"/>
      <c r="AB16" s="364"/>
    </row>
    <row r="17" spans="1:28" ht="19.95" customHeight="1">
      <c r="A17" s="123"/>
      <c r="B17" s="365"/>
      <c r="C17" s="123"/>
      <c r="D17" s="121"/>
      <c r="E17" s="121"/>
      <c r="F17" s="363"/>
      <c r="G17" s="122"/>
      <c r="H17" s="363"/>
      <c r="I17" s="177">
        <f t="shared" si="0"/>
        <v>0</v>
      </c>
      <c r="J17" s="122"/>
      <c r="K17" s="122"/>
      <c r="L17" s="122"/>
      <c r="M17" s="107">
        <f t="shared" si="1"/>
        <v>0</v>
      </c>
      <c r="N17" s="107">
        <f t="shared" si="2"/>
        <v>0</v>
      </c>
      <c r="O17" s="107">
        <f t="shared" si="3"/>
        <v>0</v>
      </c>
      <c r="P17" s="107">
        <f t="shared" si="4"/>
        <v>0</v>
      </c>
      <c r="Q17" s="367"/>
      <c r="R17" s="367"/>
      <c r="S17" s="178">
        <f t="shared" si="10"/>
        <v>0</v>
      </c>
      <c r="T17" s="122"/>
      <c r="U17" s="122"/>
      <c r="V17" s="107">
        <f t="shared" si="5"/>
        <v>0</v>
      </c>
      <c r="W17" s="107">
        <f t="shared" ref="W17:W36" si="12">R17+U17</f>
        <v>0</v>
      </c>
      <c r="X17" s="107">
        <f t="shared" si="11"/>
        <v>0</v>
      </c>
      <c r="Y17" s="107">
        <f t="shared" si="8"/>
        <v>0</v>
      </c>
      <c r="Z17" s="107">
        <f t="shared" si="9"/>
        <v>0</v>
      </c>
      <c r="AA17" s="364"/>
      <c r="AB17" s="364"/>
    </row>
    <row r="18" spans="1:28" ht="19.95" customHeight="1">
      <c r="A18" s="123"/>
      <c r="B18" s="365"/>
      <c r="C18" s="123"/>
      <c r="D18" s="121"/>
      <c r="E18" s="121"/>
      <c r="F18" s="363"/>
      <c r="G18" s="122"/>
      <c r="H18" s="363"/>
      <c r="I18" s="177">
        <f t="shared" si="0"/>
        <v>0</v>
      </c>
      <c r="J18" s="122"/>
      <c r="K18" s="122"/>
      <c r="L18" s="122"/>
      <c r="M18" s="107">
        <f t="shared" si="1"/>
        <v>0</v>
      </c>
      <c r="N18" s="107">
        <f t="shared" si="2"/>
        <v>0</v>
      </c>
      <c r="O18" s="107">
        <f t="shared" si="3"/>
        <v>0</v>
      </c>
      <c r="P18" s="107">
        <f t="shared" si="4"/>
        <v>0</v>
      </c>
      <c r="Q18" s="367"/>
      <c r="R18" s="367"/>
      <c r="S18" s="178">
        <f t="shared" si="10"/>
        <v>0</v>
      </c>
      <c r="T18" s="122"/>
      <c r="U18" s="122"/>
      <c r="V18" s="107">
        <f t="shared" si="5"/>
        <v>0</v>
      </c>
      <c r="W18" s="107">
        <f t="shared" si="12"/>
        <v>0</v>
      </c>
      <c r="X18" s="107">
        <f t="shared" si="11"/>
        <v>0</v>
      </c>
      <c r="Y18" s="107">
        <f t="shared" si="8"/>
        <v>0</v>
      </c>
      <c r="Z18" s="107">
        <f t="shared" si="9"/>
        <v>0</v>
      </c>
      <c r="AA18" s="364"/>
      <c r="AB18" s="364"/>
    </row>
    <row r="19" spans="1:28" ht="19.95" customHeight="1">
      <c r="A19" s="123"/>
      <c r="B19" s="365"/>
      <c r="C19" s="123"/>
      <c r="D19" s="121"/>
      <c r="E19" s="121"/>
      <c r="F19" s="363"/>
      <c r="G19" s="122"/>
      <c r="H19" s="363"/>
      <c r="I19" s="177">
        <f t="shared" si="0"/>
        <v>0</v>
      </c>
      <c r="J19" s="122"/>
      <c r="K19" s="122"/>
      <c r="L19" s="122"/>
      <c r="M19" s="107">
        <f t="shared" si="1"/>
        <v>0</v>
      </c>
      <c r="N19" s="107">
        <f t="shared" si="2"/>
        <v>0</v>
      </c>
      <c r="O19" s="107">
        <f t="shared" si="3"/>
        <v>0</v>
      </c>
      <c r="P19" s="107">
        <f t="shared" si="4"/>
        <v>0</v>
      </c>
      <c r="Q19" s="367"/>
      <c r="R19" s="367"/>
      <c r="S19" s="178">
        <f t="shared" si="10"/>
        <v>0</v>
      </c>
      <c r="T19" s="122"/>
      <c r="U19" s="122"/>
      <c r="V19" s="107">
        <f t="shared" si="5"/>
        <v>0</v>
      </c>
      <c r="W19" s="107">
        <f t="shared" si="12"/>
        <v>0</v>
      </c>
      <c r="X19" s="107">
        <f t="shared" si="11"/>
        <v>0</v>
      </c>
      <c r="Y19" s="107">
        <f t="shared" si="8"/>
        <v>0</v>
      </c>
      <c r="Z19" s="107">
        <f t="shared" si="9"/>
        <v>0</v>
      </c>
      <c r="AA19" s="364"/>
      <c r="AB19" s="364"/>
    </row>
    <row r="20" spans="1:28" ht="19.95" customHeight="1">
      <c r="A20" s="123"/>
      <c r="B20" s="365"/>
      <c r="C20" s="123"/>
      <c r="D20" s="121"/>
      <c r="E20" s="121"/>
      <c r="F20" s="363"/>
      <c r="G20" s="122"/>
      <c r="H20" s="363"/>
      <c r="I20" s="177">
        <f t="shared" si="0"/>
        <v>0</v>
      </c>
      <c r="J20" s="122"/>
      <c r="K20" s="122"/>
      <c r="L20" s="122"/>
      <c r="M20" s="107">
        <f t="shared" si="1"/>
        <v>0</v>
      </c>
      <c r="N20" s="107">
        <f t="shared" si="2"/>
        <v>0</v>
      </c>
      <c r="O20" s="107">
        <f t="shared" si="3"/>
        <v>0</v>
      </c>
      <c r="P20" s="107">
        <f t="shared" si="4"/>
        <v>0</v>
      </c>
      <c r="Q20" s="367"/>
      <c r="R20" s="367"/>
      <c r="S20" s="178">
        <f t="shared" si="10"/>
        <v>0</v>
      </c>
      <c r="T20" s="122"/>
      <c r="U20" s="122"/>
      <c r="V20" s="107">
        <f t="shared" si="5"/>
        <v>0</v>
      </c>
      <c r="W20" s="107">
        <f t="shared" si="12"/>
        <v>0</v>
      </c>
      <c r="X20" s="107">
        <f t="shared" si="11"/>
        <v>0</v>
      </c>
      <c r="Y20" s="107">
        <f t="shared" si="8"/>
        <v>0</v>
      </c>
      <c r="Z20" s="107">
        <f t="shared" si="9"/>
        <v>0</v>
      </c>
      <c r="AA20" s="364"/>
      <c r="AB20" s="364"/>
    </row>
    <row r="21" spans="1:28" ht="19.95" customHeight="1">
      <c r="A21" s="123"/>
      <c r="B21" s="365"/>
      <c r="C21" s="123"/>
      <c r="D21" s="121"/>
      <c r="E21" s="121"/>
      <c r="F21" s="363"/>
      <c r="G21" s="122"/>
      <c r="H21" s="363"/>
      <c r="I21" s="177">
        <f t="shared" si="0"/>
        <v>0</v>
      </c>
      <c r="J21" s="122"/>
      <c r="K21" s="122"/>
      <c r="L21" s="122"/>
      <c r="M21" s="107">
        <f t="shared" si="1"/>
        <v>0</v>
      </c>
      <c r="N21" s="107">
        <f t="shared" si="2"/>
        <v>0</v>
      </c>
      <c r="O21" s="107">
        <f t="shared" si="3"/>
        <v>0</v>
      </c>
      <c r="P21" s="107">
        <f t="shared" si="4"/>
        <v>0</v>
      </c>
      <c r="Q21" s="367"/>
      <c r="R21" s="367"/>
      <c r="S21" s="178">
        <f t="shared" si="10"/>
        <v>0</v>
      </c>
      <c r="T21" s="122"/>
      <c r="U21" s="122"/>
      <c r="V21" s="107">
        <f t="shared" si="5"/>
        <v>0</v>
      </c>
      <c r="W21" s="107">
        <f t="shared" si="12"/>
        <v>0</v>
      </c>
      <c r="X21" s="107">
        <f t="shared" si="11"/>
        <v>0</v>
      </c>
      <c r="Y21" s="107">
        <f t="shared" si="8"/>
        <v>0</v>
      </c>
      <c r="Z21" s="107">
        <f t="shared" si="9"/>
        <v>0</v>
      </c>
      <c r="AA21" s="364"/>
      <c r="AB21" s="364"/>
    </row>
    <row r="22" spans="1:28" ht="19.95" customHeight="1">
      <c r="A22" s="123"/>
      <c r="B22" s="365"/>
      <c r="C22" s="123"/>
      <c r="D22" s="121"/>
      <c r="E22" s="121"/>
      <c r="F22" s="363"/>
      <c r="G22" s="122"/>
      <c r="H22" s="363"/>
      <c r="I22" s="177">
        <f t="shared" si="0"/>
        <v>0</v>
      </c>
      <c r="J22" s="122"/>
      <c r="K22" s="122"/>
      <c r="L22" s="122"/>
      <c r="M22" s="107">
        <f t="shared" si="1"/>
        <v>0</v>
      </c>
      <c r="N22" s="107">
        <f t="shared" si="2"/>
        <v>0</v>
      </c>
      <c r="O22" s="107">
        <f t="shared" si="3"/>
        <v>0</v>
      </c>
      <c r="P22" s="107">
        <f t="shared" si="4"/>
        <v>0</v>
      </c>
      <c r="Q22" s="367"/>
      <c r="R22" s="367"/>
      <c r="S22" s="178">
        <f t="shared" si="10"/>
        <v>0</v>
      </c>
      <c r="T22" s="122"/>
      <c r="U22" s="122"/>
      <c r="V22" s="107">
        <f t="shared" si="5"/>
        <v>0</v>
      </c>
      <c r="W22" s="107">
        <f t="shared" si="12"/>
        <v>0</v>
      </c>
      <c r="X22" s="107">
        <f t="shared" si="11"/>
        <v>0</v>
      </c>
      <c r="Y22" s="107">
        <f t="shared" si="8"/>
        <v>0</v>
      </c>
      <c r="Z22" s="107">
        <f t="shared" si="9"/>
        <v>0</v>
      </c>
      <c r="AA22" s="364"/>
      <c r="AB22" s="364"/>
    </row>
    <row r="23" spans="1:28" ht="19.95" customHeight="1">
      <c r="A23" s="123"/>
      <c r="B23" s="365"/>
      <c r="C23" s="123"/>
      <c r="D23" s="121"/>
      <c r="E23" s="121"/>
      <c r="F23" s="363"/>
      <c r="G23" s="122"/>
      <c r="H23" s="363"/>
      <c r="I23" s="177">
        <f t="shared" si="0"/>
        <v>0</v>
      </c>
      <c r="J23" s="122"/>
      <c r="K23" s="122"/>
      <c r="L23" s="122"/>
      <c r="M23" s="107">
        <f t="shared" si="1"/>
        <v>0</v>
      </c>
      <c r="N23" s="107">
        <f t="shared" si="2"/>
        <v>0</v>
      </c>
      <c r="O23" s="107">
        <f t="shared" si="3"/>
        <v>0</v>
      </c>
      <c r="P23" s="107">
        <f t="shared" si="4"/>
        <v>0</v>
      </c>
      <c r="Q23" s="367"/>
      <c r="R23" s="367"/>
      <c r="S23" s="178">
        <f t="shared" si="10"/>
        <v>0</v>
      </c>
      <c r="T23" s="122"/>
      <c r="U23" s="122"/>
      <c r="V23" s="107">
        <f t="shared" si="5"/>
        <v>0</v>
      </c>
      <c r="W23" s="107">
        <f t="shared" si="12"/>
        <v>0</v>
      </c>
      <c r="X23" s="107">
        <f t="shared" si="11"/>
        <v>0</v>
      </c>
      <c r="Y23" s="107">
        <f t="shared" si="8"/>
        <v>0</v>
      </c>
      <c r="Z23" s="107">
        <f t="shared" si="9"/>
        <v>0</v>
      </c>
      <c r="AA23" s="364"/>
      <c r="AB23" s="364"/>
    </row>
    <row r="24" spans="1:28" ht="19.95" customHeight="1">
      <c r="A24" s="123"/>
      <c r="B24" s="365"/>
      <c r="C24" s="123"/>
      <c r="D24" s="121"/>
      <c r="E24" s="121"/>
      <c r="F24" s="363"/>
      <c r="G24" s="122"/>
      <c r="H24" s="363"/>
      <c r="I24" s="177">
        <f t="shared" si="0"/>
        <v>0</v>
      </c>
      <c r="J24" s="122"/>
      <c r="K24" s="122"/>
      <c r="L24" s="122"/>
      <c r="M24" s="107">
        <f t="shared" si="1"/>
        <v>0</v>
      </c>
      <c r="N24" s="107">
        <f t="shared" si="2"/>
        <v>0</v>
      </c>
      <c r="O24" s="107">
        <f t="shared" si="3"/>
        <v>0</v>
      </c>
      <c r="P24" s="107">
        <f t="shared" si="4"/>
        <v>0</v>
      </c>
      <c r="Q24" s="367"/>
      <c r="R24" s="367"/>
      <c r="S24" s="178">
        <f t="shared" si="10"/>
        <v>0</v>
      </c>
      <c r="T24" s="122"/>
      <c r="U24" s="122"/>
      <c r="V24" s="107">
        <f t="shared" si="5"/>
        <v>0</v>
      </c>
      <c r="W24" s="107">
        <f t="shared" si="12"/>
        <v>0</v>
      </c>
      <c r="X24" s="107">
        <f t="shared" si="11"/>
        <v>0</v>
      </c>
      <c r="Y24" s="107">
        <f t="shared" si="8"/>
        <v>0</v>
      </c>
      <c r="Z24" s="107">
        <f t="shared" si="9"/>
        <v>0</v>
      </c>
      <c r="AA24" s="364"/>
      <c r="AB24" s="364"/>
    </row>
    <row r="25" spans="1:28" ht="19.95" customHeight="1">
      <c r="A25" s="123"/>
      <c r="B25" s="365"/>
      <c r="C25" s="123"/>
      <c r="D25" s="121"/>
      <c r="E25" s="121"/>
      <c r="F25" s="363"/>
      <c r="G25" s="122"/>
      <c r="H25" s="363"/>
      <c r="I25" s="177">
        <f t="shared" si="0"/>
        <v>0</v>
      </c>
      <c r="J25" s="122"/>
      <c r="K25" s="122"/>
      <c r="L25" s="122"/>
      <c r="M25" s="107">
        <f t="shared" si="1"/>
        <v>0</v>
      </c>
      <c r="N25" s="107">
        <f t="shared" si="2"/>
        <v>0</v>
      </c>
      <c r="O25" s="107">
        <f t="shared" si="3"/>
        <v>0</v>
      </c>
      <c r="P25" s="107">
        <f t="shared" si="4"/>
        <v>0</v>
      </c>
      <c r="Q25" s="367"/>
      <c r="R25" s="367"/>
      <c r="S25" s="178">
        <f t="shared" si="10"/>
        <v>0</v>
      </c>
      <c r="T25" s="122"/>
      <c r="U25" s="122"/>
      <c r="V25" s="107">
        <f t="shared" si="5"/>
        <v>0</v>
      </c>
      <c r="W25" s="107">
        <f t="shared" si="12"/>
        <v>0</v>
      </c>
      <c r="X25" s="107">
        <f t="shared" si="11"/>
        <v>0</v>
      </c>
      <c r="Y25" s="107">
        <f t="shared" si="8"/>
        <v>0</v>
      </c>
      <c r="Z25" s="107">
        <f t="shared" si="9"/>
        <v>0</v>
      </c>
      <c r="AA25" s="364"/>
      <c r="AB25" s="364"/>
    </row>
    <row r="26" spans="1:28" ht="19.95" customHeight="1">
      <c r="A26" s="123"/>
      <c r="B26" s="365"/>
      <c r="C26" s="123"/>
      <c r="D26" s="121"/>
      <c r="E26" s="121"/>
      <c r="F26" s="363"/>
      <c r="G26" s="122"/>
      <c r="H26" s="363"/>
      <c r="I26" s="177">
        <f t="shared" si="0"/>
        <v>0</v>
      </c>
      <c r="J26" s="122"/>
      <c r="K26" s="122"/>
      <c r="L26" s="122"/>
      <c r="M26" s="107">
        <f t="shared" si="1"/>
        <v>0</v>
      </c>
      <c r="N26" s="107">
        <f t="shared" si="2"/>
        <v>0</v>
      </c>
      <c r="O26" s="107">
        <f t="shared" si="3"/>
        <v>0</v>
      </c>
      <c r="P26" s="107">
        <f t="shared" si="4"/>
        <v>0</v>
      </c>
      <c r="Q26" s="367"/>
      <c r="R26" s="367"/>
      <c r="S26" s="178">
        <f t="shared" si="10"/>
        <v>0</v>
      </c>
      <c r="T26" s="122"/>
      <c r="U26" s="122"/>
      <c r="V26" s="107">
        <f t="shared" si="5"/>
        <v>0</v>
      </c>
      <c r="W26" s="107">
        <f t="shared" si="12"/>
        <v>0</v>
      </c>
      <c r="X26" s="107">
        <f t="shared" si="11"/>
        <v>0</v>
      </c>
      <c r="Y26" s="107">
        <f t="shared" si="8"/>
        <v>0</v>
      </c>
      <c r="Z26" s="107">
        <f t="shared" si="9"/>
        <v>0</v>
      </c>
      <c r="AA26" s="364"/>
      <c r="AB26" s="364"/>
    </row>
    <row r="27" spans="1:28" ht="19.95" customHeight="1">
      <c r="A27" s="123"/>
      <c r="B27" s="365"/>
      <c r="C27" s="123"/>
      <c r="D27" s="121"/>
      <c r="E27" s="121"/>
      <c r="F27" s="363"/>
      <c r="G27" s="122"/>
      <c r="H27" s="363"/>
      <c r="I27" s="177">
        <f t="shared" si="0"/>
        <v>0</v>
      </c>
      <c r="J27" s="122"/>
      <c r="K27" s="122"/>
      <c r="L27" s="122"/>
      <c r="M27" s="107">
        <f t="shared" si="1"/>
        <v>0</v>
      </c>
      <c r="N27" s="107">
        <f t="shared" si="2"/>
        <v>0</v>
      </c>
      <c r="O27" s="107">
        <f t="shared" si="3"/>
        <v>0</v>
      </c>
      <c r="P27" s="107">
        <f t="shared" si="4"/>
        <v>0</v>
      </c>
      <c r="Q27" s="367"/>
      <c r="R27" s="367"/>
      <c r="S27" s="178">
        <f t="shared" si="10"/>
        <v>0</v>
      </c>
      <c r="T27" s="122"/>
      <c r="U27" s="122"/>
      <c r="V27" s="107">
        <f t="shared" si="5"/>
        <v>0</v>
      </c>
      <c r="W27" s="107">
        <f t="shared" si="12"/>
        <v>0</v>
      </c>
      <c r="X27" s="107">
        <f t="shared" si="11"/>
        <v>0</v>
      </c>
      <c r="Y27" s="107">
        <f t="shared" si="8"/>
        <v>0</v>
      </c>
      <c r="Z27" s="107">
        <f t="shared" si="9"/>
        <v>0</v>
      </c>
      <c r="AA27" s="364"/>
      <c r="AB27" s="364"/>
    </row>
    <row r="28" spans="1:28" ht="19.95" customHeight="1">
      <c r="A28" s="123"/>
      <c r="B28" s="365"/>
      <c r="C28" s="123"/>
      <c r="D28" s="121"/>
      <c r="E28" s="121"/>
      <c r="F28" s="363"/>
      <c r="G28" s="122"/>
      <c r="H28" s="363"/>
      <c r="I28" s="177">
        <f t="shared" si="0"/>
        <v>0</v>
      </c>
      <c r="J28" s="122"/>
      <c r="K28" s="122"/>
      <c r="L28" s="122"/>
      <c r="M28" s="107">
        <f t="shared" si="1"/>
        <v>0</v>
      </c>
      <c r="N28" s="107">
        <f t="shared" si="2"/>
        <v>0</v>
      </c>
      <c r="O28" s="107">
        <f t="shared" si="3"/>
        <v>0</v>
      </c>
      <c r="P28" s="107">
        <f t="shared" si="4"/>
        <v>0</v>
      </c>
      <c r="Q28" s="367"/>
      <c r="R28" s="367"/>
      <c r="S28" s="178">
        <f t="shared" si="10"/>
        <v>0</v>
      </c>
      <c r="T28" s="122"/>
      <c r="U28" s="122"/>
      <c r="V28" s="107">
        <f t="shared" ref="V28:V35" si="13">Q28+T28</f>
        <v>0</v>
      </c>
      <c r="W28" s="107">
        <f t="shared" si="12"/>
        <v>0</v>
      </c>
      <c r="X28" s="107">
        <f t="shared" si="11"/>
        <v>0</v>
      </c>
      <c r="Y28" s="107">
        <f t="shared" si="8"/>
        <v>0</v>
      </c>
      <c r="Z28" s="107">
        <f t="shared" si="9"/>
        <v>0</v>
      </c>
      <c r="AA28" s="364"/>
      <c r="AB28" s="364"/>
    </row>
    <row r="29" spans="1:28" ht="19.95" customHeight="1">
      <c r="A29" s="123"/>
      <c r="B29" s="365"/>
      <c r="C29" s="123"/>
      <c r="D29" s="121"/>
      <c r="E29" s="121"/>
      <c r="F29" s="363"/>
      <c r="G29" s="122"/>
      <c r="H29" s="363"/>
      <c r="I29" s="177">
        <f t="shared" si="0"/>
        <v>0</v>
      </c>
      <c r="J29" s="122"/>
      <c r="K29" s="122"/>
      <c r="L29" s="122"/>
      <c r="M29" s="107">
        <f t="shared" si="1"/>
        <v>0</v>
      </c>
      <c r="N29" s="107">
        <f t="shared" si="2"/>
        <v>0</v>
      </c>
      <c r="O29" s="107">
        <f t="shared" si="3"/>
        <v>0</v>
      </c>
      <c r="P29" s="107">
        <f t="shared" si="4"/>
        <v>0</v>
      </c>
      <c r="Q29" s="367"/>
      <c r="R29" s="367"/>
      <c r="S29" s="178">
        <f t="shared" si="10"/>
        <v>0</v>
      </c>
      <c r="T29" s="122"/>
      <c r="U29" s="122"/>
      <c r="V29" s="107">
        <f t="shared" si="13"/>
        <v>0</v>
      </c>
      <c r="W29" s="107">
        <f t="shared" si="12"/>
        <v>0</v>
      </c>
      <c r="X29" s="107">
        <f t="shared" si="11"/>
        <v>0</v>
      </c>
      <c r="Y29" s="107">
        <f t="shared" si="8"/>
        <v>0</v>
      </c>
      <c r="Z29" s="107">
        <f t="shared" si="9"/>
        <v>0</v>
      </c>
      <c r="AA29" s="364"/>
      <c r="AB29" s="364"/>
    </row>
    <row r="30" spans="1:28" ht="19.95" customHeight="1">
      <c r="A30" s="123"/>
      <c r="B30" s="365"/>
      <c r="C30" s="123"/>
      <c r="D30" s="121"/>
      <c r="E30" s="121"/>
      <c r="F30" s="363"/>
      <c r="G30" s="122"/>
      <c r="H30" s="363"/>
      <c r="I30" s="177">
        <f t="shared" si="0"/>
        <v>0</v>
      </c>
      <c r="J30" s="122"/>
      <c r="K30" s="122"/>
      <c r="L30" s="122"/>
      <c r="M30" s="107">
        <f t="shared" si="1"/>
        <v>0</v>
      </c>
      <c r="N30" s="107">
        <f t="shared" si="2"/>
        <v>0</v>
      </c>
      <c r="O30" s="107">
        <f t="shared" si="3"/>
        <v>0</v>
      </c>
      <c r="P30" s="107">
        <f t="shared" si="4"/>
        <v>0</v>
      </c>
      <c r="Q30" s="367"/>
      <c r="R30" s="367"/>
      <c r="S30" s="178">
        <f t="shared" si="10"/>
        <v>0</v>
      </c>
      <c r="T30" s="122"/>
      <c r="U30" s="122"/>
      <c r="V30" s="107">
        <f t="shared" si="13"/>
        <v>0</v>
      </c>
      <c r="W30" s="107">
        <f t="shared" si="12"/>
        <v>0</v>
      </c>
      <c r="X30" s="107">
        <f t="shared" si="11"/>
        <v>0</v>
      </c>
      <c r="Y30" s="107">
        <f t="shared" si="8"/>
        <v>0</v>
      </c>
      <c r="Z30" s="107">
        <f t="shared" si="9"/>
        <v>0</v>
      </c>
      <c r="AA30" s="364"/>
      <c r="AB30" s="364"/>
    </row>
    <row r="31" spans="1:28" ht="19.95" customHeight="1">
      <c r="A31" s="123"/>
      <c r="B31" s="365"/>
      <c r="C31" s="123"/>
      <c r="D31" s="121"/>
      <c r="E31" s="121"/>
      <c r="F31" s="363"/>
      <c r="G31" s="122"/>
      <c r="H31" s="363"/>
      <c r="I31" s="177">
        <f t="shared" si="0"/>
        <v>0</v>
      </c>
      <c r="J31" s="122"/>
      <c r="K31" s="122"/>
      <c r="L31" s="122"/>
      <c r="M31" s="107">
        <f t="shared" si="1"/>
        <v>0</v>
      </c>
      <c r="N31" s="107">
        <f t="shared" si="2"/>
        <v>0</v>
      </c>
      <c r="O31" s="107">
        <f t="shared" si="3"/>
        <v>0</v>
      </c>
      <c r="P31" s="107">
        <f t="shared" si="4"/>
        <v>0</v>
      </c>
      <c r="Q31" s="367"/>
      <c r="R31" s="367"/>
      <c r="S31" s="178">
        <f t="shared" si="10"/>
        <v>0</v>
      </c>
      <c r="T31" s="122"/>
      <c r="U31" s="122"/>
      <c r="V31" s="107">
        <f t="shared" si="13"/>
        <v>0</v>
      </c>
      <c r="W31" s="107">
        <f t="shared" si="12"/>
        <v>0</v>
      </c>
      <c r="X31" s="107">
        <f t="shared" si="11"/>
        <v>0</v>
      </c>
      <c r="Y31" s="107">
        <f t="shared" si="8"/>
        <v>0</v>
      </c>
      <c r="Z31" s="107">
        <f t="shared" si="9"/>
        <v>0</v>
      </c>
      <c r="AA31" s="364"/>
      <c r="AB31" s="364"/>
    </row>
    <row r="32" spans="1:28" ht="19.95" customHeight="1">
      <c r="A32" s="123"/>
      <c r="B32" s="365"/>
      <c r="C32" s="123"/>
      <c r="D32" s="121"/>
      <c r="E32" s="121"/>
      <c r="F32" s="363"/>
      <c r="G32" s="122"/>
      <c r="H32" s="363"/>
      <c r="I32" s="177">
        <f t="shared" si="0"/>
        <v>0</v>
      </c>
      <c r="J32" s="122"/>
      <c r="K32" s="122"/>
      <c r="L32" s="122"/>
      <c r="M32" s="107">
        <f t="shared" si="1"/>
        <v>0</v>
      </c>
      <c r="N32" s="107">
        <f t="shared" si="2"/>
        <v>0</v>
      </c>
      <c r="O32" s="107">
        <f t="shared" si="3"/>
        <v>0</v>
      </c>
      <c r="P32" s="107">
        <f t="shared" si="4"/>
        <v>0</v>
      </c>
      <c r="Q32" s="367"/>
      <c r="R32" s="367"/>
      <c r="S32" s="178">
        <f t="shared" si="10"/>
        <v>0</v>
      </c>
      <c r="T32" s="122"/>
      <c r="U32" s="122"/>
      <c r="V32" s="107">
        <f t="shared" si="13"/>
        <v>0</v>
      </c>
      <c r="W32" s="107">
        <f t="shared" si="12"/>
        <v>0</v>
      </c>
      <c r="X32" s="107">
        <f t="shared" si="11"/>
        <v>0</v>
      </c>
      <c r="Y32" s="107">
        <f t="shared" si="8"/>
        <v>0</v>
      </c>
      <c r="Z32" s="107">
        <f t="shared" si="9"/>
        <v>0</v>
      </c>
      <c r="AA32" s="364"/>
      <c r="AB32" s="364"/>
    </row>
    <row r="33" spans="1:47" ht="19.95" customHeight="1">
      <c r="A33" s="123"/>
      <c r="B33" s="365"/>
      <c r="C33" s="123"/>
      <c r="D33" s="121"/>
      <c r="E33" s="121"/>
      <c r="F33" s="363"/>
      <c r="G33" s="122"/>
      <c r="H33" s="363"/>
      <c r="I33" s="177">
        <f t="shared" si="0"/>
        <v>0</v>
      </c>
      <c r="J33" s="122"/>
      <c r="K33" s="122"/>
      <c r="L33" s="122"/>
      <c r="M33" s="107">
        <f t="shared" si="1"/>
        <v>0</v>
      </c>
      <c r="N33" s="107">
        <f t="shared" si="2"/>
        <v>0</v>
      </c>
      <c r="O33" s="107">
        <f t="shared" si="3"/>
        <v>0</v>
      </c>
      <c r="P33" s="107">
        <f t="shared" si="4"/>
        <v>0</v>
      </c>
      <c r="Q33" s="367"/>
      <c r="R33" s="367"/>
      <c r="S33" s="178">
        <f t="shared" si="10"/>
        <v>0</v>
      </c>
      <c r="T33" s="122"/>
      <c r="U33" s="122"/>
      <c r="V33" s="107">
        <f t="shared" si="13"/>
        <v>0</v>
      </c>
      <c r="W33" s="107">
        <f t="shared" si="12"/>
        <v>0</v>
      </c>
      <c r="X33" s="107">
        <f t="shared" si="11"/>
        <v>0</v>
      </c>
      <c r="Y33" s="107">
        <f t="shared" si="8"/>
        <v>0</v>
      </c>
      <c r="Z33" s="107">
        <f t="shared" si="9"/>
        <v>0</v>
      </c>
      <c r="AA33" s="364"/>
      <c r="AB33" s="364"/>
    </row>
    <row r="34" spans="1:47" ht="19.95" customHeight="1">
      <c r="A34" s="123"/>
      <c r="B34" s="365"/>
      <c r="C34" s="123"/>
      <c r="D34" s="121"/>
      <c r="E34" s="121"/>
      <c r="F34" s="363"/>
      <c r="G34" s="122"/>
      <c r="H34" s="363"/>
      <c r="I34" s="177">
        <f t="shared" si="0"/>
        <v>0</v>
      </c>
      <c r="J34" s="122"/>
      <c r="K34" s="122"/>
      <c r="L34" s="122"/>
      <c r="M34" s="107">
        <f t="shared" si="1"/>
        <v>0</v>
      </c>
      <c r="N34" s="107">
        <f t="shared" si="2"/>
        <v>0</v>
      </c>
      <c r="O34" s="107">
        <f t="shared" si="3"/>
        <v>0</v>
      </c>
      <c r="P34" s="107">
        <f t="shared" si="4"/>
        <v>0</v>
      </c>
      <c r="Q34" s="367"/>
      <c r="R34" s="367"/>
      <c r="S34" s="178">
        <f t="shared" si="10"/>
        <v>0</v>
      </c>
      <c r="T34" s="122"/>
      <c r="U34" s="122"/>
      <c r="V34" s="107">
        <f t="shared" si="13"/>
        <v>0</v>
      </c>
      <c r="W34" s="107">
        <f t="shared" si="12"/>
        <v>0</v>
      </c>
      <c r="X34" s="107">
        <f t="shared" si="11"/>
        <v>0</v>
      </c>
      <c r="Y34" s="107">
        <f t="shared" si="8"/>
        <v>0</v>
      </c>
      <c r="Z34" s="107">
        <f t="shared" si="9"/>
        <v>0</v>
      </c>
      <c r="AA34" s="364"/>
      <c r="AB34" s="364"/>
    </row>
    <row r="35" spans="1:47" ht="19.95" customHeight="1">
      <c r="A35" s="123"/>
      <c r="B35" s="365"/>
      <c r="C35" s="123"/>
      <c r="D35" s="121"/>
      <c r="E35" s="121"/>
      <c r="F35" s="363"/>
      <c r="G35" s="122"/>
      <c r="H35" s="363"/>
      <c r="I35" s="177">
        <f t="shared" si="0"/>
        <v>0</v>
      </c>
      <c r="J35" s="122"/>
      <c r="K35" s="122"/>
      <c r="L35" s="122"/>
      <c r="M35" s="107">
        <f t="shared" si="1"/>
        <v>0</v>
      </c>
      <c r="N35" s="107">
        <f t="shared" si="2"/>
        <v>0</v>
      </c>
      <c r="O35" s="107">
        <f t="shared" si="3"/>
        <v>0</v>
      </c>
      <c r="P35" s="107">
        <f>M35+N35-O35</f>
        <v>0</v>
      </c>
      <c r="Q35" s="367"/>
      <c r="R35" s="367"/>
      <c r="S35" s="178">
        <f t="shared" si="10"/>
        <v>0</v>
      </c>
      <c r="T35" s="122"/>
      <c r="U35" s="122"/>
      <c r="V35" s="107">
        <f t="shared" si="13"/>
        <v>0</v>
      </c>
      <c r="W35" s="107">
        <f t="shared" si="12"/>
        <v>0</v>
      </c>
      <c r="X35" s="107">
        <f t="shared" si="11"/>
        <v>0</v>
      </c>
      <c r="Y35" s="107">
        <f t="shared" si="8"/>
        <v>0</v>
      </c>
      <c r="Z35" s="107">
        <f t="shared" si="9"/>
        <v>0</v>
      </c>
      <c r="AA35" s="364"/>
      <c r="AB35" s="364"/>
    </row>
    <row r="36" spans="1:47" ht="19.95" customHeight="1">
      <c r="A36" s="123"/>
      <c r="B36" s="365"/>
      <c r="C36" s="123"/>
      <c r="D36" s="121"/>
      <c r="E36" s="121"/>
      <c r="F36" s="363"/>
      <c r="G36" s="122"/>
      <c r="H36" s="363"/>
      <c r="I36" s="177">
        <f t="shared" si="0"/>
        <v>0</v>
      </c>
      <c r="J36" s="122"/>
      <c r="K36" s="122"/>
      <c r="L36" s="122"/>
      <c r="M36" s="107">
        <f t="shared" si="1"/>
        <v>0</v>
      </c>
      <c r="N36" s="107">
        <f t="shared" si="2"/>
        <v>0</v>
      </c>
      <c r="O36" s="107">
        <f t="shared" si="3"/>
        <v>0</v>
      </c>
      <c r="P36" s="107">
        <f t="shared" ref="P36" si="14">M36+N36-O36</f>
        <v>0</v>
      </c>
      <c r="Q36" s="367"/>
      <c r="R36" s="367"/>
      <c r="S36" s="178">
        <f>Q36+R36</f>
        <v>0</v>
      </c>
      <c r="T36" s="122"/>
      <c r="U36" s="122"/>
      <c r="V36" s="107">
        <f t="shared" ref="V36" si="15">Q36+T36</f>
        <v>0</v>
      </c>
      <c r="W36" s="107">
        <f t="shared" si="12"/>
        <v>0</v>
      </c>
      <c r="X36" s="107">
        <f t="shared" si="11"/>
        <v>0</v>
      </c>
      <c r="Y36" s="107">
        <f t="shared" si="8"/>
        <v>0</v>
      </c>
      <c r="Z36" s="107">
        <f t="shared" si="9"/>
        <v>0</v>
      </c>
      <c r="AA36" s="364"/>
      <c r="AB36" s="364"/>
    </row>
    <row r="37" spans="1:47" s="521" customFormat="1" ht="19.95" customHeight="1">
      <c r="A37" s="670" t="s">
        <v>447</v>
      </c>
      <c r="B37" s="671"/>
      <c r="C37" s="671"/>
      <c r="D37" s="183">
        <f>SUM(D12:D36)</f>
        <v>0</v>
      </c>
      <c r="E37" s="183">
        <f t="shared" ref="E37:Z37" si="16">SUM(E12:E36)</f>
        <v>0</v>
      </c>
      <c r="F37" s="183"/>
      <c r="G37" s="183">
        <f t="shared" si="16"/>
        <v>0</v>
      </c>
      <c r="H37" s="183"/>
      <c r="I37" s="183">
        <f t="shared" si="16"/>
        <v>0</v>
      </c>
      <c r="J37" s="183">
        <f t="shared" si="16"/>
        <v>0</v>
      </c>
      <c r="K37" s="183">
        <f t="shared" si="16"/>
        <v>0</v>
      </c>
      <c r="L37" s="183">
        <f t="shared" si="16"/>
        <v>0</v>
      </c>
      <c r="M37" s="183">
        <f t="shared" si="16"/>
        <v>0</v>
      </c>
      <c r="N37" s="183">
        <f t="shared" si="16"/>
        <v>0</v>
      </c>
      <c r="O37" s="183">
        <f t="shared" si="16"/>
        <v>0</v>
      </c>
      <c r="P37" s="183">
        <f t="shared" si="16"/>
        <v>0</v>
      </c>
      <c r="Q37" s="183">
        <f t="shared" si="16"/>
        <v>0</v>
      </c>
      <c r="R37" s="183">
        <f t="shared" si="16"/>
        <v>0</v>
      </c>
      <c r="S37" s="183">
        <f t="shared" si="16"/>
        <v>0</v>
      </c>
      <c r="T37" s="183">
        <f t="shared" si="16"/>
        <v>0</v>
      </c>
      <c r="U37" s="183">
        <f t="shared" si="16"/>
        <v>0</v>
      </c>
      <c r="V37" s="183">
        <f t="shared" si="16"/>
        <v>0</v>
      </c>
      <c r="W37" s="183">
        <f t="shared" si="16"/>
        <v>0</v>
      </c>
      <c r="X37" s="183">
        <f t="shared" si="16"/>
        <v>0</v>
      </c>
      <c r="Y37" s="183">
        <f t="shared" si="16"/>
        <v>0</v>
      </c>
      <c r="Z37" s="183">
        <f t="shared" si="16"/>
        <v>0</v>
      </c>
      <c r="AA37" s="183"/>
      <c r="AB37" s="183"/>
      <c r="AC37" s="522"/>
      <c r="AD37" s="522"/>
      <c r="AE37" s="522"/>
      <c r="AF37" s="522"/>
      <c r="AG37" s="522"/>
      <c r="AH37" s="522"/>
      <c r="AI37" s="522"/>
      <c r="AJ37" s="522"/>
      <c r="AK37" s="522"/>
      <c r="AL37" s="522"/>
      <c r="AM37" s="522"/>
      <c r="AN37" s="522"/>
      <c r="AO37" s="522"/>
      <c r="AP37" s="522"/>
      <c r="AQ37" s="522"/>
      <c r="AR37" s="522"/>
      <c r="AS37" s="522"/>
      <c r="AT37" s="522"/>
      <c r="AU37" s="522"/>
    </row>
    <row r="38" spans="1:47" s="521" customFormat="1" ht="19.95" customHeight="1">
      <c r="A38" s="672" t="s">
        <v>1002</v>
      </c>
      <c r="B38" s="672"/>
      <c r="C38" s="672"/>
      <c r="D38" s="183"/>
      <c r="E38" s="183"/>
      <c r="F38" s="183"/>
      <c r="G38" s="183"/>
      <c r="H38" s="183"/>
      <c r="I38" s="183"/>
      <c r="J38" s="183"/>
      <c r="K38" s="183"/>
      <c r="L38" s="183"/>
      <c r="M38" s="183"/>
      <c r="N38" s="183"/>
      <c r="O38" s="183"/>
      <c r="P38" s="183"/>
      <c r="Q38" s="183"/>
      <c r="R38" s="183"/>
      <c r="S38" s="183"/>
      <c r="T38" s="183"/>
      <c r="U38" s="183"/>
      <c r="V38" s="183"/>
      <c r="W38" s="183"/>
      <c r="X38" s="183"/>
      <c r="Y38" s="183"/>
      <c r="Z38" s="183"/>
      <c r="AA38" s="183"/>
      <c r="AB38" s="183"/>
      <c r="AC38" s="522"/>
      <c r="AD38" s="522"/>
      <c r="AE38" s="522"/>
      <c r="AF38" s="522"/>
      <c r="AG38" s="522"/>
      <c r="AH38" s="522"/>
      <c r="AI38" s="522"/>
      <c r="AJ38" s="522"/>
      <c r="AK38" s="522"/>
      <c r="AL38" s="522"/>
      <c r="AM38" s="522"/>
      <c r="AN38" s="522"/>
      <c r="AO38" s="522"/>
      <c r="AP38" s="522"/>
      <c r="AQ38" s="522"/>
      <c r="AR38" s="522"/>
      <c r="AS38" s="522"/>
      <c r="AT38" s="522"/>
      <c r="AU38" s="522"/>
    </row>
    <row r="39" spans="1:47" s="521" customFormat="1" ht="19.95" customHeight="1">
      <c r="A39" s="672" t="str">
        <f>底稿目录!A9</f>
        <v>种植业</v>
      </c>
      <c r="B39" s="672"/>
      <c r="C39" s="672"/>
      <c r="D39" s="183">
        <f>SUMPRODUCT(($A$12:$A$36=$A39)*(D$12:D$36))</f>
        <v>0</v>
      </c>
      <c r="E39" s="183">
        <f>SUMPRODUCT(($A$12:$A$36=$A39)*(E$12:E$36))</f>
        <v>0</v>
      </c>
      <c r="F39" s="183"/>
      <c r="G39" s="183">
        <f>SUMPRODUCT(($A$12:$A$36=$A39)*(G$12:G$36))</f>
        <v>0</v>
      </c>
      <c r="H39" s="183"/>
      <c r="I39" s="183">
        <f t="shared" ref="I39:Z39" si="17">SUMPRODUCT(($A$12:$A$36=$A39)*(I$12:I$36))</f>
        <v>0</v>
      </c>
      <c r="J39" s="183">
        <f t="shared" si="17"/>
        <v>0</v>
      </c>
      <c r="K39" s="183">
        <f t="shared" si="17"/>
        <v>0</v>
      </c>
      <c r="L39" s="183">
        <f t="shared" si="17"/>
        <v>0</v>
      </c>
      <c r="M39" s="183">
        <f t="shared" si="17"/>
        <v>0</v>
      </c>
      <c r="N39" s="183">
        <f t="shared" si="17"/>
        <v>0</v>
      </c>
      <c r="O39" s="183">
        <f t="shared" si="17"/>
        <v>0</v>
      </c>
      <c r="P39" s="183">
        <f t="shared" si="17"/>
        <v>0</v>
      </c>
      <c r="Q39" s="183">
        <f t="shared" si="17"/>
        <v>0</v>
      </c>
      <c r="R39" s="183">
        <f t="shared" si="17"/>
        <v>0</v>
      </c>
      <c r="S39" s="183">
        <f t="shared" si="17"/>
        <v>0</v>
      </c>
      <c r="T39" s="183">
        <f t="shared" si="17"/>
        <v>0</v>
      </c>
      <c r="U39" s="183">
        <f t="shared" si="17"/>
        <v>0</v>
      </c>
      <c r="V39" s="183">
        <f t="shared" si="17"/>
        <v>0</v>
      </c>
      <c r="W39" s="183">
        <f t="shared" si="17"/>
        <v>0</v>
      </c>
      <c r="X39" s="183">
        <f t="shared" si="17"/>
        <v>0</v>
      </c>
      <c r="Y39" s="183">
        <f t="shared" si="17"/>
        <v>0</v>
      </c>
      <c r="Z39" s="183">
        <f t="shared" si="17"/>
        <v>0</v>
      </c>
      <c r="AA39" s="183"/>
      <c r="AB39" s="183"/>
      <c r="AC39" s="522"/>
      <c r="AD39" s="522"/>
      <c r="AE39" s="522"/>
      <c r="AF39" s="522"/>
      <c r="AG39" s="522"/>
      <c r="AH39" s="522"/>
      <c r="AI39" s="522"/>
      <c r="AJ39" s="522"/>
      <c r="AK39" s="522"/>
      <c r="AL39" s="522"/>
      <c r="AM39" s="522"/>
      <c r="AN39" s="522"/>
      <c r="AO39" s="522"/>
      <c r="AP39" s="522"/>
      <c r="AQ39" s="522"/>
      <c r="AR39" s="522"/>
      <c r="AS39" s="522"/>
      <c r="AT39" s="522"/>
      <c r="AU39" s="522"/>
    </row>
    <row r="40" spans="1:47" s="521" customFormat="1" ht="19.95" customHeight="1">
      <c r="A40" s="672" t="str">
        <f>底稿目录!A10</f>
        <v>畜牧养殖业</v>
      </c>
      <c r="B40" s="672"/>
      <c r="C40" s="672"/>
      <c r="D40" s="183">
        <f t="shared" ref="D40:S43" si="18">SUMPRODUCT(($A$12:$A$36=$A40)*(D$12:D$36))</f>
        <v>0</v>
      </c>
      <c r="E40" s="183">
        <f t="shared" si="18"/>
        <v>0</v>
      </c>
      <c r="F40" s="183"/>
      <c r="G40" s="183">
        <f t="shared" si="18"/>
        <v>0</v>
      </c>
      <c r="H40" s="183"/>
      <c r="I40" s="183">
        <f t="shared" si="18"/>
        <v>0</v>
      </c>
      <c r="J40" s="183">
        <f t="shared" si="18"/>
        <v>0</v>
      </c>
      <c r="K40" s="183">
        <f t="shared" si="18"/>
        <v>0</v>
      </c>
      <c r="L40" s="183">
        <f t="shared" si="18"/>
        <v>0</v>
      </c>
      <c r="M40" s="183">
        <f t="shared" si="18"/>
        <v>0</v>
      </c>
      <c r="N40" s="183">
        <f t="shared" si="18"/>
        <v>0</v>
      </c>
      <c r="O40" s="183">
        <f t="shared" si="18"/>
        <v>0</v>
      </c>
      <c r="P40" s="183">
        <f t="shared" si="18"/>
        <v>0</v>
      </c>
      <c r="Q40" s="183">
        <f t="shared" si="18"/>
        <v>0</v>
      </c>
      <c r="R40" s="183">
        <f t="shared" si="18"/>
        <v>0</v>
      </c>
      <c r="S40" s="183">
        <f t="shared" si="18"/>
        <v>0</v>
      </c>
      <c r="T40" s="183">
        <f t="shared" ref="E40:Z43" si="19">SUMPRODUCT(($A$12:$A$36=$A40)*(T$12:T$36))</f>
        <v>0</v>
      </c>
      <c r="U40" s="183">
        <f t="shared" si="19"/>
        <v>0</v>
      </c>
      <c r="V40" s="183">
        <f t="shared" si="19"/>
        <v>0</v>
      </c>
      <c r="W40" s="183">
        <f t="shared" si="19"/>
        <v>0</v>
      </c>
      <c r="X40" s="183">
        <f t="shared" si="19"/>
        <v>0</v>
      </c>
      <c r="Y40" s="183">
        <f t="shared" si="19"/>
        <v>0</v>
      </c>
      <c r="Z40" s="183">
        <f t="shared" si="19"/>
        <v>0</v>
      </c>
      <c r="AA40" s="183"/>
      <c r="AB40" s="183"/>
      <c r="AC40" s="522"/>
      <c r="AD40" s="522"/>
      <c r="AE40" s="522"/>
      <c r="AF40" s="522"/>
      <c r="AG40" s="522"/>
      <c r="AH40" s="522"/>
      <c r="AI40" s="522"/>
      <c r="AJ40" s="522"/>
      <c r="AK40" s="522"/>
      <c r="AL40" s="522"/>
      <c r="AM40" s="522"/>
      <c r="AN40" s="522"/>
      <c r="AO40" s="522"/>
      <c r="AP40" s="522"/>
      <c r="AQ40" s="522"/>
      <c r="AR40" s="522"/>
      <c r="AS40" s="522"/>
      <c r="AT40" s="522"/>
      <c r="AU40" s="522"/>
    </row>
    <row r="41" spans="1:47" s="521" customFormat="1" ht="19.95" customHeight="1">
      <c r="A41" s="672" t="str">
        <f>底稿目录!A11</f>
        <v>林业</v>
      </c>
      <c r="B41" s="672"/>
      <c r="C41" s="672"/>
      <c r="D41" s="183">
        <f t="shared" si="18"/>
        <v>0</v>
      </c>
      <c r="E41" s="183">
        <f t="shared" si="19"/>
        <v>0</v>
      </c>
      <c r="F41" s="183"/>
      <c r="G41" s="183">
        <f t="shared" si="19"/>
        <v>0</v>
      </c>
      <c r="H41" s="183"/>
      <c r="I41" s="183">
        <f t="shared" si="19"/>
        <v>0</v>
      </c>
      <c r="J41" s="183">
        <f t="shared" si="19"/>
        <v>0</v>
      </c>
      <c r="K41" s="183">
        <f t="shared" si="19"/>
        <v>0</v>
      </c>
      <c r="L41" s="183">
        <f t="shared" si="19"/>
        <v>0</v>
      </c>
      <c r="M41" s="183">
        <f t="shared" si="19"/>
        <v>0</v>
      </c>
      <c r="N41" s="183">
        <f t="shared" si="19"/>
        <v>0</v>
      </c>
      <c r="O41" s="183">
        <f t="shared" si="19"/>
        <v>0</v>
      </c>
      <c r="P41" s="183">
        <f t="shared" si="19"/>
        <v>0</v>
      </c>
      <c r="Q41" s="183">
        <f t="shared" si="19"/>
        <v>0</v>
      </c>
      <c r="R41" s="183">
        <f t="shared" si="19"/>
        <v>0</v>
      </c>
      <c r="S41" s="183">
        <f t="shared" si="19"/>
        <v>0</v>
      </c>
      <c r="T41" s="183">
        <f t="shared" si="19"/>
        <v>0</v>
      </c>
      <c r="U41" s="183">
        <f t="shared" si="19"/>
        <v>0</v>
      </c>
      <c r="V41" s="183">
        <f t="shared" si="19"/>
        <v>0</v>
      </c>
      <c r="W41" s="183">
        <f t="shared" si="19"/>
        <v>0</v>
      </c>
      <c r="X41" s="183">
        <f t="shared" si="19"/>
        <v>0</v>
      </c>
      <c r="Y41" s="183">
        <f t="shared" si="19"/>
        <v>0</v>
      </c>
      <c r="Z41" s="183">
        <f t="shared" si="19"/>
        <v>0</v>
      </c>
      <c r="AA41" s="183"/>
      <c r="AB41" s="183"/>
      <c r="AC41" s="522"/>
      <c r="AD41" s="522"/>
      <c r="AE41" s="522"/>
      <c r="AF41" s="522"/>
      <c r="AG41" s="522"/>
      <c r="AH41" s="522"/>
      <c r="AI41" s="522"/>
      <c r="AJ41" s="522"/>
      <c r="AK41" s="522"/>
      <c r="AL41" s="522"/>
      <c r="AM41" s="522"/>
      <c r="AN41" s="522"/>
      <c r="AO41" s="522"/>
      <c r="AP41" s="522"/>
      <c r="AQ41" s="522"/>
      <c r="AR41" s="522"/>
      <c r="AS41" s="522"/>
      <c r="AT41" s="522"/>
      <c r="AU41" s="522"/>
    </row>
    <row r="42" spans="1:47" s="521" customFormat="1" ht="19.95" customHeight="1">
      <c r="A42" s="672" t="str">
        <f>底稿目录!A12</f>
        <v>水产业</v>
      </c>
      <c r="B42" s="672"/>
      <c r="C42" s="672"/>
      <c r="D42" s="183">
        <f t="shared" si="18"/>
        <v>0</v>
      </c>
      <c r="E42" s="183">
        <f t="shared" si="19"/>
        <v>0</v>
      </c>
      <c r="F42" s="183"/>
      <c r="G42" s="183">
        <f t="shared" si="19"/>
        <v>0</v>
      </c>
      <c r="H42" s="183"/>
      <c r="I42" s="183">
        <f t="shared" si="19"/>
        <v>0</v>
      </c>
      <c r="J42" s="183">
        <f t="shared" si="19"/>
        <v>0</v>
      </c>
      <c r="K42" s="183">
        <f t="shared" si="19"/>
        <v>0</v>
      </c>
      <c r="L42" s="183">
        <f t="shared" si="19"/>
        <v>0</v>
      </c>
      <c r="M42" s="183">
        <f t="shared" si="19"/>
        <v>0</v>
      </c>
      <c r="N42" s="183">
        <f t="shared" si="19"/>
        <v>0</v>
      </c>
      <c r="O42" s="183">
        <f t="shared" si="19"/>
        <v>0</v>
      </c>
      <c r="P42" s="183">
        <f t="shared" si="19"/>
        <v>0</v>
      </c>
      <c r="Q42" s="183">
        <f t="shared" si="19"/>
        <v>0</v>
      </c>
      <c r="R42" s="183">
        <f t="shared" si="19"/>
        <v>0</v>
      </c>
      <c r="S42" s="183">
        <f t="shared" si="19"/>
        <v>0</v>
      </c>
      <c r="T42" s="183">
        <f t="shared" si="19"/>
        <v>0</v>
      </c>
      <c r="U42" s="183">
        <f t="shared" si="19"/>
        <v>0</v>
      </c>
      <c r="V42" s="183">
        <f t="shared" si="19"/>
        <v>0</v>
      </c>
      <c r="W42" s="183">
        <f t="shared" si="19"/>
        <v>0</v>
      </c>
      <c r="X42" s="183">
        <f t="shared" si="19"/>
        <v>0</v>
      </c>
      <c r="Y42" s="183">
        <f t="shared" si="19"/>
        <v>0</v>
      </c>
      <c r="Z42" s="183">
        <f t="shared" si="19"/>
        <v>0</v>
      </c>
      <c r="AA42" s="183"/>
      <c r="AB42" s="183"/>
      <c r="AC42" s="522"/>
      <c r="AD42" s="522"/>
      <c r="AE42" s="522"/>
      <c r="AF42" s="522"/>
      <c r="AG42" s="522"/>
      <c r="AH42" s="522"/>
      <c r="AI42" s="522"/>
      <c r="AJ42" s="522"/>
      <c r="AK42" s="522"/>
      <c r="AL42" s="522"/>
      <c r="AM42" s="522"/>
      <c r="AN42" s="522"/>
      <c r="AO42" s="522"/>
      <c r="AP42" s="522"/>
      <c r="AQ42" s="522"/>
      <c r="AR42" s="522"/>
      <c r="AS42" s="522"/>
      <c r="AT42" s="522"/>
      <c r="AU42" s="522"/>
    </row>
    <row r="43" spans="1:47" s="521" customFormat="1" ht="19.95" customHeight="1">
      <c r="A43" s="672" t="str">
        <f>底稿目录!A13</f>
        <v>……</v>
      </c>
      <c r="B43" s="672"/>
      <c r="C43" s="672"/>
      <c r="D43" s="183">
        <f t="shared" si="18"/>
        <v>0</v>
      </c>
      <c r="E43" s="183">
        <f t="shared" si="19"/>
        <v>0</v>
      </c>
      <c r="F43" s="183"/>
      <c r="G43" s="183">
        <f t="shared" si="19"/>
        <v>0</v>
      </c>
      <c r="H43" s="183"/>
      <c r="I43" s="183">
        <f t="shared" si="19"/>
        <v>0</v>
      </c>
      <c r="J43" s="183">
        <f t="shared" si="19"/>
        <v>0</v>
      </c>
      <c r="K43" s="183">
        <f t="shared" si="19"/>
        <v>0</v>
      </c>
      <c r="L43" s="183">
        <f t="shared" si="19"/>
        <v>0</v>
      </c>
      <c r="M43" s="183">
        <f t="shared" si="19"/>
        <v>0</v>
      </c>
      <c r="N43" s="183">
        <f t="shared" si="19"/>
        <v>0</v>
      </c>
      <c r="O43" s="183">
        <f t="shared" si="19"/>
        <v>0</v>
      </c>
      <c r="P43" s="183">
        <f t="shared" si="19"/>
        <v>0</v>
      </c>
      <c r="Q43" s="183">
        <f t="shared" si="19"/>
        <v>0</v>
      </c>
      <c r="R43" s="183">
        <f t="shared" si="19"/>
        <v>0</v>
      </c>
      <c r="S43" s="183">
        <f t="shared" si="19"/>
        <v>0</v>
      </c>
      <c r="T43" s="183">
        <f t="shared" si="19"/>
        <v>0</v>
      </c>
      <c r="U43" s="183">
        <f t="shared" si="19"/>
        <v>0</v>
      </c>
      <c r="V43" s="183">
        <f t="shared" si="19"/>
        <v>0</v>
      </c>
      <c r="W43" s="183">
        <f t="shared" si="19"/>
        <v>0</v>
      </c>
      <c r="X43" s="183">
        <f t="shared" si="19"/>
        <v>0</v>
      </c>
      <c r="Y43" s="183">
        <f t="shared" si="19"/>
        <v>0</v>
      </c>
      <c r="Z43" s="183">
        <f t="shared" si="19"/>
        <v>0</v>
      </c>
      <c r="AA43" s="183"/>
      <c r="AB43" s="183"/>
      <c r="AC43" s="522"/>
      <c r="AD43" s="522"/>
      <c r="AE43" s="522"/>
      <c r="AF43" s="522"/>
      <c r="AG43" s="522"/>
      <c r="AH43" s="522"/>
      <c r="AI43" s="522"/>
      <c r="AJ43" s="522"/>
      <c r="AK43" s="522"/>
      <c r="AL43" s="522"/>
      <c r="AM43" s="522"/>
      <c r="AN43" s="522"/>
      <c r="AO43" s="522"/>
      <c r="AP43" s="522"/>
      <c r="AQ43" s="522"/>
      <c r="AR43" s="522"/>
      <c r="AS43" s="522"/>
      <c r="AT43" s="522"/>
      <c r="AU43" s="522"/>
    </row>
    <row r="44" spans="1:47" s="182" customFormat="1" ht="19.95" customHeight="1">
      <c r="A44" s="179"/>
      <c r="B44" s="180"/>
      <c r="C44" s="180"/>
      <c r="D44" s="89"/>
      <c r="E44" s="181"/>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281"/>
      <c r="AD44" s="281"/>
      <c r="AE44" s="281"/>
      <c r="AF44" s="281"/>
      <c r="AG44" s="281"/>
      <c r="AH44" s="281"/>
      <c r="AI44" s="281"/>
      <c r="AJ44" s="281"/>
      <c r="AK44" s="281"/>
      <c r="AL44" s="281"/>
      <c r="AM44" s="281"/>
      <c r="AN44" s="281"/>
      <c r="AO44" s="281"/>
      <c r="AP44" s="281"/>
      <c r="AQ44" s="281"/>
      <c r="AR44" s="281"/>
      <c r="AS44" s="281"/>
      <c r="AT44" s="281"/>
      <c r="AU44" s="281"/>
    </row>
    <row r="45" spans="1:47" ht="19.95" customHeight="1">
      <c r="A45" s="439" t="s">
        <v>1016</v>
      </c>
      <c r="B45" s="279"/>
      <c r="C45" s="279"/>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47" ht="19.95" customHeight="1">
      <c r="A46" s="318"/>
      <c r="B46" s="318"/>
      <c r="C46" s="318"/>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c r="AB46" s="190"/>
    </row>
    <row r="47" spans="1:47" ht="19.95" customHeight="1">
      <c r="A47" s="24" t="s">
        <v>477</v>
      </c>
      <c r="B47" s="24"/>
      <c r="C47" s="24"/>
      <c r="D47" s="3"/>
      <c r="E47" s="3"/>
      <c r="F47" s="3"/>
      <c r="G47" s="3"/>
      <c r="H47" s="3"/>
      <c r="I47" s="3"/>
      <c r="J47" s="3"/>
      <c r="K47" s="3"/>
      <c r="L47" s="3"/>
      <c r="M47" s="3"/>
      <c r="N47" s="3"/>
      <c r="O47" s="3"/>
      <c r="P47" s="3"/>
      <c r="Q47" s="3"/>
      <c r="R47" s="3"/>
      <c r="S47" s="3"/>
      <c r="T47" s="3"/>
      <c r="U47" s="3"/>
      <c r="V47" s="3"/>
      <c r="W47" s="3"/>
      <c r="X47" s="3"/>
      <c r="Y47" s="3"/>
      <c r="Z47" s="3"/>
      <c r="AA47" s="3"/>
      <c r="AB47" s="3"/>
    </row>
    <row r="49" spans="1:2" s="3" customFormat="1" ht="19.95" customHeight="1">
      <c r="A49" s="455" t="s">
        <v>1042</v>
      </c>
      <c r="B49" s="280"/>
    </row>
    <row r="50" spans="1:2" s="3" customFormat="1" ht="19.95" customHeight="1">
      <c r="A50" s="17" t="s">
        <v>450</v>
      </c>
      <c r="B50" s="17"/>
    </row>
    <row r="51" spans="1:2" s="3" customFormat="1" ht="19.95" customHeight="1">
      <c r="A51" s="17" t="s">
        <v>1014</v>
      </c>
      <c r="B51" s="17"/>
    </row>
    <row r="52" spans="1:2" s="3" customFormat="1" ht="19.95" customHeight="1">
      <c r="A52" s="17" t="s">
        <v>1015</v>
      </c>
      <c r="B52" s="17"/>
    </row>
    <row r="53" spans="1:2" s="3" customFormat="1" ht="19.95" customHeight="1">
      <c r="A53" s="17"/>
      <c r="B53" s="17"/>
    </row>
    <row r="54" spans="1:2" ht="19.95" customHeight="1">
      <c r="A54" s="282"/>
    </row>
    <row r="55" spans="1:2" ht="19.95" customHeight="1">
      <c r="A55" s="282"/>
    </row>
    <row r="56" spans="1:2" ht="19.95" customHeight="1">
      <c r="A56" s="282"/>
    </row>
    <row r="57" spans="1:2" ht="19.95" customHeight="1">
      <c r="A57" s="282"/>
    </row>
  </sheetData>
  <mergeCells count="28">
    <mergeCell ref="A39:C39"/>
    <mergeCell ref="A40:C40"/>
    <mergeCell ref="A41:C41"/>
    <mergeCell ref="A42:C42"/>
    <mergeCell ref="A43:C43"/>
    <mergeCell ref="B9:B11"/>
    <mergeCell ref="A37:C37"/>
    <mergeCell ref="A38:C38"/>
    <mergeCell ref="K10:L10"/>
    <mergeCell ref="M10:P10"/>
    <mergeCell ref="A9:A11"/>
    <mergeCell ref="C9:C11"/>
    <mergeCell ref="A1:P1"/>
    <mergeCell ref="A2:P2"/>
    <mergeCell ref="J10:J11"/>
    <mergeCell ref="V10:X10"/>
    <mergeCell ref="Q1:AB1"/>
    <mergeCell ref="Q2:AB2"/>
    <mergeCell ref="Q9:X9"/>
    <mergeCell ref="Y9:Y11"/>
    <mergeCell ref="Z9:Z11"/>
    <mergeCell ref="AA9:AA11"/>
    <mergeCell ref="AB9:AB11"/>
    <mergeCell ref="Q10:S10"/>
    <mergeCell ref="D9:P9"/>
    <mergeCell ref="D10:I10"/>
    <mergeCell ref="U10:U11"/>
    <mergeCell ref="T10:T11"/>
  </mergeCells>
  <phoneticPr fontId="10" type="noConversion"/>
  <dataValidations count="4">
    <dataValidation type="list" allowBlank="1" showInputMessage="1" showErrorMessage="1" sqref="AB11">
      <formula1>"√,×"</formula1>
    </dataValidation>
    <dataValidation type="list" allowBlank="1" showInputMessage="1" showErrorMessage="1" prompt="如要修改下列框的选项，单击“数据-数据有效性-设置-序列-来源”。" sqref="F12:F36">
      <formula1>"购置,在建工程转入,企业合并增加,其他增加"</formula1>
    </dataValidation>
    <dataValidation type="list" allowBlank="1" showInputMessage="1" showErrorMessage="1" prompt="如要修改下列框的选项，单击“数据-数据有效性-设置-序列-来源”。_x000a_" sqref="H12:H36">
      <formula1>"处置,其他减少"</formula1>
    </dataValidation>
    <dataValidation type="list" allowBlank="1" showInputMessage="1" showErrorMessage="1" sqref="AA12:AB36">
      <formula1>"√,X"</formula1>
    </dataValidation>
  </dataValidations>
  <hyperlinks>
    <hyperlink ref="P3" location="底稿目录!A1" display="H7A"/>
    <hyperlink ref="AB3" location="底稿目录!A1" display="H7A"/>
  </hyperlinks>
  <printOptions horizontalCentered="1"/>
  <pageMargins left="0.70866141732283472" right="0.70866141732283472" top="0.74803149606299213" bottom="0.74803149606299213" header="0.31496062992125984" footer="0.31496062992125984"/>
  <pageSetup paperSize="9" scale="52" fitToWidth="2" orientation="landscape" blackAndWhite="1" r:id="rId1"/>
  <headerFooter>
    <oddFooter>&amp;C&amp;P/&amp;N</oddFooter>
  </headerFooter>
  <colBreaks count="1" manualBreakCount="1">
    <brk id="16"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A12:A36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J24"/>
  <sheetViews>
    <sheetView view="pageBreakPreview" zoomScaleNormal="100" zoomScaleSheetLayoutView="100" workbookViewId="0">
      <selection sqref="A1:J1"/>
    </sheetView>
  </sheetViews>
  <sheetFormatPr defaultColWidth="9" defaultRowHeight="19.95" customHeight="1"/>
  <cols>
    <col min="1" max="1" width="20.69921875" style="283" customWidth="1"/>
    <col min="2" max="3" width="15.19921875" style="283" customWidth="1"/>
    <col min="4" max="4" width="15.59765625" style="283" customWidth="1"/>
    <col min="5" max="5" width="11.296875" style="283" customWidth="1"/>
    <col min="6" max="6" width="9" style="283"/>
    <col min="7" max="7" width="10.5" style="283" customWidth="1"/>
    <col min="8" max="8" width="10.59765625" style="283" customWidth="1"/>
    <col min="9" max="16384" width="9" style="283"/>
  </cols>
  <sheetData>
    <row r="1" spans="1:10" s="344" customFormat="1" ht="19.95" customHeight="1">
      <c r="A1" s="768" t="s">
        <v>0</v>
      </c>
      <c r="B1" s="768"/>
      <c r="C1" s="768"/>
      <c r="D1" s="768"/>
      <c r="E1" s="768"/>
      <c r="F1" s="768"/>
      <c r="G1" s="768"/>
      <c r="H1" s="768"/>
      <c r="I1" s="768"/>
      <c r="J1" s="768"/>
    </row>
    <row r="2" spans="1:10" ht="19.95" customHeight="1">
      <c r="A2" s="769" t="s">
        <v>1231</v>
      </c>
      <c r="B2" s="769"/>
      <c r="C2" s="769"/>
      <c r="D2" s="769"/>
      <c r="E2" s="769"/>
      <c r="F2" s="769"/>
      <c r="G2" s="769"/>
      <c r="H2" s="769"/>
      <c r="I2" s="769"/>
      <c r="J2" s="769"/>
    </row>
    <row r="3" spans="1:10" ht="19.95" customHeight="1">
      <c r="A3" s="136" t="str">
        <f>底稿目录!A2</f>
        <v>被审计单位：</v>
      </c>
      <c r="B3" s="136"/>
      <c r="C3" s="136"/>
      <c r="D3" s="136" t="str">
        <f>底稿目录!A4</f>
        <v>编制人：</v>
      </c>
      <c r="E3" s="136"/>
      <c r="F3" s="137"/>
      <c r="G3" s="136" t="str">
        <f>底稿目录!A6</f>
        <v>编制日期：</v>
      </c>
      <c r="H3" s="136"/>
      <c r="I3" s="432" t="s">
        <v>1011</v>
      </c>
      <c r="J3" s="252" t="s">
        <v>255</v>
      </c>
    </row>
    <row r="4" spans="1:10" ht="19.95" customHeight="1">
      <c r="A4" s="136" t="str">
        <f>底稿目录!A3</f>
        <v>截止日：</v>
      </c>
      <c r="B4" s="136"/>
      <c r="C4" s="136"/>
      <c r="D4" s="136" t="str">
        <f>底稿目录!A5</f>
        <v>复核人：</v>
      </c>
      <c r="E4" s="136"/>
      <c r="F4" s="137"/>
      <c r="G4" s="136" t="str">
        <f>底稿目录!A7</f>
        <v>复核日期：</v>
      </c>
      <c r="H4" s="136"/>
      <c r="I4" s="432" t="s">
        <v>1012</v>
      </c>
      <c r="J4" s="265"/>
    </row>
    <row r="5" spans="1:10" ht="27.6">
      <c r="A5" s="284" t="s">
        <v>480</v>
      </c>
      <c r="B5" s="285" t="s">
        <v>483</v>
      </c>
      <c r="C5" s="523" t="s">
        <v>479</v>
      </c>
      <c r="D5" s="221" t="s">
        <v>481</v>
      </c>
      <c r="E5" s="221" t="s">
        <v>484</v>
      </c>
      <c r="F5" s="138" t="s">
        <v>137</v>
      </c>
      <c r="G5" s="221" t="s">
        <v>485</v>
      </c>
      <c r="H5" s="221" t="s">
        <v>486</v>
      </c>
      <c r="I5" s="221" t="s">
        <v>487</v>
      </c>
      <c r="J5" s="221" t="s">
        <v>482</v>
      </c>
    </row>
    <row r="6" spans="1:10" ht="19.95" customHeight="1">
      <c r="A6" s="286"/>
      <c r="B6" s="286"/>
      <c r="C6" s="286"/>
      <c r="D6" s="286"/>
      <c r="E6" s="286"/>
      <c r="F6" s="286"/>
      <c r="G6" s="368"/>
      <c r="H6" s="368"/>
      <c r="I6" s="369"/>
      <c r="J6" s="286"/>
    </row>
    <row r="7" spans="1:10" ht="19.95" customHeight="1">
      <c r="A7" s="286"/>
      <c r="B7" s="286"/>
      <c r="C7" s="286"/>
      <c r="D7" s="286"/>
      <c r="E7" s="286"/>
      <c r="F7" s="286"/>
      <c r="G7" s="368"/>
      <c r="H7" s="368"/>
      <c r="I7" s="369"/>
      <c r="J7" s="286"/>
    </row>
    <row r="8" spans="1:10" ht="19.95" customHeight="1">
      <c r="A8" s="286"/>
      <c r="B8" s="286"/>
      <c r="C8" s="286"/>
      <c r="D8" s="286"/>
      <c r="E8" s="286"/>
      <c r="F8" s="286"/>
      <c r="G8" s="368"/>
      <c r="H8" s="368"/>
      <c r="I8" s="369"/>
      <c r="J8" s="286"/>
    </row>
    <row r="9" spans="1:10" ht="19.95" customHeight="1">
      <c r="A9" s="286"/>
      <c r="B9" s="286"/>
      <c r="C9" s="286"/>
      <c r="D9" s="286"/>
      <c r="E9" s="286"/>
      <c r="F9" s="286"/>
      <c r="G9" s="368"/>
      <c r="H9" s="368"/>
      <c r="I9" s="369"/>
      <c r="J9" s="286"/>
    </row>
    <row r="10" spans="1:10" ht="19.95" customHeight="1">
      <c r="A10" s="286"/>
      <c r="B10" s="286"/>
      <c r="C10" s="286"/>
      <c r="D10" s="286"/>
      <c r="E10" s="286"/>
      <c r="F10" s="286"/>
      <c r="G10" s="368"/>
      <c r="H10" s="368"/>
      <c r="I10" s="369"/>
      <c r="J10" s="286"/>
    </row>
    <row r="11" spans="1:10" ht="19.95" customHeight="1">
      <c r="A11" s="286"/>
      <c r="B11" s="286"/>
      <c r="C11" s="286"/>
      <c r="D11" s="286"/>
      <c r="E11" s="286"/>
      <c r="F11" s="286"/>
      <c r="G11" s="368"/>
      <c r="H11" s="368"/>
      <c r="I11" s="369"/>
      <c r="J11" s="286"/>
    </row>
    <row r="12" spans="1:10" ht="19.95" customHeight="1">
      <c r="A12" s="286"/>
      <c r="B12" s="286"/>
      <c r="C12" s="286"/>
      <c r="D12" s="286"/>
      <c r="E12" s="286"/>
      <c r="F12" s="286"/>
      <c r="G12" s="368"/>
      <c r="H12" s="368"/>
      <c r="I12" s="369"/>
      <c r="J12" s="286"/>
    </row>
    <row r="13" spans="1:10" ht="19.95" customHeight="1">
      <c r="A13" s="286"/>
      <c r="B13" s="286"/>
      <c r="C13" s="286"/>
      <c r="D13" s="286"/>
      <c r="E13" s="286"/>
      <c r="F13" s="286"/>
      <c r="G13" s="368"/>
      <c r="H13" s="368"/>
      <c r="I13" s="369"/>
      <c r="J13" s="286"/>
    </row>
    <row r="14" spans="1:10" ht="19.95" customHeight="1">
      <c r="A14" s="286"/>
      <c r="B14" s="286"/>
      <c r="C14" s="286"/>
      <c r="D14" s="286"/>
      <c r="E14" s="286"/>
      <c r="F14" s="286"/>
      <c r="G14" s="368"/>
      <c r="H14" s="368"/>
      <c r="I14" s="369"/>
      <c r="J14" s="286"/>
    </row>
    <row r="15" spans="1:10" ht="19.95" customHeight="1">
      <c r="A15" s="286"/>
      <c r="B15" s="286"/>
      <c r="C15" s="286"/>
      <c r="D15" s="286"/>
      <c r="E15" s="286"/>
      <c r="F15" s="286"/>
      <c r="G15" s="368"/>
      <c r="H15" s="368"/>
      <c r="I15" s="369"/>
      <c r="J15" s="286"/>
    </row>
    <row r="16" spans="1:10" ht="19.95" customHeight="1">
      <c r="A16" s="286"/>
      <c r="B16" s="286"/>
      <c r="C16" s="286"/>
      <c r="D16" s="286"/>
      <c r="E16" s="286"/>
      <c r="F16" s="286"/>
      <c r="G16" s="368"/>
      <c r="H16" s="368"/>
      <c r="I16" s="369"/>
      <c r="J16" s="286"/>
    </row>
    <row r="17" spans="1:10" ht="19.95" customHeight="1">
      <c r="A17" s="286"/>
      <c r="B17" s="286"/>
      <c r="C17" s="286"/>
      <c r="D17" s="286"/>
      <c r="E17" s="286"/>
      <c r="F17" s="286"/>
      <c r="G17" s="368"/>
      <c r="H17" s="368"/>
      <c r="I17" s="369"/>
      <c r="J17" s="286"/>
    </row>
    <row r="18" spans="1:10" ht="19.95" customHeight="1">
      <c r="A18" s="286"/>
      <c r="B18" s="286"/>
      <c r="C18" s="286"/>
      <c r="D18" s="286"/>
      <c r="E18" s="286"/>
      <c r="F18" s="286"/>
      <c r="G18" s="368"/>
      <c r="H18" s="368"/>
      <c r="I18" s="369"/>
      <c r="J18" s="286"/>
    </row>
    <row r="19" spans="1:10" ht="19.95" customHeight="1">
      <c r="A19" s="286"/>
      <c r="B19" s="286"/>
      <c r="C19" s="286"/>
      <c r="D19" s="286"/>
      <c r="E19" s="286"/>
      <c r="F19" s="286"/>
      <c r="G19" s="368"/>
      <c r="H19" s="368"/>
      <c r="I19" s="369"/>
      <c r="J19" s="286"/>
    </row>
    <row r="20" spans="1:10" ht="19.95" customHeight="1">
      <c r="A20" s="286"/>
      <c r="B20" s="286"/>
      <c r="C20" s="286"/>
      <c r="D20" s="286"/>
      <c r="E20" s="286"/>
      <c r="F20" s="286"/>
      <c r="G20" s="368"/>
      <c r="H20" s="368"/>
      <c r="I20" s="369"/>
      <c r="J20" s="286"/>
    </row>
    <row r="21" spans="1:10" ht="19.95" customHeight="1">
      <c r="A21" s="139"/>
      <c r="B21" s="139"/>
      <c r="C21" s="139"/>
      <c r="D21" s="140"/>
      <c r="E21" s="140"/>
      <c r="F21" s="140"/>
      <c r="G21" s="141"/>
      <c r="H21" s="141"/>
      <c r="I21" s="140"/>
      <c r="J21" s="142"/>
    </row>
    <row r="24" spans="1:10" ht="19.95" customHeight="1">
      <c r="A24" s="452" t="s">
        <v>1038</v>
      </c>
      <c r="B24" s="453"/>
      <c r="C24" s="453"/>
      <c r="D24" s="453"/>
      <c r="E24" s="453"/>
      <c r="F24" s="453"/>
      <c r="G24" s="453"/>
      <c r="H24" s="453"/>
      <c r="I24" s="453"/>
      <c r="J24" s="453"/>
    </row>
  </sheetData>
  <mergeCells count="2">
    <mergeCell ref="A1:J1"/>
    <mergeCell ref="A2:J2"/>
  </mergeCells>
  <phoneticPr fontId="10" type="noConversion"/>
  <dataValidations count="1">
    <dataValidation type="list" allowBlank="1" showInputMessage="1" showErrorMessage="1" sqref="B6:B20">
      <formula1>"账项调整,报表调整,其他"</formula1>
    </dataValidation>
  </dataValidations>
  <hyperlinks>
    <hyperlink ref="J3" location="底稿目录!A1" display="H7A"/>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53"/>
  <sheetViews>
    <sheetView view="pageBreakPreview" zoomScaleSheetLayoutView="100" workbookViewId="0">
      <selection sqref="A1:K1"/>
    </sheetView>
  </sheetViews>
  <sheetFormatPr defaultColWidth="9" defaultRowHeight="19.95" customHeight="1"/>
  <cols>
    <col min="1" max="1" width="7.8984375" style="75" customWidth="1"/>
    <col min="2" max="2" width="13.19921875" style="76" customWidth="1"/>
    <col min="3" max="3" width="11.3984375" style="76" customWidth="1"/>
    <col min="4" max="4" width="13.09765625" style="76" customWidth="1"/>
    <col min="5" max="5" width="10.5" style="76" customWidth="1"/>
    <col min="6" max="7" width="15.59765625" style="76" customWidth="1"/>
    <col min="8" max="10" width="14.59765625" style="76" customWidth="1"/>
    <col min="11" max="11" width="6.59765625" style="76" bestFit="1" customWidth="1"/>
    <col min="12" max="16384" width="9" style="76"/>
  </cols>
  <sheetData>
    <row r="1" spans="1:15" s="74" customFormat="1" ht="19.95" customHeight="1">
      <c r="A1" s="675" t="s">
        <v>983</v>
      </c>
      <c r="B1" s="675"/>
      <c r="C1" s="675"/>
      <c r="D1" s="675"/>
      <c r="E1" s="675"/>
      <c r="F1" s="675"/>
      <c r="G1" s="675"/>
      <c r="H1" s="675"/>
      <c r="I1" s="675"/>
      <c r="J1" s="675"/>
      <c r="K1" s="675"/>
    </row>
    <row r="2" spans="1:15" s="68" customFormat="1" ht="19.95" customHeight="1">
      <c r="A2" s="676" t="s">
        <v>993</v>
      </c>
      <c r="B2" s="676"/>
      <c r="C2" s="676"/>
      <c r="D2" s="676"/>
      <c r="E2" s="676"/>
      <c r="F2" s="676"/>
      <c r="G2" s="676"/>
      <c r="H2" s="676"/>
      <c r="I2" s="676"/>
      <c r="J2" s="676"/>
      <c r="K2" s="677"/>
    </row>
    <row r="3" spans="1:15" ht="19.95" customHeight="1">
      <c r="A3" s="3" t="str">
        <f>底稿目录!A2</f>
        <v>被审计单位：</v>
      </c>
      <c r="E3" s="3" t="str">
        <f>底稿目录!A4</f>
        <v>编制人：</v>
      </c>
      <c r="H3" s="76" t="str">
        <f>底稿目录!A6</f>
        <v>编制日期：</v>
      </c>
      <c r="I3" s="93"/>
      <c r="J3" s="432" t="s">
        <v>1011</v>
      </c>
      <c r="K3" s="252" t="s">
        <v>256</v>
      </c>
    </row>
    <row r="4" spans="1:15" ht="19.95" customHeight="1">
      <c r="A4" s="3" t="str">
        <f>底稿目录!A3</f>
        <v>截止日：</v>
      </c>
      <c r="E4" s="3" t="str">
        <f>底稿目录!A5</f>
        <v>复核人：</v>
      </c>
      <c r="H4" s="76" t="str">
        <f>底稿目录!A7</f>
        <v>复核日期：</v>
      </c>
      <c r="I4" s="93"/>
      <c r="J4" s="432" t="s">
        <v>1012</v>
      </c>
      <c r="K4" s="265"/>
    </row>
    <row r="5" spans="1:15" s="526" customFormat="1" ht="19.95" customHeight="1">
      <c r="A5" s="524" t="s">
        <v>489</v>
      </c>
      <c r="B5" s="524"/>
      <c r="C5" s="524"/>
      <c r="D5" s="524"/>
      <c r="E5" s="524"/>
      <c r="F5" s="524"/>
      <c r="G5" s="524"/>
      <c r="H5" s="524"/>
      <c r="I5" s="524"/>
      <c r="J5" s="524"/>
      <c r="K5" s="524"/>
      <c r="L5" s="525"/>
      <c r="O5" s="527"/>
    </row>
    <row r="6" spans="1:15" s="526" customFormat="1" ht="19.95" customHeight="1">
      <c r="A6" s="528" t="s">
        <v>1039</v>
      </c>
      <c r="B6" s="529"/>
      <c r="C6" s="529"/>
      <c r="D6" s="529"/>
      <c r="E6" s="529"/>
      <c r="F6" s="529"/>
      <c r="G6" s="529"/>
      <c r="H6" s="529"/>
      <c r="I6" s="529"/>
      <c r="J6" s="529"/>
      <c r="K6" s="530"/>
      <c r="L6" s="525"/>
      <c r="O6" s="527"/>
    </row>
    <row r="7" spans="1:15" s="526" customFormat="1" ht="19.95" customHeight="1">
      <c r="A7" s="528" t="s">
        <v>1040</v>
      </c>
      <c r="B7" s="529"/>
      <c r="C7" s="529"/>
      <c r="D7" s="529"/>
      <c r="E7" s="529"/>
      <c r="F7" s="529"/>
      <c r="G7" s="529"/>
      <c r="H7" s="529"/>
      <c r="I7" s="529"/>
      <c r="J7" s="529"/>
      <c r="K7" s="530"/>
      <c r="L7" s="525"/>
      <c r="O7" s="527"/>
    </row>
    <row r="8" spans="1:15" s="53" customFormat="1" ht="19.95" customHeight="1">
      <c r="A8" s="77" t="s">
        <v>83</v>
      </c>
      <c r="I8" s="11"/>
      <c r="L8" s="69"/>
      <c r="O8" s="70"/>
    </row>
    <row r="9" spans="1:15" s="53" customFormat="1" ht="19.95" customHeight="1">
      <c r="A9" s="54"/>
      <c r="B9" s="287"/>
      <c r="D9" s="78"/>
      <c r="E9" s="78"/>
      <c r="I9" s="11"/>
      <c r="L9" s="69"/>
      <c r="O9" s="70"/>
    </row>
    <row r="10" spans="1:15" s="53" customFormat="1" ht="19.95" customHeight="1">
      <c r="A10" s="54"/>
      <c r="B10" s="84" t="s">
        <v>491</v>
      </c>
      <c r="D10" s="78"/>
      <c r="E10" s="78"/>
      <c r="I10" s="11"/>
      <c r="L10" s="69"/>
      <c r="O10" s="70"/>
    </row>
    <row r="11" spans="1:15" s="53" customFormat="1" ht="19.95" customHeight="1">
      <c r="A11" s="54"/>
      <c r="B11" s="287"/>
      <c r="D11" s="78"/>
      <c r="E11" s="78"/>
      <c r="I11" s="11"/>
      <c r="L11" s="69"/>
      <c r="O11" s="70"/>
    </row>
    <row r="12" spans="1:15" s="53" customFormat="1" ht="19.95" customHeight="1">
      <c r="A12" s="79"/>
      <c r="B12" s="84" t="s">
        <v>509</v>
      </c>
      <c r="I12" s="11"/>
      <c r="L12" s="69"/>
      <c r="O12" s="70"/>
    </row>
    <row r="13" spans="1:15" s="53" customFormat="1" ht="36">
      <c r="A13" s="288" t="s">
        <v>492</v>
      </c>
      <c r="B13" s="234" t="s">
        <v>488</v>
      </c>
      <c r="C13" s="234" t="s">
        <v>493</v>
      </c>
      <c r="D13" s="234" t="s">
        <v>494</v>
      </c>
      <c r="E13" s="234" t="s">
        <v>495</v>
      </c>
      <c r="F13" s="289" t="s">
        <v>504</v>
      </c>
      <c r="G13" s="289" t="s">
        <v>496</v>
      </c>
      <c r="H13" s="289" t="s">
        <v>512</v>
      </c>
      <c r="I13" s="289" t="s">
        <v>515</v>
      </c>
      <c r="J13" s="289" t="s">
        <v>516</v>
      </c>
      <c r="K13" s="289" t="s">
        <v>513</v>
      </c>
      <c r="L13" s="69"/>
      <c r="O13" s="70"/>
    </row>
    <row r="14" spans="1:15" s="53" customFormat="1" ht="19.95" customHeight="1">
      <c r="A14" s="370">
        <v>1</v>
      </c>
      <c r="B14" s="290" t="s">
        <v>497</v>
      </c>
      <c r="C14" s="371"/>
      <c r="D14" s="373"/>
      <c r="E14" s="372"/>
      <c r="F14" s="39"/>
      <c r="G14" s="39"/>
      <c r="H14" s="39"/>
      <c r="I14" s="39"/>
      <c r="J14" s="39"/>
      <c r="K14" s="373"/>
      <c r="L14" s="69"/>
      <c r="O14" s="70"/>
    </row>
    <row r="15" spans="1:15" s="53" customFormat="1" ht="19.95" customHeight="1">
      <c r="A15" s="370">
        <v>2</v>
      </c>
      <c r="B15" s="290" t="s">
        <v>498</v>
      </c>
      <c r="C15" s="371"/>
      <c r="D15" s="373"/>
      <c r="E15" s="372"/>
      <c r="F15" s="39"/>
      <c r="G15" s="39"/>
      <c r="H15" s="39"/>
      <c r="I15" s="39"/>
      <c r="J15" s="39"/>
      <c r="K15" s="373"/>
      <c r="L15" s="69"/>
      <c r="O15" s="70"/>
    </row>
    <row r="16" spans="1:15" s="53" customFormat="1" ht="19.95" customHeight="1">
      <c r="A16" s="370">
        <v>3</v>
      </c>
      <c r="B16" s="290" t="s">
        <v>499</v>
      </c>
      <c r="C16" s="371"/>
      <c r="D16" s="373"/>
      <c r="E16" s="372"/>
      <c r="F16" s="39"/>
      <c r="G16" s="39"/>
      <c r="H16" s="39"/>
      <c r="I16" s="39"/>
      <c r="J16" s="39"/>
      <c r="K16" s="373"/>
      <c r="L16" s="69"/>
      <c r="O16" s="70"/>
    </row>
    <row r="17" spans="1:16" s="53" customFormat="1" ht="19.95" customHeight="1">
      <c r="A17" s="370">
        <v>4</v>
      </c>
      <c r="B17" s="290" t="s">
        <v>500</v>
      </c>
      <c r="C17" s="371"/>
      <c r="D17" s="373"/>
      <c r="E17" s="372"/>
      <c r="F17" s="39"/>
      <c r="G17" s="39"/>
      <c r="H17" s="39"/>
      <c r="I17" s="39"/>
      <c r="J17" s="39"/>
      <c r="K17" s="373"/>
      <c r="L17" s="69"/>
      <c r="O17" s="70"/>
    </row>
    <row r="18" spans="1:16" s="53" customFormat="1" ht="19.95" customHeight="1">
      <c r="A18" s="370">
        <v>5</v>
      </c>
      <c r="B18" s="290" t="s">
        <v>137</v>
      </c>
      <c r="C18" s="371"/>
      <c r="D18" s="373"/>
      <c r="E18" s="372"/>
      <c r="F18" s="39"/>
      <c r="G18" s="39"/>
      <c r="H18" s="39"/>
      <c r="I18" s="39"/>
      <c r="J18" s="39"/>
      <c r="K18" s="373"/>
      <c r="L18" s="69"/>
      <c r="O18" s="70"/>
    </row>
    <row r="19" spans="1:16" s="53" customFormat="1" ht="19.95" customHeight="1">
      <c r="A19" s="291"/>
      <c r="B19" s="84" t="s">
        <v>505</v>
      </c>
      <c r="C19" s="80"/>
      <c r="D19" s="80"/>
      <c r="E19" s="80"/>
      <c r="I19" s="11"/>
      <c r="L19" s="69"/>
      <c r="O19" s="70"/>
    </row>
    <row r="20" spans="1:16" s="53" customFormat="1" ht="19.95" customHeight="1">
      <c r="A20" s="678" t="s">
        <v>506</v>
      </c>
      <c r="B20" s="638" t="s">
        <v>488</v>
      </c>
      <c r="C20" s="631" t="s">
        <v>93</v>
      </c>
      <c r="D20" s="631"/>
      <c r="E20" s="631"/>
      <c r="F20" s="631" t="s">
        <v>94</v>
      </c>
      <c r="G20" s="631"/>
      <c r="H20" s="631"/>
      <c r="I20" s="631" t="s">
        <v>95</v>
      </c>
      <c r="J20" s="631"/>
      <c r="K20" s="631"/>
      <c r="L20" s="69"/>
      <c r="P20" s="70"/>
    </row>
    <row r="21" spans="1:16" s="53" customFormat="1" ht="19.95" customHeight="1">
      <c r="A21" s="679"/>
      <c r="B21" s="639"/>
      <c r="C21" s="234" t="s">
        <v>493</v>
      </c>
      <c r="D21" s="234" t="s">
        <v>494</v>
      </c>
      <c r="E21" s="234" t="s">
        <v>495</v>
      </c>
      <c r="F21" s="234" t="s">
        <v>493</v>
      </c>
      <c r="G21" s="234" t="s">
        <v>494</v>
      </c>
      <c r="H21" s="234" t="s">
        <v>495</v>
      </c>
      <c r="I21" s="234" t="s">
        <v>493</v>
      </c>
      <c r="J21" s="234" t="s">
        <v>494</v>
      </c>
      <c r="K21" s="234" t="s">
        <v>495</v>
      </c>
      <c r="L21" s="69"/>
      <c r="P21" s="70"/>
    </row>
    <row r="22" spans="1:16" s="53" customFormat="1" ht="19.95" customHeight="1">
      <c r="A22" s="370">
        <v>1</v>
      </c>
      <c r="B22" s="290" t="s">
        <v>497</v>
      </c>
      <c r="C22" s="371"/>
      <c r="D22" s="373"/>
      <c r="E22" s="372"/>
      <c r="F22" s="371"/>
      <c r="G22" s="373"/>
      <c r="H22" s="372"/>
      <c r="I22" s="371"/>
      <c r="J22" s="373"/>
      <c r="K22" s="372"/>
      <c r="L22" s="69"/>
      <c r="P22" s="70"/>
    </row>
    <row r="23" spans="1:16" s="53" customFormat="1" ht="19.95" customHeight="1">
      <c r="A23" s="370">
        <v>2</v>
      </c>
      <c r="B23" s="290" t="s">
        <v>498</v>
      </c>
      <c r="C23" s="371"/>
      <c r="D23" s="373"/>
      <c r="E23" s="372"/>
      <c r="F23" s="371"/>
      <c r="G23" s="373"/>
      <c r="H23" s="372"/>
      <c r="I23" s="371"/>
      <c r="J23" s="373"/>
      <c r="K23" s="372"/>
      <c r="L23" s="69"/>
      <c r="P23" s="70"/>
    </row>
    <row r="24" spans="1:16" s="53" customFormat="1" ht="19.95" customHeight="1">
      <c r="A24" s="370">
        <v>3</v>
      </c>
      <c r="B24" s="290" t="s">
        <v>499</v>
      </c>
      <c r="C24" s="371"/>
      <c r="D24" s="373"/>
      <c r="E24" s="372"/>
      <c r="F24" s="371"/>
      <c r="G24" s="373"/>
      <c r="H24" s="372"/>
      <c r="I24" s="371"/>
      <c r="J24" s="373"/>
      <c r="K24" s="372"/>
      <c r="L24" s="69"/>
      <c r="P24" s="70"/>
    </row>
    <row r="25" spans="1:16" s="53" customFormat="1" ht="19.95" customHeight="1">
      <c r="A25" s="370">
        <v>4</v>
      </c>
      <c r="B25" s="290" t="s">
        <v>500</v>
      </c>
      <c r="C25" s="371"/>
      <c r="D25" s="373"/>
      <c r="E25" s="372"/>
      <c r="F25" s="371"/>
      <c r="G25" s="373"/>
      <c r="H25" s="372"/>
      <c r="I25" s="371"/>
      <c r="J25" s="373"/>
      <c r="K25" s="372"/>
      <c r="L25" s="69"/>
      <c r="P25" s="70"/>
    </row>
    <row r="26" spans="1:16" s="53" customFormat="1" ht="19.95" customHeight="1">
      <c r="A26" s="370">
        <v>5</v>
      </c>
      <c r="B26" s="290" t="s">
        <v>137</v>
      </c>
      <c r="C26" s="371"/>
      <c r="D26" s="373"/>
      <c r="E26" s="372"/>
      <c r="F26" s="371"/>
      <c r="G26" s="373"/>
      <c r="H26" s="372"/>
      <c r="I26" s="371"/>
      <c r="J26" s="373"/>
      <c r="K26" s="372"/>
      <c r="L26" s="69"/>
      <c r="P26" s="70"/>
    </row>
    <row r="27" spans="1:16" s="53" customFormat="1" ht="19.95" customHeight="1">
      <c r="A27" s="124"/>
      <c r="B27" s="292"/>
      <c r="C27" s="80"/>
      <c r="D27" s="80"/>
      <c r="E27" s="80"/>
      <c r="F27" s="80"/>
      <c r="G27" s="80"/>
      <c r="H27" s="80"/>
      <c r="I27" s="80"/>
      <c r="J27" s="80"/>
      <c r="K27" s="80"/>
      <c r="L27" s="69"/>
      <c r="P27" s="70"/>
    </row>
    <row r="28" spans="1:16" s="53" customFormat="1" ht="19.95" customHeight="1">
      <c r="A28" s="124"/>
      <c r="B28" s="84" t="s">
        <v>510</v>
      </c>
      <c r="C28" s="80"/>
      <c r="D28" s="80"/>
      <c r="E28" s="80"/>
      <c r="F28" s="80"/>
      <c r="G28" s="80"/>
      <c r="H28" s="80"/>
      <c r="I28" s="80"/>
      <c r="J28" s="80"/>
      <c r="K28" s="80"/>
      <c r="L28" s="69"/>
      <c r="P28" s="70"/>
    </row>
    <row r="29" spans="1:16" s="53" customFormat="1" ht="19.95" customHeight="1">
      <c r="A29" s="124"/>
      <c r="B29" s="292"/>
      <c r="C29" s="80"/>
      <c r="D29" s="80"/>
      <c r="E29" s="80"/>
      <c r="F29" s="80"/>
      <c r="G29" s="80"/>
      <c r="H29" s="80"/>
      <c r="I29" s="80"/>
      <c r="J29" s="80"/>
      <c r="K29" s="80"/>
      <c r="L29" s="69"/>
      <c r="P29" s="70"/>
    </row>
    <row r="30" spans="1:16" s="53" customFormat="1" ht="19.95" customHeight="1">
      <c r="A30" s="124"/>
      <c r="B30" s="292"/>
      <c r="C30" s="80"/>
      <c r="D30" s="80"/>
      <c r="E30" s="80"/>
      <c r="F30" s="80"/>
      <c r="G30" s="80"/>
      <c r="H30" s="80"/>
      <c r="I30" s="80"/>
      <c r="J30" s="80"/>
      <c r="K30" s="80"/>
      <c r="L30" s="69"/>
      <c r="P30" s="70"/>
    </row>
    <row r="31" spans="1:16" s="53" customFormat="1" ht="19.95" customHeight="1">
      <c r="A31" s="75"/>
      <c r="B31" s="84" t="s">
        <v>511</v>
      </c>
      <c r="C31" s="80"/>
      <c r="D31" s="80"/>
      <c r="E31" s="80"/>
      <c r="I31" s="11"/>
      <c r="L31" s="69"/>
      <c r="O31" s="70"/>
    </row>
    <row r="32" spans="1:16" s="53" customFormat="1" ht="19.95" customHeight="1">
      <c r="A32" s="288" t="s">
        <v>506</v>
      </c>
      <c r="B32" s="234" t="s">
        <v>488</v>
      </c>
      <c r="C32" s="234" t="s">
        <v>501</v>
      </c>
      <c r="D32" s="234" t="s">
        <v>502</v>
      </c>
      <c r="E32" s="234" t="s">
        <v>507</v>
      </c>
      <c r="I32" s="11"/>
      <c r="L32" s="69"/>
      <c r="O32" s="70"/>
    </row>
    <row r="33" spans="1:15" s="53" customFormat="1" ht="19.95" customHeight="1">
      <c r="A33" s="370">
        <v>1</v>
      </c>
      <c r="B33" s="290" t="s">
        <v>497</v>
      </c>
      <c r="C33" s="371"/>
      <c r="D33" s="373"/>
      <c r="E33" s="372"/>
      <c r="I33" s="11"/>
      <c r="L33" s="69"/>
      <c r="O33" s="70"/>
    </row>
    <row r="34" spans="1:15" s="53" customFormat="1" ht="19.95" customHeight="1">
      <c r="A34" s="370">
        <v>2</v>
      </c>
      <c r="B34" s="290" t="s">
        <v>498</v>
      </c>
      <c r="C34" s="371"/>
      <c r="D34" s="373"/>
      <c r="E34" s="372"/>
      <c r="I34" s="11"/>
      <c r="L34" s="69"/>
      <c r="O34" s="70"/>
    </row>
    <row r="35" spans="1:15" s="53" customFormat="1" ht="19.95" customHeight="1">
      <c r="A35" s="370">
        <v>3</v>
      </c>
      <c r="B35" s="290" t="s">
        <v>499</v>
      </c>
      <c r="C35" s="371"/>
      <c r="D35" s="373"/>
      <c r="E35" s="372"/>
      <c r="I35" s="11"/>
      <c r="L35" s="69"/>
      <c r="O35" s="70"/>
    </row>
    <row r="36" spans="1:15" s="53" customFormat="1" ht="19.95" customHeight="1">
      <c r="A36" s="370">
        <v>4</v>
      </c>
      <c r="B36" s="290" t="s">
        <v>500</v>
      </c>
      <c r="C36" s="371"/>
      <c r="D36" s="373"/>
      <c r="E36" s="372"/>
      <c r="I36" s="11"/>
      <c r="L36" s="69"/>
      <c r="O36" s="70"/>
    </row>
    <row r="37" spans="1:15" s="53" customFormat="1" ht="19.95" customHeight="1">
      <c r="A37" s="370">
        <v>5</v>
      </c>
      <c r="B37" s="290" t="s">
        <v>137</v>
      </c>
      <c r="C37" s="371"/>
      <c r="D37" s="373"/>
      <c r="E37" s="372"/>
      <c r="I37" s="11"/>
      <c r="L37" s="69"/>
      <c r="O37" s="70"/>
    </row>
    <row r="38" spans="1:15" s="53" customFormat="1" ht="19.95" customHeight="1">
      <c r="A38" s="124"/>
      <c r="B38" s="292"/>
      <c r="C38" s="80"/>
      <c r="D38" s="80"/>
      <c r="E38" s="80"/>
      <c r="I38" s="11"/>
      <c r="L38" s="69"/>
      <c r="O38" s="70"/>
    </row>
    <row r="39" spans="1:15" s="68" customFormat="1" ht="19.95" customHeight="1">
      <c r="A39" s="63" t="s">
        <v>508</v>
      </c>
    </row>
    <row r="40" spans="1:15" ht="19.95" customHeight="1">
      <c r="A40" s="55"/>
    </row>
    <row r="41" spans="1:15" ht="19.95" customHeight="1">
      <c r="A41" s="55"/>
    </row>
    <row r="42" spans="1:15" ht="19.95" customHeight="1">
      <c r="A42" s="63" t="s">
        <v>514</v>
      </c>
    </row>
    <row r="48" spans="1:15" ht="19.95" customHeight="1">
      <c r="A48" s="255"/>
    </row>
    <row r="49" spans="1:1" ht="19.95" customHeight="1">
      <c r="A49" s="255"/>
    </row>
    <row r="50" spans="1:1" ht="19.95" customHeight="1">
      <c r="A50" s="255"/>
    </row>
    <row r="51" spans="1:1" ht="19.95" customHeight="1">
      <c r="A51" s="255"/>
    </row>
    <row r="52" spans="1:1" ht="19.95" customHeight="1">
      <c r="A52" s="255"/>
    </row>
    <row r="53" spans="1:1" ht="19.95" customHeight="1">
      <c r="A53" s="255"/>
    </row>
  </sheetData>
  <mergeCells count="7">
    <mergeCell ref="I20:K20"/>
    <mergeCell ref="A1:K1"/>
    <mergeCell ref="A2:K2"/>
    <mergeCell ref="A20:A21"/>
    <mergeCell ref="B20:B21"/>
    <mergeCell ref="C20:E20"/>
    <mergeCell ref="F20:H20"/>
  </mergeCells>
  <phoneticPr fontId="10" type="noConversion"/>
  <dataValidations count="1">
    <dataValidation type="list" allowBlank="1" showInputMessage="1" showErrorMessage="1" sqref="F14:J18">
      <formula1>"√,×"</formula1>
    </dataValidation>
  </dataValidations>
  <hyperlinks>
    <hyperlink ref="K3" location="底稿目录!A1" display="H7A"/>
  </hyperlinks>
  <printOptions horizontalCentered="1"/>
  <pageMargins left="0.70866141732283472" right="0.70866141732283472" top="0.74803149606299213" bottom="0.74803149606299213" header="0.31496062992125984" footer="0.31496062992125984"/>
  <pageSetup paperSize="9" scale="58" orientation="portrait"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T38"/>
  <sheetViews>
    <sheetView view="pageBreakPreview" zoomScaleSheetLayoutView="100" workbookViewId="0">
      <selection sqref="A1:F1"/>
    </sheetView>
  </sheetViews>
  <sheetFormatPr defaultColWidth="9" defaultRowHeight="19.95" customHeight="1"/>
  <cols>
    <col min="1" max="1" width="5.8984375" style="28" customWidth="1"/>
    <col min="2" max="2" width="47.296875" style="28" customWidth="1"/>
    <col min="3" max="3" width="19.5" style="28" customWidth="1"/>
    <col min="4" max="5" width="17.5" style="28" customWidth="1"/>
    <col min="6" max="6" width="20.19921875" style="28" bestFit="1" customWidth="1"/>
    <col min="7" max="16384" width="9" style="28"/>
  </cols>
  <sheetData>
    <row r="1" spans="1:20" s="10" customFormat="1" ht="19.95" customHeight="1">
      <c r="A1" s="680" t="s">
        <v>982</v>
      </c>
      <c r="B1" s="680"/>
      <c r="C1" s="680"/>
      <c r="D1" s="680"/>
      <c r="E1" s="680"/>
      <c r="F1" s="680"/>
    </row>
    <row r="2" spans="1:20" s="9" customFormat="1" ht="19.95" customHeight="1">
      <c r="A2" s="681" t="s">
        <v>992</v>
      </c>
      <c r="B2" s="681"/>
      <c r="C2" s="681"/>
      <c r="D2" s="681"/>
      <c r="E2" s="681"/>
      <c r="F2" s="681"/>
      <c r="G2" s="347"/>
      <c r="H2" s="347"/>
      <c r="I2" s="347"/>
      <c r="J2" s="347"/>
    </row>
    <row r="3" spans="1:20" s="3" customFormat="1" ht="19.95" customHeight="1">
      <c r="A3" s="3" t="str">
        <f>底稿目录!A2</f>
        <v>被审计单位：</v>
      </c>
      <c r="C3" s="3" t="str">
        <f>底稿目录!A4</f>
        <v>编制人：</v>
      </c>
      <c r="D3" s="3" t="str">
        <f>底稿目录!A6</f>
        <v>编制日期：</v>
      </c>
      <c r="E3" s="432" t="s">
        <v>1011</v>
      </c>
      <c r="F3" s="252" t="s">
        <v>257</v>
      </c>
    </row>
    <row r="4" spans="1:20" s="3" customFormat="1" ht="19.95" customHeight="1">
      <c r="A4" s="3" t="str">
        <f>底稿目录!A3</f>
        <v>截止日：</v>
      </c>
      <c r="C4" s="3" t="str">
        <f>底稿目录!A5</f>
        <v>复核人：</v>
      </c>
      <c r="D4" s="3" t="str">
        <f>底稿目录!A7</f>
        <v>复核日期：</v>
      </c>
      <c r="E4" s="432" t="s">
        <v>1012</v>
      </c>
      <c r="F4" s="265"/>
    </row>
    <row r="5" spans="1:20" s="23" customFormat="1" ht="19.95" customHeight="1">
      <c r="A5" s="51" t="s">
        <v>534</v>
      </c>
      <c r="B5" s="51"/>
      <c r="C5" s="51"/>
      <c r="D5" s="51"/>
      <c r="E5" s="51"/>
      <c r="F5" s="293"/>
      <c r="G5" s="51"/>
      <c r="H5" s="51"/>
      <c r="I5" s="51"/>
      <c r="J5" s="51"/>
      <c r="K5" s="51"/>
      <c r="L5" s="51"/>
      <c r="M5" s="51"/>
      <c r="N5" s="51"/>
      <c r="O5" s="51"/>
      <c r="P5" s="51"/>
      <c r="Q5" s="51"/>
      <c r="R5" s="51"/>
      <c r="S5" s="51"/>
      <c r="T5" s="293"/>
    </row>
    <row r="6" spans="1:20" s="532" customFormat="1" ht="19.95" customHeight="1">
      <c r="A6" s="517" t="s">
        <v>535</v>
      </c>
      <c r="B6" s="531"/>
      <c r="E6" s="533"/>
      <c r="F6" s="534"/>
      <c r="G6" s="533"/>
      <c r="H6" s="533"/>
      <c r="I6" s="533"/>
      <c r="J6" s="533"/>
      <c r="K6" s="533"/>
      <c r="L6" s="533"/>
      <c r="M6" s="533"/>
      <c r="N6" s="533"/>
      <c r="O6" s="533"/>
      <c r="P6" s="533"/>
      <c r="Q6" s="533"/>
      <c r="R6" s="533"/>
      <c r="S6" s="533"/>
      <c r="T6" s="535"/>
    </row>
    <row r="7" spans="1:20" s="532" customFormat="1" ht="19.95" customHeight="1">
      <c r="A7" s="517" t="s">
        <v>536</v>
      </c>
      <c r="B7" s="531"/>
      <c r="E7" s="533"/>
      <c r="F7" s="534"/>
      <c r="G7" s="533"/>
      <c r="H7" s="533"/>
      <c r="I7" s="533"/>
      <c r="J7" s="533"/>
      <c r="K7" s="533"/>
      <c r="L7" s="533"/>
      <c r="M7" s="533"/>
      <c r="N7" s="533"/>
      <c r="O7" s="533"/>
      <c r="P7" s="533"/>
      <c r="Q7" s="533"/>
      <c r="R7" s="533"/>
      <c r="S7" s="533"/>
      <c r="T7" s="535"/>
    </row>
    <row r="8" spans="1:20" s="23" customFormat="1" ht="19.95" customHeight="1">
      <c r="A8" s="51" t="s">
        <v>537</v>
      </c>
      <c r="B8" s="294"/>
      <c r="E8" s="294"/>
      <c r="F8" s="47"/>
      <c r="G8" s="294"/>
      <c r="H8" s="294"/>
      <c r="I8" s="294"/>
      <c r="J8" s="294"/>
      <c r="K8" s="294"/>
      <c r="L8" s="294"/>
      <c r="M8" s="294"/>
      <c r="N8" s="294"/>
      <c r="O8" s="294"/>
      <c r="P8" s="294"/>
      <c r="Q8" s="294"/>
      <c r="R8" s="294"/>
      <c r="S8" s="294"/>
      <c r="T8" s="293"/>
    </row>
    <row r="9" spans="1:20" s="26" customFormat="1" ht="19.95" customHeight="1">
      <c r="A9" s="239" t="s">
        <v>523</v>
      </c>
      <c r="B9" s="239" t="s">
        <v>518</v>
      </c>
      <c r="C9" s="238" t="s">
        <v>538</v>
      </c>
      <c r="D9" s="238" t="s">
        <v>228</v>
      </c>
      <c r="E9" s="238" t="s">
        <v>517</v>
      </c>
      <c r="F9" s="238" t="s">
        <v>539</v>
      </c>
    </row>
    <row r="10" spans="1:20" s="26" customFormat="1" ht="19.95" customHeight="1">
      <c r="A10" s="92">
        <v>1</v>
      </c>
      <c r="B10" s="295" t="s">
        <v>519</v>
      </c>
      <c r="C10" s="374"/>
      <c r="D10" s="374"/>
      <c r="E10" s="109" t="e">
        <f>(C10-D10)/D10</f>
        <v>#DIV/0!</v>
      </c>
      <c r="F10" s="231"/>
    </row>
    <row r="11" spans="1:20" ht="19.95" customHeight="1">
      <c r="A11" s="92">
        <v>2</v>
      </c>
      <c r="B11" s="295" t="s">
        <v>520</v>
      </c>
      <c r="C11" s="374"/>
      <c r="D11" s="374"/>
      <c r="E11" s="109" t="e">
        <f t="shared" ref="E11:E24" si="0">(C11-D11)/D11</f>
        <v>#DIV/0!</v>
      </c>
      <c r="F11" s="231"/>
    </row>
    <row r="12" spans="1:20" ht="19.95" customHeight="1">
      <c r="A12" s="92">
        <v>3</v>
      </c>
      <c r="B12" s="295" t="s">
        <v>524</v>
      </c>
      <c r="C12" s="374"/>
      <c r="D12" s="374"/>
      <c r="E12" s="109" t="e">
        <f t="shared" si="0"/>
        <v>#DIV/0!</v>
      </c>
      <c r="F12" s="231"/>
      <c r="G12" s="296"/>
    </row>
    <row r="13" spans="1:20" ht="19.95" customHeight="1">
      <c r="A13" s="92">
        <v>4</v>
      </c>
      <c r="B13" s="295" t="s">
        <v>525</v>
      </c>
      <c r="C13" s="374"/>
      <c r="D13" s="374"/>
      <c r="E13" s="109" t="e">
        <f t="shared" si="0"/>
        <v>#DIV/0!</v>
      </c>
      <c r="F13" s="231"/>
      <c r="G13" s="296"/>
    </row>
    <row r="14" spans="1:20" ht="19.95" customHeight="1">
      <c r="A14" s="92">
        <v>5</v>
      </c>
      <c r="B14" s="295" t="s">
        <v>526</v>
      </c>
      <c r="C14" s="374"/>
      <c r="D14" s="374"/>
      <c r="E14" s="109" t="e">
        <f t="shared" si="0"/>
        <v>#DIV/0!</v>
      </c>
      <c r="F14" s="231"/>
      <c r="G14" s="296"/>
    </row>
    <row r="15" spans="1:20" ht="19.95" customHeight="1">
      <c r="A15" s="92">
        <v>6</v>
      </c>
      <c r="B15" s="295" t="s">
        <v>527</v>
      </c>
      <c r="C15" s="374"/>
      <c r="D15" s="374"/>
      <c r="E15" s="109" t="e">
        <f t="shared" si="0"/>
        <v>#DIV/0!</v>
      </c>
      <c r="F15" s="231"/>
    </row>
    <row r="16" spans="1:20" ht="19.95" customHeight="1">
      <c r="A16" s="92">
        <v>7</v>
      </c>
      <c r="B16" s="295" t="s">
        <v>540</v>
      </c>
      <c r="C16" s="374"/>
      <c r="D16" s="374"/>
      <c r="E16" s="109" t="e">
        <f t="shared" si="0"/>
        <v>#DIV/0!</v>
      </c>
      <c r="F16" s="231"/>
      <c r="G16" s="296"/>
    </row>
    <row r="17" spans="1:7" ht="19.95" customHeight="1">
      <c r="A17" s="92">
        <v>8</v>
      </c>
      <c r="B17" s="295" t="s">
        <v>521</v>
      </c>
      <c r="C17" s="374"/>
      <c r="D17" s="374"/>
      <c r="E17" s="109" t="e">
        <f t="shared" si="0"/>
        <v>#DIV/0!</v>
      </c>
      <c r="F17" s="231"/>
    </row>
    <row r="18" spans="1:7" ht="19.95" customHeight="1">
      <c r="A18" s="92">
        <v>9</v>
      </c>
      <c r="B18" s="295" t="s">
        <v>528</v>
      </c>
      <c r="C18" s="374"/>
      <c r="D18" s="374"/>
      <c r="E18" s="109" t="e">
        <f t="shared" si="0"/>
        <v>#DIV/0!</v>
      </c>
      <c r="F18" s="231"/>
    </row>
    <row r="19" spans="1:7" ht="19.95" customHeight="1">
      <c r="A19" s="92">
        <v>10</v>
      </c>
      <c r="B19" s="297" t="s">
        <v>529</v>
      </c>
      <c r="C19" s="374"/>
      <c r="D19" s="374"/>
      <c r="E19" s="109" t="e">
        <f t="shared" si="0"/>
        <v>#DIV/0!</v>
      </c>
      <c r="F19" s="231"/>
    </row>
    <row r="20" spans="1:7" ht="19.95" customHeight="1">
      <c r="A20" s="92">
        <v>11</v>
      </c>
      <c r="B20" s="295" t="s">
        <v>530</v>
      </c>
      <c r="C20" s="374"/>
      <c r="D20" s="374"/>
      <c r="E20" s="109" t="e">
        <f t="shared" si="0"/>
        <v>#DIV/0!</v>
      </c>
      <c r="F20" s="231"/>
    </row>
    <row r="21" spans="1:7" ht="19.95" customHeight="1">
      <c r="A21" s="92">
        <v>12</v>
      </c>
      <c r="B21" s="295" t="s">
        <v>522</v>
      </c>
      <c r="C21" s="374"/>
      <c r="D21" s="374"/>
      <c r="E21" s="109" t="e">
        <f t="shared" si="0"/>
        <v>#DIV/0!</v>
      </c>
      <c r="F21" s="231"/>
    </row>
    <row r="22" spans="1:7" ht="19.95" customHeight="1">
      <c r="A22" s="92">
        <v>13</v>
      </c>
      <c r="B22" s="295" t="s">
        <v>531</v>
      </c>
      <c r="C22" s="374"/>
      <c r="D22" s="374"/>
      <c r="E22" s="109" t="e">
        <f t="shared" si="0"/>
        <v>#DIV/0!</v>
      </c>
      <c r="F22" s="231"/>
    </row>
    <row r="23" spans="1:7" ht="19.95" customHeight="1">
      <c r="A23" s="92">
        <v>14</v>
      </c>
      <c r="B23" s="295" t="s">
        <v>532</v>
      </c>
      <c r="C23" s="374"/>
      <c r="D23" s="374"/>
      <c r="E23" s="109" t="e">
        <f t="shared" si="0"/>
        <v>#DIV/0!</v>
      </c>
      <c r="F23" s="231"/>
    </row>
    <row r="24" spans="1:7" ht="19.95" customHeight="1">
      <c r="A24" s="92">
        <v>15</v>
      </c>
      <c r="B24" s="295" t="s">
        <v>533</v>
      </c>
      <c r="C24" s="374"/>
      <c r="D24" s="374"/>
      <c r="E24" s="109" t="e">
        <f t="shared" si="0"/>
        <v>#DIV/0!</v>
      </c>
      <c r="F24" s="231"/>
    </row>
    <row r="25" spans="1:7" ht="19.95" customHeight="1">
      <c r="A25" s="279" t="s">
        <v>465</v>
      </c>
      <c r="B25" s="279"/>
      <c r="C25" s="15"/>
      <c r="D25" s="15"/>
      <c r="E25" s="15"/>
      <c r="F25" s="15"/>
      <c r="G25" s="230"/>
    </row>
    <row r="26" spans="1:7" ht="19.95" customHeight="1">
      <c r="A26" s="3"/>
      <c r="B26" s="3"/>
      <c r="C26" s="3"/>
      <c r="D26" s="3"/>
      <c r="E26" s="3"/>
      <c r="F26" s="3"/>
      <c r="G26" s="230"/>
    </row>
    <row r="27" spans="1:7" ht="19.95" customHeight="1">
      <c r="A27" s="3"/>
      <c r="B27" s="3"/>
      <c r="C27" s="3"/>
      <c r="D27" s="3"/>
      <c r="E27" s="3"/>
      <c r="F27" s="3"/>
      <c r="G27" s="230"/>
    </row>
    <row r="28" spans="1:7" ht="19.95" customHeight="1">
      <c r="A28" s="3"/>
      <c r="B28" s="3"/>
      <c r="C28" s="3"/>
      <c r="D28" s="3"/>
      <c r="E28" s="3"/>
      <c r="F28" s="3"/>
    </row>
    <row r="29" spans="1:7" ht="19.95" customHeight="1">
      <c r="A29" s="24" t="s">
        <v>503</v>
      </c>
      <c r="B29" s="3"/>
      <c r="C29" s="3"/>
      <c r="D29" s="3"/>
      <c r="E29" s="3"/>
      <c r="F29" s="3"/>
    </row>
    <row r="30" spans="1:7" ht="19.95" customHeight="1">
      <c r="A30" s="3"/>
      <c r="B30" s="3"/>
      <c r="C30" s="3"/>
      <c r="D30" s="3"/>
      <c r="E30" s="3"/>
      <c r="F30" s="3"/>
    </row>
    <row r="32" spans="1:7" ht="19.95" customHeight="1">
      <c r="A32" s="455" t="s">
        <v>1043</v>
      </c>
      <c r="B32" s="280"/>
    </row>
    <row r="33" spans="1:2" ht="19.95" customHeight="1">
      <c r="A33" s="19" t="s">
        <v>541</v>
      </c>
      <c r="B33" s="19"/>
    </row>
    <row r="34" spans="1:2" ht="19.95" customHeight="1">
      <c r="A34" s="19" t="s">
        <v>542</v>
      </c>
      <c r="B34" s="19"/>
    </row>
    <row r="36" spans="1:2" ht="19.95" customHeight="1">
      <c r="A36" s="19"/>
      <c r="B36" s="19"/>
    </row>
    <row r="37" spans="1:2" ht="19.95" customHeight="1">
      <c r="A37" s="19"/>
      <c r="B37" s="19"/>
    </row>
    <row r="38" spans="1:2" ht="19.95" customHeight="1">
      <c r="A38" s="19"/>
    </row>
  </sheetData>
  <mergeCells count="2">
    <mergeCell ref="A1:F1"/>
    <mergeCell ref="A2:F2"/>
  </mergeCells>
  <phoneticPr fontId="10" type="noConversion"/>
  <hyperlinks>
    <hyperlink ref="F3" location="底稿目录!A1" display="H7A"/>
  </hyperlinks>
  <printOptions horizontalCentered="1"/>
  <pageMargins left="0.31496062992125984" right="0.23622047244094491" top="0.43307086614173229" bottom="0.43307086614173229" header="0.31496062992125984" footer="0.31496062992125984"/>
  <pageSetup paperSize="9" scale="94" orientation="landscape"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51"/>
  <sheetViews>
    <sheetView view="pageBreakPreview" zoomScaleSheetLayoutView="100" workbookViewId="0">
      <selection sqref="A1:U1"/>
    </sheetView>
  </sheetViews>
  <sheetFormatPr defaultColWidth="9" defaultRowHeight="19.95" customHeight="1"/>
  <cols>
    <col min="1" max="1" width="7.59765625" style="3" customWidth="1"/>
    <col min="2" max="2" width="12.19921875" style="3" customWidth="1"/>
    <col min="3" max="3" width="11.19921875" style="3" customWidth="1"/>
    <col min="4" max="4" width="12.5" style="3" customWidth="1"/>
    <col min="5" max="5" width="9" style="3" customWidth="1"/>
    <col min="6" max="8" width="9.09765625" style="3" customWidth="1"/>
    <col min="9" max="12" width="9.19921875" style="3" customWidth="1"/>
    <col min="13" max="13" width="8.3984375" style="55" customWidth="1"/>
    <col min="14" max="14" width="10.59765625" style="55" customWidth="1"/>
    <col min="15" max="15" width="6.296875" style="55" customWidth="1"/>
    <col min="16" max="16" width="8.5" style="55" customWidth="1"/>
    <col min="17" max="17" width="9.8984375" style="55" customWidth="1"/>
    <col min="18" max="18" width="6.3984375" style="55" customWidth="1"/>
    <col min="19" max="19" width="6.5" style="55" customWidth="1"/>
    <col min="20" max="20" width="9.69921875" style="3" customWidth="1"/>
    <col min="21" max="21" width="6.796875" style="3" customWidth="1"/>
    <col min="22" max="16384" width="9" style="3"/>
  </cols>
  <sheetData>
    <row r="1" spans="1:22" s="351" customFormat="1" ht="19.95" customHeight="1">
      <c r="A1" s="686" t="s">
        <v>982</v>
      </c>
      <c r="B1" s="686"/>
      <c r="C1" s="686"/>
      <c r="D1" s="686"/>
      <c r="E1" s="686"/>
      <c r="F1" s="686"/>
      <c r="G1" s="686"/>
      <c r="H1" s="686"/>
      <c r="I1" s="686"/>
      <c r="J1" s="686"/>
      <c r="K1" s="686"/>
      <c r="L1" s="686"/>
      <c r="M1" s="686"/>
      <c r="N1" s="686"/>
      <c r="O1" s="686"/>
      <c r="P1" s="686"/>
      <c r="Q1" s="686"/>
      <c r="R1" s="686"/>
      <c r="S1" s="686"/>
      <c r="T1" s="686"/>
      <c r="U1" s="686"/>
    </row>
    <row r="2" spans="1:22" s="358" customFormat="1" ht="19.95" customHeight="1">
      <c r="A2" s="687" t="s">
        <v>991</v>
      </c>
      <c r="B2" s="687"/>
      <c r="C2" s="687"/>
      <c r="D2" s="687"/>
      <c r="E2" s="687"/>
      <c r="F2" s="687"/>
      <c r="G2" s="687"/>
      <c r="H2" s="687"/>
      <c r="I2" s="687"/>
      <c r="J2" s="687"/>
      <c r="K2" s="687"/>
      <c r="L2" s="687"/>
      <c r="M2" s="687"/>
      <c r="N2" s="687"/>
      <c r="O2" s="687"/>
      <c r="P2" s="687"/>
      <c r="Q2" s="687"/>
      <c r="R2" s="687"/>
      <c r="S2" s="687"/>
      <c r="T2" s="687"/>
      <c r="U2" s="687"/>
    </row>
    <row r="3" spans="1:22" s="182" customFormat="1" ht="19.95" customHeight="1">
      <c r="A3" s="182" t="str">
        <f>底稿目录!A2</f>
        <v>被审计单位：</v>
      </c>
      <c r="B3" s="258"/>
      <c r="F3" s="182" t="str">
        <f>底稿目录!A4</f>
        <v>编制人：</v>
      </c>
      <c r="J3" s="536" t="str">
        <f>底稿目录!A6</f>
        <v>编制日期：</v>
      </c>
      <c r="L3" s="537"/>
      <c r="N3" s="538"/>
      <c r="O3" s="538"/>
      <c r="P3" s="538"/>
      <c r="Q3" s="538"/>
      <c r="R3" s="538"/>
      <c r="S3" s="538"/>
      <c r="T3" s="539" t="s">
        <v>1011</v>
      </c>
      <c r="U3" s="313" t="s">
        <v>258</v>
      </c>
    </row>
    <row r="4" spans="1:22" s="182" customFormat="1" ht="19.95" customHeight="1">
      <c r="A4" s="182" t="str">
        <f>底稿目录!A3</f>
        <v>截止日：</v>
      </c>
      <c r="B4" s="258"/>
      <c r="F4" s="182" t="str">
        <f>底稿目录!A5</f>
        <v>复核人：</v>
      </c>
      <c r="J4" s="536" t="str">
        <f>底稿目录!A7</f>
        <v>复核日期：</v>
      </c>
      <c r="L4" s="537"/>
      <c r="N4" s="538"/>
      <c r="O4" s="538"/>
      <c r="P4" s="538"/>
      <c r="Q4" s="538"/>
      <c r="R4" s="538"/>
      <c r="S4" s="538"/>
      <c r="T4" s="539" t="s">
        <v>1012</v>
      </c>
      <c r="U4" s="314"/>
    </row>
    <row r="5" spans="1:22" s="532" customFormat="1" ht="33" customHeight="1">
      <c r="A5" s="685" t="s">
        <v>1091</v>
      </c>
      <c r="B5" s="685"/>
      <c r="C5" s="685"/>
      <c r="D5" s="685"/>
      <c r="E5" s="685"/>
      <c r="F5" s="685"/>
      <c r="G5" s="685"/>
      <c r="H5" s="685"/>
      <c r="I5" s="685"/>
      <c r="J5" s="685"/>
      <c r="K5" s="685"/>
      <c r="L5" s="685"/>
      <c r="M5" s="685"/>
      <c r="N5" s="685"/>
      <c r="O5" s="685"/>
      <c r="P5" s="685"/>
      <c r="Q5" s="685"/>
      <c r="R5" s="685"/>
      <c r="S5" s="685"/>
      <c r="T5" s="685"/>
      <c r="U5" s="685"/>
    </row>
    <row r="6" spans="1:22" s="532" customFormat="1" ht="19.95" customHeight="1">
      <c r="A6" s="540" t="s">
        <v>543</v>
      </c>
      <c r="B6" s="540"/>
      <c r="C6" s="541"/>
      <c r="D6" s="541"/>
      <c r="E6" s="541"/>
      <c r="F6" s="541"/>
      <c r="G6" s="541"/>
      <c r="H6" s="541"/>
      <c r="I6" s="541"/>
      <c r="J6" s="541"/>
      <c r="K6" s="541"/>
      <c r="L6" s="541"/>
      <c r="M6" s="541"/>
      <c r="N6" s="542"/>
      <c r="O6" s="542"/>
      <c r="P6" s="542"/>
      <c r="Q6" s="543"/>
      <c r="R6" s="543"/>
      <c r="S6" s="543"/>
    </row>
    <row r="7" spans="1:22" s="281" customFormat="1" ht="19.95" customHeight="1">
      <c r="A7" s="544" t="s">
        <v>544</v>
      </c>
      <c r="B7" s="545" t="s">
        <v>1092</v>
      </c>
      <c r="C7" s="541"/>
      <c r="D7" s="541"/>
      <c r="E7" s="541"/>
      <c r="F7" s="544"/>
      <c r="G7" s="545"/>
      <c r="H7" s="541"/>
      <c r="I7" s="544" t="s">
        <v>545</v>
      </c>
      <c r="J7" s="545" t="s">
        <v>546</v>
      </c>
      <c r="K7" s="541"/>
      <c r="L7" s="541"/>
      <c r="M7" s="541"/>
    </row>
    <row r="8" spans="1:22" s="281" customFormat="1" ht="19.95" customHeight="1">
      <c r="A8" s="544" t="s">
        <v>547</v>
      </c>
      <c r="B8" s="545" t="s">
        <v>548</v>
      </c>
      <c r="C8" s="541"/>
      <c r="D8" s="541"/>
      <c r="E8" s="541"/>
      <c r="F8" s="544"/>
      <c r="G8" s="545"/>
      <c r="H8" s="541"/>
      <c r="I8" s="544" t="s">
        <v>549</v>
      </c>
      <c r="J8" s="545"/>
      <c r="K8" s="545" t="s">
        <v>550</v>
      </c>
      <c r="L8" s="545" t="s">
        <v>551</v>
      </c>
      <c r="M8" s="541"/>
    </row>
    <row r="9" spans="1:22" s="281" customFormat="1" ht="19.95" customHeight="1">
      <c r="A9" s="544" t="s">
        <v>552</v>
      </c>
      <c r="B9" s="609" t="s">
        <v>1219</v>
      </c>
      <c r="C9" s="541"/>
      <c r="D9" s="541"/>
      <c r="E9" s="541"/>
      <c r="F9" s="544"/>
      <c r="G9" s="545"/>
      <c r="H9" s="541"/>
      <c r="I9" s="544" t="s">
        <v>553</v>
      </c>
      <c r="J9" s="545" t="s">
        <v>554</v>
      </c>
      <c r="K9" s="541"/>
      <c r="L9" s="541"/>
      <c r="M9" s="541"/>
    </row>
    <row r="10" spans="1:22" s="23" customFormat="1" ht="19.95" customHeight="1">
      <c r="A10" s="46" t="s">
        <v>555</v>
      </c>
      <c r="B10" s="298"/>
      <c r="C10" s="21"/>
      <c r="D10" s="21"/>
      <c r="E10" s="21"/>
      <c r="F10" s="21"/>
      <c r="G10" s="21"/>
      <c r="H10" s="21"/>
      <c r="I10" s="22"/>
      <c r="J10" s="22"/>
      <c r="K10" s="22"/>
      <c r="L10" s="22"/>
      <c r="M10" s="60"/>
      <c r="N10" s="60"/>
      <c r="O10" s="60"/>
      <c r="P10" s="60"/>
      <c r="Q10" s="60"/>
      <c r="R10" s="60"/>
      <c r="S10" s="60"/>
    </row>
    <row r="11" spans="1:22" s="23" customFormat="1" ht="19.95" customHeight="1">
      <c r="A11" s="451" t="s">
        <v>1033</v>
      </c>
      <c r="B11" s="298"/>
      <c r="C11" s="21"/>
      <c r="D11" s="21"/>
      <c r="E11" s="21"/>
      <c r="F11" s="21"/>
      <c r="G11" s="21"/>
      <c r="H11" s="21"/>
      <c r="I11" s="22"/>
      <c r="J11" s="22"/>
      <c r="K11" s="22"/>
      <c r="L11" s="22"/>
      <c r="M11" s="60"/>
      <c r="N11" s="60"/>
      <c r="O11" s="60"/>
      <c r="P11" s="60"/>
      <c r="Q11" s="60"/>
      <c r="R11" s="60"/>
      <c r="S11" s="60"/>
    </row>
    <row r="12" spans="1:22" ht="19.95" customHeight="1">
      <c r="A12" s="653" t="s">
        <v>98</v>
      </c>
      <c r="B12" s="694" t="s">
        <v>399</v>
      </c>
      <c r="C12" s="694" t="s">
        <v>556</v>
      </c>
      <c r="D12" s="694" t="s">
        <v>401</v>
      </c>
      <c r="E12" s="694" t="s">
        <v>557</v>
      </c>
      <c r="F12" s="694" t="s">
        <v>558</v>
      </c>
      <c r="G12" s="694" t="s">
        <v>559</v>
      </c>
      <c r="H12" s="694" t="s">
        <v>560</v>
      </c>
      <c r="I12" s="688" t="s">
        <v>561</v>
      </c>
      <c r="J12" s="689"/>
      <c r="K12" s="689"/>
      <c r="L12" s="689"/>
      <c r="M12" s="682" t="s">
        <v>1187</v>
      </c>
      <c r="N12" s="682"/>
      <c r="O12" s="682"/>
      <c r="P12" s="682" t="s">
        <v>1188</v>
      </c>
      <c r="Q12" s="682"/>
      <c r="R12" s="682"/>
      <c r="S12" s="683" t="s">
        <v>235</v>
      </c>
      <c r="T12" s="683" t="s">
        <v>240</v>
      </c>
      <c r="U12" s="683" t="s">
        <v>562</v>
      </c>
    </row>
    <row r="13" spans="1:22" ht="13.8">
      <c r="A13" s="653"/>
      <c r="B13" s="695"/>
      <c r="C13" s="695"/>
      <c r="D13" s="695"/>
      <c r="E13" s="695"/>
      <c r="F13" s="695"/>
      <c r="G13" s="695"/>
      <c r="H13" s="695"/>
      <c r="I13" s="237" t="s">
        <v>563</v>
      </c>
      <c r="J13" s="239" t="s">
        <v>229</v>
      </c>
      <c r="K13" s="239" t="s">
        <v>564</v>
      </c>
      <c r="L13" s="299" t="s">
        <v>565</v>
      </c>
      <c r="M13" s="547" t="s">
        <v>1189</v>
      </c>
      <c r="N13" s="548" t="s">
        <v>1037</v>
      </c>
      <c r="O13" s="547" t="s">
        <v>1185</v>
      </c>
      <c r="P13" s="547" t="s">
        <v>1190</v>
      </c>
      <c r="Q13" s="547" t="s">
        <v>1186</v>
      </c>
      <c r="R13" s="547" t="s">
        <v>1185</v>
      </c>
      <c r="S13" s="684"/>
      <c r="T13" s="684"/>
      <c r="U13" s="684"/>
      <c r="V13" s="398" t="s">
        <v>1004</v>
      </c>
    </row>
    <row r="14" spans="1:22" ht="19.95" customHeight="1">
      <c r="A14" s="94">
        <v>1</v>
      </c>
      <c r="B14" s="90"/>
      <c r="C14" s="376"/>
      <c r="D14" s="30"/>
      <c r="E14" s="377"/>
      <c r="F14" s="363"/>
      <c r="G14" s="375"/>
      <c r="H14" s="30"/>
      <c r="I14" s="384"/>
      <c r="J14" s="384"/>
      <c r="K14" s="384"/>
      <c r="L14" s="224">
        <f>I14-J14-K14</f>
        <v>0</v>
      </c>
      <c r="M14" s="377"/>
      <c r="N14" s="30"/>
      <c r="O14" s="384"/>
      <c r="P14" s="377"/>
      <c r="Q14" s="30"/>
      <c r="R14" s="384"/>
      <c r="S14" s="384"/>
      <c r="T14" s="386"/>
      <c r="U14" s="40"/>
    </row>
    <row r="15" spans="1:22" ht="19.95" customHeight="1">
      <c r="A15" s="94">
        <v>2</v>
      </c>
      <c r="B15" s="90"/>
      <c r="C15" s="376"/>
      <c r="D15" s="30"/>
      <c r="E15" s="377"/>
      <c r="F15" s="363"/>
      <c r="G15" s="375"/>
      <c r="H15" s="30"/>
      <c r="I15" s="384"/>
      <c r="J15" s="384"/>
      <c r="K15" s="384"/>
      <c r="L15" s="224">
        <f t="shared" ref="L15:L22" si="0">I15-J15-K15</f>
        <v>0</v>
      </c>
      <c r="M15" s="377"/>
      <c r="N15" s="30"/>
      <c r="O15" s="384"/>
      <c r="P15" s="377"/>
      <c r="Q15" s="30"/>
      <c r="R15" s="384"/>
      <c r="S15" s="384"/>
      <c r="T15" s="386"/>
      <c r="U15" s="40"/>
    </row>
    <row r="16" spans="1:22" ht="19.95" customHeight="1">
      <c r="A16" s="94">
        <v>3</v>
      </c>
      <c r="B16" s="90"/>
      <c r="C16" s="376"/>
      <c r="D16" s="30"/>
      <c r="E16" s="377"/>
      <c r="F16" s="363"/>
      <c r="G16" s="375"/>
      <c r="H16" s="30"/>
      <c r="I16" s="384"/>
      <c r="J16" s="384"/>
      <c r="K16" s="384"/>
      <c r="L16" s="224">
        <f t="shared" si="0"/>
        <v>0</v>
      </c>
      <c r="M16" s="377"/>
      <c r="N16" s="30"/>
      <c r="O16" s="384"/>
      <c r="P16" s="377"/>
      <c r="Q16" s="30"/>
      <c r="R16" s="384"/>
      <c r="S16" s="384"/>
      <c r="T16" s="386"/>
      <c r="U16" s="40"/>
    </row>
    <row r="17" spans="1:21" ht="19.95" customHeight="1">
      <c r="A17" s="94">
        <v>4</v>
      </c>
      <c r="B17" s="90"/>
      <c r="C17" s="376"/>
      <c r="D17" s="30"/>
      <c r="E17" s="377"/>
      <c r="F17" s="363"/>
      <c r="G17" s="375"/>
      <c r="H17" s="30"/>
      <c r="I17" s="384"/>
      <c r="J17" s="384"/>
      <c r="K17" s="384"/>
      <c r="L17" s="224">
        <f t="shared" si="0"/>
        <v>0</v>
      </c>
      <c r="M17" s="377"/>
      <c r="N17" s="30"/>
      <c r="O17" s="384"/>
      <c r="P17" s="377"/>
      <c r="Q17" s="30"/>
      <c r="R17" s="384"/>
      <c r="S17" s="384"/>
      <c r="T17" s="386"/>
      <c r="U17" s="40"/>
    </row>
    <row r="18" spans="1:21" ht="19.95" customHeight="1">
      <c r="A18" s="94">
        <v>5</v>
      </c>
      <c r="B18" s="90"/>
      <c r="C18" s="376"/>
      <c r="D18" s="30"/>
      <c r="E18" s="377"/>
      <c r="F18" s="363"/>
      <c r="G18" s="375"/>
      <c r="H18" s="30"/>
      <c r="I18" s="384"/>
      <c r="J18" s="384"/>
      <c r="K18" s="384"/>
      <c r="L18" s="224">
        <f t="shared" si="0"/>
        <v>0</v>
      </c>
      <c r="M18" s="377"/>
      <c r="N18" s="30"/>
      <c r="O18" s="384"/>
      <c r="P18" s="377"/>
      <c r="Q18" s="30"/>
      <c r="R18" s="384"/>
      <c r="S18" s="384"/>
      <c r="T18" s="386"/>
      <c r="U18" s="40"/>
    </row>
    <row r="19" spans="1:21" ht="19.95" customHeight="1">
      <c r="A19" s="94">
        <v>6</v>
      </c>
      <c r="B19" s="90"/>
      <c r="C19" s="376"/>
      <c r="D19" s="30"/>
      <c r="E19" s="377"/>
      <c r="F19" s="363"/>
      <c r="G19" s="375"/>
      <c r="H19" s="30"/>
      <c r="I19" s="384"/>
      <c r="J19" s="384"/>
      <c r="K19" s="384"/>
      <c r="L19" s="224">
        <f t="shared" si="0"/>
        <v>0</v>
      </c>
      <c r="M19" s="377"/>
      <c r="N19" s="30"/>
      <c r="O19" s="384"/>
      <c r="P19" s="377"/>
      <c r="Q19" s="30"/>
      <c r="R19" s="384"/>
      <c r="S19" s="384"/>
      <c r="T19" s="386"/>
      <c r="U19" s="40"/>
    </row>
    <row r="20" spans="1:21" ht="19.95" customHeight="1">
      <c r="A20" s="94">
        <v>7</v>
      </c>
      <c r="B20" s="90"/>
      <c r="C20" s="376"/>
      <c r="D20" s="30"/>
      <c r="E20" s="377"/>
      <c r="F20" s="363"/>
      <c r="G20" s="375"/>
      <c r="H20" s="30"/>
      <c r="I20" s="384"/>
      <c r="J20" s="384"/>
      <c r="K20" s="384"/>
      <c r="L20" s="224">
        <f t="shared" si="0"/>
        <v>0</v>
      </c>
      <c r="M20" s="377"/>
      <c r="N20" s="30"/>
      <c r="O20" s="384"/>
      <c r="P20" s="377"/>
      <c r="Q20" s="30"/>
      <c r="R20" s="384"/>
      <c r="S20" s="384"/>
      <c r="T20" s="386"/>
      <c r="U20" s="40"/>
    </row>
    <row r="21" spans="1:21" ht="19.95" customHeight="1">
      <c r="A21" s="94">
        <v>8</v>
      </c>
      <c r="B21" s="90"/>
      <c r="C21" s="376"/>
      <c r="D21" s="30"/>
      <c r="E21" s="377"/>
      <c r="F21" s="363"/>
      <c r="G21" s="375"/>
      <c r="H21" s="30"/>
      <c r="I21" s="384"/>
      <c r="J21" s="384"/>
      <c r="K21" s="384"/>
      <c r="L21" s="224">
        <f t="shared" si="0"/>
        <v>0</v>
      </c>
      <c r="M21" s="377"/>
      <c r="N21" s="30"/>
      <c r="O21" s="384"/>
      <c r="P21" s="377"/>
      <c r="Q21" s="30"/>
      <c r="R21" s="384"/>
      <c r="S21" s="384"/>
      <c r="T21" s="386"/>
      <c r="U21" s="40"/>
    </row>
    <row r="22" spans="1:21" ht="19.95" customHeight="1">
      <c r="A22" s="94">
        <v>9</v>
      </c>
      <c r="B22" s="90"/>
      <c r="C22" s="376"/>
      <c r="D22" s="30"/>
      <c r="E22" s="377"/>
      <c r="F22" s="363"/>
      <c r="G22" s="375"/>
      <c r="H22" s="30"/>
      <c r="I22" s="384"/>
      <c r="J22" s="384"/>
      <c r="K22" s="384"/>
      <c r="L22" s="224">
        <f t="shared" si="0"/>
        <v>0</v>
      </c>
      <c r="M22" s="377"/>
      <c r="N22" s="30"/>
      <c r="O22" s="384"/>
      <c r="P22" s="377"/>
      <c r="Q22" s="30"/>
      <c r="R22" s="384"/>
      <c r="S22" s="384"/>
      <c r="T22" s="386"/>
      <c r="U22" s="40"/>
    </row>
    <row r="23" spans="1:21" ht="19.95" customHeight="1">
      <c r="A23" s="94">
        <v>10</v>
      </c>
      <c r="B23" s="90"/>
      <c r="C23" s="376"/>
      <c r="D23" s="30"/>
      <c r="E23" s="377"/>
      <c r="F23" s="363"/>
      <c r="G23" s="375"/>
      <c r="H23" s="30"/>
      <c r="I23" s="384"/>
      <c r="J23" s="384"/>
      <c r="K23" s="384"/>
      <c r="L23" s="224">
        <f>I23-J23-K23</f>
        <v>0</v>
      </c>
      <c r="M23" s="377"/>
      <c r="N23" s="30"/>
      <c r="O23" s="384"/>
      <c r="P23" s="377"/>
      <c r="Q23" s="30"/>
      <c r="R23" s="384"/>
      <c r="S23" s="384"/>
      <c r="T23" s="386"/>
      <c r="U23" s="40"/>
    </row>
    <row r="24" spans="1:21" ht="19.95" customHeight="1">
      <c r="A24" s="690" t="s">
        <v>567</v>
      </c>
      <c r="B24" s="691"/>
      <c r="C24" s="691"/>
      <c r="D24" s="691"/>
      <c r="E24" s="691"/>
      <c r="F24" s="692"/>
      <c r="G24" s="378"/>
      <c r="H24" s="378"/>
      <c r="I24" s="381">
        <f>SUM(I14:I23)</f>
        <v>0</v>
      </c>
      <c r="J24" s="381">
        <f>SUM(J14:J23)</f>
        <v>0</v>
      </c>
      <c r="K24" s="381">
        <f>SUM(K14:K23)</f>
        <v>0</v>
      </c>
      <c r="L24" s="385">
        <f>SUM(L14:L23)</f>
        <v>0</v>
      </c>
      <c r="M24" s="379"/>
      <c r="N24" s="379"/>
      <c r="O24" s="379"/>
      <c r="P24" s="379"/>
      <c r="Q24" s="379"/>
      <c r="R24" s="379"/>
      <c r="S24" s="379"/>
      <c r="T24" s="379"/>
      <c r="U24" s="380"/>
    </row>
    <row r="25" spans="1:21" ht="19.95" customHeight="1">
      <c r="A25" s="690" t="s">
        <v>568</v>
      </c>
      <c r="B25" s="691"/>
      <c r="C25" s="691"/>
      <c r="D25" s="691"/>
      <c r="E25" s="691"/>
      <c r="F25" s="692"/>
      <c r="G25" s="378"/>
      <c r="H25" s="378"/>
      <c r="I25" s="381">
        <f>'明细表（成本模式）H7-2'!N37</f>
        <v>0</v>
      </c>
      <c r="J25" s="378"/>
      <c r="K25" s="378"/>
      <c r="L25" s="385"/>
      <c r="M25" s="379"/>
      <c r="N25" s="379"/>
      <c r="O25" s="379"/>
      <c r="P25" s="379"/>
      <c r="Q25" s="379"/>
      <c r="R25" s="379"/>
      <c r="S25" s="379"/>
      <c r="T25" s="379"/>
      <c r="U25" s="380"/>
    </row>
    <row r="26" spans="1:21" ht="19.95" customHeight="1">
      <c r="A26" s="693" t="s">
        <v>1222</v>
      </c>
      <c r="B26" s="691"/>
      <c r="C26" s="691"/>
      <c r="D26" s="691"/>
      <c r="E26" s="691"/>
      <c r="F26" s="692"/>
      <c r="G26" s="382"/>
      <c r="H26" s="382"/>
      <c r="I26" s="383">
        <f>IF(I24=0,0,I24/$I$25)</f>
        <v>0</v>
      </c>
      <c r="J26" s="382"/>
      <c r="K26" s="382"/>
      <c r="L26" s="385"/>
      <c r="M26" s="379"/>
      <c r="N26" s="379"/>
      <c r="O26" s="379"/>
      <c r="P26" s="379"/>
      <c r="Q26" s="379"/>
      <c r="R26" s="379"/>
      <c r="S26" s="379"/>
      <c r="T26" s="379"/>
      <c r="U26" s="380"/>
    </row>
    <row r="27" spans="1:21" ht="19.95" customHeight="1">
      <c r="A27" s="300" t="s">
        <v>569</v>
      </c>
      <c r="B27" s="15"/>
      <c r="C27" s="15"/>
      <c r="D27" s="15"/>
      <c r="E27" s="15"/>
      <c r="F27" s="15"/>
      <c r="G27" s="15"/>
      <c r="H27" s="15"/>
      <c r="I27" s="15"/>
      <c r="J27" s="15"/>
      <c r="K27" s="15"/>
      <c r="L27" s="15"/>
      <c r="M27" s="301"/>
      <c r="N27" s="225"/>
      <c r="O27" s="225"/>
      <c r="P27" s="225"/>
      <c r="Q27" s="225"/>
      <c r="R27" s="225"/>
      <c r="S27" s="225"/>
      <c r="T27" s="226"/>
    </row>
    <row r="28" spans="1:21" ht="19.95" customHeight="1">
      <c r="A28" s="610" t="s">
        <v>1224</v>
      </c>
      <c r="M28" s="441"/>
      <c r="N28" s="62"/>
      <c r="O28" s="62"/>
      <c r="P28" s="62"/>
      <c r="Q28" s="62"/>
      <c r="R28" s="62"/>
      <c r="S28" s="62"/>
      <c r="T28" s="25"/>
    </row>
    <row r="29" spans="1:21" s="24" customFormat="1" ht="19.95" customHeight="1">
      <c r="A29" s="610" t="s">
        <v>1226</v>
      </c>
      <c r="M29" s="441"/>
      <c r="N29" s="63"/>
      <c r="O29" s="64"/>
      <c r="P29" s="64"/>
      <c r="Q29" s="64"/>
      <c r="R29" s="64"/>
      <c r="S29" s="64"/>
      <c r="T29" s="31"/>
    </row>
    <row r="30" spans="1:21" ht="19.95" customHeight="1">
      <c r="M30" s="441"/>
      <c r="N30" s="59"/>
      <c r="O30" s="59"/>
      <c r="P30" s="59"/>
      <c r="Q30" s="59"/>
      <c r="R30" s="59"/>
      <c r="S30" s="59"/>
      <c r="T30" s="25"/>
    </row>
    <row r="31" spans="1:21" ht="19.95" customHeight="1">
      <c r="M31" s="441"/>
      <c r="N31" s="59"/>
      <c r="O31" s="59"/>
      <c r="P31" s="59"/>
      <c r="Q31" s="59"/>
      <c r="R31" s="59"/>
      <c r="S31" s="59"/>
      <c r="T31" s="25"/>
    </row>
    <row r="32" spans="1:21" ht="19.95" customHeight="1">
      <c r="A32" s="24" t="s">
        <v>570</v>
      </c>
      <c r="M32" s="59"/>
      <c r="N32" s="59"/>
      <c r="O32" s="59"/>
      <c r="P32" s="59"/>
      <c r="Q32" s="59"/>
      <c r="R32" s="59"/>
      <c r="S32" s="59"/>
      <c r="T32" s="25"/>
    </row>
    <row r="33" spans="1:20" ht="19.95" customHeight="1">
      <c r="M33" s="59"/>
      <c r="N33" s="59"/>
      <c r="O33" s="59"/>
      <c r="P33" s="59"/>
      <c r="Q33" s="59"/>
      <c r="R33" s="59"/>
      <c r="S33" s="59"/>
      <c r="T33" s="25"/>
    </row>
    <row r="34" spans="1:20" ht="19.95" customHeight="1">
      <c r="A34" s="18"/>
      <c r="C34" s="25"/>
      <c r="D34" s="25"/>
      <c r="E34" s="25"/>
      <c r="F34" s="25"/>
      <c r="G34" s="25"/>
      <c r="H34" s="25"/>
      <c r="I34" s="25"/>
      <c r="J34" s="25"/>
      <c r="K34" s="25"/>
      <c r="L34" s="25"/>
      <c r="M34" s="59"/>
      <c r="N34" s="59"/>
      <c r="O34" s="59"/>
      <c r="P34" s="59"/>
      <c r="Q34" s="59"/>
      <c r="R34" s="59"/>
      <c r="S34" s="59"/>
      <c r="T34" s="25"/>
    </row>
    <row r="35" spans="1:20" ht="19.95" customHeight="1">
      <c r="A35" s="18"/>
      <c r="C35" s="25"/>
      <c r="D35" s="25"/>
      <c r="E35" s="25"/>
      <c r="F35" s="25"/>
      <c r="G35" s="25"/>
      <c r="H35" s="25"/>
      <c r="I35" s="25"/>
      <c r="J35" s="25"/>
      <c r="K35" s="25"/>
      <c r="L35" s="25"/>
      <c r="M35" s="59"/>
      <c r="N35" s="59"/>
      <c r="O35" s="59"/>
      <c r="P35" s="59"/>
      <c r="Q35" s="59"/>
      <c r="R35" s="59"/>
      <c r="S35" s="59"/>
      <c r="T35" s="25"/>
    </row>
    <row r="36" spans="1:20" ht="19.95" customHeight="1">
      <c r="A36" s="456" t="s">
        <v>1044</v>
      </c>
    </row>
    <row r="37" spans="1:20" ht="19.95" customHeight="1">
      <c r="A37" s="17" t="s">
        <v>571</v>
      </c>
    </row>
    <row r="38" spans="1:20" ht="19.95" customHeight="1">
      <c r="A38" s="17" t="s">
        <v>572</v>
      </c>
    </row>
    <row r="39" spans="1:20" ht="19.95" customHeight="1">
      <c r="A39" s="17" t="s">
        <v>573</v>
      </c>
    </row>
    <row r="40" spans="1:20" s="23" customFormat="1" ht="19.95" customHeight="1">
      <c r="A40" s="17" t="s">
        <v>574</v>
      </c>
      <c r="C40" s="21"/>
      <c r="D40" s="21"/>
      <c r="E40" s="21"/>
      <c r="F40" s="21"/>
      <c r="G40" s="21"/>
      <c r="H40" s="21"/>
      <c r="I40" s="22"/>
      <c r="J40" s="22"/>
      <c r="K40" s="22"/>
      <c r="L40" s="22"/>
      <c r="M40" s="60"/>
      <c r="N40" s="60"/>
      <c r="O40" s="60"/>
      <c r="P40" s="60"/>
      <c r="Q40" s="60"/>
      <c r="R40" s="60"/>
      <c r="S40" s="60"/>
    </row>
    <row r="41" spans="1:20" s="23" customFormat="1" ht="19.95" customHeight="1">
      <c r="A41" s="17" t="s">
        <v>575</v>
      </c>
      <c r="C41" s="21"/>
      <c r="D41" s="21"/>
      <c r="E41" s="21"/>
      <c r="F41" s="21"/>
      <c r="G41" s="21"/>
      <c r="H41" s="21"/>
      <c r="I41" s="22"/>
      <c r="J41" s="22"/>
      <c r="K41" s="22"/>
      <c r="L41" s="22"/>
      <c r="M41" s="60"/>
      <c r="N41" s="60"/>
      <c r="O41" s="60"/>
      <c r="P41" s="60"/>
      <c r="Q41" s="60"/>
      <c r="R41" s="60"/>
      <c r="S41" s="60"/>
    </row>
    <row r="42" spans="1:20" s="53" customFormat="1" ht="19.95" customHeight="1">
      <c r="A42" s="19" t="s">
        <v>142</v>
      </c>
      <c r="L42" s="11"/>
      <c r="O42" s="69"/>
      <c r="R42" s="70"/>
    </row>
    <row r="43" spans="1:20" ht="19.95" customHeight="1">
      <c r="A43" s="17" t="s">
        <v>143</v>
      </c>
      <c r="B43" s="17"/>
    </row>
    <row r="44" spans="1:20" ht="19.95" customHeight="1">
      <c r="A44" s="19" t="s">
        <v>576</v>
      </c>
      <c r="B44" s="19"/>
    </row>
    <row r="45" spans="1:20" s="23" customFormat="1" ht="19.95" customHeight="1">
      <c r="A45" s="81"/>
      <c r="C45" s="21"/>
      <c r="D45" s="21"/>
      <c r="E45" s="21"/>
      <c r="F45" s="21"/>
      <c r="G45" s="21"/>
      <c r="H45" s="21"/>
      <c r="I45" s="22"/>
      <c r="J45" s="22"/>
      <c r="K45" s="22"/>
      <c r="L45" s="22"/>
      <c r="M45" s="60"/>
      <c r="N45" s="60"/>
      <c r="O45" s="60"/>
      <c r="P45" s="60"/>
      <c r="Q45" s="60"/>
      <c r="R45" s="60"/>
      <c r="S45" s="60"/>
    </row>
    <row r="46" spans="1:20" s="23" customFormat="1" ht="19.95" customHeight="1">
      <c r="A46" s="81"/>
      <c r="C46" s="21"/>
      <c r="D46" s="21"/>
      <c r="E46" s="21"/>
      <c r="F46" s="21"/>
      <c r="G46" s="21"/>
      <c r="H46" s="21"/>
      <c r="I46" s="22"/>
      <c r="J46" s="22"/>
      <c r="K46" s="22"/>
      <c r="L46" s="22"/>
      <c r="M46" s="60"/>
      <c r="N46" s="60"/>
      <c r="O46" s="60"/>
      <c r="P46" s="60"/>
      <c r="Q46" s="60"/>
      <c r="R46" s="60"/>
      <c r="S46" s="60"/>
    </row>
    <row r="47" spans="1:20" s="23" customFormat="1" ht="19.95" customHeight="1">
      <c r="A47" s="303"/>
      <c r="C47" s="21"/>
      <c r="D47" s="21"/>
      <c r="E47" s="21"/>
      <c r="F47" s="21"/>
      <c r="G47" s="21"/>
      <c r="H47" s="21"/>
      <c r="I47" s="22"/>
      <c r="J47" s="22"/>
      <c r="K47" s="22"/>
      <c r="L47" s="22"/>
      <c r="M47" s="60"/>
      <c r="N47" s="60"/>
      <c r="O47" s="60"/>
      <c r="P47" s="60"/>
      <c r="Q47" s="60"/>
      <c r="R47" s="60"/>
      <c r="S47" s="60"/>
    </row>
    <row r="48" spans="1:20" s="23" customFormat="1" ht="19.95" customHeight="1">
      <c r="A48" s="81"/>
      <c r="C48" s="21"/>
      <c r="D48" s="21"/>
      <c r="E48" s="21"/>
      <c r="F48" s="21"/>
      <c r="G48" s="21"/>
      <c r="H48" s="21"/>
      <c r="I48" s="22"/>
      <c r="J48" s="22"/>
      <c r="K48" s="22"/>
      <c r="L48" s="22"/>
      <c r="M48" s="60"/>
      <c r="N48" s="60"/>
      <c r="O48" s="60"/>
      <c r="P48" s="60"/>
      <c r="Q48" s="60"/>
      <c r="R48" s="60"/>
      <c r="S48" s="60"/>
    </row>
    <row r="49" spans="1:19" s="23" customFormat="1" ht="19.95" customHeight="1">
      <c r="A49" s="81"/>
      <c r="C49" s="21"/>
      <c r="D49" s="21"/>
      <c r="E49" s="21"/>
      <c r="F49" s="21"/>
      <c r="G49" s="21"/>
      <c r="H49" s="21"/>
      <c r="I49" s="22"/>
      <c r="J49" s="22"/>
      <c r="K49" s="22"/>
      <c r="L49" s="22"/>
      <c r="M49" s="60"/>
      <c r="N49" s="60"/>
      <c r="O49" s="60"/>
      <c r="P49" s="60"/>
      <c r="Q49" s="60"/>
      <c r="R49" s="60"/>
      <c r="S49" s="60"/>
    </row>
    <row r="50" spans="1:19" s="23" customFormat="1" ht="19.95" customHeight="1">
      <c r="A50" s="81"/>
      <c r="C50" s="21"/>
      <c r="D50" s="21"/>
      <c r="E50" s="21"/>
      <c r="F50" s="21"/>
      <c r="G50" s="21"/>
      <c r="H50" s="21"/>
      <c r="I50" s="22"/>
      <c r="J50" s="22"/>
      <c r="K50" s="22"/>
      <c r="L50" s="22"/>
      <c r="M50" s="60"/>
      <c r="N50" s="60"/>
      <c r="O50" s="60"/>
      <c r="P50" s="60"/>
      <c r="Q50" s="60"/>
      <c r="R50" s="60"/>
      <c r="S50" s="60"/>
    </row>
    <row r="51" spans="1:19" ht="19.95" customHeight="1">
      <c r="A51" s="304"/>
    </row>
  </sheetData>
  <mergeCells count="20">
    <mergeCell ref="A25:F25"/>
    <mergeCell ref="A26:F26"/>
    <mergeCell ref="A24:F24"/>
    <mergeCell ref="G12:G13"/>
    <mergeCell ref="H12:H13"/>
    <mergeCell ref="A12:A13"/>
    <mergeCell ref="B12:B13"/>
    <mergeCell ref="C12:C13"/>
    <mergeCell ref="D12:D13"/>
    <mergeCell ref="F12:F13"/>
    <mergeCell ref="E12:E13"/>
    <mergeCell ref="P12:R12"/>
    <mergeCell ref="S12:S13"/>
    <mergeCell ref="A5:U5"/>
    <mergeCell ref="A1:U1"/>
    <mergeCell ref="A2:U2"/>
    <mergeCell ref="U12:U13"/>
    <mergeCell ref="T12:T13"/>
    <mergeCell ref="I12:L12"/>
    <mergeCell ref="M12:O12"/>
  </mergeCells>
  <phoneticPr fontId="10" type="noConversion"/>
  <dataValidations count="1">
    <dataValidation type="list" allowBlank="1" showInputMessage="1" showErrorMessage="1" prompt="如要修改下列框的选项，单击“数据-数据有效性-设置-序列-来源”。" sqref="F14:F23">
      <formula1>"购置,在建工程转入,企业合并增加,其他增加"</formula1>
    </dataValidation>
  </dataValidations>
  <hyperlinks>
    <hyperlink ref="U3" location="底稿目录!A1" display="H7A"/>
  </hyperlinks>
  <printOptions horizontalCentered="1"/>
  <pageMargins left="0.39370078740157483" right="0.39370078740157483" top="0.35433070866141736" bottom="0.27559055118110237" header="0.31496062992125984" footer="0.19685039370078741"/>
  <pageSetup paperSize="9" scale="68" orientation="landscape" blackAndWhite="1" r:id="rId1"/>
  <headerFooter alignWithMargins="0">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B14:B23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U40"/>
  <sheetViews>
    <sheetView view="pageBreakPreview" zoomScaleNormal="100" zoomScaleSheetLayoutView="100" workbookViewId="0">
      <selection sqref="A1:T1"/>
    </sheetView>
  </sheetViews>
  <sheetFormatPr defaultRowHeight="19.95" customHeight="1"/>
  <cols>
    <col min="1" max="1" width="7.69921875" style="28" customWidth="1"/>
    <col min="2" max="11" width="8.796875" style="28"/>
    <col min="12" max="12" width="8.09765625" style="28" customWidth="1"/>
    <col min="13" max="13" width="11.3984375" style="28" customWidth="1"/>
    <col min="14" max="14" width="6.8984375" style="28" customWidth="1"/>
    <col min="15" max="15" width="10.09765625" style="28" customWidth="1"/>
    <col min="16" max="16" width="10.296875" style="28" customWidth="1"/>
    <col min="17" max="17" width="7.59765625" style="28" customWidth="1"/>
    <col min="18" max="18" width="5.69921875" style="28" customWidth="1"/>
    <col min="19" max="19" width="6.8984375" style="28" customWidth="1"/>
    <col min="20" max="20" width="7.69921875" style="28" customWidth="1"/>
    <col min="21" max="16384" width="8.796875" style="28"/>
  </cols>
  <sheetData>
    <row r="1" spans="1:21" s="352" customFormat="1" ht="19.95" customHeight="1">
      <c r="A1" s="698" t="s">
        <v>982</v>
      </c>
      <c r="B1" s="698"/>
      <c r="C1" s="698"/>
      <c r="D1" s="698"/>
      <c r="E1" s="698"/>
      <c r="F1" s="698"/>
      <c r="G1" s="698"/>
      <c r="H1" s="698"/>
      <c r="I1" s="698"/>
      <c r="J1" s="698"/>
      <c r="K1" s="698"/>
      <c r="L1" s="698"/>
      <c r="M1" s="698"/>
      <c r="N1" s="698"/>
      <c r="O1" s="698"/>
      <c r="P1" s="698"/>
      <c r="Q1" s="698"/>
      <c r="R1" s="698"/>
      <c r="S1" s="698"/>
      <c r="T1" s="698"/>
    </row>
    <row r="2" spans="1:21" s="549" customFormat="1" ht="19.95" customHeight="1">
      <c r="A2" s="699" t="s">
        <v>1000</v>
      </c>
      <c r="B2" s="699"/>
      <c r="C2" s="699"/>
      <c r="D2" s="699"/>
      <c r="E2" s="699"/>
      <c r="F2" s="699"/>
      <c r="G2" s="699"/>
      <c r="H2" s="699"/>
      <c r="I2" s="699"/>
      <c r="J2" s="699"/>
      <c r="K2" s="699"/>
      <c r="L2" s="699"/>
      <c r="M2" s="699"/>
      <c r="N2" s="699"/>
      <c r="O2" s="699"/>
      <c r="P2" s="699"/>
      <c r="Q2" s="699"/>
      <c r="R2" s="699"/>
      <c r="S2" s="699"/>
      <c r="T2" s="699"/>
    </row>
    <row r="3" spans="1:21" s="281" customFormat="1" ht="19.95" customHeight="1">
      <c r="A3" s="182" t="str">
        <f>底稿目录!A2</f>
        <v>被审计单位：</v>
      </c>
      <c r="B3" s="182"/>
      <c r="C3" s="182"/>
      <c r="D3" s="182"/>
      <c r="E3" s="182"/>
      <c r="F3" s="182" t="str">
        <f>底稿目录!A4</f>
        <v>编制人：</v>
      </c>
      <c r="G3" s="182"/>
      <c r="H3" s="182"/>
      <c r="I3" s="182"/>
      <c r="J3" s="182" t="str">
        <f>底稿目录!A6</f>
        <v>编制日期：</v>
      </c>
      <c r="K3" s="526"/>
      <c r="L3" s="550"/>
      <c r="M3" s="526"/>
      <c r="N3" s="526"/>
      <c r="O3" s="526"/>
      <c r="P3" s="526"/>
      <c r="Q3" s="526"/>
      <c r="R3" s="526"/>
      <c r="S3" s="539" t="s">
        <v>1011</v>
      </c>
      <c r="T3" s="313" t="s">
        <v>258</v>
      </c>
    </row>
    <row r="4" spans="1:21" s="281" customFormat="1" ht="19.95" customHeight="1">
      <c r="A4" s="182" t="str">
        <f>底稿目录!A3</f>
        <v>截止日：</v>
      </c>
      <c r="B4" s="182"/>
      <c r="C4" s="182"/>
      <c r="D4" s="182"/>
      <c r="E4" s="182"/>
      <c r="F4" s="182" t="str">
        <f>底稿目录!A5</f>
        <v>复核人：</v>
      </c>
      <c r="G4" s="182"/>
      <c r="H4" s="182"/>
      <c r="I4" s="182"/>
      <c r="J4" s="182" t="str">
        <f>底稿目录!A7</f>
        <v>复核日期：</v>
      </c>
      <c r="K4" s="526"/>
      <c r="L4" s="550"/>
      <c r="M4" s="526"/>
      <c r="N4" s="526"/>
      <c r="O4" s="526"/>
      <c r="P4" s="526"/>
      <c r="Q4" s="526"/>
      <c r="R4" s="526"/>
      <c r="S4" s="539" t="s">
        <v>1012</v>
      </c>
      <c r="T4" s="314"/>
    </row>
    <row r="5" spans="1:21" s="532" customFormat="1" ht="30" customHeight="1">
      <c r="A5" s="685" t="s">
        <v>577</v>
      </c>
      <c r="B5" s="685"/>
      <c r="C5" s="685"/>
      <c r="D5" s="685"/>
      <c r="E5" s="685"/>
      <c r="F5" s="685"/>
      <c r="G5" s="685"/>
      <c r="H5" s="685"/>
      <c r="I5" s="685"/>
      <c r="J5" s="685"/>
      <c r="K5" s="685"/>
      <c r="L5" s="685"/>
      <c r="M5" s="685"/>
      <c r="N5" s="685"/>
      <c r="O5" s="685"/>
      <c r="P5" s="685"/>
      <c r="Q5" s="685"/>
      <c r="R5" s="685"/>
      <c r="S5" s="685"/>
      <c r="T5" s="685"/>
    </row>
    <row r="6" spans="1:21" s="281" customFormat="1" ht="19.95" customHeight="1">
      <c r="A6" s="540" t="s">
        <v>578</v>
      </c>
      <c r="B6" s="540"/>
      <c r="C6" s="540"/>
      <c r="D6" s="541"/>
      <c r="E6" s="541"/>
      <c r="F6" s="541"/>
      <c r="G6" s="541"/>
      <c r="H6" s="541"/>
      <c r="I6" s="541"/>
      <c r="J6" s="541"/>
      <c r="K6" s="541"/>
      <c r="L6" s="541"/>
      <c r="M6" s="541"/>
      <c r="N6" s="541"/>
      <c r="O6" s="542"/>
      <c r="P6" s="542"/>
      <c r="Q6" s="542"/>
      <c r="R6" s="543"/>
      <c r="S6" s="543"/>
      <c r="T6" s="543"/>
      <c r="U6" s="532"/>
    </row>
    <row r="7" spans="1:21" s="281" customFormat="1" ht="19.95" customHeight="1">
      <c r="A7" s="544" t="s">
        <v>544</v>
      </c>
      <c r="B7" s="545" t="s">
        <v>1092</v>
      </c>
      <c r="C7" s="545"/>
      <c r="D7" s="541"/>
      <c r="E7" s="541"/>
      <c r="F7" s="541"/>
      <c r="G7" s="544"/>
      <c r="H7" s="545"/>
      <c r="I7" s="541"/>
      <c r="J7" s="544" t="s">
        <v>579</v>
      </c>
      <c r="K7" s="545" t="s">
        <v>546</v>
      </c>
      <c r="L7" s="541"/>
      <c r="M7" s="541"/>
      <c r="N7" s="541"/>
    </row>
    <row r="8" spans="1:21" s="281" customFormat="1" ht="19.95" customHeight="1">
      <c r="A8" s="544" t="s">
        <v>580</v>
      </c>
      <c r="B8" s="545" t="s">
        <v>581</v>
      </c>
      <c r="C8" s="545"/>
      <c r="D8" s="541"/>
      <c r="E8" s="541"/>
      <c r="F8" s="541"/>
      <c r="G8" s="544"/>
      <c r="H8" s="545"/>
      <c r="I8" s="541"/>
      <c r="J8" s="544" t="s">
        <v>549</v>
      </c>
      <c r="K8" s="545"/>
      <c r="L8" s="545" t="s">
        <v>582</v>
      </c>
      <c r="M8" s="545" t="s">
        <v>551</v>
      </c>
      <c r="N8" s="541"/>
    </row>
    <row r="9" spans="1:21" s="281" customFormat="1" ht="19.95" customHeight="1">
      <c r="A9" s="544" t="s">
        <v>552</v>
      </c>
      <c r="B9" s="609" t="s">
        <v>1220</v>
      </c>
      <c r="C9" s="545"/>
      <c r="D9" s="541"/>
      <c r="E9" s="541"/>
      <c r="F9" s="541"/>
      <c r="G9" s="544"/>
      <c r="H9" s="545"/>
      <c r="I9" s="541"/>
      <c r="J9" s="544" t="s">
        <v>583</v>
      </c>
      <c r="K9" s="545" t="s">
        <v>584</v>
      </c>
      <c r="L9" s="541"/>
      <c r="M9" s="541"/>
      <c r="N9" s="541"/>
    </row>
    <row r="10" spans="1:21" ht="19.95" customHeight="1">
      <c r="A10" s="46" t="s">
        <v>585</v>
      </c>
      <c r="B10" s="21"/>
      <c r="C10" s="21"/>
      <c r="D10" s="21"/>
      <c r="E10" s="21"/>
      <c r="F10" s="21"/>
      <c r="G10" s="21"/>
      <c r="H10" s="21"/>
      <c r="I10" s="22"/>
      <c r="J10" s="22"/>
      <c r="K10" s="22"/>
      <c r="L10" s="23"/>
      <c r="M10" s="23"/>
      <c r="N10" s="23"/>
      <c r="O10" s="23"/>
      <c r="P10" s="23"/>
      <c r="Q10" s="23"/>
      <c r="R10" s="23"/>
      <c r="S10" s="23"/>
      <c r="T10" s="23"/>
    </row>
    <row r="11" spans="1:21" ht="19.95" customHeight="1">
      <c r="A11" s="451" t="s">
        <v>1033</v>
      </c>
      <c r="B11" s="21"/>
      <c r="C11" s="21"/>
      <c r="D11" s="21"/>
      <c r="E11" s="21"/>
      <c r="F11" s="21"/>
      <c r="G11" s="21"/>
      <c r="H11" s="21"/>
      <c r="I11" s="22"/>
      <c r="J11" s="22"/>
      <c r="K11" s="22"/>
      <c r="L11" s="23"/>
      <c r="M11" s="23"/>
      <c r="N11" s="23"/>
      <c r="O11" s="23"/>
      <c r="P11" s="23"/>
      <c r="Q11" s="23"/>
      <c r="R11" s="23"/>
      <c r="S11" s="23"/>
      <c r="T11" s="23"/>
    </row>
    <row r="12" spans="1:21" ht="19.95" customHeight="1">
      <c r="A12" s="653" t="s">
        <v>323</v>
      </c>
      <c r="B12" s="700" t="s">
        <v>586</v>
      </c>
      <c r="C12" s="696" t="s">
        <v>1191</v>
      </c>
      <c r="D12" s="701" t="s">
        <v>1192</v>
      </c>
      <c r="E12" s="701" t="s">
        <v>1193</v>
      </c>
      <c r="F12" s="701" t="s">
        <v>558</v>
      </c>
      <c r="G12" s="696" t="s">
        <v>1194</v>
      </c>
      <c r="H12" s="696" t="s">
        <v>1195</v>
      </c>
      <c r="I12" s="703" t="s">
        <v>1196</v>
      </c>
      <c r="J12" s="704"/>
      <c r="K12" s="705"/>
      <c r="L12" s="682" t="s">
        <v>1201</v>
      </c>
      <c r="M12" s="682"/>
      <c r="N12" s="702"/>
      <c r="O12" s="682" t="s">
        <v>1202</v>
      </c>
      <c r="P12" s="682"/>
      <c r="Q12" s="682"/>
      <c r="R12" s="683" t="s">
        <v>235</v>
      </c>
      <c r="S12" s="683" t="s">
        <v>240</v>
      </c>
      <c r="T12" s="683" t="s">
        <v>1197</v>
      </c>
    </row>
    <row r="13" spans="1:21" ht="24">
      <c r="A13" s="653"/>
      <c r="B13" s="700"/>
      <c r="C13" s="697"/>
      <c r="D13" s="701"/>
      <c r="E13" s="701"/>
      <c r="F13" s="701"/>
      <c r="G13" s="697"/>
      <c r="H13" s="697"/>
      <c r="I13" s="551" t="s">
        <v>1198</v>
      </c>
      <c r="J13" s="552" t="s">
        <v>1199</v>
      </c>
      <c r="K13" s="552" t="s">
        <v>1200</v>
      </c>
      <c r="L13" s="547" t="s">
        <v>1203</v>
      </c>
      <c r="M13" s="548" t="s">
        <v>1037</v>
      </c>
      <c r="N13" s="554" t="s">
        <v>1204</v>
      </c>
      <c r="O13" s="555" t="s">
        <v>1203</v>
      </c>
      <c r="P13" s="555" t="s">
        <v>1205</v>
      </c>
      <c r="Q13" s="555" t="s">
        <v>1204</v>
      </c>
      <c r="R13" s="683"/>
      <c r="S13" s="683"/>
      <c r="T13" s="683"/>
      <c r="U13" s="398" t="s">
        <v>1004</v>
      </c>
    </row>
    <row r="14" spans="1:21" ht="19.95" customHeight="1">
      <c r="A14" s="94">
        <v>1</v>
      </c>
      <c r="B14" s="90"/>
      <c r="C14" s="376"/>
      <c r="D14" s="126"/>
      <c r="E14" s="377"/>
      <c r="F14" s="363"/>
      <c r="G14" s="375"/>
      <c r="H14" s="126"/>
      <c r="I14" s="384"/>
      <c r="J14" s="384"/>
      <c r="K14" s="107">
        <f>I14+J14</f>
        <v>0</v>
      </c>
      <c r="L14" s="377"/>
      <c r="M14" s="126"/>
      <c r="N14" s="391"/>
      <c r="O14" s="377"/>
      <c r="P14" s="126"/>
      <c r="Q14" s="384"/>
      <c r="R14" s="384"/>
      <c r="S14" s="386"/>
      <c r="T14" s="40"/>
    </row>
    <row r="15" spans="1:21" ht="19.95" customHeight="1">
      <c r="A15" s="94">
        <v>2</v>
      </c>
      <c r="B15" s="90"/>
      <c r="C15" s="376"/>
      <c r="D15" s="126"/>
      <c r="E15" s="377"/>
      <c r="F15" s="363"/>
      <c r="G15" s="375"/>
      <c r="H15" s="126"/>
      <c r="I15" s="384"/>
      <c r="J15" s="384"/>
      <c r="K15" s="107">
        <f t="shared" ref="K15:K23" si="0">I15+J15</f>
        <v>0</v>
      </c>
      <c r="L15" s="377"/>
      <c r="M15" s="126"/>
      <c r="N15" s="391"/>
      <c r="O15" s="377"/>
      <c r="P15" s="126"/>
      <c r="Q15" s="384"/>
      <c r="R15" s="384"/>
      <c r="S15" s="386"/>
      <c r="T15" s="40"/>
    </row>
    <row r="16" spans="1:21" ht="19.95" customHeight="1">
      <c r="A16" s="94">
        <v>3</v>
      </c>
      <c r="B16" s="90"/>
      <c r="C16" s="376"/>
      <c r="D16" s="126"/>
      <c r="E16" s="377"/>
      <c r="F16" s="363"/>
      <c r="G16" s="375"/>
      <c r="H16" s="126"/>
      <c r="I16" s="384"/>
      <c r="J16" s="384"/>
      <c r="K16" s="107">
        <f t="shared" si="0"/>
        <v>0</v>
      </c>
      <c r="L16" s="377"/>
      <c r="M16" s="126"/>
      <c r="N16" s="391"/>
      <c r="O16" s="377"/>
      <c r="P16" s="126"/>
      <c r="Q16" s="384"/>
      <c r="R16" s="384"/>
      <c r="S16" s="386"/>
      <c r="T16" s="40"/>
    </row>
    <row r="17" spans="1:20" ht="19.95" customHeight="1">
      <c r="A17" s="94">
        <v>4</v>
      </c>
      <c r="B17" s="90"/>
      <c r="C17" s="376"/>
      <c r="D17" s="126"/>
      <c r="E17" s="377"/>
      <c r="F17" s="363"/>
      <c r="G17" s="375"/>
      <c r="H17" s="126"/>
      <c r="I17" s="384"/>
      <c r="J17" s="384"/>
      <c r="K17" s="107">
        <f t="shared" si="0"/>
        <v>0</v>
      </c>
      <c r="L17" s="377"/>
      <c r="M17" s="126"/>
      <c r="N17" s="391"/>
      <c r="O17" s="377"/>
      <c r="P17" s="126"/>
      <c r="Q17" s="384"/>
      <c r="R17" s="384"/>
      <c r="S17" s="386"/>
      <c r="T17" s="40"/>
    </row>
    <row r="18" spans="1:20" ht="19.95" customHeight="1">
      <c r="A18" s="94">
        <v>5</v>
      </c>
      <c r="B18" s="90"/>
      <c r="C18" s="376"/>
      <c r="D18" s="126"/>
      <c r="E18" s="377"/>
      <c r="F18" s="363"/>
      <c r="G18" s="375"/>
      <c r="H18" s="126"/>
      <c r="I18" s="384"/>
      <c r="J18" s="384"/>
      <c r="K18" s="107">
        <f t="shared" si="0"/>
        <v>0</v>
      </c>
      <c r="L18" s="377"/>
      <c r="M18" s="126"/>
      <c r="N18" s="391"/>
      <c r="O18" s="377"/>
      <c r="P18" s="126"/>
      <c r="Q18" s="384"/>
      <c r="R18" s="384"/>
      <c r="S18" s="386"/>
      <c r="T18" s="40"/>
    </row>
    <row r="19" spans="1:20" ht="19.95" customHeight="1">
      <c r="A19" s="94">
        <v>6</v>
      </c>
      <c r="B19" s="90"/>
      <c r="C19" s="376"/>
      <c r="D19" s="126"/>
      <c r="E19" s="377"/>
      <c r="F19" s="363"/>
      <c r="G19" s="375"/>
      <c r="H19" s="126"/>
      <c r="I19" s="384"/>
      <c r="J19" s="384"/>
      <c r="K19" s="107">
        <f t="shared" si="0"/>
        <v>0</v>
      </c>
      <c r="L19" s="377"/>
      <c r="M19" s="126"/>
      <c r="N19" s="391"/>
      <c r="O19" s="377"/>
      <c r="P19" s="126"/>
      <c r="Q19" s="384"/>
      <c r="R19" s="384"/>
      <c r="S19" s="386"/>
      <c r="T19" s="40"/>
    </row>
    <row r="20" spans="1:20" ht="19.95" customHeight="1">
      <c r="A20" s="94">
        <v>7</v>
      </c>
      <c r="B20" s="90"/>
      <c r="C20" s="376"/>
      <c r="D20" s="126"/>
      <c r="E20" s="377"/>
      <c r="F20" s="363"/>
      <c r="G20" s="375"/>
      <c r="H20" s="126"/>
      <c r="I20" s="384"/>
      <c r="J20" s="384"/>
      <c r="K20" s="107">
        <f t="shared" si="0"/>
        <v>0</v>
      </c>
      <c r="L20" s="377"/>
      <c r="M20" s="126"/>
      <c r="N20" s="391"/>
      <c r="O20" s="377"/>
      <c r="P20" s="126"/>
      <c r="Q20" s="384"/>
      <c r="R20" s="384"/>
      <c r="S20" s="386"/>
      <c r="T20" s="40"/>
    </row>
    <row r="21" spans="1:20" ht="19.95" customHeight="1">
      <c r="A21" s="94">
        <v>8</v>
      </c>
      <c r="B21" s="90"/>
      <c r="C21" s="376"/>
      <c r="D21" s="126"/>
      <c r="E21" s="377"/>
      <c r="F21" s="363"/>
      <c r="G21" s="375"/>
      <c r="H21" s="126"/>
      <c r="I21" s="384"/>
      <c r="J21" s="384"/>
      <c r="K21" s="107">
        <f t="shared" si="0"/>
        <v>0</v>
      </c>
      <c r="L21" s="377"/>
      <c r="M21" s="126"/>
      <c r="N21" s="391"/>
      <c r="O21" s="377"/>
      <c r="P21" s="126"/>
      <c r="Q21" s="384"/>
      <c r="R21" s="384"/>
      <c r="S21" s="386"/>
      <c r="T21" s="40"/>
    </row>
    <row r="22" spans="1:20" ht="19.95" customHeight="1">
      <c r="A22" s="94">
        <v>9</v>
      </c>
      <c r="B22" s="90"/>
      <c r="C22" s="376"/>
      <c r="D22" s="126"/>
      <c r="E22" s="377"/>
      <c r="F22" s="363"/>
      <c r="G22" s="375"/>
      <c r="H22" s="126"/>
      <c r="I22" s="384"/>
      <c r="J22" s="384"/>
      <c r="K22" s="107">
        <f t="shared" si="0"/>
        <v>0</v>
      </c>
      <c r="L22" s="377"/>
      <c r="M22" s="126"/>
      <c r="N22" s="391"/>
      <c r="O22" s="377"/>
      <c r="P22" s="126"/>
      <c r="Q22" s="384"/>
      <c r="R22" s="384"/>
      <c r="S22" s="386"/>
      <c r="T22" s="40"/>
    </row>
    <row r="23" spans="1:20" ht="19.95" customHeight="1">
      <c r="A23" s="94">
        <v>10</v>
      </c>
      <c r="B23" s="90"/>
      <c r="C23" s="376"/>
      <c r="D23" s="126"/>
      <c r="E23" s="377"/>
      <c r="F23" s="363"/>
      <c r="G23" s="375"/>
      <c r="H23" s="126"/>
      <c r="I23" s="384"/>
      <c r="J23" s="384"/>
      <c r="K23" s="107">
        <f t="shared" si="0"/>
        <v>0</v>
      </c>
      <c r="L23" s="377"/>
      <c r="M23" s="126"/>
      <c r="N23" s="391"/>
      <c r="O23" s="377"/>
      <c r="P23" s="126"/>
      <c r="Q23" s="384"/>
      <c r="R23" s="384"/>
      <c r="S23" s="386"/>
      <c r="T23" s="40"/>
    </row>
    <row r="24" spans="1:20" ht="19.95" customHeight="1">
      <c r="A24" s="690" t="s">
        <v>567</v>
      </c>
      <c r="B24" s="691"/>
      <c r="C24" s="691"/>
      <c r="D24" s="691"/>
      <c r="E24" s="691"/>
      <c r="F24" s="691"/>
      <c r="G24" s="692"/>
      <c r="H24" s="387"/>
      <c r="I24" s="388">
        <f>SUM(I14:I23)</f>
        <v>0</v>
      </c>
      <c r="J24" s="388">
        <f t="shared" ref="J24" si="1">SUM(J14:J23)</f>
        <v>0</v>
      </c>
      <c r="K24" s="388">
        <f>SUM(K14:K23)</f>
        <v>0</v>
      </c>
      <c r="L24" s="389"/>
      <c r="M24" s="389"/>
      <c r="N24" s="389"/>
      <c r="O24" s="392"/>
      <c r="P24" s="392"/>
      <c r="Q24" s="392"/>
      <c r="R24" s="392"/>
      <c r="S24" s="392"/>
      <c r="T24" s="393"/>
    </row>
    <row r="25" spans="1:20" ht="19.95" customHeight="1">
      <c r="A25" s="690" t="s">
        <v>592</v>
      </c>
      <c r="B25" s="691"/>
      <c r="C25" s="691"/>
      <c r="D25" s="691"/>
      <c r="E25" s="691"/>
      <c r="F25" s="691"/>
      <c r="G25" s="692"/>
      <c r="H25" s="387"/>
      <c r="I25" s="388"/>
      <c r="J25" s="388"/>
      <c r="K25" s="388">
        <f>'明细表（公允价值模式）H7-2'!N37+IF('明细表（公允价值模式）H7-2'!R37&gt;0,'明细表（公允价值模式）H7-2'!R37,0)</f>
        <v>0</v>
      </c>
      <c r="L25" s="389"/>
      <c r="M25" s="389"/>
      <c r="N25" s="389"/>
      <c r="O25" s="389"/>
      <c r="P25" s="389"/>
      <c r="Q25" s="389"/>
      <c r="R25" s="389"/>
      <c r="S25" s="389"/>
      <c r="T25" s="390"/>
    </row>
    <row r="26" spans="1:20" ht="19.95" customHeight="1">
      <c r="A26" s="693" t="s">
        <v>1227</v>
      </c>
      <c r="B26" s="691"/>
      <c r="C26" s="691"/>
      <c r="D26" s="691"/>
      <c r="E26" s="691"/>
      <c r="F26" s="691"/>
      <c r="G26" s="692"/>
      <c r="H26" s="387"/>
      <c r="I26" s="388"/>
      <c r="J26" s="388"/>
      <c r="K26" s="383">
        <f>IF(K24=0,0,K24/$K$25)</f>
        <v>0</v>
      </c>
      <c r="L26" s="389"/>
      <c r="M26" s="389"/>
      <c r="N26" s="389"/>
      <c r="O26" s="389"/>
      <c r="P26" s="389"/>
      <c r="Q26" s="389"/>
      <c r="R26" s="389"/>
      <c r="S26" s="389"/>
      <c r="T26" s="390"/>
    </row>
    <row r="27" spans="1:20" ht="19.95" customHeight="1">
      <c r="A27" s="300" t="s">
        <v>569</v>
      </c>
      <c r="B27" s="127"/>
      <c r="C27" s="127"/>
      <c r="D27" s="127"/>
      <c r="E27" s="127"/>
      <c r="F27" s="127"/>
      <c r="G27" s="127"/>
      <c r="H27" s="127"/>
      <c r="I27" s="127"/>
      <c r="J27" s="127"/>
      <c r="K27" s="127"/>
      <c r="L27" s="305"/>
      <c r="M27" s="128"/>
      <c r="N27" s="128"/>
      <c r="O27" s="128"/>
      <c r="P27" s="128"/>
      <c r="Q27" s="128"/>
      <c r="R27" s="128"/>
      <c r="S27" s="128"/>
      <c r="T27" s="129"/>
    </row>
    <row r="28" spans="1:20" ht="19.95" customHeight="1">
      <c r="A28" s="610" t="s">
        <v>1228</v>
      </c>
      <c r="B28" s="53"/>
      <c r="C28" s="53"/>
      <c r="D28" s="53"/>
      <c r="E28" s="53"/>
      <c r="F28" s="53"/>
      <c r="G28" s="53"/>
      <c r="H28" s="53"/>
      <c r="I28" s="53"/>
      <c r="J28" s="53"/>
      <c r="K28" s="53"/>
      <c r="L28" s="440"/>
      <c r="M28" s="130"/>
      <c r="N28" s="130"/>
      <c r="O28" s="130"/>
      <c r="P28" s="130"/>
      <c r="Q28" s="130"/>
      <c r="R28" s="130"/>
      <c r="S28" s="130"/>
      <c r="T28" s="125"/>
    </row>
    <row r="29" spans="1:20" ht="19.95" customHeight="1">
      <c r="A29" s="610" t="s">
        <v>1229</v>
      </c>
      <c r="B29" s="131"/>
      <c r="C29" s="131"/>
      <c r="D29" s="131"/>
      <c r="E29" s="131"/>
      <c r="F29" s="131"/>
      <c r="G29" s="131"/>
      <c r="H29" s="131"/>
      <c r="I29" s="131"/>
      <c r="J29" s="131"/>
      <c r="K29" s="131"/>
      <c r="L29" s="440"/>
      <c r="M29" s="131"/>
      <c r="N29" s="132"/>
      <c r="O29" s="132"/>
      <c r="P29" s="132"/>
      <c r="Q29" s="132"/>
      <c r="R29" s="132"/>
      <c r="S29" s="132"/>
      <c r="T29" s="132"/>
    </row>
    <row r="30" spans="1:20" ht="19.95" customHeight="1">
      <c r="A30" s="53"/>
      <c r="B30" s="53"/>
      <c r="C30" s="53"/>
      <c r="D30" s="53"/>
      <c r="E30" s="53"/>
      <c r="F30" s="53"/>
      <c r="G30" s="53"/>
      <c r="H30" s="53"/>
      <c r="I30" s="53"/>
      <c r="J30" s="53"/>
      <c r="K30" s="53"/>
      <c r="L30" s="440"/>
      <c r="M30" s="125"/>
      <c r="N30" s="125"/>
      <c r="O30" s="125"/>
      <c r="P30" s="125"/>
      <c r="Q30" s="125"/>
      <c r="R30" s="125"/>
      <c r="S30" s="125"/>
      <c r="T30" s="125"/>
    </row>
    <row r="31" spans="1:20" ht="19.95" customHeight="1">
      <c r="A31" s="53"/>
      <c r="B31" s="53"/>
      <c r="C31" s="53"/>
      <c r="D31" s="53"/>
      <c r="E31" s="53"/>
      <c r="F31" s="53"/>
      <c r="G31" s="53"/>
      <c r="H31" s="53"/>
      <c r="I31" s="53"/>
      <c r="J31" s="53"/>
      <c r="K31" s="53"/>
      <c r="L31" s="440"/>
      <c r="M31" s="125"/>
      <c r="N31" s="125"/>
      <c r="O31" s="125"/>
      <c r="P31" s="125"/>
      <c r="Q31" s="125"/>
      <c r="R31" s="125"/>
      <c r="S31" s="125"/>
      <c r="T31" s="125"/>
    </row>
    <row r="32" spans="1:20" ht="19.95" customHeight="1">
      <c r="A32" s="131" t="s">
        <v>593</v>
      </c>
      <c r="B32" s="53"/>
      <c r="C32" s="53"/>
      <c r="D32" s="53"/>
      <c r="E32" s="53"/>
      <c r="F32" s="53"/>
      <c r="G32" s="53"/>
      <c r="H32" s="53"/>
      <c r="I32" s="53"/>
      <c r="J32" s="53"/>
      <c r="K32" s="53"/>
      <c r="L32" s="440"/>
      <c r="M32" s="125"/>
      <c r="N32" s="125"/>
      <c r="O32" s="125"/>
      <c r="P32" s="125"/>
      <c r="Q32" s="125"/>
      <c r="R32" s="125"/>
      <c r="S32" s="125"/>
      <c r="T32" s="125"/>
    </row>
    <row r="33" spans="1:20" ht="19.95" customHeight="1">
      <c r="A33" s="131"/>
      <c r="B33" s="53"/>
      <c r="C33" s="53"/>
      <c r="D33" s="53"/>
      <c r="E33" s="53"/>
      <c r="F33" s="53"/>
      <c r="G33" s="53"/>
      <c r="H33" s="53"/>
      <c r="I33" s="53"/>
      <c r="J33" s="53"/>
      <c r="K33" s="53"/>
      <c r="L33" s="125"/>
      <c r="M33" s="125"/>
      <c r="N33" s="125"/>
      <c r="O33" s="125"/>
      <c r="P33" s="125"/>
      <c r="Q33" s="125"/>
      <c r="R33" s="125"/>
      <c r="S33" s="125"/>
      <c r="T33" s="125"/>
    </row>
    <row r="34" spans="1:20" ht="19.95" customHeight="1">
      <c r="A34" s="130"/>
      <c r="B34" s="125"/>
      <c r="C34" s="125"/>
      <c r="D34" s="125"/>
      <c r="E34" s="125"/>
      <c r="F34" s="125"/>
      <c r="G34" s="125"/>
      <c r="H34" s="125"/>
      <c r="I34" s="125"/>
      <c r="J34" s="125"/>
      <c r="K34" s="125"/>
      <c r="L34" s="125"/>
      <c r="M34" s="125"/>
      <c r="N34" s="125"/>
      <c r="O34" s="125"/>
      <c r="P34" s="125"/>
      <c r="Q34" s="125"/>
      <c r="R34" s="125"/>
      <c r="S34" s="125"/>
      <c r="T34" s="125"/>
    </row>
    <row r="35" spans="1:20" ht="19.95" customHeight="1">
      <c r="A35" s="457" t="s">
        <v>1043</v>
      </c>
      <c r="B35" s="125"/>
      <c r="C35" s="125"/>
      <c r="D35" s="125"/>
      <c r="E35" s="125"/>
      <c r="F35" s="125"/>
      <c r="G35" s="125"/>
      <c r="H35" s="125"/>
      <c r="I35" s="125"/>
      <c r="J35" s="125"/>
      <c r="K35" s="125"/>
      <c r="L35" s="125"/>
      <c r="M35" s="125"/>
      <c r="N35" s="125"/>
      <c r="O35" s="125"/>
      <c r="P35" s="125"/>
      <c r="Q35" s="125"/>
      <c r="R35" s="125"/>
      <c r="S35" s="125"/>
      <c r="T35" s="125"/>
    </row>
    <row r="36" spans="1:20" ht="19.95" customHeight="1">
      <c r="A36" s="133" t="s">
        <v>594</v>
      </c>
      <c r="B36" s="125"/>
      <c r="C36" s="125"/>
      <c r="D36" s="125"/>
      <c r="E36" s="125"/>
      <c r="F36" s="125"/>
      <c r="G36" s="125"/>
      <c r="H36" s="125"/>
      <c r="I36" s="125"/>
      <c r="J36" s="125"/>
      <c r="K36" s="125"/>
      <c r="L36" s="125"/>
      <c r="M36" s="125"/>
      <c r="N36" s="125"/>
      <c r="O36" s="125"/>
      <c r="P36" s="125"/>
      <c r="Q36" s="125"/>
      <c r="R36" s="125"/>
      <c r="S36" s="125"/>
      <c r="T36" s="125"/>
    </row>
    <row r="37" spans="1:20" ht="19.95" customHeight="1">
      <c r="A37" s="133" t="s">
        <v>152</v>
      </c>
      <c r="B37" s="125"/>
      <c r="C37" s="125"/>
      <c r="D37" s="125"/>
      <c r="E37" s="125"/>
      <c r="F37" s="125"/>
      <c r="G37" s="125"/>
      <c r="H37" s="125"/>
      <c r="I37" s="125"/>
      <c r="J37" s="125"/>
      <c r="K37" s="125"/>
      <c r="L37" s="125"/>
      <c r="M37" s="125"/>
      <c r="N37" s="125"/>
      <c r="O37" s="125"/>
      <c r="P37" s="125"/>
      <c r="Q37" s="125"/>
      <c r="R37" s="125"/>
      <c r="S37" s="125"/>
      <c r="T37" s="125"/>
    </row>
    <row r="38" spans="1:20" ht="19.95" customHeight="1">
      <c r="A38" s="134" t="s">
        <v>576</v>
      </c>
      <c r="B38" s="125"/>
      <c r="C38" s="125"/>
      <c r="D38" s="125"/>
      <c r="E38" s="125"/>
      <c r="F38" s="125"/>
      <c r="G38" s="125"/>
      <c r="H38" s="125"/>
      <c r="I38" s="125"/>
      <c r="J38" s="125"/>
      <c r="K38" s="125"/>
      <c r="L38" s="125"/>
      <c r="M38" s="125"/>
      <c r="N38" s="125"/>
      <c r="O38" s="125"/>
      <c r="P38" s="125"/>
      <c r="Q38" s="125"/>
      <c r="R38" s="125"/>
      <c r="S38" s="125"/>
      <c r="T38" s="125"/>
    </row>
    <row r="39" spans="1:20" ht="19.95" customHeight="1">
      <c r="A39" s="130"/>
      <c r="B39" s="125"/>
      <c r="C39" s="125"/>
      <c r="D39" s="125"/>
      <c r="E39" s="125"/>
      <c r="F39" s="125"/>
      <c r="G39" s="125"/>
      <c r="H39" s="125"/>
      <c r="I39" s="125"/>
      <c r="J39" s="125"/>
      <c r="K39" s="125"/>
      <c r="L39" s="125"/>
      <c r="M39" s="125"/>
      <c r="N39" s="125"/>
      <c r="O39" s="125"/>
      <c r="P39" s="125"/>
      <c r="Q39" s="125"/>
      <c r="R39" s="125"/>
      <c r="S39" s="125"/>
      <c r="T39" s="125"/>
    </row>
    <row r="40" spans="1:20" ht="19.95" customHeight="1">
      <c r="A40" s="307"/>
      <c r="B40" s="53"/>
      <c r="C40" s="53"/>
      <c r="D40" s="53"/>
      <c r="E40" s="53"/>
      <c r="F40" s="53"/>
      <c r="G40" s="53"/>
      <c r="H40" s="53"/>
      <c r="I40" s="53"/>
      <c r="J40" s="53"/>
      <c r="K40" s="53"/>
      <c r="L40" s="53"/>
      <c r="M40" s="53"/>
      <c r="N40" s="53"/>
      <c r="O40" s="53"/>
      <c r="P40" s="53"/>
      <c r="Q40" s="53"/>
      <c r="R40" s="53"/>
      <c r="S40" s="53"/>
      <c r="T40" s="53"/>
    </row>
  </sheetData>
  <mergeCells count="20">
    <mergeCell ref="O12:Q12"/>
    <mergeCell ref="R12:R13"/>
    <mergeCell ref="S12:S13"/>
    <mergeCell ref="I12:K12"/>
    <mergeCell ref="A26:G26"/>
    <mergeCell ref="A24:G24"/>
    <mergeCell ref="A25:G25"/>
    <mergeCell ref="C12:C13"/>
    <mergeCell ref="A1:T1"/>
    <mergeCell ref="A2:T2"/>
    <mergeCell ref="A12:A13"/>
    <mergeCell ref="B12:B13"/>
    <mergeCell ref="D12:D13"/>
    <mergeCell ref="E12:E13"/>
    <mergeCell ref="F12:F13"/>
    <mergeCell ref="G12:G13"/>
    <mergeCell ref="H12:H13"/>
    <mergeCell ref="T12:T13"/>
    <mergeCell ref="A5:T5"/>
    <mergeCell ref="L12:N12"/>
  </mergeCells>
  <phoneticPr fontId="10" type="noConversion"/>
  <dataValidations count="2">
    <dataValidation type="list" allowBlank="1" showInputMessage="1" showErrorMessage="1" sqref="L24:S26">
      <formula1>"√,×"</formula1>
    </dataValidation>
    <dataValidation type="list" allowBlank="1" showInputMessage="1" showErrorMessage="1" prompt="如要修改下列框的选项，单击“数据-数据有效性-设置-序列-来源”。" sqref="F14:F23">
      <formula1>"购置,在建工程转入,企业合并增加,其他增加"</formula1>
    </dataValidation>
  </dataValidations>
  <hyperlinks>
    <hyperlink ref="T3" location="底稿目录!A1" display="H7A"/>
  </hyperlinks>
  <printOptions horizontalCentered="1"/>
  <pageMargins left="0.70866141732283472" right="0.70866141732283472" top="0.74803149606299213" bottom="0.74803149606299213" header="0.31496062992125984" footer="0.31496062992125984"/>
  <pageSetup paperSize="9" scale="72"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B14:B23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X42"/>
  <sheetViews>
    <sheetView view="pageBreakPreview" zoomScaleSheetLayoutView="100" workbookViewId="0">
      <selection sqref="A1:W1"/>
    </sheetView>
  </sheetViews>
  <sheetFormatPr defaultColWidth="9" defaultRowHeight="19.95" customHeight="1"/>
  <cols>
    <col min="1" max="1" width="8.19921875" style="3" customWidth="1"/>
    <col min="2" max="4" width="12.3984375" style="3" customWidth="1"/>
    <col min="5" max="8" width="8.09765625" style="3" customWidth="1"/>
    <col min="9" max="11" width="8.69921875" style="3" customWidth="1"/>
    <col min="12" max="12" width="8.8984375" style="3" customWidth="1"/>
    <col min="13" max="13" width="10.8984375" style="3" customWidth="1"/>
    <col min="14" max="14" width="8.59765625" style="3" customWidth="1"/>
    <col min="15" max="15" width="10.8984375" style="3" customWidth="1"/>
    <col min="16" max="16" width="6.8984375" style="55" customWidth="1"/>
    <col min="17" max="17" width="7.5" style="55" customWidth="1"/>
    <col min="18" max="18" width="6.796875" style="55" customWidth="1"/>
    <col min="19" max="19" width="11.19921875" style="55" customWidth="1"/>
    <col min="20" max="20" width="7.19921875" style="55" customWidth="1"/>
    <col min="21" max="21" width="8.69921875" style="55" customWidth="1"/>
    <col min="22" max="22" width="8.69921875" style="3" customWidth="1"/>
    <col min="23" max="23" width="7.296875" style="3" customWidth="1"/>
    <col min="24" max="16384" width="9" style="3"/>
  </cols>
  <sheetData>
    <row r="1" spans="1:24" s="351" customFormat="1" ht="19.95" customHeight="1">
      <c r="A1" s="686" t="s">
        <v>982</v>
      </c>
      <c r="B1" s="686"/>
      <c r="C1" s="686"/>
      <c r="D1" s="686"/>
      <c r="E1" s="686"/>
      <c r="F1" s="686"/>
      <c r="G1" s="686"/>
      <c r="H1" s="686"/>
      <c r="I1" s="686"/>
      <c r="J1" s="686"/>
      <c r="K1" s="686"/>
      <c r="L1" s="686"/>
      <c r="M1" s="686"/>
      <c r="N1" s="686"/>
      <c r="O1" s="686"/>
      <c r="P1" s="686"/>
      <c r="Q1" s="686"/>
      <c r="R1" s="686"/>
      <c r="S1" s="686"/>
      <c r="T1" s="686"/>
      <c r="U1" s="686"/>
      <c r="V1" s="686"/>
      <c r="W1" s="686"/>
    </row>
    <row r="2" spans="1:24" s="556" customFormat="1" ht="19.95" customHeight="1">
      <c r="A2" s="713" t="s">
        <v>990</v>
      </c>
      <c r="B2" s="713"/>
      <c r="C2" s="713"/>
      <c r="D2" s="713"/>
      <c r="E2" s="713"/>
      <c r="F2" s="713"/>
      <c r="G2" s="713"/>
      <c r="H2" s="713"/>
      <c r="I2" s="713"/>
      <c r="J2" s="713"/>
      <c r="K2" s="713"/>
      <c r="L2" s="713"/>
      <c r="M2" s="713"/>
      <c r="N2" s="713"/>
      <c r="O2" s="713"/>
      <c r="P2" s="713"/>
      <c r="Q2" s="713"/>
      <c r="R2" s="713"/>
      <c r="S2" s="713"/>
      <c r="T2" s="713"/>
      <c r="U2" s="713"/>
      <c r="V2" s="713"/>
      <c r="W2" s="713"/>
    </row>
    <row r="3" spans="1:24" s="182" customFormat="1" ht="19.95" customHeight="1">
      <c r="A3" s="182" t="str">
        <f>底稿目录!A2</f>
        <v>被审计单位：</v>
      </c>
      <c r="B3" s="258"/>
      <c r="F3" s="182" t="str">
        <f>底稿目录!A4</f>
        <v>编制人：</v>
      </c>
      <c r="K3" s="518"/>
      <c r="L3" s="518"/>
      <c r="M3" s="557"/>
      <c r="O3" s="182" t="str">
        <f>底稿目录!A6</f>
        <v>编制日期：</v>
      </c>
      <c r="P3" s="558"/>
      <c r="Q3" s="538"/>
      <c r="R3" s="538"/>
      <c r="S3" s="538"/>
      <c r="T3" s="538"/>
      <c r="U3" s="538"/>
      <c r="V3" s="539" t="s">
        <v>1011</v>
      </c>
      <c r="W3" s="313" t="s">
        <v>259</v>
      </c>
    </row>
    <row r="4" spans="1:24" s="182" customFormat="1" ht="19.95" customHeight="1">
      <c r="A4" s="182" t="str">
        <f>底稿目录!A3</f>
        <v>截止日：</v>
      </c>
      <c r="B4" s="258"/>
      <c r="F4" s="182" t="str">
        <f>底稿目录!A5</f>
        <v>复核人：</v>
      </c>
      <c r="K4" s="518"/>
      <c r="L4" s="518"/>
      <c r="M4" s="557"/>
      <c r="O4" s="182" t="str">
        <f>底稿目录!A7</f>
        <v>复核日期：</v>
      </c>
      <c r="P4" s="558"/>
      <c r="Q4" s="538"/>
      <c r="R4" s="538"/>
      <c r="S4" s="538"/>
      <c r="T4" s="538"/>
      <c r="U4" s="538"/>
      <c r="V4" s="539" t="s">
        <v>1012</v>
      </c>
      <c r="W4" s="314"/>
    </row>
    <row r="5" spans="1:24" s="532" customFormat="1" ht="30.6" customHeight="1">
      <c r="A5" s="685" t="s">
        <v>1093</v>
      </c>
      <c r="B5" s="685"/>
      <c r="C5" s="685"/>
      <c r="D5" s="685"/>
      <c r="E5" s="685"/>
      <c r="F5" s="685"/>
      <c r="G5" s="685"/>
      <c r="H5" s="685"/>
      <c r="I5" s="685"/>
      <c r="J5" s="685"/>
      <c r="K5" s="685"/>
      <c r="L5" s="685"/>
      <c r="M5" s="685"/>
      <c r="N5" s="685"/>
      <c r="O5" s="685"/>
      <c r="P5" s="685"/>
      <c r="Q5" s="685"/>
      <c r="R5" s="685"/>
      <c r="S5" s="685"/>
      <c r="T5" s="685"/>
      <c r="U5" s="685"/>
      <c r="V5" s="685"/>
      <c r="W5" s="685"/>
    </row>
    <row r="6" spans="1:24" s="532" customFormat="1" ht="19.95" customHeight="1">
      <c r="A6" s="540" t="s">
        <v>595</v>
      </c>
      <c r="B6" s="540"/>
      <c r="C6" s="541"/>
      <c r="D6" s="541"/>
      <c r="E6" s="541"/>
      <c r="F6" s="541"/>
      <c r="G6" s="541"/>
      <c r="H6" s="541"/>
      <c r="I6" s="541"/>
      <c r="J6" s="541"/>
      <c r="K6" s="541"/>
      <c r="L6" s="541"/>
      <c r="M6" s="541"/>
      <c r="N6" s="542"/>
      <c r="O6" s="542"/>
      <c r="P6" s="542"/>
      <c r="Q6" s="543"/>
      <c r="R6" s="543"/>
      <c r="S6" s="543"/>
      <c r="T6" s="543"/>
      <c r="U6" s="543"/>
    </row>
    <row r="7" spans="1:24" s="281" customFormat="1" ht="19.95" customHeight="1">
      <c r="A7" s="544" t="s">
        <v>544</v>
      </c>
      <c r="B7" s="545" t="s">
        <v>1094</v>
      </c>
      <c r="C7" s="541"/>
      <c r="D7" s="541"/>
      <c r="E7" s="541"/>
      <c r="F7" s="544"/>
      <c r="G7" s="545"/>
      <c r="H7" s="541"/>
      <c r="I7" s="544" t="s">
        <v>579</v>
      </c>
      <c r="J7" s="545" t="s">
        <v>596</v>
      </c>
      <c r="K7" s="541"/>
      <c r="L7" s="541"/>
      <c r="M7" s="541"/>
    </row>
    <row r="8" spans="1:24" s="281" customFormat="1" ht="19.95" customHeight="1">
      <c r="A8" s="544" t="s">
        <v>597</v>
      </c>
      <c r="B8" s="545" t="s">
        <v>548</v>
      </c>
      <c r="C8" s="541"/>
      <c r="D8" s="541"/>
      <c r="E8" s="541"/>
      <c r="F8" s="544"/>
      <c r="G8" s="545"/>
      <c r="H8" s="541"/>
      <c r="I8" s="544" t="s">
        <v>549</v>
      </c>
      <c r="J8" s="545"/>
      <c r="K8" s="545" t="s">
        <v>550</v>
      </c>
      <c r="L8" s="545" t="s">
        <v>598</v>
      </c>
      <c r="M8" s="541"/>
    </row>
    <row r="9" spans="1:24" s="281" customFormat="1" ht="19.95" customHeight="1">
      <c r="A9" s="544" t="s">
        <v>552</v>
      </c>
      <c r="B9" s="609" t="s">
        <v>1221</v>
      </c>
      <c r="C9" s="541"/>
      <c r="D9" s="541"/>
      <c r="E9" s="541"/>
      <c r="F9" s="544"/>
      <c r="G9" s="545"/>
      <c r="H9" s="541"/>
      <c r="I9" s="544" t="s">
        <v>553</v>
      </c>
      <c r="J9" s="545" t="s">
        <v>599</v>
      </c>
      <c r="K9" s="541"/>
      <c r="L9" s="541"/>
      <c r="M9" s="541"/>
    </row>
    <row r="10" spans="1:24" s="23" customFormat="1" ht="19.95" customHeight="1">
      <c r="A10" s="46" t="s">
        <v>600</v>
      </c>
      <c r="B10" s="21"/>
      <c r="C10" s="21"/>
      <c r="D10" s="21"/>
      <c r="E10" s="21"/>
      <c r="F10" s="21"/>
      <c r="G10" s="21"/>
      <c r="H10" s="21"/>
      <c r="I10" s="22"/>
      <c r="J10" s="22"/>
      <c r="K10" s="22"/>
      <c r="L10" s="22"/>
      <c r="M10" s="22"/>
      <c r="N10" s="22"/>
      <c r="P10" s="60"/>
      <c r="Q10" s="60"/>
      <c r="R10" s="60"/>
      <c r="S10" s="60"/>
      <c r="T10" s="60"/>
      <c r="U10" s="60"/>
    </row>
    <row r="11" spans="1:24" s="23" customFormat="1" ht="19.95" customHeight="1">
      <c r="A11" s="451" t="s">
        <v>1034</v>
      </c>
      <c r="B11" s="21"/>
      <c r="C11" s="21"/>
      <c r="D11" s="21"/>
      <c r="E11" s="21"/>
      <c r="F11" s="21"/>
      <c r="G11" s="21"/>
      <c r="H11" s="21"/>
      <c r="I11" s="22"/>
      <c r="J11" s="22"/>
      <c r="K11" s="22"/>
      <c r="L11" s="22"/>
      <c r="M11" s="22"/>
      <c r="N11" s="22"/>
      <c r="P11" s="60"/>
      <c r="Q11" s="60"/>
      <c r="R11" s="60"/>
      <c r="S11" s="60"/>
      <c r="T11" s="60"/>
      <c r="U11" s="60"/>
    </row>
    <row r="12" spans="1:24" s="559" customFormat="1" ht="19.95" customHeight="1">
      <c r="A12" s="716" t="s">
        <v>1096</v>
      </c>
      <c r="B12" s="710" t="s">
        <v>1097</v>
      </c>
      <c r="C12" s="710" t="s">
        <v>1110</v>
      </c>
      <c r="D12" s="710" t="s">
        <v>1098</v>
      </c>
      <c r="E12" s="710" t="s">
        <v>1099</v>
      </c>
      <c r="F12" s="710" t="s">
        <v>1116</v>
      </c>
      <c r="G12" s="710" t="s">
        <v>1100</v>
      </c>
      <c r="H12" s="710" t="s">
        <v>1111</v>
      </c>
      <c r="I12" s="714" t="s">
        <v>1101</v>
      </c>
      <c r="J12" s="715"/>
      <c r="K12" s="715"/>
      <c r="L12" s="715"/>
      <c r="M12" s="715"/>
      <c r="N12" s="715"/>
      <c r="O12" s="715"/>
      <c r="P12" s="709" t="s">
        <v>1102</v>
      </c>
      <c r="Q12" s="709"/>
      <c r="R12" s="706" t="s">
        <v>1103</v>
      </c>
      <c r="S12" s="706"/>
      <c r="T12" s="706"/>
      <c r="U12" s="706" t="s">
        <v>235</v>
      </c>
      <c r="V12" s="706" t="s">
        <v>1104</v>
      </c>
      <c r="W12" s="706" t="s">
        <v>1112</v>
      </c>
    </row>
    <row r="13" spans="1:24" s="559" customFormat="1" ht="19.95" customHeight="1">
      <c r="A13" s="716"/>
      <c r="B13" s="711"/>
      <c r="C13" s="711"/>
      <c r="D13" s="711"/>
      <c r="E13" s="711"/>
      <c r="F13" s="711"/>
      <c r="G13" s="711"/>
      <c r="H13" s="711"/>
      <c r="I13" s="714" t="s">
        <v>1113</v>
      </c>
      <c r="J13" s="715"/>
      <c r="K13" s="715"/>
      <c r="L13" s="715"/>
      <c r="M13" s="715" t="s">
        <v>1105</v>
      </c>
      <c r="N13" s="715"/>
      <c r="O13" s="717" t="s">
        <v>1114</v>
      </c>
      <c r="P13" s="709" t="s">
        <v>1106</v>
      </c>
      <c r="Q13" s="707" t="s">
        <v>1095</v>
      </c>
      <c r="R13" s="709" t="s">
        <v>1106</v>
      </c>
      <c r="S13" s="709" t="s">
        <v>1036</v>
      </c>
      <c r="T13" s="709" t="s">
        <v>1107</v>
      </c>
      <c r="U13" s="706"/>
      <c r="V13" s="706"/>
      <c r="W13" s="706"/>
    </row>
    <row r="14" spans="1:24" s="559" customFormat="1" ht="19.95" customHeight="1">
      <c r="A14" s="716"/>
      <c r="B14" s="712"/>
      <c r="C14" s="712"/>
      <c r="D14" s="712"/>
      <c r="E14" s="712"/>
      <c r="F14" s="712"/>
      <c r="G14" s="712"/>
      <c r="H14" s="712"/>
      <c r="I14" s="495" t="s">
        <v>1108</v>
      </c>
      <c r="J14" s="495" t="s">
        <v>1109</v>
      </c>
      <c r="K14" s="495" t="s">
        <v>1117</v>
      </c>
      <c r="L14" s="495" t="s">
        <v>1115</v>
      </c>
      <c r="M14" s="495" t="s">
        <v>1118</v>
      </c>
      <c r="N14" s="496" t="s">
        <v>1119</v>
      </c>
      <c r="O14" s="718"/>
      <c r="P14" s="709"/>
      <c r="Q14" s="708"/>
      <c r="R14" s="709">
        <v>3</v>
      </c>
      <c r="S14" s="709">
        <v>4</v>
      </c>
      <c r="T14" s="709">
        <v>5</v>
      </c>
      <c r="U14" s="706"/>
      <c r="V14" s="706"/>
      <c r="W14" s="706"/>
      <c r="X14" s="560" t="s">
        <v>1120</v>
      </c>
    </row>
    <row r="15" spans="1:24" ht="19.95" customHeight="1">
      <c r="A15" s="94">
        <v>1</v>
      </c>
      <c r="B15" s="90"/>
      <c r="C15" s="376"/>
      <c r="D15" s="126"/>
      <c r="E15" s="363"/>
      <c r="F15" s="377"/>
      <c r="G15" s="375"/>
      <c r="H15" s="126"/>
      <c r="I15" s="384"/>
      <c r="J15" s="384"/>
      <c r="K15" s="384"/>
      <c r="L15" s="108">
        <f>I15-J15-K15</f>
        <v>0</v>
      </c>
      <c r="M15" s="384"/>
      <c r="N15" s="384"/>
      <c r="O15" s="224">
        <f>N15-M15-L15</f>
        <v>0</v>
      </c>
      <c r="P15" s="377"/>
      <c r="Q15" s="13"/>
      <c r="R15" s="377"/>
      <c r="S15" s="126"/>
      <c r="T15" s="384"/>
      <c r="U15" s="384"/>
      <c r="V15" s="375"/>
      <c r="W15" s="40"/>
    </row>
    <row r="16" spans="1:24" ht="19.95" customHeight="1">
      <c r="A16" s="94">
        <v>2</v>
      </c>
      <c r="B16" s="90"/>
      <c r="C16" s="376"/>
      <c r="D16" s="126"/>
      <c r="E16" s="363"/>
      <c r="F16" s="377"/>
      <c r="G16" s="375"/>
      <c r="H16" s="126"/>
      <c r="I16" s="384"/>
      <c r="J16" s="384"/>
      <c r="K16" s="384"/>
      <c r="L16" s="108">
        <f t="shared" ref="L16:L24" si="0">I16-J16-K16</f>
        <v>0</v>
      </c>
      <c r="M16" s="384"/>
      <c r="N16" s="384"/>
      <c r="O16" s="224">
        <f t="shared" ref="O16:O24" si="1">N16-M16-L16</f>
        <v>0</v>
      </c>
      <c r="P16" s="377"/>
      <c r="Q16" s="13"/>
      <c r="R16" s="377"/>
      <c r="S16" s="126"/>
      <c r="T16" s="384"/>
      <c r="U16" s="384"/>
      <c r="V16" s="375"/>
      <c r="W16" s="40"/>
    </row>
    <row r="17" spans="1:23" ht="19.95" customHeight="1">
      <c r="A17" s="94">
        <v>3</v>
      </c>
      <c r="B17" s="90"/>
      <c r="C17" s="376"/>
      <c r="D17" s="126"/>
      <c r="E17" s="363"/>
      <c r="F17" s="377"/>
      <c r="G17" s="375"/>
      <c r="H17" s="126"/>
      <c r="I17" s="384"/>
      <c r="J17" s="384"/>
      <c r="K17" s="384"/>
      <c r="L17" s="108">
        <f t="shared" si="0"/>
        <v>0</v>
      </c>
      <c r="M17" s="384"/>
      <c r="N17" s="384"/>
      <c r="O17" s="224">
        <f t="shared" si="1"/>
        <v>0</v>
      </c>
      <c r="P17" s="377"/>
      <c r="Q17" s="13"/>
      <c r="R17" s="377"/>
      <c r="S17" s="126"/>
      <c r="T17" s="384"/>
      <c r="U17" s="384"/>
      <c r="V17" s="375"/>
      <c r="W17" s="40"/>
    </row>
    <row r="18" spans="1:23" ht="19.95" customHeight="1">
      <c r="A18" s="94">
        <v>4</v>
      </c>
      <c r="B18" s="90"/>
      <c r="C18" s="376"/>
      <c r="D18" s="126"/>
      <c r="E18" s="363"/>
      <c r="F18" s="377"/>
      <c r="G18" s="375"/>
      <c r="H18" s="126"/>
      <c r="I18" s="384"/>
      <c r="J18" s="384"/>
      <c r="K18" s="384"/>
      <c r="L18" s="108">
        <f t="shared" si="0"/>
        <v>0</v>
      </c>
      <c r="M18" s="384"/>
      <c r="N18" s="384"/>
      <c r="O18" s="224">
        <f t="shared" si="1"/>
        <v>0</v>
      </c>
      <c r="P18" s="377"/>
      <c r="Q18" s="13"/>
      <c r="R18" s="377"/>
      <c r="S18" s="126"/>
      <c r="T18" s="384"/>
      <c r="U18" s="384"/>
      <c r="V18" s="375"/>
      <c r="W18" s="40"/>
    </row>
    <row r="19" spans="1:23" ht="19.95" customHeight="1">
      <c r="A19" s="94">
        <v>5</v>
      </c>
      <c r="B19" s="90"/>
      <c r="C19" s="376"/>
      <c r="D19" s="126"/>
      <c r="E19" s="363"/>
      <c r="F19" s="377"/>
      <c r="G19" s="375"/>
      <c r="H19" s="126"/>
      <c r="I19" s="384"/>
      <c r="J19" s="384"/>
      <c r="K19" s="384"/>
      <c r="L19" s="108">
        <f t="shared" si="0"/>
        <v>0</v>
      </c>
      <c r="M19" s="384"/>
      <c r="N19" s="384"/>
      <c r="O19" s="224">
        <f t="shared" si="1"/>
        <v>0</v>
      </c>
      <c r="P19" s="377"/>
      <c r="Q19" s="13"/>
      <c r="R19" s="377"/>
      <c r="S19" s="126"/>
      <c r="T19" s="384"/>
      <c r="U19" s="384"/>
      <c r="V19" s="375"/>
      <c r="W19" s="40"/>
    </row>
    <row r="20" spans="1:23" ht="19.95" customHeight="1">
      <c r="A20" s="94">
        <v>6</v>
      </c>
      <c r="B20" s="90"/>
      <c r="C20" s="376"/>
      <c r="D20" s="126"/>
      <c r="E20" s="363"/>
      <c r="F20" s="377"/>
      <c r="G20" s="375"/>
      <c r="H20" s="126"/>
      <c r="I20" s="384"/>
      <c r="J20" s="384"/>
      <c r="K20" s="384"/>
      <c r="L20" s="108">
        <f t="shared" si="0"/>
        <v>0</v>
      </c>
      <c r="M20" s="384"/>
      <c r="N20" s="384"/>
      <c r="O20" s="224">
        <f t="shared" si="1"/>
        <v>0</v>
      </c>
      <c r="P20" s="377"/>
      <c r="Q20" s="13"/>
      <c r="R20" s="377"/>
      <c r="S20" s="126"/>
      <c r="T20" s="384"/>
      <c r="U20" s="384"/>
      <c r="V20" s="375"/>
      <c r="W20" s="40"/>
    </row>
    <row r="21" spans="1:23" ht="19.95" customHeight="1">
      <c r="A21" s="94">
        <v>7</v>
      </c>
      <c r="B21" s="90"/>
      <c r="C21" s="376"/>
      <c r="D21" s="126"/>
      <c r="E21" s="363"/>
      <c r="F21" s="377"/>
      <c r="G21" s="375"/>
      <c r="H21" s="126"/>
      <c r="I21" s="384"/>
      <c r="J21" s="384"/>
      <c r="K21" s="384"/>
      <c r="L21" s="108">
        <f t="shared" si="0"/>
        <v>0</v>
      </c>
      <c r="M21" s="384"/>
      <c r="N21" s="384"/>
      <c r="O21" s="224">
        <f t="shared" si="1"/>
        <v>0</v>
      </c>
      <c r="P21" s="377"/>
      <c r="Q21" s="13"/>
      <c r="R21" s="377"/>
      <c r="S21" s="126"/>
      <c r="T21" s="384"/>
      <c r="U21" s="384"/>
      <c r="V21" s="375"/>
      <c r="W21" s="40"/>
    </row>
    <row r="22" spans="1:23" ht="19.95" customHeight="1">
      <c r="A22" s="94">
        <v>8</v>
      </c>
      <c r="B22" s="90"/>
      <c r="C22" s="376"/>
      <c r="D22" s="126"/>
      <c r="E22" s="363"/>
      <c r="F22" s="377"/>
      <c r="G22" s="375"/>
      <c r="H22" s="126"/>
      <c r="I22" s="384"/>
      <c r="J22" s="384"/>
      <c r="K22" s="384"/>
      <c r="L22" s="108">
        <f t="shared" si="0"/>
        <v>0</v>
      </c>
      <c r="M22" s="384"/>
      <c r="N22" s="384"/>
      <c r="O22" s="224">
        <f t="shared" si="1"/>
        <v>0</v>
      </c>
      <c r="P22" s="377"/>
      <c r="Q22" s="13"/>
      <c r="R22" s="377"/>
      <c r="S22" s="126"/>
      <c r="T22" s="384"/>
      <c r="U22" s="384"/>
      <c r="V22" s="375"/>
      <c r="W22" s="40"/>
    </row>
    <row r="23" spans="1:23" ht="19.95" customHeight="1">
      <c r="A23" s="94">
        <v>9</v>
      </c>
      <c r="B23" s="90"/>
      <c r="C23" s="376"/>
      <c r="D23" s="126"/>
      <c r="E23" s="363"/>
      <c r="F23" s="377"/>
      <c r="G23" s="375"/>
      <c r="H23" s="126"/>
      <c r="I23" s="384"/>
      <c r="J23" s="384"/>
      <c r="K23" s="384"/>
      <c r="L23" s="108">
        <f t="shared" si="0"/>
        <v>0</v>
      </c>
      <c r="M23" s="384"/>
      <c r="N23" s="384"/>
      <c r="O23" s="224">
        <f t="shared" si="1"/>
        <v>0</v>
      </c>
      <c r="P23" s="377"/>
      <c r="Q23" s="13"/>
      <c r="R23" s="377"/>
      <c r="S23" s="126"/>
      <c r="T23" s="384"/>
      <c r="U23" s="384"/>
      <c r="V23" s="375"/>
      <c r="W23" s="40"/>
    </row>
    <row r="24" spans="1:23" ht="19.95" customHeight="1">
      <c r="A24" s="94">
        <v>10</v>
      </c>
      <c r="B24" s="90"/>
      <c r="C24" s="376"/>
      <c r="D24" s="126"/>
      <c r="E24" s="363"/>
      <c r="F24" s="377"/>
      <c r="G24" s="375"/>
      <c r="H24" s="126"/>
      <c r="I24" s="384"/>
      <c r="J24" s="384"/>
      <c r="K24" s="384"/>
      <c r="L24" s="108">
        <f t="shared" si="0"/>
        <v>0</v>
      </c>
      <c r="M24" s="384"/>
      <c r="N24" s="384"/>
      <c r="O24" s="224">
        <f t="shared" si="1"/>
        <v>0</v>
      </c>
      <c r="P24" s="377"/>
      <c r="Q24" s="13"/>
      <c r="R24" s="377"/>
      <c r="S24" s="126"/>
      <c r="T24" s="384"/>
      <c r="U24" s="384"/>
      <c r="V24" s="375"/>
      <c r="W24" s="40"/>
    </row>
    <row r="25" spans="1:23" s="24" customFormat="1" ht="19.95" customHeight="1">
      <c r="A25" s="690" t="s">
        <v>567</v>
      </c>
      <c r="B25" s="691"/>
      <c r="C25" s="691"/>
      <c r="D25" s="691"/>
      <c r="E25" s="691"/>
      <c r="F25" s="691"/>
      <c r="G25" s="691"/>
      <c r="H25" s="692"/>
      <c r="I25" s="183">
        <f>SUM(I15:I24)</f>
        <v>0</v>
      </c>
      <c r="J25" s="183">
        <f t="shared" ref="J25:K25" si="2">SUM(J15:J24)</f>
        <v>0</v>
      </c>
      <c r="K25" s="183">
        <f t="shared" si="2"/>
        <v>0</v>
      </c>
      <c r="L25" s="183">
        <f>SUM(L15:L24)</f>
        <v>0</v>
      </c>
      <c r="M25" s="183">
        <f t="shared" ref="M25:O25" si="3">SUM(M15:M24)</f>
        <v>0</v>
      </c>
      <c r="N25" s="183">
        <f t="shared" si="3"/>
        <v>0</v>
      </c>
      <c r="O25" s="394">
        <f t="shared" si="3"/>
        <v>0</v>
      </c>
      <c r="P25" s="395"/>
      <c r="Q25" s="395"/>
      <c r="R25" s="395"/>
      <c r="S25" s="395"/>
      <c r="T25" s="395"/>
      <c r="U25" s="395"/>
      <c r="V25" s="395"/>
      <c r="W25" s="194"/>
    </row>
    <row r="26" spans="1:23" s="24" customFormat="1" ht="19.95" customHeight="1">
      <c r="A26" s="690" t="s">
        <v>1003</v>
      </c>
      <c r="B26" s="691"/>
      <c r="C26" s="691"/>
      <c r="D26" s="691"/>
      <c r="E26" s="691"/>
      <c r="F26" s="691"/>
      <c r="G26" s="691"/>
      <c r="H26" s="692"/>
      <c r="I26" s="183">
        <f>'明细表（成本模式）H7-2'!O37</f>
        <v>0</v>
      </c>
      <c r="J26" s="396"/>
      <c r="K26" s="396"/>
      <c r="L26" s="396"/>
      <c r="M26" s="396"/>
      <c r="N26" s="396"/>
      <c r="O26" s="397"/>
      <c r="P26" s="395"/>
      <c r="Q26" s="395"/>
      <c r="R26" s="395"/>
      <c r="S26" s="395"/>
      <c r="T26" s="395"/>
      <c r="U26" s="395"/>
      <c r="V26" s="395"/>
      <c r="W26" s="194"/>
    </row>
    <row r="27" spans="1:23" s="24" customFormat="1" ht="19.95" customHeight="1">
      <c r="A27" s="693" t="s">
        <v>1222</v>
      </c>
      <c r="B27" s="691"/>
      <c r="C27" s="691"/>
      <c r="D27" s="691"/>
      <c r="E27" s="691"/>
      <c r="F27" s="691"/>
      <c r="G27" s="691"/>
      <c r="H27" s="692"/>
      <c r="I27" s="184">
        <f>IF(I25=0,0,I25/$I$26)</f>
        <v>0</v>
      </c>
      <c r="J27" s="396"/>
      <c r="K27" s="396"/>
      <c r="L27" s="396"/>
      <c r="M27" s="396"/>
      <c r="N27" s="396"/>
      <c r="O27" s="397"/>
      <c r="P27" s="395"/>
      <c r="Q27" s="395"/>
      <c r="R27" s="395"/>
      <c r="S27" s="395"/>
      <c r="T27" s="395"/>
      <c r="U27" s="395"/>
      <c r="V27" s="395"/>
      <c r="W27" s="194"/>
    </row>
    <row r="28" spans="1:23" ht="19.95" customHeight="1">
      <c r="A28" s="300" t="s">
        <v>569</v>
      </c>
      <c r="B28" s="15"/>
      <c r="C28" s="15"/>
      <c r="D28" s="15"/>
      <c r="E28" s="15"/>
      <c r="F28" s="15"/>
      <c r="G28" s="15"/>
      <c r="H28" s="15"/>
      <c r="I28" s="15"/>
      <c r="J28" s="15"/>
      <c r="K28" s="15"/>
      <c r="L28" s="15"/>
      <c r="M28" s="15"/>
      <c r="N28" s="15"/>
      <c r="O28" s="15"/>
      <c r="P28" s="301"/>
      <c r="Q28" s="225"/>
      <c r="R28" s="225"/>
      <c r="S28" s="225"/>
      <c r="T28" s="225"/>
      <c r="U28" s="225"/>
      <c r="V28" s="226"/>
    </row>
    <row r="29" spans="1:23" ht="19.95" customHeight="1">
      <c r="A29" s="610" t="s">
        <v>1223</v>
      </c>
      <c r="P29" s="441"/>
      <c r="Q29" s="62"/>
      <c r="R29" s="62"/>
      <c r="S29" s="62"/>
      <c r="T29" s="62"/>
      <c r="U29" s="62"/>
      <c r="V29" s="25"/>
    </row>
    <row r="30" spans="1:23" s="24" customFormat="1" ht="19.95" customHeight="1">
      <c r="A30" s="610" t="s">
        <v>1225</v>
      </c>
      <c r="P30" s="441"/>
      <c r="Q30" s="63"/>
      <c r="R30" s="64"/>
      <c r="S30" s="64"/>
      <c r="T30" s="64"/>
      <c r="U30" s="64"/>
      <c r="V30" s="31"/>
    </row>
    <row r="31" spans="1:23" ht="19.95" customHeight="1">
      <c r="P31" s="441"/>
      <c r="Q31" s="59"/>
      <c r="R31" s="59"/>
      <c r="S31" s="59"/>
      <c r="T31" s="59"/>
      <c r="U31" s="59"/>
      <c r="V31" s="25"/>
    </row>
    <row r="32" spans="1:23" ht="19.95" customHeight="1">
      <c r="P32" s="441"/>
      <c r="Q32" s="59"/>
      <c r="R32" s="59"/>
      <c r="S32" s="59"/>
      <c r="T32" s="59"/>
      <c r="U32" s="59"/>
      <c r="V32" s="25"/>
    </row>
    <row r="33" spans="1:22" ht="19.95" customHeight="1">
      <c r="A33" s="24" t="s">
        <v>570</v>
      </c>
      <c r="P33" s="59"/>
      <c r="Q33" s="59"/>
      <c r="R33" s="59"/>
      <c r="S33" s="59"/>
      <c r="T33" s="59"/>
      <c r="U33" s="59"/>
      <c r="V33" s="25"/>
    </row>
    <row r="34" spans="1:22" ht="19.95" customHeight="1">
      <c r="P34" s="59"/>
      <c r="Q34" s="59"/>
      <c r="R34" s="59"/>
      <c r="S34" s="59"/>
      <c r="T34" s="59"/>
      <c r="U34" s="59"/>
      <c r="V34" s="25"/>
    </row>
    <row r="35" spans="1:22" ht="19.95" customHeight="1">
      <c r="A35" s="18"/>
      <c r="C35" s="25"/>
      <c r="D35" s="25"/>
      <c r="E35" s="25"/>
      <c r="F35" s="25"/>
      <c r="G35" s="25"/>
      <c r="H35" s="25"/>
      <c r="I35" s="25"/>
      <c r="J35" s="25"/>
      <c r="K35" s="25"/>
      <c r="L35" s="25"/>
      <c r="M35" s="25"/>
      <c r="N35" s="25"/>
      <c r="O35" s="25"/>
      <c r="P35" s="59"/>
      <c r="Q35" s="59"/>
      <c r="R35" s="59"/>
      <c r="S35" s="59"/>
      <c r="T35" s="59"/>
      <c r="U35" s="59"/>
      <c r="V35" s="25"/>
    </row>
    <row r="36" spans="1:22" ht="19.95" customHeight="1">
      <c r="A36" s="456" t="s">
        <v>1045</v>
      </c>
    </row>
    <row r="37" spans="1:22" ht="19.95" customHeight="1">
      <c r="A37" s="17" t="s">
        <v>604</v>
      </c>
    </row>
    <row r="38" spans="1:22" ht="19.95" customHeight="1">
      <c r="A38" s="17" t="s">
        <v>605</v>
      </c>
    </row>
    <row r="39" spans="1:22" ht="19.95" customHeight="1">
      <c r="A39" s="17"/>
    </row>
    <row r="40" spans="1:22" ht="19.95" customHeight="1">
      <c r="A40" s="17" t="s">
        <v>606</v>
      </c>
      <c r="B40" s="17"/>
    </row>
    <row r="41" spans="1:22" ht="19.95" customHeight="1">
      <c r="A41" s="19" t="s">
        <v>576</v>
      </c>
      <c r="B41" s="19"/>
    </row>
    <row r="42" spans="1:22" ht="19.95" customHeight="1">
      <c r="A42" s="304"/>
    </row>
  </sheetData>
  <mergeCells count="28">
    <mergeCell ref="A1:W1"/>
    <mergeCell ref="A2:W2"/>
    <mergeCell ref="A25:H25"/>
    <mergeCell ref="A26:H26"/>
    <mergeCell ref="A27:H27"/>
    <mergeCell ref="I12:O12"/>
    <mergeCell ref="A12:A14"/>
    <mergeCell ref="B12:B14"/>
    <mergeCell ref="C12:C14"/>
    <mergeCell ref="V12:V14"/>
    <mergeCell ref="D12:D14"/>
    <mergeCell ref="E12:E14"/>
    <mergeCell ref="I13:L13"/>
    <mergeCell ref="M13:N13"/>
    <mergeCell ref="O13:O14"/>
    <mergeCell ref="F12:F14"/>
    <mergeCell ref="A5:W5"/>
    <mergeCell ref="W12:W14"/>
    <mergeCell ref="Q13:Q14"/>
    <mergeCell ref="R12:T12"/>
    <mergeCell ref="R13:R14"/>
    <mergeCell ref="S13:S14"/>
    <mergeCell ref="T13:T14"/>
    <mergeCell ref="G12:G14"/>
    <mergeCell ref="P12:Q12"/>
    <mergeCell ref="P13:P14"/>
    <mergeCell ref="H12:H14"/>
    <mergeCell ref="U12:U14"/>
  </mergeCells>
  <phoneticPr fontId="10" type="noConversion"/>
  <dataValidations count="1">
    <dataValidation type="list" allowBlank="1" showInputMessage="1" showErrorMessage="1" prompt="如要修改下列框的选项，单击“数据-数据有效性-设置-序列-来源”。_x000a_" sqref="E15:E24">
      <formula1>"处置,其他减少"</formula1>
    </dataValidation>
  </dataValidations>
  <hyperlinks>
    <hyperlink ref="W3" location="底稿目录!A1" display="H7A"/>
  </hyperlinks>
  <printOptions horizontalCentered="1"/>
  <pageMargins left="0.39370078740157483" right="0.39370078740157483" top="0.35433070866141736" bottom="0.27559055118110237" header="0.31496062992125984" footer="0.19685039370078741"/>
  <pageSetup paperSize="9" scale="61" orientation="landscape" blackAndWhite="1" r:id="rId1"/>
  <headerFooter alignWithMargins="0">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B15:B24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Y33"/>
  <sheetViews>
    <sheetView view="pageBreakPreview" zoomScaleNormal="100" zoomScaleSheetLayoutView="100" workbookViewId="0">
      <selection sqref="A1:S1"/>
    </sheetView>
  </sheetViews>
  <sheetFormatPr defaultRowHeight="19.95" customHeight="1"/>
  <cols>
    <col min="1" max="1" width="7.09765625" style="28" customWidth="1"/>
    <col min="2" max="2" width="15" style="28" customWidth="1"/>
    <col min="3" max="3" width="8.796875" style="28"/>
    <col min="4" max="4" width="10.5" style="28" customWidth="1"/>
    <col min="5" max="6" width="8.796875" style="28"/>
    <col min="7" max="7" width="10.3984375" style="28" customWidth="1"/>
    <col min="8" max="11" width="8.796875" style="28"/>
    <col min="12" max="12" width="8.796875" style="28" customWidth="1"/>
    <col min="13" max="13" width="8.09765625" style="28" customWidth="1"/>
    <col min="14" max="14" width="9.19921875" style="28" customWidth="1"/>
    <col min="15" max="15" width="10.19921875" style="28" customWidth="1"/>
    <col min="16" max="16" width="5" style="28" customWidth="1"/>
    <col min="17" max="17" width="5.8984375" style="28" customWidth="1"/>
    <col min="18" max="18" width="9.3984375" style="28" customWidth="1"/>
    <col min="19" max="19" width="9.59765625" style="28" customWidth="1"/>
    <col min="20" max="16384" width="8.796875" style="28"/>
  </cols>
  <sheetData>
    <row r="1" spans="1:25" s="352" customFormat="1" ht="19.95" customHeight="1">
      <c r="A1" s="698" t="s">
        <v>982</v>
      </c>
      <c r="B1" s="698"/>
      <c r="C1" s="698"/>
      <c r="D1" s="698"/>
      <c r="E1" s="698"/>
      <c r="F1" s="698"/>
      <c r="G1" s="698"/>
      <c r="H1" s="698"/>
      <c r="I1" s="698"/>
      <c r="J1" s="698"/>
      <c r="K1" s="698"/>
      <c r="L1" s="698"/>
      <c r="M1" s="698"/>
      <c r="N1" s="698"/>
      <c r="O1" s="698"/>
      <c r="P1" s="698"/>
      <c r="Q1" s="698"/>
      <c r="R1" s="698"/>
      <c r="S1" s="698"/>
    </row>
    <row r="2" spans="1:25" s="356" customFormat="1" ht="19.95" customHeight="1">
      <c r="A2" s="721" t="s">
        <v>989</v>
      </c>
      <c r="B2" s="721"/>
      <c r="C2" s="721"/>
      <c r="D2" s="721"/>
      <c r="E2" s="721"/>
      <c r="F2" s="721"/>
      <c r="G2" s="721"/>
      <c r="H2" s="721"/>
      <c r="I2" s="721"/>
      <c r="J2" s="721"/>
      <c r="K2" s="721"/>
      <c r="L2" s="721"/>
      <c r="M2" s="721"/>
      <c r="N2" s="721"/>
      <c r="O2" s="721"/>
      <c r="P2" s="721"/>
      <c r="Q2" s="721"/>
      <c r="R2" s="721"/>
      <c r="S2" s="721"/>
    </row>
    <row r="3" spans="1:25" ht="19.95" customHeight="1">
      <c r="A3" s="3" t="str">
        <f>底稿目录!A2</f>
        <v>被审计单位：</v>
      </c>
      <c r="B3" s="3"/>
      <c r="C3" s="3"/>
      <c r="D3" s="3"/>
      <c r="E3" s="3"/>
      <c r="F3" s="3"/>
      <c r="G3" s="3"/>
      <c r="H3" s="3"/>
      <c r="I3" s="3" t="str">
        <f>底稿目录!A4</f>
        <v>编制人：</v>
      </c>
      <c r="J3" s="53"/>
      <c r="K3" s="53"/>
      <c r="L3" s="3" t="str">
        <f>底稿目录!A6</f>
        <v>编制日期：</v>
      </c>
      <c r="M3" s="53"/>
      <c r="N3" s="53"/>
      <c r="O3" s="53"/>
      <c r="P3" s="53"/>
      <c r="Q3" s="53"/>
      <c r="R3" s="432" t="s">
        <v>1011</v>
      </c>
      <c r="S3" s="252" t="s">
        <v>259</v>
      </c>
    </row>
    <row r="4" spans="1:25" ht="19.95" customHeight="1">
      <c r="A4" s="3" t="str">
        <f>底稿目录!A3</f>
        <v>截止日：</v>
      </c>
      <c r="B4" s="3"/>
      <c r="C4" s="3"/>
      <c r="D4" s="3"/>
      <c r="E4" s="3"/>
      <c r="F4" s="3"/>
      <c r="G4" s="3"/>
      <c r="H4" s="3"/>
      <c r="I4" s="3" t="str">
        <f>底稿目录!A5</f>
        <v>复核人：</v>
      </c>
      <c r="J4" s="53"/>
      <c r="K4" s="53"/>
      <c r="L4" s="3" t="str">
        <f>底稿目录!A7</f>
        <v>复核日期：</v>
      </c>
      <c r="M4" s="53"/>
      <c r="N4" s="53"/>
      <c r="O4" s="53"/>
      <c r="P4" s="53"/>
      <c r="Q4" s="53"/>
      <c r="R4" s="432" t="s">
        <v>1012</v>
      </c>
      <c r="S4" s="265"/>
    </row>
    <row r="5" spans="1:25" s="532" customFormat="1" ht="36" customHeight="1">
      <c r="A5" s="685" t="s">
        <v>607</v>
      </c>
      <c r="B5" s="685"/>
      <c r="C5" s="685"/>
      <c r="D5" s="685"/>
      <c r="E5" s="685"/>
      <c r="F5" s="685"/>
      <c r="G5" s="685"/>
      <c r="H5" s="685"/>
      <c r="I5" s="685"/>
      <c r="J5" s="685"/>
      <c r="K5" s="685"/>
      <c r="L5" s="685"/>
      <c r="M5" s="685"/>
      <c r="N5" s="685"/>
      <c r="O5" s="685"/>
      <c r="P5" s="685"/>
      <c r="Q5" s="685"/>
      <c r="R5" s="685"/>
      <c r="S5" s="685"/>
      <c r="T5" s="562"/>
      <c r="U5" s="562"/>
      <c r="V5" s="562"/>
      <c r="W5" s="562"/>
      <c r="X5" s="562"/>
      <c r="Y5" s="562"/>
    </row>
    <row r="6" spans="1:25" s="281" customFormat="1" ht="19.95" customHeight="1">
      <c r="A6" s="540" t="s">
        <v>578</v>
      </c>
      <c r="B6" s="540"/>
      <c r="C6" s="540"/>
      <c r="D6" s="541"/>
      <c r="E6" s="541"/>
      <c r="F6" s="541"/>
      <c r="G6" s="541"/>
      <c r="H6" s="541"/>
      <c r="I6" s="541"/>
      <c r="J6" s="541"/>
      <c r="K6" s="541"/>
      <c r="L6" s="541"/>
      <c r="M6" s="541"/>
      <c r="N6" s="541"/>
      <c r="O6" s="541"/>
      <c r="P6" s="542"/>
      <c r="Q6" s="542"/>
      <c r="R6" s="542"/>
      <c r="S6" s="543"/>
      <c r="T6" s="543"/>
    </row>
    <row r="7" spans="1:25" s="281" customFormat="1" ht="19.95" customHeight="1">
      <c r="A7" s="544" t="s">
        <v>608</v>
      </c>
      <c r="B7" s="545" t="s">
        <v>1094</v>
      </c>
      <c r="C7" s="541"/>
      <c r="D7" s="541"/>
      <c r="E7" s="541"/>
      <c r="F7" s="541"/>
      <c r="G7" s="541"/>
      <c r="H7" s="544" t="s">
        <v>545</v>
      </c>
      <c r="I7" s="545" t="s">
        <v>609</v>
      </c>
      <c r="J7" s="541"/>
      <c r="L7" s="541"/>
    </row>
    <row r="8" spans="1:25" s="281" customFormat="1" ht="19.95" customHeight="1">
      <c r="A8" s="544" t="s">
        <v>610</v>
      </c>
      <c r="B8" s="545" t="s">
        <v>581</v>
      </c>
      <c r="C8" s="541"/>
      <c r="D8" s="541"/>
      <c r="E8" s="541"/>
      <c r="F8" s="541"/>
      <c r="G8" s="541"/>
      <c r="H8" s="544" t="s">
        <v>611</v>
      </c>
      <c r="I8" s="545"/>
      <c r="J8" s="545" t="s">
        <v>612</v>
      </c>
      <c r="L8" s="541"/>
    </row>
    <row r="9" spans="1:25" s="281" customFormat="1" ht="19.95" customHeight="1">
      <c r="A9" s="544" t="s">
        <v>613</v>
      </c>
      <c r="B9" s="609" t="s">
        <v>1221</v>
      </c>
      <c r="C9" s="541"/>
      <c r="D9" s="541"/>
      <c r="E9" s="541"/>
      <c r="F9" s="541"/>
      <c r="G9" s="541"/>
      <c r="H9" s="544" t="s">
        <v>583</v>
      </c>
      <c r="I9" s="545" t="s">
        <v>614</v>
      </c>
      <c r="J9" s="541"/>
      <c r="L9" s="541"/>
    </row>
    <row r="10" spans="1:25" s="281" customFormat="1" ht="19.95" customHeight="1">
      <c r="A10" s="563" t="s">
        <v>615</v>
      </c>
      <c r="B10" s="563"/>
      <c r="C10" s="564"/>
      <c r="D10" s="564"/>
      <c r="E10" s="564"/>
      <c r="F10" s="564"/>
      <c r="G10" s="564"/>
      <c r="H10" s="564"/>
      <c r="I10" s="565"/>
      <c r="J10" s="565"/>
      <c r="K10" s="565"/>
      <c r="L10" s="532"/>
      <c r="M10" s="532"/>
      <c r="N10" s="532"/>
      <c r="O10" s="532"/>
      <c r="P10" s="532"/>
      <c r="Q10" s="532"/>
      <c r="R10" s="532"/>
      <c r="S10" s="532"/>
    </row>
    <row r="11" spans="1:25" ht="19.95" customHeight="1">
      <c r="A11" s="451" t="s">
        <v>1035</v>
      </c>
      <c r="B11" s="46"/>
      <c r="C11" s="21"/>
      <c r="D11" s="21"/>
      <c r="E11" s="21"/>
      <c r="F11" s="21"/>
      <c r="G11" s="21"/>
      <c r="H11" s="21"/>
      <c r="I11" s="22"/>
      <c r="J11" s="22"/>
      <c r="K11" s="22"/>
      <c r="L11" s="23"/>
      <c r="M11" s="23"/>
      <c r="N11" s="23"/>
      <c r="O11" s="23"/>
      <c r="P11" s="23"/>
      <c r="Q11" s="23"/>
      <c r="R11" s="23"/>
      <c r="S11" s="23"/>
    </row>
    <row r="12" spans="1:25" s="561" customFormat="1" ht="19.95" customHeight="1">
      <c r="A12" s="722" t="s">
        <v>98</v>
      </c>
      <c r="B12" s="719" t="s">
        <v>399</v>
      </c>
      <c r="C12" s="719" t="s">
        <v>798</v>
      </c>
      <c r="D12" s="719" t="s">
        <v>401</v>
      </c>
      <c r="E12" s="719" t="s">
        <v>616</v>
      </c>
      <c r="F12" s="719" t="s">
        <v>601</v>
      </c>
      <c r="G12" s="719" t="s">
        <v>602</v>
      </c>
      <c r="H12" s="719" t="s">
        <v>603</v>
      </c>
      <c r="I12" s="703" t="s">
        <v>617</v>
      </c>
      <c r="J12" s="704"/>
      <c r="K12" s="704"/>
      <c r="L12" s="683" t="s">
        <v>618</v>
      </c>
      <c r="M12" s="683"/>
      <c r="N12" s="683" t="s">
        <v>619</v>
      </c>
      <c r="O12" s="683"/>
      <c r="P12" s="683"/>
      <c r="Q12" s="683" t="s">
        <v>236</v>
      </c>
      <c r="R12" s="683" t="s">
        <v>620</v>
      </c>
      <c r="S12" s="683" t="s">
        <v>589</v>
      </c>
    </row>
    <row r="13" spans="1:25" s="561" customFormat="1" ht="24">
      <c r="A13" s="722"/>
      <c r="B13" s="720"/>
      <c r="C13" s="720"/>
      <c r="D13" s="720"/>
      <c r="E13" s="720"/>
      <c r="F13" s="720"/>
      <c r="G13" s="720"/>
      <c r="H13" s="720"/>
      <c r="I13" s="551" t="s">
        <v>563</v>
      </c>
      <c r="J13" s="552" t="s">
        <v>621</v>
      </c>
      <c r="K13" s="552" t="s">
        <v>590</v>
      </c>
      <c r="L13" s="553" t="s">
        <v>591</v>
      </c>
      <c r="M13" s="546" t="s">
        <v>1121</v>
      </c>
      <c r="N13" s="553" t="s">
        <v>622</v>
      </c>
      <c r="O13" s="546" t="s">
        <v>1037</v>
      </c>
      <c r="P13" s="553" t="s">
        <v>566</v>
      </c>
      <c r="Q13" s="683"/>
      <c r="R13" s="683"/>
      <c r="S13" s="683"/>
      <c r="T13" s="566" t="s">
        <v>623</v>
      </c>
    </row>
    <row r="14" spans="1:25" ht="19.95" customHeight="1">
      <c r="A14" s="399">
        <v>1</v>
      </c>
      <c r="B14" s="90"/>
      <c r="C14" s="376"/>
      <c r="D14" s="126"/>
      <c r="E14" s="363"/>
      <c r="F14" s="377"/>
      <c r="G14" s="375"/>
      <c r="H14" s="126"/>
      <c r="I14" s="384"/>
      <c r="J14" s="384"/>
      <c r="K14" s="512">
        <f>I14+J14</f>
        <v>0</v>
      </c>
      <c r="L14" s="377"/>
      <c r="M14" s="13"/>
      <c r="N14" s="377"/>
      <c r="O14" s="126"/>
      <c r="P14" s="384"/>
      <c r="Q14" s="384"/>
      <c r="R14" s="375"/>
      <c r="S14" s="40"/>
    </row>
    <row r="15" spans="1:25" ht="19.95" customHeight="1">
      <c r="A15" s="399">
        <v>2</v>
      </c>
      <c r="B15" s="90"/>
      <c r="C15" s="376"/>
      <c r="D15" s="126"/>
      <c r="E15" s="363"/>
      <c r="F15" s="377"/>
      <c r="G15" s="375"/>
      <c r="H15" s="126"/>
      <c r="I15" s="384"/>
      <c r="J15" s="384"/>
      <c r="K15" s="512">
        <f t="shared" ref="K15:K20" si="0">I15+J15</f>
        <v>0</v>
      </c>
      <c r="L15" s="377"/>
      <c r="M15" s="13"/>
      <c r="N15" s="377"/>
      <c r="O15" s="126"/>
      <c r="P15" s="384"/>
      <c r="Q15" s="384"/>
      <c r="R15" s="375"/>
      <c r="S15" s="40"/>
    </row>
    <row r="16" spans="1:25" ht="19.95" customHeight="1">
      <c r="A16" s="399">
        <v>3</v>
      </c>
      <c r="B16" s="90"/>
      <c r="C16" s="376"/>
      <c r="D16" s="126"/>
      <c r="E16" s="363"/>
      <c r="F16" s="377"/>
      <c r="G16" s="375"/>
      <c r="H16" s="126"/>
      <c r="I16" s="384"/>
      <c r="J16" s="384"/>
      <c r="K16" s="512">
        <f t="shared" si="0"/>
        <v>0</v>
      </c>
      <c r="L16" s="377"/>
      <c r="M16" s="13"/>
      <c r="N16" s="377"/>
      <c r="O16" s="126"/>
      <c r="P16" s="384"/>
      <c r="Q16" s="384"/>
      <c r="R16" s="375"/>
      <c r="S16" s="40"/>
    </row>
    <row r="17" spans="1:19" ht="19.95" customHeight="1">
      <c r="A17" s="399">
        <v>4</v>
      </c>
      <c r="B17" s="90"/>
      <c r="C17" s="376"/>
      <c r="D17" s="126"/>
      <c r="E17" s="363"/>
      <c r="F17" s="377"/>
      <c r="G17" s="375"/>
      <c r="H17" s="126"/>
      <c r="I17" s="384"/>
      <c r="J17" s="384"/>
      <c r="K17" s="512">
        <f t="shared" si="0"/>
        <v>0</v>
      </c>
      <c r="L17" s="377"/>
      <c r="M17" s="13"/>
      <c r="N17" s="377"/>
      <c r="O17" s="126"/>
      <c r="P17" s="384"/>
      <c r="Q17" s="384"/>
      <c r="R17" s="375"/>
      <c r="S17" s="40"/>
    </row>
    <row r="18" spans="1:19" ht="19.95" customHeight="1">
      <c r="A18" s="399">
        <v>5</v>
      </c>
      <c r="B18" s="90"/>
      <c r="C18" s="376"/>
      <c r="D18" s="126"/>
      <c r="E18" s="363"/>
      <c r="F18" s="377"/>
      <c r="G18" s="375"/>
      <c r="H18" s="126"/>
      <c r="I18" s="384"/>
      <c r="J18" s="384"/>
      <c r="K18" s="512">
        <f t="shared" si="0"/>
        <v>0</v>
      </c>
      <c r="L18" s="377"/>
      <c r="M18" s="13"/>
      <c r="N18" s="377"/>
      <c r="O18" s="126"/>
      <c r="P18" s="384"/>
      <c r="Q18" s="384"/>
      <c r="R18" s="375"/>
      <c r="S18" s="40"/>
    </row>
    <row r="19" spans="1:19" ht="19.95" customHeight="1">
      <c r="A19" s="399">
        <v>6</v>
      </c>
      <c r="B19" s="90"/>
      <c r="C19" s="376"/>
      <c r="D19" s="126"/>
      <c r="E19" s="363"/>
      <c r="F19" s="377"/>
      <c r="G19" s="375"/>
      <c r="H19" s="126"/>
      <c r="I19" s="384"/>
      <c r="J19" s="384"/>
      <c r="K19" s="512">
        <f t="shared" si="0"/>
        <v>0</v>
      </c>
      <c r="L19" s="377"/>
      <c r="M19" s="13"/>
      <c r="N19" s="377"/>
      <c r="O19" s="126"/>
      <c r="P19" s="384"/>
      <c r="Q19" s="384"/>
      <c r="R19" s="375"/>
      <c r="S19" s="40"/>
    </row>
    <row r="20" spans="1:19" ht="19.95" customHeight="1">
      <c r="A20" s="399">
        <v>7</v>
      </c>
      <c r="B20" s="90"/>
      <c r="C20" s="376"/>
      <c r="D20" s="126"/>
      <c r="E20" s="363"/>
      <c r="F20" s="377"/>
      <c r="G20" s="375"/>
      <c r="H20" s="126"/>
      <c r="I20" s="384"/>
      <c r="J20" s="384"/>
      <c r="K20" s="567">
        <f t="shared" si="0"/>
        <v>0</v>
      </c>
      <c r="L20" s="406"/>
      <c r="M20" s="407"/>
      <c r="N20" s="377"/>
      <c r="O20" s="126"/>
      <c r="P20" s="384"/>
      <c r="Q20" s="384"/>
      <c r="R20" s="375"/>
      <c r="S20" s="40"/>
    </row>
    <row r="21" spans="1:19" s="366" customFormat="1" ht="19.95" customHeight="1">
      <c r="A21" s="690" t="s">
        <v>1005</v>
      </c>
      <c r="B21" s="691"/>
      <c r="C21" s="691"/>
      <c r="D21" s="691"/>
      <c r="E21" s="691"/>
      <c r="F21" s="691"/>
      <c r="G21" s="691"/>
      <c r="H21" s="691"/>
      <c r="I21" s="388">
        <f t="shared" ref="I21:J21" si="1">SUM(I14:I20)</f>
        <v>0</v>
      </c>
      <c r="J21" s="388">
        <f t="shared" si="1"/>
        <v>0</v>
      </c>
      <c r="K21" s="405">
        <f>SUM(K14:K20)</f>
        <v>0</v>
      </c>
      <c r="L21" s="408"/>
      <c r="M21" s="408"/>
      <c r="N21" s="408"/>
      <c r="O21" s="408"/>
      <c r="P21" s="408"/>
      <c r="Q21" s="408"/>
      <c r="R21" s="408"/>
      <c r="S21" s="408"/>
    </row>
    <row r="22" spans="1:19" s="366" customFormat="1" ht="19.95" customHeight="1">
      <c r="A22" s="690" t="s">
        <v>1003</v>
      </c>
      <c r="B22" s="691"/>
      <c r="C22" s="691"/>
      <c r="D22" s="691"/>
      <c r="E22" s="691"/>
      <c r="F22" s="691"/>
      <c r="G22" s="691"/>
      <c r="H22" s="691"/>
      <c r="I22" s="404"/>
      <c r="J22" s="404"/>
      <c r="K22" s="405"/>
      <c r="L22" s="408"/>
      <c r="M22" s="408"/>
      <c r="N22" s="408"/>
      <c r="O22" s="408"/>
      <c r="P22" s="408"/>
      <c r="Q22" s="408"/>
      <c r="R22" s="408"/>
      <c r="S22" s="408"/>
    </row>
    <row r="23" spans="1:19" s="366" customFormat="1" ht="19.95" customHeight="1">
      <c r="A23" s="693" t="s">
        <v>1230</v>
      </c>
      <c r="B23" s="691"/>
      <c r="C23" s="691"/>
      <c r="D23" s="691"/>
      <c r="E23" s="691"/>
      <c r="F23" s="691"/>
      <c r="G23" s="691"/>
      <c r="H23" s="691"/>
      <c r="I23" s="404"/>
      <c r="J23" s="404"/>
      <c r="K23" s="405" t="e">
        <f>K21/K22</f>
        <v>#DIV/0!</v>
      </c>
      <c r="L23" s="408"/>
      <c r="M23" s="408"/>
      <c r="N23" s="408"/>
      <c r="O23" s="408"/>
      <c r="P23" s="408"/>
      <c r="Q23" s="408"/>
      <c r="R23" s="408"/>
      <c r="S23" s="408"/>
    </row>
    <row r="24" spans="1:19" ht="19.95" customHeight="1">
      <c r="A24" s="300" t="s">
        <v>569</v>
      </c>
      <c r="B24" s="300"/>
      <c r="C24" s="127"/>
      <c r="D24" s="127"/>
      <c r="E24" s="127"/>
      <c r="F24" s="127"/>
      <c r="G24" s="127"/>
      <c r="H24" s="127"/>
      <c r="I24" s="400"/>
      <c r="J24" s="400"/>
      <c r="K24" s="400"/>
      <c r="L24" s="401"/>
      <c r="M24" s="402"/>
      <c r="N24" s="402"/>
      <c r="O24" s="402"/>
      <c r="P24" s="402"/>
      <c r="Q24" s="402"/>
      <c r="R24" s="402"/>
      <c r="S24" s="403"/>
    </row>
    <row r="25" spans="1:19" ht="19.95" customHeight="1">
      <c r="A25" s="610" t="s">
        <v>1223</v>
      </c>
      <c r="B25" s="53"/>
      <c r="C25" s="53"/>
      <c r="D25" s="53"/>
      <c r="E25" s="53"/>
      <c r="F25" s="53"/>
      <c r="G25" s="53"/>
      <c r="H25" s="53"/>
      <c r="I25" s="53"/>
      <c r="J25" s="53"/>
      <c r="K25" s="53"/>
      <c r="L25" s="440"/>
      <c r="M25" s="130"/>
      <c r="N25" s="130"/>
      <c r="O25" s="130"/>
      <c r="P25" s="130"/>
      <c r="Q25" s="130"/>
      <c r="R25" s="130"/>
      <c r="S25" s="125"/>
    </row>
    <row r="26" spans="1:19" ht="19.95" customHeight="1">
      <c r="A26" s="610" t="s">
        <v>1225</v>
      </c>
      <c r="B26" s="131"/>
      <c r="C26" s="131"/>
      <c r="D26" s="131"/>
      <c r="E26" s="131"/>
      <c r="F26" s="131"/>
      <c r="G26" s="131"/>
      <c r="H26" s="131"/>
      <c r="I26" s="131"/>
      <c r="J26" s="131"/>
      <c r="K26" s="131"/>
      <c r="L26" s="440"/>
      <c r="M26" s="131"/>
      <c r="N26" s="132"/>
      <c r="O26" s="132"/>
      <c r="P26" s="132"/>
      <c r="Q26" s="132"/>
      <c r="R26" s="132"/>
      <c r="S26" s="132"/>
    </row>
    <row r="27" spans="1:19" ht="19.95" customHeight="1">
      <c r="A27" s="131" t="s">
        <v>570</v>
      </c>
      <c r="B27" s="131"/>
      <c r="C27" s="53"/>
      <c r="D27" s="53"/>
      <c r="E27" s="53"/>
      <c r="F27" s="53"/>
      <c r="G27" s="53"/>
      <c r="H27" s="53"/>
      <c r="I27" s="53"/>
      <c r="J27" s="53"/>
      <c r="K27" s="53"/>
      <c r="L27" s="440"/>
      <c r="M27" s="125"/>
      <c r="N27" s="125"/>
      <c r="O27" s="125"/>
      <c r="P27" s="125"/>
      <c r="Q27" s="125"/>
      <c r="R27" s="125"/>
      <c r="S27" s="125"/>
    </row>
    <row r="28" spans="1:19" ht="19.95" customHeight="1">
      <c r="A28" s="130"/>
      <c r="B28" s="130"/>
      <c r="C28" s="53"/>
      <c r="D28" s="125"/>
      <c r="E28" s="125"/>
      <c r="F28" s="125"/>
      <c r="G28" s="125"/>
      <c r="H28" s="125"/>
      <c r="I28" s="125"/>
      <c r="J28" s="125"/>
      <c r="K28" s="125"/>
      <c r="L28" s="125"/>
      <c r="M28" s="125"/>
      <c r="N28" s="125"/>
      <c r="O28" s="125"/>
      <c r="P28" s="125"/>
      <c r="Q28" s="125"/>
      <c r="R28" s="125"/>
      <c r="S28" s="125"/>
    </row>
    <row r="29" spans="1:19" ht="19.95" customHeight="1">
      <c r="A29" s="457" t="s">
        <v>1043</v>
      </c>
      <c r="B29" s="306"/>
      <c r="C29" s="53"/>
      <c r="D29" s="125"/>
      <c r="E29" s="125"/>
      <c r="F29" s="125"/>
      <c r="G29" s="125"/>
      <c r="H29" s="125"/>
      <c r="I29" s="125"/>
      <c r="J29" s="125"/>
      <c r="K29" s="125"/>
      <c r="L29" s="125"/>
      <c r="M29" s="125"/>
      <c r="N29" s="125"/>
      <c r="O29" s="125"/>
      <c r="P29" s="125"/>
      <c r="Q29" s="125"/>
      <c r="R29" s="125"/>
      <c r="S29" s="125"/>
    </row>
    <row r="30" spans="1:19" ht="19.95" customHeight="1">
      <c r="A30" s="133" t="s">
        <v>624</v>
      </c>
      <c r="B30" s="133"/>
      <c r="C30" s="53"/>
      <c r="D30" s="125"/>
      <c r="E30" s="125"/>
      <c r="F30" s="125"/>
      <c r="G30" s="125"/>
      <c r="H30" s="125"/>
      <c r="I30" s="125"/>
      <c r="J30" s="125"/>
      <c r="K30" s="125"/>
      <c r="L30" s="125"/>
      <c r="M30" s="125"/>
      <c r="N30" s="125"/>
      <c r="O30" s="125"/>
      <c r="P30" s="125"/>
      <c r="Q30" s="125"/>
      <c r="R30" s="125"/>
      <c r="S30" s="125"/>
    </row>
    <row r="31" spans="1:19" ht="19.95" customHeight="1">
      <c r="A31" s="133" t="s">
        <v>625</v>
      </c>
      <c r="B31" s="133"/>
      <c r="C31" s="133"/>
      <c r="D31" s="125"/>
      <c r="E31" s="125"/>
      <c r="F31" s="125"/>
      <c r="G31" s="125"/>
      <c r="H31" s="125"/>
      <c r="I31" s="125"/>
      <c r="J31" s="125"/>
      <c r="K31" s="125"/>
      <c r="L31" s="125"/>
      <c r="M31" s="125"/>
      <c r="N31" s="125"/>
      <c r="O31" s="125"/>
      <c r="P31" s="125"/>
      <c r="Q31" s="125"/>
      <c r="R31" s="125"/>
      <c r="S31" s="125"/>
    </row>
    <row r="32" spans="1:19" ht="19.95" customHeight="1">
      <c r="A32" s="134" t="s">
        <v>576</v>
      </c>
      <c r="B32" s="134"/>
      <c r="C32" s="134"/>
      <c r="D32" s="125"/>
      <c r="E32" s="125"/>
      <c r="F32" s="125"/>
      <c r="G32" s="125"/>
      <c r="H32" s="125"/>
      <c r="I32" s="125"/>
      <c r="J32" s="125"/>
      <c r="K32" s="125"/>
      <c r="L32" s="125"/>
      <c r="M32" s="125"/>
      <c r="N32" s="125"/>
      <c r="O32" s="125"/>
      <c r="P32" s="125"/>
      <c r="Q32" s="125"/>
      <c r="R32" s="125"/>
      <c r="S32" s="125"/>
    </row>
    <row r="33" spans="1:19" ht="19.95" customHeight="1">
      <c r="A33" s="130"/>
      <c r="B33" s="130"/>
      <c r="C33" s="53"/>
      <c r="D33" s="125"/>
      <c r="E33" s="125"/>
      <c r="F33" s="125"/>
      <c r="G33" s="125"/>
      <c r="H33" s="125"/>
      <c r="I33" s="125"/>
      <c r="J33" s="125"/>
      <c r="K33" s="125"/>
      <c r="L33" s="125"/>
      <c r="M33" s="125"/>
      <c r="N33" s="125"/>
      <c r="O33" s="125"/>
      <c r="P33" s="125"/>
      <c r="Q33" s="125"/>
      <c r="R33" s="125"/>
      <c r="S33" s="125"/>
    </row>
  </sheetData>
  <mergeCells count="20">
    <mergeCell ref="S12:S13"/>
    <mergeCell ref="A5:S5"/>
    <mergeCell ref="B12:B13"/>
    <mergeCell ref="E12:E13"/>
    <mergeCell ref="H12:H13"/>
    <mergeCell ref="A21:H21"/>
    <mergeCell ref="A22:H22"/>
    <mergeCell ref="A23:H23"/>
    <mergeCell ref="A1:S1"/>
    <mergeCell ref="A2:S2"/>
    <mergeCell ref="A12:A13"/>
    <mergeCell ref="C12:C13"/>
    <mergeCell ref="D12:D13"/>
    <mergeCell ref="F12:F13"/>
    <mergeCell ref="G12:G13"/>
    <mergeCell ref="I12:K12"/>
    <mergeCell ref="L12:M12"/>
    <mergeCell ref="N12:P12"/>
    <mergeCell ref="Q12:Q13"/>
    <mergeCell ref="R12:R13"/>
  </mergeCells>
  <phoneticPr fontId="10" type="noConversion"/>
  <dataValidations xWindow="703" yWindow="557" count="1">
    <dataValidation type="list" allowBlank="1" showInputMessage="1" showErrorMessage="1" prompt="如要修改下列框的选项，单击“数据-数据有效性-设置-序列-来源”。_x000a_" sqref="E14:E20">
      <formula1>"处置,其他减少"</formula1>
    </dataValidation>
  </dataValidations>
  <hyperlinks>
    <hyperlink ref="S3" location="底稿目录!A1" display="H7A"/>
  </hyperlinks>
  <printOptions horizontalCentered="1"/>
  <pageMargins left="0.70866141732283472" right="0.70866141732283472" top="0.74803149606299213" bottom="0.74803149606299213" header="0.31496062992125984" footer="0.31496062992125984"/>
  <pageSetup paperSize="9" scale="72" orientation="landscape" blackAndWhite="1" r:id="rId1"/>
  <headerFooter>
    <oddFooter>&amp;C&amp;P/&amp;N</oddFooter>
  </headerFooter>
  <extLst>
    <ext xmlns:x14="http://schemas.microsoft.com/office/spreadsheetml/2009/9/main" uri="{CCE6A557-97BC-4b89-ADB6-D9C93CAAB3DF}">
      <x14:dataValidations xmlns:xm="http://schemas.microsoft.com/office/excel/2006/main" xWindow="703" yWindow="557" count="1">
        <x14:dataValidation type="list" allowBlank="1" showInputMessage="1" showErrorMessage="1">
          <x14:formula1>
            <xm:f>底稿目录!$A$9:$A$13</xm:f>
          </x14:formula1>
          <xm:sqref>B14:B20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O64"/>
  <sheetViews>
    <sheetView view="pageBreakPreview" zoomScaleSheetLayoutView="100" workbookViewId="0">
      <selection sqref="A1:I1"/>
    </sheetView>
  </sheetViews>
  <sheetFormatPr defaultColWidth="9" defaultRowHeight="19.95" customHeight="1"/>
  <cols>
    <col min="1" max="8" width="11.8984375" style="20" customWidth="1"/>
    <col min="9" max="9" width="14" style="20" customWidth="1"/>
    <col min="10" max="10" width="6.19921875" style="20" customWidth="1"/>
    <col min="11" max="11" width="10.5" style="20" customWidth="1"/>
    <col min="12" max="12" width="9" style="20"/>
    <col min="13" max="13" width="7.09765625" style="20" customWidth="1"/>
    <col min="14" max="16384" width="9" style="20"/>
  </cols>
  <sheetData>
    <row r="1" spans="1:15" s="354" customFormat="1" ht="19.95" customHeight="1">
      <c r="A1" s="723" t="s">
        <v>982</v>
      </c>
      <c r="B1" s="723"/>
      <c r="C1" s="723"/>
      <c r="D1" s="723"/>
      <c r="E1" s="723"/>
      <c r="F1" s="723"/>
      <c r="G1" s="723"/>
      <c r="H1" s="723"/>
      <c r="I1" s="723"/>
      <c r="J1" s="355"/>
      <c r="K1" s="355"/>
      <c r="L1" s="355"/>
      <c r="M1" s="355"/>
      <c r="N1" s="355"/>
      <c r="O1" s="355"/>
    </row>
    <row r="2" spans="1:15" s="361" customFormat="1" ht="19.95" customHeight="1">
      <c r="A2" s="724" t="s">
        <v>988</v>
      </c>
      <c r="B2" s="724"/>
      <c r="C2" s="724"/>
      <c r="D2" s="724"/>
      <c r="E2" s="724"/>
      <c r="F2" s="724"/>
      <c r="G2" s="724"/>
      <c r="H2" s="724"/>
      <c r="I2" s="724"/>
      <c r="J2" s="357"/>
      <c r="K2" s="357"/>
      <c r="L2" s="357"/>
      <c r="M2" s="357"/>
      <c r="N2" s="357"/>
      <c r="O2" s="357"/>
    </row>
    <row r="3" spans="1:15" ht="19.95" customHeight="1">
      <c r="A3" s="3" t="str">
        <f>底稿目录!A2</f>
        <v>被审计单位：</v>
      </c>
      <c r="C3" s="3"/>
      <c r="D3" s="3" t="str">
        <f>底稿目录!A4</f>
        <v>编制人：</v>
      </c>
      <c r="F3" s="3" t="str">
        <f>底稿目录!A6</f>
        <v>编制日期：</v>
      </c>
      <c r="G3" s="95"/>
      <c r="H3" s="432" t="s">
        <v>1011</v>
      </c>
      <c r="I3" s="252" t="s">
        <v>260</v>
      </c>
      <c r="L3" s="3"/>
      <c r="M3" s="3"/>
    </row>
    <row r="4" spans="1:15" ht="19.95" customHeight="1">
      <c r="A4" s="3" t="str">
        <f>底稿目录!A3</f>
        <v>截止日：</v>
      </c>
      <c r="C4" s="3"/>
      <c r="D4" s="3" t="str">
        <f>底稿目录!A5</f>
        <v>复核人：</v>
      </c>
      <c r="F4" s="3" t="str">
        <f>底稿目录!A7</f>
        <v>复核日期：</v>
      </c>
      <c r="G4" s="95"/>
      <c r="H4" s="432" t="s">
        <v>1012</v>
      </c>
      <c r="I4" s="265"/>
      <c r="L4" s="3"/>
      <c r="M4" s="3"/>
    </row>
    <row r="5" spans="1:15" s="84" customFormat="1" ht="19.95" customHeight="1">
      <c r="A5" s="84" t="s">
        <v>626</v>
      </c>
      <c r="F5" s="84" t="s">
        <v>627</v>
      </c>
    </row>
    <row r="6" spans="1:15" s="85" customFormat="1" ht="19.95" customHeight="1">
      <c r="A6" s="84" t="s">
        <v>628</v>
      </c>
    </row>
    <row r="7" spans="1:15" s="85" customFormat="1" ht="19.95" customHeight="1">
      <c r="A7" s="84"/>
    </row>
    <row r="8" spans="1:15" s="85" customFormat="1" ht="19.95" customHeight="1">
      <c r="A8" s="84" t="s">
        <v>629</v>
      </c>
    </row>
    <row r="9" spans="1:15" s="85" customFormat="1" ht="19.95" customHeight="1">
      <c r="A9" s="84" t="s">
        <v>630</v>
      </c>
    </row>
    <row r="10" spans="1:15" s="85" customFormat="1" ht="19.95" customHeight="1">
      <c r="A10" s="85" t="s">
        <v>631</v>
      </c>
      <c r="E10" s="85" t="s">
        <v>632</v>
      </c>
    </row>
    <row r="11" spans="1:15" s="85" customFormat="1" ht="19.95" customHeight="1">
      <c r="A11" s="85" t="s">
        <v>633</v>
      </c>
    </row>
    <row r="12" spans="1:15" s="85" customFormat="1" ht="19.95" customHeight="1">
      <c r="B12" s="99" t="s">
        <v>634</v>
      </c>
      <c r="C12" s="99" t="s">
        <v>635</v>
      </c>
      <c r="D12" s="99" t="s">
        <v>636</v>
      </c>
      <c r="E12" s="99" t="s">
        <v>637</v>
      </c>
    </row>
    <row r="13" spans="1:15" s="85" customFormat="1" ht="19.95" customHeight="1">
      <c r="B13" s="308"/>
      <c r="C13" s="308"/>
      <c r="D13" s="308"/>
      <c r="E13" s="308"/>
    </row>
    <row r="14" spans="1:15" s="85" customFormat="1" ht="19.95" customHeight="1">
      <c r="B14" s="308"/>
      <c r="C14" s="308"/>
      <c r="D14" s="308"/>
      <c r="E14" s="308"/>
    </row>
    <row r="15" spans="1:15" s="85" customFormat="1" ht="19.95" customHeight="1">
      <c r="B15" s="308"/>
      <c r="C15" s="308"/>
      <c r="D15" s="308"/>
      <c r="E15" s="308"/>
    </row>
    <row r="16" spans="1:15" s="85" customFormat="1" ht="19.95" customHeight="1">
      <c r="A16" s="85" t="s">
        <v>638</v>
      </c>
    </row>
    <row r="17" spans="1:12" s="85" customFormat="1" ht="19.95" customHeight="1">
      <c r="B17" s="99" t="s">
        <v>639</v>
      </c>
      <c r="C17" s="99" t="s">
        <v>640</v>
      </c>
      <c r="D17" s="99" t="s">
        <v>641</v>
      </c>
      <c r="E17" s="99" t="s">
        <v>642</v>
      </c>
    </row>
    <row r="18" spans="1:12" s="85" customFormat="1" ht="19.95" customHeight="1">
      <c r="B18" s="308"/>
      <c r="C18" s="308"/>
      <c r="D18" s="308"/>
      <c r="E18" s="308"/>
    </row>
    <row r="19" spans="1:12" s="85" customFormat="1" ht="19.95" customHeight="1">
      <c r="B19" s="308"/>
      <c r="C19" s="308"/>
      <c r="D19" s="308"/>
      <c r="E19" s="308"/>
    </row>
    <row r="20" spans="1:12" s="85" customFormat="1" ht="19.95" customHeight="1">
      <c r="B20" s="308"/>
      <c r="C20" s="308"/>
      <c r="D20" s="308"/>
      <c r="E20" s="308"/>
    </row>
    <row r="21" spans="1:12" s="85" customFormat="1" ht="19.95" customHeight="1">
      <c r="A21" s="85" t="s">
        <v>643</v>
      </c>
    </row>
    <row r="22" spans="1:12" s="85" customFormat="1" ht="19.95" customHeight="1">
      <c r="B22" s="99" t="s">
        <v>644</v>
      </c>
      <c r="C22" s="99" t="s">
        <v>645</v>
      </c>
      <c r="D22" s="99" t="s">
        <v>646</v>
      </c>
      <c r="E22" s="99" t="s">
        <v>647</v>
      </c>
    </row>
    <row r="23" spans="1:12" s="85" customFormat="1" ht="19.95" customHeight="1">
      <c r="B23" s="308"/>
      <c r="C23" s="308"/>
      <c r="D23" s="308"/>
      <c r="E23" s="308"/>
    </row>
    <row r="24" spans="1:12" s="85" customFormat="1" ht="19.95" customHeight="1">
      <c r="B24" s="308"/>
      <c r="C24" s="308"/>
      <c r="D24" s="308"/>
      <c r="E24" s="308"/>
    </row>
    <row r="25" spans="1:12" s="85" customFormat="1" ht="19.95" customHeight="1">
      <c r="B25" s="308"/>
      <c r="C25" s="308"/>
      <c r="D25" s="308"/>
      <c r="E25" s="308"/>
    </row>
    <row r="26" spans="1:12" s="85" customFormat="1" ht="19.95" customHeight="1">
      <c r="A26" s="84" t="s">
        <v>648</v>
      </c>
    </row>
    <row r="27" spans="1:12" s="86" customFormat="1" ht="19.95" customHeight="1">
      <c r="A27" s="85" t="s">
        <v>649</v>
      </c>
      <c r="B27" s="85"/>
      <c r="C27" s="85"/>
      <c r="D27" s="85"/>
      <c r="E27" s="85"/>
      <c r="F27" s="85"/>
      <c r="G27" s="85"/>
      <c r="H27" s="85"/>
      <c r="I27" s="85"/>
      <c r="J27" s="85"/>
      <c r="K27" s="85"/>
      <c r="L27" s="85"/>
    </row>
    <row r="28" spans="1:12" s="86" customFormat="1" ht="19.95" customHeight="1">
      <c r="A28" s="85" t="s">
        <v>650</v>
      </c>
      <c r="B28" s="85"/>
      <c r="C28" s="85"/>
      <c r="D28" s="85"/>
      <c r="E28" s="85"/>
      <c r="F28" s="85"/>
      <c r="G28" s="85"/>
      <c r="H28" s="85"/>
      <c r="I28" s="85"/>
      <c r="J28" s="85"/>
      <c r="K28" s="85"/>
      <c r="L28" s="85"/>
    </row>
    <row r="29" spans="1:12" s="86" customFormat="1" ht="19.95" customHeight="1">
      <c r="A29" s="85" t="s">
        <v>651</v>
      </c>
      <c r="B29" s="85"/>
      <c r="C29" s="85"/>
      <c r="D29" s="85"/>
      <c r="E29" s="85"/>
      <c r="F29" s="85" t="s">
        <v>652</v>
      </c>
      <c r="G29" s="85"/>
      <c r="H29" s="85"/>
      <c r="I29" s="85"/>
      <c r="J29" s="85"/>
      <c r="K29" s="85"/>
      <c r="L29" s="85"/>
    </row>
    <row r="30" spans="1:12" s="85" customFormat="1" ht="19.95" customHeight="1">
      <c r="A30" s="45" t="s">
        <v>653</v>
      </c>
    </row>
    <row r="31" spans="1:12" s="85" customFormat="1" ht="19.95" customHeight="1">
      <c r="A31" s="85" t="s">
        <v>654</v>
      </c>
    </row>
    <row r="32" spans="1:12" s="85" customFormat="1" ht="19.95" customHeight="1">
      <c r="A32" s="85" t="s">
        <v>655</v>
      </c>
    </row>
    <row r="33" spans="1:12" s="85" customFormat="1" ht="19.95" customHeight="1">
      <c r="A33" s="85" t="s">
        <v>656</v>
      </c>
    </row>
    <row r="34" spans="1:12" s="85" customFormat="1" ht="19.95" customHeight="1">
      <c r="A34" s="85" t="s">
        <v>657</v>
      </c>
      <c r="F34" s="85" t="s">
        <v>652</v>
      </c>
    </row>
    <row r="35" spans="1:12" s="85" customFormat="1" ht="19.95" customHeight="1">
      <c r="A35" s="85" t="s">
        <v>658</v>
      </c>
    </row>
    <row r="36" spans="1:12" s="85" customFormat="1" ht="19.95" customHeight="1">
      <c r="A36" s="84" t="s">
        <v>659</v>
      </c>
    </row>
    <row r="37" spans="1:12" s="85" customFormat="1" ht="19.95" customHeight="1">
      <c r="A37" s="85" t="s">
        <v>660</v>
      </c>
      <c r="F37" s="85" t="s">
        <v>661</v>
      </c>
    </row>
    <row r="38" spans="1:12" s="85" customFormat="1" ht="19.95" customHeight="1">
      <c r="A38" s="85" t="s">
        <v>662</v>
      </c>
      <c r="F38" s="85" t="s">
        <v>663</v>
      </c>
    </row>
    <row r="39" spans="1:12" s="85" customFormat="1" ht="19.95" customHeight="1">
      <c r="A39" s="85" t="s">
        <v>664</v>
      </c>
    </row>
    <row r="40" spans="1:12" s="85" customFormat="1" ht="19.95" customHeight="1">
      <c r="A40" s="45" t="s">
        <v>665</v>
      </c>
    </row>
    <row r="41" spans="1:12" s="85" customFormat="1" ht="19.95" customHeight="1">
      <c r="A41" s="84" t="s">
        <v>666</v>
      </c>
    </row>
    <row r="42" spans="1:12" s="85" customFormat="1" ht="19.95" customHeight="1"/>
    <row r="43" spans="1:12" s="85" customFormat="1" ht="19.95" customHeight="1">
      <c r="A43" s="45" t="s">
        <v>667</v>
      </c>
    </row>
    <row r="44" spans="1:12" s="309" customFormat="1" ht="19.95" customHeight="1">
      <c r="A44" s="84" t="s">
        <v>668</v>
      </c>
      <c r="B44" s="85"/>
      <c r="C44" s="85"/>
      <c r="D44" s="85"/>
      <c r="E44" s="85"/>
      <c r="F44" s="85"/>
      <c r="G44" s="85"/>
      <c r="H44" s="85"/>
      <c r="I44" s="85"/>
      <c r="J44" s="85"/>
      <c r="K44" s="85"/>
      <c r="L44" s="85"/>
    </row>
    <row r="45" spans="1:12" s="309" customFormat="1" ht="19.95" customHeight="1">
      <c r="A45" s="85" t="s">
        <v>669</v>
      </c>
      <c r="B45" s="85"/>
      <c r="C45" s="85"/>
      <c r="D45" s="85"/>
      <c r="E45" s="85"/>
      <c r="F45" s="85"/>
      <c r="G45" s="85"/>
      <c r="H45" s="85"/>
      <c r="I45" s="85"/>
      <c r="J45" s="85"/>
      <c r="K45" s="85"/>
      <c r="L45" s="85"/>
    </row>
    <row r="46" spans="1:12" s="309" customFormat="1" ht="19.95" customHeight="1">
      <c r="A46" s="85" t="s">
        <v>670</v>
      </c>
      <c r="B46" s="85"/>
      <c r="C46" s="85"/>
      <c r="D46" s="85"/>
      <c r="E46" s="85"/>
      <c r="F46" s="85" t="s">
        <v>671</v>
      </c>
      <c r="G46" s="85"/>
      <c r="H46" s="85"/>
      <c r="I46" s="85"/>
      <c r="J46" s="85"/>
      <c r="K46" s="85"/>
      <c r="L46" s="85"/>
    </row>
    <row r="47" spans="1:12" s="309" customFormat="1" ht="19.95" customHeight="1">
      <c r="A47" s="85" t="s">
        <v>672</v>
      </c>
      <c r="B47" s="85"/>
      <c r="C47" s="85"/>
      <c r="D47" s="85"/>
      <c r="E47" s="85"/>
      <c r="F47" s="85"/>
      <c r="G47" s="85"/>
      <c r="H47" s="85"/>
      <c r="I47" s="85"/>
      <c r="J47" s="85"/>
      <c r="K47" s="85"/>
      <c r="L47" s="85"/>
    </row>
    <row r="48" spans="1:12" s="85" customFormat="1" ht="19.95" customHeight="1">
      <c r="A48" s="85" t="s">
        <v>673</v>
      </c>
    </row>
    <row r="49" spans="1:12" s="85" customFormat="1" ht="19.95" customHeight="1">
      <c r="A49" s="85" t="s">
        <v>674</v>
      </c>
    </row>
    <row r="50" spans="1:12" s="85" customFormat="1" ht="19.95" customHeight="1">
      <c r="A50" s="85" t="s">
        <v>675</v>
      </c>
    </row>
    <row r="51" spans="1:12" s="85" customFormat="1" ht="19.95" customHeight="1">
      <c r="A51" s="85" t="s">
        <v>676</v>
      </c>
    </row>
    <row r="52" spans="1:12" s="85" customFormat="1" ht="19.95" customHeight="1">
      <c r="A52" s="85" t="s">
        <v>677</v>
      </c>
      <c r="E52" s="85" t="s">
        <v>678</v>
      </c>
    </row>
    <row r="53" spans="1:12" s="85" customFormat="1" ht="19.95" customHeight="1">
      <c r="A53" s="85" t="s">
        <v>679</v>
      </c>
    </row>
    <row r="54" spans="1:12" s="85" customFormat="1" ht="19.95" customHeight="1">
      <c r="A54" s="85" t="s">
        <v>680</v>
      </c>
    </row>
    <row r="55" spans="1:12" s="85" customFormat="1" ht="19.95" customHeight="1">
      <c r="A55" s="85" t="s">
        <v>681</v>
      </c>
    </row>
    <row r="56" spans="1:12" s="85" customFormat="1" ht="19.95" customHeight="1">
      <c r="A56" s="85" t="s">
        <v>682</v>
      </c>
      <c r="G56" s="85" t="s">
        <v>683</v>
      </c>
    </row>
    <row r="57" spans="1:12" s="85" customFormat="1" ht="19.95" customHeight="1">
      <c r="A57" s="85" t="s">
        <v>684</v>
      </c>
      <c r="G57" s="85" t="s">
        <v>683</v>
      </c>
    </row>
    <row r="58" spans="1:12" s="85" customFormat="1" ht="19.95" customHeight="1">
      <c r="A58" s="85" t="s">
        <v>685</v>
      </c>
    </row>
    <row r="59" spans="1:12" s="85" customFormat="1" ht="19.95" customHeight="1">
      <c r="A59" s="85" t="s">
        <v>686</v>
      </c>
    </row>
    <row r="60" spans="1:12" s="85" customFormat="1" ht="19.95" customHeight="1"/>
    <row r="61" spans="1:12" s="85" customFormat="1" ht="19.95" customHeight="1">
      <c r="A61" s="85" t="s">
        <v>687</v>
      </c>
    </row>
    <row r="62" spans="1:12" s="85" customFormat="1" ht="19.95" customHeight="1"/>
    <row r="63" spans="1:12" s="85" customFormat="1" ht="19.95" customHeight="1"/>
    <row r="64" spans="1:12" ht="19.95" customHeight="1">
      <c r="A64" s="85"/>
      <c r="B64" s="85"/>
      <c r="C64" s="85"/>
      <c r="D64" s="85"/>
      <c r="E64" s="85"/>
      <c r="F64" s="85"/>
      <c r="G64" s="85"/>
      <c r="H64" s="85"/>
      <c r="I64" s="85"/>
      <c r="J64" s="85"/>
      <c r="K64" s="85"/>
      <c r="L64" s="85"/>
    </row>
  </sheetData>
  <mergeCells count="2">
    <mergeCell ref="A1:I1"/>
    <mergeCell ref="A2:I2"/>
  </mergeCells>
  <phoneticPr fontId="10" type="noConversion"/>
  <hyperlinks>
    <hyperlink ref="I3" location="底稿目录!A1" display="H7A"/>
  </hyperlinks>
  <printOptions horizontalCentered="1"/>
  <pageMargins left="0.70866141732283472" right="0.70866141732283472" top="0.74803149606299213" bottom="0.74803149606299213" header="0.31496062992125984" footer="0.31496062992125984"/>
  <pageSetup paperSize="9" scale="63" orientation="portrait" blackAndWhite="1" r:id="rId1"/>
  <headerFooter>
    <oddFooter>&amp;C&amp;P/&amp;N</oddFooter>
  </headerFooter>
  <rowBreaks count="1" manualBreakCount="1">
    <brk id="43"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66"/>
  <sheetViews>
    <sheetView showZeros="0" view="pageBreakPreview" zoomScaleNormal="115" zoomScaleSheetLayoutView="100" workbookViewId="0">
      <selection sqref="A1:M1"/>
    </sheetView>
  </sheetViews>
  <sheetFormatPr defaultColWidth="9" defaultRowHeight="19.95" customHeight="1"/>
  <cols>
    <col min="1" max="1" width="11.3984375" style="20" customWidth="1"/>
    <col min="2" max="2" width="10.59765625" style="20" customWidth="1"/>
    <col min="3" max="3" width="9.5" style="20" customWidth="1"/>
    <col min="4" max="4" width="5" style="20" customWidth="1"/>
    <col min="5" max="5" width="8" style="20" customWidth="1"/>
    <col min="6" max="7" width="12.3984375" style="20" customWidth="1"/>
    <col min="8" max="8" width="9.59765625" style="20" customWidth="1"/>
    <col min="9" max="9" width="14.69921875" style="20" customWidth="1"/>
    <col min="10" max="10" width="12.796875" style="20" customWidth="1"/>
    <col min="11" max="11" width="13.69921875" style="20" customWidth="1"/>
    <col min="12" max="12" width="16.3984375" style="20" customWidth="1"/>
    <col min="13" max="13" width="16" style="20" customWidth="1"/>
    <col min="14" max="16384" width="9" style="20"/>
  </cols>
  <sheetData>
    <row r="1" spans="1:17" s="354" customFormat="1" ht="19.95" customHeight="1">
      <c r="A1" s="723" t="s">
        <v>982</v>
      </c>
      <c r="B1" s="723"/>
      <c r="C1" s="723"/>
      <c r="D1" s="723"/>
      <c r="E1" s="723"/>
      <c r="F1" s="723"/>
      <c r="G1" s="723"/>
      <c r="H1" s="723"/>
      <c r="I1" s="723"/>
      <c r="J1" s="723"/>
      <c r="K1" s="723"/>
      <c r="L1" s="723"/>
      <c r="M1" s="723"/>
    </row>
    <row r="2" spans="1:17" s="361" customFormat="1" ht="19.95" customHeight="1">
      <c r="A2" s="728" t="s">
        <v>999</v>
      </c>
      <c r="B2" s="728"/>
      <c r="C2" s="728"/>
      <c r="D2" s="728"/>
      <c r="E2" s="728"/>
      <c r="F2" s="728"/>
      <c r="G2" s="728"/>
      <c r="H2" s="728"/>
      <c r="I2" s="728"/>
      <c r="J2" s="728"/>
      <c r="K2" s="728"/>
      <c r="L2" s="728"/>
      <c r="M2" s="728"/>
    </row>
    <row r="3" spans="1:17" s="258" customFormat="1" ht="19.95" customHeight="1">
      <c r="A3" s="182" t="str">
        <f>底稿目录!A2</f>
        <v>被审计单位：</v>
      </c>
      <c r="C3" s="182"/>
      <c r="D3" s="182"/>
      <c r="E3" s="182" t="str">
        <f>底稿目录!A4</f>
        <v>编制人：</v>
      </c>
      <c r="F3" s="518"/>
      <c r="G3" s="182"/>
      <c r="J3" s="182" t="str">
        <f>底稿目录!A6</f>
        <v>编制日期：</v>
      </c>
      <c r="L3" s="539" t="s">
        <v>1011</v>
      </c>
      <c r="M3" s="313" t="s">
        <v>262</v>
      </c>
    </row>
    <row r="4" spans="1:17" s="258" customFormat="1" ht="19.95" customHeight="1">
      <c r="A4" s="182" t="str">
        <f>底稿目录!A3</f>
        <v>截止日：</v>
      </c>
      <c r="C4" s="182"/>
      <c r="D4" s="182"/>
      <c r="E4" s="182" t="str">
        <f>底稿目录!A5</f>
        <v>复核人：</v>
      </c>
      <c r="F4" s="518"/>
      <c r="G4" s="182"/>
      <c r="J4" s="182" t="str">
        <f>底稿目录!A7</f>
        <v>复核日期：</v>
      </c>
      <c r="L4" s="539" t="s">
        <v>1012</v>
      </c>
      <c r="M4" s="314"/>
    </row>
    <row r="5" spans="1:17" s="534" customFormat="1" ht="19.95" customHeight="1">
      <c r="A5" s="563" t="s">
        <v>688</v>
      </c>
      <c r="B5" s="562"/>
      <c r="C5" s="562"/>
      <c r="D5" s="562"/>
      <c r="E5" s="562"/>
      <c r="F5" s="562"/>
      <c r="G5" s="562"/>
      <c r="H5" s="562"/>
      <c r="I5" s="562"/>
      <c r="J5" s="562"/>
      <c r="K5" s="562"/>
      <c r="L5" s="562"/>
      <c r="M5" s="562"/>
    </row>
    <row r="6" spans="1:17" s="534" customFormat="1" ht="19.95" customHeight="1">
      <c r="A6" s="568" t="s">
        <v>1122</v>
      </c>
      <c r="B6" s="569"/>
      <c r="C6" s="569"/>
      <c r="D6" s="569"/>
      <c r="E6" s="569"/>
      <c r="F6" s="569"/>
      <c r="G6" s="569"/>
      <c r="H6" s="569"/>
      <c r="I6" s="569"/>
      <c r="J6" s="569"/>
      <c r="K6" s="569"/>
      <c r="L6" s="569"/>
      <c r="M6" s="569"/>
    </row>
    <row r="7" spans="1:17" s="534" customFormat="1" ht="19.95" customHeight="1">
      <c r="A7" s="568" t="s">
        <v>689</v>
      </c>
      <c r="B7" s="569"/>
      <c r="C7" s="569"/>
      <c r="D7" s="569"/>
      <c r="E7" s="569"/>
      <c r="F7" s="569"/>
      <c r="G7" s="569"/>
      <c r="H7" s="569"/>
      <c r="I7" s="569"/>
      <c r="J7" s="569"/>
      <c r="K7" s="569"/>
      <c r="L7" s="569"/>
      <c r="M7" s="569"/>
    </row>
    <row r="8" spans="1:17" s="534" customFormat="1" ht="19.95" customHeight="1">
      <c r="A8" s="540" t="s">
        <v>690</v>
      </c>
      <c r="B8" s="540"/>
      <c r="C8" s="541"/>
      <c r="D8" s="541"/>
      <c r="E8" s="541"/>
      <c r="F8" s="541"/>
      <c r="G8" s="541"/>
      <c r="H8" s="541"/>
      <c r="I8" s="541"/>
      <c r="J8" s="541"/>
      <c r="K8" s="541"/>
      <c r="L8" s="541"/>
      <c r="M8" s="541"/>
      <c r="N8" s="542"/>
      <c r="O8" s="543"/>
      <c r="P8" s="543"/>
      <c r="Q8" s="543"/>
    </row>
    <row r="9" spans="1:17" s="534" customFormat="1" ht="19.95" customHeight="1">
      <c r="A9" s="544" t="s">
        <v>544</v>
      </c>
      <c r="B9" s="545" t="s">
        <v>1123</v>
      </c>
      <c r="C9" s="541"/>
      <c r="D9" s="541"/>
      <c r="E9" s="541"/>
      <c r="F9" s="544"/>
      <c r="G9" s="544" t="s">
        <v>691</v>
      </c>
      <c r="H9" s="545" t="s">
        <v>692</v>
      </c>
      <c r="I9" s="541"/>
      <c r="L9" s="541"/>
      <c r="M9" s="541"/>
      <c r="N9" s="281"/>
      <c r="O9" s="281"/>
      <c r="P9" s="281"/>
      <c r="Q9" s="281"/>
    </row>
    <row r="10" spans="1:17" s="534" customFormat="1" ht="19.95" customHeight="1">
      <c r="A10" s="544" t="s">
        <v>693</v>
      </c>
      <c r="B10" s="545" t="s">
        <v>694</v>
      </c>
      <c r="C10" s="541"/>
      <c r="D10" s="541"/>
      <c r="E10" s="541"/>
      <c r="F10" s="544"/>
      <c r="G10" s="544" t="s">
        <v>695</v>
      </c>
      <c r="H10" s="545" t="s">
        <v>696</v>
      </c>
      <c r="I10" s="545" t="s">
        <v>551</v>
      </c>
      <c r="L10" s="541"/>
      <c r="M10" s="541"/>
      <c r="N10" s="281"/>
      <c r="O10" s="281"/>
      <c r="P10" s="281"/>
      <c r="Q10" s="281"/>
    </row>
    <row r="11" spans="1:17" s="534" customFormat="1" ht="19.95" customHeight="1">
      <c r="A11" s="544" t="s">
        <v>552</v>
      </c>
      <c r="B11" s="609" t="s">
        <v>1219</v>
      </c>
      <c r="C11" s="541"/>
      <c r="D11" s="541"/>
      <c r="E11" s="541"/>
      <c r="F11" s="544"/>
      <c r="G11" s="544" t="s">
        <v>697</v>
      </c>
      <c r="H11" s="570" t="s">
        <v>698</v>
      </c>
      <c r="I11" s="571"/>
      <c r="L11" s="571"/>
      <c r="M11" s="571"/>
      <c r="N11" s="281"/>
      <c r="O11" s="281"/>
      <c r="P11" s="281"/>
      <c r="Q11" s="281"/>
    </row>
    <row r="12" spans="1:17" s="534" customFormat="1" ht="19.95" customHeight="1">
      <c r="A12" s="563" t="s">
        <v>699</v>
      </c>
      <c r="B12" s="572"/>
      <c r="C12" s="572"/>
      <c r="D12" s="572"/>
      <c r="E12" s="573"/>
      <c r="F12" s="574"/>
      <c r="G12" s="532"/>
      <c r="H12" s="532"/>
      <c r="I12" s="532"/>
      <c r="J12" s="532"/>
      <c r="K12" s="532"/>
      <c r="L12" s="532"/>
      <c r="M12" s="532"/>
    </row>
    <row r="13" spans="1:17" s="258" customFormat="1" ht="19.95" customHeight="1">
      <c r="A13" s="182" t="s">
        <v>1124</v>
      </c>
      <c r="B13" s="257"/>
      <c r="C13" s="575" t="s">
        <v>1125</v>
      </c>
      <c r="D13" s="576" t="s">
        <v>1126</v>
      </c>
      <c r="G13" s="257"/>
      <c r="H13" s="257"/>
      <c r="I13" s="575" t="s">
        <v>1127</v>
      </c>
      <c r="J13" s="576" t="s">
        <v>1128</v>
      </c>
      <c r="L13" s="526" t="s">
        <v>1129</v>
      </c>
    </row>
    <row r="14" spans="1:17" s="258" customFormat="1" ht="19.95" customHeight="1">
      <c r="A14" s="310" t="s">
        <v>700</v>
      </c>
      <c r="B14" s="257"/>
      <c r="C14" s="257"/>
      <c r="D14" s="257"/>
      <c r="G14" s="257"/>
      <c r="H14" s="257"/>
      <c r="I14" s="257"/>
      <c r="L14" s="257"/>
    </row>
    <row r="15" spans="1:17" s="3" customFormat="1" ht="19.95" customHeight="1">
      <c r="A15" s="654" t="s">
        <v>701</v>
      </c>
      <c r="B15" s="654" t="s">
        <v>702</v>
      </c>
      <c r="C15" s="654" t="s">
        <v>703</v>
      </c>
      <c r="D15" s="654" t="s">
        <v>704</v>
      </c>
      <c r="E15" s="654" t="s">
        <v>705</v>
      </c>
      <c r="F15" s="729" t="s">
        <v>309</v>
      </c>
      <c r="G15" s="730"/>
      <c r="H15" s="731" t="s">
        <v>706</v>
      </c>
      <c r="I15" s="731" t="s">
        <v>310</v>
      </c>
      <c r="J15" s="731" t="s">
        <v>707</v>
      </c>
      <c r="K15" s="731" t="s">
        <v>708</v>
      </c>
      <c r="L15" s="731" t="s">
        <v>709</v>
      </c>
      <c r="M15" s="731" t="s">
        <v>1130</v>
      </c>
    </row>
    <row r="16" spans="1:17" s="3" customFormat="1" ht="19.95" customHeight="1">
      <c r="A16" s="654"/>
      <c r="B16" s="654"/>
      <c r="C16" s="654"/>
      <c r="D16" s="654"/>
      <c r="E16" s="654"/>
      <c r="F16" s="552" t="s">
        <v>311</v>
      </c>
      <c r="G16" s="552" t="s">
        <v>312</v>
      </c>
      <c r="H16" s="732"/>
      <c r="I16" s="732"/>
      <c r="J16" s="732"/>
      <c r="K16" s="732"/>
      <c r="L16" s="732"/>
      <c r="M16" s="732"/>
    </row>
    <row r="17" spans="1:13" s="3" customFormat="1" ht="19.95" customHeight="1">
      <c r="A17" s="48"/>
      <c r="B17" s="96"/>
      <c r="C17" s="96"/>
      <c r="D17" s="48"/>
      <c r="E17" s="49"/>
      <c r="F17" s="49"/>
      <c r="G17" s="49"/>
      <c r="H17" s="219"/>
      <c r="I17" s="219"/>
      <c r="J17" s="256">
        <f>I17-F17</f>
        <v>0</v>
      </c>
      <c r="K17" s="256">
        <f>I17-H17</f>
        <v>0</v>
      </c>
      <c r="L17" s="256">
        <f>H17-F17</f>
        <v>0</v>
      </c>
      <c r="M17" s="112"/>
    </row>
    <row r="18" spans="1:13" s="3" customFormat="1" ht="19.95" customHeight="1">
      <c r="A18" s="48"/>
      <c r="B18" s="96"/>
      <c r="C18" s="96"/>
      <c r="D18" s="48"/>
      <c r="E18" s="49"/>
      <c r="F18" s="49"/>
      <c r="G18" s="49"/>
      <c r="H18" s="219"/>
      <c r="I18" s="219"/>
      <c r="J18" s="256">
        <f t="shared" ref="J18" si="0">I18-F18</f>
        <v>0</v>
      </c>
      <c r="K18" s="256">
        <f t="shared" ref="K18" si="1">I18-H18</f>
        <v>0</v>
      </c>
      <c r="L18" s="256">
        <f t="shared" ref="L18" si="2">H18-F18</f>
        <v>0</v>
      </c>
      <c r="M18" s="112"/>
    </row>
    <row r="19" spans="1:13" s="3" customFormat="1" ht="19.95" customHeight="1">
      <c r="A19" s="48"/>
      <c r="B19" s="96"/>
      <c r="C19" s="96"/>
      <c r="D19" s="48"/>
      <c r="E19" s="49"/>
      <c r="F19" s="49"/>
      <c r="G19" s="49"/>
      <c r="H19" s="219"/>
      <c r="I19" s="219"/>
      <c r="J19" s="256">
        <f t="shared" ref="J19:J27" si="3">I19-F19</f>
        <v>0</v>
      </c>
      <c r="K19" s="256">
        <f t="shared" ref="K19:K27" si="4">I19-H19</f>
        <v>0</v>
      </c>
      <c r="L19" s="256">
        <f t="shared" ref="L19:L27" si="5">H19-F19</f>
        <v>0</v>
      </c>
      <c r="M19" s="112"/>
    </row>
    <row r="20" spans="1:13" s="3" customFormat="1" ht="19.95" customHeight="1">
      <c r="A20" s="48"/>
      <c r="B20" s="96"/>
      <c r="C20" s="96"/>
      <c r="D20" s="48"/>
      <c r="E20" s="49"/>
      <c r="F20" s="49"/>
      <c r="G20" s="49"/>
      <c r="H20" s="219"/>
      <c r="I20" s="219"/>
      <c r="J20" s="256">
        <f t="shared" si="3"/>
        <v>0</v>
      </c>
      <c r="K20" s="256">
        <f t="shared" si="4"/>
        <v>0</v>
      </c>
      <c r="L20" s="256">
        <f t="shared" si="5"/>
        <v>0</v>
      </c>
      <c r="M20" s="112"/>
    </row>
    <row r="21" spans="1:13" s="3" customFormat="1" ht="19.95" customHeight="1">
      <c r="A21" s="48"/>
      <c r="B21" s="96"/>
      <c r="C21" s="96"/>
      <c r="D21" s="48"/>
      <c r="E21" s="49"/>
      <c r="F21" s="49"/>
      <c r="G21" s="49"/>
      <c r="H21" s="219"/>
      <c r="I21" s="219"/>
      <c r="J21" s="256">
        <f t="shared" si="3"/>
        <v>0</v>
      </c>
      <c r="K21" s="256">
        <f t="shared" si="4"/>
        <v>0</v>
      </c>
      <c r="L21" s="256">
        <f t="shared" si="5"/>
        <v>0</v>
      </c>
      <c r="M21" s="112"/>
    </row>
    <row r="22" spans="1:13" s="3" customFormat="1" ht="19.95" customHeight="1">
      <c r="A22" s="48"/>
      <c r="B22" s="96"/>
      <c r="C22" s="96"/>
      <c r="D22" s="48"/>
      <c r="E22" s="49"/>
      <c r="F22" s="49"/>
      <c r="G22" s="49"/>
      <c r="H22" s="219"/>
      <c r="I22" s="219"/>
      <c r="J22" s="256">
        <f t="shared" si="3"/>
        <v>0</v>
      </c>
      <c r="K22" s="256">
        <f t="shared" si="4"/>
        <v>0</v>
      </c>
      <c r="L22" s="256">
        <f t="shared" si="5"/>
        <v>0</v>
      </c>
      <c r="M22" s="112"/>
    </row>
    <row r="23" spans="1:13" s="3" customFormat="1" ht="19.95" customHeight="1">
      <c r="A23" s="48"/>
      <c r="B23" s="96"/>
      <c r="C23" s="96"/>
      <c r="D23" s="48"/>
      <c r="E23" s="49"/>
      <c r="F23" s="49"/>
      <c r="G23" s="49"/>
      <c r="H23" s="219"/>
      <c r="I23" s="219"/>
      <c r="J23" s="256">
        <f t="shared" si="3"/>
        <v>0</v>
      </c>
      <c r="K23" s="256">
        <f t="shared" si="4"/>
        <v>0</v>
      </c>
      <c r="L23" s="256">
        <f t="shared" si="5"/>
        <v>0</v>
      </c>
      <c r="M23" s="112"/>
    </row>
    <row r="24" spans="1:13" s="3" customFormat="1" ht="19.95" customHeight="1">
      <c r="A24" s="48"/>
      <c r="B24" s="96"/>
      <c r="C24" s="96"/>
      <c r="D24" s="48"/>
      <c r="E24" s="49"/>
      <c r="F24" s="49"/>
      <c r="G24" s="49"/>
      <c r="H24" s="219"/>
      <c r="I24" s="219"/>
      <c r="J24" s="256">
        <f t="shared" si="3"/>
        <v>0</v>
      </c>
      <c r="K24" s="256">
        <f t="shared" si="4"/>
        <v>0</v>
      </c>
      <c r="L24" s="256">
        <f t="shared" si="5"/>
        <v>0</v>
      </c>
      <c r="M24" s="112"/>
    </row>
    <row r="25" spans="1:13" s="3" customFormat="1" ht="19.95" customHeight="1">
      <c r="A25" s="48"/>
      <c r="B25" s="96"/>
      <c r="C25" s="96"/>
      <c r="D25" s="48"/>
      <c r="E25" s="49"/>
      <c r="F25" s="49"/>
      <c r="G25" s="49"/>
      <c r="H25" s="219"/>
      <c r="I25" s="219"/>
      <c r="J25" s="256">
        <f t="shared" si="3"/>
        <v>0</v>
      </c>
      <c r="K25" s="256">
        <f t="shared" si="4"/>
        <v>0</v>
      </c>
      <c r="L25" s="256">
        <f t="shared" si="5"/>
        <v>0</v>
      </c>
      <c r="M25" s="112"/>
    </row>
    <row r="26" spans="1:13" s="3" customFormat="1" ht="19.95" customHeight="1">
      <c r="A26" s="48"/>
      <c r="B26" s="96"/>
      <c r="C26" s="96"/>
      <c r="D26" s="48"/>
      <c r="E26" s="49"/>
      <c r="F26" s="49"/>
      <c r="G26" s="49"/>
      <c r="H26" s="219"/>
      <c r="I26" s="219"/>
      <c r="J26" s="256">
        <f t="shared" si="3"/>
        <v>0</v>
      </c>
      <c r="K26" s="256">
        <f t="shared" si="4"/>
        <v>0</v>
      </c>
      <c r="L26" s="256">
        <f t="shared" si="5"/>
        <v>0</v>
      </c>
      <c r="M26" s="112"/>
    </row>
    <row r="27" spans="1:13" s="3" customFormat="1" ht="19.95" customHeight="1">
      <c r="A27" s="48"/>
      <c r="B27" s="96"/>
      <c r="C27" s="96"/>
      <c r="D27" s="48"/>
      <c r="E27" s="49"/>
      <c r="F27" s="49"/>
      <c r="G27" s="49"/>
      <c r="H27" s="219"/>
      <c r="I27" s="219"/>
      <c r="J27" s="256">
        <f t="shared" si="3"/>
        <v>0</v>
      </c>
      <c r="K27" s="256">
        <f t="shared" si="4"/>
        <v>0</v>
      </c>
      <c r="L27" s="256">
        <f t="shared" si="5"/>
        <v>0</v>
      </c>
      <c r="M27" s="112"/>
    </row>
    <row r="28" spans="1:13" s="3" customFormat="1" ht="19.95" customHeight="1">
      <c r="A28" s="725" t="s">
        <v>711</v>
      </c>
      <c r="B28" s="726"/>
      <c r="C28" s="726"/>
      <c r="D28" s="726"/>
      <c r="E28" s="727"/>
      <c r="F28" s="185">
        <f>SUM(F17:F27)</f>
        <v>0</v>
      </c>
      <c r="G28" s="185">
        <f>SUM(G17:G27)</f>
        <v>0</v>
      </c>
      <c r="H28" s="185">
        <f t="shared" ref="H28:M28" si="6">SUM(H17:H27)</f>
        <v>0</v>
      </c>
      <c r="I28" s="185">
        <f t="shared" si="6"/>
        <v>0</v>
      </c>
      <c r="J28" s="185">
        <f t="shared" si="6"/>
        <v>0</v>
      </c>
      <c r="K28" s="185">
        <f t="shared" si="6"/>
        <v>0</v>
      </c>
      <c r="L28" s="185">
        <f t="shared" si="6"/>
        <v>0</v>
      </c>
      <c r="M28" s="185">
        <f t="shared" si="6"/>
        <v>0</v>
      </c>
    </row>
    <row r="29" spans="1:13" s="3" customFormat="1" ht="19.95" customHeight="1">
      <c r="A29" s="725" t="s">
        <v>712</v>
      </c>
      <c r="B29" s="726"/>
      <c r="C29" s="726"/>
      <c r="D29" s="726"/>
      <c r="E29" s="727"/>
      <c r="F29" s="185"/>
      <c r="G29" s="112"/>
      <c r="H29" s="185"/>
      <c r="I29" s="185"/>
      <c r="J29" s="185"/>
      <c r="K29" s="185"/>
      <c r="L29" s="185"/>
      <c r="M29" s="185"/>
    </row>
    <row r="30" spans="1:13" s="3" customFormat="1" ht="19.95" customHeight="1">
      <c r="A30" s="725" t="s">
        <v>713</v>
      </c>
      <c r="B30" s="726"/>
      <c r="C30" s="726"/>
      <c r="D30" s="726"/>
      <c r="E30" s="727"/>
      <c r="F30" s="185"/>
      <c r="G30" s="185" t="e">
        <f>G28/G29</f>
        <v>#DIV/0!</v>
      </c>
      <c r="H30" s="185"/>
      <c r="I30" s="185"/>
      <c r="J30" s="185"/>
      <c r="K30" s="185"/>
      <c r="L30" s="185"/>
      <c r="M30" s="185"/>
    </row>
    <row r="31" spans="1:13" s="182" customFormat="1" ht="19.95" customHeight="1">
      <c r="A31" s="311"/>
      <c r="B31" s="311"/>
      <c r="C31" s="311"/>
      <c r="D31" s="311"/>
      <c r="E31" s="311"/>
      <c r="F31" s="259"/>
      <c r="G31" s="259"/>
      <c r="H31" s="259"/>
      <c r="I31" s="259"/>
      <c r="J31" s="259"/>
      <c r="K31" s="259"/>
      <c r="L31" s="259"/>
      <c r="M31" s="259"/>
    </row>
    <row r="32" spans="1:13" s="182" customFormat="1" ht="19.95" customHeight="1">
      <c r="A32" s="442" t="s">
        <v>714</v>
      </c>
      <c r="B32" s="443"/>
      <c r="C32" s="443"/>
      <c r="D32" s="443"/>
      <c r="E32" s="443"/>
      <c r="F32" s="444"/>
      <c r="G32" s="444"/>
      <c r="H32" s="444"/>
      <c r="I32" s="444"/>
      <c r="J32" s="444"/>
      <c r="K32" s="444"/>
      <c r="L32" s="444"/>
      <c r="M32" s="444"/>
    </row>
    <row r="33" spans="1:13" s="577" customFormat="1" ht="19.95" customHeight="1">
      <c r="A33" s="733" t="s">
        <v>715</v>
      </c>
      <c r="B33" s="733" t="s">
        <v>702</v>
      </c>
      <c r="C33" s="733" t="s">
        <v>703</v>
      </c>
      <c r="D33" s="733" t="s">
        <v>704</v>
      </c>
      <c r="E33" s="733" t="s">
        <v>705</v>
      </c>
      <c r="F33" s="701" t="s">
        <v>309</v>
      </c>
      <c r="G33" s="701"/>
      <c r="H33" s="701" t="s">
        <v>706</v>
      </c>
      <c r="I33" s="701" t="s">
        <v>716</v>
      </c>
      <c r="J33" s="701" t="s">
        <v>707</v>
      </c>
      <c r="K33" s="701" t="s">
        <v>717</v>
      </c>
      <c r="L33" s="701" t="s">
        <v>718</v>
      </c>
      <c r="M33" s="701" t="s">
        <v>710</v>
      </c>
    </row>
    <row r="34" spans="1:13" s="577" customFormat="1" ht="19.95" customHeight="1">
      <c r="A34" s="733"/>
      <c r="B34" s="733"/>
      <c r="C34" s="733"/>
      <c r="D34" s="733"/>
      <c r="E34" s="733"/>
      <c r="F34" s="552" t="s">
        <v>311</v>
      </c>
      <c r="G34" s="552" t="s">
        <v>312</v>
      </c>
      <c r="H34" s="701"/>
      <c r="I34" s="701"/>
      <c r="J34" s="701"/>
      <c r="K34" s="701"/>
      <c r="L34" s="701"/>
      <c r="M34" s="701"/>
    </row>
    <row r="35" spans="1:13" s="3" customFormat="1" ht="19.95" customHeight="1">
      <c r="A35" s="48"/>
      <c r="B35" s="96"/>
      <c r="C35" s="96"/>
      <c r="D35" s="48"/>
      <c r="E35" s="49"/>
      <c r="F35" s="49"/>
      <c r="G35" s="49"/>
      <c r="H35" s="219"/>
      <c r="I35" s="219"/>
      <c r="J35" s="256">
        <f>I35-F35</f>
        <v>0</v>
      </c>
      <c r="K35" s="256">
        <f>I35-H35</f>
        <v>0</v>
      </c>
      <c r="L35" s="256">
        <f>H35-F35</f>
        <v>0</v>
      </c>
      <c r="M35" s="112"/>
    </row>
    <row r="36" spans="1:13" s="3" customFormat="1" ht="19.95" customHeight="1">
      <c r="A36" s="48"/>
      <c r="B36" s="96"/>
      <c r="C36" s="96"/>
      <c r="D36" s="48"/>
      <c r="E36" s="49"/>
      <c r="F36" s="49"/>
      <c r="G36" s="49"/>
      <c r="H36" s="219"/>
      <c r="I36" s="219"/>
      <c r="J36" s="256">
        <f t="shared" ref="J36:J45" si="7">I36-F36</f>
        <v>0</v>
      </c>
      <c r="K36" s="256">
        <f t="shared" ref="K36:K45" si="8">I36-H36</f>
        <v>0</v>
      </c>
      <c r="L36" s="256">
        <f t="shared" ref="L36:L45" si="9">H36-F36</f>
        <v>0</v>
      </c>
      <c r="M36" s="112"/>
    </row>
    <row r="37" spans="1:13" s="3" customFormat="1" ht="19.95" customHeight="1">
      <c r="A37" s="48"/>
      <c r="B37" s="96"/>
      <c r="C37" s="96"/>
      <c r="D37" s="48"/>
      <c r="E37" s="49"/>
      <c r="F37" s="49"/>
      <c r="G37" s="49"/>
      <c r="H37" s="219"/>
      <c r="I37" s="219"/>
      <c r="J37" s="256">
        <f t="shared" si="7"/>
        <v>0</v>
      </c>
      <c r="K37" s="256">
        <f t="shared" si="8"/>
        <v>0</v>
      </c>
      <c r="L37" s="256">
        <f t="shared" si="9"/>
        <v>0</v>
      </c>
      <c r="M37" s="112"/>
    </row>
    <row r="38" spans="1:13" s="3" customFormat="1" ht="19.95" customHeight="1">
      <c r="A38" s="48"/>
      <c r="B38" s="96"/>
      <c r="C38" s="96"/>
      <c r="D38" s="48"/>
      <c r="E38" s="49"/>
      <c r="F38" s="49"/>
      <c r="G38" s="49"/>
      <c r="H38" s="219"/>
      <c r="I38" s="219"/>
      <c r="J38" s="256">
        <f t="shared" si="7"/>
        <v>0</v>
      </c>
      <c r="K38" s="256">
        <f t="shared" si="8"/>
        <v>0</v>
      </c>
      <c r="L38" s="256">
        <f t="shared" si="9"/>
        <v>0</v>
      </c>
      <c r="M38" s="112"/>
    </row>
    <row r="39" spans="1:13" s="3" customFormat="1" ht="19.95" customHeight="1">
      <c r="A39" s="48"/>
      <c r="B39" s="96"/>
      <c r="C39" s="96"/>
      <c r="D39" s="48"/>
      <c r="E39" s="49"/>
      <c r="F39" s="49"/>
      <c r="G39" s="49"/>
      <c r="H39" s="219"/>
      <c r="I39" s="219"/>
      <c r="J39" s="256">
        <f t="shared" si="7"/>
        <v>0</v>
      </c>
      <c r="K39" s="256">
        <f t="shared" si="8"/>
        <v>0</v>
      </c>
      <c r="L39" s="256">
        <f t="shared" si="9"/>
        <v>0</v>
      </c>
      <c r="M39" s="112"/>
    </row>
    <row r="40" spans="1:13" s="3" customFormat="1" ht="19.95" customHeight="1">
      <c r="A40" s="48"/>
      <c r="B40" s="96"/>
      <c r="C40" s="96"/>
      <c r="D40" s="48"/>
      <c r="E40" s="49"/>
      <c r="F40" s="49"/>
      <c r="G40" s="49"/>
      <c r="H40" s="219"/>
      <c r="I40" s="219"/>
      <c r="J40" s="256">
        <f t="shared" si="7"/>
        <v>0</v>
      </c>
      <c r="K40" s="256">
        <f t="shared" si="8"/>
        <v>0</v>
      </c>
      <c r="L40" s="256">
        <f t="shared" si="9"/>
        <v>0</v>
      </c>
      <c r="M40" s="112"/>
    </row>
    <row r="41" spans="1:13" s="3" customFormat="1" ht="19.95" customHeight="1">
      <c r="A41" s="48"/>
      <c r="B41" s="96"/>
      <c r="C41" s="96"/>
      <c r="D41" s="48"/>
      <c r="E41" s="49"/>
      <c r="F41" s="49"/>
      <c r="G41" s="49"/>
      <c r="H41" s="219"/>
      <c r="I41" s="219"/>
      <c r="J41" s="256">
        <f t="shared" si="7"/>
        <v>0</v>
      </c>
      <c r="K41" s="256">
        <f t="shared" si="8"/>
        <v>0</v>
      </c>
      <c r="L41" s="256">
        <f t="shared" si="9"/>
        <v>0</v>
      </c>
      <c r="M41" s="112"/>
    </row>
    <row r="42" spans="1:13" s="3" customFormat="1" ht="19.95" customHeight="1">
      <c r="A42" s="48"/>
      <c r="B42" s="96"/>
      <c r="C42" s="96"/>
      <c r="D42" s="48"/>
      <c r="E42" s="49"/>
      <c r="F42" s="49"/>
      <c r="G42" s="49"/>
      <c r="H42" s="219"/>
      <c r="I42" s="219"/>
      <c r="J42" s="256">
        <f t="shared" si="7"/>
        <v>0</v>
      </c>
      <c r="K42" s="256">
        <f t="shared" si="8"/>
        <v>0</v>
      </c>
      <c r="L42" s="256">
        <f t="shared" si="9"/>
        <v>0</v>
      </c>
      <c r="M42" s="112"/>
    </row>
    <row r="43" spans="1:13" s="3" customFormat="1" ht="19.95" customHeight="1">
      <c r="A43" s="48"/>
      <c r="B43" s="96"/>
      <c r="C43" s="96"/>
      <c r="D43" s="48"/>
      <c r="E43" s="49"/>
      <c r="F43" s="49"/>
      <c r="G43" s="49"/>
      <c r="H43" s="219"/>
      <c r="I43" s="219"/>
      <c r="J43" s="256">
        <f t="shared" si="7"/>
        <v>0</v>
      </c>
      <c r="K43" s="256">
        <f t="shared" si="8"/>
        <v>0</v>
      </c>
      <c r="L43" s="256">
        <f t="shared" si="9"/>
        <v>0</v>
      </c>
      <c r="M43" s="112"/>
    </row>
    <row r="44" spans="1:13" s="3" customFormat="1" ht="19.95" customHeight="1">
      <c r="A44" s="48"/>
      <c r="B44" s="96"/>
      <c r="C44" s="96"/>
      <c r="D44" s="48"/>
      <c r="E44" s="49"/>
      <c r="F44" s="49"/>
      <c r="G44" s="49"/>
      <c r="H44" s="219"/>
      <c r="I44" s="219"/>
      <c r="J44" s="256">
        <f t="shared" si="7"/>
        <v>0</v>
      </c>
      <c r="K44" s="256">
        <f t="shared" si="8"/>
        <v>0</v>
      </c>
      <c r="L44" s="256">
        <f t="shared" si="9"/>
        <v>0</v>
      </c>
      <c r="M44" s="112"/>
    </row>
    <row r="45" spans="1:13" s="3" customFormat="1" ht="19.95" customHeight="1">
      <c r="A45" s="48"/>
      <c r="B45" s="96"/>
      <c r="C45" s="96"/>
      <c r="D45" s="48"/>
      <c r="E45" s="49"/>
      <c r="F45" s="49"/>
      <c r="G45" s="49"/>
      <c r="H45" s="219"/>
      <c r="I45" s="219"/>
      <c r="J45" s="256">
        <f t="shared" si="7"/>
        <v>0</v>
      </c>
      <c r="K45" s="256">
        <f t="shared" si="8"/>
        <v>0</v>
      </c>
      <c r="L45" s="256">
        <f t="shared" si="9"/>
        <v>0</v>
      </c>
      <c r="M45" s="112"/>
    </row>
    <row r="46" spans="1:13" s="3" customFormat="1" ht="19.95" customHeight="1">
      <c r="A46" s="725" t="s">
        <v>719</v>
      </c>
      <c r="B46" s="726"/>
      <c r="C46" s="726"/>
      <c r="D46" s="726"/>
      <c r="E46" s="727"/>
      <c r="F46" s="185">
        <f>SUM(F35:F45)</f>
        <v>0</v>
      </c>
      <c r="G46" s="185">
        <f>SUM(G35:G45)</f>
        <v>0</v>
      </c>
      <c r="H46" s="185">
        <f t="shared" ref="H46:M46" si="10">SUM(H35:H45)</f>
        <v>0</v>
      </c>
      <c r="I46" s="185">
        <f t="shared" si="10"/>
        <v>0</v>
      </c>
      <c r="J46" s="185">
        <f t="shared" si="10"/>
        <v>0</v>
      </c>
      <c r="K46" s="185">
        <f t="shared" si="10"/>
        <v>0</v>
      </c>
      <c r="L46" s="185">
        <f t="shared" si="10"/>
        <v>0</v>
      </c>
      <c r="M46" s="185">
        <f t="shared" si="10"/>
        <v>0</v>
      </c>
    </row>
    <row r="47" spans="1:13" s="3" customFormat="1" ht="19.95" customHeight="1">
      <c r="A47" s="725" t="s">
        <v>720</v>
      </c>
      <c r="B47" s="726"/>
      <c r="C47" s="726"/>
      <c r="D47" s="726"/>
      <c r="E47" s="727"/>
      <c r="F47" s="185"/>
      <c r="G47" s="112"/>
      <c r="H47" s="185"/>
      <c r="I47" s="185"/>
      <c r="J47" s="185"/>
      <c r="K47" s="185"/>
      <c r="L47" s="185"/>
      <c r="M47" s="185"/>
    </row>
    <row r="48" spans="1:13" s="3" customFormat="1" ht="19.95" customHeight="1">
      <c r="A48" s="725" t="s">
        <v>721</v>
      </c>
      <c r="B48" s="726"/>
      <c r="C48" s="726"/>
      <c r="D48" s="726"/>
      <c r="E48" s="727"/>
      <c r="F48" s="185"/>
      <c r="G48" s="185" t="e">
        <f>G46/G47</f>
        <v>#DIV/0!</v>
      </c>
      <c r="H48" s="185"/>
      <c r="I48" s="185"/>
      <c r="J48" s="185"/>
      <c r="K48" s="185"/>
      <c r="L48" s="185"/>
      <c r="M48" s="185"/>
    </row>
    <row r="49" spans="1:13" s="182" customFormat="1" ht="19.95" customHeight="1">
      <c r="A49" s="311"/>
      <c r="B49" s="311"/>
      <c r="C49" s="311"/>
      <c r="D49" s="311"/>
      <c r="E49" s="311"/>
      <c r="F49" s="259"/>
      <c r="G49" s="259"/>
      <c r="H49" s="259"/>
      <c r="I49" s="259"/>
      <c r="J49" s="259"/>
      <c r="K49" s="259"/>
      <c r="L49" s="259"/>
      <c r="M49" s="259"/>
    </row>
    <row r="50" spans="1:13" ht="19.95" customHeight="1">
      <c r="A50" s="279" t="s">
        <v>722</v>
      </c>
      <c r="B50" s="15"/>
      <c r="C50" s="15"/>
      <c r="D50" s="15"/>
      <c r="E50" s="15"/>
      <c r="F50" s="15"/>
      <c r="G50" s="15"/>
      <c r="H50" s="15"/>
      <c r="I50" s="15"/>
      <c r="J50" s="15"/>
      <c r="K50" s="15"/>
      <c r="L50" s="15"/>
      <c r="M50" s="15"/>
    </row>
    <row r="51" spans="1:13" ht="19.95" customHeight="1">
      <c r="A51" s="3" t="s">
        <v>723</v>
      </c>
      <c r="B51" s="3"/>
      <c r="C51" s="3"/>
      <c r="D51" s="3"/>
      <c r="E51" s="3"/>
      <c r="F51" s="3"/>
      <c r="G51" s="3"/>
      <c r="H51" s="3"/>
      <c r="I51" s="3"/>
      <c r="J51" s="3"/>
      <c r="K51" s="3"/>
      <c r="L51" s="3"/>
      <c r="M51" s="3"/>
    </row>
    <row r="52" spans="1:13" ht="19.95" customHeight="1">
      <c r="A52" s="3"/>
      <c r="B52" s="3"/>
      <c r="C52" s="3"/>
      <c r="D52" s="3"/>
      <c r="E52" s="3"/>
      <c r="F52" s="3"/>
      <c r="G52" s="3"/>
      <c r="H52" s="3"/>
      <c r="I52" s="3"/>
      <c r="J52" s="3"/>
      <c r="K52" s="3"/>
      <c r="L52" s="3"/>
      <c r="M52" s="3"/>
    </row>
    <row r="53" spans="1:13" ht="19.95" customHeight="1">
      <c r="A53" s="24" t="s">
        <v>570</v>
      </c>
      <c r="B53" s="3"/>
      <c r="C53" s="3"/>
      <c r="D53" s="3"/>
      <c r="E53" s="3"/>
      <c r="F53" s="3"/>
      <c r="G53" s="3"/>
      <c r="H53" s="3"/>
      <c r="I53" s="3"/>
      <c r="J53" s="3"/>
      <c r="K53" s="3"/>
      <c r="L53" s="3"/>
      <c r="M53" s="3"/>
    </row>
    <row r="54" spans="1:13" ht="19.95" customHeight="1">
      <c r="A54" s="3"/>
      <c r="B54" s="3"/>
      <c r="C54" s="3"/>
      <c r="D54" s="3"/>
      <c r="E54" s="3"/>
      <c r="F54" s="3"/>
      <c r="G54" s="3"/>
      <c r="H54" s="3"/>
      <c r="I54" s="3"/>
      <c r="J54" s="3"/>
      <c r="K54" s="3"/>
      <c r="L54" s="3"/>
      <c r="M54" s="3"/>
    </row>
    <row r="57" spans="1:13" ht="19.95" customHeight="1">
      <c r="A57" s="458" t="s">
        <v>1046</v>
      </c>
      <c r="B57" s="50"/>
      <c r="C57" s="50"/>
    </row>
    <row r="58" spans="1:13" ht="19.95" customHeight="1">
      <c r="A58" s="17" t="s">
        <v>724</v>
      </c>
      <c r="B58" s="17"/>
      <c r="C58" s="17"/>
      <c r="D58" s="3"/>
      <c r="E58" s="3"/>
      <c r="F58" s="3"/>
      <c r="G58" s="3"/>
      <c r="H58" s="3"/>
      <c r="I58" s="3"/>
      <c r="J58" s="3"/>
      <c r="K58" s="3"/>
      <c r="L58" s="3"/>
      <c r="M58" s="3"/>
    </row>
    <row r="59" spans="1:13" ht="19.95" customHeight="1">
      <c r="A59" s="17" t="s">
        <v>144</v>
      </c>
      <c r="B59" s="17"/>
      <c r="C59" s="17"/>
      <c r="D59" s="3"/>
      <c r="E59" s="3"/>
      <c r="F59" s="3"/>
      <c r="G59" s="3"/>
      <c r="H59" s="3"/>
      <c r="I59" s="3"/>
      <c r="J59" s="3"/>
      <c r="K59" s="3"/>
      <c r="L59" s="3"/>
      <c r="M59" s="3"/>
    </row>
    <row r="60" spans="1:13" ht="19.95" customHeight="1">
      <c r="A60" s="17" t="s">
        <v>725</v>
      </c>
      <c r="B60" s="17"/>
      <c r="C60" s="17"/>
      <c r="D60" s="3"/>
      <c r="E60" s="3"/>
      <c r="F60" s="3"/>
      <c r="G60" s="3"/>
      <c r="H60" s="3"/>
      <c r="I60" s="3"/>
      <c r="J60" s="3"/>
      <c r="K60" s="3"/>
      <c r="L60" s="3"/>
      <c r="M60" s="3"/>
    </row>
    <row r="61" spans="1:13" ht="19.95" customHeight="1">
      <c r="A61" s="17" t="s">
        <v>145</v>
      </c>
      <c r="B61" s="17"/>
      <c r="C61" s="17"/>
      <c r="D61" s="3"/>
      <c r="E61" s="3"/>
      <c r="F61" s="3"/>
      <c r="G61" s="3"/>
      <c r="H61" s="3"/>
      <c r="I61" s="3"/>
      <c r="J61" s="3"/>
      <c r="K61" s="3"/>
      <c r="L61" s="3"/>
      <c r="M61" s="3"/>
    </row>
    <row r="62" spans="1:13" ht="19.95" customHeight="1">
      <c r="A62" s="17"/>
      <c r="B62" s="17"/>
      <c r="C62" s="17"/>
      <c r="D62" s="3"/>
      <c r="E62" s="3"/>
      <c r="F62" s="3"/>
      <c r="G62" s="3"/>
      <c r="H62" s="3"/>
      <c r="I62" s="3"/>
      <c r="J62" s="3"/>
      <c r="K62" s="3"/>
      <c r="L62" s="3"/>
      <c r="M62" s="3"/>
    </row>
    <row r="63" spans="1:13" ht="19.95" customHeight="1">
      <c r="A63" s="17"/>
      <c r="B63" s="17"/>
      <c r="C63" s="17"/>
      <c r="D63" s="3"/>
      <c r="E63" s="3"/>
      <c r="F63" s="3"/>
      <c r="G63" s="3"/>
      <c r="H63" s="3"/>
      <c r="I63" s="3"/>
      <c r="J63" s="3"/>
      <c r="K63" s="3"/>
      <c r="L63" s="3"/>
      <c r="M63" s="3"/>
    </row>
    <row r="64" spans="1:13" ht="19.95" customHeight="1">
      <c r="A64" s="17"/>
      <c r="B64" s="17"/>
      <c r="C64" s="17"/>
      <c r="D64" s="3"/>
      <c r="E64" s="3"/>
      <c r="F64" s="3"/>
      <c r="G64" s="3"/>
      <c r="H64" s="3"/>
      <c r="I64" s="3"/>
      <c r="J64" s="3"/>
      <c r="K64" s="3"/>
      <c r="L64" s="3"/>
      <c r="M64" s="3"/>
    </row>
    <row r="65" spans="1:13" ht="19.95" customHeight="1">
      <c r="A65" s="3"/>
      <c r="B65" s="3"/>
      <c r="C65" s="3"/>
      <c r="D65" s="3"/>
      <c r="E65" s="3"/>
      <c r="F65" s="3"/>
      <c r="G65" s="3"/>
      <c r="H65" s="3"/>
      <c r="I65" s="3"/>
      <c r="J65" s="3"/>
      <c r="K65" s="3"/>
      <c r="L65" s="3"/>
      <c r="M65" s="3"/>
    </row>
    <row r="66" spans="1:13" ht="19.95" customHeight="1">
      <c r="A66" s="3"/>
      <c r="B66" s="3"/>
      <c r="C66" s="3"/>
      <c r="D66" s="3"/>
      <c r="E66" s="3"/>
      <c r="F66" s="3"/>
      <c r="G66" s="3"/>
      <c r="H66" s="3"/>
      <c r="I66" s="3"/>
      <c r="J66" s="3"/>
      <c r="K66" s="3"/>
      <c r="L66" s="3"/>
      <c r="M66" s="3"/>
    </row>
  </sheetData>
  <mergeCells count="32">
    <mergeCell ref="A46:E46"/>
    <mergeCell ref="A47:E47"/>
    <mergeCell ref="A48:E48"/>
    <mergeCell ref="K15:K16"/>
    <mergeCell ref="L15:L16"/>
    <mergeCell ref="A33:A34"/>
    <mergeCell ref="B33:B34"/>
    <mergeCell ref="C33:C34"/>
    <mergeCell ref="D33:D34"/>
    <mergeCell ref="E33:E34"/>
    <mergeCell ref="F33:G33"/>
    <mergeCell ref="H33:H34"/>
    <mergeCell ref="I33:I34"/>
    <mergeCell ref="J33:J34"/>
    <mergeCell ref="K33:K34"/>
    <mergeCell ref="L33:L34"/>
    <mergeCell ref="M33:M34"/>
    <mergeCell ref="A29:E29"/>
    <mergeCell ref="A30:E30"/>
    <mergeCell ref="A28:E28"/>
    <mergeCell ref="A1:M1"/>
    <mergeCell ref="A2:M2"/>
    <mergeCell ref="A15:A16"/>
    <mergeCell ref="B15:B16"/>
    <mergeCell ref="C15:C16"/>
    <mergeCell ref="D15:D16"/>
    <mergeCell ref="E15:E16"/>
    <mergeCell ref="F15:G15"/>
    <mergeCell ref="H15:H16"/>
    <mergeCell ref="I15:I16"/>
    <mergeCell ref="J15:J16"/>
    <mergeCell ref="M15:M16"/>
  </mergeCells>
  <phoneticPr fontId="10" type="noConversion"/>
  <hyperlinks>
    <hyperlink ref="M3" location="底稿目录!A1" display="H7A"/>
  </hyperlinks>
  <printOptions horizontalCentered="1"/>
  <pageMargins left="0.43307086614173229" right="0.27559055118110237" top="0.39370078740157483" bottom="0.31496062992125984" header="0.31496062992125984" footer="0.23622047244094491"/>
  <pageSetup paperSize="9" scale="80" fitToHeight="2" orientation="landscape" blackAndWhite="1" r:id="rId1"/>
  <headerFooter alignWithMargins="0">
    <oddFooter>&amp;C&amp;P/&amp;N</oddFooter>
  </headerFooter>
  <rowBreaks count="1" manualBreakCount="1">
    <brk id="31" max="1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J100"/>
  <sheetViews>
    <sheetView view="pageBreakPreview" zoomScaleSheetLayoutView="100" workbookViewId="0">
      <selection sqref="A1:I1"/>
    </sheetView>
  </sheetViews>
  <sheetFormatPr defaultRowHeight="19.95" customHeight="1"/>
  <cols>
    <col min="1" max="1" width="9" style="28"/>
    <col min="2" max="2" width="15.19921875" style="28" customWidth="1"/>
    <col min="3" max="3" width="11.19921875" style="28" customWidth="1"/>
    <col min="4" max="4" width="10" style="28" customWidth="1"/>
    <col min="5" max="5" width="11.09765625" style="28" customWidth="1"/>
    <col min="6" max="9" width="9" style="28"/>
    <col min="10" max="11" width="8.796875" style="28"/>
    <col min="12" max="12" width="9.19921875" style="28" bestFit="1" customWidth="1"/>
    <col min="13" max="16384" width="8.796875" style="28"/>
  </cols>
  <sheetData>
    <row r="1" spans="1:9" s="352" customFormat="1" ht="19.95" customHeight="1">
      <c r="A1" s="723" t="s">
        <v>982</v>
      </c>
      <c r="B1" s="723"/>
      <c r="C1" s="723"/>
      <c r="D1" s="723"/>
      <c r="E1" s="723"/>
      <c r="F1" s="723"/>
      <c r="G1" s="723"/>
      <c r="H1" s="723"/>
      <c r="I1" s="723"/>
    </row>
    <row r="2" spans="1:9" s="356" customFormat="1" ht="19.95" customHeight="1">
      <c r="A2" s="724" t="s">
        <v>987</v>
      </c>
      <c r="B2" s="724"/>
      <c r="C2" s="724"/>
      <c r="D2" s="724"/>
      <c r="E2" s="724"/>
      <c r="F2" s="724"/>
      <c r="G2" s="724"/>
      <c r="H2" s="724"/>
      <c r="I2" s="724"/>
    </row>
    <row r="3" spans="1:9" ht="19.95" customHeight="1">
      <c r="A3" s="3" t="str">
        <f>底稿目录!A2</f>
        <v>被审计单位：</v>
      </c>
      <c r="B3" s="20"/>
      <c r="C3" s="3"/>
      <c r="D3" s="3" t="str">
        <f>底稿目录!A4</f>
        <v>编制人：</v>
      </c>
      <c r="F3" s="3" t="str">
        <f>底稿目录!A6</f>
        <v>编制日期：</v>
      </c>
      <c r="G3" s="91"/>
      <c r="H3" s="432" t="s">
        <v>1011</v>
      </c>
      <c r="I3" s="313" t="s">
        <v>263</v>
      </c>
    </row>
    <row r="4" spans="1:9" ht="19.95" customHeight="1">
      <c r="A4" s="3" t="str">
        <f>底稿目录!A3</f>
        <v>截止日：</v>
      </c>
      <c r="B4" s="20"/>
      <c r="C4" s="3"/>
      <c r="D4" s="3" t="str">
        <f>底稿目录!A5</f>
        <v>复核人：</v>
      </c>
      <c r="F4" s="3" t="str">
        <f>底稿目录!A7</f>
        <v>复核日期：</v>
      </c>
      <c r="G4" s="91"/>
      <c r="H4" s="432" t="s">
        <v>1012</v>
      </c>
      <c r="I4" s="314"/>
    </row>
    <row r="5" spans="1:9" s="85" customFormat="1" ht="19.95" customHeight="1">
      <c r="A5" s="84" t="s">
        <v>97</v>
      </c>
    </row>
    <row r="6" spans="1:9" s="85" customFormat="1" ht="19.95" customHeight="1">
      <c r="A6" s="84"/>
    </row>
    <row r="7" spans="1:9" s="85" customFormat="1" ht="19.95" customHeight="1">
      <c r="A7" s="84" t="s">
        <v>726</v>
      </c>
    </row>
    <row r="8" spans="1:9" s="85" customFormat="1" ht="19.95" customHeight="1">
      <c r="A8" s="45"/>
    </row>
    <row r="9" spans="1:9" s="86" customFormat="1" ht="19.95" customHeight="1">
      <c r="A9" s="99" t="s">
        <v>727</v>
      </c>
      <c r="B9" s="99" t="s">
        <v>728</v>
      </c>
      <c r="C9" s="99" t="s">
        <v>729</v>
      </c>
      <c r="D9" s="99" t="s">
        <v>730</v>
      </c>
    </row>
    <row r="10" spans="1:9" s="85" customFormat="1" ht="19.95" customHeight="1">
      <c r="A10" s="97">
        <v>1</v>
      </c>
      <c r="B10" s="98"/>
      <c r="C10" s="98"/>
      <c r="D10" s="98"/>
    </row>
    <row r="11" spans="1:9" s="85" customFormat="1" ht="19.95" customHeight="1">
      <c r="A11" s="97">
        <v>2</v>
      </c>
      <c r="B11" s="98"/>
      <c r="C11" s="98"/>
      <c r="D11" s="98"/>
    </row>
    <row r="12" spans="1:9" s="85" customFormat="1" ht="19.95" customHeight="1">
      <c r="A12" s="97">
        <v>3</v>
      </c>
      <c r="B12" s="98"/>
      <c r="C12" s="98"/>
      <c r="D12" s="98"/>
    </row>
    <row r="13" spans="1:9" s="85" customFormat="1" ht="19.95" customHeight="1">
      <c r="A13" s="84" t="s">
        <v>100</v>
      </c>
    </row>
    <row r="14" spans="1:9" s="85" customFormat="1" ht="19.95" customHeight="1">
      <c r="A14" s="87" t="s">
        <v>98</v>
      </c>
      <c r="B14" s="84" t="s">
        <v>731</v>
      </c>
      <c r="C14" s="84"/>
      <c r="D14" s="84"/>
    </row>
    <row r="15" spans="1:9" s="85" customFormat="1" ht="19.95" customHeight="1">
      <c r="A15" s="87">
        <v>1</v>
      </c>
      <c r="B15" s="85" t="s">
        <v>732</v>
      </c>
      <c r="C15" s="84"/>
      <c r="D15" s="84"/>
    </row>
    <row r="16" spans="1:9" s="85" customFormat="1" ht="19.95" customHeight="1">
      <c r="A16" s="87">
        <v>2</v>
      </c>
      <c r="B16" s="85" t="s">
        <v>733</v>
      </c>
      <c r="C16" s="84"/>
      <c r="D16" s="84"/>
    </row>
    <row r="17" spans="1:10" s="85" customFormat="1" ht="19.95" customHeight="1">
      <c r="A17" s="87">
        <v>3</v>
      </c>
      <c r="B17" s="85" t="s">
        <v>734</v>
      </c>
      <c r="C17" s="84"/>
      <c r="D17" s="84"/>
    </row>
    <row r="18" spans="1:10" s="85" customFormat="1" ht="19.95" customHeight="1">
      <c r="A18" s="87">
        <v>4</v>
      </c>
      <c r="B18" s="85" t="s">
        <v>735</v>
      </c>
      <c r="C18" s="84"/>
      <c r="D18" s="84"/>
    </row>
    <row r="19" spans="1:10" s="85" customFormat="1" ht="19.95" customHeight="1">
      <c r="A19" s="87">
        <v>5</v>
      </c>
      <c r="B19" s="85" t="s">
        <v>736</v>
      </c>
      <c r="C19" s="84"/>
      <c r="D19" s="84"/>
    </row>
    <row r="20" spans="1:10" s="85" customFormat="1" ht="19.95" customHeight="1">
      <c r="A20" s="87">
        <v>6</v>
      </c>
      <c r="B20" s="85" t="s">
        <v>737</v>
      </c>
      <c r="C20" s="84"/>
      <c r="D20" s="84"/>
    </row>
    <row r="21" spans="1:10" s="85" customFormat="1" ht="19.95" customHeight="1">
      <c r="A21" s="84" t="s">
        <v>101</v>
      </c>
    </row>
    <row r="22" spans="1:10" s="85" customFormat="1" ht="19.95" customHeight="1">
      <c r="A22" s="84" t="s">
        <v>738</v>
      </c>
    </row>
    <row r="23" spans="1:10" s="85" customFormat="1" ht="19.95" customHeight="1">
      <c r="A23" s="100" t="s">
        <v>727</v>
      </c>
      <c r="B23" s="101" t="s">
        <v>739</v>
      </c>
      <c r="C23" s="99" t="s">
        <v>740</v>
      </c>
      <c r="D23" s="101" t="s">
        <v>741</v>
      </c>
      <c r="E23" s="101" t="s">
        <v>742</v>
      </c>
    </row>
    <row r="24" spans="1:10" s="85" customFormat="1" ht="19.95" customHeight="1">
      <c r="A24" s="97">
        <v>1</v>
      </c>
      <c r="B24" s="308"/>
      <c r="C24" s="98"/>
      <c r="D24" s="98"/>
      <c r="E24" s="308"/>
    </row>
    <row r="25" spans="1:10" s="85" customFormat="1" ht="19.95" customHeight="1">
      <c r="A25" s="97">
        <v>2</v>
      </c>
      <c r="B25" s="308"/>
      <c r="C25" s="98"/>
      <c r="D25" s="98"/>
      <c r="E25" s="308"/>
    </row>
    <row r="26" spans="1:10" s="85" customFormat="1" ht="19.95" customHeight="1">
      <c r="A26" s="97">
        <v>3</v>
      </c>
      <c r="B26" s="308"/>
      <c r="C26" s="98"/>
      <c r="D26" s="98"/>
      <c r="E26" s="308"/>
    </row>
    <row r="27" spans="1:10" s="85" customFormat="1" ht="19.95" customHeight="1">
      <c r="A27" s="84" t="s">
        <v>102</v>
      </c>
    </row>
    <row r="28" spans="1:10" s="86" customFormat="1" ht="19.95" customHeight="1">
      <c r="A28" s="97" t="s">
        <v>323</v>
      </c>
      <c r="B28" s="315" t="s">
        <v>741</v>
      </c>
      <c r="C28" s="315" t="s">
        <v>743</v>
      </c>
      <c r="D28" s="85"/>
      <c r="E28" s="85"/>
    </row>
    <row r="29" spans="1:10" s="85" customFormat="1" ht="19.95" customHeight="1">
      <c r="A29" s="97">
        <v>1</v>
      </c>
      <c r="B29" s="308"/>
      <c r="C29" s="308"/>
      <c r="J29" s="86"/>
    </row>
    <row r="30" spans="1:10" s="85" customFormat="1" ht="19.95" customHeight="1">
      <c r="A30" s="97">
        <v>2</v>
      </c>
      <c r="B30" s="308"/>
      <c r="C30" s="308"/>
      <c r="J30" s="86"/>
    </row>
    <row r="31" spans="1:10" s="85" customFormat="1" ht="19.95" customHeight="1">
      <c r="A31" s="97">
        <v>3</v>
      </c>
      <c r="B31" s="308"/>
      <c r="C31" s="308"/>
      <c r="J31" s="86"/>
    </row>
    <row r="32" spans="1:10" s="85" customFormat="1" ht="19.95" customHeight="1">
      <c r="A32" s="84" t="s">
        <v>130</v>
      </c>
    </row>
    <row r="33" spans="1:8" s="85" customFormat="1" ht="19.95" customHeight="1">
      <c r="A33" s="85" t="s">
        <v>103</v>
      </c>
    </row>
    <row r="34" spans="1:8" s="85" customFormat="1" ht="19.95" customHeight="1">
      <c r="A34" s="85" t="s">
        <v>104</v>
      </c>
    </row>
    <row r="35" spans="1:8" s="85" customFormat="1" ht="19.95" customHeight="1">
      <c r="A35" s="85" t="s">
        <v>744</v>
      </c>
      <c r="G35" s="85" t="s">
        <v>745</v>
      </c>
    </row>
    <row r="36" spans="1:8" s="85" customFormat="1" ht="19.95" customHeight="1">
      <c r="A36" s="85" t="s">
        <v>746</v>
      </c>
      <c r="G36" s="85" t="s">
        <v>105</v>
      </c>
    </row>
    <row r="37" spans="1:8" s="85" customFormat="1" ht="19.95" customHeight="1">
      <c r="A37" s="85" t="s">
        <v>747</v>
      </c>
      <c r="G37" s="85" t="s">
        <v>748</v>
      </c>
    </row>
    <row r="38" spans="1:8" s="85" customFormat="1" ht="19.95" customHeight="1">
      <c r="A38" s="84" t="s">
        <v>131</v>
      </c>
    </row>
    <row r="39" spans="1:8" s="85" customFormat="1" ht="19.95" customHeight="1">
      <c r="A39" s="85" t="s">
        <v>749</v>
      </c>
      <c r="E39" s="85" t="s">
        <v>750</v>
      </c>
      <c r="H39" s="85" t="s">
        <v>106</v>
      </c>
    </row>
    <row r="40" spans="1:8" s="85" customFormat="1" ht="19.95" customHeight="1">
      <c r="A40" s="84" t="s">
        <v>132</v>
      </c>
    </row>
    <row r="41" spans="1:8" s="85" customFormat="1" ht="19.95" customHeight="1">
      <c r="A41" s="85" t="s">
        <v>107</v>
      </c>
    </row>
    <row r="42" spans="1:8" s="85" customFormat="1" ht="19.95" customHeight="1">
      <c r="A42" s="85" t="s">
        <v>751</v>
      </c>
      <c r="E42" s="85" t="s">
        <v>752</v>
      </c>
      <c r="H42" s="85" t="s">
        <v>108</v>
      </c>
    </row>
    <row r="43" spans="1:8" s="85" customFormat="1" ht="19.95" customHeight="1">
      <c r="A43" s="85" t="s">
        <v>753</v>
      </c>
      <c r="E43" s="85" t="s">
        <v>754</v>
      </c>
      <c r="H43" s="85" t="s">
        <v>108</v>
      </c>
    </row>
    <row r="44" spans="1:8" s="85" customFormat="1" ht="19.95" customHeight="1">
      <c r="A44" s="85" t="s">
        <v>753</v>
      </c>
      <c r="E44" s="85" t="s">
        <v>754</v>
      </c>
      <c r="H44" s="85" t="s">
        <v>108</v>
      </c>
    </row>
    <row r="45" spans="1:8" s="85" customFormat="1" ht="19.95" customHeight="1">
      <c r="A45" s="85" t="s">
        <v>755</v>
      </c>
      <c r="D45" s="85" t="s">
        <v>109</v>
      </c>
    </row>
    <row r="46" spans="1:8" s="85" customFormat="1" ht="19.95" customHeight="1">
      <c r="A46" s="85" t="s">
        <v>110</v>
      </c>
      <c r="D46" s="85" t="s">
        <v>756</v>
      </c>
      <c r="H46" s="85" t="s">
        <v>111</v>
      </c>
    </row>
    <row r="47" spans="1:8" s="85" customFormat="1" ht="19.95" customHeight="1">
      <c r="A47" s="85" t="s">
        <v>757</v>
      </c>
      <c r="D47" s="85" t="s">
        <v>758</v>
      </c>
      <c r="H47" s="85" t="s">
        <v>111</v>
      </c>
    </row>
    <row r="48" spans="1:8" s="85" customFormat="1" ht="19.95" customHeight="1">
      <c r="A48" s="85" t="s">
        <v>759</v>
      </c>
      <c r="D48" s="85" t="s">
        <v>756</v>
      </c>
      <c r="H48" s="85" t="s">
        <v>111</v>
      </c>
    </row>
    <row r="49" spans="1:8" s="85" customFormat="1" ht="19.95" customHeight="1">
      <c r="A49" s="85" t="s">
        <v>112</v>
      </c>
    </row>
    <row r="50" spans="1:8" s="85" customFormat="1" ht="19.95" customHeight="1">
      <c r="A50" s="84" t="s">
        <v>133</v>
      </c>
    </row>
    <row r="51" spans="1:8" s="85" customFormat="1" ht="19.95" customHeight="1">
      <c r="A51" s="85" t="s">
        <v>113</v>
      </c>
    </row>
    <row r="52" spans="1:8" s="85" customFormat="1" ht="19.95" customHeight="1">
      <c r="A52" s="85" t="s">
        <v>114</v>
      </c>
    </row>
    <row r="53" spans="1:8" s="85" customFormat="1" ht="19.95" customHeight="1">
      <c r="A53" s="85" t="s">
        <v>115</v>
      </c>
    </row>
    <row r="54" spans="1:8" s="85" customFormat="1" ht="19.95" customHeight="1">
      <c r="A54" s="85" t="s">
        <v>116</v>
      </c>
    </row>
    <row r="55" spans="1:8" s="85" customFormat="1" ht="19.95" customHeight="1">
      <c r="A55" s="85" t="s">
        <v>117</v>
      </c>
      <c r="D55" s="85" t="s">
        <v>109</v>
      </c>
    </row>
    <row r="56" spans="1:8" s="85" customFormat="1" ht="19.95" customHeight="1">
      <c r="A56" s="85" t="s">
        <v>760</v>
      </c>
      <c r="E56" s="85" t="s">
        <v>761</v>
      </c>
    </row>
    <row r="57" spans="1:8" s="85" customFormat="1" ht="19.95" customHeight="1">
      <c r="C57" s="85" t="s">
        <v>756</v>
      </c>
      <c r="H57" s="85" t="s">
        <v>118</v>
      </c>
    </row>
    <row r="58" spans="1:8" s="85" customFormat="1" ht="19.95" customHeight="1">
      <c r="A58" s="85" t="s">
        <v>762</v>
      </c>
      <c r="E58" s="85" t="s">
        <v>763</v>
      </c>
    </row>
    <row r="59" spans="1:8" s="85" customFormat="1" ht="19.95" customHeight="1">
      <c r="C59" s="85" t="s">
        <v>764</v>
      </c>
      <c r="H59" s="85" t="s">
        <v>118</v>
      </c>
    </row>
    <row r="60" spans="1:8" s="85" customFormat="1" ht="19.95" customHeight="1">
      <c r="A60" s="85" t="s">
        <v>765</v>
      </c>
      <c r="E60" s="85" t="s">
        <v>763</v>
      </c>
    </row>
    <row r="61" spans="1:8" s="85" customFormat="1" ht="19.95" customHeight="1">
      <c r="C61" s="85" t="s">
        <v>756</v>
      </c>
      <c r="H61" s="85" t="s">
        <v>118</v>
      </c>
    </row>
    <row r="62" spans="1:8" s="85" customFormat="1" ht="19.95" customHeight="1">
      <c r="A62" s="85" t="s">
        <v>766</v>
      </c>
    </row>
    <row r="63" spans="1:8" s="85" customFormat="1" ht="19.95" customHeight="1">
      <c r="A63" s="85" t="s">
        <v>119</v>
      </c>
    </row>
    <row r="64" spans="1:8" s="85" customFormat="1" ht="19.95" customHeight="1">
      <c r="A64" s="85" t="s">
        <v>767</v>
      </c>
      <c r="F64" s="85" t="s">
        <v>120</v>
      </c>
    </row>
    <row r="65" spans="1:7" s="85" customFormat="1" ht="19.95" customHeight="1">
      <c r="A65" s="85" t="s">
        <v>768</v>
      </c>
      <c r="G65" s="85" t="s">
        <v>769</v>
      </c>
    </row>
    <row r="66" spans="1:7" s="85" customFormat="1" ht="19.95" customHeight="1"/>
    <row r="67" spans="1:7" s="85" customFormat="1" ht="19.95" customHeight="1">
      <c r="A67" s="85" t="s">
        <v>146</v>
      </c>
    </row>
    <row r="68" spans="1:7" s="85" customFormat="1" ht="19.95" customHeight="1">
      <c r="A68" s="85" t="s">
        <v>770</v>
      </c>
    </row>
    <row r="69" spans="1:7" s="85" customFormat="1" ht="19.95" customHeight="1">
      <c r="A69" s="85" t="s">
        <v>771</v>
      </c>
      <c r="G69" s="85" t="s">
        <v>121</v>
      </c>
    </row>
    <row r="70" spans="1:7" s="85" customFormat="1" ht="19.95" customHeight="1">
      <c r="A70" s="85" t="s">
        <v>772</v>
      </c>
      <c r="G70" s="85" t="s">
        <v>121</v>
      </c>
    </row>
    <row r="71" spans="1:7" s="85" customFormat="1" ht="19.95" customHeight="1">
      <c r="A71" s="85" t="s">
        <v>773</v>
      </c>
    </row>
    <row r="72" spans="1:7" s="85" customFormat="1" ht="19.95" customHeight="1">
      <c r="A72" s="85" t="s">
        <v>774</v>
      </c>
    </row>
    <row r="73" spans="1:7" s="85" customFormat="1" ht="19.95" customHeight="1">
      <c r="A73" s="85" t="s">
        <v>148</v>
      </c>
    </row>
    <row r="74" spans="1:7" s="85" customFormat="1" ht="19.95" customHeight="1"/>
    <row r="75" spans="1:7" s="85" customFormat="1" ht="19.95" customHeight="1"/>
    <row r="76" spans="1:7" s="85" customFormat="1" ht="19.95" customHeight="1">
      <c r="A76" s="84" t="s">
        <v>134</v>
      </c>
    </row>
    <row r="77" spans="1:7" s="85" customFormat="1" ht="19.95" customHeight="1"/>
    <row r="78" spans="1:7" s="85" customFormat="1" ht="19.95" customHeight="1">
      <c r="A78" s="84" t="s">
        <v>135</v>
      </c>
    </row>
    <row r="79" spans="1:7" s="85" customFormat="1" ht="19.95" customHeight="1">
      <c r="A79" s="85" t="s">
        <v>775</v>
      </c>
      <c r="F79" s="85" t="s">
        <v>776</v>
      </c>
    </row>
    <row r="80" spans="1:7" s="85" customFormat="1" ht="19.95" customHeight="1">
      <c r="A80" s="85" t="s">
        <v>122</v>
      </c>
    </row>
    <row r="81" spans="1:8" s="85" customFormat="1" ht="19.95" customHeight="1">
      <c r="A81" s="85" t="s">
        <v>777</v>
      </c>
      <c r="C81" s="85" t="s">
        <v>778</v>
      </c>
      <c r="G81" s="85" t="s">
        <v>779</v>
      </c>
    </row>
    <row r="82" spans="1:8" s="85" customFormat="1" ht="19.95" customHeight="1">
      <c r="A82" s="85" t="s">
        <v>147</v>
      </c>
      <c r="E82" s="85" t="s">
        <v>123</v>
      </c>
      <c r="H82" s="85" t="s">
        <v>780</v>
      </c>
    </row>
    <row r="83" spans="1:8" s="85" customFormat="1" ht="19.95" customHeight="1">
      <c r="A83" s="85" t="s">
        <v>124</v>
      </c>
    </row>
    <row r="84" spans="1:8" s="85" customFormat="1" ht="19.95" customHeight="1">
      <c r="A84" s="85" t="s">
        <v>125</v>
      </c>
    </row>
    <row r="85" spans="1:8" s="85" customFormat="1" ht="19.95" customHeight="1">
      <c r="A85" s="85" t="s">
        <v>781</v>
      </c>
      <c r="G85" s="85" t="s">
        <v>96</v>
      </c>
    </row>
    <row r="86" spans="1:8" s="85" customFormat="1" ht="19.95" customHeight="1">
      <c r="A86" s="85" t="s">
        <v>126</v>
      </c>
    </row>
    <row r="87" spans="1:8" s="85" customFormat="1" ht="19.95" customHeight="1">
      <c r="A87" s="85" t="s">
        <v>782</v>
      </c>
      <c r="C87" s="85" t="s">
        <v>783</v>
      </c>
      <c r="G87" s="85" t="s">
        <v>784</v>
      </c>
    </row>
    <row r="88" spans="1:8" s="85" customFormat="1" ht="19.95" customHeight="1">
      <c r="A88" s="85" t="s">
        <v>785</v>
      </c>
      <c r="D88" s="85" t="s">
        <v>786</v>
      </c>
      <c r="G88" s="85" t="s">
        <v>787</v>
      </c>
    </row>
    <row r="89" spans="1:8" s="85" customFormat="1" ht="19.95" customHeight="1">
      <c r="A89" s="84" t="s">
        <v>136</v>
      </c>
    </row>
    <row r="90" spans="1:8" s="85" customFormat="1" ht="19.95" customHeight="1">
      <c r="A90" s="85" t="s">
        <v>127</v>
      </c>
    </row>
    <row r="91" spans="1:8" s="85" customFormat="1" ht="19.95" customHeight="1">
      <c r="A91" s="85" t="s">
        <v>128</v>
      </c>
    </row>
    <row r="92" spans="1:8" s="85" customFormat="1" ht="19.95" customHeight="1">
      <c r="A92" s="85" t="s">
        <v>788</v>
      </c>
    </row>
    <row r="93" spans="1:8" s="85" customFormat="1" ht="19.95" customHeight="1">
      <c r="A93" s="85" t="s">
        <v>789</v>
      </c>
    </row>
    <row r="94" spans="1:8" s="85" customFormat="1" ht="19.95" customHeight="1">
      <c r="A94" s="85" t="s">
        <v>129</v>
      </c>
    </row>
    <row r="95" spans="1:8" s="85" customFormat="1" ht="19.95" customHeight="1">
      <c r="A95" s="85" t="s">
        <v>790</v>
      </c>
    </row>
    <row r="96" spans="1:8" s="85" customFormat="1" ht="19.95" customHeight="1">
      <c r="A96" s="85" t="s">
        <v>791</v>
      </c>
    </row>
    <row r="97" spans="1:9" s="85" customFormat="1" ht="19.95" customHeight="1">
      <c r="G97" s="85" t="s">
        <v>792</v>
      </c>
    </row>
    <row r="98" spans="1:9" s="85" customFormat="1" ht="19.95" customHeight="1">
      <c r="G98" s="85" t="s">
        <v>793</v>
      </c>
    </row>
    <row r="99" spans="1:9" ht="19.95" customHeight="1">
      <c r="A99" s="85"/>
      <c r="B99" s="85"/>
      <c r="C99" s="85"/>
      <c r="D99" s="85"/>
      <c r="E99" s="85"/>
      <c r="F99" s="85"/>
      <c r="G99" s="85"/>
      <c r="H99" s="85"/>
      <c r="I99" s="85"/>
    </row>
    <row r="100" spans="1:9" ht="19.95" customHeight="1">
      <c r="A100" s="85"/>
      <c r="B100" s="85"/>
      <c r="C100" s="85"/>
      <c r="D100" s="85"/>
      <c r="E100" s="85"/>
      <c r="F100" s="85"/>
      <c r="G100" s="85"/>
      <c r="H100" s="85"/>
      <c r="I100" s="85"/>
    </row>
  </sheetData>
  <mergeCells count="2">
    <mergeCell ref="A1:I1"/>
    <mergeCell ref="A2:I2"/>
  </mergeCells>
  <phoneticPr fontId="10" type="noConversion"/>
  <hyperlinks>
    <hyperlink ref="I3" location="底稿目录!A1" display="H7A"/>
  </hyperlinks>
  <printOptions horizontalCentered="1"/>
  <pageMargins left="0.70866141732283472" right="0.70866141732283472" top="0.74803149606299213" bottom="0.74803149606299213" header="0.31496062992125984" footer="0.31496062992125984"/>
  <pageSetup paperSize="9" scale="79" fitToHeight="2" orientation="portrait" blackAndWhite="1" r:id="rId1"/>
  <headerFooter>
    <oddFooter>&amp;C&amp;P/&amp;N</oddFooter>
  </headerFooter>
  <rowBreaks count="1" manualBreakCount="1">
    <brk id="39"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AB67"/>
  <sheetViews>
    <sheetView showZeros="0" view="pageBreakPreview" zoomScaleSheetLayoutView="100" workbookViewId="0">
      <selection sqref="A1:S1"/>
    </sheetView>
  </sheetViews>
  <sheetFormatPr defaultColWidth="9" defaultRowHeight="19.95" customHeight="1"/>
  <cols>
    <col min="1" max="1" width="13.19921875" style="3" customWidth="1"/>
    <col min="2" max="2" width="11.69921875" style="3" customWidth="1"/>
    <col min="3" max="3" width="11.3984375" style="3" customWidth="1"/>
    <col min="4" max="4" width="10" style="3" customWidth="1"/>
    <col min="5" max="5" width="11.8984375" style="3" customWidth="1"/>
    <col min="6" max="7" width="9" style="3"/>
    <col min="8" max="8" width="7.8984375" style="3" customWidth="1"/>
    <col min="9" max="9" width="7.09765625" style="3" bestFit="1" customWidth="1"/>
    <col min="10" max="10" width="9" style="3"/>
    <col min="11" max="11" width="6.3984375" style="55" bestFit="1" customWidth="1"/>
    <col min="12" max="13" width="8.3984375" style="3" customWidth="1"/>
    <col min="14" max="14" width="6.3984375" style="3" customWidth="1"/>
    <col min="15" max="15" width="8.8984375" style="3" bestFit="1" customWidth="1"/>
    <col min="16" max="16" width="10.09765625" style="3" bestFit="1" customWidth="1"/>
    <col min="17" max="17" width="8.19921875" style="3" customWidth="1"/>
    <col min="18" max="18" width="10.09765625" style="3" bestFit="1" customWidth="1"/>
    <col min="19" max="19" width="9.5" style="3" bestFit="1" customWidth="1"/>
    <col min="20" max="16384" width="9" style="3"/>
  </cols>
  <sheetData>
    <row r="1" spans="1:28" s="195" customFormat="1" ht="19.95" customHeight="1">
      <c r="A1" s="734" t="s">
        <v>982</v>
      </c>
      <c r="B1" s="734"/>
      <c r="C1" s="734"/>
      <c r="D1" s="734"/>
      <c r="E1" s="734"/>
      <c r="F1" s="734"/>
      <c r="G1" s="734"/>
      <c r="H1" s="734"/>
      <c r="I1" s="734"/>
      <c r="J1" s="734"/>
      <c r="K1" s="734"/>
      <c r="L1" s="734"/>
      <c r="M1" s="734"/>
      <c r="N1" s="734"/>
      <c r="O1" s="734"/>
      <c r="P1" s="734"/>
      <c r="Q1" s="734"/>
      <c r="R1" s="734"/>
      <c r="S1" s="734"/>
    </row>
    <row r="2" spans="1:28" s="359" customFormat="1" ht="19.95" customHeight="1">
      <c r="A2" s="735" t="s">
        <v>998</v>
      </c>
      <c r="B2" s="735"/>
      <c r="C2" s="735"/>
      <c r="D2" s="735"/>
      <c r="E2" s="735"/>
      <c r="F2" s="735"/>
      <c r="G2" s="735"/>
      <c r="H2" s="735"/>
      <c r="I2" s="735"/>
      <c r="J2" s="735"/>
      <c r="K2" s="735"/>
      <c r="L2" s="735"/>
      <c r="M2" s="735"/>
      <c r="N2" s="735"/>
      <c r="O2" s="735"/>
      <c r="P2" s="735"/>
      <c r="Q2" s="735"/>
      <c r="R2" s="735"/>
      <c r="S2" s="735"/>
    </row>
    <row r="3" spans="1:28" ht="19.95" customHeight="1">
      <c r="A3" s="3" t="str">
        <f>底稿目录!A2</f>
        <v>被审计单位：</v>
      </c>
      <c r="B3" s="20"/>
      <c r="F3" s="11"/>
      <c r="G3" s="3" t="str">
        <f>底稿目录!A4</f>
        <v>编制人：</v>
      </c>
      <c r="M3" s="3" t="str">
        <f>底稿目录!A6</f>
        <v>编制日期：</v>
      </c>
      <c r="R3" s="432" t="s">
        <v>1011</v>
      </c>
      <c r="S3" s="313" t="s">
        <v>264</v>
      </c>
    </row>
    <row r="4" spans="1:28" ht="19.95" customHeight="1">
      <c r="A4" s="3" t="str">
        <f>底稿目录!A3</f>
        <v>截止日：</v>
      </c>
      <c r="B4" s="20"/>
      <c r="F4" s="11"/>
      <c r="G4" s="3" t="str">
        <f>底稿目录!A5</f>
        <v>复核人：</v>
      </c>
      <c r="M4" s="3" t="str">
        <f>底稿目录!A7</f>
        <v>复核日期：</v>
      </c>
      <c r="R4" s="432" t="s">
        <v>1012</v>
      </c>
      <c r="S4" s="314"/>
    </row>
    <row r="5" spans="1:28" s="182" customFormat="1" ht="19.95" customHeight="1">
      <c r="A5" s="578" t="s">
        <v>794</v>
      </c>
      <c r="B5" s="517"/>
      <c r="G5" s="518"/>
      <c r="K5" s="538"/>
      <c r="L5" s="519"/>
      <c r="V5" s="520"/>
      <c r="W5" s="520"/>
      <c r="X5" s="520"/>
      <c r="Y5" s="520"/>
      <c r="Z5" s="520"/>
      <c r="AA5" s="520"/>
      <c r="AB5" s="520"/>
    </row>
    <row r="6" spans="1:28" ht="19.95" customHeight="1">
      <c r="A6" s="52" t="s">
        <v>83</v>
      </c>
      <c r="B6" s="53"/>
      <c r="G6" s="11"/>
      <c r="L6" s="8"/>
      <c r="V6" s="159"/>
      <c r="W6" s="159"/>
      <c r="X6" s="159"/>
      <c r="Y6" s="159"/>
      <c r="Z6" s="159"/>
      <c r="AA6" s="159"/>
      <c r="AB6" s="159"/>
    </row>
    <row r="7" spans="1:28" s="37" customFormat="1" ht="19.95" customHeight="1">
      <c r="A7" s="316" t="s">
        <v>795</v>
      </c>
      <c r="B7" s="579">
        <v>45658</v>
      </c>
      <c r="C7" s="316" t="s">
        <v>796</v>
      </c>
      <c r="D7" s="579">
        <v>46022</v>
      </c>
      <c r="E7" s="317" t="s">
        <v>797</v>
      </c>
      <c r="I7" s="32"/>
      <c r="K7" s="56"/>
      <c r="M7" s="32"/>
      <c r="N7" s="32"/>
      <c r="P7" s="3"/>
      <c r="Q7" s="3"/>
    </row>
    <row r="8" spans="1:28" s="503" customFormat="1" ht="24">
      <c r="A8" s="497" t="s">
        <v>1139</v>
      </c>
      <c r="B8" s="497" t="s">
        <v>1140</v>
      </c>
      <c r="C8" s="497" t="s">
        <v>1141</v>
      </c>
      <c r="D8" s="498" t="s">
        <v>1133</v>
      </c>
      <c r="E8" s="499" t="s">
        <v>1131</v>
      </c>
      <c r="F8" s="499" t="s">
        <v>1109</v>
      </c>
      <c r="G8" s="500" t="s">
        <v>1142</v>
      </c>
      <c r="H8" s="500" t="s">
        <v>1132</v>
      </c>
      <c r="I8" s="501" t="s">
        <v>1143</v>
      </c>
      <c r="J8" s="499" t="s">
        <v>1144</v>
      </c>
      <c r="K8" s="502" t="s">
        <v>1136</v>
      </c>
      <c r="L8" s="500" t="s">
        <v>1145</v>
      </c>
      <c r="M8" s="501" t="s">
        <v>1134</v>
      </c>
      <c r="N8" s="501" t="s">
        <v>1146</v>
      </c>
      <c r="O8" s="499" t="s">
        <v>1147</v>
      </c>
      <c r="P8" s="499" t="s">
        <v>1148</v>
      </c>
      <c r="Q8" s="499" t="s">
        <v>1138</v>
      </c>
      <c r="R8" s="499" t="s">
        <v>1149</v>
      </c>
      <c r="S8" s="499" t="s">
        <v>1135</v>
      </c>
    </row>
    <row r="9" spans="1:28" s="37" customFormat="1" ht="19.95" customHeight="1">
      <c r="A9" s="90"/>
      <c r="B9" s="376"/>
      <c r="C9" s="227"/>
      <c r="D9" s="227"/>
      <c r="E9" s="89"/>
      <c r="F9" s="89"/>
      <c r="G9" s="34"/>
      <c r="H9" s="35"/>
      <c r="I9" s="36"/>
      <c r="J9" s="33"/>
      <c r="K9" s="108">
        <f t="shared" ref="K9" si="0">IF(H9=0,0,IF(RIGHT(H9,1)&lt;&gt;"年",H9*12,IF(LEN(H9)=3,VALUE(LEFT(H9,2))*12,IF(LEN(H9)=2,VALUE(LEFT(H9,1))*12,"??"))))</f>
        <v>0</v>
      </c>
      <c r="L9" s="189">
        <f>DATE((YEAR(G9)+H9),MONTH(G9),DAY(G9))</f>
        <v>0</v>
      </c>
      <c r="M9" s="108">
        <f>MIN((YEAR(L9)-YEAR(G9))*12+(MONTH(L9)-MONTH(G9)),(YEAR($D$7)-YEAR(G9))*12+MONTH($D$7)-MONTH(G9),H9*12)</f>
        <v>0</v>
      </c>
      <c r="N9" s="108">
        <f>IF(L9&lt;$B$7,0,IF($D$7&gt;L9,MIN(MONTH($D$7),DATEDIF(DATE(YEAR(G9),MONTH(G9),"1"),$D$7,"M")-DATEDIF(DATE(YEAR(G9),MONTH(G9),"1"),DATEDIF(YEAR(L9),MONTH(L9),"1"),"M")),MIN(DATEDIF(DATE(YEAR(G9),MONTH(G9),"1"),$D$7,"m"),MONTH($D$7))))</f>
        <v>0</v>
      </c>
      <c r="O9" s="108">
        <f>IF(K9=0,0,ROUND(((1-I9)/K9)*E9,4))</f>
        <v>0</v>
      </c>
      <c r="P9" s="108">
        <f t="shared" ref="P9" si="1">ROUND(O9*N9,2)</f>
        <v>0</v>
      </c>
      <c r="Q9" s="108">
        <f t="shared" ref="Q9" si="2">ROUND(J9-O9,2)</f>
        <v>0</v>
      </c>
      <c r="R9" s="108">
        <f t="shared" ref="R9" si="3">ROUND(O9*M9,2)</f>
        <v>0</v>
      </c>
      <c r="S9" s="108">
        <f>ROUND(F9-R9,2)</f>
        <v>0</v>
      </c>
    </row>
    <row r="10" spans="1:28" s="37" customFormat="1" ht="19.95" customHeight="1">
      <c r="A10" s="90"/>
      <c r="B10" s="376"/>
      <c r="C10" s="227"/>
      <c r="D10" s="227"/>
      <c r="E10" s="89"/>
      <c r="F10" s="89"/>
      <c r="G10" s="34"/>
      <c r="H10" s="35"/>
      <c r="I10" s="36"/>
      <c r="J10" s="33"/>
      <c r="K10" s="108">
        <f t="shared" ref="K10:K25" si="4">IF(H10=0,0,IF(RIGHT(H10,1)&lt;&gt;"年",H10*12,IF(LEN(H10)=3,VALUE(LEFT(H10,2))*12,IF(LEN(H10)=2,VALUE(LEFT(H10,1))*12,"??"))))</f>
        <v>0</v>
      </c>
      <c r="L10" s="189">
        <f t="shared" ref="L10:L25" si="5">DATE((YEAR(G10)+H10),MONTH(G10),DAY(G10))</f>
        <v>0</v>
      </c>
      <c r="M10" s="108">
        <f t="shared" ref="M10:M25" si="6">MIN((YEAR(L10)-YEAR(G10))*12+(MONTH(L10)-MONTH(G10)),(YEAR($D$7)-YEAR(G10))*12+MONTH($D$7)-MONTH(G10),H10*12)</f>
        <v>0</v>
      </c>
      <c r="N10" s="108">
        <f t="shared" ref="N10:N25" si="7">IF(L10&lt;$B$7,0,IF($D$7&gt;L10,MIN(MONTH($D$7),DATEDIF(DATE(YEAR(G10),MONTH(G10),"1"),$D$7,"M")-DATEDIF(DATE(YEAR(G10),MONTH(G10),"1"),DATEDIF(YEAR(L10),MONTH(L10),"1"),"M")),MIN(DATEDIF(DATE(YEAR(G10),MONTH(G10),"1"),$D$7,"m"),MONTH($D$7))))</f>
        <v>0</v>
      </c>
      <c r="O10" s="108">
        <f t="shared" ref="O10:O25" si="8">IF(K10=0,0,ROUND(((1-I10)/K10)*E10,4))</f>
        <v>0</v>
      </c>
      <c r="P10" s="108">
        <f t="shared" ref="P10:P25" si="9">ROUND(O10*N10,2)</f>
        <v>0</v>
      </c>
      <c r="Q10" s="108">
        <f t="shared" ref="Q10:Q25" si="10">ROUND(J10-O10,2)</f>
        <v>0</v>
      </c>
      <c r="R10" s="108">
        <f t="shared" ref="R10:R25" si="11">ROUND(O10*M10,2)</f>
        <v>0</v>
      </c>
      <c r="S10" s="108">
        <f t="shared" ref="S10:S25" si="12">ROUND(F10-R10,2)</f>
        <v>0</v>
      </c>
    </row>
    <row r="11" spans="1:28" ht="19.95" customHeight="1">
      <c r="A11" s="90"/>
      <c r="B11" s="376"/>
      <c r="C11" s="227"/>
      <c r="D11" s="227"/>
      <c r="E11" s="89"/>
      <c r="F11" s="89"/>
      <c r="G11" s="34"/>
      <c r="H11" s="35"/>
      <c r="I11" s="36"/>
      <c r="J11" s="33"/>
      <c r="K11" s="108">
        <f t="shared" si="4"/>
        <v>0</v>
      </c>
      <c r="L11" s="189">
        <f t="shared" si="5"/>
        <v>0</v>
      </c>
      <c r="M11" s="108">
        <f t="shared" si="6"/>
        <v>0</v>
      </c>
      <c r="N11" s="108">
        <f t="shared" si="7"/>
        <v>0</v>
      </c>
      <c r="O11" s="108">
        <f t="shared" si="8"/>
        <v>0</v>
      </c>
      <c r="P11" s="108">
        <f t="shared" si="9"/>
        <v>0</v>
      </c>
      <c r="Q11" s="108">
        <f t="shared" si="10"/>
        <v>0</v>
      </c>
      <c r="R11" s="108">
        <f t="shared" si="11"/>
        <v>0</v>
      </c>
      <c r="S11" s="108">
        <f t="shared" si="12"/>
        <v>0</v>
      </c>
    </row>
    <row r="12" spans="1:28" ht="19.95" customHeight="1">
      <c r="A12" s="90"/>
      <c r="B12" s="376"/>
      <c r="C12" s="227"/>
      <c r="D12" s="227"/>
      <c r="E12" s="89"/>
      <c r="F12" s="89"/>
      <c r="G12" s="34"/>
      <c r="H12" s="35"/>
      <c r="I12" s="36"/>
      <c r="J12" s="33"/>
      <c r="K12" s="108">
        <f t="shared" si="4"/>
        <v>0</v>
      </c>
      <c r="L12" s="189">
        <f t="shared" si="5"/>
        <v>0</v>
      </c>
      <c r="M12" s="108">
        <f t="shared" si="6"/>
        <v>0</v>
      </c>
      <c r="N12" s="108">
        <f t="shared" si="7"/>
        <v>0</v>
      </c>
      <c r="O12" s="108">
        <f t="shared" si="8"/>
        <v>0</v>
      </c>
      <c r="P12" s="108">
        <f t="shared" si="9"/>
        <v>0</v>
      </c>
      <c r="Q12" s="108">
        <f t="shared" si="10"/>
        <v>0</v>
      </c>
      <c r="R12" s="108">
        <f t="shared" si="11"/>
        <v>0</v>
      </c>
      <c r="S12" s="108">
        <f t="shared" si="12"/>
        <v>0</v>
      </c>
    </row>
    <row r="13" spans="1:28" ht="19.95" customHeight="1">
      <c r="A13" s="90"/>
      <c r="B13" s="376"/>
      <c r="C13" s="227"/>
      <c r="D13" s="227"/>
      <c r="E13" s="89"/>
      <c r="F13" s="89"/>
      <c r="G13" s="34"/>
      <c r="H13" s="35"/>
      <c r="I13" s="36"/>
      <c r="J13" s="33"/>
      <c r="K13" s="108">
        <f t="shared" si="4"/>
        <v>0</v>
      </c>
      <c r="L13" s="189">
        <f t="shared" si="5"/>
        <v>0</v>
      </c>
      <c r="M13" s="108">
        <f t="shared" si="6"/>
        <v>0</v>
      </c>
      <c r="N13" s="108">
        <f t="shared" si="7"/>
        <v>0</v>
      </c>
      <c r="O13" s="108">
        <f t="shared" si="8"/>
        <v>0</v>
      </c>
      <c r="P13" s="108">
        <f t="shared" si="9"/>
        <v>0</v>
      </c>
      <c r="Q13" s="108">
        <f t="shared" si="10"/>
        <v>0</v>
      </c>
      <c r="R13" s="108">
        <f t="shared" si="11"/>
        <v>0</v>
      </c>
      <c r="S13" s="108">
        <f t="shared" si="12"/>
        <v>0</v>
      </c>
    </row>
    <row r="14" spans="1:28" ht="19.95" customHeight="1">
      <c r="A14" s="90"/>
      <c r="B14" s="376"/>
      <c r="C14" s="227"/>
      <c r="D14" s="227"/>
      <c r="E14" s="89"/>
      <c r="F14" s="89"/>
      <c r="G14" s="34"/>
      <c r="H14" s="35"/>
      <c r="I14" s="36"/>
      <c r="J14" s="33"/>
      <c r="K14" s="108">
        <f t="shared" si="4"/>
        <v>0</v>
      </c>
      <c r="L14" s="189">
        <f t="shared" si="5"/>
        <v>0</v>
      </c>
      <c r="M14" s="108">
        <f t="shared" si="6"/>
        <v>0</v>
      </c>
      <c r="N14" s="108">
        <f t="shared" si="7"/>
        <v>0</v>
      </c>
      <c r="O14" s="108">
        <f t="shared" si="8"/>
        <v>0</v>
      </c>
      <c r="P14" s="108">
        <f t="shared" si="9"/>
        <v>0</v>
      </c>
      <c r="Q14" s="108">
        <f t="shared" si="10"/>
        <v>0</v>
      </c>
      <c r="R14" s="108">
        <f t="shared" si="11"/>
        <v>0</v>
      </c>
      <c r="S14" s="108">
        <f t="shared" si="12"/>
        <v>0</v>
      </c>
    </row>
    <row r="15" spans="1:28" ht="19.95" customHeight="1">
      <c r="A15" s="90"/>
      <c r="B15" s="376"/>
      <c r="C15" s="227"/>
      <c r="D15" s="227"/>
      <c r="E15" s="89"/>
      <c r="F15" s="89"/>
      <c r="G15" s="34"/>
      <c r="H15" s="35"/>
      <c r="I15" s="36"/>
      <c r="J15" s="33"/>
      <c r="K15" s="108">
        <f t="shared" si="4"/>
        <v>0</v>
      </c>
      <c r="L15" s="189">
        <f t="shared" si="5"/>
        <v>0</v>
      </c>
      <c r="M15" s="108">
        <f t="shared" si="6"/>
        <v>0</v>
      </c>
      <c r="N15" s="108">
        <f t="shared" si="7"/>
        <v>0</v>
      </c>
      <c r="O15" s="108">
        <f t="shared" si="8"/>
        <v>0</v>
      </c>
      <c r="P15" s="108">
        <f t="shared" si="9"/>
        <v>0</v>
      </c>
      <c r="Q15" s="108">
        <f t="shared" si="10"/>
        <v>0</v>
      </c>
      <c r="R15" s="108">
        <f t="shared" si="11"/>
        <v>0</v>
      </c>
      <c r="S15" s="108">
        <f t="shared" si="12"/>
        <v>0</v>
      </c>
    </row>
    <row r="16" spans="1:28" ht="19.95" customHeight="1">
      <c r="A16" s="90"/>
      <c r="B16" s="376"/>
      <c r="C16" s="227"/>
      <c r="D16" s="227"/>
      <c r="E16" s="89"/>
      <c r="F16" s="89"/>
      <c r="G16" s="34"/>
      <c r="H16" s="35"/>
      <c r="I16" s="36"/>
      <c r="J16" s="33"/>
      <c r="K16" s="108">
        <f t="shared" si="4"/>
        <v>0</v>
      </c>
      <c r="L16" s="189">
        <f t="shared" si="5"/>
        <v>0</v>
      </c>
      <c r="M16" s="108">
        <f t="shared" si="6"/>
        <v>0</v>
      </c>
      <c r="N16" s="108">
        <f t="shared" si="7"/>
        <v>0</v>
      </c>
      <c r="O16" s="108">
        <f t="shared" si="8"/>
        <v>0</v>
      </c>
      <c r="P16" s="108">
        <f t="shared" si="9"/>
        <v>0</v>
      </c>
      <c r="Q16" s="108">
        <f t="shared" si="10"/>
        <v>0</v>
      </c>
      <c r="R16" s="108">
        <f t="shared" si="11"/>
        <v>0</v>
      </c>
      <c r="S16" s="108">
        <f t="shared" si="12"/>
        <v>0</v>
      </c>
    </row>
    <row r="17" spans="1:19" ht="19.95" customHeight="1">
      <c r="A17" s="90"/>
      <c r="B17" s="376"/>
      <c r="C17" s="227"/>
      <c r="D17" s="227"/>
      <c r="E17" s="89"/>
      <c r="F17" s="89"/>
      <c r="G17" s="34"/>
      <c r="H17" s="35"/>
      <c r="I17" s="36"/>
      <c r="J17" s="33"/>
      <c r="K17" s="108">
        <f t="shared" si="4"/>
        <v>0</v>
      </c>
      <c r="L17" s="189">
        <f t="shared" si="5"/>
        <v>0</v>
      </c>
      <c r="M17" s="108">
        <f t="shared" si="6"/>
        <v>0</v>
      </c>
      <c r="N17" s="108">
        <f t="shared" si="7"/>
        <v>0</v>
      </c>
      <c r="O17" s="108">
        <f t="shared" si="8"/>
        <v>0</v>
      </c>
      <c r="P17" s="108">
        <f t="shared" si="9"/>
        <v>0</v>
      </c>
      <c r="Q17" s="108">
        <f t="shared" si="10"/>
        <v>0</v>
      </c>
      <c r="R17" s="108">
        <f t="shared" si="11"/>
        <v>0</v>
      </c>
      <c r="S17" s="108">
        <f t="shared" si="12"/>
        <v>0</v>
      </c>
    </row>
    <row r="18" spans="1:19" ht="19.95" customHeight="1">
      <c r="A18" s="90"/>
      <c r="B18" s="376"/>
      <c r="C18" s="227"/>
      <c r="D18" s="227"/>
      <c r="E18" s="89"/>
      <c r="F18" s="89"/>
      <c r="G18" s="34"/>
      <c r="H18" s="35"/>
      <c r="I18" s="36"/>
      <c r="J18" s="33"/>
      <c r="K18" s="108">
        <f t="shared" si="4"/>
        <v>0</v>
      </c>
      <c r="L18" s="189">
        <f t="shared" si="5"/>
        <v>0</v>
      </c>
      <c r="M18" s="108">
        <f t="shared" si="6"/>
        <v>0</v>
      </c>
      <c r="N18" s="108">
        <f t="shared" si="7"/>
        <v>0</v>
      </c>
      <c r="O18" s="108">
        <f t="shared" si="8"/>
        <v>0</v>
      </c>
      <c r="P18" s="108">
        <f t="shared" si="9"/>
        <v>0</v>
      </c>
      <c r="Q18" s="108">
        <f t="shared" si="10"/>
        <v>0</v>
      </c>
      <c r="R18" s="108">
        <f t="shared" si="11"/>
        <v>0</v>
      </c>
      <c r="S18" s="108">
        <f t="shared" si="12"/>
        <v>0</v>
      </c>
    </row>
    <row r="19" spans="1:19" ht="19.95" customHeight="1">
      <c r="A19" s="90"/>
      <c r="B19" s="376"/>
      <c r="C19" s="227"/>
      <c r="D19" s="227"/>
      <c r="E19" s="89"/>
      <c r="F19" s="89"/>
      <c r="G19" s="34"/>
      <c r="H19" s="35"/>
      <c r="I19" s="36"/>
      <c r="J19" s="33"/>
      <c r="K19" s="108">
        <f t="shared" si="4"/>
        <v>0</v>
      </c>
      <c r="L19" s="189">
        <f t="shared" si="5"/>
        <v>0</v>
      </c>
      <c r="M19" s="108">
        <f t="shared" si="6"/>
        <v>0</v>
      </c>
      <c r="N19" s="108">
        <f t="shared" si="7"/>
        <v>0</v>
      </c>
      <c r="O19" s="108">
        <f t="shared" si="8"/>
        <v>0</v>
      </c>
      <c r="P19" s="108">
        <f t="shared" si="9"/>
        <v>0</v>
      </c>
      <c r="Q19" s="108">
        <f t="shared" si="10"/>
        <v>0</v>
      </c>
      <c r="R19" s="108">
        <f t="shared" si="11"/>
        <v>0</v>
      </c>
      <c r="S19" s="108">
        <f t="shared" si="12"/>
        <v>0</v>
      </c>
    </row>
    <row r="20" spans="1:19" ht="19.95" customHeight="1">
      <c r="A20" s="90"/>
      <c r="B20" s="376"/>
      <c r="C20" s="227"/>
      <c r="D20" s="227"/>
      <c r="E20" s="89"/>
      <c r="F20" s="89"/>
      <c r="G20" s="34"/>
      <c r="H20" s="35"/>
      <c r="I20" s="36"/>
      <c r="J20" s="33"/>
      <c r="K20" s="108">
        <f t="shared" si="4"/>
        <v>0</v>
      </c>
      <c r="L20" s="189">
        <f t="shared" si="5"/>
        <v>0</v>
      </c>
      <c r="M20" s="108">
        <f t="shared" si="6"/>
        <v>0</v>
      </c>
      <c r="N20" s="108">
        <f t="shared" si="7"/>
        <v>0</v>
      </c>
      <c r="O20" s="108">
        <f t="shared" si="8"/>
        <v>0</v>
      </c>
      <c r="P20" s="108">
        <f t="shared" si="9"/>
        <v>0</v>
      </c>
      <c r="Q20" s="108">
        <f t="shared" si="10"/>
        <v>0</v>
      </c>
      <c r="R20" s="108">
        <f t="shared" si="11"/>
        <v>0</v>
      </c>
      <c r="S20" s="108">
        <f t="shared" si="12"/>
        <v>0</v>
      </c>
    </row>
    <row r="21" spans="1:19" ht="19.95" customHeight="1">
      <c r="A21" s="90"/>
      <c r="B21" s="376"/>
      <c r="C21" s="227"/>
      <c r="D21" s="227"/>
      <c r="E21" s="89"/>
      <c r="F21" s="89"/>
      <c r="G21" s="34"/>
      <c r="H21" s="35"/>
      <c r="I21" s="36"/>
      <c r="J21" s="33"/>
      <c r="K21" s="108">
        <f t="shared" si="4"/>
        <v>0</v>
      </c>
      <c r="L21" s="189">
        <f t="shared" si="5"/>
        <v>0</v>
      </c>
      <c r="M21" s="108">
        <f t="shared" si="6"/>
        <v>0</v>
      </c>
      <c r="N21" s="108">
        <f t="shared" si="7"/>
        <v>0</v>
      </c>
      <c r="O21" s="108">
        <f t="shared" si="8"/>
        <v>0</v>
      </c>
      <c r="P21" s="108">
        <f t="shared" si="9"/>
        <v>0</v>
      </c>
      <c r="Q21" s="108">
        <f t="shared" si="10"/>
        <v>0</v>
      </c>
      <c r="R21" s="108">
        <f t="shared" si="11"/>
        <v>0</v>
      </c>
      <c r="S21" s="108">
        <f t="shared" si="12"/>
        <v>0</v>
      </c>
    </row>
    <row r="22" spans="1:19" ht="19.95" customHeight="1">
      <c r="A22" s="90"/>
      <c r="B22" s="376"/>
      <c r="C22" s="227"/>
      <c r="D22" s="227"/>
      <c r="E22" s="89"/>
      <c r="F22" s="89"/>
      <c r="G22" s="34"/>
      <c r="H22" s="35"/>
      <c r="I22" s="36"/>
      <c r="J22" s="33"/>
      <c r="K22" s="108">
        <f t="shared" si="4"/>
        <v>0</v>
      </c>
      <c r="L22" s="189">
        <f t="shared" si="5"/>
        <v>0</v>
      </c>
      <c r="M22" s="108">
        <f t="shared" si="6"/>
        <v>0</v>
      </c>
      <c r="N22" s="108">
        <f t="shared" si="7"/>
        <v>0</v>
      </c>
      <c r="O22" s="108">
        <f t="shared" si="8"/>
        <v>0</v>
      </c>
      <c r="P22" s="108">
        <f t="shared" si="9"/>
        <v>0</v>
      </c>
      <c r="Q22" s="108">
        <f t="shared" si="10"/>
        <v>0</v>
      </c>
      <c r="R22" s="108">
        <f t="shared" si="11"/>
        <v>0</v>
      </c>
      <c r="S22" s="108">
        <f t="shared" si="12"/>
        <v>0</v>
      </c>
    </row>
    <row r="23" spans="1:19" ht="19.95" customHeight="1">
      <c r="A23" s="90"/>
      <c r="B23" s="376"/>
      <c r="C23" s="227"/>
      <c r="D23" s="227"/>
      <c r="E23" s="89"/>
      <c r="F23" s="89"/>
      <c r="G23" s="34"/>
      <c r="H23" s="35"/>
      <c r="I23" s="36"/>
      <c r="J23" s="33"/>
      <c r="K23" s="108">
        <f t="shared" si="4"/>
        <v>0</v>
      </c>
      <c r="L23" s="189">
        <f t="shared" si="5"/>
        <v>0</v>
      </c>
      <c r="M23" s="108">
        <f t="shared" si="6"/>
        <v>0</v>
      </c>
      <c r="N23" s="108">
        <f t="shared" si="7"/>
        <v>0</v>
      </c>
      <c r="O23" s="108">
        <f t="shared" si="8"/>
        <v>0</v>
      </c>
      <c r="P23" s="108">
        <f t="shared" si="9"/>
        <v>0</v>
      </c>
      <c r="Q23" s="108">
        <f t="shared" si="10"/>
        <v>0</v>
      </c>
      <c r="R23" s="108">
        <f t="shared" si="11"/>
        <v>0</v>
      </c>
      <c r="S23" s="108">
        <f t="shared" si="12"/>
        <v>0</v>
      </c>
    </row>
    <row r="24" spans="1:19" ht="19.95" customHeight="1">
      <c r="A24" s="90"/>
      <c r="B24" s="376"/>
      <c r="C24" s="227"/>
      <c r="D24" s="227"/>
      <c r="E24" s="89"/>
      <c r="F24" s="89"/>
      <c r="G24" s="34"/>
      <c r="H24" s="35"/>
      <c r="I24" s="36"/>
      <c r="J24" s="33"/>
      <c r="K24" s="108">
        <f t="shared" si="4"/>
        <v>0</v>
      </c>
      <c r="L24" s="189">
        <f t="shared" si="5"/>
        <v>0</v>
      </c>
      <c r="M24" s="108">
        <f t="shared" si="6"/>
        <v>0</v>
      </c>
      <c r="N24" s="108">
        <f t="shared" si="7"/>
        <v>0</v>
      </c>
      <c r="O24" s="108">
        <f t="shared" si="8"/>
        <v>0</v>
      </c>
      <c r="P24" s="108">
        <f t="shared" si="9"/>
        <v>0</v>
      </c>
      <c r="Q24" s="108">
        <f t="shared" si="10"/>
        <v>0</v>
      </c>
      <c r="R24" s="108">
        <f t="shared" si="11"/>
        <v>0</v>
      </c>
      <c r="S24" s="108">
        <f t="shared" si="12"/>
        <v>0</v>
      </c>
    </row>
    <row r="25" spans="1:19" ht="19.95" customHeight="1">
      <c r="A25" s="90"/>
      <c r="B25" s="376"/>
      <c r="C25" s="227"/>
      <c r="D25" s="227"/>
      <c r="E25" s="89"/>
      <c r="F25" s="89"/>
      <c r="G25" s="34"/>
      <c r="H25" s="35"/>
      <c r="I25" s="36"/>
      <c r="J25" s="33"/>
      <c r="K25" s="108">
        <f t="shared" si="4"/>
        <v>0</v>
      </c>
      <c r="L25" s="189">
        <f t="shared" si="5"/>
        <v>0</v>
      </c>
      <c r="M25" s="108">
        <f t="shared" si="6"/>
        <v>0</v>
      </c>
      <c r="N25" s="108">
        <f t="shared" si="7"/>
        <v>0</v>
      </c>
      <c r="O25" s="108">
        <f t="shared" si="8"/>
        <v>0</v>
      </c>
      <c r="P25" s="108">
        <f t="shared" si="9"/>
        <v>0</v>
      </c>
      <c r="Q25" s="108">
        <f t="shared" si="10"/>
        <v>0</v>
      </c>
      <c r="R25" s="108">
        <f t="shared" si="11"/>
        <v>0</v>
      </c>
      <c r="S25" s="108">
        <f t="shared" si="12"/>
        <v>0</v>
      </c>
    </row>
    <row r="26" spans="1:19" s="585" customFormat="1" ht="19.95" customHeight="1">
      <c r="A26" s="737" t="s">
        <v>447</v>
      </c>
      <c r="B26" s="738"/>
      <c r="C26" s="738"/>
      <c r="D26" s="739"/>
      <c r="E26" s="381">
        <f>SUM(E9:E25)</f>
        <v>0</v>
      </c>
      <c r="F26" s="381">
        <f>SUM(F9:F25)</f>
        <v>0</v>
      </c>
      <c r="G26" s="580"/>
      <c r="H26" s="581"/>
      <c r="I26" s="582"/>
      <c r="J26" s="583"/>
      <c r="K26" s="584"/>
      <c r="L26" s="584"/>
      <c r="M26" s="584"/>
      <c r="N26" s="584"/>
      <c r="O26" s="381">
        <f>SUM(O9:O25)</f>
        <v>0</v>
      </c>
      <c r="P26" s="381">
        <f>SUM(P9:P25)</f>
        <v>0</v>
      </c>
      <c r="Q26" s="381">
        <f>SUM(Q9:Q25)</f>
        <v>0</v>
      </c>
      <c r="R26" s="381">
        <f>SUM(R9:R25)</f>
        <v>0</v>
      </c>
      <c r="S26" s="381">
        <f>SUM(S9:S25)</f>
        <v>0</v>
      </c>
    </row>
    <row r="27" spans="1:19" s="24" customFormat="1" ht="19.95" customHeight="1">
      <c r="A27" s="740" t="s">
        <v>1002</v>
      </c>
      <c r="B27" s="741"/>
      <c r="C27" s="741"/>
      <c r="D27" s="742"/>
      <c r="E27" s="409"/>
      <c r="F27" s="409"/>
      <c r="G27" s="186"/>
      <c r="H27" s="236"/>
      <c r="I27" s="187"/>
      <c r="J27" s="188"/>
      <c r="K27" s="236"/>
      <c r="L27" s="236"/>
      <c r="M27" s="236"/>
      <c r="N27" s="236"/>
      <c r="O27" s="362"/>
      <c r="P27" s="362"/>
      <c r="Q27" s="362"/>
      <c r="R27" s="362"/>
      <c r="S27" s="362"/>
    </row>
    <row r="28" spans="1:19" s="24" customFormat="1" ht="19.95" customHeight="1">
      <c r="A28" s="736" t="str">
        <f>底稿目录!A9</f>
        <v>种植业</v>
      </c>
      <c r="B28" s="736"/>
      <c r="C28" s="736"/>
      <c r="D28" s="736"/>
      <c r="E28" s="183">
        <f t="shared" ref="E28:F32" si="13">SUMPRODUCT(($A$9:$A$25=$A28)*(E$9:E$25))</f>
        <v>0</v>
      </c>
      <c r="F28" s="183">
        <f t="shared" si="13"/>
        <v>0</v>
      </c>
      <c r="G28" s="192"/>
      <c r="H28" s="237"/>
      <c r="I28" s="193"/>
      <c r="J28" s="194"/>
      <c r="K28" s="237"/>
      <c r="L28" s="237"/>
      <c r="M28" s="237"/>
      <c r="N28" s="237"/>
      <c r="O28" s="183">
        <f t="shared" ref="O28:S32" si="14">SUMPRODUCT(($A$9:$A$25=$A28)*(O$9:O$25))</f>
        <v>0</v>
      </c>
      <c r="P28" s="183">
        <f t="shared" si="14"/>
        <v>0</v>
      </c>
      <c r="Q28" s="183">
        <f t="shared" si="14"/>
        <v>0</v>
      </c>
      <c r="R28" s="183">
        <f t="shared" si="14"/>
        <v>0</v>
      </c>
      <c r="S28" s="183">
        <f t="shared" si="14"/>
        <v>0</v>
      </c>
    </row>
    <row r="29" spans="1:19" s="24" customFormat="1" ht="19.95" customHeight="1">
      <c r="A29" s="736" t="str">
        <f>底稿目录!A10</f>
        <v>畜牧养殖业</v>
      </c>
      <c r="B29" s="736"/>
      <c r="C29" s="736"/>
      <c r="D29" s="736"/>
      <c r="E29" s="183">
        <f t="shared" si="13"/>
        <v>0</v>
      </c>
      <c r="F29" s="183">
        <f t="shared" si="13"/>
        <v>0</v>
      </c>
      <c r="G29" s="192"/>
      <c r="H29" s="237"/>
      <c r="I29" s="193"/>
      <c r="J29" s="194"/>
      <c r="K29" s="237"/>
      <c r="L29" s="237"/>
      <c r="M29" s="237"/>
      <c r="N29" s="237"/>
      <c r="O29" s="183">
        <f t="shared" si="14"/>
        <v>0</v>
      </c>
      <c r="P29" s="183">
        <f t="shared" si="14"/>
        <v>0</v>
      </c>
      <c r="Q29" s="183">
        <f t="shared" si="14"/>
        <v>0</v>
      </c>
      <c r="R29" s="183">
        <f t="shared" si="14"/>
        <v>0</v>
      </c>
      <c r="S29" s="183">
        <f t="shared" si="14"/>
        <v>0</v>
      </c>
    </row>
    <row r="30" spans="1:19" s="24" customFormat="1" ht="19.95" customHeight="1">
      <c r="A30" s="736" t="str">
        <f>底稿目录!A11</f>
        <v>林业</v>
      </c>
      <c r="B30" s="736"/>
      <c r="C30" s="736"/>
      <c r="D30" s="736"/>
      <c r="E30" s="183">
        <f t="shared" si="13"/>
        <v>0</v>
      </c>
      <c r="F30" s="183">
        <f t="shared" si="13"/>
        <v>0</v>
      </c>
      <c r="G30" s="192"/>
      <c r="H30" s="237"/>
      <c r="I30" s="193"/>
      <c r="J30" s="194"/>
      <c r="K30" s="237"/>
      <c r="L30" s="237"/>
      <c r="M30" s="237"/>
      <c r="N30" s="237"/>
      <c r="O30" s="183">
        <f t="shared" si="14"/>
        <v>0</v>
      </c>
      <c r="P30" s="183">
        <f t="shared" si="14"/>
        <v>0</v>
      </c>
      <c r="Q30" s="183">
        <f t="shared" si="14"/>
        <v>0</v>
      </c>
      <c r="R30" s="183">
        <f t="shared" si="14"/>
        <v>0</v>
      </c>
      <c r="S30" s="183">
        <f t="shared" si="14"/>
        <v>0</v>
      </c>
    </row>
    <row r="31" spans="1:19" s="24" customFormat="1" ht="19.95" customHeight="1">
      <c r="A31" s="736" t="str">
        <f>底稿目录!A12</f>
        <v>水产业</v>
      </c>
      <c r="B31" s="736"/>
      <c r="C31" s="736"/>
      <c r="D31" s="736"/>
      <c r="E31" s="183">
        <f t="shared" si="13"/>
        <v>0</v>
      </c>
      <c r="F31" s="183">
        <f t="shared" si="13"/>
        <v>0</v>
      </c>
      <c r="G31" s="192"/>
      <c r="H31" s="237"/>
      <c r="I31" s="193"/>
      <c r="J31" s="194"/>
      <c r="K31" s="237"/>
      <c r="L31" s="237"/>
      <c r="M31" s="237"/>
      <c r="N31" s="237"/>
      <c r="O31" s="183">
        <f t="shared" si="14"/>
        <v>0</v>
      </c>
      <c r="P31" s="183">
        <f t="shared" si="14"/>
        <v>0</v>
      </c>
      <c r="Q31" s="183">
        <f t="shared" si="14"/>
        <v>0</v>
      </c>
      <c r="R31" s="183">
        <f t="shared" si="14"/>
        <v>0</v>
      </c>
      <c r="S31" s="183">
        <f t="shared" si="14"/>
        <v>0</v>
      </c>
    </row>
    <row r="32" spans="1:19" s="24" customFormat="1" ht="19.95" customHeight="1">
      <c r="A32" s="736" t="str">
        <f>底稿目录!A13</f>
        <v>……</v>
      </c>
      <c r="B32" s="736"/>
      <c r="C32" s="736"/>
      <c r="D32" s="736"/>
      <c r="E32" s="183">
        <f t="shared" si="13"/>
        <v>0</v>
      </c>
      <c r="F32" s="183">
        <f t="shared" si="13"/>
        <v>0</v>
      </c>
      <c r="G32" s="192"/>
      <c r="H32" s="237"/>
      <c r="I32" s="193"/>
      <c r="J32" s="194"/>
      <c r="K32" s="237"/>
      <c r="L32" s="237"/>
      <c r="M32" s="237"/>
      <c r="N32" s="237"/>
      <c r="O32" s="183">
        <f t="shared" si="14"/>
        <v>0</v>
      </c>
      <c r="P32" s="183">
        <f t="shared" si="14"/>
        <v>0</v>
      </c>
      <c r="Q32" s="183">
        <f t="shared" si="14"/>
        <v>0</v>
      </c>
      <c r="R32" s="183">
        <f t="shared" si="14"/>
        <v>0</v>
      </c>
      <c r="S32" s="183">
        <f t="shared" si="14"/>
        <v>0</v>
      </c>
    </row>
    <row r="33" spans="1:19" ht="19.95" customHeight="1">
      <c r="A33" s="318" t="s">
        <v>799</v>
      </c>
      <c r="B33" s="190"/>
      <c r="C33" s="190"/>
      <c r="D33" s="190"/>
      <c r="E33" s="190"/>
      <c r="F33" s="190"/>
      <c r="G33" s="190"/>
      <c r="H33" s="190"/>
      <c r="I33" s="190"/>
      <c r="J33" s="190"/>
      <c r="K33" s="191"/>
      <c r="L33" s="190"/>
      <c r="M33" s="190"/>
      <c r="N33" s="190"/>
      <c r="O33" s="190"/>
      <c r="P33" s="190"/>
      <c r="Q33" s="190"/>
      <c r="R33" s="190"/>
      <c r="S33" s="190"/>
    </row>
    <row r="36" spans="1:19" ht="19.95" customHeight="1">
      <c r="A36" s="24" t="s">
        <v>477</v>
      </c>
    </row>
    <row r="40" spans="1:19" s="17" customFormat="1" ht="19.95" customHeight="1">
      <c r="A40" s="456" t="s">
        <v>1043</v>
      </c>
      <c r="K40" s="57"/>
    </row>
    <row r="41" spans="1:19" s="17" customFormat="1" ht="19.95" customHeight="1">
      <c r="A41" s="319" t="s">
        <v>800</v>
      </c>
      <c r="K41" s="57"/>
    </row>
    <row r="42" spans="1:19" s="17" customFormat="1" ht="19.95" customHeight="1">
      <c r="A42" s="17" t="s">
        <v>801</v>
      </c>
      <c r="K42" s="57"/>
    </row>
    <row r="43" spans="1:19" s="17" customFormat="1" ht="19.95" customHeight="1">
      <c r="A43" s="17" t="s">
        <v>802</v>
      </c>
      <c r="K43" s="57"/>
    </row>
    <row r="44" spans="1:19" s="17" customFormat="1" ht="19.95" customHeight="1">
      <c r="A44" s="17" t="s">
        <v>803</v>
      </c>
      <c r="K44" s="57"/>
    </row>
    <row r="45" spans="1:19" s="17" customFormat="1" ht="19.95" customHeight="1">
      <c r="A45" s="17" t="s">
        <v>804</v>
      </c>
      <c r="K45" s="57"/>
    </row>
    <row r="46" spans="1:19" s="17" customFormat="1" ht="19.95" customHeight="1">
      <c r="K46" s="57"/>
    </row>
    <row r="47" spans="1:19" ht="19.95" customHeight="1">
      <c r="A47" s="17" t="s">
        <v>805</v>
      </c>
    </row>
    <row r="48" spans="1:19" ht="19.95" customHeight="1">
      <c r="A48" s="17" t="s">
        <v>806</v>
      </c>
    </row>
    <row r="49" spans="1:1" ht="19.95" customHeight="1">
      <c r="A49" s="17" t="s">
        <v>807</v>
      </c>
    </row>
    <row r="50" spans="1:1" ht="19.95" customHeight="1">
      <c r="A50" s="17"/>
    </row>
    <row r="51" spans="1:1" ht="19.95" customHeight="1">
      <c r="A51" s="17" t="s">
        <v>808</v>
      </c>
    </row>
    <row r="52" spans="1:1" ht="19.95" customHeight="1">
      <c r="A52" s="17" t="s">
        <v>809</v>
      </c>
    </row>
    <row r="53" spans="1:1" ht="19.95" customHeight="1">
      <c r="A53" s="17" t="s">
        <v>810</v>
      </c>
    </row>
    <row r="54" spans="1:1" ht="19.95" customHeight="1">
      <c r="A54" s="17"/>
    </row>
    <row r="55" spans="1:1" ht="19.95" customHeight="1">
      <c r="A55" s="319" t="s">
        <v>811</v>
      </c>
    </row>
    <row r="57" spans="1:1" ht="19.95" customHeight="1">
      <c r="A57" s="17" t="s">
        <v>812</v>
      </c>
    </row>
    <row r="58" spans="1:1" ht="19.95" customHeight="1">
      <c r="A58" s="17" t="s">
        <v>813</v>
      </c>
    </row>
    <row r="63" spans="1:1" ht="19.95" customHeight="1">
      <c r="A63" s="320"/>
    </row>
    <row r="64" spans="1:1" ht="19.95" customHeight="1">
      <c r="A64" s="260"/>
    </row>
    <row r="65" spans="1:1" ht="19.95" customHeight="1">
      <c r="A65" s="260"/>
    </row>
    <row r="66" spans="1:1" ht="19.95" customHeight="1">
      <c r="A66" s="260"/>
    </row>
    <row r="67" spans="1:1" ht="19.95" customHeight="1">
      <c r="A67" s="260"/>
    </row>
  </sheetData>
  <mergeCells count="9">
    <mergeCell ref="A1:S1"/>
    <mergeCell ref="A2:S2"/>
    <mergeCell ref="A31:D31"/>
    <mergeCell ref="A32:D32"/>
    <mergeCell ref="A26:D26"/>
    <mergeCell ref="A27:D27"/>
    <mergeCell ref="A28:D28"/>
    <mergeCell ref="A29:D29"/>
    <mergeCell ref="A30:D30"/>
  </mergeCells>
  <phoneticPr fontId="10" type="noConversion"/>
  <hyperlinks>
    <hyperlink ref="S3" location="底稿目录!A1" display="H7A"/>
  </hyperlinks>
  <printOptions horizontalCentered="1"/>
  <pageMargins left="0.31496062992125984" right="0.23622047244094491" top="0.55118110236220474" bottom="0.43307086614173229" header="0.51181102362204722" footer="0.31496062992125984"/>
  <pageSetup paperSize="9" scale="75" fitToHeight="10" orientation="landscape" blackAndWhite="1" r:id="rId1"/>
  <headerFooter alignWithMargins="0">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A9:A25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B54"/>
  <sheetViews>
    <sheetView showZeros="0" view="pageBreakPreview" zoomScaleSheetLayoutView="100" workbookViewId="0">
      <selection sqref="A1:Y1"/>
    </sheetView>
  </sheetViews>
  <sheetFormatPr defaultColWidth="9" defaultRowHeight="19.95" customHeight="1"/>
  <cols>
    <col min="1" max="1" width="14.19921875" style="196" customWidth="1"/>
    <col min="2" max="2" width="11.5" style="196" customWidth="1"/>
    <col min="3" max="3" width="11.09765625" style="196" customWidth="1"/>
    <col min="4" max="4" width="9" style="196"/>
    <col min="5" max="6" width="11.5" style="196" customWidth="1"/>
    <col min="7" max="7" width="9" style="196"/>
    <col min="8" max="8" width="8.09765625" style="196" customWidth="1"/>
    <col min="9" max="9" width="4.8984375" style="196" customWidth="1"/>
    <col min="10" max="10" width="6.3984375" style="196" bestFit="1" customWidth="1"/>
    <col min="11" max="11" width="8.8984375" style="196" customWidth="1"/>
    <col min="12" max="12" width="6.19921875" style="196" customWidth="1"/>
    <col min="13" max="13" width="8.19921875" style="91" customWidth="1"/>
    <col min="14" max="14" width="6.3984375" style="196" customWidth="1"/>
    <col min="15" max="15" width="10.5" style="196" customWidth="1"/>
    <col min="16" max="16" width="6.3984375" style="196" bestFit="1" customWidth="1"/>
    <col min="17" max="17" width="9.59765625" style="196" customWidth="1"/>
    <col min="18" max="18" width="8.5" style="196" customWidth="1"/>
    <col min="19" max="19" width="9" style="196" bestFit="1" customWidth="1"/>
    <col min="20" max="21" width="8.8984375" style="196" customWidth="1"/>
    <col min="22" max="22" width="10.19921875" style="196" bestFit="1" customWidth="1"/>
    <col min="23" max="23" width="8.19921875" style="196" customWidth="1"/>
    <col min="24" max="24" width="10.19921875" style="196" bestFit="1" customWidth="1"/>
    <col min="25" max="25" width="9.69921875" style="196" bestFit="1" customWidth="1"/>
    <col min="26" max="16384" width="9" style="196"/>
  </cols>
  <sheetData>
    <row r="1" spans="1:28" s="195" customFormat="1" ht="19.95" customHeight="1">
      <c r="A1" s="734" t="s">
        <v>982</v>
      </c>
      <c r="B1" s="734"/>
      <c r="C1" s="734"/>
      <c r="D1" s="734"/>
      <c r="E1" s="734"/>
      <c r="F1" s="734"/>
      <c r="G1" s="734"/>
      <c r="H1" s="734"/>
      <c r="I1" s="734"/>
      <c r="J1" s="734"/>
      <c r="K1" s="734"/>
      <c r="L1" s="734"/>
      <c r="M1" s="734"/>
      <c r="N1" s="734"/>
      <c r="O1" s="734"/>
      <c r="P1" s="734"/>
      <c r="Q1" s="734"/>
      <c r="R1" s="734"/>
      <c r="S1" s="734"/>
      <c r="T1" s="734"/>
      <c r="U1" s="734"/>
      <c r="V1" s="734"/>
      <c r="W1" s="734"/>
      <c r="X1" s="734"/>
      <c r="Y1" s="734"/>
    </row>
    <row r="2" spans="1:28" s="359" customFormat="1" ht="19.95" customHeight="1">
      <c r="A2" s="735" t="s">
        <v>998</v>
      </c>
      <c r="B2" s="735"/>
      <c r="C2" s="735"/>
      <c r="D2" s="735"/>
      <c r="E2" s="735"/>
      <c r="F2" s="735"/>
      <c r="G2" s="735"/>
      <c r="H2" s="735"/>
      <c r="I2" s="735"/>
      <c r="J2" s="735"/>
      <c r="K2" s="735"/>
      <c r="L2" s="735"/>
      <c r="M2" s="735"/>
      <c r="N2" s="735"/>
      <c r="O2" s="735"/>
      <c r="P2" s="735"/>
      <c r="Q2" s="735"/>
      <c r="R2" s="735"/>
      <c r="S2" s="735"/>
      <c r="T2" s="735"/>
      <c r="U2" s="735"/>
      <c r="V2" s="735"/>
      <c r="W2" s="735"/>
      <c r="X2" s="735"/>
      <c r="Y2" s="735"/>
    </row>
    <row r="3" spans="1:28" ht="19.95" customHeight="1">
      <c r="A3" s="196" t="str">
        <f>底稿目录!A2</f>
        <v>被审计单位：</v>
      </c>
      <c r="B3" s="197"/>
      <c r="F3" s="198"/>
      <c r="G3" s="196" t="str">
        <f>底稿目录!A4</f>
        <v>编制人：</v>
      </c>
      <c r="M3" s="196"/>
      <c r="S3" s="196" t="str">
        <f>底稿目录!A6</f>
        <v>编制日期：</v>
      </c>
      <c r="X3" s="432" t="s">
        <v>1011</v>
      </c>
      <c r="Y3" s="313" t="s">
        <v>264</v>
      </c>
    </row>
    <row r="4" spans="1:28" ht="19.95" customHeight="1">
      <c r="A4" s="196" t="str">
        <f>底稿目录!A3</f>
        <v>截止日：</v>
      </c>
      <c r="B4" s="197"/>
      <c r="F4" s="198"/>
      <c r="G4" s="196" t="str">
        <f>底稿目录!A5</f>
        <v>复核人：</v>
      </c>
      <c r="M4" s="196"/>
      <c r="S4" s="196" t="str">
        <f>底稿目录!A7</f>
        <v>复核日期：</v>
      </c>
      <c r="X4" s="432" t="s">
        <v>1012</v>
      </c>
      <c r="Y4" s="314"/>
    </row>
    <row r="5" spans="1:28" s="587" customFormat="1" ht="19.95" customHeight="1">
      <c r="A5" s="578" t="s">
        <v>814</v>
      </c>
      <c r="B5" s="517"/>
      <c r="C5" s="182"/>
      <c r="D5" s="182"/>
      <c r="E5" s="182"/>
      <c r="F5" s="182"/>
      <c r="G5" s="518"/>
      <c r="H5" s="182"/>
      <c r="I5" s="182"/>
      <c r="J5" s="182"/>
      <c r="K5" s="538"/>
      <c r="L5" s="586"/>
      <c r="M5" s="537"/>
      <c r="V5" s="588"/>
      <c r="W5" s="588"/>
      <c r="X5" s="588"/>
      <c r="Y5" s="588"/>
      <c r="Z5" s="588"/>
      <c r="AA5" s="588"/>
      <c r="AB5" s="588"/>
    </row>
    <row r="6" spans="1:28" ht="19.95" customHeight="1" thickBot="1">
      <c r="A6" s="199" t="s">
        <v>815</v>
      </c>
      <c r="B6" s="200"/>
      <c r="G6" s="198"/>
      <c r="L6" s="321"/>
      <c r="V6" s="322"/>
      <c r="W6" s="322"/>
      <c r="X6" s="322"/>
      <c r="Y6" s="322"/>
      <c r="Z6" s="322"/>
      <c r="AA6" s="322"/>
      <c r="AB6" s="322"/>
    </row>
    <row r="7" spans="1:28" s="201" customFormat="1" ht="19.95" customHeight="1" thickBot="1">
      <c r="A7" s="323" t="s">
        <v>816</v>
      </c>
      <c r="B7" s="589">
        <v>45658</v>
      </c>
      <c r="C7" s="323" t="s">
        <v>817</v>
      </c>
      <c r="D7" s="589">
        <v>46022</v>
      </c>
      <c r="E7" s="324" t="s">
        <v>818</v>
      </c>
      <c r="F7" s="589">
        <v>45782</v>
      </c>
      <c r="G7" s="325" t="s">
        <v>819</v>
      </c>
      <c r="J7" s="202"/>
      <c r="M7" s="204"/>
      <c r="N7" s="202"/>
      <c r="O7" s="202"/>
      <c r="P7" s="202"/>
      <c r="Q7" s="202"/>
      <c r="R7" s="202"/>
      <c r="V7" s="196"/>
      <c r="W7" s="196"/>
    </row>
    <row r="8" spans="1:28" s="503" customFormat="1" ht="48">
      <c r="A8" s="504" t="s">
        <v>1154</v>
      </c>
      <c r="B8" s="504" t="s">
        <v>1155</v>
      </c>
      <c r="C8" s="504" t="s">
        <v>1156</v>
      </c>
      <c r="D8" s="498" t="s">
        <v>1162</v>
      </c>
      <c r="E8" s="499" t="s">
        <v>1131</v>
      </c>
      <c r="F8" s="499" t="s">
        <v>1109</v>
      </c>
      <c r="G8" s="499" t="s">
        <v>1152</v>
      </c>
      <c r="H8" s="499" t="s">
        <v>1150</v>
      </c>
      <c r="I8" s="499" t="s">
        <v>1132</v>
      </c>
      <c r="J8" s="499" t="s">
        <v>1163</v>
      </c>
      <c r="K8" s="499" t="s">
        <v>1157</v>
      </c>
      <c r="L8" s="499" t="s">
        <v>1158</v>
      </c>
      <c r="M8" s="499" t="s">
        <v>1164</v>
      </c>
      <c r="N8" s="499" t="s">
        <v>1134</v>
      </c>
      <c r="O8" s="499" t="s">
        <v>1165</v>
      </c>
      <c r="P8" s="499" t="s">
        <v>1153</v>
      </c>
      <c r="Q8" s="499" t="s">
        <v>1166</v>
      </c>
      <c r="R8" s="499" t="s">
        <v>1151</v>
      </c>
      <c r="S8" s="499" t="s">
        <v>1167</v>
      </c>
      <c r="T8" s="499" t="s">
        <v>1159</v>
      </c>
      <c r="U8" s="499" t="s">
        <v>1168</v>
      </c>
      <c r="V8" s="499" t="s">
        <v>1137</v>
      </c>
      <c r="W8" s="499" t="s">
        <v>1160</v>
      </c>
      <c r="X8" s="499" t="s">
        <v>1169</v>
      </c>
      <c r="Y8" s="499" t="s">
        <v>1161</v>
      </c>
    </row>
    <row r="9" spans="1:28" s="201" customFormat="1" ht="19.95" customHeight="1">
      <c r="A9" s="90"/>
      <c r="B9" s="376"/>
      <c r="C9" s="228"/>
      <c r="D9" s="228"/>
      <c r="E9" s="229"/>
      <c r="F9" s="38"/>
      <c r="G9" s="38"/>
      <c r="H9" s="34"/>
      <c r="I9" s="203"/>
      <c r="J9" s="36"/>
      <c r="K9" s="33"/>
      <c r="L9" s="207">
        <f t="shared" ref="L9:L32" si="0">IF(I9=0,0,IF(RIGHT(I9,1)&lt;&gt;"年",I9*12,IF(LEN(I9)=3,VALUE(LEFT(I9,2))*12,IF(LEN(I9)=2,VALUE(LEFT(I9,1))*12,"??"))))</f>
        <v>0</v>
      </c>
      <c r="M9" s="208">
        <f t="shared" ref="M9:M21" si="1">IF(DAY(H9)=1,IF(H9=0,0,DATE(YEAR(H9),MONTH(H9)+L9,DAY(H9))),IF(H9=0,0,DATE(YEAR(H9),MONTH(H9)+L9,DAY(H9)-1)))</f>
        <v>0</v>
      </c>
      <c r="N9" s="217">
        <f>MIN(IF(AND(DAY(H9)=31,DAY($D$7)=30),IF(H9=0,0,IF(M9&gt;$D$7,VALUE(DATEDIF(H9,MIN($D$7,M9),"m"))+1,VALUE(DATEDIF(H9,MIN($D$7,M9),"m")+2))),IF(H9=0,0,IF(M9&gt;$D$7,DATEDIF(H9,MIN($D$7,M9),"m"),VALUE(DATEDIF(H9,MIN($D$7,M9),"m")+1)))),L9)</f>
        <v>0</v>
      </c>
      <c r="O9" s="217">
        <f>IF(AND(DAY(H9)=31,DAY($F$7)=30),MIN(IF(H9=0,0,IF($F$7&gt;H9,VALUE(DATEDIF(H9,$F$7,"m"))+1,0)),N9+1),MIN(IF(H9=0,0,IF($F$7&gt;H9,DATEDIF(H9,$F$7,"m"),0)),N9))</f>
        <v>0</v>
      </c>
      <c r="P9" s="217">
        <f>IF(OR(H9=0,M9&lt;$B$7),0,IF(AND(H9&lt;$B$7,M9&gt;$D$7),VALUE(DATEDIF($B$7,$D$7,"m")+1),IF(AND(H9&lt;$B$7,M9&lt;=$D$7),VALUE(DATEDIF($B$7,M9,"m")+1),IF(AND(H9&gt;=$B$7,M9&gt;$D$7),VALUE(DATEDIF(H9,$D$7,"m")),IF(AND(H9&gt;=$B$7,M9&lt;=$D$7),VALUE(DATEDIF(H9,M9,"m")+1),)))))</f>
        <v>0</v>
      </c>
      <c r="Q9" s="217">
        <f>IF(AND(YEAR(H9)=YEAR($D$7),DAY(H9)=31,DAY($D$7)=30),IF(H9&gt;$F$7,0,P9-R9+1),IF(H9&gt;$F$7,0,P9-R9))</f>
        <v>0</v>
      </c>
      <c r="R9" s="217">
        <f>IF(AND(DAY($F$7)=31,DAY($D$7)=30),IF(H9=0,0,IF($F$7&lt;$B$7,P9,VALUE(DATEDIF(MAX(H9,$F$7),MIN(M9,$D$7),"m")))+1),IF(H9=0,0,IF($F$7&lt;$B$7,P9,DATEDIF(MAX(H9,$F$7),MIN(M9,$D$7),"m"))))</f>
        <v>0</v>
      </c>
      <c r="S9" s="217">
        <f t="shared" ref="S9" si="2">IF(L9=0,0,ROUND(((1-J9)/L9)*E9,4))</f>
        <v>0</v>
      </c>
      <c r="T9" s="217">
        <f t="shared" ref="T9" si="3">ROUND(S9*O9,2)</f>
        <v>0</v>
      </c>
      <c r="U9" s="217">
        <f t="shared" ref="U9" si="4">IF((E9*(1-J9)-T9-G9)&gt;0,(E9*(1-J9)-T9-G9)/(L9-O9),0)</f>
        <v>0</v>
      </c>
      <c r="V9" s="217">
        <f t="shared" ref="V9" si="5">ROUND(S9*Q9,2)+ROUND(U9*R9,2)</f>
        <v>0</v>
      </c>
      <c r="W9" s="217">
        <f t="shared" ref="W9" si="6">ROUND(K9-U9,2)</f>
        <v>0</v>
      </c>
      <c r="X9" s="217">
        <f t="shared" ref="X9" si="7">ROUND(S9*O9,2)+ROUND(U9*(N9-O9),2)</f>
        <v>0</v>
      </c>
      <c r="Y9" s="217">
        <f t="shared" ref="Y9" si="8">ROUND(F9-X9,2)</f>
        <v>0</v>
      </c>
    </row>
    <row r="10" spans="1:28" s="201" customFormat="1" ht="19.95" customHeight="1">
      <c r="A10" s="90"/>
      <c r="B10" s="376"/>
      <c r="C10" s="228"/>
      <c r="D10" s="228"/>
      <c r="E10" s="229"/>
      <c r="F10" s="38"/>
      <c r="G10" s="38"/>
      <c r="H10" s="34"/>
      <c r="I10" s="203"/>
      <c r="J10" s="36"/>
      <c r="K10" s="33"/>
      <c r="L10" s="207">
        <f t="shared" si="0"/>
        <v>0</v>
      </c>
      <c r="M10" s="208">
        <f t="shared" si="1"/>
        <v>0</v>
      </c>
      <c r="N10" s="217">
        <f t="shared" ref="N10:N32" si="9">MIN(IF(AND(DAY(H10)=31,DAY($D$7)=30),IF(H10=0,0,IF(M10&gt;$D$7,VALUE(DATEDIF(H10,MIN($D$7,M10),"m"))+1,VALUE(DATEDIF(H10,MIN($D$7,M10),"m")+2))),IF(H10=0,0,IF(M10&gt;$D$7,DATEDIF(H10,MIN($D$7,M10),"m"),VALUE(DATEDIF(H10,MIN($D$7,M10),"m")+1)))),L10)</f>
        <v>0</v>
      </c>
      <c r="O10" s="217">
        <f t="shared" ref="O10:O32" si="10">IF(AND(DAY(H10)=31,DAY($F$7)=30),MIN(IF(H10=0,0,IF($F$7&gt;H10,VALUE(DATEDIF(H10,$F$7,"m"))+1,0)),N10+1),MIN(IF(H10=0,0,IF($F$7&gt;H10,DATEDIF(H10,$F$7,"m"),0)),N10))</f>
        <v>0</v>
      </c>
      <c r="P10" s="217">
        <f t="shared" ref="P10:P32" si="11">IF(OR(H10=0,M10&lt;$B$7),0,IF(AND(H10&lt;$B$7,M10&gt;$D$7),VALUE(DATEDIF($B$7,$D$7,"m")+1),IF(AND(H10&lt;$B$7,M10&lt;=$D$7),VALUE(DATEDIF($B$7,M10,"m")+1),IF(AND(H10&gt;=$B$7,M10&gt;$D$7),VALUE(DATEDIF(H10,$D$7,"m")),IF(AND(H10&gt;=$B$7,M10&lt;=$D$7),VALUE(DATEDIF(H10,M10,"m")+1),)))))</f>
        <v>0</v>
      </c>
      <c r="Q10" s="217">
        <f t="shared" ref="Q10:Q32" si="12">IF(AND(YEAR(H10)=YEAR($D$7),DAY(H10)=31,DAY($D$7)=30),IF(H10&gt;$F$7,0,P10-R10+1),IF(H10&gt;$F$7,0,P10-R10))</f>
        <v>0</v>
      </c>
      <c r="R10" s="217">
        <f t="shared" ref="R10:R32" si="13">IF(AND(DAY($F$7)=31,DAY($D$7)=30),IF(H10=0,0,IF($F$7&lt;$B$7,P10,VALUE(DATEDIF(MAX(H10,$F$7),MIN(M10,$D$7),"m")))+1),IF(H10=0,0,IF($F$7&lt;$B$7,P10,DATEDIF(MAX(H10,$F$7),MIN(M10,$D$7),"m"))))</f>
        <v>0</v>
      </c>
      <c r="S10" s="217">
        <f t="shared" ref="S10:S32" si="14">IF(L10=0,0,ROUND(((1-J10)/L10)*E10,4))</f>
        <v>0</v>
      </c>
      <c r="T10" s="217">
        <f t="shared" ref="T10:T32" si="15">ROUND(S10*O10,2)</f>
        <v>0</v>
      </c>
      <c r="U10" s="217">
        <f t="shared" ref="U10:U32" si="16">IF((E10*(1-J10)-T10-G10)&gt;0,(E10*(1-J10)-T10-G10)/(L10-O10),0)</f>
        <v>0</v>
      </c>
      <c r="V10" s="217">
        <f t="shared" ref="V10:V32" si="17">ROUND(S10*Q10,2)+ROUND(U10*R10,2)</f>
        <v>0</v>
      </c>
      <c r="W10" s="217">
        <f t="shared" ref="W10:W32" si="18">ROUND(K10-U10,2)</f>
        <v>0</v>
      </c>
      <c r="X10" s="217">
        <f t="shared" ref="X10:X32" si="19">ROUND(S10*O10,2)+ROUND(U10*(N10-O10),2)</f>
        <v>0</v>
      </c>
      <c r="Y10" s="217">
        <f t="shared" ref="Y10:Y32" si="20">ROUND(F10-X10,2)</f>
        <v>0</v>
      </c>
    </row>
    <row r="11" spans="1:28" ht="19.95" customHeight="1">
      <c r="A11" s="90"/>
      <c r="B11" s="376"/>
      <c r="C11" s="228"/>
      <c r="D11" s="228"/>
      <c r="E11" s="229"/>
      <c r="F11" s="38"/>
      <c r="G11" s="38"/>
      <c r="H11" s="34"/>
      <c r="I11" s="203"/>
      <c r="J11" s="36"/>
      <c r="K11" s="33"/>
      <c r="L11" s="207">
        <f t="shared" si="0"/>
        <v>0</v>
      </c>
      <c r="M11" s="208">
        <f t="shared" si="1"/>
        <v>0</v>
      </c>
      <c r="N11" s="217">
        <f t="shared" si="9"/>
        <v>0</v>
      </c>
      <c r="O11" s="217">
        <f t="shared" si="10"/>
        <v>0</v>
      </c>
      <c r="P11" s="217">
        <f t="shared" si="11"/>
        <v>0</v>
      </c>
      <c r="Q11" s="217">
        <f t="shared" si="12"/>
        <v>0</v>
      </c>
      <c r="R11" s="217">
        <f t="shared" si="13"/>
        <v>0</v>
      </c>
      <c r="S11" s="217">
        <f t="shared" si="14"/>
        <v>0</v>
      </c>
      <c r="T11" s="217">
        <f t="shared" si="15"/>
        <v>0</v>
      </c>
      <c r="U11" s="217">
        <f t="shared" si="16"/>
        <v>0</v>
      </c>
      <c r="V11" s="217">
        <f t="shared" si="17"/>
        <v>0</v>
      </c>
      <c r="W11" s="217">
        <f t="shared" si="18"/>
        <v>0</v>
      </c>
      <c r="X11" s="217">
        <f t="shared" si="19"/>
        <v>0</v>
      </c>
      <c r="Y11" s="217">
        <f t="shared" si="20"/>
        <v>0</v>
      </c>
    </row>
    <row r="12" spans="1:28" ht="19.95" customHeight="1">
      <c r="A12" s="90"/>
      <c r="B12" s="376"/>
      <c r="C12" s="228"/>
      <c r="D12" s="228"/>
      <c r="E12" s="229"/>
      <c r="F12" s="38"/>
      <c r="G12" s="38"/>
      <c r="H12" s="34"/>
      <c r="I12" s="203"/>
      <c r="J12" s="36"/>
      <c r="K12" s="33"/>
      <c r="L12" s="207">
        <f t="shared" si="0"/>
        <v>0</v>
      </c>
      <c r="M12" s="208">
        <f t="shared" si="1"/>
        <v>0</v>
      </c>
      <c r="N12" s="217">
        <f t="shared" si="9"/>
        <v>0</v>
      </c>
      <c r="O12" s="217">
        <f t="shared" si="10"/>
        <v>0</v>
      </c>
      <c r="P12" s="217">
        <f t="shared" si="11"/>
        <v>0</v>
      </c>
      <c r="Q12" s="217">
        <f t="shared" si="12"/>
        <v>0</v>
      </c>
      <c r="R12" s="217">
        <f t="shared" si="13"/>
        <v>0</v>
      </c>
      <c r="S12" s="217">
        <f t="shared" si="14"/>
        <v>0</v>
      </c>
      <c r="T12" s="217">
        <f t="shared" si="15"/>
        <v>0</v>
      </c>
      <c r="U12" s="217">
        <f t="shared" si="16"/>
        <v>0</v>
      </c>
      <c r="V12" s="217">
        <f t="shared" si="17"/>
        <v>0</v>
      </c>
      <c r="W12" s="217">
        <f t="shared" si="18"/>
        <v>0</v>
      </c>
      <c r="X12" s="217">
        <f t="shared" si="19"/>
        <v>0</v>
      </c>
      <c r="Y12" s="217">
        <f t="shared" si="20"/>
        <v>0</v>
      </c>
    </row>
    <row r="13" spans="1:28" ht="19.95" customHeight="1">
      <c r="A13" s="90"/>
      <c r="B13" s="376"/>
      <c r="C13" s="228"/>
      <c r="D13" s="228"/>
      <c r="E13" s="229"/>
      <c r="F13" s="38"/>
      <c r="G13" s="38"/>
      <c r="H13" s="34"/>
      <c r="I13" s="203"/>
      <c r="J13" s="36"/>
      <c r="K13" s="33"/>
      <c r="L13" s="207">
        <f t="shared" si="0"/>
        <v>0</v>
      </c>
      <c r="M13" s="208">
        <f t="shared" si="1"/>
        <v>0</v>
      </c>
      <c r="N13" s="217">
        <f t="shared" si="9"/>
        <v>0</v>
      </c>
      <c r="O13" s="217">
        <f t="shared" si="10"/>
        <v>0</v>
      </c>
      <c r="P13" s="217">
        <f t="shared" si="11"/>
        <v>0</v>
      </c>
      <c r="Q13" s="217">
        <f t="shared" si="12"/>
        <v>0</v>
      </c>
      <c r="R13" s="217">
        <f t="shared" si="13"/>
        <v>0</v>
      </c>
      <c r="S13" s="217">
        <f t="shared" si="14"/>
        <v>0</v>
      </c>
      <c r="T13" s="217">
        <f t="shared" si="15"/>
        <v>0</v>
      </c>
      <c r="U13" s="217">
        <f t="shared" si="16"/>
        <v>0</v>
      </c>
      <c r="V13" s="217">
        <f t="shared" si="17"/>
        <v>0</v>
      </c>
      <c r="W13" s="217">
        <f t="shared" si="18"/>
        <v>0</v>
      </c>
      <c r="X13" s="217">
        <f t="shared" si="19"/>
        <v>0</v>
      </c>
      <c r="Y13" s="217">
        <f t="shared" si="20"/>
        <v>0</v>
      </c>
    </row>
    <row r="14" spans="1:28" ht="19.95" customHeight="1">
      <c r="A14" s="90"/>
      <c r="B14" s="376"/>
      <c r="C14" s="228"/>
      <c r="D14" s="228"/>
      <c r="E14" s="229"/>
      <c r="F14" s="38"/>
      <c r="G14" s="38"/>
      <c r="H14" s="34"/>
      <c r="I14" s="203"/>
      <c r="J14" s="36"/>
      <c r="K14" s="33"/>
      <c r="L14" s="207">
        <f t="shared" si="0"/>
        <v>0</v>
      </c>
      <c r="M14" s="208">
        <f t="shared" si="1"/>
        <v>0</v>
      </c>
      <c r="N14" s="217">
        <f t="shared" si="9"/>
        <v>0</v>
      </c>
      <c r="O14" s="217">
        <f t="shared" si="10"/>
        <v>0</v>
      </c>
      <c r="P14" s="217">
        <f t="shared" si="11"/>
        <v>0</v>
      </c>
      <c r="Q14" s="217">
        <f t="shared" si="12"/>
        <v>0</v>
      </c>
      <c r="R14" s="217">
        <f t="shared" si="13"/>
        <v>0</v>
      </c>
      <c r="S14" s="217">
        <f t="shared" si="14"/>
        <v>0</v>
      </c>
      <c r="T14" s="217">
        <f t="shared" si="15"/>
        <v>0</v>
      </c>
      <c r="U14" s="217">
        <f t="shared" si="16"/>
        <v>0</v>
      </c>
      <c r="V14" s="217">
        <f t="shared" si="17"/>
        <v>0</v>
      </c>
      <c r="W14" s="217">
        <f t="shared" si="18"/>
        <v>0</v>
      </c>
      <c r="X14" s="217">
        <f t="shared" si="19"/>
        <v>0</v>
      </c>
      <c r="Y14" s="217">
        <f t="shared" si="20"/>
        <v>0</v>
      </c>
    </row>
    <row r="15" spans="1:28" ht="19.95" customHeight="1">
      <c r="A15" s="90"/>
      <c r="B15" s="376"/>
      <c r="C15" s="228"/>
      <c r="D15" s="228"/>
      <c r="E15" s="229"/>
      <c r="F15" s="38"/>
      <c r="G15" s="38"/>
      <c r="H15" s="34"/>
      <c r="I15" s="203"/>
      <c r="J15" s="36"/>
      <c r="K15" s="33"/>
      <c r="L15" s="207">
        <f>IF(I15=0,0,IF(RIGHT(I15,1)&lt;&gt;"年",I15*12,IF(LEN(I15)=3,VALUE(LEFT(I15,2))*12,IF(LEN(I15)=2,VALUE(LEFT(I15,1))*12,"??"))))</f>
        <v>0</v>
      </c>
      <c r="M15" s="208">
        <f t="shared" si="1"/>
        <v>0</v>
      </c>
      <c r="N15" s="217">
        <f t="shared" si="9"/>
        <v>0</v>
      </c>
      <c r="O15" s="217">
        <f t="shared" si="10"/>
        <v>0</v>
      </c>
      <c r="P15" s="217">
        <f t="shared" si="11"/>
        <v>0</v>
      </c>
      <c r="Q15" s="217">
        <f t="shared" si="12"/>
        <v>0</v>
      </c>
      <c r="R15" s="217">
        <f t="shared" si="13"/>
        <v>0</v>
      </c>
      <c r="S15" s="217">
        <f t="shared" si="14"/>
        <v>0</v>
      </c>
      <c r="T15" s="217">
        <f t="shared" si="15"/>
        <v>0</v>
      </c>
      <c r="U15" s="217">
        <f t="shared" si="16"/>
        <v>0</v>
      </c>
      <c r="V15" s="217">
        <f t="shared" si="17"/>
        <v>0</v>
      </c>
      <c r="W15" s="217">
        <f t="shared" si="18"/>
        <v>0</v>
      </c>
      <c r="X15" s="217">
        <f t="shared" si="19"/>
        <v>0</v>
      </c>
      <c r="Y15" s="217">
        <f t="shared" si="20"/>
        <v>0</v>
      </c>
    </row>
    <row r="16" spans="1:28" ht="19.95" customHeight="1">
      <c r="A16" s="90"/>
      <c r="B16" s="376"/>
      <c r="C16" s="228"/>
      <c r="D16" s="228"/>
      <c r="E16" s="229"/>
      <c r="F16" s="38"/>
      <c r="G16" s="38"/>
      <c r="H16" s="34"/>
      <c r="I16" s="203"/>
      <c r="J16" s="36"/>
      <c r="K16" s="33"/>
      <c r="L16" s="207">
        <f t="shared" si="0"/>
        <v>0</v>
      </c>
      <c r="M16" s="208">
        <f t="shared" si="1"/>
        <v>0</v>
      </c>
      <c r="N16" s="217">
        <f t="shared" si="9"/>
        <v>0</v>
      </c>
      <c r="O16" s="217">
        <f t="shared" si="10"/>
        <v>0</v>
      </c>
      <c r="P16" s="217">
        <f t="shared" si="11"/>
        <v>0</v>
      </c>
      <c r="Q16" s="217">
        <f t="shared" si="12"/>
        <v>0</v>
      </c>
      <c r="R16" s="217">
        <f t="shared" si="13"/>
        <v>0</v>
      </c>
      <c r="S16" s="217">
        <f t="shared" si="14"/>
        <v>0</v>
      </c>
      <c r="T16" s="217">
        <f t="shared" si="15"/>
        <v>0</v>
      </c>
      <c r="U16" s="217">
        <f t="shared" si="16"/>
        <v>0</v>
      </c>
      <c r="V16" s="217">
        <f t="shared" si="17"/>
        <v>0</v>
      </c>
      <c r="W16" s="217">
        <f t="shared" si="18"/>
        <v>0</v>
      </c>
      <c r="X16" s="217">
        <f t="shared" si="19"/>
        <v>0</v>
      </c>
      <c r="Y16" s="217">
        <f t="shared" si="20"/>
        <v>0</v>
      </c>
    </row>
    <row r="17" spans="1:25" ht="19.95" customHeight="1">
      <c r="A17" s="90"/>
      <c r="B17" s="376"/>
      <c r="C17" s="228"/>
      <c r="D17" s="228"/>
      <c r="E17" s="229"/>
      <c r="F17" s="38"/>
      <c r="G17" s="38"/>
      <c r="H17" s="34"/>
      <c r="I17" s="203"/>
      <c r="J17" s="36"/>
      <c r="K17" s="33"/>
      <c r="L17" s="207">
        <f t="shared" si="0"/>
        <v>0</v>
      </c>
      <c r="M17" s="208">
        <f t="shared" si="1"/>
        <v>0</v>
      </c>
      <c r="N17" s="217">
        <f t="shared" si="9"/>
        <v>0</v>
      </c>
      <c r="O17" s="217">
        <f t="shared" si="10"/>
        <v>0</v>
      </c>
      <c r="P17" s="217">
        <f t="shared" si="11"/>
        <v>0</v>
      </c>
      <c r="Q17" s="217">
        <f t="shared" si="12"/>
        <v>0</v>
      </c>
      <c r="R17" s="217">
        <f t="shared" si="13"/>
        <v>0</v>
      </c>
      <c r="S17" s="217">
        <f t="shared" si="14"/>
        <v>0</v>
      </c>
      <c r="T17" s="217">
        <f t="shared" si="15"/>
        <v>0</v>
      </c>
      <c r="U17" s="217">
        <f t="shared" si="16"/>
        <v>0</v>
      </c>
      <c r="V17" s="217">
        <f t="shared" si="17"/>
        <v>0</v>
      </c>
      <c r="W17" s="217">
        <f t="shared" si="18"/>
        <v>0</v>
      </c>
      <c r="X17" s="217">
        <f t="shared" si="19"/>
        <v>0</v>
      </c>
      <c r="Y17" s="217">
        <f t="shared" si="20"/>
        <v>0</v>
      </c>
    </row>
    <row r="18" spans="1:25" ht="19.95" customHeight="1">
      <c r="A18" s="90"/>
      <c r="B18" s="376"/>
      <c r="C18" s="228"/>
      <c r="D18" s="228"/>
      <c r="E18" s="229"/>
      <c r="F18" s="38"/>
      <c r="G18" s="38"/>
      <c r="H18" s="34"/>
      <c r="I18" s="203"/>
      <c r="J18" s="36"/>
      <c r="K18" s="33"/>
      <c r="L18" s="207">
        <f t="shared" si="0"/>
        <v>0</v>
      </c>
      <c r="M18" s="208">
        <f t="shared" si="1"/>
        <v>0</v>
      </c>
      <c r="N18" s="217">
        <f t="shared" si="9"/>
        <v>0</v>
      </c>
      <c r="O18" s="217">
        <f t="shared" si="10"/>
        <v>0</v>
      </c>
      <c r="P18" s="217">
        <f t="shared" si="11"/>
        <v>0</v>
      </c>
      <c r="Q18" s="217">
        <f t="shared" si="12"/>
        <v>0</v>
      </c>
      <c r="R18" s="217">
        <f t="shared" si="13"/>
        <v>0</v>
      </c>
      <c r="S18" s="217">
        <f t="shared" si="14"/>
        <v>0</v>
      </c>
      <c r="T18" s="217">
        <f t="shared" si="15"/>
        <v>0</v>
      </c>
      <c r="U18" s="217">
        <f t="shared" si="16"/>
        <v>0</v>
      </c>
      <c r="V18" s="217">
        <f t="shared" si="17"/>
        <v>0</v>
      </c>
      <c r="W18" s="217">
        <f t="shared" si="18"/>
        <v>0</v>
      </c>
      <c r="X18" s="217">
        <f t="shared" si="19"/>
        <v>0</v>
      </c>
      <c r="Y18" s="217">
        <f t="shared" si="20"/>
        <v>0</v>
      </c>
    </row>
    <row r="19" spans="1:25" ht="19.95" customHeight="1">
      <c r="A19" s="90"/>
      <c r="B19" s="376"/>
      <c r="C19" s="228"/>
      <c r="D19" s="228"/>
      <c r="E19" s="229"/>
      <c r="F19" s="38"/>
      <c r="G19" s="38"/>
      <c r="H19" s="34"/>
      <c r="I19" s="203"/>
      <c r="J19" s="36"/>
      <c r="K19" s="33"/>
      <c r="L19" s="207">
        <f t="shared" si="0"/>
        <v>0</v>
      </c>
      <c r="M19" s="208">
        <f t="shared" si="1"/>
        <v>0</v>
      </c>
      <c r="N19" s="217">
        <f t="shared" si="9"/>
        <v>0</v>
      </c>
      <c r="O19" s="217">
        <f t="shared" si="10"/>
        <v>0</v>
      </c>
      <c r="P19" s="217">
        <f t="shared" si="11"/>
        <v>0</v>
      </c>
      <c r="Q19" s="217">
        <f t="shared" si="12"/>
        <v>0</v>
      </c>
      <c r="R19" s="217">
        <f t="shared" si="13"/>
        <v>0</v>
      </c>
      <c r="S19" s="217">
        <f t="shared" si="14"/>
        <v>0</v>
      </c>
      <c r="T19" s="217">
        <f t="shared" si="15"/>
        <v>0</v>
      </c>
      <c r="U19" s="217">
        <f t="shared" si="16"/>
        <v>0</v>
      </c>
      <c r="V19" s="217">
        <f t="shared" si="17"/>
        <v>0</v>
      </c>
      <c r="W19" s="217">
        <f t="shared" si="18"/>
        <v>0</v>
      </c>
      <c r="X19" s="217">
        <f t="shared" si="19"/>
        <v>0</v>
      </c>
      <c r="Y19" s="217">
        <f t="shared" si="20"/>
        <v>0</v>
      </c>
    </row>
    <row r="20" spans="1:25" ht="19.95" customHeight="1">
      <c r="A20" s="90"/>
      <c r="B20" s="376"/>
      <c r="C20" s="228"/>
      <c r="D20" s="228"/>
      <c r="E20" s="229"/>
      <c r="F20" s="38"/>
      <c r="G20" s="38"/>
      <c r="H20" s="34"/>
      <c r="I20" s="203"/>
      <c r="J20" s="36"/>
      <c r="K20" s="33"/>
      <c r="L20" s="207">
        <f t="shared" si="0"/>
        <v>0</v>
      </c>
      <c r="M20" s="208">
        <f t="shared" si="1"/>
        <v>0</v>
      </c>
      <c r="N20" s="217">
        <f t="shared" si="9"/>
        <v>0</v>
      </c>
      <c r="O20" s="217">
        <f t="shared" si="10"/>
        <v>0</v>
      </c>
      <c r="P20" s="217">
        <f t="shared" si="11"/>
        <v>0</v>
      </c>
      <c r="Q20" s="217">
        <f t="shared" si="12"/>
        <v>0</v>
      </c>
      <c r="R20" s="217">
        <f t="shared" si="13"/>
        <v>0</v>
      </c>
      <c r="S20" s="217">
        <f t="shared" si="14"/>
        <v>0</v>
      </c>
      <c r="T20" s="217">
        <f t="shared" si="15"/>
        <v>0</v>
      </c>
      <c r="U20" s="217">
        <f t="shared" si="16"/>
        <v>0</v>
      </c>
      <c r="V20" s="217">
        <f t="shared" si="17"/>
        <v>0</v>
      </c>
      <c r="W20" s="217">
        <f t="shared" si="18"/>
        <v>0</v>
      </c>
      <c r="X20" s="217">
        <f t="shared" si="19"/>
        <v>0</v>
      </c>
      <c r="Y20" s="217">
        <f t="shared" si="20"/>
        <v>0</v>
      </c>
    </row>
    <row r="21" spans="1:25" ht="19.95" customHeight="1">
      <c r="A21" s="90"/>
      <c r="B21" s="376"/>
      <c r="C21" s="228"/>
      <c r="D21" s="228"/>
      <c r="E21" s="229"/>
      <c r="F21" s="38"/>
      <c r="G21" s="38"/>
      <c r="H21" s="34"/>
      <c r="I21" s="203"/>
      <c r="J21" s="36"/>
      <c r="K21" s="33"/>
      <c r="L21" s="207">
        <f t="shared" si="0"/>
        <v>0</v>
      </c>
      <c r="M21" s="208">
        <f t="shared" si="1"/>
        <v>0</v>
      </c>
      <c r="N21" s="217">
        <f t="shared" si="9"/>
        <v>0</v>
      </c>
      <c r="O21" s="217">
        <f t="shared" si="10"/>
        <v>0</v>
      </c>
      <c r="P21" s="217">
        <f t="shared" si="11"/>
        <v>0</v>
      </c>
      <c r="Q21" s="217">
        <f t="shared" si="12"/>
        <v>0</v>
      </c>
      <c r="R21" s="217">
        <f t="shared" si="13"/>
        <v>0</v>
      </c>
      <c r="S21" s="217">
        <f t="shared" si="14"/>
        <v>0</v>
      </c>
      <c r="T21" s="217">
        <f t="shared" si="15"/>
        <v>0</v>
      </c>
      <c r="U21" s="217">
        <f t="shared" si="16"/>
        <v>0</v>
      </c>
      <c r="V21" s="217">
        <f t="shared" si="17"/>
        <v>0</v>
      </c>
      <c r="W21" s="217">
        <f t="shared" si="18"/>
        <v>0</v>
      </c>
      <c r="X21" s="217">
        <f t="shared" si="19"/>
        <v>0</v>
      </c>
      <c r="Y21" s="217">
        <f t="shared" si="20"/>
        <v>0</v>
      </c>
    </row>
    <row r="22" spans="1:25" ht="19.95" customHeight="1">
      <c r="A22" s="90"/>
      <c r="B22" s="376"/>
      <c r="C22" s="228"/>
      <c r="D22" s="228"/>
      <c r="E22" s="229"/>
      <c r="F22" s="38"/>
      <c r="G22" s="38"/>
      <c r="H22" s="34"/>
      <c r="I22" s="203"/>
      <c r="J22" s="36"/>
      <c r="K22" s="33"/>
      <c r="L22" s="207">
        <f t="shared" si="0"/>
        <v>0</v>
      </c>
      <c r="M22" s="208">
        <f>IF(DAY(H22)=1,IF(H22=0,0,DATE(YEAR(H22),MONTH(H22)+L22,DAY(H22))),IF(H22=0,0,DATE(YEAR(H22),MONTH(H22)+L22,DAY(H22)-1)))</f>
        <v>0</v>
      </c>
      <c r="N22" s="217">
        <f t="shared" si="9"/>
        <v>0</v>
      </c>
      <c r="O22" s="217">
        <f t="shared" si="10"/>
        <v>0</v>
      </c>
      <c r="P22" s="217">
        <f t="shared" si="11"/>
        <v>0</v>
      </c>
      <c r="Q22" s="217">
        <f t="shared" si="12"/>
        <v>0</v>
      </c>
      <c r="R22" s="217">
        <f t="shared" si="13"/>
        <v>0</v>
      </c>
      <c r="S22" s="217">
        <f t="shared" si="14"/>
        <v>0</v>
      </c>
      <c r="T22" s="217">
        <f t="shared" si="15"/>
        <v>0</v>
      </c>
      <c r="U22" s="217">
        <f t="shared" si="16"/>
        <v>0</v>
      </c>
      <c r="V22" s="217">
        <f t="shared" si="17"/>
        <v>0</v>
      </c>
      <c r="W22" s="217">
        <f t="shared" si="18"/>
        <v>0</v>
      </c>
      <c r="X22" s="217">
        <f t="shared" si="19"/>
        <v>0</v>
      </c>
      <c r="Y22" s="217">
        <f t="shared" si="20"/>
        <v>0</v>
      </c>
    </row>
    <row r="23" spans="1:25" ht="19.95" customHeight="1">
      <c r="A23" s="90"/>
      <c r="B23" s="376"/>
      <c r="C23" s="228"/>
      <c r="D23" s="228"/>
      <c r="E23" s="229"/>
      <c r="F23" s="38"/>
      <c r="G23" s="38"/>
      <c r="H23" s="34"/>
      <c r="I23" s="203"/>
      <c r="J23" s="36"/>
      <c r="K23" s="33"/>
      <c r="L23" s="207">
        <f t="shared" si="0"/>
        <v>0</v>
      </c>
      <c r="M23" s="208">
        <f>IF(DAY(H23)=1,IF(H23=0,0,DATE(YEAR(H23),MONTH(H23)+L23,DAY(H23))),IF(H23=0,0,DATE(YEAR(H23),MONTH(H23)+L23,DAY(H23)-1)))</f>
        <v>0</v>
      </c>
      <c r="N23" s="217">
        <f t="shared" si="9"/>
        <v>0</v>
      </c>
      <c r="O23" s="217">
        <f t="shared" si="10"/>
        <v>0</v>
      </c>
      <c r="P23" s="217">
        <f t="shared" si="11"/>
        <v>0</v>
      </c>
      <c r="Q23" s="217">
        <f t="shared" si="12"/>
        <v>0</v>
      </c>
      <c r="R23" s="217">
        <f t="shared" si="13"/>
        <v>0</v>
      </c>
      <c r="S23" s="217">
        <f t="shared" si="14"/>
        <v>0</v>
      </c>
      <c r="T23" s="217">
        <f t="shared" si="15"/>
        <v>0</v>
      </c>
      <c r="U23" s="217">
        <f t="shared" si="16"/>
        <v>0</v>
      </c>
      <c r="V23" s="217">
        <f t="shared" si="17"/>
        <v>0</v>
      </c>
      <c r="W23" s="217">
        <f t="shared" si="18"/>
        <v>0</v>
      </c>
      <c r="X23" s="217">
        <f t="shared" si="19"/>
        <v>0</v>
      </c>
      <c r="Y23" s="217">
        <f t="shared" si="20"/>
        <v>0</v>
      </c>
    </row>
    <row r="24" spans="1:25" ht="19.95" customHeight="1">
      <c r="A24" s="90"/>
      <c r="B24" s="376"/>
      <c r="C24" s="228"/>
      <c r="D24" s="228"/>
      <c r="E24" s="229"/>
      <c r="F24" s="38"/>
      <c r="G24" s="38"/>
      <c r="H24" s="34"/>
      <c r="I24" s="203"/>
      <c r="J24" s="36"/>
      <c r="K24" s="33"/>
      <c r="L24" s="207">
        <f t="shared" si="0"/>
        <v>0</v>
      </c>
      <c r="M24" s="208">
        <f>IF(DAY(H24)=1,IF(H24=0,0,DATE(YEAR(H24),MONTH(H24)+L24,DAY(H24))),IF(H24=0,0,DATE(YEAR(H24),MONTH(H24)+L24,DAY(H24)-1)))</f>
        <v>0</v>
      </c>
      <c r="N24" s="217">
        <f t="shared" si="9"/>
        <v>0</v>
      </c>
      <c r="O24" s="217">
        <f t="shared" si="10"/>
        <v>0</v>
      </c>
      <c r="P24" s="217">
        <f t="shared" si="11"/>
        <v>0</v>
      </c>
      <c r="Q24" s="217">
        <f t="shared" si="12"/>
        <v>0</v>
      </c>
      <c r="R24" s="217">
        <f t="shared" si="13"/>
        <v>0</v>
      </c>
      <c r="S24" s="217">
        <f t="shared" si="14"/>
        <v>0</v>
      </c>
      <c r="T24" s="217">
        <f t="shared" si="15"/>
        <v>0</v>
      </c>
      <c r="U24" s="217">
        <f t="shared" si="16"/>
        <v>0</v>
      </c>
      <c r="V24" s="217">
        <f t="shared" si="17"/>
        <v>0</v>
      </c>
      <c r="W24" s="217">
        <f t="shared" si="18"/>
        <v>0</v>
      </c>
      <c r="X24" s="217">
        <f t="shared" si="19"/>
        <v>0</v>
      </c>
      <c r="Y24" s="217">
        <f t="shared" si="20"/>
        <v>0</v>
      </c>
    </row>
    <row r="25" spans="1:25" ht="19.95" customHeight="1">
      <c r="A25" s="90"/>
      <c r="B25" s="376"/>
      <c r="C25" s="228"/>
      <c r="D25" s="228"/>
      <c r="E25" s="229"/>
      <c r="F25" s="38"/>
      <c r="G25" s="38"/>
      <c r="H25" s="34"/>
      <c r="I25" s="203"/>
      <c r="J25" s="36"/>
      <c r="K25" s="33"/>
      <c r="L25" s="590">
        <f t="shared" si="0"/>
        <v>0</v>
      </c>
      <c r="M25" s="591">
        <f t="shared" ref="M25:M32" si="21">IF(DAY(H25)=1,IF(H25=0,0,DATE(YEAR(H25),MONTH(H25)+L25,DAY(H25))),IF(H25=0,0,DATE(YEAR(H25),MONTH(H25)+L25,DAY(H25)-1)))</f>
        <v>0</v>
      </c>
      <c r="N25" s="217">
        <f t="shared" si="9"/>
        <v>0</v>
      </c>
      <c r="O25" s="217">
        <f t="shared" si="10"/>
        <v>0</v>
      </c>
      <c r="P25" s="217">
        <f t="shared" si="11"/>
        <v>0</v>
      </c>
      <c r="Q25" s="217">
        <f t="shared" si="12"/>
        <v>0</v>
      </c>
      <c r="R25" s="217">
        <f t="shared" si="13"/>
        <v>0</v>
      </c>
      <c r="S25" s="217">
        <f t="shared" si="14"/>
        <v>0</v>
      </c>
      <c r="T25" s="217">
        <f t="shared" si="15"/>
        <v>0</v>
      </c>
      <c r="U25" s="217">
        <f t="shared" si="16"/>
        <v>0</v>
      </c>
      <c r="V25" s="217">
        <f t="shared" si="17"/>
        <v>0</v>
      </c>
      <c r="W25" s="217">
        <f t="shared" si="18"/>
        <v>0</v>
      </c>
      <c r="X25" s="217">
        <f t="shared" si="19"/>
        <v>0</v>
      </c>
      <c r="Y25" s="217">
        <f t="shared" si="20"/>
        <v>0</v>
      </c>
    </row>
    <row r="26" spans="1:25" ht="19.95" customHeight="1">
      <c r="A26" s="90"/>
      <c r="B26" s="376"/>
      <c r="C26" s="228"/>
      <c r="D26" s="228"/>
      <c r="E26" s="229"/>
      <c r="F26" s="38"/>
      <c r="G26" s="38"/>
      <c r="H26" s="34"/>
      <c r="I26" s="203"/>
      <c r="J26" s="36"/>
      <c r="K26" s="33"/>
      <c r="L26" s="590">
        <f t="shared" si="0"/>
        <v>0</v>
      </c>
      <c r="M26" s="591">
        <f t="shared" si="21"/>
        <v>0</v>
      </c>
      <c r="N26" s="217">
        <f t="shared" si="9"/>
        <v>0</v>
      </c>
      <c r="O26" s="217">
        <f t="shared" si="10"/>
        <v>0</v>
      </c>
      <c r="P26" s="217">
        <f t="shared" si="11"/>
        <v>0</v>
      </c>
      <c r="Q26" s="217">
        <f t="shared" si="12"/>
        <v>0</v>
      </c>
      <c r="R26" s="217">
        <f t="shared" si="13"/>
        <v>0</v>
      </c>
      <c r="S26" s="217">
        <f t="shared" si="14"/>
        <v>0</v>
      </c>
      <c r="T26" s="217">
        <f t="shared" si="15"/>
        <v>0</v>
      </c>
      <c r="U26" s="217">
        <f t="shared" si="16"/>
        <v>0</v>
      </c>
      <c r="V26" s="217">
        <f t="shared" si="17"/>
        <v>0</v>
      </c>
      <c r="W26" s="217">
        <f t="shared" si="18"/>
        <v>0</v>
      </c>
      <c r="X26" s="217">
        <f t="shared" si="19"/>
        <v>0</v>
      </c>
      <c r="Y26" s="217">
        <f t="shared" si="20"/>
        <v>0</v>
      </c>
    </row>
    <row r="27" spans="1:25" ht="19.95" customHeight="1">
      <c r="A27" s="90"/>
      <c r="B27" s="376"/>
      <c r="C27" s="228"/>
      <c r="D27" s="228"/>
      <c r="E27" s="229"/>
      <c r="F27" s="38"/>
      <c r="G27" s="38"/>
      <c r="H27" s="34"/>
      <c r="I27" s="203"/>
      <c r="J27" s="36"/>
      <c r="K27" s="33"/>
      <c r="L27" s="590">
        <f t="shared" si="0"/>
        <v>0</v>
      </c>
      <c r="M27" s="591">
        <f t="shared" si="21"/>
        <v>0</v>
      </c>
      <c r="N27" s="217">
        <f t="shared" si="9"/>
        <v>0</v>
      </c>
      <c r="O27" s="217">
        <f t="shared" si="10"/>
        <v>0</v>
      </c>
      <c r="P27" s="217">
        <f t="shared" si="11"/>
        <v>0</v>
      </c>
      <c r="Q27" s="217">
        <f t="shared" si="12"/>
        <v>0</v>
      </c>
      <c r="R27" s="217">
        <f t="shared" si="13"/>
        <v>0</v>
      </c>
      <c r="S27" s="217">
        <f t="shared" si="14"/>
        <v>0</v>
      </c>
      <c r="T27" s="217">
        <f t="shared" si="15"/>
        <v>0</v>
      </c>
      <c r="U27" s="217">
        <f t="shared" si="16"/>
        <v>0</v>
      </c>
      <c r="V27" s="217">
        <f t="shared" si="17"/>
        <v>0</v>
      </c>
      <c r="W27" s="217">
        <f t="shared" si="18"/>
        <v>0</v>
      </c>
      <c r="X27" s="217">
        <f t="shared" si="19"/>
        <v>0</v>
      </c>
      <c r="Y27" s="217">
        <f t="shared" si="20"/>
        <v>0</v>
      </c>
    </row>
    <row r="28" spans="1:25" ht="19.95" customHeight="1">
      <c r="A28" s="90"/>
      <c r="B28" s="376"/>
      <c r="C28" s="228"/>
      <c r="D28" s="228"/>
      <c r="E28" s="229"/>
      <c r="F28" s="38"/>
      <c r="G28" s="38"/>
      <c r="H28" s="34"/>
      <c r="I28" s="203"/>
      <c r="J28" s="36"/>
      <c r="K28" s="33"/>
      <c r="L28" s="590">
        <f t="shared" si="0"/>
        <v>0</v>
      </c>
      <c r="M28" s="591">
        <f t="shared" si="21"/>
        <v>0</v>
      </c>
      <c r="N28" s="217">
        <f t="shared" si="9"/>
        <v>0</v>
      </c>
      <c r="O28" s="217">
        <f t="shared" si="10"/>
        <v>0</v>
      </c>
      <c r="P28" s="217">
        <f t="shared" si="11"/>
        <v>0</v>
      </c>
      <c r="Q28" s="217">
        <f t="shared" si="12"/>
        <v>0</v>
      </c>
      <c r="R28" s="217">
        <f t="shared" si="13"/>
        <v>0</v>
      </c>
      <c r="S28" s="217">
        <f t="shared" si="14"/>
        <v>0</v>
      </c>
      <c r="T28" s="217">
        <f t="shared" si="15"/>
        <v>0</v>
      </c>
      <c r="U28" s="217">
        <f t="shared" si="16"/>
        <v>0</v>
      </c>
      <c r="V28" s="217">
        <f t="shared" si="17"/>
        <v>0</v>
      </c>
      <c r="W28" s="217">
        <f t="shared" si="18"/>
        <v>0</v>
      </c>
      <c r="X28" s="217">
        <f t="shared" si="19"/>
        <v>0</v>
      </c>
      <c r="Y28" s="217">
        <f t="shared" si="20"/>
        <v>0</v>
      </c>
    </row>
    <row r="29" spans="1:25" ht="19.95" customHeight="1">
      <c r="A29" s="90"/>
      <c r="B29" s="376"/>
      <c r="C29" s="228"/>
      <c r="D29" s="228"/>
      <c r="E29" s="229"/>
      <c r="F29" s="38"/>
      <c r="G29" s="38"/>
      <c r="H29" s="34"/>
      <c r="I29" s="203"/>
      <c r="J29" s="36"/>
      <c r="K29" s="33"/>
      <c r="L29" s="590">
        <f t="shared" si="0"/>
        <v>0</v>
      </c>
      <c r="M29" s="591">
        <f t="shared" si="21"/>
        <v>0</v>
      </c>
      <c r="N29" s="217">
        <f t="shared" si="9"/>
        <v>0</v>
      </c>
      <c r="O29" s="217">
        <f t="shared" si="10"/>
        <v>0</v>
      </c>
      <c r="P29" s="217">
        <f t="shared" si="11"/>
        <v>0</v>
      </c>
      <c r="Q29" s="217">
        <f t="shared" si="12"/>
        <v>0</v>
      </c>
      <c r="R29" s="217">
        <f t="shared" si="13"/>
        <v>0</v>
      </c>
      <c r="S29" s="217">
        <f t="shared" si="14"/>
        <v>0</v>
      </c>
      <c r="T29" s="217">
        <f t="shared" si="15"/>
        <v>0</v>
      </c>
      <c r="U29" s="217">
        <f t="shared" si="16"/>
        <v>0</v>
      </c>
      <c r="V29" s="217">
        <f t="shared" si="17"/>
        <v>0</v>
      </c>
      <c r="W29" s="217">
        <f t="shared" si="18"/>
        <v>0</v>
      </c>
      <c r="X29" s="217">
        <f t="shared" si="19"/>
        <v>0</v>
      </c>
      <c r="Y29" s="217">
        <f t="shared" si="20"/>
        <v>0</v>
      </c>
    </row>
    <row r="30" spans="1:25" ht="19.95" customHeight="1">
      <c r="A30" s="90"/>
      <c r="B30" s="376"/>
      <c r="C30" s="228"/>
      <c r="D30" s="228"/>
      <c r="E30" s="229"/>
      <c r="F30" s="38"/>
      <c r="G30" s="38"/>
      <c r="H30" s="34"/>
      <c r="I30" s="203"/>
      <c r="J30" s="36"/>
      <c r="K30" s="33"/>
      <c r="L30" s="590">
        <f t="shared" si="0"/>
        <v>0</v>
      </c>
      <c r="M30" s="591">
        <f t="shared" si="21"/>
        <v>0</v>
      </c>
      <c r="N30" s="217">
        <f t="shared" si="9"/>
        <v>0</v>
      </c>
      <c r="O30" s="217">
        <f t="shared" si="10"/>
        <v>0</v>
      </c>
      <c r="P30" s="217">
        <f t="shared" si="11"/>
        <v>0</v>
      </c>
      <c r="Q30" s="217">
        <f t="shared" si="12"/>
        <v>0</v>
      </c>
      <c r="R30" s="217">
        <f t="shared" si="13"/>
        <v>0</v>
      </c>
      <c r="S30" s="217">
        <f t="shared" si="14"/>
        <v>0</v>
      </c>
      <c r="T30" s="217">
        <f t="shared" si="15"/>
        <v>0</v>
      </c>
      <c r="U30" s="217">
        <f t="shared" si="16"/>
        <v>0</v>
      </c>
      <c r="V30" s="217">
        <f t="shared" si="17"/>
        <v>0</v>
      </c>
      <c r="W30" s="217">
        <f t="shared" si="18"/>
        <v>0</v>
      </c>
      <c r="X30" s="217">
        <f t="shared" si="19"/>
        <v>0</v>
      </c>
      <c r="Y30" s="217">
        <f t="shared" si="20"/>
        <v>0</v>
      </c>
    </row>
    <row r="31" spans="1:25" ht="19.95" customHeight="1">
      <c r="A31" s="90"/>
      <c r="B31" s="376"/>
      <c r="C31" s="228"/>
      <c r="D31" s="228"/>
      <c r="E31" s="229"/>
      <c r="F31" s="38"/>
      <c r="G31" s="38"/>
      <c r="H31" s="34"/>
      <c r="I31" s="203"/>
      <c r="J31" s="36"/>
      <c r="K31" s="33"/>
      <c r="L31" s="590">
        <f t="shared" si="0"/>
        <v>0</v>
      </c>
      <c r="M31" s="591">
        <f t="shared" si="21"/>
        <v>0</v>
      </c>
      <c r="N31" s="217">
        <f t="shared" si="9"/>
        <v>0</v>
      </c>
      <c r="O31" s="217">
        <f t="shared" si="10"/>
        <v>0</v>
      </c>
      <c r="P31" s="217">
        <f t="shared" si="11"/>
        <v>0</v>
      </c>
      <c r="Q31" s="217">
        <f t="shared" si="12"/>
        <v>0</v>
      </c>
      <c r="R31" s="217">
        <f t="shared" si="13"/>
        <v>0</v>
      </c>
      <c r="S31" s="217">
        <f t="shared" si="14"/>
        <v>0</v>
      </c>
      <c r="T31" s="217">
        <f t="shared" si="15"/>
        <v>0</v>
      </c>
      <c r="U31" s="217">
        <f t="shared" si="16"/>
        <v>0</v>
      </c>
      <c r="V31" s="217">
        <f t="shared" si="17"/>
        <v>0</v>
      </c>
      <c r="W31" s="217">
        <f t="shared" si="18"/>
        <v>0</v>
      </c>
      <c r="X31" s="217">
        <f t="shared" si="19"/>
        <v>0</v>
      </c>
      <c r="Y31" s="217">
        <f t="shared" si="20"/>
        <v>0</v>
      </c>
    </row>
    <row r="32" spans="1:25" ht="19.95" customHeight="1">
      <c r="A32" s="90"/>
      <c r="B32" s="376"/>
      <c r="C32" s="228"/>
      <c r="D32" s="228"/>
      <c r="E32" s="229"/>
      <c r="F32" s="38"/>
      <c r="G32" s="38"/>
      <c r="H32" s="34"/>
      <c r="I32" s="203"/>
      <c r="J32" s="36"/>
      <c r="K32" s="33"/>
      <c r="L32" s="590">
        <f t="shared" si="0"/>
        <v>0</v>
      </c>
      <c r="M32" s="591">
        <f t="shared" si="21"/>
        <v>0</v>
      </c>
      <c r="N32" s="217">
        <f t="shared" si="9"/>
        <v>0</v>
      </c>
      <c r="O32" s="217">
        <f t="shared" si="10"/>
        <v>0</v>
      </c>
      <c r="P32" s="217">
        <f t="shared" si="11"/>
        <v>0</v>
      </c>
      <c r="Q32" s="217">
        <f t="shared" si="12"/>
        <v>0</v>
      </c>
      <c r="R32" s="217">
        <f t="shared" si="13"/>
        <v>0</v>
      </c>
      <c r="S32" s="217">
        <f t="shared" si="14"/>
        <v>0</v>
      </c>
      <c r="T32" s="217">
        <f t="shared" si="15"/>
        <v>0</v>
      </c>
      <c r="U32" s="217">
        <f t="shared" si="16"/>
        <v>0</v>
      </c>
      <c r="V32" s="217">
        <f t="shared" si="17"/>
        <v>0</v>
      </c>
      <c r="W32" s="217">
        <f t="shared" si="18"/>
        <v>0</v>
      </c>
      <c r="X32" s="217">
        <f t="shared" si="19"/>
        <v>0</v>
      </c>
      <c r="Y32" s="217">
        <f t="shared" si="20"/>
        <v>0</v>
      </c>
    </row>
    <row r="33" spans="1:25" s="327" customFormat="1" ht="19.95" customHeight="1">
      <c r="A33" s="744" t="s">
        <v>447</v>
      </c>
      <c r="B33" s="745"/>
      <c r="C33" s="745"/>
      <c r="D33" s="746"/>
      <c r="E33" s="205">
        <f>SUM(E9:E32)</f>
        <v>0</v>
      </c>
      <c r="F33" s="205">
        <f>SUM(F9:F32)</f>
        <v>0</v>
      </c>
      <c r="G33" s="205">
        <f>SUM(G9:G32)</f>
        <v>0</v>
      </c>
      <c r="H33" s="206"/>
      <c r="I33" s="206"/>
      <c r="J33" s="206"/>
      <c r="K33" s="206"/>
      <c r="L33" s="592"/>
      <c r="M33" s="592"/>
      <c r="N33" s="411"/>
      <c r="O33" s="411"/>
      <c r="P33" s="411"/>
      <c r="Q33" s="411"/>
      <c r="R33" s="411"/>
      <c r="S33" s="205">
        <f t="shared" ref="S33:Y33" si="22">SUM(S9:S32)</f>
        <v>0</v>
      </c>
      <c r="T33" s="205">
        <f t="shared" si="22"/>
        <v>0</v>
      </c>
      <c r="U33" s="205">
        <f t="shared" si="22"/>
        <v>0</v>
      </c>
      <c r="V33" s="205">
        <f t="shared" si="22"/>
        <v>0</v>
      </c>
      <c r="W33" s="205">
        <f t="shared" si="22"/>
        <v>0</v>
      </c>
      <c r="X33" s="205">
        <f t="shared" si="22"/>
        <v>0</v>
      </c>
      <c r="Y33" s="205">
        <f t="shared" si="22"/>
        <v>0</v>
      </c>
    </row>
    <row r="34" spans="1:25" s="327" customFormat="1" ht="19.95" customHeight="1">
      <c r="A34" s="747" t="s">
        <v>1002</v>
      </c>
      <c r="B34" s="748"/>
      <c r="C34" s="748"/>
      <c r="D34" s="749"/>
      <c r="E34" s="210"/>
      <c r="F34" s="210"/>
      <c r="G34" s="206"/>
      <c r="H34" s="206"/>
      <c r="I34" s="211"/>
      <c r="J34" s="210"/>
      <c r="K34" s="206"/>
      <c r="L34" s="206"/>
      <c r="M34" s="186"/>
      <c r="N34" s="411"/>
      <c r="O34" s="362"/>
      <c r="P34" s="362"/>
      <c r="Q34" s="411"/>
      <c r="R34" s="411"/>
      <c r="S34" s="412"/>
      <c r="T34" s="412"/>
      <c r="U34" s="412"/>
      <c r="V34" s="412"/>
      <c r="W34" s="412"/>
      <c r="X34" s="412"/>
      <c r="Y34" s="412"/>
    </row>
    <row r="35" spans="1:25" s="410" customFormat="1" ht="19.95" customHeight="1">
      <c r="A35" s="743" t="str">
        <f>底稿目录!A9</f>
        <v>种植业</v>
      </c>
      <c r="B35" s="743"/>
      <c r="C35" s="743"/>
      <c r="D35" s="743"/>
      <c r="E35" s="183">
        <f>SUMPRODUCT(($A$9:$A$32=$A35)*(E$9:E$32))</f>
        <v>0</v>
      </c>
      <c r="F35" s="183">
        <f>SUMPRODUCT(($A$9:$A$32=$A35)*(F$9:F$32))</f>
        <v>0</v>
      </c>
      <c r="G35" s="183">
        <f>SUMPRODUCT(($A$9:$A$32=$A35)*(G$9:G$32))</f>
        <v>0</v>
      </c>
      <c r="H35" s="214"/>
      <c r="I35" s="214"/>
      <c r="J35" s="215"/>
      <c r="K35" s="214"/>
      <c r="L35" s="214"/>
      <c r="M35" s="214"/>
      <c r="N35" s="214"/>
      <c r="O35" s="183">
        <f>SUMPRODUCT(($A$9:$A$32=$A35)*(O$9:O$32))</f>
        <v>0</v>
      </c>
      <c r="P35" s="183">
        <f>SUMPRODUCT(($A$9:$A$32=$A35)*(P$9:P$32))</f>
        <v>0</v>
      </c>
      <c r="Q35" s="214"/>
      <c r="R35" s="214"/>
      <c r="S35" s="183">
        <f t="shared" ref="S35:Y35" si="23">SUMPRODUCT(($A$9:$A$32=$A35)*(S$9:S$32))</f>
        <v>0</v>
      </c>
      <c r="T35" s="183">
        <f t="shared" si="23"/>
        <v>0</v>
      </c>
      <c r="U35" s="183">
        <f t="shared" si="23"/>
        <v>0</v>
      </c>
      <c r="V35" s="183">
        <f t="shared" si="23"/>
        <v>0</v>
      </c>
      <c r="W35" s="183">
        <f t="shared" si="23"/>
        <v>0</v>
      </c>
      <c r="X35" s="183">
        <f t="shared" si="23"/>
        <v>0</v>
      </c>
      <c r="Y35" s="183">
        <f t="shared" si="23"/>
        <v>0</v>
      </c>
    </row>
    <row r="36" spans="1:25" s="410" customFormat="1" ht="19.95" customHeight="1">
      <c r="A36" s="743" t="str">
        <f>底稿目录!A10</f>
        <v>畜牧养殖业</v>
      </c>
      <c r="B36" s="743"/>
      <c r="C36" s="743"/>
      <c r="D36" s="743"/>
      <c r="E36" s="183">
        <f t="shared" ref="E36:G39" si="24">SUMPRODUCT(($A$9:$A$32=$A36)*(E$9:E$32))</f>
        <v>0</v>
      </c>
      <c r="F36" s="183">
        <f t="shared" si="24"/>
        <v>0</v>
      </c>
      <c r="G36" s="183">
        <f t="shared" si="24"/>
        <v>0</v>
      </c>
      <c r="H36" s="214"/>
      <c r="I36" s="214"/>
      <c r="J36" s="215"/>
      <c r="K36" s="214"/>
      <c r="L36" s="214"/>
      <c r="M36" s="214"/>
      <c r="N36" s="214"/>
      <c r="O36" s="183">
        <f t="shared" ref="O36:P39" si="25">SUMPRODUCT(($A$9:$A$32=$A36)*(O$9:O$32))</f>
        <v>0</v>
      </c>
      <c r="P36" s="183">
        <f t="shared" si="25"/>
        <v>0</v>
      </c>
      <c r="Q36" s="214"/>
      <c r="R36" s="214"/>
      <c r="S36" s="183">
        <f t="shared" ref="S36:Y39" si="26">SUMPRODUCT(($A$9:$A$32=$A36)*(S$9:S$32))</f>
        <v>0</v>
      </c>
      <c r="T36" s="183">
        <f t="shared" si="26"/>
        <v>0</v>
      </c>
      <c r="U36" s="183">
        <f t="shared" si="26"/>
        <v>0</v>
      </c>
      <c r="V36" s="183">
        <f t="shared" si="26"/>
        <v>0</v>
      </c>
      <c r="W36" s="183">
        <f t="shared" si="26"/>
        <v>0</v>
      </c>
      <c r="X36" s="183">
        <f t="shared" si="26"/>
        <v>0</v>
      </c>
      <c r="Y36" s="183">
        <f t="shared" si="26"/>
        <v>0</v>
      </c>
    </row>
    <row r="37" spans="1:25" s="410" customFormat="1" ht="19.95" customHeight="1">
      <c r="A37" s="743" t="str">
        <f>底稿目录!A11</f>
        <v>林业</v>
      </c>
      <c r="B37" s="743"/>
      <c r="C37" s="743"/>
      <c r="D37" s="743"/>
      <c r="E37" s="183">
        <f t="shared" si="24"/>
        <v>0</v>
      </c>
      <c r="F37" s="183">
        <f t="shared" si="24"/>
        <v>0</v>
      </c>
      <c r="G37" s="183">
        <f t="shared" si="24"/>
        <v>0</v>
      </c>
      <c r="H37" s="214"/>
      <c r="I37" s="214"/>
      <c r="J37" s="215"/>
      <c r="K37" s="214"/>
      <c r="L37" s="214"/>
      <c r="M37" s="214"/>
      <c r="N37" s="214"/>
      <c r="O37" s="183">
        <f t="shared" si="25"/>
        <v>0</v>
      </c>
      <c r="P37" s="183">
        <f t="shared" si="25"/>
        <v>0</v>
      </c>
      <c r="Q37" s="214"/>
      <c r="R37" s="214"/>
      <c r="S37" s="183">
        <f t="shared" si="26"/>
        <v>0</v>
      </c>
      <c r="T37" s="183">
        <f t="shared" si="26"/>
        <v>0</v>
      </c>
      <c r="U37" s="183">
        <f t="shared" si="26"/>
        <v>0</v>
      </c>
      <c r="V37" s="183">
        <f t="shared" si="26"/>
        <v>0</v>
      </c>
      <c r="W37" s="183">
        <f t="shared" si="26"/>
        <v>0</v>
      </c>
      <c r="X37" s="183">
        <f t="shared" si="26"/>
        <v>0</v>
      </c>
      <c r="Y37" s="183">
        <f t="shared" si="26"/>
        <v>0</v>
      </c>
    </row>
    <row r="38" spans="1:25" s="410" customFormat="1" ht="19.95" customHeight="1">
      <c r="A38" s="743" t="str">
        <f>底稿目录!A12</f>
        <v>水产业</v>
      </c>
      <c r="B38" s="743"/>
      <c r="C38" s="743"/>
      <c r="D38" s="743"/>
      <c r="E38" s="183">
        <f t="shared" si="24"/>
        <v>0</v>
      </c>
      <c r="F38" s="183">
        <f t="shared" si="24"/>
        <v>0</v>
      </c>
      <c r="G38" s="183">
        <f t="shared" si="24"/>
        <v>0</v>
      </c>
      <c r="H38" s="214"/>
      <c r="I38" s="214"/>
      <c r="J38" s="215"/>
      <c r="K38" s="214"/>
      <c r="L38" s="214"/>
      <c r="M38" s="214"/>
      <c r="N38" s="214"/>
      <c r="O38" s="183">
        <f t="shared" si="25"/>
        <v>0</v>
      </c>
      <c r="P38" s="183">
        <f t="shared" si="25"/>
        <v>0</v>
      </c>
      <c r="Q38" s="214"/>
      <c r="R38" s="214"/>
      <c r="S38" s="183">
        <f t="shared" si="26"/>
        <v>0</v>
      </c>
      <c r="T38" s="183">
        <f t="shared" si="26"/>
        <v>0</v>
      </c>
      <c r="U38" s="183">
        <f t="shared" si="26"/>
        <v>0</v>
      </c>
      <c r="V38" s="183">
        <f t="shared" si="26"/>
        <v>0</v>
      </c>
      <c r="W38" s="183">
        <f t="shared" si="26"/>
        <v>0</v>
      </c>
      <c r="X38" s="183">
        <f t="shared" si="26"/>
        <v>0</v>
      </c>
      <c r="Y38" s="183">
        <f t="shared" si="26"/>
        <v>0</v>
      </c>
    </row>
    <row r="39" spans="1:25" s="410" customFormat="1" ht="19.95" customHeight="1">
      <c r="A39" s="743" t="str">
        <f>底稿目录!A13</f>
        <v>……</v>
      </c>
      <c r="B39" s="743"/>
      <c r="C39" s="743"/>
      <c r="D39" s="743"/>
      <c r="E39" s="183">
        <f t="shared" si="24"/>
        <v>0</v>
      </c>
      <c r="F39" s="183">
        <f t="shared" si="24"/>
        <v>0</v>
      </c>
      <c r="G39" s="183">
        <f t="shared" si="24"/>
        <v>0</v>
      </c>
      <c r="H39" s="214"/>
      <c r="I39" s="214"/>
      <c r="J39" s="215"/>
      <c r="K39" s="214"/>
      <c r="L39" s="214"/>
      <c r="M39" s="214"/>
      <c r="N39" s="214"/>
      <c r="O39" s="183">
        <f t="shared" si="25"/>
        <v>0</v>
      </c>
      <c r="P39" s="183">
        <f t="shared" si="25"/>
        <v>0</v>
      </c>
      <c r="Q39" s="214"/>
      <c r="R39" s="214"/>
      <c r="S39" s="183">
        <f t="shared" si="26"/>
        <v>0</v>
      </c>
      <c r="T39" s="183">
        <f t="shared" si="26"/>
        <v>0</v>
      </c>
      <c r="U39" s="183">
        <f t="shared" si="26"/>
        <v>0</v>
      </c>
      <c r="V39" s="183">
        <f t="shared" si="26"/>
        <v>0</v>
      </c>
      <c r="W39" s="183">
        <f t="shared" si="26"/>
        <v>0</v>
      </c>
      <c r="X39" s="183">
        <f t="shared" si="26"/>
        <v>0</v>
      </c>
      <c r="Y39" s="183">
        <f t="shared" si="26"/>
        <v>0</v>
      </c>
    </row>
    <row r="40" spans="1:25" ht="19.95" customHeight="1">
      <c r="A40" s="326" t="s">
        <v>820</v>
      </c>
      <c r="B40" s="212"/>
      <c r="C40" s="212"/>
      <c r="D40" s="212"/>
      <c r="E40" s="212"/>
      <c r="F40" s="212"/>
      <c r="G40" s="212"/>
      <c r="H40" s="212"/>
      <c r="I40" s="212"/>
      <c r="J40" s="212"/>
      <c r="K40" s="212"/>
      <c r="L40" s="212"/>
      <c r="M40" s="213"/>
      <c r="N40" s="212"/>
      <c r="O40" s="212"/>
      <c r="P40" s="212"/>
      <c r="Q40" s="212"/>
      <c r="R40" s="212"/>
      <c r="S40" s="212"/>
      <c r="T40" s="212"/>
      <c r="U40" s="212"/>
      <c r="V40" s="212"/>
      <c r="W40" s="212"/>
      <c r="X40" s="212"/>
      <c r="Y40" s="212"/>
    </row>
    <row r="42" spans="1:25" ht="19.95" customHeight="1">
      <c r="A42" s="327" t="s">
        <v>477</v>
      </c>
    </row>
    <row r="50" spans="1:1" ht="19.95" customHeight="1">
      <c r="A50" s="456"/>
    </row>
    <row r="51" spans="1:1" ht="19.95" customHeight="1">
      <c r="A51" s="261"/>
    </row>
    <row r="52" spans="1:1" ht="19.95" customHeight="1">
      <c r="A52" s="261"/>
    </row>
    <row r="53" spans="1:1" ht="19.95" customHeight="1">
      <c r="A53" s="261"/>
    </row>
    <row r="54" spans="1:1" ht="19.95" customHeight="1">
      <c r="A54" s="261"/>
    </row>
  </sheetData>
  <mergeCells count="9">
    <mergeCell ref="A1:Y1"/>
    <mergeCell ref="A2:Y2"/>
    <mergeCell ref="A38:D38"/>
    <mergeCell ref="A39:D39"/>
    <mergeCell ref="A33:D33"/>
    <mergeCell ref="A34:D34"/>
    <mergeCell ref="A35:D35"/>
    <mergeCell ref="A36:D36"/>
    <mergeCell ref="A37:D37"/>
  </mergeCells>
  <phoneticPr fontId="10" type="noConversion"/>
  <hyperlinks>
    <hyperlink ref="Y3" location="底稿目录!A1" display="H7A"/>
  </hyperlinks>
  <printOptions horizontalCentered="1"/>
  <pageMargins left="0.31496062992125984" right="0.23622047244094491" top="0.55118110236220474" bottom="0.43307086614173229" header="0.51181102362204722" footer="0.31496062992125984"/>
  <pageSetup paperSize="9" scale="53" fitToHeight="10" orientation="landscape" blackAndWhite="1" r:id="rId1"/>
  <headerFooter alignWithMargins="0">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A9:A32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J26"/>
  <sheetViews>
    <sheetView view="pageBreakPreview" zoomScaleSheetLayoutView="100" workbookViewId="0">
      <selection sqref="A1:J1"/>
    </sheetView>
  </sheetViews>
  <sheetFormatPr defaultColWidth="9" defaultRowHeight="19.95" customHeight="1"/>
  <cols>
    <col min="1" max="1" width="6.69921875" style="85" customWidth="1"/>
    <col min="2" max="2" width="16.3984375" style="85" customWidth="1"/>
    <col min="3" max="8" width="15.296875" style="85" customWidth="1"/>
    <col min="9" max="10" width="15.59765625" style="85" customWidth="1"/>
    <col min="11" max="16384" width="9" style="85"/>
  </cols>
  <sheetData>
    <row r="1" spans="1:10" s="353" customFormat="1" ht="19.95" customHeight="1">
      <c r="A1" s="750" t="s">
        <v>0</v>
      </c>
      <c r="B1" s="750"/>
      <c r="C1" s="750"/>
      <c r="D1" s="750"/>
      <c r="E1" s="750"/>
      <c r="F1" s="750"/>
      <c r="G1" s="750"/>
      <c r="H1" s="750"/>
      <c r="I1" s="750"/>
      <c r="J1" s="750"/>
    </row>
    <row r="2" spans="1:10" s="360" customFormat="1" ht="19.95" customHeight="1">
      <c r="A2" s="751" t="s">
        <v>1170</v>
      </c>
      <c r="B2" s="751"/>
      <c r="C2" s="751"/>
      <c r="D2" s="751"/>
      <c r="E2" s="751"/>
      <c r="F2" s="751"/>
      <c r="G2" s="751"/>
      <c r="H2" s="751"/>
      <c r="I2" s="751"/>
      <c r="J2" s="751"/>
    </row>
    <row r="3" spans="1:10" ht="19.95" customHeight="1">
      <c r="A3" s="76" t="str">
        <f>底稿目录!A2</f>
        <v>被审计单位：</v>
      </c>
      <c r="B3" s="76"/>
      <c r="C3" s="76"/>
      <c r="D3" s="76" t="str">
        <f>底稿目录!A4</f>
        <v>编制人：</v>
      </c>
      <c r="E3" s="76"/>
      <c r="F3" s="76"/>
      <c r="G3" s="76" t="str">
        <f>底稿目录!A6</f>
        <v>编制日期：</v>
      </c>
      <c r="H3" s="93"/>
      <c r="I3" s="432" t="s">
        <v>1011</v>
      </c>
      <c r="J3" s="313" t="s">
        <v>265</v>
      </c>
    </row>
    <row r="4" spans="1:10" ht="19.95" customHeight="1">
      <c r="A4" s="76" t="str">
        <f>底稿目录!A3</f>
        <v>截止日：</v>
      </c>
      <c r="B4" s="76"/>
      <c r="C4" s="76"/>
      <c r="D4" s="76" t="str">
        <f>底稿目录!A5</f>
        <v>复核人：</v>
      </c>
      <c r="E4" s="76"/>
      <c r="F4" s="76"/>
      <c r="G4" s="76" t="str">
        <f>底稿目录!A7</f>
        <v>复核日期：</v>
      </c>
      <c r="H4" s="93"/>
      <c r="I4" s="432" t="s">
        <v>1012</v>
      </c>
      <c r="J4" s="314"/>
    </row>
    <row r="5" spans="1:10" s="593" customFormat="1" ht="19.95" customHeight="1">
      <c r="A5" s="578" t="s">
        <v>827</v>
      </c>
      <c r="B5" s="517"/>
      <c r="C5" s="182"/>
      <c r="D5" s="182"/>
      <c r="E5" s="182"/>
      <c r="F5" s="182"/>
      <c r="G5" s="518"/>
      <c r="H5" s="182"/>
      <c r="I5" s="526"/>
      <c r="J5" s="526"/>
    </row>
    <row r="6" spans="1:10" ht="19.95" customHeight="1">
      <c r="A6" s="52" t="s">
        <v>490</v>
      </c>
      <c r="B6" s="53"/>
      <c r="C6" s="53"/>
      <c r="D6" s="53"/>
      <c r="E6" s="53"/>
      <c r="F6" s="53"/>
      <c r="G6" s="53"/>
      <c r="H6" s="11"/>
      <c r="I6" s="53"/>
      <c r="J6" s="53"/>
    </row>
    <row r="7" spans="1:10" ht="24">
      <c r="A7" s="239" t="s">
        <v>323</v>
      </c>
      <c r="B7" s="239" t="s">
        <v>822</v>
      </c>
      <c r="C7" s="239" t="s">
        <v>826</v>
      </c>
      <c r="D7" s="239" t="s">
        <v>823</v>
      </c>
      <c r="E7" s="239" t="s">
        <v>84</v>
      </c>
      <c r="F7" s="239"/>
      <c r="G7" s="239"/>
      <c r="H7" s="239"/>
      <c r="I7" s="239" t="s">
        <v>824</v>
      </c>
      <c r="J7" s="239" t="s">
        <v>482</v>
      </c>
    </row>
    <row r="8" spans="1:10" ht="19.95" customHeight="1">
      <c r="A8" s="414">
        <v>1</v>
      </c>
      <c r="B8" s="290"/>
      <c r="C8" s="83"/>
      <c r="D8" s="83"/>
      <c r="E8" s="83"/>
      <c r="F8" s="83"/>
      <c r="G8" s="83"/>
      <c r="H8" s="83"/>
      <c r="I8" s="183">
        <f>SUM(C8:H8)</f>
        <v>0</v>
      </c>
      <c r="J8" s="83"/>
    </row>
    <row r="9" spans="1:10" ht="19.95" customHeight="1">
      <c r="A9" s="414">
        <v>2</v>
      </c>
      <c r="B9" s="290"/>
      <c r="C9" s="83"/>
      <c r="D9" s="83"/>
      <c r="E9" s="83"/>
      <c r="F9" s="83"/>
      <c r="G9" s="83"/>
      <c r="H9" s="83"/>
      <c r="I9" s="183">
        <f t="shared" ref="I9:I12" si="0">SUM(C9:H9)</f>
        <v>0</v>
      </c>
      <c r="J9" s="83"/>
    </row>
    <row r="10" spans="1:10" ht="19.95" customHeight="1">
      <c r="A10" s="414">
        <v>3</v>
      </c>
      <c r="B10" s="290"/>
      <c r="C10" s="83"/>
      <c r="D10" s="83"/>
      <c r="E10" s="83"/>
      <c r="F10" s="83"/>
      <c r="G10" s="83"/>
      <c r="H10" s="83"/>
      <c r="I10" s="183">
        <f t="shared" si="0"/>
        <v>0</v>
      </c>
      <c r="J10" s="83"/>
    </row>
    <row r="11" spans="1:10" ht="19.95" customHeight="1">
      <c r="A11" s="414">
        <v>4</v>
      </c>
      <c r="B11" s="290"/>
      <c r="C11" s="83"/>
      <c r="D11" s="83"/>
      <c r="E11" s="83"/>
      <c r="F11" s="83"/>
      <c r="G11" s="83"/>
      <c r="H11" s="83"/>
      <c r="I11" s="183">
        <f t="shared" si="0"/>
        <v>0</v>
      </c>
      <c r="J11" s="83"/>
    </row>
    <row r="12" spans="1:10" ht="19.95" customHeight="1">
      <c r="A12" s="448">
        <v>5</v>
      </c>
      <c r="B12" s="449"/>
      <c r="C12" s="450"/>
      <c r="D12" s="450"/>
      <c r="E12" s="450"/>
      <c r="F12" s="450"/>
      <c r="G12" s="450"/>
      <c r="H12" s="450"/>
      <c r="I12" s="362">
        <f t="shared" si="0"/>
        <v>0</v>
      </c>
      <c r="J12" s="450"/>
    </row>
    <row r="13" spans="1:10" ht="19.95" customHeight="1">
      <c r="A13" s="654" t="s">
        <v>447</v>
      </c>
      <c r="B13" s="654"/>
      <c r="C13" s="183">
        <f t="shared" ref="C13:I13" si="1">SUM(C8:C12)</f>
        <v>0</v>
      </c>
      <c r="D13" s="183">
        <f t="shared" si="1"/>
        <v>0</v>
      </c>
      <c r="E13" s="183">
        <f t="shared" si="1"/>
        <v>0</v>
      </c>
      <c r="F13" s="183">
        <f t="shared" si="1"/>
        <v>0</v>
      </c>
      <c r="G13" s="183">
        <f t="shared" si="1"/>
        <v>0</v>
      </c>
      <c r="H13" s="183">
        <f t="shared" si="1"/>
        <v>0</v>
      </c>
      <c r="I13" s="183">
        <f t="shared" si="1"/>
        <v>0</v>
      </c>
      <c r="J13" s="445"/>
    </row>
    <row r="14" spans="1:10" ht="27.6">
      <c r="A14" s="445"/>
      <c r="B14" s="446" t="s">
        <v>1031</v>
      </c>
      <c r="C14" s="447" t="s">
        <v>1032</v>
      </c>
      <c r="D14" s="447" t="s">
        <v>1032</v>
      </c>
      <c r="E14" s="447" t="s">
        <v>1032</v>
      </c>
      <c r="F14" s="447" t="s">
        <v>1032</v>
      </c>
      <c r="G14" s="447" t="s">
        <v>1032</v>
      </c>
      <c r="H14" s="447" t="s">
        <v>1032</v>
      </c>
      <c r="I14" s="183"/>
      <c r="J14" s="445"/>
    </row>
    <row r="15" spans="1:10" ht="19.95" customHeight="1">
      <c r="A15" s="318" t="s">
        <v>825</v>
      </c>
      <c r="B15" s="413"/>
      <c r="C15" s="413"/>
      <c r="D15" s="413"/>
      <c r="E15" s="413"/>
      <c r="F15" s="413"/>
      <c r="G15" s="413"/>
      <c r="H15" s="413"/>
      <c r="I15" s="413"/>
      <c r="J15" s="413"/>
    </row>
    <row r="16" spans="1:10" ht="19.95" customHeight="1">
      <c r="A16" s="3"/>
    </row>
    <row r="17" spans="1:1" ht="19.95" customHeight="1">
      <c r="A17" s="24" t="s">
        <v>503</v>
      </c>
    </row>
    <row r="18" spans="1:1" ht="19.95" customHeight="1">
      <c r="A18" s="76"/>
    </row>
    <row r="24" spans="1:1" ht="19.95" customHeight="1">
      <c r="A24" s="328"/>
    </row>
    <row r="25" spans="1:1" ht="19.95" customHeight="1">
      <c r="A25" s="328"/>
    </row>
    <row r="26" spans="1:1" ht="19.95" customHeight="1">
      <c r="A26" s="328"/>
    </row>
  </sheetData>
  <mergeCells count="3">
    <mergeCell ref="A1:J1"/>
    <mergeCell ref="A2:J2"/>
    <mergeCell ref="A13:B13"/>
  </mergeCells>
  <phoneticPr fontId="10" type="noConversion"/>
  <hyperlinks>
    <hyperlink ref="J3" location="底稿目录!A1" display="H7A"/>
  </hyperlinks>
  <printOptions horizontalCentered="1"/>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B8:B12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M61"/>
  <sheetViews>
    <sheetView view="pageBreakPreview" zoomScaleNormal="100" zoomScaleSheetLayoutView="100" workbookViewId="0">
      <selection sqref="A1:M1"/>
    </sheetView>
  </sheetViews>
  <sheetFormatPr defaultRowHeight="19.95" customHeight="1"/>
  <cols>
    <col min="1" max="1" width="13" style="28" customWidth="1"/>
    <col min="2" max="2" width="16.69921875" style="28" customWidth="1"/>
    <col min="3" max="7" width="8.796875" style="28"/>
    <col min="8" max="9" width="11.8984375" style="28" customWidth="1"/>
    <col min="10" max="10" width="8.796875" style="28"/>
    <col min="11" max="11" width="12.09765625" style="28" customWidth="1"/>
    <col min="12" max="16384" width="8.796875" style="28"/>
  </cols>
  <sheetData>
    <row r="1" spans="1:13" s="352" customFormat="1" ht="19.95" customHeight="1">
      <c r="A1" s="752" t="s">
        <v>0</v>
      </c>
      <c r="B1" s="752"/>
      <c r="C1" s="752"/>
      <c r="D1" s="752"/>
      <c r="E1" s="752"/>
      <c r="F1" s="752"/>
      <c r="G1" s="752"/>
      <c r="H1" s="752"/>
      <c r="I1" s="752"/>
      <c r="J1" s="752"/>
      <c r="K1" s="752"/>
      <c r="L1" s="752"/>
      <c r="M1" s="752"/>
    </row>
    <row r="2" spans="1:13" s="356" customFormat="1" ht="19.95" customHeight="1">
      <c r="A2" s="753" t="s">
        <v>1171</v>
      </c>
      <c r="B2" s="753"/>
      <c r="C2" s="753"/>
      <c r="D2" s="753"/>
      <c r="E2" s="753"/>
      <c r="F2" s="753"/>
      <c r="G2" s="753"/>
      <c r="H2" s="753"/>
      <c r="I2" s="753"/>
      <c r="J2" s="753"/>
      <c r="K2" s="753"/>
      <c r="L2" s="753"/>
      <c r="M2" s="753"/>
    </row>
    <row r="3" spans="1:13" ht="19.95" customHeight="1">
      <c r="A3" s="3" t="str">
        <f>底稿目录!A2</f>
        <v>被审计单位：</v>
      </c>
      <c r="B3" s="3"/>
      <c r="C3" s="3"/>
      <c r="D3" s="3" t="str">
        <f>底稿目录!A4</f>
        <v>编制人：</v>
      </c>
      <c r="E3" s="3"/>
      <c r="F3" s="3"/>
      <c r="G3" s="53"/>
      <c r="H3" s="3" t="str">
        <f>底稿目录!A6</f>
        <v>编制日期：</v>
      </c>
      <c r="I3" s="91"/>
      <c r="J3" s="3"/>
      <c r="K3" s="3"/>
      <c r="L3" s="432" t="s">
        <v>1011</v>
      </c>
      <c r="M3" s="313" t="s">
        <v>277</v>
      </c>
    </row>
    <row r="4" spans="1:13" ht="19.95" customHeight="1">
      <c r="A4" s="3" t="str">
        <f>底稿目录!A3</f>
        <v>截止日：</v>
      </c>
      <c r="B4" s="3"/>
      <c r="C4" s="3"/>
      <c r="D4" s="3" t="str">
        <f>底稿目录!A5</f>
        <v>复核人：</v>
      </c>
      <c r="E4" s="3"/>
      <c r="F4" s="3"/>
      <c r="G4" s="53"/>
      <c r="H4" s="3" t="str">
        <f>底稿目录!A7</f>
        <v>复核日期：</v>
      </c>
      <c r="I4" s="91"/>
      <c r="J4" s="3"/>
      <c r="K4" s="3"/>
      <c r="L4" s="432" t="s">
        <v>1012</v>
      </c>
      <c r="M4" s="314"/>
    </row>
    <row r="5" spans="1:13" s="281" customFormat="1" ht="19.95" customHeight="1">
      <c r="A5" s="578" t="s">
        <v>821</v>
      </c>
      <c r="B5" s="517"/>
      <c r="C5" s="182"/>
      <c r="D5" s="182"/>
      <c r="E5" s="182"/>
      <c r="F5" s="182"/>
      <c r="G5" s="518"/>
      <c r="H5" s="182"/>
      <c r="I5" s="182"/>
      <c r="J5" s="182"/>
      <c r="K5" s="538"/>
      <c r="L5" s="538"/>
      <c r="M5" s="519"/>
    </row>
    <row r="6" spans="1:13" ht="19.95" customHeight="1">
      <c r="A6" s="52" t="s">
        <v>490</v>
      </c>
      <c r="B6" s="287"/>
      <c r="C6" s="3"/>
      <c r="D6" s="3"/>
      <c r="E6" s="3"/>
      <c r="F6" s="3"/>
      <c r="G6" s="3"/>
      <c r="H6" s="11"/>
      <c r="I6" s="3"/>
      <c r="J6" s="3"/>
      <c r="K6" s="3"/>
      <c r="L6" s="55"/>
      <c r="M6" s="8"/>
    </row>
    <row r="7" spans="1:13" ht="19.95" customHeight="1">
      <c r="A7" s="654" t="s">
        <v>822</v>
      </c>
      <c r="B7" s="654" t="s">
        <v>587</v>
      </c>
      <c r="C7" s="654" t="s">
        <v>828</v>
      </c>
      <c r="D7" s="654"/>
      <c r="E7" s="654"/>
      <c r="F7" s="654" t="s">
        <v>829</v>
      </c>
      <c r="G7" s="654"/>
      <c r="H7" s="654"/>
      <c r="I7" s="654"/>
      <c r="J7" s="654"/>
      <c r="K7" s="654"/>
      <c r="L7" s="654" t="s">
        <v>588</v>
      </c>
      <c r="M7" s="654" t="s">
        <v>830</v>
      </c>
    </row>
    <row r="8" spans="1:13" ht="24">
      <c r="A8" s="654"/>
      <c r="B8" s="654"/>
      <c r="C8" s="239" t="s">
        <v>831</v>
      </c>
      <c r="D8" s="239" t="s">
        <v>832</v>
      </c>
      <c r="E8" s="239" t="s">
        <v>635</v>
      </c>
      <c r="F8" s="239" t="s">
        <v>833</v>
      </c>
      <c r="G8" s="239" t="s">
        <v>834</v>
      </c>
      <c r="H8" s="239" t="s">
        <v>848</v>
      </c>
      <c r="I8" s="239" t="s">
        <v>835</v>
      </c>
      <c r="J8" s="239" t="s">
        <v>836</v>
      </c>
      <c r="K8" s="239" t="s">
        <v>849</v>
      </c>
      <c r="L8" s="654"/>
      <c r="M8" s="654"/>
    </row>
    <row r="9" spans="1:13" ht="19.95" customHeight="1">
      <c r="A9" s="654"/>
      <c r="B9" s="654"/>
      <c r="C9" s="239" t="s">
        <v>837</v>
      </c>
      <c r="D9" s="239" t="s">
        <v>838</v>
      </c>
      <c r="E9" s="239" t="s">
        <v>839</v>
      </c>
      <c r="F9" s="239" t="s">
        <v>840</v>
      </c>
      <c r="G9" s="239" t="s">
        <v>841</v>
      </c>
      <c r="H9" s="239" t="s">
        <v>850</v>
      </c>
      <c r="I9" s="239" t="s">
        <v>851</v>
      </c>
      <c r="J9" s="239" t="s">
        <v>842</v>
      </c>
      <c r="K9" s="239" t="s">
        <v>843</v>
      </c>
      <c r="L9" s="654"/>
      <c r="M9" s="654"/>
    </row>
    <row r="10" spans="1:13" ht="19.95" customHeight="1">
      <c r="A10" s="594"/>
      <c r="B10" s="595"/>
      <c r="C10" s="596"/>
      <c r="D10" s="597"/>
      <c r="E10" s="596"/>
      <c r="F10" s="597"/>
      <c r="G10" s="597"/>
      <c r="H10" s="217">
        <f>D10*F10</f>
        <v>0</v>
      </c>
      <c r="I10" s="217">
        <f>E10-H10</f>
        <v>0</v>
      </c>
      <c r="J10" s="42"/>
      <c r="K10" s="94"/>
      <c r="L10" s="376"/>
      <c r="M10" s="41"/>
    </row>
    <row r="11" spans="1:13" ht="19.95" customHeight="1">
      <c r="A11" s="598"/>
      <c r="B11" s="595"/>
      <c r="C11" s="596"/>
      <c r="D11" s="597"/>
      <c r="E11" s="596"/>
      <c r="F11" s="597"/>
      <c r="G11" s="597"/>
      <c r="H11" s="217">
        <f t="shared" ref="H11:H14" si="0">D11*F11</f>
        <v>0</v>
      </c>
      <c r="I11" s="217">
        <f t="shared" ref="I11:I14" si="1">E11-H11</f>
        <v>0</v>
      </c>
      <c r="J11" s="42"/>
      <c r="K11" s="94"/>
      <c r="L11" s="376"/>
      <c r="M11" s="41"/>
    </row>
    <row r="12" spans="1:13" ht="19.95" customHeight="1">
      <c r="A12" s="598"/>
      <c r="B12" s="595"/>
      <c r="C12" s="596"/>
      <c r="D12" s="597"/>
      <c r="E12" s="596"/>
      <c r="F12" s="597"/>
      <c r="G12" s="597"/>
      <c r="H12" s="217">
        <f t="shared" si="0"/>
        <v>0</v>
      </c>
      <c r="I12" s="217">
        <f t="shared" si="1"/>
        <v>0</v>
      </c>
      <c r="J12" s="42"/>
      <c r="K12" s="94"/>
      <c r="L12" s="376"/>
      <c r="M12" s="41"/>
    </row>
    <row r="13" spans="1:13" ht="19.95" customHeight="1">
      <c r="A13" s="598"/>
      <c r="B13" s="595"/>
      <c r="C13" s="596"/>
      <c r="D13" s="597"/>
      <c r="E13" s="596"/>
      <c r="F13" s="597"/>
      <c r="G13" s="597"/>
      <c r="H13" s="217">
        <f t="shared" si="0"/>
        <v>0</v>
      </c>
      <c r="I13" s="217">
        <f t="shared" si="1"/>
        <v>0</v>
      </c>
      <c r="J13" s="42"/>
      <c r="K13" s="94"/>
      <c r="L13" s="376"/>
      <c r="M13" s="41"/>
    </row>
    <row r="14" spans="1:13" ht="19.95" customHeight="1">
      <c r="A14" s="598"/>
      <c r="B14" s="595"/>
      <c r="C14" s="596"/>
      <c r="D14" s="597"/>
      <c r="E14" s="596"/>
      <c r="F14" s="597"/>
      <c r="G14" s="597"/>
      <c r="H14" s="217">
        <f t="shared" si="0"/>
        <v>0</v>
      </c>
      <c r="I14" s="217">
        <f t="shared" si="1"/>
        <v>0</v>
      </c>
      <c r="J14" s="42"/>
      <c r="K14" s="94"/>
      <c r="L14" s="376"/>
      <c r="M14" s="41"/>
    </row>
    <row r="15" spans="1:13" ht="19.95" customHeight="1">
      <c r="A15" s="598"/>
      <c r="B15" s="595"/>
      <c r="C15" s="596"/>
      <c r="D15" s="597"/>
      <c r="E15" s="596"/>
      <c r="F15" s="597"/>
      <c r="G15" s="597"/>
      <c r="H15" s="217">
        <f>D15*F15</f>
        <v>0</v>
      </c>
      <c r="I15" s="217">
        <f>E15-H15</f>
        <v>0</v>
      </c>
      <c r="J15" s="42"/>
      <c r="K15" s="94"/>
      <c r="L15" s="376"/>
      <c r="M15" s="41"/>
    </row>
    <row r="16" spans="1:13" ht="19.95" customHeight="1">
      <c r="A16" s="598"/>
      <c r="B16" s="595"/>
      <c r="C16" s="596"/>
      <c r="D16" s="597"/>
      <c r="E16" s="596"/>
      <c r="F16" s="597"/>
      <c r="G16" s="597"/>
      <c r="H16" s="217">
        <f t="shared" ref="H16:H19" si="2">D16*F16</f>
        <v>0</v>
      </c>
      <c r="I16" s="217">
        <f t="shared" ref="I16:I19" si="3">E16-H16</f>
        <v>0</v>
      </c>
      <c r="J16" s="42"/>
      <c r="K16" s="94"/>
      <c r="L16" s="376"/>
      <c r="M16" s="41"/>
    </row>
    <row r="17" spans="1:13" ht="19.95" customHeight="1">
      <c r="A17" s="598"/>
      <c r="B17" s="595"/>
      <c r="C17" s="596"/>
      <c r="D17" s="597"/>
      <c r="E17" s="596"/>
      <c r="F17" s="597"/>
      <c r="G17" s="597"/>
      <c r="H17" s="217">
        <f t="shared" si="2"/>
        <v>0</v>
      </c>
      <c r="I17" s="217">
        <f t="shared" si="3"/>
        <v>0</v>
      </c>
      <c r="J17" s="42"/>
      <c r="K17" s="94"/>
      <c r="L17" s="376"/>
      <c r="M17" s="41"/>
    </row>
    <row r="18" spans="1:13" ht="19.95" customHeight="1">
      <c r="A18" s="598"/>
      <c r="B18" s="595"/>
      <c r="C18" s="596"/>
      <c r="D18" s="597"/>
      <c r="E18" s="596"/>
      <c r="F18" s="597"/>
      <c r="G18" s="597"/>
      <c r="H18" s="217">
        <f t="shared" si="2"/>
        <v>0</v>
      </c>
      <c r="I18" s="217">
        <f t="shared" si="3"/>
        <v>0</v>
      </c>
      <c r="J18" s="42"/>
      <c r="K18" s="94"/>
      <c r="L18" s="376"/>
      <c r="M18" s="41"/>
    </row>
    <row r="19" spans="1:13" ht="19.95" customHeight="1">
      <c r="A19" s="598"/>
      <c r="B19" s="595"/>
      <c r="C19" s="596"/>
      <c r="D19" s="597"/>
      <c r="E19" s="596"/>
      <c r="F19" s="597"/>
      <c r="G19" s="597"/>
      <c r="H19" s="217">
        <f t="shared" si="2"/>
        <v>0</v>
      </c>
      <c r="I19" s="217">
        <f t="shared" si="3"/>
        <v>0</v>
      </c>
      <c r="J19" s="42"/>
      <c r="K19" s="94"/>
      <c r="L19" s="376"/>
      <c r="M19" s="41"/>
    </row>
    <row r="20" spans="1:13" ht="19.95" customHeight="1">
      <c r="A20" s="598"/>
      <c r="B20" s="595"/>
      <c r="C20" s="596"/>
      <c r="D20" s="597"/>
      <c r="E20" s="596"/>
      <c r="F20" s="597"/>
      <c r="G20" s="597"/>
      <c r="H20" s="217">
        <f t="shared" ref="H20:H23" si="4">D20*F20</f>
        <v>0</v>
      </c>
      <c r="I20" s="217">
        <f t="shared" ref="I20:I24" si="5">E20-H20</f>
        <v>0</v>
      </c>
      <c r="J20" s="42"/>
      <c r="K20" s="94"/>
      <c r="L20" s="376"/>
      <c r="M20" s="41"/>
    </row>
    <row r="21" spans="1:13" ht="19.95" customHeight="1">
      <c r="A21" s="598"/>
      <c r="B21" s="595"/>
      <c r="C21" s="596"/>
      <c r="D21" s="597"/>
      <c r="E21" s="596"/>
      <c r="F21" s="597"/>
      <c r="G21" s="597"/>
      <c r="H21" s="217">
        <f t="shared" si="4"/>
        <v>0</v>
      </c>
      <c r="I21" s="217">
        <f t="shared" si="5"/>
        <v>0</v>
      </c>
      <c r="J21" s="42"/>
      <c r="K21" s="94"/>
      <c r="L21" s="376"/>
      <c r="M21" s="41"/>
    </row>
    <row r="22" spans="1:13" ht="19.95" customHeight="1">
      <c r="A22" s="598"/>
      <c r="B22" s="595"/>
      <c r="C22" s="596"/>
      <c r="D22" s="597"/>
      <c r="E22" s="596"/>
      <c r="F22" s="597"/>
      <c r="G22" s="597"/>
      <c r="H22" s="217">
        <f t="shared" si="4"/>
        <v>0</v>
      </c>
      <c r="I22" s="217">
        <f t="shared" si="5"/>
        <v>0</v>
      </c>
      <c r="J22" s="42"/>
      <c r="K22" s="94"/>
      <c r="L22" s="376"/>
      <c r="M22" s="41"/>
    </row>
    <row r="23" spans="1:13" ht="19.95" customHeight="1">
      <c r="A23" s="598"/>
      <c r="B23" s="595"/>
      <c r="C23" s="596"/>
      <c r="D23" s="597"/>
      <c r="E23" s="596"/>
      <c r="F23" s="597"/>
      <c r="G23" s="597"/>
      <c r="H23" s="217">
        <f t="shared" si="4"/>
        <v>0</v>
      </c>
      <c r="I23" s="217">
        <f t="shared" si="5"/>
        <v>0</v>
      </c>
      <c r="J23" s="42"/>
      <c r="K23" s="94"/>
      <c r="L23" s="376"/>
      <c r="M23" s="41"/>
    </row>
    <row r="24" spans="1:13" ht="19.95" customHeight="1">
      <c r="A24" s="598"/>
      <c r="B24" s="595"/>
      <c r="C24" s="596"/>
      <c r="D24" s="597"/>
      <c r="E24" s="596"/>
      <c r="F24" s="597"/>
      <c r="G24" s="597"/>
      <c r="H24" s="217">
        <f>D24*F24</f>
        <v>0</v>
      </c>
      <c r="I24" s="217">
        <f t="shared" si="5"/>
        <v>0</v>
      </c>
      <c r="J24" s="42"/>
      <c r="K24" s="94"/>
      <c r="L24" s="376"/>
      <c r="M24" s="41"/>
    </row>
    <row r="25" spans="1:13" ht="19.95" customHeight="1">
      <c r="A25" s="598"/>
      <c r="B25" s="595"/>
      <c r="C25" s="596"/>
      <c r="D25" s="597"/>
      <c r="E25" s="596"/>
      <c r="F25" s="597"/>
      <c r="G25" s="597"/>
      <c r="H25" s="217">
        <f>D25*F25</f>
        <v>0</v>
      </c>
      <c r="I25" s="217">
        <f t="shared" ref="I25" si="6">E25-H25</f>
        <v>0</v>
      </c>
      <c r="J25" s="42"/>
      <c r="K25" s="94"/>
      <c r="L25" s="376"/>
      <c r="M25" s="41"/>
    </row>
    <row r="26" spans="1:13" ht="19.95" customHeight="1">
      <c r="A26" s="598"/>
      <c r="B26" s="595"/>
      <c r="C26" s="596"/>
      <c r="D26" s="597"/>
      <c r="E26" s="596"/>
      <c r="F26" s="597"/>
      <c r="G26" s="597"/>
      <c r="H26" s="217">
        <f t="shared" ref="H26:H28" si="7">D26*F26</f>
        <v>0</v>
      </c>
      <c r="I26" s="217">
        <f t="shared" ref="I26:I28" si="8">E26-H26</f>
        <v>0</v>
      </c>
      <c r="J26" s="42"/>
      <c r="K26" s="94"/>
      <c r="L26" s="376"/>
      <c r="M26" s="41"/>
    </row>
    <row r="27" spans="1:13" ht="19.95" customHeight="1">
      <c r="A27" s="598"/>
      <c r="B27" s="595"/>
      <c r="C27" s="596"/>
      <c r="D27" s="597"/>
      <c r="E27" s="596"/>
      <c r="F27" s="597"/>
      <c r="G27" s="597"/>
      <c r="H27" s="217">
        <f t="shared" si="7"/>
        <v>0</v>
      </c>
      <c r="I27" s="217">
        <f t="shared" si="8"/>
        <v>0</v>
      </c>
      <c r="J27" s="42"/>
      <c r="K27" s="94"/>
      <c r="L27" s="376"/>
      <c r="M27" s="41"/>
    </row>
    <row r="28" spans="1:13" ht="19.95" customHeight="1">
      <c r="A28" s="598"/>
      <c r="B28" s="595"/>
      <c r="C28" s="596"/>
      <c r="D28" s="597"/>
      <c r="E28" s="596"/>
      <c r="F28" s="597"/>
      <c r="G28" s="597"/>
      <c r="H28" s="217">
        <f t="shared" si="7"/>
        <v>0</v>
      </c>
      <c r="I28" s="217">
        <f t="shared" si="8"/>
        <v>0</v>
      </c>
      <c r="J28" s="42"/>
      <c r="K28" s="94"/>
      <c r="L28" s="376"/>
      <c r="M28" s="41"/>
    </row>
    <row r="29" spans="1:13" s="366" customFormat="1" ht="19.95" customHeight="1">
      <c r="A29" s="733" t="s">
        <v>447</v>
      </c>
      <c r="B29" s="733"/>
      <c r="C29" s="205">
        <f>SUM(C10:C28)</f>
        <v>0</v>
      </c>
      <c r="D29" s="205">
        <f t="shared" ref="D29:I29" si="9">SUM(D10:D28)</f>
        <v>0</v>
      </c>
      <c r="E29" s="205">
        <f t="shared" si="9"/>
        <v>0</v>
      </c>
      <c r="F29" s="205">
        <f t="shared" si="9"/>
        <v>0</v>
      </c>
      <c r="G29" s="205">
        <f t="shared" si="9"/>
        <v>0</v>
      </c>
      <c r="H29" s="205">
        <f t="shared" si="9"/>
        <v>0</v>
      </c>
      <c r="I29" s="205">
        <f t="shared" si="9"/>
        <v>0</v>
      </c>
      <c r="J29" s="205"/>
      <c r="K29" s="205"/>
      <c r="L29" s="205"/>
      <c r="M29" s="205"/>
    </row>
    <row r="30" spans="1:13" s="366" customFormat="1" ht="19.95" customHeight="1">
      <c r="A30" s="754" t="s">
        <v>1006</v>
      </c>
      <c r="B30" s="754"/>
      <c r="C30" s="205"/>
      <c r="D30" s="205"/>
      <c r="E30" s="205"/>
      <c r="F30" s="205"/>
      <c r="G30" s="205"/>
      <c r="H30" s="205"/>
      <c r="I30" s="205"/>
      <c r="J30" s="205"/>
      <c r="K30" s="205"/>
      <c r="L30" s="205"/>
      <c r="M30" s="205"/>
    </row>
    <row r="31" spans="1:13" s="366" customFormat="1" ht="19.95" customHeight="1">
      <c r="A31" s="754" t="str">
        <f>底稿目录!A9</f>
        <v>种植业</v>
      </c>
      <c r="B31" s="754"/>
      <c r="C31" s="415">
        <f t="shared" ref="C31:I31" si="10">SUMPRODUCT(($A$10:$A$28=$A31)*(C$10:C$28))</f>
        <v>0</v>
      </c>
      <c r="D31" s="415">
        <f t="shared" si="10"/>
        <v>0</v>
      </c>
      <c r="E31" s="415">
        <f t="shared" si="10"/>
        <v>0</v>
      </c>
      <c r="F31" s="415">
        <f t="shared" si="10"/>
        <v>0</v>
      </c>
      <c r="G31" s="415"/>
      <c r="H31" s="415">
        <f t="shared" si="10"/>
        <v>0</v>
      </c>
      <c r="I31" s="415">
        <f t="shared" si="10"/>
        <v>0</v>
      </c>
      <c r="J31" s="205"/>
      <c r="K31" s="205"/>
      <c r="L31" s="205"/>
      <c r="M31" s="205"/>
    </row>
    <row r="32" spans="1:13" s="366" customFormat="1" ht="19.95" customHeight="1">
      <c r="A32" s="754" t="str">
        <f>底稿目录!A10</f>
        <v>畜牧养殖业</v>
      </c>
      <c r="B32" s="754"/>
      <c r="C32" s="415">
        <f>SUMPRODUCT(($A$10:$A$28=$A32)*(C$10:C$28))</f>
        <v>0</v>
      </c>
      <c r="D32" s="415">
        <f t="shared" ref="D32:I35" si="11">SUMPRODUCT(($A$10:$A$28=$A32)*(D$10:D$28))</f>
        <v>0</v>
      </c>
      <c r="E32" s="415">
        <f t="shared" si="11"/>
        <v>0</v>
      </c>
      <c r="F32" s="415">
        <f t="shared" si="11"/>
        <v>0</v>
      </c>
      <c r="G32" s="415"/>
      <c r="H32" s="415">
        <f t="shared" si="11"/>
        <v>0</v>
      </c>
      <c r="I32" s="415">
        <f t="shared" si="11"/>
        <v>0</v>
      </c>
      <c r="J32" s="205"/>
      <c r="K32" s="205"/>
      <c r="L32" s="205"/>
      <c r="M32" s="205"/>
    </row>
    <row r="33" spans="1:13" s="366" customFormat="1" ht="19.95" customHeight="1">
      <c r="A33" s="754" t="str">
        <f>底稿目录!A11</f>
        <v>林业</v>
      </c>
      <c r="B33" s="754"/>
      <c r="C33" s="415">
        <f>SUMPRODUCT(($A$10:$A$28=$A33)*(C$10:C$28))</f>
        <v>0</v>
      </c>
      <c r="D33" s="415">
        <f t="shared" si="11"/>
        <v>0</v>
      </c>
      <c r="E33" s="415">
        <f t="shared" si="11"/>
        <v>0</v>
      </c>
      <c r="F33" s="415">
        <f t="shared" si="11"/>
        <v>0</v>
      </c>
      <c r="G33" s="415"/>
      <c r="H33" s="415">
        <f t="shared" si="11"/>
        <v>0</v>
      </c>
      <c r="I33" s="415">
        <f t="shared" si="11"/>
        <v>0</v>
      </c>
      <c r="J33" s="205"/>
      <c r="K33" s="205"/>
      <c r="L33" s="205"/>
      <c r="M33" s="205"/>
    </row>
    <row r="34" spans="1:13" s="366" customFormat="1" ht="19.95" customHeight="1">
      <c r="A34" s="754" t="str">
        <f>底稿目录!A12</f>
        <v>水产业</v>
      </c>
      <c r="B34" s="754"/>
      <c r="C34" s="415">
        <f>SUMPRODUCT(($A$10:$A$28=$A34)*(C$10:C$28))</f>
        <v>0</v>
      </c>
      <c r="D34" s="415">
        <f t="shared" si="11"/>
        <v>0</v>
      </c>
      <c r="E34" s="415">
        <f t="shared" si="11"/>
        <v>0</v>
      </c>
      <c r="F34" s="415">
        <f t="shared" si="11"/>
        <v>0</v>
      </c>
      <c r="G34" s="415"/>
      <c r="H34" s="415">
        <f t="shared" si="11"/>
        <v>0</v>
      </c>
      <c r="I34" s="415">
        <f t="shared" si="11"/>
        <v>0</v>
      </c>
      <c r="J34" s="205"/>
      <c r="K34" s="205"/>
      <c r="L34" s="205"/>
      <c r="M34" s="205"/>
    </row>
    <row r="35" spans="1:13" s="366" customFormat="1" ht="19.95" customHeight="1">
      <c r="A35" s="754" t="str">
        <f>底稿目录!A13</f>
        <v>……</v>
      </c>
      <c r="B35" s="754"/>
      <c r="C35" s="415">
        <f>SUMPRODUCT(($A$10:$A$28=$A35)*(C$10:C$28))</f>
        <v>0</v>
      </c>
      <c r="D35" s="415">
        <f t="shared" si="11"/>
        <v>0</v>
      </c>
      <c r="E35" s="415">
        <f t="shared" si="11"/>
        <v>0</v>
      </c>
      <c r="F35" s="415">
        <f t="shared" si="11"/>
        <v>0</v>
      </c>
      <c r="G35" s="415"/>
      <c r="H35" s="415">
        <f t="shared" si="11"/>
        <v>0</v>
      </c>
      <c r="I35" s="415">
        <f t="shared" si="11"/>
        <v>0</v>
      </c>
      <c r="J35" s="205"/>
      <c r="K35" s="205"/>
      <c r="L35" s="205"/>
      <c r="M35" s="205"/>
    </row>
    <row r="36" spans="1:13" ht="19.95" customHeight="1">
      <c r="A36" s="15"/>
      <c r="B36" s="15"/>
      <c r="C36" s="15"/>
      <c r="D36" s="15"/>
      <c r="E36" s="15"/>
      <c r="F36" s="15"/>
      <c r="G36" s="15"/>
      <c r="H36" s="15"/>
      <c r="I36" s="15"/>
      <c r="J36" s="15"/>
      <c r="K36" s="15"/>
      <c r="L36" s="15"/>
      <c r="M36" s="15"/>
    </row>
    <row r="37" spans="1:13" ht="19.95" customHeight="1">
      <c r="A37" s="24" t="s">
        <v>465</v>
      </c>
      <c r="B37" s="24"/>
      <c r="C37" s="3"/>
      <c r="D37" s="3"/>
      <c r="E37" s="3"/>
      <c r="F37" s="3"/>
      <c r="G37" s="3"/>
      <c r="H37" s="3"/>
      <c r="I37" s="3"/>
      <c r="J37" s="3"/>
      <c r="K37" s="3"/>
      <c r="L37" s="3"/>
      <c r="M37" s="3"/>
    </row>
    <row r="38" spans="1:13" ht="19.95" customHeight="1">
      <c r="A38" s="3"/>
      <c r="B38" s="3"/>
      <c r="C38" s="3"/>
      <c r="D38" s="3"/>
      <c r="E38" s="3"/>
      <c r="F38" s="3"/>
      <c r="G38" s="3"/>
      <c r="H38" s="3"/>
      <c r="I38" s="3"/>
      <c r="J38" s="3"/>
      <c r="K38" s="3"/>
      <c r="L38" s="3"/>
      <c r="M38" s="3"/>
    </row>
    <row r="39" spans="1:13" ht="19.95" customHeight="1">
      <c r="A39" s="3"/>
      <c r="B39" s="3"/>
      <c r="C39" s="3"/>
      <c r="D39" s="3"/>
      <c r="E39" s="3"/>
      <c r="F39" s="3"/>
      <c r="G39" s="3"/>
      <c r="H39" s="3"/>
      <c r="I39" s="3"/>
      <c r="J39" s="3"/>
      <c r="K39" s="3"/>
      <c r="L39" s="3"/>
      <c r="M39" s="3"/>
    </row>
    <row r="40" spans="1:13" ht="19.95" customHeight="1">
      <c r="A40" s="3"/>
      <c r="B40" s="3"/>
      <c r="C40" s="3"/>
      <c r="D40" s="3"/>
      <c r="E40" s="3"/>
      <c r="F40" s="3"/>
      <c r="G40" s="3"/>
      <c r="H40" s="3"/>
      <c r="I40" s="3"/>
      <c r="J40" s="3"/>
      <c r="K40" s="3"/>
      <c r="L40" s="3"/>
      <c r="M40" s="3"/>
    </row>
    <row r="41" spans="1:13" ht="19.95" customHeight="1">
      <c r="A41" s="24" t="s">
        <v>503</v>
      </c>
      <c r="B41" s="24"/>
      <c r="C41" s="3"/>
      <c r="D41" s="3"/>
      <c r="E41" s="3"/>
      <c r="F41" s="3"/>
      <c r="G41" s="3"/>
      <c r="H41" s="3"/>
      <c r="I41" s="3"/>
      <c r="J41" s="3"/>
      <c r="K41" s="3"/>
      <c r="L41" s="3"/>
      <c r="M41" s="3"/>
    </row>
    <row r="42" spans="1:13" ht="19.95" customHeight="1">
      <c r="A42" s="3"/>
      <c r="B42" s="3"/>
      <c r="C42" s="3"/>
      <c r="D42" s="3"/>
      <c r="E42" s="3"/>
      <c r="F42" s="3"/>
      <c r="G42" s="3"/>
      <c r="H42" s="3"/>
      <c r="I42" s="3"/>
      <c r="J42" s="3"/>
      <c r="K42" s="3"/>
      <c r="L42" s="3"/>
      <c r="M42" s="3"/>
    </row>
    <row r="43" spans="1:13" ht="19.95" customHeight="1">
      <c r="A43" s="3"/>
      <c r="B43" s="3"/>
      <c r="C43" s="3"/>
      <c r="D43" s="3"/>
      <c r="E43" s="3"/>
      <c r="F43" s="3"/>
      <c r="G43" s="3"/>
      <c r="H43" s="3"/>
      <c r="I43" s="3"/>
      <c r="J43" s="3"/>
      <c r="K43" s="3"/>
      <c r="L43" s="3"/>
      <c r="M43" s="3"/>
    </row>
    <row r="44" spans="1:13" ht="19.95" customHeight="1">
      <c r="A44" s="3"/>
      <c r="B44" s="3"/>
      <c r="C44" s="3"/>
      <c r="D44" s="3"/>
      <c r="E44" s="3"/>
      <c r="F44" s="3"/>
      <c r="G44" s="3"/>
      <c r="H44" s="3"/>
      <c r="I44" s="3"/>
      <c r="J44" s="3"/>
      <c r="K44" s="3"/>
      <c r="L44" s="3"/>
      <c r="M44" s="3"/>
    </row>
    <row r="45" spans="1:13" ht="19.95" customHeight="1">
      <c r="A45" s="3"/>
      <c r="B45" s="3"/>
      <c r="C45" s="3"/>
      <c r="D45" s="3"/>
      <c r="E45" s="3"/>
      <c r="F45" s="3"/>
      <c r="G45" s="3"/>
      <c r="H45" s="3"/>
      <c r="I45" s="3"/>
      <c r="J45" s="3"/>
      <c r="K45" s="3"/>
      <c r="L45" s="3"/>
      <c r="M45" s="3"/>
    </row>
    <row r="46" spans="1:13" ht="19.95" customHeight="1">
      <c r="A46" s="3"/>
      <c r="B46" s="3"/>
      <c r="C46" s="3"/>
      <c r="D46" s="3"/>
      <c r="E46" s="3"/>
      <c r="F46" s="3"/>
      <c r="G46" s="3"/>
      <c r="H46" s="3"/>
      <c r="I46" s="3"/>
      <c r="J46" s="3"/>
      <c r="K46" s="3"/>
      <c r="L46" s="3"/>
      <c r="M46" s="3"/>
    </row>
    <row r="47" spans="1:13" ht="19.95" customHeight="1">
      <c r="A47" s="312"/>
      <c r="B47" s="312"/>
      <c r="C47" s="3"/>
      <c r="D47" s="3"/>
      <c r="E47" s="3"/>
      <c r="F47" s="3"/>
      <c r="G47" s="3"/>
      <c r="H47" s="3"/>
      <c r="I47" s="3"/>
      <c r="J47" s="3"/>
      <c r="K47" s="3"/>
      <c r="L47" s="3"/>
      <c r="M47" s="3"/>
    </row>
    <row r="48" spans="1:13" ht="19.95" customHeight="1">
      <c r="A48" s="458" t="s">
        <v>1047</v>
      </c>
      <c r="B48" s="17"/>
      <c r="C48" s="3"/>
      <c r="D48" s="3"/>
      <c r="E48" s="3"/>
      <c r="F48" s="3"/>
      <c r="G48" s="3"/>
      <c r="H48" s="3"/>
      <c r="I48" s="3"/>
      <c r="J48" s="3"/>
      <c r="K48" s="3"/>
      <c r="L48" s="3"/>
      <c r="M48" s="3"/>
    </row>
    <row r="49" spans="1:13" ht="19.95" customHeight="1">
      <c r="A49" s="17" t="s">
        <v>852</v>
      </c>
      <c r="B49" s="17"/>
      <c r="C49" s="3"/>
      <c r="D49" s="3"/>
      <c r="E49" s="3"/>
      <c r="F49" s="3"/>
      <c r="G49" s="3"/>
      <c r="H49" s="3"/>
      <c r="I49" s="3"/>
      <c r="J49" s="3"/>
      <c r="K49" s="3"/>
      <c r="L49" s="3"/>
      <c r="M49" s="3"/>
    </row>
    <row r="50" spans="1:13" ht="19.95" customHeight="1">
      <c r="A50" s="17" t="s">
        <v>390</v>
      </c>
      <c r="B50" s="17"/>
      <c r="C50" s="3"/>
      <c r="D50" s="3"/>
      <c r="E50" s="3"/>
      <c r="F50" s="3"/>
      <c r="G50" s="3"/>
      <c r="H50" s="3"/>
      <c r="I50" s="3"/>
      <c r="J50" s="3"/>
      <c r="K50" s="3"/>
      <c r="L50" s="3"/>
      <c r="M50" s="3"/>
    </row>
    <row r="51" spans="1:13" ht="19.95" customHeight="1">
      <c r="A51" s="17" t="s">
        <v>391</v>
      </c>
      <c r="B51" s="17"/>
      <c r="C51" s="3"/>
      <c r="D51" s="3"/>
      <c r="E51" s="3"/>
      <c r="F51" s="3"/>
      <c r="G51" s="3"/>
      <c r="H51" s="3"/>
      <c r="I51" s="3"/>
      <c r="J51" s="3"/>
      <c r="K51" s="3"/>
      <c r="L51" s="3"/>
      <c r="M51" s="3"/>
    </row>
    <row r="52" spans="1:13" ht="19.95" customHeight="1">
      <c r="A52" s="17" t="s">
        <v>392</v>
      </c>
      <c r="B52" s="17"/>
      <c r="C52" s="3"/>
      <c r="D52" s="3"/>
      <c r="E52" s="3"/>
      <c r="F52" s="3"/>
      <c r="G52" s="3"/>
      <c r="H52" s="3"/>
      <c r="I52" s="3"/>
      <c r="J52" s="3"/>
      <c r="K52" s="3"/>
      <c r="L52" s="3"/>
      <c r="M52" s="3"/>
    </row>
    <row r="53" spans="1:13" ht="19.95" customHeight="1">
      <c r="A53" s="17" t="s">
        <v>393</v>
      </c>
      <c r="B53" s="17"/>
      <c r="C53" s="3"/>
      <c r="D53" s="3"/>
      <c r="E53" s="3"/>
      <c r="F53" s="3"/>
      <c r="G53" s="3"/>
      <c r="H53" s="3"/>
      <c r="I53" s="3"/>
      <c r="J53" s="3"/>
      <c r="K53" s="3"/>
      <c r="L53" s="3"/>
      <c r="M53" s="3"/>
    </row>
    <row r="54" spans="1:13" ht="19.95" customHeight="1">
      <c r="A54" s="17" t="s">
        <v>394</v>
      </c>
      <c r="B54" s="17"/>
      <c r="C54" s="3"/>
      <c r="D54" s="3"/>
      <c r="E54" s="3"/>
      <c r="F54" s="3"/>
      <c r="G54" s="3"/>
      <c r="H54" s="3"/>
      <c r="I54" s="3"/>
      <c r="J54" s="3"/>
      <c r="K54" s="3"/>
      <c r="L54" s="3"/>
      <c r="M54" s="3"/>
    </row>
    <row r="57" spans="1:13" ht="19.95" customHeight="1">
      <c r="A57" s="282" t="s">
        <v>478</v>
      </c>
    </row>
    <row r="58" spans="1:13" ht="19.95" customHeight="1">
      <c r="A58" s="282" t="s">
        <v>844</v>
      </c>
    </row>
    <row r="59" spans="1:13" ht="19.95" customHeight="1">
      <c r="A59" s="282" t="s">
        <v>845</v>
      </c>
    </row>
    <row r="60" spans="1:13" ht="19.95" customHeight="1">
      <c r="A60" s="282" t="s">
        <v>846</v>
      </c>
    </row>
    <row r="61" spans="1:13" ht="19.95" customHeight="1">
      <c r="A61" s="282" t="s">
        <v>847</v>
      </c>
    </row>
  </sheetData>
  <mergeCells count="15">
    <mergeCell ref="A35:B35"/>
    <mergeCell ref="A30:B30"/>
    <mergeCell ref="A29:B29"/>
    <mergeCell ref="A31:B31"/>
    <mergeCell ref="A32:B32"/>
    <mergeCell ref="A33:B33"/>
    <mergeCell ref="A34:B34"/>
    <mergeCell ref="A1:M1"/>
    <mergeCell ref="A2:M2"/>
    <mergeCell ref="A7:A9"/>
    <mergeCell ref="B7:B9"/>
    <mergeCell ref="C7:E7"/>
    <mergeCell ref="F7:K7"/>
    <mergeCell ref="L7:L9"/>
    <mergeCell ref="M7:M9"/>
  </mergeCells>
  <phoneticPr fontId="10" type="noConversion"/>
  <dataValidations count="1">
    <dataValidation type="list" allowBlank="1" showInputMessage="1" showErrorMessage="1" sqref="K10:K28">
      <formula1>"√,×"</formula1>
    </dataValidation>
  </dataValidations>
  <hyperlinks>
    <hyperlink ref="M3" location="底稿目录!A1" display="H7A"/>
  </hyperlinks>
  <printOptions horizontalCentered="1"/>
  <pageMargins left="0.70866141732283472" right="0.70866141732283472" top="0.74803149606299213" bottom="0.74803149606299213" header="0.31496062992125984" footer="0.31496062992125984"/>
  <pageSetup paperSize="9" scale="60" orientation="portrait"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A10:A28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U54"/>
  <sheetViews>
    <sheetView view="pageBreakPreview" zoomScaleNormal="100" zoomScaleSheetLayoutView="100" workbookViewId="0">
      <selection sqref="A1:U1"/>
    </sheetView>
  </sheetViews>
  <sheetFormatPr defaultRowHeight="19.95" customHeight="1"/>
  <cols>
    <col min="1" max="1" width="10.09765625" style="28" customWidth="1"/>
    <col min="2" max="2" width="9.8984375" style="28" customWidth="1"/>
    <col min="3" max="16384" width="8.796875" style="28"/>
  </cols>
  <sheetData>
    <row r="1" spans="1:21" s="352" customFormat="1" ht="19.95" customHeight="1">
      <c r="A1" s="734" t="s">
        <v>982</v>
      </c>
      <c r="B1" s="734"/>
      <c r="C1" s="734"/>
      <c r="D1" s="734"/>
      <c r="E1" s="734"/>
      <c r="F1" s="734"/>
      <c r="G1" s="734"/>
      <c r="H1" s="734"/>
      <c r="I1" s="734"/>
      <c r="J1" s="734"/>
      <c r="K1" s="734"/>
      <c r="L1" s="734"/>
      <c r="M1" s="734"/>
      <c r="N1" s="734"/>
      <c r="O1" s="734"/>
      <c r="P1" s="734"/>
      <c r="Q1" s="734"/>
      <c r="R1" s="734"/>
      <c r="S1" s="734"/>
      <c r="T1" s="734"/>
      <c r="U1" s="734"/>
    </row>
    <row r="2" spans="1:21" s="356" customFormat="1" ht="19.95" customHeight="1">
      <c r="A2" s="735" t="s">
        <v>986</v>
      </c>
      <c r="B2" s="735"/>
      <c r="C2" s="735"/>
      <c r="D2" s="735"/>
      <c r="E2" s="735"/>
      <c r="F2" s="735"/>
      <c r="G2" s="735"/>
      <c r="H2" s="735"/>
      <c r="I2" s="735"/>
      <c r="J2" s="735"/>
      <c r="K2" s="735"/>
      <c r="L2" s="735"/>
      <c r="M2" s="735"/>
      <c r="N2" s="735"/>
      <c r="O2" s="735"/>
      <c r="P2" s="735"/>
      <c r="Q2" s="735"/>
      <c r="R2" s="735"/>
      <c r="S2" s="735"/>
      <c r="T2" s="735"/>
      <c r="U2" s="735"/>
    </row>
    <row r="3" spans="1:21" ht="19.95" customHeight="1">
      <c r="A3" s="3" t="str">
        <f>底稿目录!A2</f>
        <v>被审计单位：</v>
      </c>
      <c r="B3" s="3"/>
      <c r="C3" s="3"/>
      <c r="D3" s="3" t="str">
        <f>底稿目录!A4</f>
        <v>编制人：</v>
      </c>
      <c r="E3" s="3"/>
      <c r="F3" s="3"/>
      <c r="G3" s="3"/>
      <c r="H3" s="3"/>
      <c r="I3" s="53"/>
      <c r="J3" s="3" t="str">
        <f>底稿目录!A6</f>
        <v>编制日期：</v>
      </c>
      <c r="K3" s="91"/>
      <c r="L3" s="3"/>
      <c r="M3" s="3"/>
      <c r="N3" s="3"/>
      <c r="O3" s="3"/>
      <c r="P3" s="3"/>
      <c r="Q3" s="3"/>
      <c r="R3" s="3"/>
      <c r="S3" s="3"/>
      <c r="T3" s="432" t="s">
        <v>1011</v>
      </c>
      <c r="U3" s="313" t="s">
        <v>278</v>
      </c>
    </row>
    <row r="4" spans="1:21" ht="19.95" customHeight="1">
      <c r="A4" s="3" t="str">
        <f>底稿目录!A3</f>
        <v>截止日：</v>
      </c>
      <c r="B4" s="3"/>
      <c r="C4" s="3"/>
      <c r="D4" s="3" t="str">
        <f>底稿目录!A5</f>
        <v>复核人：</v>
      </c>
      <c r="E4" s="3"/>
      <c r="F4" s="3"/>
      <c r="G4" s="3"/>
      <c r="H4" s="3"/>
      <c r="I4" s="53"/>
      <c r="J4" s="3" t="str">
        <f>底稿目录!A7</f>
        <v>复核日期：</v>
      </c>
      <c r="K4" s="91"/>
      <c r="L4" s="3"/>
      <c r="M4" s="3"/>
      <c r="N4" s="3"/>
      <c r="O4" s="3"/>
      <c r="P4" s="3"/>
      <c r="Q4" s="3"/>
      <c r="R4" s="3"/>
      <c r="S4" s="3"/>
      <c r="T4" s="432" t="s">
        <v>1012</v>
      </c>
      <c r="U4" s="314"/>
    </row>
    <row r="5" spans="1:21" s="281" customFormat="1" ht="19.95" customHeight="1">
      <c r="A5" s="578" t="s">
        <v>853</v>
      </c>
      <c r="B5" s="578"/>
      <c r="C5" s="599"/>
      <c r="D5" s="599"/>
      <c r="E5" s="599"/>
      <c r="F5" s="182"/>
      <c r="G5" s="182"/>
      <c r="H5" s="182"/>
      <c r="I5" s="182"/>
      <c r="J5" s="182"/>
      <c r="K5" s="518"/>
      <c r="L5" s="182"/>
      <c r="M5" s="182"/>
      <c r="N5" s="182"/>
      <c r="O5" s="182"/>
      <c r="P5" s="182"/>
      <c r="Q5" s="182"/>
      <c r="R5" s="182"/>
      <c r="S5" s="538"/>
      <c r="T5" s="519"/>
      <c r="U5" s="182"/>
    </row>
    <row r="6" spans="1:21" s="281" customFormat="1" ht="19.95" customHeight="1">
      <c r="A6" s="517" t="s">
        <v>854</v>
      </c>
      <c r="B6" s="517"/>
      <c r="C6" s="600"/>
      <c r="D6" s="600"/>
      <c r="E6" s="600"/>
      <c r="F6" s="182"/>
      <c r="G6" s="182"/>
      <c r="H6" s="182"/>
      <c r="I6" s="182"/>
      <c r="J6" s="182"/>
      <c r="K6" s="518"/>
      <c r="L6" s="182"/>
      <c r="M6" s="182"/>
      <c r="N6" s="182"/>
      <c r="O6" s="182"/>
      <c r="P6" s="182"/>
      <c r="Q6" s="182"/>
      <c r="R6" s="182"/>
      <c r="S6" s="538"/>
      <c r="T6" s="519"/>
      <c r="U6" s="182"/>
    </row>
    <row r="7" spans="1:21" s="281" customFormat="1" ht="19.95" customHeight="1">
      <c r="A7" s="517" t="s">
        <v>855</v>
      </c>
      <c r="B7" s="517"/>
      <c r="C7" s="600"/>
      <c r="D7" s="600"/>
      <c r="E7" s="600"/>
      <c r="F7" s="182"/>
      <c r="G7" s="182"/>
      <c r="H7" s="182"/>
      <c r="I7" s="182"/>
      <c r="J7" s="182"/>
      <c r="K7" s="518"/>
      <c r="L7" s="182"/>
      <c r="M7" s="182"/>
      <c r="N7" s="182"/>
      <c r="O7" s="182"/>
      <c r="P7" s="182"/>
      <c r="Q7" s="182"/>
      <c r="R7" s="182"/>
      <c r="S7" s="538"/>
      <c r="T7" s="519"/>
      <c r="U7" s="182"/>
    </row>
    <row r="8" spans="1:21" ht="19.95" customHeight="1">
      <c r="A8" s="52" t="s">
        <v>83</v>
      </c>
      <c r="B8" s="287"/>
      <c r="C8" s="287"/>
      <c r="D8" s="3"/>
      <c r="E8" s="3"/>
      <c r="F8" s="3"/>
      <c r="G8" s="3"/>
      <c r="H8" s="3"/>
      <c r="I8" s="11"/>
      <c r="J8" s="3"/>
      <c r="K8" s="3"/>
      <c r="L8" s="3"/>
      <c r="M8" s="3"/>
      <c r="N8" s="3"/>
      <c r="O8" s="3"/>
      <c r="P8" s="3"/>
      <c r="Q8" s="55"/>
      <c r="R8" s="8"/>
      <c r="S8" s="3"/>
      <c r="T8" s="3"/>
      <c r="U8" s="3"/>
    </row>
    <row r="9" spans="1:21" s="561" customFormat="1" ht="19.95" customHeight="1">
      <c r="A9" s="696" t="s">
        <v>399</v>
      </c>
      <c r="B9" s="696" t="s">
        <v>856</v>
      </c>
      <c r="C9" s="696" t="s">
        <v>857</v>
      </c>
      <c r="D9" s="733" t="s">
        <v>858</v>
      </c>
      <c r="E9" s="733"/>
      <c r="F9" s="733"/>
      <c r="G9" s="733"/>
      <c r="H9" s="733" t="s">
        <v>859</v>
      </c>
      <c r="I9" s="733"/>
      <c r="J9" s="733"/>
      <c r="K9" s="733"/>
      <c r="L9" s="733"/>
      <c r="M9" s="733"/>
      <c r="N9" s="733"/>
      <c r="O9" s="733"/>
      <c r="P9" s="733"/>
      <c r="Q9" s="733" t="s">
        <v>860</v>
      </c>
      <c r="R9" s="733"/>
      <c r="S9" s="733" t="s">
        <v>861</v>
      </c>
      <c r="T9" s="733" t="s">
        <v>862</v>
      </c>
      <c r="U9" s="733" t="s">
        <v>830</v>
      </c>
    </row>
    <row r="10" spans="1:21" s="561" customFormat="1" ht="19.95" customHeight="1">
      <c r="A10" s="755"/>
      <c r="B10" s="755"/>
      <c r="C10" s="755"/>
      <c r="D10" s="733"/>
      <c r="E10" s="733"/>
      <c r="F10" s="733"/>
      <c r="G10" s="733"/>
      <c r="H10" s="756" t="s">
        <v>863</v>
      </c>
      <c r="I10" s="757"/>
      <c r="J10" s="757"/>
      <c r="K10" s="758"/>
      <c r="L10" s="733" t="s">
        <v>864</v>
      </c>
      <c r="M10" s="733"/>
      <c r="N10" s="733"/>
      <c r="O10" s="733"/>
      <c r="P10" s="733"/>
      <c r="Q10" s="733"/>
      <c r="R10" s="733"/>
      <c r="S10" s="733"/>
      <c r="T10" s="733"/>
      <c r="U10" s="733"/>
    </row>
    <row r="11" spans="1:21" s="561" customFormat="1" ht="24">
      <c r="A11" s="755"/>
      <c r="B11" s="755"/>
      <c r="C11" s="755"/>
      <c r="D11" s="509" t="s">
        <v>865</v>
      </c>
      <c r="E11" s="509" t="s">
        <v>866</v>
      </c>
      <c r="F11" s="509" t="s">
        <v>867</v>
      </c>
      <c r="G11" s="509" t="s">
        <v>868</v>
      </c>
      <c r="H11" s="509" t="s">
        <v>865</v>
      </c>
      <c r="I11" s="509" t="s">
        <v>229</v>
      </c>
      <c r="J11" s="509" t="s">
        <v>867</v>
      </c>
      <c r="K11" s="509" t="s">
        <v>869</v>
      </c>
      <c r="L11" s="509" t="s">
        <v>870</v>
      </c>
      <c r="M11" s="509" t="s">
        <v>871</v>
      </c>
      <c r="N11" s="509" t="s">
        <v>832</v>
      </c>
      <c r="O11" s="509" t="s">
        <v>833</v>
      </c>
      <c r="P11" s="509" t="s">
        <v>834</v>
      </c>
      <c r="Q11" s="509" t="s">
        <v>872</v>
      </c>
      <c r="R11" s="509" t="s">
        <v>873</v>
      </c>
      <c r="S11" s="733"/>
      <c r="T11" s="733"/>
      <c r="U11" s="733"/>
    </row>
    <row r="12" spans="1:21" s="561" customFormat="1" ht="25.8">
      <c r="A12" s="697"/>
      <c r="B12" s="697"/>
      <c r="C12" s="697"/>
      <c r="D12" s="601" t="s">
        <v>874</v>
      </c>
      <c r="E12" s="601" t="s">
        <v>875</v>
      </c>
      <c r="F12" s="601" t="s">
        <v>876</v>
      </c>
      <c r="G12" s="601" t="s">
        <v>877</v>
      </c>
      <c r="H12" s="601" t="s">
        <v>878</v>
      </c>
      <c r="I12" s="601" t="s">
        <v>879</v>
      </c>
      <c r="J12" s="601" t="s">
        <v>880</v>
      </c>
      <c r="K12" s="601" t="s">
        <v>881</v>
      </c>
      <c r="L12" s="601" t="s">
        <v>882</v>
      </c>
      <c r="M12" s="601" t="s">
        <v>883</v>
      </c>
      <c r="N12" s="601"/>
      <c r="O12" s="602"/>
      <c r="P12" s="602"/>
      <c r="Q12" s="601" t="s">
        <v>884</v>
      </c>
      <c r="R12" s="601" t="s">
        <v>885</v>
      </c>
      <c r="S12" s="733"/>
      <c r="T12" s="733"/>
      <c r="U12" s="733"/>
    </row>
    <row r="13" spans="1:21" ht="19.95" customHeight="1">
      <c r="A13" s="65"/>
      <c r="B13" s="65"/>
      <c r="C13" s="416"/>
      <c r="D13" s="41"/>
      <c r="E13" s="41"/>
      <c r="F13" s="41"/>
      <c r="G13" s="217">
        <f>D13-E13-F13</f>
        <v>0</v>
      </c>
      <c r="H13" s="41"/>
      <c r="I13" s="41"/>
      <c r="J13" s="41"/>
      <c r="K13" s="217">
        <f>H13-I13-J13</f>
        <v>0</v>
      </c>
      <c r="L13" s="217">
        <f>G13</f>
        <v>0</v>
      </c>
      <c r="M13" s="217">
        <f>N13*O13</f>
        <v>0</v>
      </c>
      <c r="N13" s="41"/>
      <c r="O13" s="41"/>
      <c r="P13" s="38"/>
      <c r="Q13" s="217">
        <f>IF(L13&gt;M13,L13-M13,0)</f>
        <v>0</v>
      </c>
      <c r="R13" s="217">
        <f>IF(M13&gt;L13,M13-L13,0)</f>
        <v>0</v>
      </c>
      <c r="S13" s="65"/>
      <c r="T13" s="65"/>
      <c r="U13" s="65"/>
    </row>
    <row r="14" spans="1:21" ht="19.95" customHeight="1">
      <c r="A14" s="65"/>
      <c r="B14" s="65"/>
      <c r="C14" s="416"/>
      <c r="D14" s="41"/>
      <c r="E14" s="41"/>
      <c r="F14" s="41"/>
      <c r="G14" s="217">
        <f t="shared" ref="G14:G16" si="0">D14-E14-F14</f>
        <v>0</v>
      </c>
      <c r="H14" s="41"/>
      <c r="I14" s="41"/>
      <c r="J14" s="41"/>
      <c r="K14" s="217">
        <f t="shared" ref="K14:K16" si="1">H14-I14-J14</f>
        <v>0</v>
      </c>
      <c r="L14" s="217">
        <f t="shared" ref="L14:L16" si="2">G14</f>
        <v>0</v>
      </c>
      <c r="M14" s="217">
        <f t="shared" ref="M14:M16" si="3">N14*O14</f>
        <v>0</v>
      </c>
      <c r="N14" s="41"/>
      <c r="O14" s="41"/>
      <c r="P14" s="38"/>
      <c r="Q14" s="217">
        <f>IF(L14&gt;M14,L14-M14,0)</f>
        <v>0</v>
      </c>
      <c r="R14" s="217">
        <f t="shared" ref="R14:R16" si="4">IF(M14&gt;L14,M14-L14,0)</f>
        <v>0</v>
      </c>
      <c r="S14" s="65"/>
      <c r="T14" s="65"/>
      <c r="U14" s="65"/>
    </row>
    <row r="15" spans="1:21" ht="19.95" customHeight="1">
      <c r="A15" s="65"/>
      <c r="B15" s="65"/>
      <c r="C15" s="416"/>
      <c r="D15" s="41"/>
      <c r="E15" s="41"/>
      <c r="F15" s="41"/>
      <c r="G15" s="217">
        <f t="shared" si="0"/>
        <v>0</v>
      </c>
      <c r="H15" s="41"/>
      <c r="I15" s="41"/>
      <c r="J15" s="41"/>
      <c r="K15" s="217">
        <f t="shared" si="1"/>
        <v>0</v>
      </c>
      <c r="L15" s="217">
        <f t="shared" si="2"/>
        <v>0</v>
      </c>
      <c r="M15" s="217">
        <f t="shared" si="3"/>
        <v>0</v>
      </c>
      <c r="N15" s="41"/>
      <c r="O15" s="41"/>
      <c r="P15" s="38"/>
      <c r="Q15" s="217">
        <f t="shared" ref="Q15:Q16" si="5">IF(L15&gt;M15,L15-M15,0)</f>
        <v>0</v>
      </c>
      <c r="R15" s="217">
        <f t="shared" si="4"/>
        <v>0</v>
      </c>
      <c r="S15" s="65"/>
      <c r="T15" s="65"/>
      <c r="U15" s="65"/>
    </row>
    <row r="16" spans="1:21" ht="19.95" customHeight="1">
      <c r="A16" s="65"/>
      <c r="B16" s="65"/>
      <c r="C16" s="416"/>
      <c r="D16" s="41"/>
      <c r="E16" s="41"/>
      <c r="F16" s="41"/>
      <c r="G16" s="217">
        <f t="shared" si="0"/>
        <v>0</v>
      </c>
      <c r="H16" s="41"/>
      <c r="I16" s="41"/>
      <c r="J16" s="41"/>
      <c r="K16" s="217">
        <f t="shared" si="1"/>
        <v>0</v>
      </c>
      <c r="L16" s="217">
        <f t="shared" si="2"/>
        <v>0</v>
      </c>
      <c r="M16" s="217">
        <f t="shared" si="3"/>
        <v>0</v>
      </c>
      <c r="N16" s="41"/>
      <c r="O16" s="41"/>
      <c r="P16" s="38"/>
      <c r="Q16" s="217">
        <f t="shared" si="5"/>
        <v>0</v>
      </c>
      <c r="R16" s="217">
        <f t="shared" si="4"/>
        <v>0</v>
      </c>
      <c r="S16" s="65"/>
      <c r="T16" s="65"/>
      <c r="U16" s="65"/>
    </row>
    <row r="17" spans="1:21" ht="19.95" customHeight="1">
      <c r="A17" s="65"/>
      <c r="B17" s="65"/>
      <c r="C17" s="416"/>
      <c r="D17" s="41"/>
      <c r="E17" s="41"/>
      <c r="F17" s="41"/>
      <c r="G17" s="217">
        <f>D17-E17-F17</f>
        <v>0</v>
      </c>
      <c r="H17" s="41"/>
      <c r="I17" s="41"/>
      <c r="J17" s="41"/>
      <c r="K17" s="217">
        <f>H17-I17-J17</f>
        <v>0</v>
      </c>
      <c r="L17" s="217">
        <f>G17</f>
        <v>0</v>
      </c>
      <c r="M17" s="217">
        <f>N17*O17</f>
        <v>0</v>
      </c>
      <c r="N17" s="41"/>
      <c r="O17" s="41"/>
      <c r="P17" s="38"/>
      <c r="Q17" s="217">
        <f>IF(L17&gt;M17,L17-M17,0)</f>
        <v>0</v>
      </c>
      <c r="R17" s="217">
        <f>IF(M17&gt;L17,M17-L17,0)</f>
        <v>0</v>
      </c>
      <c r="S17" s="65"/>
      <c r="T17" s="65"/>
      <c r="U17" s="65"/>
    </row>
    <row r="18" spans="1:21" ht="19.95" customHeight="1">
      <c r="A18" s="65"/>
      <c r="B18" s="65"/>
      <c r="C18" s="416"/>
      <c r="D18" s="41"/>
      <c r="E18" s="41"/>
      <c r="F18" s="41"/>
      <c r="G18" s="217">
        <f t="shared" ref="G18:G28" si="6">D18-E18-F18</f>
        <v>0</v>
      </c>
      <c r="H18" s="41"/>
      <c r="I18" s="41"/>
      <c r="J18" s="41"/>
      <c r="K18" s="217">
        <f t="shared" ref="K18:K20" si="7">H18-I18-J18</f>
        <v>0</v>
      </c>
      <c r="L18" s="217">
        <f t="shared" ref="L18:L20" si="8">G18</f>
        <v>0</v>
      </c>
      <c r="M18" s="217">
        <f t="shared" ref="M18:M20" si="9">N18*O18</f>
        <v>0</v>
      </c>
      <c r="N18" s="41"/>
      <c r="O18" s="41"/>
      <c r="P18" s="38"/>
      <c r="Q18" s="217">
        <f t="shared" ref="Q18:Q20" si="10">IF(L18&gt;M18,L18-M18,0)</f>
        <v>0</v>
      </c>
      <c r="R18" s="217">
        <f t="shared" ref="R18:R20" si="11">IF(M18&gt;L18,M18-L18,0)</f>
        <v>0</v>
      </c>
      <c r="S18" s="65"/>
      <c r="T18" s="65"/>
      <c r="U18" s="65"/>
    </row>
    <row r="19" spans="1:21" ht="19.95" customHeight="1">
      <c r="A19" s="65"/>
      <c r="B19" s="65"/>
      <c r="C19" s="416"/>
      <c r="D19" s="41"/>
      <c r="E19" s="41"/>
      <c r="F19" s="41"/>
      <c r="G19" s="217">
        <f t="shared" si="6"/>
        <v>0</v>
      </c>
      <c r="H19" s="41"/>
      <c r="I19" s="41"/>
      <c r="J19" s="41"/>
      <c r="K19" s="217">
        <f t="shared" si="7"/>
        <v>0</v>
      </c>
      <c r="L19" s="217">
        <f t="shared" si="8"/>
        <v>0</v>
      </c>
      <c r="M19" s="217">
        <f t="shared" si="9"/>
        <v>0</v>
      </c>
      <c r="N19" s="41"/>
      <c r="O19" s="41"/>
      <c r="P19" s="38"/>
      <c r="Q19" s="217">
        <f t="shared" si="10"/>
        <v>0</v>
      </c>
      <c r="R19" s="217">
        <f t="shared" si="11"/>
        <v>0</v>
      </c>
      <c r="S19" s="65"/>
      <c r="T19" s="65"/>
      <c r="U19" s="65"/>
    </row>
    <row r="20" spans="1:21" ht="19.95" customHeight="1">
      <c r="A20" s="65"/>
      <c r="B20" s="65"/>
      <c r="C20" s="416"/>
      <c r="D20" s="41"/>
      <c r="E20" s="41"/>
      <c r="F20" s="41"/>
      <c r="G20" s="217">
        <f t="shared" si="6"/>
        <v>0</v>
      </c>
      <c r="H20" s="41"/>
      <c r="I20" s="41"/>
      <c r="J20" s="41"/>
      <c r="K20" s="217">
        <f t="shared" si="7"/>
        <v>0</v>
      </c>
      <c r="L20" s="217">
        <f t="shared" si="8"/>
        <v>0</v>
      </c>
      <c r="M20" s="217">
        <f t="shared" si="9"/>
        <v>0</v>
      </c>
      <c r="N20" s="41"/>
      <c r="O20" s="41"/>
      <c r="P20" s="38"/>
      <c r="Q20" s="217">
        <f t="shared" si="10"/>
        <v>0</v>
      </c>
      <c r="R20" s="217">
        <f t="shared" si="11"/>
        <v>0</v>
      </c>
      <c r="S20" s="65"/>
      <c r="T20" s="65"/>
      <c r="U20" s="65"/>
    </row>
    <row r="21" spans="1:21" ht="19.95" customHeight="1">
      <c r="A21" s="65"/>
      <c r="B21" s="65"/>
      <c r="C21" s="416"/>
      <c r="D21" s="41"/>
      <c r="E21" s="41"/>
      <c r="F21" s="41"/>
      <c r="G21" s="217">
        <f t="shared" si="6"/>
        <v>0</v>
      </c>
      <c r="H21" s="41"/>
      <c r="I21" s="41"/>
      <c r="J21" s="41"/>
      <c r="K21" s="217">
        <f>H21-I21-J21</f>
        <v>0</v>
      </c>
      <c r="L21" s="217">
        <f>G21</f>
        <v>0</v>
      </c>
      <c r="M21" s="217">
        <f>N21*O21</f>
        <v>0</v>
      </c>
      <c r="N21" s="41"/>
      <c r="O21" s="41"/>
      <c r="P21" s="38"/>
      <c r="Q21" s="217">
        <f>IF(L21&gt;M21,L21-M21,0)</f>
        <v>0</v>
      </c>
      <c r="R21" s="217">
        <f>IF(M21&gt;L21,M21-L21,0)</f>
        <v>0</v>
      </c>
      <c r="S21" s="65"/>
      <c r="T21" s="65"/>
      <c r="U21" s="65"/>
    </row>
    <row r="22" spans="1:21" ht="19.95" customHeight="1">
      <c r="A22" s="65"/>
      <c r="B22" s="65"/>
      <c r="C22" s="416"/>
      <c r="D22" s="41"/>
      <c r="E22" s="41"/>
      <c r="F22" s="41"/>
      <c r="G22" s="217">
        <f t="shared" si="6"/>
        <v>0</v>
      </c>
      <c r="H22" s="41"/>
      <c r="I22" s="41"/>
      <c r="J22" s="41"/>
      <c r="K22" s="217">
        <f t="shared" ref="K22:K23" si="12">H22-I22-J22</f>
        <v>0</v>
      </c>
      <c r="L22" s="217">
        <f t="shared" ref="L22:L23" si="13">G22</f>
        <v>0</v>
      </c>
      <c r="M22" s="217">
        <f t="shared" ref="M22:M23" si="14">N22*O22</f>
        <v>0</v>
      </c>
      <c r="N22" s="41"/>
      <c r="O22" s="41"/>
      <c r="P22" s="38"/>
      <c r="Q22" s="217">
        <f t="shared" ref="Q22:Q23" si="15">IF(L22&gt;M22,L22-M22,0)</f>
        <v>0</v>
      </c>
      <c r="R22" s="217">
        <f t="shared" ref="R22:R23" si="16">IF(M22&gt;L22,M22-L22,0)</f>
        <v>0</v>
      </c>
      <c r="S22" s="65"/>
      <c r="T22" s="65"/>
      <c r="U22" s="65"/>
    </row>
    <row r="23" spans="1:21" ht="19.95" customHeight="1">
      <c r="A23" s="65"/>
      <c r="B23" s="65"/>
      <c r="C23" s="416"/>
      <c r="D23" s="41"/>
      <c r="E23" s="41"/>
      <c r="F23" s="41"/>
      <c r="G23" s="217">
        <f t="shared" si="6"/>
        <v>0</v>
      </c>
      <c r="H23" s="41"/>
      <c r="I23" s="41"/>
      <c r="J23" s="41"/>
      <c r="K23" s="217">
        <f t="shared" si="12"/>
        <v>0</v>
      </c>
      <c r="L23" s="217">
        <f t="shared" si="13"/>
        <v>0</v>
      </c>
      <c r="M23" s="217">
        <f t="shared" si="14"/>
        <v>0</v>
      </c>
      <c r="N23" s="41"/>
      <c r="O23" s="41"/>
      <c r="P23" s="38"/>
      <c r="Q23" s="217">
        <f t="shared" si="15"/>
        <v>0</v>
      </c>
      <c r="R23" s="217">
        <f t="shared" si="16"/>
        <v>0</v>
      </c>
      <c r="S23" s="65"/>
      <c r="T23" s="65"/>
      <c r="U23" s="65"/>
    </row>
    <row r="24" spans="1:21" ht="19.95" customHeight="1">
      <c r="A24" s="65"/>
      <c r="B24" s="65"/>
      <c r="C24" s="416"/>
      <c r="D24" s="41"/>
      <c r="E24" s="41"/>
      <c r="F24" s="41"/>
      <c r="G24" s="217">
        <f t="shared" si="6"/>
        <v>0</v>
      </c>
      <c r="H24" s="41"/>
      <c r="I24" s="41"/>
      <c r="J24" s="41"/>
      <c r="K24" s="217">
        <f t="shared" ref="K24:K25" si="17">H24-I24-J24</f>
        <v>0</v>
      </c>
      <c r="L24" s="217">
        <f t="shared" ref="L24:L25" si="18">G24</f>
        <v>0</v>
      </c>
      <c r="M24" s="217">
        <f t="shared" ref="M24:M25" si="19">N24*O24</f>
        <v>0</v>
      </c>
      <c r="N24" s="41"/>
      <c r="O24" s="41"/>
      <c r="P24" s="38"/>
      <c r="Q24" s="217">
        <f t="shared" ref="Q24:Q28" si="20">IF(L24&gt;M24,L24-M24,0)</f>
        <v>0</v>
      </c>
      <c r="R24" s="217">
        <f t="shared" ref="R24:R28" si="21">IF(M24&gt;L24,M24-L24,0)</f>
        <v>0</v>
      </c>
      <c r="S24" s="65"/>
      <c r="T24" s="65"/>
      <c r="U24" s="65"/>
    </row>
    <row r="25" spans="1:21" ht="19.95" customHeight="1">
      <c r="A25" s="65"/>
      <c r="B25" s="65"/>
      <c r="C25" s="416"/>
      <c r="D25" s="41"/>
      <c r="E25" s="41"/>
      <c r="F25" s="41"/>
      <c r="G25" s="217">
        <f t="shared" si="6"/>
        <v>0</v>
      </c>
      <c r="H25" s="41"/>
      <c r="I25" s="41"/>
      <c r="J25" s="41"/>
      <c r="K25" s="217">
        <f t="shared" si="17"/>
        <v>0</v>
      </c>
      <c r="L25" s="217">
        <f t="shared" si="18"/>
        <v>0</v>
      </c>
      <c r="M25" s="217">
        <f t="shared" si="19"/>
        <v>0</v>
      </c>
      <c r="N25" s="41"/>
      <c r="O25" s="41"/>
      <c r="P25" s="38"/>
      <c r="Q25" s="217">
        <f t="shared" si="20"/>
        <v>0</v>
      </c>
      <c r="R25" s="217">
        <f t="shared" si="21"/>
        <v>0</v>
      </c>
      <c r="S25" s="65"/>
      <c r="T25" s="65"/>
      <c r="U25" s="65"/>
    </row>
    <row r="26" spans="1:21" ht="19.95" customHeight="1">
      <c r="A26" s="65"/>
      <c r="B26" s="65"/>
      <c r="C26" s="416"/>
      <c r="D26" s="41"/>
      <c r="E26" s="41"/>
      <c r="F26" s="41"/>
      <c r="G26" s="217">
        <f t="shared" si="6"/>
        <v>0</v>
      </c>
      <c r="H26" s="41"/>
      <c r="I26" s="41"/>
      <c r="J26" s="41"/>
      <c r="K26" s="217">
        <f>H26-I26-J26</f>
        <v>0</v>
      </c>
      <c r="L26" s="217">
        <f t="shared" ref="L26:L28" si="22">G26</f>
        <v>0</v>
      </c>
      <c r="M26" s="217">
        <f t="shared" ref="M26:M28" si="23">N26*O26</f>
        <v>0</v>
      </c>
      <c r="N26" s="41"/>
      <c r="O26" s="41"/>
      <c r="P26" s="38"/>
      <c r="Q26" s="217">
        <f t="shared" si="20"/>
        <v>0</v>
      </c>
      <c r="R26" s="217">
        <f t="shared" si="21"/>
        <v>0</v>
      </c>
      <c r="S26" s="65"/>
      <c r="T26" s="65"/>
      <c r="U26" s="65"/>
    </row>
    <row r="27" spans="1:21" ht="19.95" customHeight="1">
      <c r="A27" s="65"/>
      <c r="B27" s="65"/>
      <c r="C27" s="416"/>
      <c r="D27" s="41"/>
      <c r="E27" s="41"/>
      <c r="F27" s="41"/>
      <c r="G27" s="217">
        <f t="shared" si="6"/>
        <v>0</v>
      </c>
      <c r="H27" s="41"/>
      <c r="I27" s="41"/>
      <c r="J27" s="41"/>
      <c r="K27" s="217">
        <f t="shared" ref="K27:K28" si="24">H27-I27-J27</f>
        <v>0</v>
      </c>
      <c r="L27" s="217">
        <f t="shared" si="22"/>
        <v>0</v>
      </c>
      <c r="M27" s="217">
        <f t="shared" si="23"/>
        <v>0</v>
      </c>
      <c r="N27" s="41"/>
      <c r="O27" s="41"/>
      <c r="P27" s="38"/>
      <c r="Q27" s="217">
        <f t="shared" si="20"/>
        <v>0</v>
      </c>
      <c r="R27" s="217">
        <f t="shared" si="21"/>
        <v>0</v>
      </c>
      <c r="S27" s="65"/>
      <c r="T27" s="65"/>
      <c r="U27" s="65"/>
    </row>
    <row r="28" spans="1:21" ht="19.95" customHeight="1">
      <c r="A28" s="65"/>
      <c r="B28" s="65"/>
      <c r="C28" s="416"/>
      <c r="D28" s="41"/>
      <c r="E28" s="41"/>
      <c r="F28" s="41"/>
      <c r="G28" s="217">
        <f t="shared" si="6"/>
        <v>0</v>
      </c>
      <c r="H28" s="41"/>
      <c r="I28" s="41"/>
      <c r="J28" s="41"/>
      <c r="K28" s="217">
        <f t="shared" si="24"/>
        <v>0</v>
      </c>
      <c r="L28" s="217">
        <f t="shared" si="22"/>
        <v>0</v>
      </c>
      <c r="M28" s="217">
        <f t="shared" si="23"/>
        <v>0</v>
      </c>
      <c r="N28" s="41"/>
      <c r="O28" s="41"/>
      <c r="P28" s="38"/>
      <c r="Q28" s="217">
        <f t="shared" si="20"/>
        <v>0</v>
      </c>
      <c r="R28" s="217">
        <f t="shared" si="21"/>
        <v>0</v>
      </c>
      <c r="S28" s="65"/>
      <c r="T28" s="65"/>
      <c r="U28" s="65"/>
    </row>
    <row r="29" spans="1:21" s="604" customFormat="1" ht="19.95" customHeight="1">
      <c r="A29" s="733" t="s">
        <v>567</v>
      </c>
      <c r="B29" s="733"/>
      <c r="C29" s="733"/>
      <c r="D29" s="603">
        <f t="shared" ref="D29:M29" si="25">SUM(D13:D28)</f>
        <v>0</v>
      </c>
      <c r="E29" s="603">
        <f t="shared" si="25"/>
        <v>0</v>
      </c>
      <c r="F29" s="603">
        <f t="shared" si="25"/>
        <v>0</v>
      </c>
      <c r="G29" s="603">
        <f t="shared" si="25"/>
        <v>0</v>
      </c>
      <c r="H29" s="603">
        <f t="shared" si="25"/>
        <v>0</v>
      </c>
      <c r="I29" s="603">
        <f t="shared" si="25"/>
        <v>0</v>
      </c>
      <c r="J29" s="603">
        <f t="shared" si="25"/>
        <v>0</v>
      </c>
      <c r="K29" s="419">
        <f t="shared" si="25"/>
        <v>0</v>
      </c>
      <c r="L29" s="419">
        <f t="shared" si="25"/>
        <v>0</v>
      </c>
      <c r="M29" s="419">
        <f t="shared" si="25"/>
        <v>0</v>
      </c>
      <c r="N29" s="419"/>
      <c r="O29" s="419"/>
      <c r="P29" s="419"/>
      <c r="Q29" s="419">
        <f>SUM(Q13:Q28)</f>
        <v>0</v>
      </c>
      <c r="R29" s="419">
        <f>SUM(R13:R28)</f>
        <v>0</v>
      </c>
      <c r="S29" s="419"/>
      <c r="T29" s="419"/>
      <c r="U29" s="419"/>
    </row>
    <row r="30" spans="1:21" s="604" customFormat="1" ht="19.95" customHeight="1">
      <c r="A30" s="754" t="s">
        <v>1002</v>
      </c>
      <c r="B30" s="754"/>
      <c r="C30" s="754"/>
      <c r="D30" s="605"/>
      <c r="E30" s="605"/>
      <c r="F30" s="605"/>
      <c r="G30" s="605"/>
      <c r="H30" s="605"/>
      <c r="I30" s="605"/>
      <c r="J30" s="605"/>
      <c r="K30" s="605"/>
      <c r="L30" s="605"/>
      <c r="M30" s="605"/>
      <c r="N30" s="605"/>
      <c r="O30" s="605"/>
      <c r="P30" s="605"/>
      <c r="Q30" s="605"/>
      <c r="R30" s="605"/>
      <c r="S30" s="605"/>
      <c r="T30" s="605"/>
      <c r="U30" s="605"/>
    </row>
    <row r="31" spans="1:21" s="604" customFormat="1" ht="19.95" customHeight="1">
      <c r="A31" s="759" t="str">
        <f>底稿目录!A9</f>
        <v>种植业</v>
      </c>
      <c r="B31" s="759"/>
      <c r="C31" s="759"/>
      <c r="D31" s="419">
        <f t="shared" ref="D31:M35" si="26">SUMPRODUCT(($A$13:$A$28=$A31)*(D$13:D$28))</f>
        <v>0</v>
      </c>
      <c r="E31" s="419">
        <f t="shared" si="26"/>
        <v>0</v>
      </c>
      <c r="F31" s="419">
        <f t="shared" si="26"/>
        <v>0</v>
      </c>
      <c r="G31" s="419">
        <f t="shared" si="26"/>
        <v>0</v>
      </c>
      <c r="H31" s="419">
        <f t="shared" si="26"/>
        <v>0</v>
      </c>
      <c r="I31" s="419">
        <f t="shared" si="26"/>
        <v>0</v>
      </c>
      <c r="J31" s="419">
        <f t="shared" si="26"/>
        <v>0</v>
      </c>
      <c r="K31" s="419">
        <f t="shared" si="26"/>
        <v>0</v>
      </c>
      <c r="L31" s="419">
        <f t="shared" si="26"/>
        <v>0</v>
      </c>
      <c r="M31" s="419">
        <f t="shared" si="26"/>
        <v>0</v>
      </c>
      <c r="N31" s="419"/>
      <c r="O31" s="419"/>
      <c r="P31" s="419"/>
      <c r="Q31" s="419">
        <f t="shared" ref="Q31:R35" si="27">SUMPRODUCT(($A$13:$A$28=$A31)*(Q$13:Q$28))</f>
        <v>0</v>
      </c>
      <c r="R31" s="419">
        <f t="shared" si="27"/>
        <v>0</v>
      </c>
      <c r="S31" s="419"/>
      <c r="T31" s="419"/>
      <c r="U31" s="419"/>
    </row>
    <row r="32" spans="1:21" s="604" customFormat="1" ht="19.95" customHeight="1">
      <c r="A32" s="759" t="str">
        <f>底稿目录!A10</f>
        <v>畜牧养殖业</v>
      </c>
      <c r="B32" s="759"/>
      <c r="C32" s="759"/>
      <c r="D32" s="419">
        <f t="shared" si="26"/>
        <v>0</v>
      </c>
      <c r="E32" s="419">
        <f t="shared" si="26"/>
        <v>0</v>
      </c>
      <c r="F32" s="419">
        <f t="shared" si="26"/>
        <v>0</v>
      </c>
      <c r="G32" s="419">
        <f t="shared" si="26"/>
        <v>0</v>
      </c>
      <c r="H32" s="419">
        <f t="shared" si="26"/>
        <v>0</v>
      </c>
      <c r="I32" s="419">
        <f t="shared" si="26"/>
        <v>0</v>
      </c>
      <c r="J32" s="419">
        <f t="shared" si="26"/>
        <v>0</v>
      </c>
      <c r="K32" s="419">
        <f t="shared" si="26"/>
        <v>0</v>
      </c>
      <c r="L32" s="419">
        <f t="shared" si="26"/>
        <v>0</v>
      </c>
      <c r="M32" s="419">
        <f t="shared" si="26"/>
        <v>0</v>
      </c>
      <c r="N32" s="419"/>
      <c r="O32" s="419"/>
      <c r="P32" s="419"/>
      <c r="Q32" s="419">
        <f t="shared" si="27"/>
        <v>0</v>
      </c>
      <c r="R32" s="419">
        <f t="shared" si="27"/>
        <v>0</v>
      </c>
      <c r="S32" s="419"/>
      <c r="T32" s="419"/>
      <c r="U32" s="419"/>
    </row>
    <row r="33" spans="1:21" s="604" customFormat="1" ht="19.95" customHeight="1">
      <c r="A33" s="759" t="str">
        <f>底稿目录!A11</f>
        <v>林业</v>
      </c>
      <c r="B33" s="759"/>
      <c r="C33" s="759"/>
      <c r="D33" s="419">
        <f t="shared" si="26"/>
        <v>0</v>
      </c>
      <c r="E33" s="419">
        <f t="shared" si="26"/>
        <v>0</v>
      </c>
      <c r="F33" s="419">
        <f t="shared" si="26"/>
        <v>0</v>
      </c>
      <c r="G33" s="419">
        <f t="shared" si="26"/>
        <v>0</v>
      </c>
      <c r="H33" s="419">
        <f t="shared" si="26"/>
        <v>0</v>
      </c>
      <c r="I33" s="419">
        <f t="shared" si="26"/>
        <v>0</v>
      </c>
      <c r="J33" s="419">
        <f t="shared" si="26"/>
        <v>0</v>
      </c>
      <c r="K33" s="419">
        <f t="shared" si="26"/>
        <v>0</v>
      </c>
      <c r="L33" s="419">
        <f t="shared" si="26"/>
        <v>0</v>
      </c>
      <c r="M33" s="419">
        <f t="shared" si="26"/>
        <v>0</v>
      </c>
      <c r="N33" s="419"/>
      <c r="O33" s="419"/>
      <c r="P33" s="419"/>
      <c r="Q33" s="419">
        <f t="shared" si="27"/>
        <v>0</v>
      </c>
      <c r="R33" s="419">
        <f t="shared" si="27"/>
        <v>0</v>
      </c>
      <c r="S33" s="419"/>
      <c r="T33" s="419"/>
      <c r="U33" s="419"/>
    </row>
    <row r="34" spans="1:21" s="604" customFormat="1" ht="19.95" customHeight="1">
      <c r="A34" s="510" t="str">
        <f>底稿目录!A12</f>
        <v>水产业</v>
      </c>
      <c r="B34" s="510"/>
      <c r="C34" s="510"/>
      <c r="D34" s="419">
        <f t="shared" si="26"/>
        <v>0</v>
      </c>
      <c r="E34" s="419">
        <f t="shared" si="26"/>
        <v>0</v>
      </c>
      <c r="F34" s="419">
        <f t="shared" si="26"/>
        <v>0</v>
      </c>
      <c r="G34" s="419">
        <f t="shared" si="26"/>
        <v>0</v>
      </c>
      <c r="H34" s="419">
        <f t="shared" si="26"/>
        <v>0</v>
      </c>
      <c r="I34" s="419">
        <f t="shared" si="26"/>
        <v>0</v>
      </c>
      <c r="J34" s="419">
        <f t="shared" si="26"/>
        <v>0</v>
      </c>
      <c r="K34" s="419">
        <f t="shared" si="26"/>
        <v>0</v>
      </c>
      <c r="L34" s="419">
        <f t="shared" si="26"/>
        <v>0</v>
      </c>
      <c r="M34" s="419">
        <f t="shared" si="26"/>
        <v>0</v>
      </c>
      <c r="N34" s="419"/>
      <c r="O34" s="419"/>
      <c r="P34" s="419"/>
      <c r="Q34" s="419">
        <f t="shared" si="27"/>
        <v>0</v>
      </c>
      <c r="R34" s="419">
        <f t="shared" si="27"/>
        <v>0</v>
      </c>
      <c r="S34" s="419"/>
      <c r="T34" s="419"/>
      <c r="U34" s="419"/>
    </row>
    <row r="35" spans="1:21" s="604" customFormat="1" ht="19.95" customHeight="1">
      <c r="A35" s="510" t="str">
        <f>底稿目录!A13</f>
        <v>……</v>
      </c>
      <c r="B35" s="510"/>
      <c r="C35" s="510"/>
      <c r="D35" s="419">
        <f t="shared" si="26"/>
        <v>0</v>
      </c>
      <c r="E35" s="419">
        <f t="shared" si="26"/>
        <v>0</v>
      </c>
      <c r="F35" s="419">
        <f t="shared" si="26"/>
        <v>0</v>
      </c>
      <c r="G35" s="419">
        <f t="shared" si="26"/>
        <v>0</v>
      </c>
      <c r="H35" s="419">
        <f t="shared" si="26"/>
        <v>0</v>
      </c>
      <c r="I35" s="419">
        <f t="shared" si="26"/>
        <v>0</v>
      </c>
      <c r="J35" s="419">
        <f t="shared" si="26"/>
        <v>0</v>
      </c>
      <c r="K35" s="419">
        <f t="shared" si="26"/>
        <v>0</v>
      </c>
      <c r="L35" s="419">
        <f t="shared" si="26"/>
        <v>0</v>
      </c>
      <c r="M35" s="419">
        <f t="shared" si="26"/>
        <v>0</v>
      </c>
      <c r="N35" s="419"/>
      <c r="O35" s="419"/>
      <c r="P35" s="419"/>
      <c r="Q35" s="419">
        <f t="shared" si="27"/>
        <v>0</v>
      </c>
      <c r="R35" s="419">
        <f t="shared" si="27"/>
        <v>0</v>
      </c>
      <c r="S35" s="419"/>
      <c r="T35" s="419"/>
      <c r="U35" s="419"/>
    </row>
    <row r="36" spans="1:21" ht="19.95" customHeight="1">
      <c r="A36" s="24" t="s">
        <v>465</v>
      </c>
      <c r="B36" s="24"/>
      <c r="C36" s="24"/>
      <c r="D36" s="3"/>
      <c r="E36" s="3"/>
      <c r="F36" s="3"/>
      <c r="G36" s="3"/>
      <c r="H36" s="3"/>
      <c r="I36" s="3"/>
      <c r="J36" s="3"/>
      <c r="K36" s="3"/>
      <c r="L36" s="3"/>
      <c r="M36" s="3"/>
      <c r="N36" s="3"/>
      <c r="O36" s="3"/>
      <c r="P36" s="3"/>
      <c r="Q36" s="3"/>
      <c r="R36" s="3"/>
      <c r="S36" s="3"/>
      <c r="T36" s="3"/>
      <c r="U36" s="3"/>
    </row>
    <row r="37" spans="1:21" ht="19.95" customHeight="1">
      <c r="A37" s="3"/>
      <c r="B37" s="3"/>
      <c r="C37" s="3"/>
      <c r="D37" s="3"/>
      <c r="E37" s="3"/>
      <c r="F37" s="3"/>
      <c r="G37" s="3"/>
      <c r="H37" s="3"/>
      <c r="I37" s="3"/>
      <c r="J37" s="3"/>
      <c r="K37" s="3"/>
      <c r="L37" s="3"/>
      <c r="M37" s="3"/>
      <c r="N37" s="3"/>
      <c r="O37" s="3"/>
      <c r="P37" s="3"/>
      <c r="Q37" s="3"/>
      <c r="R37" s="3"/>
      <c r="S37" s="3"/>
      <c r="T37" s="3"/>
      <c r="U37" s="3"/>
    </row>
    <row r="38" spans="1:21" ht="19.95" customHeight="1">
      <c r="A38" s="3"/>
      <c r="B38" s="3"/>
      <c r="C38" s="3"/>
      <c r="D38" s="3"/>
      <c r="E38" s="3"/>
      <c r="F38" s="3"/>
      <c r="G38" s="3"/>
      <c r="H38" s="3"/>
      <c r="I38" s="3"/>
      <c r="J38" s="3"/>
      <c r="K38" s="3"/>
      <c r="L38" s="3"/>
      <c r="M38" s="3"/>
      <c r="N38" s="3"/>
      <c r="O38" s="3"/>
      <c r="P38" s="3"/>
      <c r="Q38" s="3"/>
      <c r="R38" s="3"/>
      <c r="S38" s="3"/>
      <c r="T38" s="3"/>
      <c r="U38" s="3"/>
    </row>
    <row r="39" spans="1:21" ht="19.95" customHeight="1">
      <c r="A39" s="24" t="s">
        <v>503</v>
      </c>
      <c r="B39" s="24"/>
      <c r="C39" s="3"/>
      <c r="D39" s="3"/>
      <c r="E39" s="3"/>
      <c r="F39" s="3"/>
      <c r="G39" s="3"/>
      <c r="H39" s="3"/>
      <c r="I39" s="3"/>
      <c r="J39" s="3"/>
      <c r="K39" s="3"/>
      <c r="L39" s="3"/>
      <c r="M39" s="3"/>
      <c r="N39" s="3"/>
      <c r="O39" s="3"/>
      <c r="P39" s="3"/>
      <c r="Q39" s="3"/>
      <c r="R39" s="3"/>
      <c r="S39" s="3"/>
      <c r="T39" s="3"/>
      <c r="U39" s="3"/>
    </row>
    <row r="40" spans="1:21" ht="19.95" customHeight="1">
      <c r="A40" s="3"/>
      <c r="B40" s="3"/>
      <c r="C40" s="3"/>
      <c r="D40" s="3"/>
      <c r="E40" s="3"/>
      <c r="F40" s="3"/>
      <c r="G40" s="3"/>
      <c r="H40" s="3"/>
      <c r="I40" s="3"/>
      <c r="J40" s="3"/>
      <c r="K40" s="3"/>
      <c r="L40" s="3"/>
      <c r="M40" s="3"/>
      <c r="N40" s="3"/>
      <c r="O40" s="3"/>
      <c r="P40" s="3"/>
      <c r="Q40" s="3"/>
      <c r="R40" s="3"/>
      <c r="S40" s="3"/>
      <c r="T40" s="3"/>
      <c r="U40" s="3"/>
    </row>
    <row r="41" spans="1:21" ht="19.95" customHeight="1">
      <c r="A41" s="3"/>
      <c r="B41" s="3"/>
      <c r="C41" s="3"/>
      <c r="D41" s="3"/>
      <c r="E41" s="3"/>
      <c r="F41" s="3"/>
      <c r="G41" s="3"/>
      <c r="H41" s="3"/>
      <c r="I41" s="3"/>
      <c r="J41" s="3"/>
      <c r="K41" s="3"/>
      <c r="L41" s="3"/>
      <c r="M41" s="3"/>
      <c r="N41" s="3"/>
      <c r="O41" s="3"/>
      <c r="P41" s="3"/>
      <c r="Q41" s="3"/>
      <c r="R41" s="3"/>
      <c r="S41" s="3"/>
      <c r="T41" s="3"/>
      <c r="U41" s="3"/>
    </row>
    <row r="42" spans="1:21" ht="19.95" customHeight="1">
      <c r="A42" s="312" t="s">
        <v>50</v>
      </c>
    </row>
    <row r="43" spans="1:21" ht="19.95" customHeight="1">
      <c r="A43" s="17" t="s">
        <v>852</v>
      </c>
    </row>
    <row r="44" spans="1:21" ht="19.95" customHeight="1">
      <c r="A44" s="17" t="s">
        <v>390</v>
      </c>
    </row>
    <row r="45" spans="1:21" ht="19.95" customHeight="1">
      <c r="A45" s="17" t="s">
        <v>391</v>
      </c>
    </row>
    <row r="46" spans="1:21" ht="19.95" customHeight="1">
      <c r="A46" s="17" t="s">
        <v>392</v>
      </c>
    </row>
    <row r="47" spans="1:21" ht="19.95" customHeight="1">
      <c r="A47" s="17" t="s">
        <v>393</v>
      </c>
    </row>
    <row r="48" spans="1:21" ht="19.95" customHeight="1">
      <c r="A48" s="17" t="s">
        <v>394</v>
      </c>
    </row>
    <row r="52" spans="1:1" ht="19.95" customHeight="1">
      <c r="A52" s="282" t="s">
        <v>478</v>
      </c>
    </row>
    <row r="53" spans="1:1" ht="19.95" customHeight="1">
      <c r="A53" s="282" t="s">
        <v>886</v>
      </c>
    </row>
    <row r="54" spans="1:1" ht="19.95" customHeight="1">
      <c r="A54" s="282" t="s">
        <v>887</v>
      </c>
    </row>
  </sheetData>
  <mergeCells count="18">
    <mergeCell ref="A29:C29"/>
    <mergeCell ref="A30:C30"/>
    <mergeCell ref="A31:C31"/>
    <mergeCell ref="A32:C32"/>
    <mergeCell ref="A33:C33"/>
    <mergeCell ref="A1:U1"/>
    <mergeCell ref="A2:U2"/>
    <mergeCell ref="A9:A12"/>
    <mergeCell ref="B9:B12"/>
    <mergeCell ref="C9:C12"/>
    <mergeCell ref="D9:G10"/>
    <mergeCell ref="H9:P9"/>
    <mergeCell ref="Q9:R10"/>
    <mergeCell ref="S9:S12"/>
    <mergeCell ref="T9:T12"/>
    <mergeCell ref="U9:U12"/>
    <mergeCell ref="H10:K10"/>
    <mergeCell ref="L10:P10"/>
  </mergeCells>
  <phoneticPr fontId="10" type="noConversion"/>
  <hyperlinks>
    <hyperlink ref="U3" location="底稿目录!A1" display="H7A"/>
  </hyperlinks>
  <printOptions horizontalCentered="1"/>
  <pageMargins left="0.70866141732283472" right="0.70866141732283472" top="0.74803149606299213" bottom="0.74803149606299213" header="0.31496062992125984" footer="0.31496062992125984"/>
  <pageSetup paperSize="9" scale="62"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A13:A28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H54"/>
  <sheetViews>
    <sheetView view="pageBreakPreview" zoomScaleSheetLayoutView="100" workbookViewId="0">
      <selection sqref="A1:N1"/>
    </sheetView>
  </sheetViews>
  <sheetFormatPr defaultColWidth="9" defaultRowHeight="19.95" customHeight="1"/>
  <cols>
    <col min="1" max="1" width="10.59765625" style="3" customWidth="1"/>
    <col min="2" max="3" width="10.19921875" style="3" customWidth="1"/>
    <col min="4" max="4" width="7.69921875" style="3" customWidth="1"/>
    <col min="5" max="5" width="13.19921875" style="3" customWidth="1"/>
    <col min="6" max="6" width="12.19921875" style="3" customWidth="1"/>
    <col min="7" max="7" width="13.69921875" style="3" customWidth="1"/>
    <col min="8" max="8" width="13.09765625" style="3" customWidth="1"/>
    <col min="9" max="9" width="14" style="3" customWidth="1"/>
    <col min="10" max="13" width="12.5" style="3" customWidth="1"/>
    <col min="14" max="14" width="12.69921875" style="3" customWidth="1"/>
    <col min="15" max="16384" width="9" style="3"/>
  </cols>
  <sheetData>
    <row r="1" spans="1:34" s="195" customFormat="1" ht="19.95" customHeight="1">
      <c r="A1" s="734" t="s">
        <v>982</v>
      </c>
      <c r="B1" s="734"/>
      <c r="C1" s="734"/>
      <c r="D1" s="734"/>
      <c r="E1" s="734"/>
      <c r="F1" s="734"/>
      <c r="G1" s="734"/>
      <c r="H1" s="734"/>
      <c r="I1" s="734"/>
      <c r="J1" s="734"/>
      <c r="K1" s="734"/>
      <c r="L1" s="734"/>
      <c r="M1" s="734"/>
      <c r="N1" s="734"/>
    </row>
    <row r="2" spans="1:34" s="359" customFormat="1" ht="19.95" customHeight="1">
      <c r="A2" s="735" t="s">
        <v>997</v>
      </c>
      <c r="B2" s="735"/>
      <c r="C2" s="735"/>
      <c r="D2" s="735"/>
      <c r="E2" s="735"/>
      <c r="F2" s="735"/>
      <c r="G2" s="735"/>
      <c r="H2" s="735"/>
      <c r="I2" s="735"/>
      <c r="J2" s="735"/>
      <c r="K2" s="735"/>
      <c r="L2" s="735"/>
      <c r="M2" s="735"/>
      <c r="N2" s="735"/>
    </row>
    <row r="3" spans="1:34" ht="19.95" customHeight="1">
      <c r="A3" s="3" t="str">
        <f>底稿目录!A2</f>
        <v>被审计单位：</v>
      </c>
      <c r="G3" s="3" t="str">
        <f>底稿目录!A4</f>
        <v>编制人：</v>
      </c>
      <c r="I3" s="53"/>
      <c r="J3" s="3" t="str">
        <f>底稿目录!A6</f>
        <v>编制日期：</v>
      </c>
      <c r="M3" s="432" t="s">
        <v>1011</v>
      </c>
      <c r="N3" s="313" t="s">
        <v>269</v>
      </c>
    </row>
    <row r="4" spans="1:34" ht="19.95" customHeight="1">
      <c r="A4" s="3" t="str">
        <f>底稿目录!A3</f>
        <v>截止日：</v>
      </c>
      <c r="G4" s="3" t="str">
        <f>底稿目录!A5</f>
        <v>复核人：</v>
      </c>
      <c r="I4" s="53"/>
      <c r="J4" s="3" t="str">
        <f>底稿目录!A7</f>
        <v>复核日期：</v>
      </c>
      <c r="M4" s="432" t="s">
        <v>1012</v>
      </c>
      <c r="N4" s="314"/>
    </row>
    <row r="5" spans="1:34" s="182" customFormat="1" ht="19.95" customHeight="1">
      <c r="A5" s="578" t="s">
        <v>814</v>
      </c>
      <c r="B5" s="517"/>
      <c r="G5" s="518"/>
      <c r="I5" s="518"/>
      <c r="J5" s="518"/>
      <c r="K5" s="518"/>
      <c r="L5" s="518"/>
      <c r="M5" s="518"/>
      <c r="Q5" s="538"/>
      <c r="R5" s="519"/>
      <c r="AB5" s="520"/>
      <c r="AC5" s="520"/>
      <c r="AD5" s="520"/>
      <c r="AE5" s="520"/>
      <c r="AF5" s="520"/>
      <c r="AG5" s="520"/>
      <c r="AH5" s="520"/>
    </row>
    <row r="6" spans="1:34" ht="19.95" customHeight="1">
      <c r="A6" s="52" t="s">
        <v>888</v>
      </c>
      <c r="B6" s="53"/>
      <c r="C6" s="52"/>
      <c r="E6" s="53"/>
      <c r="J6" s="11"/>
      <c r="K6" s="11"/>
      <c r="L6" s="11"/>
      <c r="M6" s="11"/>
      <c r="Q6" s="55"/>
      <c r="R6" s="8"/>
      <c r="AB6" s="159"/>
      <c r="AC6" s="159"/>
      <c r="AD6" s="159"/>
      <c r="AE6" s="159"/>
      <c r="AF6" s="159"/>
      <c r="AG6" s="159"/>
      <c r="AH6" s="159"/>
    </row>
    <row r="7" spans="1:34" s="606" customFormat="1" ht="19.95" customHeight="1">
      <c r="A7" s="696" t="s">
        <v>399</v>
      </c>
      <c r="B7" s="696" t="s">
        <v>798</v>
      </c>
      <c r="C7" s="696" t="s">
        <v>401</v>
      </c>
      <c r="D7" s="696" t="s">
        <v>889</v>
      </c>
      <c r="E7" s="696" t="s">
        <v>890</v>
      </c>
      <c r="F7" s="733" t="s">
        <v>891</v>
      </c>
      <c r="G7" s="756" t="s">
        <v>43</v>
      </c>
      <c r="H7" s="757"/>
      <c r="I7" s="758"/>
      <c r="J7" s="696" t="s">
        <v>892</v>
      </c>
      <c r="K7" s="696" t="s">
        <v>893</v>
      </c>
      <c r="L7" s="696" t="s">
        <v>894</v>
      </c>
      <c r="M7" s="733" t="s">
        <v>895</v>
      </c>
      <c r="N7" s="733" t="s">
        <v>830</v>
      </c>
    </row>
    <row r="8" spans="1:34" s="577" customFormat="1" ht="24">
      <c r="A8" s="755"/>
      <c r="B8" s="755"/>
      <c r="C8" s="755"/>
      <c r="D8" s="755"/>
      <c r="E8" s="697"/>
      <c r="F8" s="733"/>
      <c r="G8" s="509" t="s">
        <v>896</v>
      </c>
      <c r="H8" s="509" t="s">
        <v>897</v>
      </c>
      <c r="I8" s="509" t="s">
        <v>898</v>
      </c>
      <c r="J8" s="697"/>
      <c r="K8" s="697" t="s">
        <v>899</v>
      </c>
      <c r="L8" s="697"/>
      <c r="M8" s="733"/>
      <c r="N8" s="733"/>
    </row>
    <row r="9" spans="1:34" s="577" customFormat="1" ht="19.95" customHeight="1">
      <c r="A9" s="697"/>
      <c r="B9" s="697"/>
      <c r="C9" s="697"/>
      <c r="D9" s="697"/>
      <c r="E9" s="509" t="s">
        <v>167</v>
      </c>
      <c r="F9" s="509" t="s">
        <v>900</v>
      </c>
      <c r="G9" s="509" t="s">
        <v>901</v>
      </c>
      <c r="H9" s="509" t="s">
        <v>902</v>
      </c>
      <c r="I9" s="509" t="s">
        <v>903</v>
      </c>
      <c r="J9" s="509" t="s">
        <v>904</v>
      </c>
      <c r="K9" s="509" t="s">
        <v>905</v>
      </c>
      <c r="L9" s="509" t="s">
        <v>906</v>
      </c>
      <c r="M9" s="733"/>
      <c r="N9" s="733"/>
    </row>
    <row r="10" spans="1:34" ht="19.95" customHeight="1">
      <c r="A10" s="65"/>
      <c r="B10" s="417"/>
      <c r="C10" s="65"/>
      <c r="D10" s="364"/>
      <c r="E10" s="41"/>
      <c r="F10" s="41"/>
      <c r="G10" s="41"/>
      <c r="H10" s="41"/>
      <c r="I10" s="185">
        <f>MAX(G10,H10)</f>
        <v>0</v>
      </c>
      <c r="J10" s="185">
        <f>IF(F10&gt;I10,F10-I10,0)</f>
        <v>0</v>
      </c>
      <c r="K10" s="38"/>
      <c r="L10" s="185">
        <f>J10-K10</f>
        <v>0</v>
      </c>
      <c r="M10" s="376"/>
      <c r="N10" s="65"/>
    </row>
    <row r="11" spans="1:34" ht="19.95" customHeight="1">
      <c r="A11" s="65"/>
      <c r="B11" s="417"/>
      <c r="C11" s="65"/>
      <c r="D11" s="364"/>
      <c r="E11" s="41"/>
      <c r="F11" s="41"/>
      <c r="G11" s="41"/>
      <c r="H11" s="41"/>
      <c r="I11" s="185">
        <f t="shared" ref="I11:I21" si="0">MAX(G11,H11)</f>
        <v>0</v>
      </c>
      <c r="J11" s="185">
        <f t="shared" ref="J11:J21" si="1">IF(F11&gt;I11,F11-I11,0)</f>
        <v>0</v>
      </c>
      <c r="K11" s="38"/>
      <c r="L11" s="185">
        <f t="shared" ref="L11:L21" si="2">J11-K11</f>
        <v>0</v>
      </c>
      <c r="M11" s="376"/>
      <c r="N11" s="65"/>
    </row>
    <row r="12" spans="1:34" ht="19.95" customHeight="1">
      <c r="A12" s="65"/>
      <c r="B12" s="417"/>
      <c r="C12" s="65"/>
      <c r="D12" s="364"/>
      <c r="E12" s="41"/>
      <c r="F12" s="41"/>
      <c r="G12" s="41"/>
      <c r="H12" s="41"/>
      <c r="I12" s="185">
        <f t="shared" si="0"/>
        <v>0</v>
      </c>
      <c r="J12" s="185">
        <f t="shared" si="1"/>
        <v>0</v>
      </c>
      <c r="K12" s="38"/>
      <c r="L12" s="185">
        <f t="shared" si="2"/>
        <v>0</v>
      </c>
      <c r="M12" s="376"/>
      <c r="N12" s="65"/>
    </row>
    <row r="13" spans="1:34" ht="19.95" customHeight="1">
      <c r="A13" s="65"/>
      <c r="B13" s="417"/>
      <c r="C13" s="65"/>
      <c r="D13" s="364"/>
      <c r="E13" s="41"/>
      <c r="F13" s="41"/>
      <c r="G13" s="41"/>
      <c r="H13" s="41"/>
      <c r="I13" s="185">
        <f t="shared" si="0"/>
        <v>0</v>
      </c>
      <c r="J13" s="185">
        <f t="shared" si="1"/>
        <v>0</v>
      </c>
      <c r="K13" s="38"/>
      <c r="L13" s="185">
        <f t="shared" si="2"/>
        <v>0</v>
      </c>
      <c r="M13" s="376"/>
      <c r="N13" s="65"/>
    </row>
    <row r="14" spans="1:34" ht="19.95" customHeight="1">
      <c r="A14" s="65"/>
      <c r="B14" s="417"/>
      <c r="C14" s="65"/>
      <c r="D14" s="364"/>
      <c r="E14" s="41"/>
      <c r="F14" s="41"/>
      <c r="G14" s="41"/>
      <c r="H14" s="41"/>
      <c r="I14" s="185">
        <f t="shared" si="0"/>
        <v>0</v>
      </c>
      <c r="J14" s="185">
        <f t="shared" si="1"/>
        <v>0</v>
      </c>
      <c r="K14" s="38"/>
      <c r="L14" s="185">
        <f t="shared" si="2"/>
        <v>0</v>
      </c>
      <c r="M14" s="376"/>
      <c r="N14" s="65"/>
    </row>
    <row r="15" spans="1:34" ht="19.95" customHeight="1">
      <c r="A15" s="65"/>
      <c r="B15" s="417"/>
      <c r="C15" s="65"/>
      <c r="D15" s="364"/>
      <c r="E15" s="41"/>
      <c r="F15" s="41"/>
      <c r="G15" s="41"/>
      <c r="H15" s="41"/>
      <c r="I15" s="185">
        <f t="shared" si="0"/>
        <v>0</v>
      </c>
      <c r="J15" s="185">
        <f t="shared" si="1"/>
        <v>0</v>
      </c>
      <c r="K15" s="38"/>
      <c r="L15" s="185">
        <f t="shared" si="2"/>
        <v>0</v>
      </c>
      <c r="M15" s="376"/>
      <c r="N15" s="65"/>
    </row>
    <row r="16" spans="1:34" ht="19.95" customHeight="1">
      <c r="A16" s="65"/>
      <c r="B16" s="417"/>
      <c r="C16" s="65"/>
      <c r="D16" s="364"/>
      <c r="E16" s="41"/>
      <c r="F16" s="41"/>
      <c r="G16" s="41"/>
      <c r="H16" s="41"/>
      <c r="I16" s="185">
        <f t="shared" si="0"/>
        <v>0</v>
      </c>
      <c r="J16" s="185">
        <f t="shared" si="1"/>
        <v>0</v>
      </c>
      <c r="K16" s="38"/>
      <c r="L16" s="185">
        <f t="shared" si="2"/>
        <v>0</v>
      </c>
      <c r="M16" s="376"/>
      <c r="N16" s="65"/>
    </row>
    <row r="17" spans="1:14" ht="19.95" customHeight="1">
      <c r="A17" s="65"/>
      <c r="B17" s="417"/>
      <c r="C17" s="65"/>
      <c r="D17" s="364"/>
      <c r="E17" s="41"/>
      <c r="F17" s="41"/>
      <c r="G17" s="41"/>
      <c r="H17" s="41"/>
      <c r="I17" s="185">
        <f t="shared" si="0"/>
        <v>0</v>
      </c>
      <c r="J17" s="185">
        <f t="shared" si="1"/>
        <v>0</v>
      </c>
      <c r="K17" s="38"/>
      <c r="L17" s="185">
        <f t="shared" si="2"/>
        <v>0</v>
      </c>
      <c r="M17" s="376"/>
      <c r="N17" s="65"/>
    </row>
    <row r="18" spans="1:14" ht="19.95" customHeight="1">
      <c r="A18" s="65"/>
      <c r="B18" s="417"/>
      <c r="C18" s="65"/>
      <c r="D18" s="364"/>
      <c r="E18" s="41"/>
      <c r="F18" s="41"/>
      <c r="G18" s="41"/>
      <c r="H18" s="41"/>
      <c r="I18" s="185">
        <f t="shared" si="0"/>
        <v>0</v>
      </c>
      <c r="J18" s="185">
        <f t="shared" si="1"/>
        <v>0</v>
      </c>
      <c r="K18" s="38"/>
      <c r="L18" s="185">
        <f t="shared" si="2"/>
        <v>0</v>
      </c>
      <c r="M18" s="376"/>
      <c r="N18" s="65"/>
    </row>
    <row r="19" spans="1:14" ht="19.95" customHeight="1">
      <c r="A19" s="65"/>
      <c r="B19" s="417"/>
      <c r="C19" s="65"/>
      <c r="D19" s="364"/>
      <c r="E19" s="41"/>
      <c r="F19" s="41"/>
      <c r="G19" s="41"/>
      <c r="H19" s="41"/>
      <c r="I19" s="185">
        <f t="shared" si="0"/>
        <v>0</v>
      </c>
      <c r="J19" s="185">
        <f t="shared" si="1"/>
        <v>0</v>
      </c>
      <c r="K19" s="38"/>
      <c r="L19" s="185">
        <f t="shared" si="2"/>
        <v>0</v>
      </c>
      <c r="M19" s="376"/>
      <c r="N19" s="65"/>
    </row>
    <row r="20" spans="1:14" ht="19.95" customHeight="1">
      <c r="A20" s="65"/>
      <c r="B20" s="417"/>
      <c r="C20" s="65"/>
      <c r="D20" s="364"/>
      <c r="E20" s="41"/>
      <c r="F20" s="41"/>
      <c r="G20" s="41"/>
      <c r="H20" s="41"/>
      <c r="I20" s="185">
        <f t="shared" si="0"/>
        <v>0</v>
      </c>
      <c r="J20" s="185">
        <f t="shared" si="1"/>
        <v>0</v>
      </c>
      <c r="K20" s="38"/>
      <c r="L20" s="185">
        <f t="shared" si="2"/>
        <v>0</v>
      </c>
      <c r="M20" s="376"/>
      <c r="N20" s="65"/>
    </row>
    <row r="21" spans="1:14" ht="19.95" customHeight="1">
      <c r="A21" s="65"/>
      <c r="B21" s="417"/>
      <c r="C21" s="65"/>
      <c r="D21" s="364"/>
      <c r="E21" s="41"/>
      <c r="F21" s="41"/>
      <c r="G21" s="41"/>
      <c r="H21" s="41"/>
      <c r="I21" s="185">
        <f t="shared" si="0"/>
        <v>0</v>
      </c>
      <c r="J21" s="185">
        <f t="shared" si="1"/>
        <v>0</v>
      </c>
      <c r="K21" s="38"/>
      <c r="L21" s="185">
        <f t="shared" si="2"/>
        <v>0</v>
      </c>
      <c r="M21" s="376"/>
      <c r="N21" s="65"/>
    </row>
    <row r="22" spans="1:14" s="216" customFormat="1" ht="19.95" customHeight="1">
      <c r="A22" s="763" t="s">
        <v>447</v>
      </c>
      <c r="B22" s="764"/>
      <c r="C22" s="765"/>
      <c r="D22" s="418"/>
      <c r="E22" s="418"/>
      <c r="F22" s="419">
        <f t="shared" ref="F22:I22" si="3">SUM(F10:F21)</f>
        <v>0</v>
      </c>
      <c r="G22" s="419">
        <f t="shared" si="3"/>
        <v>0</v>
      </c>
      <c r="H22" s="419">
        <f t="shared" si="3"/>
        <v>0</v>
      </c>
      <c r="I22" s="419">
        <f t="shared" si="3"/>
        <v>0</v>
      </c>
      <c r="J22" s="419">
        <f>SUM(J10:J21)</f>
        <v>0</v>
      </c>
      <c r="K22" s="419">
        <f t="shared" ref="K22:L22" si="4">SUM(K10:K21)</f>
        <v>0</v>
      </c>
      <c r="L22" s="419">
        <f t="shared" si="4"/>
        <v>0</v>
      </c>
      <c r="M22" s="420"/>
      <c r="N22" s="420"/>
    </row>
    <row r="23" spans="1:14" s="216" customFormat="1" ht="19.95" customHeight="1">
      <c r="A23" s="760" t="s">
        <v>1172</v>
      </c>
      <c r="B23" s="761"/>
      <c r="C23" s="762"/>
      <c r="D23" s="418"/>
      <c r="E23" s="418"/>
      <c r="F23" s="418"/>
      <c r="G23" s="418"/>
      <c r="H23" s="418"/>
      <c r="I23" s="418"/>
      <c r="J23" s="418"/>
      <c r="K23" s="418"/>
      <c r="L23" s="418"/>
      <c r="M23" s="418"/>
      <c r="N23" s="505"/>
    </row>
    <row r="24" spans="1:14" s="216" customFormat="1" ht="19.95" customHeight="1">
      <c r="A24" s="760" t="str">
        <f>底稿目录!A9</f>
        <v>种植业</v>
      </c>
      <c r="B24" s="761"/>
      <c r="C24" s="762"/>
      <c r="D24" s="418"/>
      <c r="E24" s="418"/>
      <c r="F24" s="419">
        <f t="shared" ref="F24:L24" si="5">SUMPRODUCT(($A$10:$A$21=$A24)*(F$10:F$21))</f>
        <v>0</v>
      </c>
      <c r="G24" s="419">
        <f t="shared" si="5"/>
        <v>0</v>
      </c>
      <c r="H24" s="419">
        <f t="shared" si="5"/>
        <v>0</v>
      </c>
      <c r="I24" s="419">
        <f t="shared" si="5"/>
        <v>0</v>
      </c>
      <c r="J24" s="419">
        <f t="shared" si="5"/>
        <v>0</v>
      </c>
      <c r="K24" s="419">
        <f t="shared" si="5"/>
        <v>0</v>
      </c>
      <c r="L24" s="419">
        <f t="shared" si="5"/>
        <v>0</v>
      </c>
      <c r="M24" s="420"/>
      <c r="N24" s="420"/>
    </row>
    <row r="25" spans="1:14" s="216" customFormat="1" ht="19.95" customHeight="1">
      <c r="A25" s="760" t="str">
        <f>底稿目录!A10</f>
        <v>畜牧养殖业</v>
      </c>
      <c r="B25" s="761"/>
      <c r="C25" s="762"/>
      <c r="D25" s="418"/>
      <c r="E25" s="418"/>
      <c r="F25" s="419">
        <f t="shared" ref="F25:L28" si="6">SUMPRODUCT(($A$10:$A$21=$A25)*(F$10:F$21))</f>
        <v>0</v>
      </c>
      <c r="G25" s="419">
        <f t="shared" si="6"/>
        <v>0</v>
      </c>
      <c r="H25" s="419">
        <f t="shared" si="6"/>
        <v>0</v>
      </c>
      <c r="I25" s="419">
        <f t="shared" si="6"/>
        <v>0</v>
      </c>
      <c r="J25" s="419">
        <f t="shared" si="6"/>
        <v>0</v>
      </c>
      <c r="K25" s="419">
        <f t="shared" si="6"/>
        <v>0</v>
      </c>
      <c r="L25" s="419">
        <f t="shared" si="6"/>
        <v>0</v>
      </c>
      <c r="M25" s="420"/>
      <c r="N25" s="420"/>
    </row>
    <row r="26" spans="1:14" s="216" customFormat="1" ht="19.95" customHeight="1">
      <c r="A26" s="760" t="str">
        <f>底稿目录!A11</f>
        <v>林业</v>
      </c>
      <c r="B26" s="761"/>
      <c r="C26" s="762"/>
      <c r="D26" s="418"/>
      <c r="E26" s="418"/>
      <c r="F26" s="419">
        <f t="shared" si="6"/>
        <v>0</v>
      </c>
      <c r="G26" s="419">
        <f t="shared" si="6"/>
        <v>0</v>
      </c>
      <c r="H26" s="419">
        <f t="shared" si="6"/>
        <v>0</v>
      </c>
      <c r="I26" s="419">
        <f t="shared" si="6"/>
        <v>0</v>
      </c>
      <c r="J26" s="419">
        <f t="shared" si="6"/>
        <v>0</v>
      </c>
      <c r="K26" s="419">
        <f t="shared" si="6"/>
        <v>0</v>
      </c>
      <c r="L26" s="419">
        <f t="shared" si="6"/>
        <v>0</v>
      </c>
      <c r="M26" s="420"/>
      <c r="N26" s="420"/>
    </row>
    <row r="27" spans="1:14" s="216" customFormat="1" ht="19.95" customHeight="1">
      <c r="A27" s="760" t="str">
        <f>底稿目录!A12</f>
        <v>水产业</v>
      </c>
      <c r="B27" s="761"/>
      <c r="C27" s="762"/>
      <c r="D27" s="418"/>
      <c r="E27" s="418"/>
      <c r="F27" s="419">
        <f t="shared" si="6"/>
        <v>0</v>
      </c>
      <c r="G27" s="419">
        <f t="shared" si="6"/>
        <v>0</v>
      </c>
      <c r="H27" s="419">
        <f t="shared" si="6"/>
        <v>0</v>
      </c>
      <c r="I27" s="419">
        <f t="shared" si="6"/>
        <v>0</v>
      </c>
      <c r="J27" s="419">
        <f t="shared" si="6"/>
        <v>0</v>
      </c>
      <c r="K27" s="419">
        <f t="shared" si="6"/>
        <v>0</v>
      </c>
      <c r="L27" s="419">
        <f t="shared" si="6"/>
        <v>0</v>
      </c>
      <c r="M27" s="420"/>
      <c r="N27" s="420"/>
    </row>
    <row r="28" spans="1:14" s="216" customFormat="1" ht="19.95" customHeight="1">
      <c r="A28" s="760" t="str">
        <f>底稿目录!A13</f>
        <v>……</v>
      </c>
      <c r="B28" s="761"/>
      <c r="C28" s="762"/>
      <c r="D28" s="418"/>
      <c r="E28" s="418"/>
      <c r="F28" s="419">
        <f>SUMPRODUCT(($A$10:$A$21=$A28)*(F$10:F$21))</f>
        <v>0</v>
      </c>
      <c r="G28" s="419">
        <f t="shared" si="6"/>
        <v>0</v>
      </c>
      <c r="H28" s="419">
        <f t="shared" si="6"/>
        <v>0</v>
      </c>
      <c r="I28" s="419">
        <f t="shared" si="6"/>
        <v>0</v>
      </c>
      <c r="J28" s="419">
        <f t="shared" si="6"/>
        <v>0</v>
      </c>
      <c r="K28" s="419">
        <f t="shared" si="6"/>
        <v>0</v>
      </c>
      <c r="L28" s="419">
        <f t="shared" si="6"/>
        <v>0</v>
      </c>
      <c r="M28" s="420"/>
      <c r="N28" s="420"/>
    </row>
    <row r="29" spans="1:14" ht="19.95" customHeight="1">
      <c r="A29" s="279" t="s">
        <v>465</v>
      </c>
      <c r="B29" s="279"/>
      <c r="C29" s="279"/>
      <c r="D29" s="15"/>
      <c r="E29" s="15"/>
      <c r="F29" s="15"/>
      <c r="G29" s="15"/>
      <c r="H29" s="15"/>
      <c r="I29" s="15"/>
      <c r="J29" s="15"/>
      <c r="K29" s="15"/>
      <c r="L29" s="15"/>
      <c r="M29" s="15"/>
      <c r="N29" s="15"/>
    </row>
    <row r="32" spans="1:14" ht="19.95" customHeight="1">
      <c r="A32" s="24" t="s">
        <v>503</v>
      </c>
      <c r="B32" s="24"/>
      <c r="C32" s="24"/>
    </row>
    <row r="37" spans="1:3" ht="19.95" customHeight="1">
      <c r="A37" s="456" t="s">
        <v>1047</v>
      </c>
      <c r="B37" s="302"/>
      <c r="C37" s="302"/>
    </row>
    <row r="38" spans="1:3" ht="19.95" customHeight="1">
      <c r="A38" s="319" t="s">
        <v>907</v>
      </c>
      <c r="B38" s="319"/>
      <c r="C38" s="319"/>
    </row>
    <row r="39" spans="1:3" ht="19.95" customHeight="1">
      <c r="A39" s="17" t="s">
        <v>908</v>
      </c>
      <c r="B39" s="17"/>
      <c r="C39" s="17"/>
    </row>
    <row r="40" spans="1:3" ht="19.95" customHeight="1">
      <c r="A40" s="17" t="s">
        <v>909</v>
      </c>
      <c r="B40" s="17"/>
      <c r="C40" s="17"/>
    </row>
    <row r="41" spans="1:3" ht="19.95" customHeight="1">
      <c r="A41" s="17" t="s">
        <v>910</v>
      </c>
      <c r="B41" s="17"/>
      <c r="C41" s="17"/>
    </row>
    <row r="42" spans="1:3" ht="19.95" customHeight="1">
      <c r="A42" s="17" t="s">
        <v>911</v>
      </c>
      <c r="B42" s="17"/>
      <c r="C42" s="17"/>
    </row>
    <row r="43" spans="1:3" ht="19.95" customHeight="1">
      <c r="A43" s="17" t="s">
        <v>912</v>
      </c>
      <c r="B43" s="17"/>
      <c r="C43" s="17"/>
    </row>
    <row r="44" spans="1:3" ht="19.95" customHeight="1">
      <c r="A44" s="17" t="s">
        <v>913</v>
      </c>
      <c r="B44" s="17"/>
      <c r="C44" s="17"/>
    </row>
    <row r="45" spans="1:3" ht="19.95" customHeight="1">
      <c r="A45" s="17"/>
      <c r="B45" s="17"/>
      <c r="C45" s="17"/>
    </row>
    <row r="46" spans="1:3" ht="19.95" customHeight="1">
      <c r="A46" s="17"/>
      <c r="B46" s="17"/>
      <c r="C46" s="17"/>
    </row>
    <row r="47" spans="1:3" ht="19.95" customHeight="1">
      <c r="A47" s="17"/>
      <c r="B47" s="17"/>
      <c r="C47" s="17"/>
    </row>
    <row r="48" spans="1:3" ht="19.95" customHeight="1">
      <c r="A48" s="17"/>
      <c r="B48" s="17"/>
      <c r="C48" s="17"/>
    </row>
    <row r="49" spans="1:3" ht="19.95" customHeight="1">
      <c r="A49" s="262" t="s">
        <v>478</v>
      </c>
      <c r="B49" s="17"/>
      <c r="C49" s="17"/>
    </row>
    <row r="50" spans="1:3" ht="19.95" customHeight="1">
      <c r="A50" s="262" t="s">
        <v>914</v>
      </c>
      <c r="B50" s="17"/>
      <c r="C50" s="17"/>
    </row>
    <row r="51" spans="1:3" ht="19.95" customHeight="1">
      <c r="A51" s="262" t="s">
        <v>915</v>
      </c>
      <c r="B51" s="17"/>
      <c r="C51" s="17"/>
    </row>
    <row r="52" spans="1:3" ht="19.95" customHeight="1">
      <c r="A52" s="262" t="s">
        <v>916</v>
      </c>
      <c r="B52" s="17"/>
      <c r="C52" s="17"/>
    </row>
    <row r="53" spans="1:3" ht="19.95" customHeight="1">
      <c r="A53" s="262" t="s">
        <v>917</v>
      </c>
    </row>
    <row r="54" spans="1:3" ht="19.95" customHeight="1">
      <c r="A54" s="262" t="s">
        <v>918</v>
      </c>
    </row>
  </sheetData>
  <mergeCells count="21">
    <mergeCell ref="A23:C23"/>
    <mergeCell ref="A24:C24"/>
    <mergeCell ref="A25:C25"/>
    <mergeCell ref="A26:C26"/>
    <mergeCell ref="A27:C27"/>
    <mergeCell ref="A28:C28"/>
    <mergeCell ref="A22:C22"/>
    <mergeCell ref="A1:N1"/>
    <mergeCell ref="A2:N2"/>
    <mergeCell ref="A7:A9"/>
    <mergeCell ref="F7:F8"/>
    <mergeCell ref="N7:N9"/>
    <mergeCell ref="G7:I7"/>
    <mergeCell ref="J7:J8"/>
    <mergeCell ref="M7:M9"/>
    <mergeCell ref="E7:E8"/>
    <mergeCell ref="D7:D9"/>
    <mergeCell ref="K7:K8"/>
    <mergeCell ref="L7:L8"/>
    <mergeCell ref="B7:B9"/>
    <mergeCell ref="C7:C9"/>
  </mergeCells>
  <phoneticPr fontId="10" type="noConversion"/>
  <dataValidations count="1">
    <dataValidation type="list" allowBlank="1" showInputMessage="1" showErrorMessage="1" sqref="D10:D21">
      <formula1>"√,×"</formula1>
    </dataValidation>
  </dataValidations>
  <hyperlinks>
    <hyperlink ref="N3" location="底稿目录!A1" display="H7A"/>
  </hyperlinks>
  <printOptions horizontalCentered="1"/>
  <pageMargins left="0.70866141732283472" right="0.70866141732283472" top="0.74803149606299213" bottom="0.74803149606299213" header="0.31496062992125984" footer="0.31496062992125984"/>
  <pageSetup paperSize="9" scale="73"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A10:A21</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B99"/>
  <sheetViews>
    <sheetView view="pageBreakPreview" zoomScaleNormal="115" zoomScaleSheetLayoutView="100" workbookViewId="0">
      <selection sqref="A1:O1"/>
    </sheetView>
  </sheetViews>
  <sheetFormatPr defaultColWidth="9" defaultRowHeight="19.95" customHeight="1"/>
  <cols>
    <col min="1" max="1" width="18.69921875" style="3" customWidth="1"/>
    <col min="2" max="2" width="8.8984375" style="3" customWidth="1"/>
    <col min="3" max="3" width="8.5" style="3" customWidth="1"/>
    <col min="4" max="4" width="8.8984375" style="3" customWidth="1"/>
    <col min="5" max="5" width="8" style="3" customWidth="1"/>
    <col min="6" max="6" width="7.8984375" style="3" customWidth="1"/>
    <col min="7" max="7" width="8.69921875" style="3" customWidth="1"/>
    <col min="8" max="8" width="8.8984375" style="3" customWidth="1"/>
    <col min="9" max="9" width="9.19921875" style="3" customWidth="1"/>
    <col min="10" max="10" width="6.59765625" style="3" customWidth="1"/>
    <col min="11" max="11" width="9.69921875" style="3" customWidth="1"/>
    <col min="12" max="12" width="8.59765625" style="3" customWidth="1"/>
    <col min="13" max="13" width="10.09765625" style="3" customWidth="1"/>
    <col min="14" max="14" width="9.69921875" style="3" customWidth="1"/>
    <col min="15" max="15" width="5.19921875" style="3" bestFit="1" customWidth="1"/>
    <col min="16" max="16384" width="9" style="3"/>
  </cols>
  <sheetData>
    <row r="1" spans="1:28" s="195" customFormat="1" ht="19.95" customHeight="1">
      <c r="A1" s="734" t="s">
        <v>982</v>
      </c>
      <c r="B1" s="734"/>
      <c r="C1" s="734"/>
      <c r="D1" s="734"/>
      <c r="E1" s="734"/>
      <c r="F1" s="734"/>
      <c r="G1" s="734"/>
      <c r="H1" s="734"/>
      <c r="I1" s="734"/>
      <c r="J1" s="734"/>
      <c r="K1" s="734"/>
      <c r="L1" s="734"/>
      <c r="M1" s="734"/>
      <c r="N1" s="734"/>
      <c r="O1" s="734"/>
    </row>
    <row r="2" spans="1:28" s="359" customFormat="1" ht="19.95" customHeight="1">
      <c r="A2" s="735" t="s">
        <v>996</v>
      </c>
      <c r="B2" s="735"/>
      <c r="C2" s="735"/>
      <c r="D2" s="735"/>
      <c r="E2" s="735"/>
      <c r="F2" s="735"/>
      <c r="G2" s="735"/>
      <c r="H2" s="735"/>
      <c r="I2" s="735"/>
      <c r="J2" s="735"/>
      <c r="K2" s="735"/>
      <c r="L2" s="735"/>
      <c r="M2" s="735"/>
      <c r="N2" s="735"/>
      <c r="O2" s="735"/>
    </row>
    <row r="3" spans="1:28" ht="19.95" customHeight="1">
      <c r="A3" s="3" t="str">
        <f>底稿目录!A2</f>
        <v>被审计单位：</v>
      </c>
      <c r="B3" s="20"/>
      <c r="E3" s="3" t="str">
        <f>底稿目录!A4</f>
        <v>编制人：</v>
      </c>
      <c r="F3" s="11"/>
      <c r="I3" s="3" t="str">
        <f>底稿目录!A6</f>
        <v>编制日期：</v>
      </c>
      <c r="J3" s="91"/>
      <c r="N3" s="432" t="s">
        <v>1011</v>
      </c>
      <c r="O3" s="313" t="s">
        <v>271</v>
      </c>
    </row>
    <row r="4" spans="1:28" ht="19.95" customHeight="1">
      <c r="A4" s="3" t="str">
        <f>底稿目录!A3</f>
        <v>截止日：</v>
      </c>
      <c r="B4" s="20"/>
      <c r="E4" s="3" t="str">
        <f>底稿目录!A5</f>
        <v>复核人：</v>
      </c>
      <c r="F4" s="11"/>
      <c r="I4" s="3" t="str">
        <f>底稿目录!A7</f>
        <v>复核日期：</v>
      </c>
      <c r="J4" s="91"/>
      <c r="N4" s="432" t="s">
        <v>1012</v>
      </c>
      <c r="O4" s="314"/>
    </row>
    <row r="5" spans="1:28" s="182" customFormat="1" ht="19.95" customHeight="1">
      <c r="A5" s="578" t="s">
        <v>919</v>
      </c>
      <c r="B5" s="517"/>
      <c r="G5" s="518"/>
      <c r="I5" s="518"/>
      <c r="K5" s="538"/>
      <c r="L5" s="519"/>
      <c r="V5" s="520"/>
      <c r="W5" s="520"/>
      <c r="X5" s="520"/>
      <c r="Y5" s="520"/>
      <c r="Z5" s="520"/>
      <c r="AA5" s="520"/>
      <c r="AB5" s="520"/>
    </row>
    <row r="6" spans="1:28" ht="19.95" customHeight="1">
      <c r="A6" s="52" t="s">
        <v>920</v>
      </c>
      <c r="B6" s="53"/>
      <c r="G6" s="11"/>
      <c r="K6" s="55"/>
      <c r="L6" s="8"/>
      <c r="V6" s="159"/>
      <c r="W6" s="159"/>
      <c r="X6" s="159"/>
      <c r="Y6" s="159"/>
      <c r="Z6" s="159"/>
      <c r="AA6" s="159"/>
      <c r="AB6" s="159"/>
    </row>
    <row r="7" spans="1:28" ht="19.95" customHeight="1">
      <c r="A7" s="24" t="s">
        <v>921</v>
      </c>
      <c r="G7" s="11"/>
    </row>
    <row r="8" spans="1:28" ht="19.95" customHeight="1">
      <c r="A8" s="654" t="s">
        <v>3</v>
      </c>
      <c r="B8" s="66" t="s">
        <v>922</v>
      </c>
      <c r="C8" s="66"/>
      <c r="D8" s="66"/>
      <c r="E8" s="66"/>
      <c r="F8" s="66"/>
      <c r="G8" s="67"/>
      <c r="H8" s="66" t="s">
        <v>923</v>
      </c>
      <c r="I8" s="66"/>
      <c r="J8" s="66"/>
      <c r="K8" s="66"/>
      <c r="L8" s="66"/>
      <c r="M8" s="66"/>
      <c r="N8" s="654" t="s">
        <v>924</v>
      </c>
      <c r="O8" s="654" t="s">
        <v>925</v>
      </c>
    </row>
    <row r="9" spans="1:28" ht="24">
      <c r="A9" s="654"/>
      <c r="B9" s="239" t="s">
        <v>5</v>
      </c>
      <c r="C9" s="239" t="s">
        <v>6</v>
      </c>
      <c r="D9" s="239" t="s">
        <v>7</v>
      </c>
      <c r="E9" s="239" t="s">
        <v>6</v>
      </c>
      <c r="F9" s="239" t="s">
        <v>8</v>
      </c>
      <c r="G9" s="239" t="s">
        <v>6</v>
      </c>
      <c r="H9" s="239" t="s">
        <v>9</v>
      </c>
      <c r="I9" s="239" t="s">
        <v>10</v>
      </c>
      <c r="J9" s="239" t="s">
        <v>11</v>
      </c>
      <c r="K9" s="239" t="s">
        <v>12</v>
      </c>
      <c r="L9" s="239" t="s">
        <v>13</v>
      </c>
      <c r="M9" s="239" t="s">
        <v>14</v>
      </c>
      <c r="N9" s="654"/>
      <c r="O9" s="654"/>
    </row>
    <row r="10" spans="1:28" ht="19.95" customHeight="1">
      <c r="A10" s="13"/>
      <c r="B10" s="41"/>
      <c r="C10" s="42"/>
      <c r="D10" s="41"/>
      <c r="E10" s="42"/>
      <c r="F10" s="41"/>
      <c r="G10" s="42"/>
      <c r="H10" s="41"/>
      <c r="I10" s="41"/>
      <c r="J10" s="41"/>
      <c r="K10" s="41"/>
      <c r="L10" s="41"/>
      <c r="M10" s="217">
        <f>SUM(H10:L10)</f>
        <v>0</v>
      </c>
      <c r="N10" s="217">
        <f>IF(B10&gt;0,B10,IF(D10&gt;0,D10,F10))-M10</f>
        <v>0</v>
      </c>
      <c r="O10" s="13"/>
    </row>
    <row r="11" spans="1:28" ht="19.95" customHeight="1">
      <c r="A11" s="13"/>
      <c r="B11" s="41"/>
      <c r="C11" s="42"/>
      <c r="D11" s="41"/>
      <c r="E11" s="42"/>
      <c r="F11" s="41"/>
      <c r="G11" s="42"/>
      <c r="H11" s="41"/>
      <c r="I11" s="41"/>
      <c r="J11" s="41"/>
      <c r="K11" s="41"/>
      <c r="L11" s="41"/>
      <c r="M11" s="217">
        <f>SUM(H11:L11)</f>
        <v>0</v>
      </c>
      <c r="N11" s="217">
        <f>IF(B11&gt;0,B11,IF(D11&gt;0,D11,F11))-M11</f>
        <v>0</v>
      </c>
      <c r="O11" s="13"/>
    </row>
    <row r="12" spans="1:28" ht="19.95" customHeight="1">
      <c r="A12" s="13"/>
      <c r="B12" s="41"/>
      <c r="C12" s="42"/>
      <c r="D12" s="41"/>
      <c r="E12" s="42"/>
      <c r="F12" s="41"/>
      <c r="G12" s="42"/>
      <c r="H12" s="41"/>
      <c r="I12" s="41"/>
      <c r="J12" s="41"/>
      <c r="K12" s="41"/>
      <c r="L12" s="41"/>
      <c r="M12" s="217">
        <f>SUM(H12:L12)</f>
        <v>0</v>
      </c>
      <c r="N12" s="217">
        <f>IF(B12&gt;0,B12,IF(D12&gt;0,D12,F12))-M12</f>
        <v>0</v>
      </c>
      <c r="O12" s="13"/>
    </row>
    <row r="13" spans="1:28" ht="19.95" customHeight="1">
      <c r="A13" s="421" t="s">
        <v>1007</v>
      </c>
      <c r="B13" s="419">
        <f>SUM(B10:B12)</f>
        <v>0</v>
      </c>
      <c r="C13" s="419"/>
      <c r="D13" s="419">
        <f>SUM(D10:D12)</f>
        <v>0</v>
      </c>
      <c r="E13" s="419"/>
      <c r="F13" s="419">
        <f>SUM(F10:F12)</f>
        <v>0</v>
      </c>
      <c r="G13" s="419"/>
      <c r="H13" s="419">
        <f t="shared" ref="H13:N13" si="0">SUM(H10:H12)</f>
        <v>0</v>
      </c>
      <c r="I13" s="419">
        <f t="shared" si="0"/>
        <v>0</v>
      </c>
      <c r="J13" s="419">
        <f t="shared" si="0"/>
        <v>0</v>
      </c>
      <c r="K13" s="419">
        <f t="shared" si="0"/>
        <v>0</v>
      </c>
      <c r="L13" s="419">
        <f t="shared" si="0"/>
        <v>0</v>
      </c>
      <c r="M13" s="419">
        <f t="shared" si="0"/>
        <v>0</v>
      </c>
      <c r="N13" s="419">
        <f t="shared" si="0"/>
        <v>0</v>
      </c>
      <c r="O13" s="422"/>
    </row>
    <row r="14" spans="1:28" s="25" customFormat="1" ht="19.95" customHeight="1">
      <c r="A14" s="31" t="s">
        <v>15</v>
      </c>
    </row>
    <row r="15" spans="1:28" s="25" customFormat="1" ht="19.95" customHeight="1"/>
    <row r="16" spans="1:28" ht="19.95" customHeight="1">
      <c r="A16" s="24" t="s">
        <v>16</v>
      </c>
      <c r="G16" s="11"/>
    </row>
    <row r="17" spans="1:15" ht="19.95" customHeight="1">
      <c r="A17" s="654" t="s">
        <v>17</v>
      </c>
      <c r="B17" s="66" t="s">
        <v>18</v>
      </c>
      <c r="C17" s="66"/>
      <c r="D17" s="66"/>
      <c r="E17" s="66"/>
      <c r="F17" s="66"/>
      <c r="G17" s="66" t="s">
        <v>19</v>
      </c>
      <c r="H17" s="66"/>
      <c r="I17" s="767" t="s">
        <v>20</v>
      </c>
      <c r="J17" s="767" t="s">
        <v>21</v>
      </c>
      <c r="K17" s="767" t="s">
        <v>22</v>
      </c>
      <c r="L17" s="654" t="s">
        <v>23</v>
      </c>
      <c r="M17" s="654"/>
      <c r="N17" s="654" t="s">
        <v>24</v>
      </c>
      <c r="O17" s="654" t="s">
        <v>4</v>
      </c>
    </row>
    <row r="18" spans="1:15" ht="19.95" customHeight="1">
      <c r="A18" s="654"/>
      <c r="B18" s="239" t="s">
        <v>25</v>
      </c>
      <c r="C18" s="239" t="s">
        <v>26</v>
      </c>
      <c r="D18" s="239" t="s">
        <v>27</v>
      </c>
      <c r="E18" s="239" t="s">
        <v>28</v>
      </c>
      <c r="F18" s="239" t="s">
        <v>29</v>
      </c>
      <c r="G18" s="239" t="s">
        <v>30</v>
      </c>
      <c r="H18" s="239" t="s">
        <v>31</v>
      </c>
      <c r="I18" s="767"/>
      <c r="J18" s="767"/>
      <c r="K18" s="767"/>
      <c r="L18" s="654"/>
      <c r="M18" s="654"/>
      <c r="N18" s="654"/>
      <c r="O18" s="654"/>
    </row>
    <row r="19" spans="1:15" ht="19.95" customHeight="1">
      <c r="A19" s="13" t="s">
        <v>32</v>
      </c>
      <c r="B19" s="41"/>
      <c r="C19" s="41"/>
      <c r="D19" s="41"/>
      <c r="E19" s="41"/>
      <c r="F19" s="41"/>
      <c r="G19" s="185">
        <f>F19</f>
        <v>0</v>
      </c>
      <c r="H19" s="43"/>
      <c r="I19" s="43"/>
      <c r="J19" s="43"/>
      <c r="K19" s="43"/>
      <c r="L19" s="14"/>
      <c r="M19" s="104"/>
      <c r="N19" s="112"/>
      <c r="O19" s="766"/>
    </row>
    <row r="20" spans="1:15" ht="19.95" customHeight="1">
      <c r="A20" s="13" t="s">
        <v>33</v>
      </c>
      <c r="B20" s="424" t="e">
        <f>1/(1+$K$24)^1</f>
        <v>#DIV/0!</v>
      </c>
      <c r="C20" s="424" t="e">
        <f>1/(1+$K$24)^2</f>
        <v>#DIV/0!</v>
      </c>
      <c r="D20" s="424" t="e">
        <f>1/(1+$K$24)^3</f>
        <v>#DIV/0!</v>
      </c>
      <c r="E20" s="424" t="e">
        <f>1/(1+$K$24)^4</f>
        <v>#DIV/0!</v>
      </c>
      <c r="F20" s="424" t="e">
        <f>1/(1+$K$24)^5</f>
        <v>#DIV/0!</v>
      </c>
      <c r="G20" s="209" t="e">
        <f>(1+H19)/((J24-H19)*(1+K24)^5)</f>
        <v>#DIV/0!</v>
      </c>
      <c r="H20" s="329" t="s">
        <v>926</v>
      </c>
      <c r="I20" s="41"/>
      <c r="J20" s="113"/>
      <c r="K20" s="114"/>
      <c r="L20" s="115"/>
      <c r="M20" s="114"/>
      <c r="N20" s="112"/>
      <c r="O20" s="766"/>
    </row>
    <row r="21" spans="1:15" ht="19.95" customHeight="1">
      <c r="A21" s="13" t="s">
        <v>34</v>
      </c>
      <c r="B21" s="217" t="e">
        <f t="shared" ref="B21:G21" si="1">B19*B20</f>
        <v>#DIV/0!</v>
      </c>
      <c r="C21" s="217" t="e">
        <f t="shared" si="1"/>
        <v>#DIV/0!</v>
      </c>
      <c r="D21" s="217" t="e">
        <f t="shared" si="1"/>
        <v>#DIV/0!</v>
      </c>
      <c r="E21" s="217" t="e">
        <f t="shared" si="1"/>
        <v>#DIV/0!</v>
      </c>
      <c r="F21" s="217" t="e">
        <f t="shared" si="1"/>
        <v>#DIV/0!</v>
      </c>
      <c r="G21" s="217" t="e">
        <f t="shared" si="1"/>
        <v>#DIV/0!</v>
      </c>
      <c r="H21" s="329" t="s">
        <v>927</v>
      </c>
      <c r="I21" s="41"/>
      <c r="J21" s="113"/>
      <c r="K21" s="114"/>
      <c r="L21" s="115"/>
      <c r="M21" s="114"/>
      <c r="N21" s="217" t="e">
        <f>SUM(B21:G21)</f>
        <v>#DIV/0!</v>
      </c>
      <c r="O21" s="766"/>
    </row>
    <row r="22" spans="1:15" ht="19.95" customHeight="1">
      <c r="A22" s="654" t="s">
        <v>35</v>
      </c>
      <c r="B22" s="239" t="s">
        <v>36</v>
      </c>
      <c r="C22" s="654" t="s">
        <v>37</v>
      </c>
      <c r="D22" s="654" t="s">
        <v>38</v>
      </c>
      <c r="E22" s="654" t="s">
        <v>928</v>
      </c>
      <c r="F22" s="654" t="s">
        <v>929</v>
      </c>
      <c r="G22" s="654" t="s">
        <v>39</v>
      </c>
      <c r="H22" s="654" t="s">
        <v>76</v>
      </c>
      <c r="I22" s="654" t="s">
        <v>40</v>
      </c>
      <c r="J22" s="654" t="s">
        <v>41</v>
      </c>
      <c r="K22" s="654" t="s">
        <v>930</v>
      </c>
      <c r="L22" s="653" t="s">
        <v>42</v>
      </c>
      <c r="M22" s="653"/>
      <c r="N22" s="654" t="s">
        <v>43</v>
      </c>
      <c r="O22" s="654" t="s">
        <v>4</v>
      </c>
    </row>
    <row r="23" spans="1:15" ht="19.95" customHeight="1">
      <c r="A23" s="654"/>
      <c r="B23" s="239" t="s">
        <v>44</v>
      </c>
      <c r="C23" s="654"/>
      <c r="D23" s="654"/>
      <c r="E23" s="654"/>
      <c r="F23" s="654"/>
      <c r="G23" s="654"/>
      <c r="H23" s="654"/>
      <c r="I23" s="654"/>
      <c r="J23" s="654"/>
      <c r="K23" s="654"/>
      <c r="L23" s="239" t="s">
        <v>45</v>
      </c>
      <c r="M23" s="82" t="s">
        <v>46</v>
      </c>
      <c r="N23" s="654"/>
      <c r="O23" s="654"/>
    </row>
    <row r="24" spans="1:15" ht="19.95" customHeight="1">
      <c r="A24" s="13" t="s">
        <v>47</v>
      </c>
      <c r="B24" s="44"/>
      <c r="C24" s="41"/>
      <c r="D24" s="41"/>
      <c r="E24" s="27"/>
      <c r="F24" s="27"/>
      <c r="G24" s="42"/>
      <c r="H24" s="27"/>
      <c r="I24" s="423">
        <f>F24+G24*(H24-F24)</f>
        <v>0</v>
      </c>
      <c r="J24" s="423" t="e">
        <f>((C24*E24*(1-B24)+D24*I24))/(C24+D24)</f>
        <v>#DIV/0!</v>
      </c>
      <c r="K24" s="423" t="e">
        <f>J24/(1-(B24+L24))</f>
        <v>#DIV/0!</v>
      </c>
      <c r="L24" s="27"/>
      <c r="M24" s="40"/>
      <c r="N24" s="217" t="e">
        <f>MAX(N13,N21)</f>
        <v>#DIV/0!</v>
      </c>
      <c r="O24" s="44"/>
    </row>
    <row r="25" spans="1:15" s="25" customFormat="1" ht="19.95" customHeight="1">
      <c r="A25" s="31" t="s">
        <v>15</v>
      </c>
    </row>
    <row r="26" spans="1:15" s="25" customFormat="1" ht="19.95" customHeight="1"/>
    <row r="27" spans="1:15" s="25" customFormat="1" ht="19.95" customHeight="1">
      <c r="A27" s="24" t="s">
        <v>48</v>
      </c>
    </row>
    <row r="28" spans="1:15" s="25" customFormat="1" ht="19.95" customHeight="1">
      <c r="A28" s="88"/>
      <c r="B28" s="218" t="e">
        <f>N24</f>
        <v>#DIV/0!</v>
      </c>
      <c r="C28" s="25" t="s">
        <v>49</v>
      </c>
    </row>
    <row r="29" spans="1:15" s="25" customFormat="1" ht="19.95" customHeight="1">
      <c r="A29" s="31" t="s">
        <v>465</v>
      </c>
      <c r="B29" s="58"/>
    </row>
    <row r="30" spans="1:15" s="25" customFormat="1" ht="19.95" customHeight="1">
      <c r="A30" s="88"/>
      <c r="B30" s="58"/>
    </row>
    <row r="31" spans="1:15" s="25" customFormat="1" ht="19.95" customHeight="1">
      <c r="A31" s="88"/>
      <c r="B31" s="58"/>
    </row>
    <row r="32" spans="1:15" s="25" customFormat="1" ht="19.95" customHeight="1">
      <c r="A32" s="31" t="s">
        <v>477</v>
      </c>
      <c r="B32" s="58"/>
    </row>
    <row r="33" spans="1:2" s="25" customFormat="1" ht="19.95" customHeight="1">
      <c r="A33" s="88"/>
      <c r="B33" s="58"/>
    </row>
    <row r="34" spans="1:2" s="25" customFormat="1" ht="19.95" customHeight="1">
      <c r="A34" s="88"/>
      <c r="B34" s="58"/>
    </row>
    <row r="35" spans="1:2" s="25" customFormat="1" ht="19.95" customHeight="1"/>
    <row r="36" spans="1:2" s="25" customFormat="1" ht="19.95" customHeight="1"/>
    <row r="37" spans="1:2" s="25" customFormat="1" ht="19.95" customHeight="1"/>
    <row r="38" spans="1:2" s="25" customFormat="1" ht="19.95" customHeight="1">
      <c r="A38" s="459" t="s">
        <v>1041</v>
      </c>
    </row>
    <row r="39" spans="1:2" s="25" customFormat="1" ht="19.95" customHeight="1">
      <c r="A39" s="45" t="s">
        <v>51</v>
      </c>
    </row>
    <row r="40" spans="1:2" s="25" customFormat="1" ht="19.95" customHeight="1">
      <c r="A40" s="45"/>
    </row>
    <row r="41" spans="1:2" s="25" customFormat="1" ht="19.95" customHeight="1">
      <c r="A41" s="45" t="s">
        <v>52</v>
      </c>
    </row>
    <row r="42" spans="1:2" s="25" customFormat="1" ht="19.95" customHeight="1">
      <c r="A42" s="45" t="s">
        <v>53</v>
      </c>
    </row>
    <row r="43" spans="1:2" s="25" customFormat="1" ht="19.95" customHeight="1">
      <c r="A43" s="45" t="s">
        <v>54</v>
      </c>
    </row>
    <row r="44" spans="1:2" s="25" customFormat="1" ht="19.95" customHeight="1">
      <c r="A44" s="45" t="s">
        <v>931</v>
      </c>
    </row>
    <row r="45" spans="1:2" s="25" customFormat="1" ht="19.95" customHeight="1">
      <c r="A45" s="45" t="s">
        <v>55</v>
      </c>
    </row>
    <row r="46" spans="1:2" s="25" customFormat="1" ht="19.95" customHeight="1"/>
    <row r="47" spans="1:2" s="25" customFormat="1" ht="19.95" customHeight="1">
      <c r="A47" s="45" t="s">
        <v>56</v>
      </c>
    </row>
    <row r="48" spans="1:2" s="25" customFormat="1" ht="19.95" customHeight="1">
      <c r="A48" s="28"/>
    </row>
    <row r="49" spans="1:5" s="25" customFormat="1" ht="19.95" customHeight="1">
      <c r="A49" s="45"/>
    </row>
    <row r="50" spans="1:5" s="25" customFormat="1" ht="19.95" customHeight="1">
      <c r="A50" s="45"/>
    </row>
    <row r="51" spans="1:5" s="25" customFormat="1" ht="19.95" customHeight="1">
      <c r="A51" s="45"/>
    </row>
    <row r="52" spans="1:5" s="25" customFormat="1" ht="19.95" customHeight="1">
      <c r="A52" s="45" t="s">
        <v>932</v>
      </c>
    </row>
    <row r="53" spans="1:5" s="25" customFormat="1" ht="19.95" customHeight="1">
      <c r="A53" s="45" t="s">
        <v>57</v>
      </c>
    </row>
    <row r="54" spans="1:5" s="25" customFormat="1" ht="19.95" customHeight="1">
      <c r="A54" s="45" t="s">
        <v>58</v>
      </c>
    </row>
    <row r="55" spans="1:5" s="25" customFormat="1" ht="19.95" customHeight="1">
      <c r="A55" s="45" t="s">
        <v>59</v>
      </c>
    </row>
    <row r="56" spans="1:5" s="25" customFormat="1" ht="19.95" customHeight="1">
      <c r="A56" s="45" t="s">
        <v>60</v>
      </c>
    </row>
    <row r="57" spans="1:5" s="25" customFormat="1" ht="19.95" customHeight="1">
      <c r="A57" s="45" t="s">
        <v>61</v>
      </c>
    </row>
    <row r="58" spans="1:5" s="25" customFormat="1" ht="19.95" customHeight="1">
      <c r="A58" s="45" t="s">
        <v>62</v>
      </c>
    </row>
    <row r="59" spans="1:5" s="25" customFormat="1" ht="19.95" customHeight="1">
      <c r="A59" s="103" t="s">
        <v>63</v>
      </c>
    </row>
    <row r="61" spans="1:5" s="25" customFormat="1" ht="19.95" customHeight="1">
      <c r="A61" s="45" t="s">
        <v>933</v>
      </c>
    </row>
    <row r="62" spans="1:5" s="25" customFormat="1" ht="19.95" customHeight="1">
      <c r="A62" s="45" t="s">
        <v>64</v>
      </c>
    </row>
    <row r="63" spans="1:5" s="25" customFormat="1" ht="19.95" customHeight="1">
      <c r="A63" s="45" t="s">
        <v>65</v>
      </c>
    </row>
    <row r="64" spans="1:5" s="25" customFormat="1" ht="19.95" customHeight="1">
      <c r="E64" s="28"/>
    </row>
    <row r="65" spans="1:1" s="25" customFormat="1" ht="19.95" customHeight="1"/>
    <row r="66" spans="1:1" s="25" customFormat="1" ht="19.95" customHeight="1"/>
    <row r="67" spans="1:1" s="25" customFormat="1" ht="19.95" customHeight="1">
      <c r="A67" s="25" t="s">
        <v>66</v>
      </c>
    </row>
    <row r="68" spans="1:1" s="25" customFormat="1" ht="19.95" customHeight="1">
      <c r="A68" s="25" t="s">
        <v>934</v>
      </c>
    </row>
    <row r="69" spans="1:1" s="25" customFormat="1" ht="19.95" customHeight="1">
      <c r="A69" s="24" t="s">
        <v>67</v>
      </c>
    </row>
    <row r="70" spans="1:1" s="25" customFormat="1" ht="19.95" customHeight="1">
      <c r="A70" s="3" t="s">
        <v>68</v>
      </c>
    </row>
    <row r="71" spans="1:1" s="25" customFormat="1" ht="19.95" customHeight="1">
      <c r="A71" s="3" t="s">
        <v>69</v>
      </c>
    </row>
    <row r="72" spans="1:1" s="25" customFormat="1" ht="19.95" customHeight="1">
      <c r="A72" s="3" t="s">
        <v>935</v>
      </c>
    </row>
    <row r="73" spans="1:1" ht="19.95" customHeight="1">
      <c r="A73" s="24" t="s">
        <v>936</v>
      </c>
    </row>
    <row r="74" spans="1:1" ht="19.95" customHeight="1">
      <c r="A74" s="3" t="s">
        <v>70</v>
      </c>
    </row>
    <row r="75" spans="1:1" ht="19.95" customHeight="1">
      <c r="A75" s="3" t="s">
        <v>71</v>
      </c>
    </row>
    <row r="76" spans="1:1" ht="19.95" customHeight="1">
      <c r="A76" s="24" t="s">
        <v>72</v>
      </c>
    </row>
    <row r="77" spans="1:1" ht="19.95" customHeight="1">
      <c r="A77" s="3" t="s">
        <v>73</v>
      </c>
    </row>
    <row r="78" spans="1:1" ht="19.95" customHeight="1">
      <c r="A78" s="3" t="s">
        <v>74</v>
      </c>
    </row>
    <row r="79" spans="1:1" ht="19.95" customHeight="1">
      <c r="A79" s="3" t="s">
        <v>75</v>
      </c>
    </row>
    <row r="80" spans="1:1" ht="19.95" customHeight="1">
      <c r="A80" s="24" t="s">
        <v>929</v>
      </c>
    </row>
    <row r="81" spans="1:1" ht="19.95" customHeight="1">
      <c r="A81" s="3" t="s">
        <v>937</v>
      </c>
    </row>
    <row r="82" spans="1:1" ht="19.95" customHeight="1">
      <c r="A82" s="24" t="s">
        <v>76</v>
      </c>
    </row>
    <row r="83" spans="1:1" ht="19.95" customHeight="1">
      <c r="A83" s="3" t="s">
        <v>938</v>
      </c>
    </row>
    <row r="84" spans="1:1" ht="19.95" customHeight="1">
      <c r="A84" s="3" t="s">
        <v>939</v>
      </c>
    </row>
    <row r="85" spans="1:1" ht="19.95" customHeight="1">
      <c r="A85" s="24" t="s">
        <v>39</v>
      </c>
    </row>
    <row r="86" spans="1:1" ht="19.95" customHeight="1">
      <c r="A86" s="3" t="s">
        <v>940</v>
      </c>
    </row>
    <row r="87" spans="1:1" ht="19.95" customHeight="1">
      <c r="A87" s="3" t="s">
        <v>941</v>
      </c>
    </row>
    <row r="88" spans="1:1" ht="19.95" customHeight="1">
      <c r="A88" s="3" t="s">
        <v>942</v>
      </c>
    </row>
    <row r="89" spans="1:1" s="25" customFormat="1" ht="19.95" customHeight="1"/>
    <row r="90" spans="1:1" s="25" customFormat="1" ht="19.95" customHeight="1">
      <c r="A90" s="45" t="s">
        <v>77</v>
      </c>
    </row>
    <row r="94" spans="1:1" ht="19.95" customHeight="1">
      <c r="A94" s="262" t="s">
        <v>478</v>
      </c>
    </row>
    <row r="95" spans="1:1" ht="19.95" customHeight="1">
      <c r="A95" s="262" t="s">
        <v>914</v>
      </c>
    </row>
    <row r="96" spans="1:1" ht="19.95" customHeight="1">
      <c r="A96" s="262" t="s">
        <v>915</v>
      </c>
    </row>
    <row r="97" spans="1:1" ht="19.95" customHeight="1">
      <c r="A97" s="262" t="s">
        <v>916</v>
      </c>
    </row>
    <row r="98" spans="1:1" ht="19.95" customHeight="1">
      <c r="A98" s="262" t="s">
        <v>917</v>
      </c>
    </row>
    <row r="99" spans="1:1" ht="19.95" customHeight="1">
      <c r="A99" s="262" t="s">
        <v>918</v>
      </c>
    </row>
  </sheetData>
  <mergeCells count="26">
    <mergeCell ref="H22:H23"/>
    <mergeCell ref="I22:I23"/>
    <mergeCell ref="J22:J23"/>
    <mergeCell ref="K22:K23"/>
    <mergeCell ref="L22:M22"/>
    <mergeCell ref="N17:N18"/>
    <mergeCell ref="O17:O18"/>
    <mergeCell ref="O19:O21"/>
    <mergeCell ref="A22:A23"/>
    <mergeCell ref="C22:C23"/>
    <mergeCell ref="D22:D23"/>
    <mergeCell ref="E22:E23"/>
    <mergeCell ref="F22:F23"/>
    <mergeCell ref="G22:G23"/>
    <mergeCell ref="A17:A18"/>
    <mergeCell ref="I17:I18"/>
    <mergeCell ref="J17:J18"/>
    <mergeCell ref="K17:K18"/>
    <mergeCell ref="L17:M18"/>
    <mergeCell ref="O22:O23"/>
    <mergeCell ref="N22:N23"/>
    <mergeCell ref="A1:O1"/>
    <mergeCell ref="A2:O2"/>
    <mergeCell ref="A8:A9"/>
    <mergeCell ref="N8:N9"/>
    <mergeCell ref="O8:O9"/>
  </mergeCells>
  <phoneticPr fontId="10" type="noConversion"/>
  <dataValidations count="2">
    <dataValidation allowBlank="1" showInputMessage="1" showErrorMessage="1" prompt="可使用万德（Wind）的BETA计算器计算β系数。" sqref="G24 JC24 SY24 ACU24 AMQ24 AWM24 BGI24 BQE24 CAA24 CJW24 CTS24 DDO24 DNK24 DXG24 EHC24 EQY24 FAU24 FKQ24 FUM24 GEI24 GOE24 GYA24 HHW24 HRS24 IBO24 ILK24 IVG24 JFC24 JOY24 JYU24 KIQ24 KSM24 LCI24 LME24 LWA24 MFW24 MPS24 MZO24 NJK24 NTG24 ODC24 OMY24 OWU24 PGQ24 PQM24 QAI24 QKE24 QUA24 RDW24 RNS24 RXO24 SHK24 SRG24 TBC24 TKY24 TUU24 UEQ24 UOM24 UYI24 VIE24 VSA24 WBW24 WLS24 WVO24"/>
    <dataValidation allowBlank="1" showInputMessage="1" showErrorMessage="1" prompt="可使用万德（Wind）的WACC计算器取数。" sqref="H24 JD24 SZ24 ACV24 AMR24 AWN24 BGJ24 BQF24 CAB24 CJX24 CTT24 DDP24 DNL24 DXH24 EHD24 EQZ24 FAV24 FKR24 FUN24 GEJ24 GOF24 GYB24 HHX24 HRT24 IBP24 ILL24 IVH24 JFD24 JOZ24 JYV24 KIR24 KSN24 LCJ24 LMF24 LWB24 MFX24 MPT24 MZP24 NJL24 NTH24 ODD24 OMZ24 OWV24 PGR24 PQN24 QAJ24 QKF24 QUB24 RDX24 RNT24 RXP24 SHL24 SRH24 TBD24 TKZ24 TUV24 UER24 UON24 UYJ24 VIF24 VSB24 WBX24 WLT24 WVP24 E24:F24 JA24:JB24 SW24:SX24 ACS24:ACT24 AMO24:AMP24 AWK24:AWL24 BGG24:BGH24 BQC24:BQD24 BZY24:BZZ24 CJU24:CJV24 CTQ24:CTR24 DDM24:DDN24 DNI24:DNJ24 DXE24:DXF24 EHA24:EHB24 EQW24:EQX24 FAS24:FAT24 FKO24:FKP24 FUK24:FUL24 GEG24:GEH24 GOC24:GOD24 GXY24:GXZ24 HHU24:HHV24 HRQ24:HRR24 IBM24:IBN24 ILI24:ILJ24 IVE24:IVF24 JFA24:JFB24 JOW24:JOX24 JYS24:JYT24 KIO24:KIP24 KSK24:KSL24 LCG24:LCH24 LMC24:LMD24 LVY24:LVZ24 MFU24:MFV24 MPQ24:MPR24 MZM24:MZN24 NJI24:NJJ24 NTE24:NTF24 ODA24:ODB24 OMW24:OMX24 OWS24:OWT24 PGO24:PGP24 PQK24:PQL24 QAG24:QAH24 QKC24:QKD24 QTY24:QTZ24 RDU24:RDV24 RNQ24:RNR24 RXM24:RXN24 SHI24:SHJ24 SRE24:SRF24 TBA24:TBB24 TKW24:TKX24 TUS24:TUT24 UEO24:UEP24 UOK24:UOL24 UYG24:UYH24 VIC24:VID24 VRY24:VRZ24 WBU24:WBV24 WLQ24:WLR24 WVM24:WVN24"/>
  </dataValidations>
  <hyperlinks>
    <hyperlink ref="O3" location="底稿目录!A1" display="H7A"/>
  </hyperlinks>
  <printOptions horizontalCentered="1"/>
  <pageMargins left="0.43307086614173229" right="0.39370078740157483" top="0.39370078740157483" bottom="0.39370078740157483" header="0.31496062992125984" footer="0.31496062992125984"/>
  <pageSetup paperSize="9" scale="75"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Equation.3" shapeId="7171" r:id="rId4">
          <objectPr defaultSize="0" autoPict="0" r:id="rId5">
            <anchor moveWithCells="1" sizeWithCells="1">
              <from>
                <xdr:col>0</xdr:col>
                <xdr:colOff>99060</xdr:colOff>
                <xdr:row>63</xdr:row>
                <xdr:rowOff>30480</xdr:rowOff>
              </from>
              <to>
                <xdr:col>3</xdr:col>
                <xdr:colOff>541020</xdr:colOff>
                <xdr:row>65</xdr:row>
                <xdr:rowOff>160020</xdr:rowOff>
              </to>
            </anchor>
          </objectPr>
        </oleObject>
      </mc:Choice>
      <mc:Fallback>
        <oleObject progId="Equation.3" shapeId="7171" r:id="rId4"/>
      </mc:Fallback>
    </mc:AlternateContent>
    <mc:AlternateContent xmlns:mc="http://schemas.openxmlformats.org/markup-compatibility/2006">
      <mc:Choice Requires="x14">
        <oleObject progId="Equation.3" shapeId="7172" r:id="rId6">
          <objectPr defaultSize="0" autoPict="0" r:id="rId7">
            <anchor moveWithCells="1" sizeWithCells="1">
              <from>
                <xdr:col>3</xdr:col>
                <xdr:colOff>655320</xdr:colOff>
                <xdr:row>63</xdr:row>
                <xdr:rowOff>144780</xdr:rowOff>
              </from>
              <to>
                <xdr:col>7</xdr:col>
                <xdr:colOff>198120</xdr:colOff>
                <xdr:row>65</xdr:row>
                <xdr:rowOff>76200</xdr:rowOff>
              </to>
            </anchor>
          </objectPr>
        </oleObject>
      </mc:Choice>
      <mc:Fallback>
        <oleObject progId="Equation.3" shapeId="7172" r:id="rId6"/>
      </mc:Fallback>
    </mc:AlternateContent>
    <mc:AlternateContent xmlns:mc="http://schemas.openxmlformats.org/markup-compatibility/2006">
      <mc:Choice Requires="x14">
        <oleObject progId="Equation.3" shapeId="7173" r:id="rId8">
          <objectPr defaultSize="0" autoPict="0" r:id="rId9">
            <anchor moveWithCells="1" sizeWithCells="1">
              <from>
                <xdr:col>0</xdr:col>
                <xdr:colOff>0</xdr:colOff>
                <xdr:row>47</xdr:row>
                <xdr:rowOff>0</xdr:rowOff>
              </from>
              <to>
                <xdr:col>7</xdr:col>
                <xdr:colOff>480060</xdr:colOff>
                <xdr:row>50</xdr:row>
                <xdr:rowOff>30480</xdr:rowOff>
              </to>
            </anchor>
          </objectPr>
        </oleObject>
      </mc:Choice>
      <mc:Fallback>
        <oleObject progId="Equation.3" shapeId="7173" r:id="rId8"/>
      </mc:Fallback>
    </mc:AlternateContent>
  </oleObjec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O50"/>
  <sheetViews>
    <sheetView view="pageBreakPreview" topLeftCell="B1" zoomScaleNormal="100" zoomScaleSheetLayoutView="100" workbookViewId="0">
      <selection activeCell="O3" sqref="O3"/>
    </sheetView>
  </sheetViews>
  <sheetFormatPr defaultRowHeight="19.95" customHeight="1"/>
  <cols>
    <col min="1" max="1" width="20.3984375" style="28" customWidth="1"/>
    <col min="2" max="2" width="12.09765625" style="28" customWidth="1"/>
    <col min="3" max="3" width="11.69921875" style="28" customWidth="1"/>
    <col min="4" max="4" width="16" style="28" customWidth="1"/>
    <col min="5" max="5" width="13" style="28" customWidth="1"/>
    <col min="6" max="6" width="14.296875" style="28" customWidth="1"/>
    <col min="7" max="7" width="15.8984375" style="28" customWidth="1"/>
    <col min="8" max="8" width="8.796875" style="28"/>
    <col min="9" max="9" width="13.296875" style="28" customWidth="1"/>
    <col min="10" max="11" width="12" style="28" customWidth="1"/>
    <col min="12" max="12" width="8.796875" style="28"/>
    <col min="13" max="13" width="12.796875" style="28" customWidth="1"/>
    <col min="14" max="16384" width="8.796875" style="28"/>
  </cols>
  <sheetData>
    <row r="1" spans="1:15" s="352" customFormat="1" ht="19.95" customHeight="1">
      <c r="A1" s="686" t="s">
        <v>982</v>
      </c>
      <c r="B1" s="686"/>
      <c r="C1" s="686"/>
      <c r="D1" s="686"/>
      <c r="E1" s="686"/>
      <c r="F1" s="686"/>
      <c r="G1" s="686"/>
      <c r="H1" s="686"/>
      <c r="I1" s="686"/>
      <c r="J1" s="686"/>
      <c r="K1" s="686"/>
      <c r="L1" s="686"/>
      <c r="M1" s="686"/>
      <c r="N1" s="686"/>
      <c r="O1" s="686"/>
    </row>
    <row r="2" spans="1:15" s="356" customFormat="1" ht="19.95" customHeight="1">
      <c r="A2" s="687" t="s">
        <v>985</v>
      </c>
      <c r="B2" s="687"/>
      <c r="C2" s="687"/>
      <c r="D2" s="687"/>
      <c r="E2" s="687"/>
      <c r="F2" s="687"/>
      <c r="G2" s="687"/>
      <c r="H2" s="687"/>
      <c r="I2" s="687"/>
      <c r="J2" s="687"/>
      <c r="K2" s="687"/>
      <c r="L2" s="687"/>
      <c r="M2" s="687"/>
      <c r="N2" s="687"/>
      <c r="O2" s="687"/>
    </row>
    <row r="3" spans="1:15" ht="19.95" customHeight="1">
      <c r="A3" s="3" t="str">
        <f>底稿目录!A2</f>
        <v>被审计单位：</v>
      </c>
      <c r="B3" s="3"/>
      <c r="C3" s="3"/>
      <c r="D3" s="3"/>
      <c r="E3" s="20"/>
      <c r="F3" s="20" t="str">
        <f>底稿目录!A4</f>
        <v>编制人：</v>
      </c>
      <c r="G3" s="3"/>
      <c r="H3" s="20"/>
      <c r="I3" s="3" t="str">
        <f>底稿目录!A6</f>
        <v>编制日期：</v>
      </c>
      <c r="J3" s="3"/>
      <c r="K3" s="3"/>
      <c r="L3" s="3"/>
      <c r="N3" s="432" t="s">
        <v>1011</v>
      </c>
      <c r="O3" s="313" t="s">
        <v>273</v>
      </c>
    </row>
    <row r="4" spans="1:15" ht="19.95" customHeight="1">
      <c r="A4" s="3" t="str">
        <f>底稿目录!A3</f>
        <v>截止日：</v>
      </c>
      <c r="B4" s="3"/>
      <c r="C4" s="3"/>
      <c r="D4" s="3"/>
      <c r="E4" s="20"/>
      <c r="F4" s="20" t="str">
        <f>底稿目录!A5</f>
        <v>复核人：</v>
      </c>
      <c r="G4" s="3"/>
      <c r="H4" s="20"/>
      <c r="I4" s="3" t="str">
        <f>底稿目录!A7</f>
        <v>复核日期：</v>
      </c>
      <c r="J4" s="3"/>
      <c r="K4" s="3"/>
      <c r="L4" s="3"/>
      <c r="N4" s="432" t="s">
        <v>1012</v>
      </c>
      <c r="O4" s="314"/>
    </row>
    <row r="5" spans="1:15" ht="19.95" customHeight="1">
      <c r="A5" s="51" t="s">
        <v>968</v>
      </c>
      <c r="B5" s="51"/>
      <c r="C5" s="51"/>
      <c r="D5" s="293"/>
      <c r="E5" s="293"/>
      <c r="F5" s="293"/>
      <c r="G5" s="293"/>
      <c r="H5" s="293"/>
      <c r="I5" s="293"/>
      <c r="J5" s="294"/>
      <c r="K5" s="294"/>
      <c r="L5" s="294"/>
      <c r="M5" s="294"/>
      <c r="N5" s="294"/>
      <c r="O5" s="23"/>
    </row>
    <row r="6" spans="1:15" s="281" customFormat="1" ht="19.95" customHeight="1">
      <c r="A6" s="517" t="s">
        <v>969</v>
      </c>
      <c r="B6" s="533"/>
      <c r="C6" s="533"/>
      <c r="D6" s="534"/>
      <c r="E6" s="535"/>
      <c r="F6" s="535"/>
      <c r="G6" s="535"/>
      <c r="H6" s="535"/>
      <c r="I6" s="535"/>
      <c r="J6" s="533"/>
      <c r="K6" s="533"/>
      <c r="L6" s="533"/>
      <c r="M6" s="533"/>
      <c r="N6" s="533"/>
      <c r="O6" s="532"/>
    </row>
    <row r="7" spans="1:15" s="281" customFormat="1" ht="19.95" customHeight="1">
      <c r="A7" s="517" t="s">
        <v>970</v>
      </c>
      <c r="B7" s="533"/>
      <c r="C7" s="533"/>
      <c r="D7" s="534"/>
      <c r="E7" s="535"/>
      <c r="F7" s="535"/>
      <c r="G7" s="535"/>
      <c r="H7" s="535"/>
      <c r="I7" s="535"/>
      <c r="J7" s="533"/>
      <c r="K7" s="533"/>
      <c r="L7" s="533"/>
      <c r="M7" s="533"/>
      <c r="N7" s="533"/>
      <c r="O7" s="532"/>
    </row>
    <row r="8" spans="1:15" ht="19.95" customHeight="1">
      <c r="A8" s="51" t="s">
        <v>971</v>
      </c>
      <c r="B8" s="294"/>
      <c r="C8" s="294"/>
      <c r="D8" s="47"/>
      <c r="E8" s="293"/>
      <c r="F8" s="293"/>
      <c r="G8" s="293"/>
      <c r="H8" s="293"/>
      <c r="I8" s="293"/>
      <c r="J8" s="294"/>
      <c r="K8" s="294"/>
      <c r="L8" s="294"/>
      <c r="M8" s="294"/>
      <c r="N8" s="294"/>
      <c r="O8" s="23"/>
    </row>
    <row r="9" spans="1:15" ht="19.95" customHeight="1">
      <c r="A9" s="330" t="s">
        <v>1029</v>
      </c>
      <c r="B9" s="294"/>
      <c r="C9" s="294"/>
      <c r="D9" s="294"/>
      <c r="E9" s="294"/>
      <c r="F9" s="294"/>
      <c r="G9" s="294"/>
      <c r="H9" s="294"/>
      <c r="I9" s="294"/>
      <c r="J9" s="294"/>
      <c r="K9" s="294"/>
      <c r="L9" s="294"/>
      <c r="M9" s="294"/>
      <c r="N9" s="294"/>
      <c r="O9" s="294"/>
    </row>
    <row r="10" spans="1:15" ht="24">
      <c r="A10" s="331" t="s">
        <v>972</v>
      </c>
      <c r="B10" s="331" t="s">
        <v>973</v>
      </c>
      <c r="C10" s="331" t="s">
        <v>728</v>
      </c>
      <c r="D10" s="332" t="s">
        <v>974</v>
      </c>
      <c r="E10" s="332" t="s">
        <v>975</v>
      </c>
      <c r="F10" s="332" t="s">
        <v>976</v>
      </c>
      <c r="G10" s="332" t="s">
        <v>977</v>
      </c>
      <c r="H10" s="332" t="s">
        <v>945</v>
      </c>
      <c r="I10" s="332" t="s">
        <v>978</v>
      </c>
      <c r="J10" s="332" t="s">
        <v>979</v>
      </c>
      <c r="K10" s="332" t="s">
        <v>966</v>
      </c>
      <c r="L10" s="332" t="s">
        <v>4</v>
      </c>
      <c r="M10" s="332" t="s">
        <v>588</v>
      </c>
      <c r="N10" s="294"/>
      <c r="O10" s="294"/>
    </row>
    <row r="11" spans="1:15" ht="19.95" customHeight="1">
      <c r="A11" s="333"/>
      <c r="B11" s="511"/>
      <c r="C11" s="425"/>
      <c r="D11" s="425"/>
      <c r="E11" s="426"/>
      <c r="F11" s="426"/>
      <c r="G11" s="427"/>
      <c r="H11" s="428"/>
      <c r="I11" s="426"/>
      <c r="J11" s="334"/>
      <c r="K11" s="429"/>
      <c r="L11" s="429"/>
      <c r="M11" s="430"/>
      <c r="N11" s="294"/>
      <c r="O11" s="294"/>
    </row>
    <row r="12" spans="1:15" ht="19.95" customHeight="1">
      <c r="A12" s="333"/>
      <c r="B12" s="511"/>
      <c r="C12" s="425"/>
      <c r="D12" s="425"/>
      <c r="E12" s="426"/>
      <c r="F12" s="426"/>
      <c r="G12" s="427"/>
      <c r="H12" s="428"/>
      <c r="I12" s="426"/>
      <c r="J12" s="334"/>
      <c r="K12" s="429"/>
      <c r="L12" s="429"/>
      <c r="M12" s="430"/>
      <c r="N12" s="294"/>
      <c r="O12" s="294"/>
    </row>
    <row r="13" spans="1:15" ht="19.95" customHeight="1">
      <c r="A13" s="333"/>
      <c r="B13" s="511"/>
      <c r="C13" s="425"/>
      <c r="D13" s="425"/>
      <c r="E13" s="426"/>
      <c r="F13" s="426"/>
      <c r="G13" s="427"/>
      <c r="H13" s="428"/>
      <c r="I13" s="426"/>
      <c r="J13" s="334"/>
      <c r="K13" s="429"/>
      <c r="L13" s="429"/>
      <c r="M13" s="430"/>
      <c r="N13" s="294"/>
      <c r="O13" s="294"/>
    </row>
    <row r="14" spans="1:15" ht="19.95" customHeight="1">
      <c r="A14" s="333"/>
      <c r="B14" s="511"/>
      <c r="C14" s="425"/>
      <c r="D14" s="425"/>
      <c r="E14" s="426"/>
      <c r="F14" s="426"/>
      <c r="G14" s="427"/>
      <c r="H14" s="428"/>
      <c r="I14" s="426"/>
      <c r="J14" s="334"/>
      <c r="K14" s="429"/>
      <c r="L14" s="429"/>
      <c r="M14" s="430"/>
      <c r="N14" s="294"/>
      <c r="O14" s="294"/>
    </row>
    <row r="15" spans="1:15" ht="19.95" customHeight="1">
      <c r="A15" s="333"/>
      <c r="B15" s="511"/>
      <c r="C15" s="425"/>
      <c r="D15" s="425"/>
      <c r="E15" s="426"/>
      <c r="F15" s="426"/>
      <c r="G15" s="427"/>
      <c r="H15" s="428"/>
      <c r="I15" s="426"/>
      <c r="J15" s="334"/>
      <c r="K15" s="429"/>
      <c r="L15" s="429"/>
      <c r="M15" s="430"/>
      <c r="N15" s="294"/>
      <c r="O15" s="294"/>
    </row>
    <row r="16" spans="1:15" ht="19.95" customHeight="1">
      <c r="A16" s="294"/>
      <c r="B16" s="294"/>
      <c r="C16" s="294"/>
      <c r="D16" s="294"/>
      <c r="E16" s="294"/>
      <c r="F16" s="294"/>
      <c r="G16" s="294"/>
      <c r="H16" s="294"/>
      <c r="I16" s="294"/>
      <c r="J16" s="294"/>
      <c r="K16" s="294"/>
      <c r="L16" s="294"/>
      <c r="M16" s="294"/>
      <c r="N16" s="294"/>
      <c r="O16" s="294"/>
    </row>
    <row r="17" spans="1:15" ht="19.95" customHeight="1">
      <c r="A17" s="330" t="s">
        <v>1030</v>
      </c>
      <c r="B17" s="294"/>
      <c r="C17" s="294"/>
      <c r="D17" s="294"/>
      <c r="E17" s="294"/>
      <c r="F17" s="294"/>
      <c r="G17" s="294"/>
      <c r="H17" s="294"/>
      <c r="I17" s="294"/>
      <c r="J17" s="294"/>
      <c r="K17" s="294"/>
      <c r="L17" s="294"/>
      <c r="M17" s="294"/>
      <c r="N17" s="294"/>
      <c r="O17" s="294"/>
    </row>
    <row r="18" spans="1:15" ht="24">
      <c r="A18" s="331" t="s">
        <v>943</v>
      </c>
      <c r="B18" s="331" t="s">
        <v>944</v>
      </c>
      <c r="C18" s="331" t="s">
        <v>99</v>
      </c>
      <c r="D18" s="332" t="s">
        <v>948</v>
      </c>
      <c r="E18" s="332" t="s">
        <v>949</v>
      </c>
      <c r="F18" s="332" t="s">
        <v>950</v>
      </c>
      <c r="G18" s="332" t="s">
        <v>980</v>
      </c>
      <c r="H18" s="332" t="s">
        <v>951</v>
      </c>
      <c r="I18" s="332" t="s">
        <v>952</v>
      </c>
      <c r="J18" s="332" t="s">
        <v>953</v>
      </c>
      <c r="K18" s="332" t="s">
        <v>954</v>
      </c>
      <c r="L18" s="332" t="s">
        <v>946</v>
      </c>
      <c r="M18" s="332" t="s">
        <v>947</v>
      </c>
      <c r="N18" s="332" t="s">
        <v>4</v>
      </c>
      <c r="O18" s="332" t="s">
        <v>240</v>
      </c>
    </row>
    <row r="19" spans="1:15" ht="19.95" customHeight="1">
      <c r="A19" s="333"/>
      <c r="B19" s="511"/>
      <c r="C19" s="425"/>
      <c r="D19" s="425"/>
      <c r="E19" s="426"/>
      <c r="F19" s="426"/>
      <c r="G19" s="426"/>
      <c r="H19" s="335">
        <f>E19-F19-G19</f>
        <v>0</v>
      </c>
      <c r="I19" s="426"/>
      <c r="J19" s="427"/>
      <c r="K19" s="428"/>
      <c r="L19" s="334"/>
      <c r="M19" s="429"/>
      <c r="N19" s="429"/>
      <c r="O19" s="430"/>
    </row>
    <row r="20" spans="1:15" ht="19.95" customHeight="1">
      <c r="A20" s="333"/>
      <c r="B20" s="511"/>
      <c r="C20" s="425"/>
      <c r="D20" s="425"/>
      <c r="E20" s="426"/>
      <c r="F20" s="426"/>
      <c r="G20" s="426"/>
      <c r="H20" s="335"/>
      <c r="I20" s="426"/>
      <c r="J20" s="427"/>
      <c r="K20" s="428"/>
      <c r="L20" s="334"/>
      <c r="M20" s="429"/>
      <c r="N20" s="429"/>
      <c r="O20" s="430"/>
    </row>
    <row r="21" spans="1:15" ht="19.95" customHeight="1">
      <c r="A21" s="333"/>
      <c r="B21" s="511"/>
      <c r="C21" s="425"/>
      <c r="D21" s="425"/>
      <c r="E21" s="426"/>
      <c r="F21" s="426"/>
      <c r="G21" s="426"/>
      <c r="H21" s="335"/>
      <c r="I21" s="426"/>
      <c r="J21" s="427"/>
      <c r="K21" s="428"/>
      <c r="L21" s="334"/>
      <c r="M21" s="429"/>
      <c r="N21" s="429"/>
      <c r="O21" s="430"/>
    </row>
    <row r="22" spans="1:15" ht="19.95" customHeight="1">
      <c r="A22" s="333"/>
      <c r="B22" s="511"/>
      <c r="C22" s="425"/>
      <c r="D22" s="425"/>
      <c r="E22" s="426"/>
      <c r="F22" s="426"/>
      <c r="G22" s="426"/>
      <c r="H22" s="335"/>
      <c r="I22" s="426"/>
      <c r="J22" s="427"/>
      <c r="K22" s="428"/>
      <c r="L22" s="334"/>
      <c r="M22" s="429"/>
      <c r="N22" s="429"/>
      <c r="O22" s="430"/>
    </row>
    <row r="23" spans="1:15" ht="19.95" customHeight="1">
      <c r="A23" s="333"/>
      <c r="B23" s="511"/>
      <c r="C23" s="425"/>
      <c r="D23" s="425"/>
      <c r="E23" s="426"/>
      <c r="F23" s="426"/>
      <c r="G23" s="426"/>
      <c r="H23" s="335"/>
      <c r="I23" s="426"/>
      <c r="J23" s="427"/>
      <c r="K23" s="428"/>
      <c r="L23" s="334"/>
      <c r="M23" s="429"/>
      <c r="N23" s="429"/>
      <c r="O23" s="430"/>
    </row>
    <row r="24" spans="1:15" ht="19.95" customHeight="1">
      <c r="A24" s="333"/>
      <c r="B24" s="511"/>
      <c r="C24" s="425"/>
      <c r="D24" s="425"/>
      <c r="E24" s="426"/>
      <c r="F24" s="426"/>
      <c r="G24" s="426"/>
      <c r="H24" s="335"/>
      <c r="I24" s="426"/>
      <c r="J24" s="427"/>
      <c r="K24" s="428"/>
      <c r="L24" s="334"/>
      <c r="M24" s="429"/>
      <c r="N24" s="429"/>
      <c r="O24" s="430"/>
    </row>
    <row r="25" spans="1:15" ht="19.95" customHeight="1">
      <c r="A25" s="294"/>
      <c r="B25" s="294"/>
      <c r="C25" s="294"/>
      <c r="D25" s="294"/>
      <c r="E25" s="294"/>
      <c r="F25" s="294"/>
      <c r="G25" s="294"/>
      <c r="H25" s="294"/>
      <c r="I25" s="294"/>
      <c r="J25" s="294"/>
      <c r="K25" s="294"/>
      <c r="L25" s="294"/>
      <c r="M25" s="294"/>
      <c r="N25" s="294"/>
      <c r="O25" s="294"/>
    </row>
    <row r="26" spans="1:15" ht="19.95" customHeight="1">
      <c r="A26" s="294"/>
      <c r="B26" s="294"/>
      <c r="C26" s="294"/>
      <c r="D26" s="294"/>
      <c r="E26" s="294"/>
      <c r="F26" s="294"/>
      <c r="G26" s="294"/>
      <c r="H26" s="294"/>
      <c r="I26" s="294"/>
      <c r="J26" s="294"/>
      <c r="K26" s="294"/>
      <c r="L26" s="294"/>
      <c r="M26" s="294"/>
      <c r="N26" s="294"/>
      <c r="O26" s="294"/>
    </row>
    <row r="27" spans="1:15" ht="19.95" customHeight="1">
      <c r="A27" s="294"/>
      <c r="B27" s="294"/>
      <c r="C27" s="294"/>
      <c r="D27" s="294"/>
      <c r="E27" s="294"/>
      <c r="F27" s="294"/>
      <c r="G27" s="294"/>
      <c r="H27" s="294"/>
      <c r="I27" s="294"/>
      <c r="J27" s="294"/>
      <c r="K27" s="294"/>
      <c r="L27" s="294"/>
      <c r="M27" s="294"/>
      <c r="N27" s="294"/>
      <c r="O27" s="294"/>
    </row>
    <row r="28" spans="1:15" ht="19.95" customHeight="1">
      <c r="A28" s="51" t="s">
        <v>955</v>
      </c>
      <c r="B28" s="51"/>
      <c r="C28" s="51"/>
      <c r="D28" s="336"/>
      <c r="E28" s="336"/>
      <c r="F28" s="336"/>
      <c r="G28" s="336"/>
      <c r="H28" s="336"/>
      <c r="I28" s="336"/>
      <c r="J28" s="294"/>
      <c r="K28" s="294"/>
      <c r="L28" s="294"/>
      <c r="M28" s="294"/>
      <c r="N28" s="294"/>
      <c r="O28" s="294"/>
    </row>
    <row r="29" spans="1:15" ht="19.95" customHeight="1">
      <c r="A29" s="54"/>
      <c r="B29" s="337"/>
      <c r="C29" s="54"/>
      <c r="D29" s="3"/>
      <c r="E29" s="336"/>
      <c r="F29" s="336"/>
      <c r="G29" s="336"/>
      <c r="H29" s="336"/>
      <c r="I29" s="336"/>
      <c r="J29" s="338"/>
      <c r="K29" s="338"/>
      <c r="L29" s="338"/>
      <c r="M29" s="338"/>
      <c r="N29" s="338"/>
      <c r="O29" s="3"/>
    </row>
    <row r="30" spans="1:15" ht="19.95" customHeight="1">
      <c r="A30" s="3"/>
      <c r="B30" s="339"/>
      <c r="C30" s="3"/>
      <c r="D30" s="3"/>
      <c r="E30" s="339"/>
      <c r="F30" s="339"/>
      <c r="G30" s="339"/>
      <c r="H30" s="339"/>
      <c r="I30" s="339"/>
      <c r="J30" s="340"/>
      <c r="K30" s="340"/>
      <c r="L30" s="340"/>
      <c r="M30" s="340"/>
      <c r="N30" s="340"/>
      <c r="O30" s="3"/>
    </row>
    <row r="31" spans="1:15" ht="19.95" customHeight="1">
      <c r="A31" s="54"/>
      <c r="B31" s="337"/>
      <c r="C31" s="54"/>
      <c r="D31" s="3"/>
      <c r="E31" s="339"/>
      <c r="F31" s="339"/>
      <c r="G31" s="339"/>
      <c r="H31" s="339"/>
      <c r="I31" s="339"/>
      <c r="J31" s="340"/>
      <c r="K31" s="340"/>
      <c r="L31" s="340"/>
      <c r="M31" s="340"/>
      <c r="N31" s="340"/>
      <c r="O31" s="3"/>
    </row>
    <row r="32" spans="1:15" ht="19.95" customHeight="1">
      <c r="A32" s="54"/>
      <c r="B32" s="341"/>
      <c r="C32" s="54"/>
      <c r="D32" s="3"/>
      <c r="E32" s="339"/>
      <c r="F32" s="339"/>
      <c r="G32" s="339"/>
      <c r="H32" s="339"/>
      <c r="I32" s="339"/>
      <c r="J32" s="340"/>
      <c r="K32" s="340"/>
      <c r="L32" s="340"/>
      <c r="M32" s="340"/>
      <c r="N32" s="340"/>
      <c r="O32" s="3"/>
    </row>
    <row r="33" spans="1:15" ht="19.95" customHeight="1">
      <c r="A33" s="51" t="s">
        <v>956</v>
      </c>
      <c r="B33" s="51"/>
      <c r="C33" s="51"/>
      <c r="D33" s="341"/>
      <c r="E33" s="339"/>
      <c r="F33" s="339"/>
      <c r="G33" s="339"/>
      <c r="H33" s="339"/>
      <c r="I33" s="339"/>
      <c r="J33" s="340"/>
      <c r="K33" s="340"/>
      <c r="L33" s="340"/>
      <c r="M33" s="340"/>
      <c r="N33" s="340"/>
      <c r="O33" s="3"/>
    </row>
    <row r="34" spans="1:15" ht="19.95" customHeight="1">
      <c r="A34" s="54"/>
      <c r="B34" s="54"/>
      <c r="C34" s="54"/>
      <c r="D34" s="341"/>
      <c r="E34" s="339"/>
      <c r="F34" s="339"/>
      <c r="G34" s="339"/>
      <c r="H34" s="339"/>
      <c r="I34" s="339"/>
      <c r="J34" s="340"/>
      <c r="K34" s="340"/>
      <c r="L34" s="340"/>
      <c r="M34" s="340"/>
      <c r="N34" s="340"/>
      <c r="O34" s="3"/>
    </row>
    <row r="35" spans="1:15" ht="19.95" customHeight="1">
      <c r="A35" s="54"/>
      <c r="B35" s="54"/>
      <c r="C35" s="54"/>
      <c r="D35" s="341"/>
      <c r="E35" s="339"/>
      <c r="F35" s="339"/>
      <c r="G35" s="339"/>
      <c r="H35" s="339"/>
      <c r="I35" s="339"/>
      <c r="J35" s="340"/>
      <c r="K35" s="340"/>
      <c r="L35" s="340"/>
      <c r="M35" s="340"/>
      <c r="N35" s="340"/>
      <c r="O35" s="3"/>
    </row>
    <row r="36" spans="1:15" ht="19.95" customHeight="1">
      <c r="A36" s="54"/>
      <c r="B36" s="54"/>
      <c r="C36" s="54"/>
      <c r="D36" s="341"/>
      <c r="E36" s="339"/>
      <c r="F36" s="339"/>
      <c r="G36" s="339"/>
      <c r="H36" s="339"/>
      <c r="I36" s="339"/>
      <c r="J36" s="340"/>
      <c r="K36" s="340"/>
      <c r="L36" s="340"/>
      <c r="M36" s="340"/>
      <c r="N36" s="340"/>
      <c r="O36" s="3"/>
    </row>
    <row r="37" spans="1:15" ht="19.95" customHeight="1">
      <c r="A37" s="282"/>
    </row>
    <row r="38" spans="1:15" ht="19.95" customHeight="1">
      <c r="A38" s="282"/>
    </row>
    <row r="41" spans="1:15" ht="19.95" customHeight="1">
      <c r="A41" s="342" t="s">
        <v>957</v>
      </c>
    </row>
    <row r="42" spans="1:15" ht="19.95" customHeight="1">
      <c r="A42" s="342" t="s">
        <v>958</v>
      </c>
    </row>
    <row r="43" spans="1:15" ht="19.95" customHeight="1">
      <c r="A43" s="232" t="s">
        <v>965</v>
      </c>
    </row>
    <row r="44" spans="1:15" ht="19.95" customHeight="1">
      <c r="A44" s="232" t="s">
        <v>959</v>
      </c>
    </row>
    <row r="45" spans="1:15" ht="19.95" customHeight="1">
      <c r="A45" s="232" t="s">
        <v>960</v>
      </c>
    </row>
    <row r="46" spans="1:15" ht="19.95" customHeight="1">
      <c r="A46" s="232" t="s">
        <v>967</v>
      </c>
    </row>
    <row r="47" spans="1:15" ht="19.95" customHeight="1">
      <c r="A47" s="232" t="s">
        <v>961</v>
      </c>
    </row>
    <row r="48" spans="1:15" ht="19.95" customHeight="1">
      <c r="A48" s="343" t="s">
        <v>962</v>
      </c>
    </row>
    <row r="49" spans="1:1" ht="19.95" customHeight="1">
      <c r="A49" s="232" t="s">
        <v>963</v>
      </c>
    </row>
    <row r="50" spans="1:1" ht="19.95" customHeight="1">
      <c r="A50" s="232" t="s">
        <v>964</v>
      </c>
    </row>
  </sheetData>
  <mergeCells count="2">
    <mergeCell ref="A1:O1"/>
    <mergeCell ref="A2:O2"/>
  </mergeCells>
  <phoneticPr fontId="10" type="noConversion"/>
  <dataValidations count="1">
    <dataValidation type="list" allowBlank="1" showInputMessage="1" showErrorMessage="1" sqref="B11:B15 B19:B24">
      <formula1>$A$43:$A$50</formula1>
    </dataValidation>
  </dataValidations>
  <hyperlinks>
    <hyperlink ref="O3" location="底稿目录!A1" display="H7A"/>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26</vt:i4>
      </vt:variant>
      <vt:variant>
        <vt:lpstr>命名范围</vt:lpstr>
      </vt:variant>
      <vt:variant>
        <vt:i4>30</vt:i4>
      </vt:variant>
    </vt:vector>
  </HeadingPairs>
  <TitlesOfParts>
    <vt:vector size="56" baseType="lpstr">
      <vt:lpstr>底稿目录</vt:lpstr>
      <vt:lpstr>生物资产实质性程序表H7A</vt:lpstr>
      <vt:lpstr>审定表（成本模式）H7-1</vt:lpstr>
      <vt:lpstr>审定表（公允价值模式）H7-1</vt:lpstr>
      <vt:lpstr>附注披露信息（上市公司）</vt:lpstr>
      <vt:lpstr>附注披露信息（国有企业）</vt:lpstr>
      <vt:lpstr>明细表（成本模式）H7-2</vt:lpstr>
      <vt:lpstr>明细表（公允价值模式）H7-2</vt:lpstr>
      <vt:lpstr>调整分录汇总H7-3</vt:lpstr>
      <vt:lpstr>会计政策估计检查表H7-4</vt:lpstr>
      <vt:lpstr>分析表H7-5</vt:lpstr>
      <vt:lpstr>增加检查表（成本模式）H7-6</vt:lpstr>
      <vt:lpstr>增加检查表（公允价值模式）H7-6</vt:lpstr>
      <vt:lpstr>减少检查表（成本模式）H7-7</vt:lpstr>
      <vt:lpstr>减少检查表（公允价值模式）H7-7</vt:lpstr>
      <vt:lpstr>监盘计划H7-8</vt:lpstr>
      <vt:lpstr>盘点检查表H7-9</vt:lpstr>
      <vt:lpstr>监盘小结H7-10</vt:lpstr>
      <vt:lpstr>折旧测算表（不含减值）-直线法H7-11</vt:lpstr>
      <vt:lpstr>折旧测算表（含减值）H7-11</vt:lpstr>
      <vt:lpstr>折旧分配分析表H7-12</vt:lpstr>
      <vt:lpstr>公允价值复核表H7-13</vt:lpstr>
      <vt:lpstr>互转审核表H7-14</vt:lpstr>
      <vt:lpstr>减值测算表H7-15</vt:lpstr>
      <vt:lpstr>可收回金额测试表H7-16</vt:lpstr>
      <vt:lpstr>关联交易检查表H7-17</vt:lpstr>
      <vt:lpstr>'调整分录汇总H7-3'!Print_Area</vt:lpstr>
      <vt:lpstr>'分析表H7-5'!Print_Area</vt:lpstr>
      <vt:lpstr>'附注披露信息（国有企业）'!Print_Area</vt:lpstr>
      <vt:lpstr>'附注披露信息（上市公司）'!Print_Area</vt:lpstr>
      <vt:lpstr>'公允价值复核表H7-13'!Print_Area</vt:lpstr>
      <vt:lpstr>'关联交易检查表H7-17'!Print_Area</vt:lpstr>
      <vt:lpstr>'互转审核表H7-14'!Print_Area</vt:lpstr>
      <vt:lpstr>'会计政策估计检查表H7-4'!Print_Area</vt:lpstr>
      <vt:lpstr>'监盘计划H7-8'!Print_Area</vt:lpstr>
      <vt:lpstr>'监盘小结H7-10'!Print_Area</vt:lpstr>
      <vt:lpstr>'减少检查表（成本模式）H7-7'!Print_Area</vt:lpstr>
      <vt:lpstr>'减少检查表（公允价值模式）H7-7'!Print_Area</vt:lpstr>
      <vt:lpstr>'减值测算表H7-15'!Print_Area</vt:lpstr>
      <vt:lpstr>'可收回金额测试表H7-16'!Print_Area</vt:lpstr>
      <vt:lpstr>'明细表（成本模式）H7-2'!Print_Area</vt:lpstr>
      <vt:lpstr>'明细表（公允价值模式）H7-2'!Print_Area</vt:lpstr>
      <vt:lpstr>'盘点检查表H7-9'!Print_Area</vt:lpstr>
      <vt:lpstr>'审定表（成本模式）H7-1'!Print_Area</vt:lpstr>
      <vt:lpstr>'审定表（公允价值模式）H7-1'!Print_Area</vt:lpstr>
      <vt:lpstr>生物资产实质性程序表H7A!Print_Area</vt:lpstr>
      <vt:lpstr>'增加检查表（成本模式）H7-6'!Print_Area</vt:lpstr>
      <vt:lpstr>'增加检查表（公允价值模式）H7-6'!Print_Area</vt:lpstr>
      <vt:lpstr>'折旧测算表（不含减值）-直线法H7-11'!Print_Area</vt:lpstr>
      <vt:lpstr>'折旧测算表（含减值）H7-11'!Print_Area</vt:lpstr>
      <vt:lpstr>'折旧分配分析表H7-12'!Print_Area</vt:lpstr>
      <vt:lpstr>'明细表（成本模式）H7-2'!Print_Titles</vt:lpstr>
      <vt:lpstr>'明细表（公允价值模式）H7-2'!Print_Titles</vt:lpstr>
      <vt:lpstr>生物资产实质性程序表H7A!Print_Titles</vt:lpstr>
      <vt:lpstr>'折旧测算表（不含减值）-直线法H7-11'!Print_Titles</vt:lpstr>
      <vt:lpstr>'折旧测算表（含减值）H7-11'!Print_Titles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2025-10-21T03:06:07Z</cp:lastPrinted>
  <dcterms:created xsi:type="dcterms:W3CDTF">2013-12-07T08:37:47Z</dcterms:created>
  <dcterms:modified xsi:type="dcterms:W3CDTF">2025-11-05T06:30:44Z</dcterms:modified>
</cp:coreProperties>
</file>