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H 固定资产循环\"/>
    </mc:Choice>
  </mc:AlternateContent>
  <bookViews>
    <workbookView xWindow="480" yWindow="96" windowWidth="15480" windowHeight="8868" tabRatio="770"/>
  </bookViews>
  <sheets>
    <sheet name="底稿目录" sheetId="1" r:id="rId1"/>
    <sheet name="资产处置损益实质性程序表H10A" sheetId="28" r:id="rId2"/>
    <sheet name="审定表H10-1" sheetId="15" r:id="rId3"/>
    <sheet name="附注披露信息（上市公司）" sheetId="21" r:id="rId4"/>
    <sheet name="附注披露信息（国企）" sheetId="24" r:id="rId5"/>
    <sheet name="明细表H10-2" sheetId="19" r:id="rId6"/>
    <sheet name="调整分录汇总H10-3" sheetId="27" r:id="rId7"/>
    <sheet name="检查表H10-4" sheetId="20" r:id="rId8"/>
    <sheet name="GT_Custom" sheetId="22" state="hidden" r:id="rId9"/>
  </sheets>
  <definedNames>
    <definedName name="_xlnm._FilterDatabase" localSheetId="1">资产处置损益实质性程序表H10A!$A$16:$L$16</definedName>
    <definedName name="_xlnm.Print_Area" localSheetId="6">'调整分录汇总H10-3'!$A$1:$J$20</definedName>
    <definedName name="_xlnm.Print_Area" localSheetId="4">'附注披露信息（国企）'!$A$1:$D$22</definedName>
    <definedName name="_xlnm.Print_Area" localSheetId="3">'附注披露信息（上市公司）'!$A$1:$E$31</definedName>
    <definedName name="_xlnm.Print_Area" localSheetId="7">'检查表H10-4'!$A$1:$Q$27</definedName>
    <definedName name="_xlnm.Print_Area" localSheetId="5">'明细表H10-2'!$A$1:$Z$23</definedName>
    <definedName name="_xlnm.Print_Area" localSheetId="2">'审定表H10-1'!$A$1:$K$17</definedName>
    <definedName name="_xlnm.Print_Area" localSheetId="1">资产处置损益实质性程序表H10A!$A$1:$I$21</definedName>
    <definedName name="_xlnm.Print_Titles" localSheetId="2">'审定表H10-1'!$1:$4</definedName>
    <definedName name="_xlnm.Print_Titles" localSheetId="1">资产处置损益实质性程序表H10A!$15:$15</definedName>
  </definedNames>
  <calcPr calcId="162913"/>
</workbook>
</file>

<file path=xl/calcChain.xml><?xml version="1.0" encoding="utf-8"?>
<calcChain xmlns="http://schemas.openxmlformats.org/spreadsheetml/2006/main">
  <c r="H19" i="20" l="1"/>
  <c r="G19" i="20"/>
  <c r="D4" i="1"/>
  <c r="D5" i="1" l="1"/>
  <c r="D6" i="1" s="1"/>
  <c r="D7" i="1" s="1"/>
  <c r="D8" i="1" s="1"/>
  <c r="D9" i="1" s="1"/>
  <c r="E4" i="28" l="1"/>
  <c r="C4" i="28"/>
  <c r="A4" i="28"/>
  <c r="E3" i="28"/>
  <c r="C3" i="28"/>
  <c r="A3" i="28"/>
  <c r="X8" i="19" l="1"/>
  <c r="X9" i="19"/>
  <c r="W17" i="19"/>
  <c r="V17" i="19"/>
  <c r="U17" i="19"/>
  <c r="O17" i="19"/>
  <c r="P17" i="19"/>
  <c r="N8" i="19"/>
  <c r="Q8" i="19" s="1"/>
  <c r="N16" i="19"/>
  <c r="C17" i="19"/>
  <c r="D17" i="19"/>
  <c r="E17" i="19"/>
  <c r="F17" i="19"/>
  <c r="G17" i="19"/>
  <c r="H17" i="19"/>
  <c r="I17" i="19"/>
  <c r="J17" i="19"/>
  <c r="K17" i="19"/>
  <c r="L17" i="19"/>
  <c r="M17" i="19"/>
  <c r="B17" i="19"/>
  <c r="H4" i="15"/>
  <c r="C4" i="15"/>
  <c r="C4" i="21"/>
  <c r="B4" i="21"/>
  <c r="C4" i="24"/>
  <c r="B4" i="24"/>
  <c r="P4" i="19"/>
  <c r="J4" i="19"/>
  <c r="G4" i="27"/>
  <c r="G3" i="27"/>
  <c r="D4" i="27"/>
  <c r="D3" i="27"/>
  <c r="A4" i="27"/>
  <c r="A3" i="27"/>
  <c r="I4" i="20"/>
  <c r="E4" i="20"/>
  <c r="X17" i="19" l="1"/>
  <c r="Y8" i="19" s="1"/>
  <c r="G13" i="15"/>
  <c r="H13" i="15"/>
  <c r="I13" i="15"/>
  <c r="G14" i="15"/>
  <c r="H14" i="15"/>
  <c r="I14" i="15"/>
  <c r="C13" i="15"/>
  <c r="D13" i="15"/>
  <c r="B14" i="15"/>
  <c r="C14" i="15"/>
  <c r="D14" i="15"/>
  <c r="A7" i="15"/>
  <c r="A8" i="15"/>
  <c r="A9" i="15"/>
  <c r="A10" i="15"/>
  <c r="A11" i="15"/>
  <c r="A12" i="15"/>
  <c r="A13" i="15"/>
  <c r="A14" i="15"/>
  <c r="A6" i="15"/>
  <c r="X16" i="19"/>
  <c r="Q16" i="19"/>
  <c r="J14" i="15" l="1"/>
  <c r="E14" i="15"/>
  <c r="J13" i="15"/>
  <c r="Y9" i="19"/>
  <c r="Z16" i="19"/>
  <c r="N9" i="19" l="1"/>
  <c r="N10" i="19"/>
  <c r="N11" i="19"/>
  <c r="N12" i="19"/>
  <c r="N13" i="19"/>
  <c r="N14" i="19"/>
  <c r="N15" i="19"/>
  <c r="B13" i="15" s="1"/>
  <c r="E13" i="15" s="1"/>
  <c r="N17" i="19" l="1"/>
  <c r="B18" i="19" s="1"/>
  <c r="G7" i="15"/>
  <c r="H7" i="15"/>
  <c r="I7" i="15"/>
  <c r="G8" i="15"/>
  <c r="H8" i="15"/>
  <c r="I8" i="15"/>
  <c r="G9" i="15"/>
  <c r="H9" i="15"/>
  <c r="I9" i="15"/>
  <c r="G10" i="15"/>
  <c r="H10" i="15"/>
  <c r="I10" i="15"/>
  <c r="G11" i="15"/>
  <c r="H11" i="15"/>
  <c r="I11" i="15"/>
  <c r="G12" i="15"/>
  <c r="H12" i="15"/>
  <c r="I12" i="15"/>
  <c r="C7" i="15"/>
  <c r="D7" i="15"/>
  <c r="C8" i="15"/>
  <c r="D8" i="15"/>
  <c r="C9" i="15"/>
  <c r="D9" i="15"/>
  <c r="C10" i="15"/>
  <c r="D10" i="15"/>
  <c r="C11" i="15"/>
  <c r="D11" i="15"/>
  <c r="C12" i="15"/>
  <c r="D12" i="15"/>
  <c r="X10" i="19"/>
  <c r="J10" i="15" l="1"/>
  <c r="I6" i="15"/>
  <c r="I15" i="15" s="1"/>
  <c r="H6" i="15"/>
  <c r="H15" i="15" s="1"/>
  <c r="G6" i="15"/>
  <c r="B8" i="15"/>
  <c r="B10" i="15"/>
  <c r="B11" i="15"/>
  <c r="B12" i="15"/>
  <c r="G15" i="15" l="1"/>
  <c r="J6" i="15"/>
  <c r="B6" i="15"/>
  <c r="Q9" i="19"/>
  <c r="B7" i="15"/>
  <c r="B9" i="15"/>
  <c r="Q11" i="19"/>
  <c r="Z9" i="19" l="1"/>
  <c r="B15" i="15"/>
  <c r="C18" i="19" l="1"/>
  <c r="A4" i="24"/>
  <c r="C3" i="24"/>
  <c r="B3" i="24"/>
  <c r="A3" i="24"/>
  <c r="D6" i="15" l="1"/>
  <c r="D15" i="15" s="1"/>
  <c r="C6" i="15"/>
  <c r="Z8" i="19"/>
  <c r="X11" i="19"/>
  <c r="Z11" i="19" s="1"/>
  <c r="X12" i="19"/>
  <c r="X13" i="19"/>
  <c r="X14" i="19"/>
  <c r="X15" i="19"/>
  <c r="Y16" i="19"/>
  <c r="J7" i="15"/>
  <c r="J8" i="15"/>
  <c r="J9" i="15"/>
  <c r="J11" i="15"/>
  <c r="J12" i="15"/>
  <c r="A4" i="21"/>
  <c r="C3" i="21"/>
  <c r="B3" i="21"/>
  <c r="A3" i="21"/>
  <c r="I3" i="20"/>
  <c r="E3" i="20"/>
  <c r="A4" i="20"/>
  <c r="A3" i="20"/>
  <c r="P3" i="19"/>
  <c r="J3" i="19"/>
  <c r="A4" i="19"/>
  <c r="A3" i="19"/>
  <c r="H3" i="15"/>
  <c r="C3" i="15"/>
  <c r="E9" i="15"/>
  <c r="E10" i="15"/>
  <c r="E11" i="15"/>
  <c r="E12" i="15"/>
  <c r="E7" i="15"/>
  <c r="E8" i="15"/>
  <c r="A4" i="15"/>
  <c r="A3" i="15"/>
  <c r="C15" i="15" l="1"/>
  <c r="E6" i="15"/>
  <c r="E15" i="15" s="1"/>
  <c r="E17" i="15" s="1"/>
  <c r="Y10" i="19"/>
  <c r="Y11" i="19"/>
  <c r="Y15" i="19"/>
  <c r="Y13" i="19"/>
  <c r="Y14" i="19"/>
  <c r="Y12" i="19"/>
  <c r="Y17" i="19"/>
  <c r="Q10" i="19"/>
  <c r="Q14" i="19"/>
  <c r="Z14" i="19" s="1"/>
  <c r="Q13" i="19"/>
  <c r="Z13" i="19" s="1"/>
  <c r="Q15" i="19"/>
  <c r="Z15" i="19" s="1"/>
  <c r="Q12" i="19"/>
  <c r="Z12" i="19" s="1"/>
  <c r="J15" i="15"/>
  <c r="J17" i="15" s="1"/>
  <c r="Z10" i="19" l="1"/>
  <c r="Q17" i="19"/>
  <c r="N18" i="19"/>
  <c r="E18" i="19"/>
  <c r="G18" i="19"/>
  <c r="K18" i="19"/>
  <c r="L18" i="19"/>
  <c r="D18" i="19"/>
  <c r="I18" i="19"/>
  <c r="M18" i="19"/>
  <c r="J18" i="19"/>
  <c r="H18" i="19"/>
  <c r="F18" i="19"/>
  <c r="H20" i="20" l="1"/>
  <c r="H21" i="20" s="1"/>
  <c r="T13" i="19"/>
  <c r="T8" i="19"/>
  <c r="T9" i="19"/>
  <c r="T12" i="19"/>
  <c r="T10" i="19"/>
  <c r="Z17" i="19"/>
  <c r="T14" i="19"/>
  <c r="T17" i="19"/>
  <c r="T11" i="19"/>
  <c r="T15" i="19"/>
  <c r="T16" i="19"/>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<sst xmlns="http://schemas.openxmlformats.org/spreadsheetml/2006/main" count="287" uniqueCount="248">
  <si>
    <r>
      <t>3</t>
    </r>
    <r>
      <rPr>
        <b/>
        <sz val="10"/>
        <rFont val="宋体"/>
        <family val="3"/>
        <charset val="134"/>
      </rPr>
      <t>月</t>
    </r>
  </si>
  <si>
    <r>
      <t>4</t>
    </r>
    <r>
      <rPr>
        <b/>
        <sz val="10"/>
        <rFont val="宋体"/>
        <family val="3"/>
        <charset val="134"/>
      </rPr>
      <t>月</t>
    </r>
  </si>
  <si>
    <r>
      <t>5</t>
    </r>
    <r>
      <rPr>
        <b/>
        <sz val="10"/>
        <rFont val="宋体"/>
        <family val="3"/>
        <charset val="134"/>
      </rPr>
      <t>月</t>
    </r>
  </si>
  <si>
    <r>
      <t>6</t>
    </r>
    <r>
      <rPr>
        <b/>
        <sz val="10"/>
        <rFont val="宋体"/>
        <family val="3"/>
        <charset val="134"/>
      </rPr>
      <t>月</t>
    </r>
  </si>
  <si>
    <r>
      <t>7</t>
    </r>
    <r>
      <rPr>
        <b/>
        <sz val="10"/>
        <rFont val="宋体"/>
        <family val="3"/>
        <charset val="134"/>
      </rPr>
      <t>月</t>
    </r>
  </si>
  <si>
    <r>
      <t>8</t>
    </r>
    <r>
      <rPr>
        <b/>
        <sz val="10"/>
        <rFont val="宋体"/>
        <family val="3"/>
        <charset val="134"/>
      </rPr>
      <t>月</t>
    </r>
  </si>
  <si>
    <r>
      <t>9</t>
    </r>
    <r>
      <rPr>
        <b/>
        <sz val="10"/>
        <rFont val="宋体"/>
        <family val="3"/>
        <charset val="134"/>
      </rPr>
      <t>月</t>
    </r>
  </si>
  <si>
    <r>
      <t>10</t>
    </r>
    <r>
      <rPr>
        <b/>
        <sz val="10"/>
        <rFont val="宋体"/>
        <family val="3"/>
        <charset val="134"/>
      </rPr>
      <t>月</t>
    </r>
  </si>
  <si>
    <r>
      <t>11</t>
    </r>
    <r>
      <rPr>
        <b/>
        <sz val="10"/>
        <rFont val="宋体"/>
        <family val="3"/>
        <charset val="134"/>
      </rPr>
      <t>月</t>
    </r>
  </si>
  <si>
    <r>
      <t>12</t>
    </r>
    <r>
      <rPr>
        <b/>
        <sz val="10"/>
        <rFont val="宋体"/>
        <family val="3"/>
        <charset val="134"/>
      </rPr>
      <t>月</t>
    </r>
  </si>
  <si>
    <t>C1</t>
  </si>
  <si>
    <t>Custom 1</t>
  </si>
  <si>
    <t>C2</t>
  </si>
  <si>
    <t>Custom 2</t>
  </si>
  <si>
    <t>C3</t>
  </si>
  <si>
    <t>Custom 3</t>
  </si>
  <si>
    <t>C4</t>
  </si>
  <si>
    <t>Custom 4</t>
  </si>
  <si>
    <t>C5</t>
  </si>
  <si>
    <t>Custom 5</t>
  </si>
  <si>
    <t>C6</t>
  </si>
  <si>
    <t>Custom 6</t>
  </si>
  <si>
    <t>C7</t>
  </si>
  <si>
    <t>Custom 7</t>
  </si>
  <si>
    <t>C8</t>
  </si>
  <si>
    <t>Custom 8</t>
  </si>
  <si>
    <r>
      <rPr>
        <b/>
        <sz val="10"/>
        <rFont val="宋体"/>
        <family val="3"/>
        <charset val="134"/>
      </rPr>
      <t>重分类调整</t>
    </r>
    <phoneticPr fontId="12" type="noConversion"/>
  </si>
  <si>
    <r>
      <rPr>
        <b/>
        <sz val="10"/>
        <rFont val="宋体"/>
        <family val="3"/>
        <charset val="134"/>
      </rPr>
      <t>合计</t>
    </r>
  </si>
  <si>
    <r>
      <rPr>
        <b/>
        <sz val="10"/>
        <rFont val="宋体"/>
        <family val="3"/>
        <charset val="134"/>
      </rPr>
      <t>各月比例</t>
    </r>
    <phoneticPr fontId="12" type="noConversion"/>
  </si>
  <si>
    <r>
      <rPr>
        <b/>
        <sz val="10"/>
        <rFont val="宋体"/>
        <family val="3"/>
        <charset val="134"/>
      </rPr>
      <t>三、审计说明：</t>
    </r>
    <phoneticPr fontId="12" type="noConversion"/>
  </si>
  <si>
    <r>
      <rPr>
        <b/>
        <sz val="10"/>
        <rFont val="宋体"/>
        <family val="3"/>
        <charset val="134"/>
      </rPr>
      <t>附注披露信息（上市公司）：</t>
    </r>
    <phoneticPr fontId="12" type="noConversion"/>
  </si>
  <si>
    <t>本期发生额</t>
  </si>
  <si>
    <t>上期发生额</t>
  </si>
  <si>
    <t>附注披露信息（国企）：</t>
    <phoneticPr fontId="12" type="noConversion"/>
  </si>
  <si>
    <r>
      <rPr>
        <b/>
        <sz val="10"/>
        <rFont val="宋体"/>
        <family val="3"/>
        <charset val="134"/>
      </rPr>
      <t>索引号</t>
    </r>
  </si>
  <si>
    <r>
      <rPr>
        <b/>
        <sz val="10"/>
        <rFont val="宋体"/>
        <family val="3"/>
        <charset val="134"/>
      </rPr>
      <t>备注</t>
    </r>
  </si>
  <si>
    <t>资产处置损益附注披露信息</t>
    <phoneticPr fontId="12" type="noConversion"/>
  </si>
  <si>
    <t>资产处置损益附注披露信息</t>
    <phoneticPr fontId="12" type="noConversion"/>
  </si>
  <si>
    <t>发生</t>
    <phoneticPr fontId="12" type="noConversion"/>
  </si>
  <si>
    <t>准确性</t>
    <phoneticPr fontId="12" type="noConversion"/>
  </si>
  <si>
    <t>确定需在财务报表中单独披露的信息已被记录。</t>
  </si>
  <si>
    <t>……</t>
    <phoneticPr fontId="12" type="noConversion"/>
  </si>
  <si>
    <t>收入</t>
  </si>
  <si>
    <t>成本</t>
  </si>
  <si>
    <t>固定资产试运行销售</t>
  </si>
  <si>
    <t>研发样品销售</t>
  </si>
  <si>
    <r>
      <t>74</t>
    </r>
    <r>
      <rPr>
        <sz val="12"/>
        <rFont val="仿宋_GB2312"/>
        <family val="3"/>
        <charset val="134"/>
      </rPr>
      <t>、资产处置收益（损失以</t>
    </r>
    <r>
      <rPr>
        <sz val="12"/>
        <rFont val="Arial Narrow"/>
        <family val="2"/>
      </rPr>
      <t>“-”</t>
    </r>
    <r>
      <rPr>
        <sz val="12"/>
        <rFont val="仿宋_GB2312"/>
        <family val="3"/>
        <charset val="134"/>
      </rPr>
      <t>填列）</t>
    </r>
    <r>
      <rPr>
        <sz val="12"/>
        <color rgb="FF0000FF"/>
        <rFont val="仿宋_GB2312"/>
        <family val="3"/>
        <charset val="134"/>
      </rPr>
      <t>（注：以下不存在的项目可以删除）</t>
    </r>
    <phoneticPr fontId="12" type="noConversion"/>
  </si>
  <si>
    <r>
      <t>项</t>
    </r>
    <r>
      <rPr>
        <b/>
        <sz val="10.5"/>
        <rFont val="Arial Narrow"/>
        <family val="2"/>
      </rPr>
      <t xml:space="preserve">  </t>
    </r>
    <r>
      <rPr>
        <b/>
        <sz val="10.5"/>
        <rFont val="仿宋_GB2312"/>
        <family val="3"/>
        <charset val="134"/>
      </rPr>
      <t>目</t>
    </r>
  </si>
  <si>
    <r>
      <t>持有待售的非流动资产（处置组）处置利得（损失以“</t>
    </r>
    <r>
      <rPr>
        <sz val="10.5"/>
        <rFont val="Arial Narrow"/>
        <family val="2"/>
      </rPr>
      <t>-</t>
    </r>
    <r>
      <rPr>
        <sz val="10.5"/>
        <rFont val="仿宋_GB2312"/>
        <family val="3"/>
        <charset val="134"/>
      </rPr>
      <t>”填列）</t>
    </r>
  </si>
  <si>
    <r>
      <t>固定资产处置利得（损失以“</t>
    </r>
    <r>
      <rPr>
        <sz val="10.5"/>
        <rFont val="Arial Narrow"/>
        <family val="2"/>
      </rPr>
      <t>-</t>
    </r>
    <r>
      <rPr>
        <sz val="10.5"/>
        <rFont val="仿宋_GB2312"/>
        <family val="3"/>
        <charset val="134"/>
      </rPr>
      <t>”填列）</t>
    </r>
  </si>
  <si>
    <r>
      <t>在建工程处置利得（损失以“</t>
    </r>
    <r>
      <rPr>
        <sz val="10.5"/>
        <rFont val="Arial Narrow"/>
        <family val="2"/>
      </rPr>
      <t>-</t>
    </r>
    <r>
      <rPr>
        <sz val="10.5"/>
        <rFont val="仿宋_GB2312"/>
        <family val="3"/>
        <charset val="134"/>
      </rPr>
      <t>”填列）</t>
    </r>
  </si>
  <si>
    <r>
      <t>生产性生物资产处置利得（损失以“</t>
    </r>
    <r>
      <rPr>
        <sz val="10.5"/>
        <rFont val="Arial Narrow"/>
        <family val="2"/>
      </rPr>
      <t>-</t>
    </r>
    <r>
      <rPr>
        <sz val="10.5"/>
        <rFont val="仿宋_GB2312"/>
        <family val="3"/>
        <charset val="134"/>
      </rPr>
      <t>”填列）</t>
    </r>
  </si>
  <si>
    <r>
      <t>无形资产处置利得（损失以“</t>
    </r>
    <r>
      <rPr>
        <sz val="10.5"/>
        <rFont val="Arial Narrow"/>
        <family val="2"/>
      </rPr>
      <t>-</t>
    </r>
    <r>
      <rPr>
        <sz val="10.5"/>
        <rFont val="仿宋_GB2312"/>
        <family val="3"/>
        <charset val="134"/>
      </rPr>
      <t>”填列）</t>
    </r>
  </si>
  <si>
    <r>
      <t>非货币性资产交换产生的利得（损失以“</t>
    </r>
    <r>
      <rPr>
        <sz val="10.5"/>
        <rFont val="Arial Narrow"/>
        <family val="2"/>
      </rPr>
      <t>-</t>
    </r>
    <r>
      <rPr>
        <sz val="10.5"/>
        <rFont val="仿宋_GB2312"/>
        <family val="3"/>
        <charset val="134"/>
      </rPr>
      <t>”填列）</t>
    </r>
  </si>
  <si>
    <t>试运行销售损益</t>
  </si>
  <si>
    <t>可无限量添加行</t>
  </si>
  <si>
    <r>
      <t>合</t>
    </r>
    <r>
      <rPr>
        <b/>
        <sz val="10.5"/>
        <rFont val="Arial Narrow"/>
        <family val="2"/>
      </rPr>
      <t xml:space="preserve">  </t>
    </r>
    <r>
      <rPr>
        <b/>
        <sz val="10.5"/>
        <rFont val="仿宋_GB2312"/>
        <family val="3"/>
        <charset val="134"/>
      </rPr>
      <t>计</t>
    </r>
  </si>
  <si>
    <t>【提示：</t>
  </si>
  <si>
    <r>
      <t>1.</t>
    </r>
    <r>
      <rPr>
        <sz val="12"/>
        <color rgb="FF0000FF"/>
        <rFont val="仿宋_GB2312"/>
        <family val="3"/>
        <charset val="134"/>
      </rPr>
      <t>对于不构成业务的资产组的处置收益，无论直接出售还是先持有待售再出售，均整体计入资产处置收益，与资产组相关的其他综合收益转入资产处置收益。</t>
    </r>
  </si>
  <si>
    <r>
      <t>2.</t>
    </r>
    <r>
      <rPr>
        <sz val="12"/>
        <color rgb="FF0000FF"/>
        <rFont val="仿宋_GB2312"/>
        <family val="3"/>
        <charset val="134"/>
      </rPr>
      <t>对于业务（包括子公司和分公司）处置的收益，无论直接出售还是先持有待售再出售，均整体计入投资收益，与业务相关的其他综合收益同时转入投资收益。</t>
    </r>
  </si>
  <si>
    <r>
      <t>3.</t>
    </r>
    <r>
      <rPr>
        <sz val="12"/>
        <color rgb="FF0000FF"/>
        <rFont val="仿宋_GB2312"/>
        <family val="3"/>
        <charset val="134"/>
      </rPr>
      <t>单项的投资性房地产的处置，无论是直接出售还是先划分为持有待售资产再出售，处置损益均计入</t>
    </r>
    <r>
      <rPr>
        <sz val="12"/>
        <color rgb="FF0000FF"/>
        <rFont val="Arial Narrow"/>
        <family val="2"/>
      </rPr>
      <t>“</t>
    </r>
    <r>
      <rPr>
        <sz val="12"/>
        <color rgb="FF0000FF"/>
        <rFont val="仿宋_GB2312"/>
        <family val="3"/>
        <charset val="134"/>
      </rPr>
      <t>其他业务收入</t>
    </r>
    <r>
      <rPr>
        <sz val="12"/>
        <color rgb="FF0000FF"/>
        <rFont val="Arial Narrow"/>
        <family val="2"/>
      </rPr>
      <t>/</t>
    </r>
    <r>
      <rPr>
        <sz val="12"/>
        <color rgb="FF0000FF"/>
        <rFont val="仿宋_GB2312"/>
        <family val="3"/>
        <charset val="134"/>
      </rPr>
      <t>成本</t>
    </r>
    <r>
      <rPr>
        <sz val="12"/>
        <color rgb="FF0000FF"/>
        <rFont val="Arial Narrow"/>
        <family val="2"/>
      </rPr>
      <t>”</t>
    </r>
    <r>
      <rPr>
        <sz val="12"/>
        <color rgb="FF0000FF"/>
        <rFont val="仿宋_GB2312"/>
        <family val="3"/>
        <charset val="134"/>
      </rPr>
      <t>，不计入</t>
    </r>
    <r>
      <rPr>
        <sz val="12"/>
        <color rgb="FF0000FF"/>
        <rFont val="Arial Narrow"/>
        <family val="2"/>
      </rPr>
      <t>“</t>
    </r>
    <r>
      <rPr>
        <sz val="12"/>
        <color rgb="FF0000FF"/>
        <rFont val="仿宋_GB2312"/>
        <family val="3"/>
        <charset val="134"/>
      </rPr>
      <t>资产处置收益</t>
    </r>
    <r>
      <rPr>
        <sz val="12"/>
        <color rgb="FF0000FF"/>
        <rFont val="Arial Narrow"/>
        <family val="2"/>
      </rPr>
      <t>”</t>
    </r>
    <r>
      <rPr>
        <sz val="12"/>
        <color rgb="FF0000FF"/>
        <rFont val="仿宋_GB2312"/>
        <family val="3"/>
        <charset val="134"/>
      </rPr>
      <t>。】</t>
    </r>
  </si>
  <si>
    <r>
      <t>（1）</t>
    </r>
    <r>
      <rPr>
        <sz val="12"/>
        <rFont val="仿宋_GB2312"/>
        <family val="3"/>
        <charset val="134"/>
      </rPr>
      <t>试运行销售损益</t>
    </r>
  </si>
  <si>
    <r>
      <t>【提示：企业会计准则解释第</t>
    </r>
    <r>
      <rPr>
        <sz val="12"/>
        <color rgb="FF0000FF"/>
        <rFont val="Arial Narrow"/>
        <family val="2"/>
      </rPr>
      <t>15</t>
    </r>
    <r>
      <rPr>
        <sz val="12"/>
        <color rgb="FF0000FF"/>
        <rFont val="仿宋_GB2312"/>
        <family val="3"/>
        <charset val="134"/>
      </rPr>
      <t>号规定，企业应当按照《企业会计准则第</t>
    </r>
    <r>
      <rPr>
        <sz val="12"/>
        <color rgb="FF0000FF"/>
        <rFont val="Arial Narrow"/>
        <family val="2"/>
      </rPr>
      <t>1</t>
    </r>
    <r>
      <rPr>
        <sz val="12"/>
        <color rgb="FF0000FF"/>
        <rFont val="仿宋_GB2312"/>
        <family val="3"/>
        <charset val="134"/>
      </rPr>
      <t>号——存货》、《企业会计准则第</t>
    </r>
    <r>
      <rPr>
        <sz val="12"/>
        <color rgb="FF0000FF"/>
        <rFont val="Arial Narrow"/>
        <family val="2"/>
      </rPr>
      <t>14</t>
    </r>
    <r>
      <rPr>
        <sz val="12"/>
        <color rgb="FF0000FF"/>
        <rFont val="仿宋_GB2312"/>
        <family val="3"/>
        <charset val="134"/>
      </rPr>
      <t>号——收入》、《企业会计准则第</t>
    </r>
    <r>
      <rPr>
        <sz val="12"/>
        <color rgb="FF0000FF"/>
        <rFont val="Arial Narrow"/>
        <family val="2"/>
      </rPr>
      <t>30</t>
    </r>
    <r>
      <rPr>
        <sz val="12"/>
        <color rgb="FF0000FF"/>
        <rFont val="仿宋_GB2312"/>
        <family val="3"/>
        <charset val="134"/>
      </rPr>
      <t>号——财务报表列报》等规定，判断试运行销售是否属于企业的日常活动，并在财务报表中分别日常活动和非日常活动列示试运行销售的相关收入和成本，属于日常活动的，在“营业收入”和“营业成本”项目列示，属于非日常活动的，在“资产处置收益”等项目列示。同时企业应当在附注中单独披露试运行销售的相关收入和成本金额、具体列报项目以及确定试运行销售相关成本时采用的重要会计估计等相关信息。】</t>
    </r>
  </si>
  <si>
    <r>
      <t>项</t>
    </r>
    <r>
      <rPr>
        <b/>
        <sz val="12"/>
        <color rgb="FFFF0000"/>
        <rFont val="Arial Narrow"/>
        <family val="2"/>
      </rPr>
      <t xml:space="preserve">  </t>
    </r>
    <r>
      <rPr>
        <b/>
        <sz val="12"/>
        <color rgb="FFFF0000"/>
        <rFont val="仿宋_GB2312"/>
        <family val="3"/>
        <charset val="134"/>
      </rPr>
      <t>目</t>
    </r>
  </si>
  <si>
    <r>
      <t>合</t>
    </r>
    <r>
      <rPr>
        <b/>
        <sz val="12"/>
        <color rgb="FFFF0000"/>
        <rFont val="Arial Narrow"/>
        <family val="2"/>
      </rPr>
      <t xml:space="preserve">  </t>
    </r>
    <r>
      <rPr>
        <b/>
        <sz val="12"/>
        <color rgb="FFFF0000"/>
        <rFont val="仿宋_GB2312"/>
        <family val="3"/>
        <charset val="134"/>
      </rPr>
      <t>计</t>
    </r>
  </si>
  <si>
    <t>（说明成本的具体核算方法。）</t>
  </si>
  <si>
    <r>
      <t>72</t>
    </r>
    <r>
      <rPr>
        <sz val="12"/>
        <rFont val="宋体"/>
        <family val="3"/>
        <charset val="134"/>
      </rPr>
      <t>、</t>
    </r>
    <r>
      <rPr>
        <sz val="12"/>
        <rFont val="仿宋_GB2312"/>
        <family val="3"/>
        <charset val="134"/>
      </rPr>
      <t>资产处置收益</t>
    </r>
    <r>
      <rPr>
        <sz val="12"/>
        <color rgb="FF000000"/>
        <rFont val="仿宋_GB2312"/>
        <family val="3"/>
        <charset val="134"/>
      </rPr>
      <t>（损失以</t>
    </r>
    <r>
      <rPr>
        <sz val="12"/>
        <color rgb="FF000000"/>
        <rFont val="Arial Narrow"/>
        <family val="2"/>
      </rPr>
      <t>“-”</t>
    </r>
    <r>
      <rPr>
        <sz val="12"/>
        <color rgb="FF000000"/>
        <rFont val="仿宋_GB2312"/>
        <family val="3"/>
        <charset val="134"/>
      </rPr>
      <t>号填列）</t>
    </r>
    <r>
      <rPr>
        <sz val="12"/>
        <color rgb="FF0000FF"/>
        <rFont val="仿宋_GB2312"/>
        <family val="3"/>
        <charset val="134"/>
      </rPr>
      <t>（不适用的项目，删除）</t>
    </r>
    <phoneticPr fontId="12" type="noConversion"/>
  </si>
  <si>
    <r>
      <t>项</t>
    </r>
    <r>
      <rPr>
        <b/>
        <sz val="10.5"/>
        <color rgb="FF000000"/>
        <rFont val="Arial Narrow"/>
        <family val="2"/>
      </rPr>
      <t xml:space="preserve">  </t>
    </r>
    <r>
      <rPr>
        <b/>
        <sz val="10.5"/>
        <color rgb="FF000000"/>
        <rFont val="仿宋_GB2312"/>
        <family val="3"/>
        <charset val="134"/>
      </rPr>
      <t>目</t>
    </r>
  </si>
  <si>
    <t>计入当期非经常性损益的金额</t>
  </si>
  <si>
    <t>持有待售的非流动资产（处置组）处置利得</t>
  </si>
  <si>
    <t>固定资产处置利得</t>
  </si>
  <si>
    <t>在建工程处置利得</t>
  </si>
  <si>
    <t>生产性生物资产处置利得</t>
  </si>
  <si>
    <t>无形资产处置利得</t>
  </si>
  <si>
    <t>非货币性资产交换产生的利得</t>
  </si>
  <si>
    <r>
      <t>合</t>
    </r>
    <r>
      <rPr>
        <b/>
        <sz val="10.5"/>
        <color rgb="FF000000"/>
        <rFont val="Arial Narrow"/>
        <family val="2"/>
      </rPr>
      <t xml:space="preserve">  </t>
    </r>
    <r>
      <rPr>
        <b/>
        <sz val="10.5"/>
        <color rgb="FF000000"/>
        <rFont val="仿宋_GB2312"/>
        <family val="3"/>
        <charset val="134"/>
      </rPr>
      <t>计</t>
    </r>
  </si>
  <si>
    <r>
      <t>【提示：反映企业出售划分为持有待售的非流动资产（金融工具、长期股权投资和投资性房地产除外）或处置组时确认的处置利得或损失，以及处置未划分为持有待售的固定资产、在建工程、生产性生物资产及无形资产而产生的处置利得或损失。债务重组中因处置非流动资产产生的利得或损失和非货币性资产交换产生的利得或损失也包括在本项目内。该项目应根据在损益类科目新设置的</t>
    </r>
    <r>
      <rPr>
        <sz val="12"/>
        <color rgb="FF0000FF"/>
        <rFont val="Arial Narrow"/>
        <family val="2"/>
      </rPr>
      <t>“</t>
    </r>
    <r>
      <rPr>
        <sz val="12"/>
        <color rgb="FF0000FF"/>
        <rFont val="仿宋_GB2312"/>
        <family val="3"/>
        <charset val="134"/>
      </rPr>
      <t>资产处置损益</t>
    </r>
    <r>
      <rPr>
        <sz val="12"/>
        <color rgb="FF0000FF"/>
        <rFont val="Arial Narrow"/>
        <family val="2"/>
      </rPr>
      <t>”</t>
    </r>
    <r>
      <rPr>
        <sz val="12"/>
        <color rgb="FF0000FF"/>
        <rFont val="仿宋_GB2312"/>
        <family val="3"/>
        <charset val="134"/>
      </rPr>
      <t>科目的发生额分析填列；如为处置损失，以</t>
    </r>
    <r>
      <rPr>
        <sz val="12"/>
        <color rgb="FF0000FF"/>
        <rFont val="Arial Narrow"/>
        <family val="2"/>
      </rPr>
      <t>“-”</t>
    </r>
    <r>
      <rPr>
        <sz val="12"/>
        <color rgb="FF0000FF"/>
        <rFont val="仿宋_GB2312"/>
        <family val="3"/>
        <charset val="134"/>
      </rPr>
      <t>号填列。】</t>
    </r>
  </si>
  <si>
    <r>
      <t>【提示：</t>
    </r>
    <r>
      <rPr>
        <b/>
        <sz val="12"/>
        <color rgb="FF0000FF"/>
        <rFont val="Arial Narrow"/>
        <family val="2"/>
      </rPr>
      <t>1</t>
    </r>
    <r>
      <rPr>
        <b/>
        <sz val="12"/>
        <color rgb="FF0000FF"/>
        <rFont val="仿宋_GB2312"/>
        <family val="3"/>
        <charset val="134"/>
      </rPr>
      <t>、针对业务（包括子公司和分公司）处置，不论直接出售还是先持有待售再出售，相关处置损益均计入</t>
    </r>
    <r>
      <rPr>
        <b/>
        <sz val="12"/>
        <color rgb="FF0000FF"/>
        <rFont val="Arial Narrow"/>
        <family val="2"/>
      </rPr>
      <t>“</t>
    </r>
    <r>
      <rPr>
        <b/>
        <sz val="12"/>
        <color rgb="FF0000FF"/>
        <rFont val="仿宋_GB2312"/>
        <family val="3"/>
        <charset val="134"/>
      </rPr>
      <t>投资收益</t>
    </r>
    <r>
      <rPr>
        <b/>
        <sz val="12"/>
        <color rgb="FF0000FF"/>
        <rFont val="Arial Narrow"/>
        <family val="2"/>
      </rPr>
      <t>”</t>
    </r>
    <r>
      <rPr>
        <b/>
        <sz val="12"/>
        <color rgb="FF0000FF"/>
        <rFont val="仿宋_GB2312"/>
        <family val="3"/>
        <charset val="134"/>
      </rPr>
      <t>，相关</t>
    </r>
    <r>
      <rPr>
        <b/>
        <sz val="12"/>
        <color rgb="FF0000FF"/>
        <rFont val="Arial Narrow"/>
        <family val="2"/>
      </rPr>
      <t>OCI</t>
    </r>
    <r>
      <rPr>
        <b/>
        <sz val="12"/>
        <color rgb="FF0000FF"/>
        <rFont val="仿宋_GB2312"/>
        <family val="3"/>
        <charset val="134"/>
      </rPr>
      <t>在处置完成时转入</t>
    </r>
    <r>
      <rPr>
        <b/>
        <sz val="12"/>
        <color rgb="FF0000FF"/>
        <rFont val="Arial Narrow"/>
        <family val="2"/>
      </rPr>
      <t>“</t>
    </r>
    <r>
      <rPr>
        <b/>
        <sz val="12"/>
        <color rgb="FF0000FF"/>
        <rFont val="仿宋_GB2312"/>
        <family val="3"/>
        <charset val="134"/>
      </rPr>
      <t>投资收益</t>
    </r>
    <r>
      <rPr>
        <b/>
        <sz val="12"/>
        <color rgb="FF0000FF"/>
        <rFont val="Arial Narrow"/>
        <family val="2"/>
      </rPr>
      <t>”</t>
    </r>
    <r>
      <rPr>
        <b/>
        <sz val="12"/>
        <color rgb="FF0000FF"/>
        <rFont val="仿宋_GB2312"/>
        <family val="3"/>
        <charset val="134"/>
      </rPr>
      <t>。</t>
    </r>
  </si>
  <si>
    <r>
      <t>2</t>
    </r>
    <r>
      <rPr>
        <b/>
        <sz val="12"/>
        <color rgb="FF0000FF"/>
        <rFont val="仿宋_GB2312"/>
        <family val="3"/>
        <charset val="134"/>
      </rPr>
      <t>、不构成业务的资产组处置（资产包涵盖</t>
    </r>
    <r>
      <rPr>
        <b/>
        <sz val="12"/>
        <color rgb="FF0000FF"/>
        <rFont val="Arial Narrow"/>
        <family val="2"/>
      </rPr>
      <t>42</t>
    </r>
    <r>
      <rPr>
        <b/>
        <sz val="12"/>
        <color rgb="FF0000FF"/>
        <rFont val="仿宋_GB2312"/>
        <family val="3"/>
        <charset val="134"/>
      </rPr>
      <t>号准则规范及不在</t>
    </r>
    <r>
      <rPr>
        <b/>
        <sz val="12"/>
        <color rgb="FF0000FF"/>
        <rFont val="Arial Narrow"/>
        <family val="2"/>
      </rPr>
      <t>42</t>
    </r>
    <r>
      <rPr>
        <b/>
        <sz val="12"/>
        <color rgb="FF0000FF"/>
        <rFont val="仿宋_GB2312"/>
        <family val="3"/>
        <charset val="134"/>
      </rPr>
      <t>号准则规范的相关资产），除非该资产组仅包括金融工具和长投（其处置损益计入</t>
    </r>
    <r>
      <rPr>
        <b/>
        <sz val="12"/>
        <color rgb="FF0000FF"/>
        <rFont val="Arial Narrow"/>
        <family val="2"/>
      </rPr>
      <t>“</t>
    </r>
    <r>
      <rPr>
        <b/>
        <sz val="12"/>
        <color rgb="FF0000FF"/>
        <rFont val="仿宋_GB2312"/>
        <family val="3"/>
        <charset val="134"/>
      </rPr>
      <t>投资收益</t>
    </r>
    <r>
      <rPr>
        <b/>
        <sz val="12"/>
        <color rgb="FF0000FF"/>
        <rFont val="Arial Narrow"/>
        <family val="2"/>
      </rPr>
      <t>”</t>
    </r>
    <r>
      <rPr>
        <b/>
        <sz val="12"/>
        <color rgb="FF0000FF"/>
        <rFont val="仿宋_GB2312"/>
        <family val="3"/>
        <charset val="134"/>
      </rPr>
      <t>），无论直接出售还是先持有待售再出售，相关处置损益打包确认，均计入</t>
    </r>
    <r>
      <rPr>
        <b/>
        <sz val="12"/>
        <color rgb="FF0000FF"/>
        <rFont val="Arial Narrow"/>
        <family val="2"/>
      </rPr>
      <t>“</t>
    </r>
    <r>
      <rPr>
        <b/>
        <sz val="12"/>
        <color rgb="FF0000FF"/>
        <rFont val="仿宋_GB2312"/>
        <family val="3"/>
        <charset val="134"/>
      </rPr>
      <t>资产处置收益</t>
    </r>
    <r>
      <rPr>
        <b/>
        <sz val="12"/>
        <color rgb="FF0000FF"/>
        <rFont val="Arial Narrow"/>
        <family val="2"/>
      </rPr>
      <t>”</t>
    </r>
    <r>
      <rPr>
        <b/>
        <sz val="12"/>
        <color rgb="FF0000FF"/>
        <rFont val="仿宋_GB2312"/>
        <family val="3"/>
        <charset val="134"/>
      </rPr>
      <t>。与处置组相关的</t>
    </r>
    <r>
      <rPr>
        <b/>
        <sz val="12"/>
        <color rgb="FF0000FF"/>
        <rFont val="Arial Narrow"/>
        <family val="2"/>
      </rPr>
      <t>OCI</t>
    </r>
    <r>
      <rPr>
        <b/>
        <sz val="12"/>
        <color rgb="FF0000FF"/>
        <rFont val="仿宋_GB2312"/>
        <family val="3"/>
        <charset val="134"/>
      </rPr>
      <t>也转入</t>
    </r>
    <r>
      <rPr>
        <b/>
        <sz val="12"/>
        <color rgb="FF0000FF"/>
        <rFont val="Arial Narrow"/>
        <family val="2"/>
      </rPr>
      <t>“</t>
    </r>
    <r>
      <rPr>
        <b/>
        <sz val="12"/>
        <color rgb="FF0000FF"/>
        <rFont val="仿宋_GB2312"/>
        <family val="3"/>
        <charset val="134"/>
      </rPr>
      <t>资产处置收益</t>
    </r>
    <r>
      <rPr>
        <b/>
        <sz val="12"/>
        <color rgb="FF0000FF"/>
        <rFont val="Arial Narrow"/>
        <family val="2"/>
      </rPr>
      <t>”</t>
    </r>
    <r>
      <rPr>
        <b/>
        <sz val="12"/>
        <color rgb="FF0000FF"/>
        <rFont val="仿宋_GB2312"/>
        <family val="3"/>
        <charset val="134"/>
      </rPr>
      <t>。</t>
    </r>
  </si>
  <si>
    <r>
      <t>3</t>
    </r>
    <r>
      <rPr>
        <b/>
        <sz val="12"/>
        <color rgb="FF0000FF"/>
        <rFont val="仿宋_GB2312"/>
        <family val="3"/>
        <charset val="134"/>
      </rPr>
      <t>、单项的投资性房地产的处置，无论是直接出售还是先划分为持有待售资产再出售，处置损益均计入</t>
    </r>
    <r>
      <rPr>
        <b/>
        <sz val="12"/>
        <color rgb="FF0000FF"/>
        <rFont val="Arial Narrow"/>
        <family val="2"/>
      </rPr>
      <t xml:space="preserve"> “</t>
    </r>
    <r>
      <rPr>
        <b/>
        <sz val="12"/>
        <color rgb="FF0000FF"/>
        <rFont val="仿宋_GB2312"/>
        <family val="3"/>
        <charset val="134"/>
      </rPr>
      <t>其他业务收入</t>
    </r>
    <r>
      <rPr>
        <b/>
        <sz val="12"/>
        <color rgb="FF0000FF"/>
        <rFont val="Arial Narrow"/>
        <family val="2"/>
      </rPr>
      <t>/</t>
    </r>
    <r>
      <rPr>
        <b/>
        <sz val="12"/>
        <color rgb="FF0000FF"/>
        <rFont val="仿宋_GB2312"/>
        <family val="3"/>
        <charset val="134"/>
      </rPr>
      <t>成本</t>
    </r>
    <r>
      <rPr>
        <b/>
        <sz val="12"/>
        <color rgb="FF0000FF"/>
        <rFont val="Arial Narrow"/>
        <family val="2"/>
      </rPr>
      <t>”</t>
    </r>
    <r>
      <rPr>
        <b/>
        <sz val="12"/>
        <color rgb="FF0000FF"/>
        <rFont val="仿宋_GB2312"/>
        <family val="3"/>
        <charset val="134"/>
      </rPr>
      <t>】</t>
    </r>
  </si>
  <si>
    <t>H10-3</t>
  </si>
  <si>
    <r>
      <rPr>
        <b/>
        <sz val="10"/>
        <rFont val="宋体"/>
        <family val="3"/>
        <charset val="134"/>
      </rPr>
      <t>内容</t>
    </r>
  </si>
  <si>
    <r>
      <rPr>
        <sz val="10"/>
        <rFont val="宋体"/>
        <family val="3"/>
        <charset val="134"/>
      </rPr>
      <t>编制日期：</t>
    </r>
    <phoneticPr fontId="12" type="noConversion"/>
  </si>
  <si>
    <r>
      <rPr>
        <b/>
        <sz val="10"/>
        <rFont val="宋体"/>
        <family val="3"/>
        <charset val="134"/>
      </rPr>
      <t>账项调整</t>
    </r>
    <phoneticPr fontId="12" type="noConversion"/>
  </si>
  <si>
    <r>
      <rPr>
        <b/>
        <sz val="10"/>
        <rFont val="宋体"/>
        <family val="3"/>
        <charset val="134"/>
      </rPr>
      <t>项目名称</t>
    </r>
    <phoneticPr fontId="12" type="noConversion"/>
  </si>
  <si>
    <r>
      <rPr>
        <b/>
        <sz val="10"/>
        <rFont val="宋体"/>
        <family val="3"/>
        <charset val="134"/>
      </rPr>
      <t>本期未审数</t>
    </r>
    <phoneticPr fontId="12" type="noConversion"/>
  </si>
  <si>
    <r>
      <rPr>
        <b/>
        <sz val="10"/>
        <rFont val="宋体"/>
        <family val="3"/>
        <charset val="134"/>
      </rPr>
      <t>账项调整</t>
    </r>
    <phoneticPr fontId="12" type="noConversion"/>
  </si>
  <si>
    <r>
      <rPr>
        <b/>
        <sz val="10"/>
        <rFont val="宋体"/>
        <family val="3"/>
        <charset val="134"/>
      </rPr>
      <t>重分类调整</t>
    </r>
    <phoneticPr fontId="12" type="noConversion"/>
  </si>
  <si>
    <r>
      <rPr>
        <b/>
        <sz val="10"/>
        <rFont val="宋体"/>
        <family val="3"/>
        <charset val="134"/>
      </rPr>
      <t>本期审定数</t>
    </r>
    <phoneticPr fontId="12" type="noConversion"/>
  </si>
  <si>
    <r>
      <rPr>
        <b/>
        <sz val="10"/>
        <rFont val="宋体"/>
        <family val="3"/>
        <charset val="134"/>
      </rPr>
      <t>上期未审数</t>
    </r>
    <phoneticPr fontId="12" type="noConversion"/>
  </si>
  <si>
    <r>
      <rPr>
        <b/>
        <sz val="10"/>
        <rFont val="宋体"/>
        <family val="3"/>
        <charset val="134"/>
      </rPr>
      <t>上期审定数</t>
    </r>
    <phoneticPr fontId="12" type="noConversion"/>
  </si>
  <si>
    <t>H10-1</t>
    <phoneticPr fontId="12" type="noConversion"/>
  </si>
  <si>
    <t>H10-2</t>
    <phoneticPr fontId="12" type="noConversion"/>
  </si>
  <si>
    <t>H10-4</t>
  </si>
  <si>
    <t>H10-2</t>
    <phoneticPr fontId="12" type="noConversion"/>
  </si>
  <si>
    <r>
      <rPr>
        <b/>
        <sz val="10"/>
        <color indexed="8"/>
        <rFont val="宋体"/>
        <family val="3"/>
        <charset val="134"/>
      </rPr>
      <t>二、审计过程</t>
    </r>
    <r>
      <rPr>
        <b/>
        <sz val="10"/>
        <color indexed="8"/>
        <rFont val="Arial Narrow"/>
        <family val="2"/>
      </rPr>
      <t>:</t>
    </r>
    <phoneticPr fontId="12" type="noConversion"/>
  </si>
  <si>
    <r>
      <rPr>
        <b/>
        <sz val="10"/>
        <rFont val="宋体"/>
        <family val="3"/>
        <charset val="134"/>
      </rPr>
      <t>四、审计结论：</t>
    </r>
    <phoneticPr fontId="12" type="noConversion"/>
  </si>
  <si>
    <t>H10-3</t>
    <phoneticPr fontId="12" type="noConversion"/>
  </si>
  <si>
    <r>
      <rPr>
        <b/>
        <sz val="10"/>
        <rFont val="宋体"/>
        <family val="3"/>
        <charset val="134"/>
      </rPr>
      <t>备注</t>
    </r>
    <phoneticPr fontId="12" type="noConversion"/>
  </si>
  <si>
    <r>
      <rPr>
        <b/>
        <sz val="10"/>
        <color indexed="8"/>
        <rFont val="宋体"/>
        <family val="3"/>
        <charset val="134"/>
      </rPr>
      <t>调整事项说明</t>
    </r>
    <phoneticPr fontId="12"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</si>
  <si>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12" type="noConversion"/>
  </si>
  <si>
    <r>
      <rPr>
        <b/>
        <sz val="10"/>
        <color indexed="8"/>
        <rFont val="宋体"/>
        <family val="3"/>
        <charset val="134"/>
      </rPr>
      <t>报表项目</t>
    </r>
    <phoneticPr fontId="12" type="noConversion"/>
  </si>
  <si>
    <r>
      <rPr>
        <b/>
        <sz val="10"/>
        <rFont val="宋体"/>
        <family val="3"/>
        <charset val="134"/>
      </rPr>
      <t>科目名称</t>
    </r>
    <phoneticPr fontId="12" type="noConversion"/>
  </si>
  <si>
    <r>
      <rPr>
        <b/>
        <sz val="10"/>
        <rFont val="宋体"/>
        <family val="3"/>
        <charset val="134"/>
      </rPr>
      <t>附注项目</t>
    </r>
    <phoneticPr fontId="12" type="noConversion"/>
  </si>
  <si>
    <r>
      <rPr>
        <b/>
        <sz val="10"/>
        <rFont val="宋体"/>
        <family val="3"/>
        <charset val="134"/>
      </rPr>
      <t>借方调整金额</t>
    </r>
    <phoneticPr fontId="12" type="noConversion"/>
  </si>
  <si>
    <r>
      <rPr>
        <b/>
        <sz val="10"/>
        <rFont val="宋体"/>
        <family val="3"/>
        <charset val="134"/>
      </rPr>
      <t>贷方调整金额</t>
    </r>
    <phoneticPr fontId="12" type="noConversion"/>
  </si>
  <si>
    <r>
      <rPr>
        <b/>
        <sz val="10"/>
        <rFont val="宋体"/>
        <family val="3"/>
        <charset val="134"/>
      </rPr>
      <t>索引</t>
    </r>
    <phoneticPr fontId="12" type="noConversion"/>
  </si>
  <si>
    <t>H10-4</t>
    <phoneticPr fontId="12" type="noConversion"/>
  </si>
  <si>
    <r>
      <rPr>
        <b/>
        <sz val="10"/>
        <rFont val="宋体"/>
        <family val="3"/>
        <charset val="134"/>
      </rPr>
      <t>三、测试：</t>
    </r>
    <phoneticPr fontId="18" type="noConversion"/>
  </si>
  <si>
    <r>
      <rPr>
        <b/>
        <sz val="10"/>
        <rFont val="宋体"/>
        <family val="3"/>
        <charset val="134"/>
      </rPr>
      <t>四、审计说明：</t>
    </r>
    <phoneticPr fontId="18" type="noConversion"/>
  </si>
  <si>
    <r>
      <rPr>
        <b/>
        <sz val="10"/>
        <rFont val="宋体"/>
        <family val="3"/>
        <charset val="134"/>
      </rPr>
      <t>五、审计结论：</t>
    </r>
    <phoneticPr fontId="12" type="noConversion"/>
  </si>
  <si>
    <t>H10-4</t>
    <phoneticPr fontId="12" type="noConversion"/>
  </si>
  <si>
    <r>
      <rPr>
        <sz val="10"/>
        <rFont val="宋体"/>
        <family val="3"/>
        <charset val="134"/>
      </rPr>
      <t>持有待售的非流动资产（处置组）处置利得（损失以</t>
    </r>
    <r>
      <rPr>
        <sz val="10"/>
        <rFont val="Arial Narrow"/>
        <family val="2"/>
      </rPr>
      <t>“-”</t>
    </r>
    <r>
      <rPr>
        <sz val="10"/>
        <rFont val="宋体"/>
        <family val="3"/>
        <charset val="134"/>
      </rPr>
      <t>填列）</t>
    </r>
  </si>
  <si>
    <r>
      <rPr>
        <sz val="10"/>
        <rFont val="宋体"/>
        <family val="3"/>
        <charset val="134"/>
      </rPr>
      <t>固定资产处置利得（损失以</t>
    </r>
    <r>
      <rPr>
        <sz val="10"/>
        <rFont val="Arial Narrow"/>
        <family val="2"/>
      </rPr>
      <t>“-”</t>
    </r>
    <r>
      <rPr>
        <sz val="10"/>
        <rFont val="宋体"/>
        <family val="3"/>
        <charset val="134"/>
      </rPr>
      <t>填列）</t>
    </r>
  </si>
  <si>
    <r>
      <rPr>
        <sz val="10"/>
        <rFont val="宋体"/>
        <family val="3"/>
        <charset val="134"/>
      </rPr>
      <t>在建工程处置利得（损失以</t>
    </r>
    <r>
      <rPr>
        <sz val="10"/>
        <rFont val="Arial Narrow"/>
        <family val="2"/>
      </rPr>
      <t>“-”</t>
    </r>
    <r>
      <rPr>
        <sz val="10"/>
        <rFont val="宋体"/>
        <family val="3"/>
        <charset val="134"/>
      </rPr>
      <t>填列）</t>
    </r>
  </si>
  <si>
    <r>
      <rPr>
        <sz val="10"/>
        <rFont val="宋体"/>
        <family val="3"/>
        <charset val="134"/>
      </rPr>
      <t>生产性生物资产处置利得（损失以</t>
    </r>
    <r>
      <rPr>
        <sz val="10"/>
        <rFont val="Arial Narrow"/>
        <family val="2"/>
      </rPr>
      <t>“-”</t>
    </r>
    <r>
      <rPr>
        <sz val="10"/>
        <rFont val="宋体"/>
        <family val="3"/>
        <charset val="134"/>
      </rPr>
      <t>填列）</t>
    </r>
  </si>
  <si>
    <r>
      <rPr>
        <sz val="10"/>
        <rFont val="宋体"/>
        <family val="3"/>
        <charset val="134"/>
      </rPr>
      <t>无形资产处置利得（损失以</t>
    </r>
    <r>
      <rPr>
        <sz val="10"/>
        <rFont val="Arial Narrow"/>
        <family val="2"/>
      </rPr>
      <t>“-”</t>
    </r>
    <r>
      <rPr>
        <sz val="10"/>
        <rFont val="宋体"/>
        <family val="3"/>
        <charset val="134"/>
      </rPr>
      <t>填列）</t>
    </r>
  </si>
  <si>
    <r>
      <rPr>
        <sz val="10"/>
        <rFont val="宋体"/>
        <family val="3"/>
        <charset val="134"/>
      </rPr>
      <t>非货币性资产交换产生的利得（损失以</t>
    </r>
    <r>
      <rPr>
        <sz val="10"/>
        <rFont val="Arial Narrow"/>
        <family val="2"/>
      </rPr>
      <t>“-”</t>
    </r>
    <r>
      <rPr>
        <sz val="10"/>
        <rFont val="宋体"/>
        <family val="3"/>
        <charset val="134"/>
      </rPr>
      <t>填列）</t>
    </r>
  </si>
  <si>
    <r>
      <rPr>
        <sz val="10"/>
        <rFont val="宋体"/>
        <family val="3"/>
        <charset val="134"/>
      </rPr>
      <t>债务重组中因处置非流动资产产生的利得（损失以</t>
    </r>
    <r>
      <rPr>
        <sz val="10"/>
        <rFont val="Arial Narrow"/>
        <family val="2"/>
      </rPr>
      <t>“-”</t>
    </r>
    <r>
      <rPr>
        <sz val="10"/>
        <rFont val="宋体"/>
        <family val="3"/>
        <charset val="134"/>
      </rPr>
      <t>填列）</t>
    </r>
    <phoneticPr fontId="12" type="noConversion"/>
  </si>
  <si>
    <t>H10A</t>
    <phoneticPr fontId="12" type="noConversion"/>
  </si>
  <si>
    <t>与XXX勾稽一致</t>
    <phoneticPr fontId="12" type="noConversion"/>
  </si>
  <si>
    <t>返回目录</t>
    <phoneticPr fontId="12" type="noConversion"/>
  </si>
  <si>
    <t>H10A</t>
    <phoneticPr fontId="12" type="noConversion"/>
  </si>
  <si>
    <r>
      <rPr>
        <sz val="10"/>
        <color indexed="12"/>
        <rFont val="宋体"/>
        <family val="3"/>
        <charset val="134"/>
      </rPr>
      <t>附注披露信息（上市公司）</t>
    </r>
  </si>
  <si>
    <r>
      <rPr>
        <sz val="10"/>
        <color indexed="12"/>
        <rFont val="宋体"/>
        <family val="3"/>
        <charset val="134"/>
      </rPr>
      <t>附注披露信息（国企）</t>
    </r>
  </si>
  <si>
    <r>
      <rPr>
        <sz val="10"/>
        <color indexed="12"/>
        <rFont val="宋体"/>
        <family val="3"/>
        <charset val="134"/>
      </rPr>
      <t>资产处置损益实质性程序表</t>
    </r>
    <phoneticPr fontId="12" type="noConversion"/>
  </si>
  <si>
    <r>
      <rPr>
        <sz val="10"/>
        <color indexed="12"/>
        <rFont val="宋体"/>
        <family val="3"/>
        <charset val="134"/>
      </rPr>
      <t>审定表</t>
    </r>
    <phoneticPr fontId="12" type="noConversion"/>
  </si>
  <si>
    <r>
      <rPr>
        <sz val="10"/>
        <rFont val="宋体"/>
        <family val="3"/>
        <charset val="134"/>
      </rPr>
      <t>无需打印</t>
    </r>
    <phoneticPr fontId="12" type="noConversion"/>
  </si>
  <si>
    <r>
      <rPr>
        <sz val="10"/>
        <color indexed="12"/>
        <rFont val="宋体"/>
        <family val="3"/>
        <charset val="134"/>
      </rPr>
      <t>明细表</t>
    </r>
    <phoneticPr fontId="12" type="noConversion"/>
  </si>
  <si>
    <r>
      <rPr>
        <sz val="10"/>
        <color indexed="12"/>
        <rFont val="宋体"/>
        <family val="3"/>
        <charset val="134"/>
      </rPr>
      <t>调整分录汇总</t>
    </r>
    <phoneticPr fontId="12" type="noConversion"/>
  </si>
  <si>
    <r>
      <rPr>
        <sz val="10"/>
        <color indexed="12"/>
        <rFont val="宋体"/>
        <family val="3"/>
        <charset val="134"/>
      </rPr>
      <t>检查表</t>
    </r>
    <phoneticPr fontId="12" type="noConversion"/>
  </si>
  <si>
    <r>
      <rPr>
        <b/>
        <sz val="10"/>
        <rFont val="宋体"/>
        <family val="3"/>
        <charset val="134"/>
      </rPr>
      <t>底稿开列时，可先在以下单元格填写有关内容，以便其他底稿引用有关数据：</t>
    </r>
    <phoneticPr fontId="12" type="noConversion"/>
  </si>
  <si>
    <r>
      <rPr>
        <sz val="10"/>
        <rFont val="宋体"/>
        <family val="3"/>
        <charset val="134"/>
      </rPr>
      <t>被审计单位：</t>
    </r>
    <phoneticPr fontId="12" type="noConversion"/>
  </si>
  <si>
    <r>
      <rPr>
        <sz val="10"/>
        <rFont val="宋体"/>
        <family val="3"/>
        <charset val="134"/>
      </rPr>
      <t>编制人：</t>
    </r>
    <phoneticPr fontId="12" type="noConversion"/>
  </si>
  <si>
    <r>
      <rPr>
        <sz val="10"/>
        <rFont val="宋体"/>
        <family val="3"/>
        <charset val="134"/>
      </rPr>
      <t>复核人：</t>
    </r>
    <phoneticPr fontId="12" type="noConversion"/>
  </si>
  <si>
    <r>
      <rPr>
        <sz val="10"/>
        <rFont val="宋体"/>
        <family val="3"/>
        <charset val="134"/>
      </rPr>
      <t>无需打印</t>
    </r>
    <phoneticPr fontId="12" type="noConversion"/>
  </si>
  <si>
    <r>
      <rPr>
        <sz val="10"/>
        <rFont val="宋体"/>
        <family val="3"/>
        <charset val="134"/>
      </rPr>
      <t>复核日期：</t>
    </r>
    <phoneticPr fontId="12" type="noConversion"/>
  </si>
  <si>
    <r>
      <rPr>
        <b/>
        <sz val="12"/>
        <rFont val="宋体"/>
        <family val="3"/>
        <charset val="134"/>
      </rPr>
      <t>致同会计师事务所</t>
    </r>
  </si>
  <si>
    <r>
      <rPr>
        <b/>
        <sz val="14"/>
        <rFont val="宋体"/>
        <family val="3"/>
        <charset val="134"/>
      </rPr>
      <t>资产处置损益检查表</t>
    </r>
    <phoneticPr fontId="12" type="noConversion"/>
  </si>
  <si>
    <r>
      <rPr>
        <b/>
        <sz val="10"/>
        <rFont val="宋体"/>
        <family val="3"/>
        <charset val="134"/>
      </rPr>
      <t>序号</t>
    </r>
    <phoneticPr fontId="12" type="noConversion"/>
  </si>
  <si>
    <r>
      <rPr>
        <b/>
        <sz val="10"/>
        <rFont val="宋体"/>
        <family val="3"/>
        <charset val="134"/>
      </rPr>
      <t>索引号</t>
    </r>
    <phoneticPr fontId="12" type="noConversion"/>
  </si>
  <si>
    <r>
      <rPr>
        <b/>
        <sz val="10"/>
        <rFont val="宋体"/>
        <family val="3"/>
        <charset val="134"/>
      </rPr>
      <t>备注</t>
    </r>
    <phoneticPr fontId="12" type="noConversion"/>
  </si>
  <si>
    <t>索引号：</t>
    <phoneticPr fontId="12" type="noConversion"/>
  </si>
  <si>
    <t>页  次：</t>
    <phoneticPr fontId="12" type="noConversion"/>
  </si>
  <si>
    <t>1</t>
    <phoneticPr fontId="12" type="noConversion"/>
  </si>
  <si>
    <t>2</t>
  </si>
  <si>
    <t>3</t>
  </si>
  <si>
    <t>4</t>
  </si>
  <si>
    <t>5</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</si>
  <si>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2" type="noConversion"/>
  </si>
  <si>
    <t>提示：本底稿适用于调整分录较多、较复杂的项目，且仅列示与本报表项目相关的审计调整。项目组可根据项目实际情况选择是否使用该底稿。</t>
    <phoneticPr fontId="12" type="noConversion"/>
  </si>
  <si>
    <t>提示：</t>
    <phoneticPr fontId="12" type="noConversion"/>
  </si>
  <si>
    <t>完整性</t>
  </si>
  <si>
    <t>准确性</t>
  </si>
  <si>
    <t>截止</t>
  </si>
  <si>
    <t>财务报表的认定　</t>
  </si>
  <si>
    <t>发生</t>
  </si>
  <si>
    <t>列报</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</si>
  <si>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</si>
  <si>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常规★</t>
    <phoneticPr fontId="36" type="noConversion"/>
  </si>
  <si>
    <t>致同会计师事务所</t>
    <phoneticPr fontId="36" type="noConversion"/>
  </si>
  <si>
    <t>列报</t>
    <phoneticPr fontId="12" type="noConversion"/>
  </si>
  <si>
    <r>
      <rPr>
        <b/>
        <sz val="10"/>
        <rFont val="宋体"/>
        <family val="3"/>
        <charset val="134"/>
      </rPr>
      <t>√</t>
    </r>
    <phoneticPr fontId="12" type="noConversion"/>
  </si>
  <si>
    <r>
      <rPr>
        <b/>
        <sz val="10"/>
        <rFont val="宋体"/>
        <family val="3"/>
        <charset val="134"/>
      </rPr>
      <t>√</t>
    </r>
    <phoneticPr fontId="12" type="noConversion"/>
  </si>
  <si>
    <r>
      <rPr>
        <sz val="10"/>
        <rFont val="宋体"/>
        <family val="3"/>
        <charset val="134"/>
      </rPr>
      <t>索引号：</t>
    </r>
    <phoneticPr fontId="12" type="noConversion"/>
  </si>
  <si>
    <r>
      <rPr>
        <sz val="10"/>
        <rFont val="宋体"/>
        <family val="3"/>
        <charset val="134"/>
      </rPr>
      <t>页</t>
    </r>
    <r>
      <rPr>
        <sz val="10"/>
        <rFont val="Arial Narrow"/>
        <family val="2"/>
      </rPr>
      <t xml:space="preserve">  </t>
    </r>
    <r>
      <rPr>
        <sz val="10"/>
        <rFont val="宋体"/>
        <family val="3"/>
        <charset val="134"/>
      </rPr>
      <t>次：</t>
    </r>
    <phoneticPr fontId="12" type="noConversion"/>
  </si>
  <si>
    <r>
      <rPr>
        <sz val="10"/>
        <rFont val="宋体"/>
        <family val="3"/>
        <charset val="134"/>
      </rPr>
      <t>√</t>
    </r>
    <phoneticPr fontId="12"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</si>
  <si>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36" type="noConversion"/>
  </si>
  <si>
    <r>
      <t>A 1-1/</t>
    </r>
    <r>
      <rPr>
        <sz val="10"/>
        <color rgb="FFFF0000"/>
        <rFont val="Arial Narrow"/>
        <family val="2"/>
      </rPr>
      <t>A1-15 /A1-16</t>
    </r>
    <phoneticPr fontId="12" type="noConversion"/>
  </si>
  <si>
    <t>资产处置损益实质性程序表</t>
    <phoneticPr fontId="36" type="noConversion"/>
  </si>
  <si>
    <t>资产处置损益</t>
    <phoneticPr fontId="36" type="noConversion"/>
  </si>
  <si>
    <t>完整性</t>
    <phoneticPr fontId="12" type="noConversion"/>
  </si>
  <si>
    <t>截止</t>
    <phoneticPr fontId="12" type="noConversion"/>
  </si>
  <si>
    <t>结合固定资产、无形资产等相关科目审计，检查支持性文件，确定入账金额及会计处理是否正确。</t>
    <phoneticPr fontId="36" type="noConversion"/>
  </si>
  <si>
    <t>程序分类</t>
    <phoneticPr fontId="12" type="noConversion"/>
  </si>
  <si>
    <t>序号</t>
    <phoneticPr fontId="12" type="noConversion"/>
  </si>
  <si>
    <t>审计目标</t>
    <phoneticPr fontId="12" type="noConversion"/>
  </si>
  <si>
    <t>底稿索引号</t>
    <phoneticPr fontId="12" type="noConversion"/>
  </si>
  <si>
    <t>获取或编制财务费用明细表，复核其加计数是否正确，并与报表数、总账数和明细账合计数核对是否相符，并编制审定表。</t>
    <phoneticPr fontId="12" type="noConversion"/>
  </si>
  <si>
    <r>
      <t>对上期发生额的审计：结合本期检查确定资产处置收益的前期期末的截止是否恰当。（</t>
    </r>
    <r>
      <rPr>
        <sz val="10"/>
        <color rgb="FFFF0000"/>
        <rFont val="宋体"/>
        <family val="3"/>
        <charset val="134"/>
      </rPr>
      <t>适用于首次承接</t>
    </r>
    <r>
      <rPr>
        <sz val="10"/>
        <rFont val="宋体"/>
        <family val="3"/>
        <charset val="134"/>
      </rPr>
      <t>）</t>
    </r>
    <phoneticPr fontId="36" type="noConversion"/>
  </si>
  <si>
    <t>H10-1
/H10-2</t>
    <phoneticPr fontId="12" type="noConversion"/>
  </si>
  <si>
    <t>T1
/</t>
    <phoneticPr fontId="12" type="noConversion"/>
  </si>
  <si>
    <t>常规★</t>
    <phoneticPr fontId="36" type="noConversion"/>
  </si>
  <si>
    <t>备选</t>
    <phoneticPr fontId="12" type="noConversion"/>
  </si>
  <si>
    <t>常规★</t>
    <phoneticPr fontId="36"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</si>
  <si>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36" type="noConversion"/>
  </si>
  <si>
    <t>差异数</t>
    <phoneticPr fontId="12" type="noConversion"/>
  </si>
  <si>
    <t>试算平衡表数</t>
    <phoneticPr fontId="12" type="noConversion"/>
  </si>
  <si>
    <r>
      <t>2.</t>
    </r>
    <r>
      <rPr>
        <sz val="10"/>
        <color rgb="FF0000FF"/>
        <rFont val="宋体"/>
        <family val="3"/>
        <charset val="134"/>
      </rPr>
      <t>新债务重组准则下，不再区分资产转让损益与债务重组损益。</t>
    </r>
    <phoneticPr fontId="12" type="noConversion"/>
  </si>
  <si>
    <r>
      <t>1.</t>
    </r>
    <r>
      <rPr>
        <sz val="10"/>
        <color rgb="FF0000FF"/>
        <rFont val="宋体"/>
        <family val="3"/>
        <charset val="134"/>
      </rPr>
      <t>关注非经常性损益列报的正确性。非经常性损益是指公司发生的与生产经营无直接关系，以及虽与生产经营相关，但由于其性质、金额或发生频率，影响了真实、公允地评价公司当期经营成果和获利能力的各项收入、支出，通常企业固定资产或长期资产的处置收益或损失、债务重组损益、资产置换损益等应列报为非经常性损益。</t>
    </r>
    <phoneticPr fontId="12" type="noConversion"/>
  </si>
  <si>
    <r>
      <rPr>
        <b/>
        <sz val="10"/>
        <color indexed="8"/>
        <rFont val="宋体"/>
        <family val="3"/>
        <charset val="134"/>
      </rPr>
      <t>一、审计目标：</t>
    </r>
    <r>
      <rPr>
        <sz val="10"/>
        <color indexed="8"/>
        <rFont val="Arial Narrow"/>
        <family val="2"/>
      </rPr>
      <t xml:space="preserve">1. </t>
    </r>
    <r>
      <rPr>
        <sz val="10"/>
        <color indexed="8"/>
        <rFont val="宋体"/>
        <family val="3"/>
        <charset val="134"/>
      </rPr>
      <t>利润表中记录的资产处置损益已发生，且与被审计单位有关，已记录于恰当的账户；</t>
    </r>
    <r>
      <rPr>
        <sz val="10"/>
        <color indexed="8"/>
        <rFont val="Arial Narrow"/>
        <family val="2"/>
      </rPr>
      <t xml:space="preserve">2. </t>
    </r>
    <r>
      <rPr>
        <sz val="10"/>
        <color indexed="8"/>
        <rFont val="宋体"/>
        <family val="3"/>
        <charset val="134"/>
      </rPr>
      <t xml:space="preserve">所有应当记录的资产处置损益均已记录，所有应当包括在财务报表中的相关披露均已包括；
</t>
    </r>
    <r>
      <rPr>
        <sz val="10"/>
        <color indexed="8"/>
        <rFont val="Arial Narrow"/>
        <family val="2"/>
      </rPr>
      <t xml:space="preserve">3. </t>
    </r>
    <r>
      <rPr>
        <sz val="10"/>
        <color indexed="8"/>
        <rFont val="宋体"/>
        <family val="3"/>
        <charset val="134"/>
      </rPr>
      <t>与资产处置损益有关的金额及其他数据已恰当记录，相关披露已得到恰当计量和描述；</t>
    </r>
    <r>
      <rPr>
        <sz val="10"/>
        <color indexed="8"/>
        <rFont val="Arial Narrow"/>
        <family val="2"/>
      </rPr>
      <t xml:space="preserve">4. </t>
    </r>
    <r>
      <rPr>
        <sz val="10"/>
        <color indexed="8"/>
        <rFont val="宋体"/>
        <family val="3"/>
        <charset val="134"/>
      </rPr>
      <t>资产处置损益已记录于正确的会计期间。</t>
    </r>
    <phoneticPr fontId="12" type="noConversion"/>
  </si>
  <si>
    <t>致同会计师事务所</t>
  </si>
  <si>
    <t>资产处置损益审定表</t>
    <phoneticPr fontId="12" type="noConversion"/>
  </si>
  <si>
    <t>资产处置损益明细表</t>
    <phoneticPr fontId="12" type="noConversion"/>
  </si>
  <si>
    <r>
      <rPr>
        <b/>
        <sz val="10"/>
        <rFont val="宋体"/>
        <family val="3"/>
        <charset val="134"/>
      </rPr>
      <t>项目</t>
    </r>
    <phoneticPr fontId="12" type="noConversion"/>
  </si>
  <si>
    <r>
      <t>1</t>
    </r>
    <r>
      <rPr>
        <b/>
        <sz val="10"/>
        <rFont val="宋体"/>
        <family val="3"/>
        <charset val="134"/>
      </rPr>
      <t>月</t>
    </r>
    <phoneticPr fontId="12" type="noConversion"/>
  </si>
  <si>
    <r>
      <t>2</t>
    </r>
    <r>
      <rPr>
        <b/>
        <sz val="10"/>
        <rFont val="宋体"/>
        <family val="3"/>
        <charset val="134"/>
      </rPr>
      <t>月</t>
    </r>
    <phoneticPr fontId="12" type="noConversion"/>
  </si>
  <si>
    <r>
      <rPr>
        <b/>
        <sz val="10"/>
        <rFont val="宋体"/>
        <family val="3"/>
        <charset val="134"/>
      </rPr>
      <t>本期合计</t>
    </r>
    <phoneticPr fontId="12" type="noConversion"/>
  </si>
  <si>
    <r>
      <rPr>
        <b/>
        <sz val="10"/>
        <rFont val="宋体"/>
        <family val="3"/>
        <charset val="134"/>
      </rPr>
      <t>账项调整</t>
    </r>
    <phoneticPr fontId="12" type="noConversion"/>
  </si>
  <si>
    <r>
      <rPr>
        <b/>
        <sz val="10"/>
        <rFont val="宋体"/>
        <family val="3"/>
        <charset val="134"/>
      </rPr>
      <t>重分类调整</t>
    </r>
    <phoneticPr fontId="12" type="noConversion"/>
  </si>
  <si>
    <r>
      <rPr>
        <b/>
        <sz val="10"/>
        <rFont val="宋体"/>
        <family val="3"/>
        <charset val="134"/>
      </rPr>
      <t>期末审定数</t>
    </r>
    <phoneticPr fontId="12" type="noConversion"/>
  </si>
  <si>
    <r>
      <rPr>
        <b/>
        <sz val="10"/>
        <rFont val="宋体"/>
        <family val="3"/>
        <charset val="134"/>
      </rPr>
      <t>与相关科目勾稽</t>
    </r>
    <phoneticPr fontId="12" type="noConversion"/>
  </si>
  <si>
    <r>
      <rPr>
        <b/>
        <sz val="10"/>
        <rFont val="宋体"/>
        <family val="3"/>
        <charset val="134"/>
      </rPr>
      <t>与相关科目勾稽金额</t>
    </r>
    <phoneticPr fontId="12" type="noConversion"/>
  </si>
  <si>
    <r>
      <rPr>
        <b/>
        <sz val="10"/>
        <rFont val="宋体"/>
        <family val="3"/>
        <charset val="134"/>
      </rPr>
      <t>结构比</t>
    </r>
    <phoneticPr fontId="12" type="noConversion"/>
  </si>
  <si>
    <r>
      <rPr>
        <b/>
        <sz val="10"/>
        <rFont val="宋体"/>
        <family val="3"/>
        <charset val="134"/>
      </rPr>
      <t>上年同期发生数</t>
    </r>
    <phoneticPr fontId="12" type="noConversion"/>
  </si>
  <si>
    <r>
      <rPr>
        <b/>
        <sz val="10"/>
        <rFont val="宋体"/>
        <family val="3"/>
        <charset val="134"/>
      </rPr>
      <t>账项调整</t>
    </r>
    <phoneticPr fontId="12" type="noConversion"/>
  </si>
  <si>
    <r>
      <rPr>
        <b/>
        <sz val="10"/>
        <rFont val="宋体"/>
        <family val="3"/>
        <charset val="134"/>
      </rPr>
      <t>上年同期审定数</t>
    </r>
    <phoneticPr fontId="12" type="noConversion"/>
  </si>
  <si>
    <t>增长比例</t>
  </si>
  <si>
    <t>结构比</t>
    <phoneticPr fontId="12" type="noConversion"/>
  </si>
  <si>
    <r>
      <rPr>
        <b/>
        <sz val="14"/>
        <rFont val="宋体"/>
        <family val="3"/>
        <charset val="134"/>
      </rPr>
      <t>资产处置</t>
    </r>
    <r>
      <rPr>
        <b/>
        <sz val="14"/>
        <color rgb="FFFF0000"/>
        <rFont val="宋体"/>
        <family val="3"/>
        <charset val="134"/>
      </rPr>
      <t>损益</t>
    </r>
    <r>
      <rPr>
        <b/>
        <sz val="14"/>
        <rFont val="宋体"/>
        <family val="3"/>
        <charset val="134"/>
      </rPr>
      <t>调整分录汇总表</t>
    </r>
    <phoneticPr fontId="12" type="noConversion"/>
  </si>
  <si>
    <t>测试原因：大额（）关联方（）大额交易频繁（）异常（）其他（）</t>
    <phoneticPr fontId="12" type="noConversion"/>
  </si>
  <si>
    <r>
      <rPr>
        <b/>
        <sz val="10"/>
        <rFont val="宋体"/>
        <family val="3"/>
        <charset val="134"/>
      </rPr>
      <t>核对内容</t>
    </r>
  </si>
  <si>
    <t>索引号</t>
  </si>
  <si>
    <t>是否异常</t>
    <phoneticPr fontId="12" type="noConversion"/>
  </si>
  <si>
    <t>备注说明</t>
    <phoneticPr fontId="12" type="noConversion"/>
  </si>
  <si>
    <t>日期</t>
  </si>
  <si>
    <t>凭证编号</t>
  </si>
  <si>
    <t>对方明细科目</t>
    <phoneticPr fontId="12" type="noConversion"/>
  </si>
  <si>
    <t>借方金额</t>
    <phoneticPr fontId="12" type="noConversion"/>
  </si>
  <si>
    <t>贷方金额</t>
    <phoneticPr fontId="12" type="noConversion"/>
  </si>
  <si>
    <t>记账凭证</t>
    <phoneticPr fontId="12" type="noConversion"/>
  </si>
  <si>
    <t>支持性文件</t>
    <phoneticPr fontId="12" type="noConversion"/>
  </si>
  <si>
    <t>业务内容</t>
    <phoneticPr fontId="12" type="noConversion"/>
  </si>
  <si>
    <t>对方科目</t>
    <phoneticPr fontId="12" type="noConversion"/>
  </si>
  <si>
    <t>项目</t>
    <phoneticPr fontId="12" type="noConversion"/>
  </si>
  <si>
    <t>二、审计目标与认定的对应关系</t>
    <phoneticPr fontId="12" type="noConversion"/>
  </si>
  <si>
    <r>
      <rPr>
        <b/>
        <sz val="10"/>
        <rFont val="宋体"/>
        <family val="3"/>
        <charset val="134"/>
      </rPr>
      <t>一、本账户涉及的科目</t>
    </r>
    <phoneticPr fontId="12" type="noConversion"/>
  </si>
  <si>
    <t>三、计划实施的实质性程序</t>
    <phoneticPr fontId="12" type="noConversion"/>
  </si>
  <si>
    <t>A. 利润表中记录的资产处置损益已发生，且与被审计单位有关，已记录于恰当的账户</t>
    <phoneticPr fontId="12" type="noConversion"/>
  </si>
  <si>
    <t>D. 资产处置损益已记录于正确的会计期间</t>
    <phoneticPr fontId="12" type="noConversion"/>
  </si>
  <si>
    <t>B. 所有应当记录的资产处置损益均已记录，所有应当包括在财务报表中的相关披露均已包括</t>
    <phoneticPr fontId="12" type="noConversion"/>
  </si>
  <si>
    <t>C. 与资产处置损益有关的金额及其他数据已恰当记录，相关披露已得到恰当计量和描述</t>
    <phoneticPr fontId="12" type="noConversion"/>
  </si>
  <si>
    <t>E. 资产处置损益已被恰当地汇总或分解且表述清楚，相关披露在按照企业会计准则的编制基础下是相关的、可理解的</t>
    <phoneticPr fontId="12" type="noConversion"/>
  </si>
  <si>
    <r>
      <rPr>
        <sz val="10"/>
        <rFont val="宋体"/>
        <family val="3"/>
        <charset val="134"/>
      </rPr>
      <t>会计期间：</t>
    </r>
    <r>
      <rPr>
        <sz val="10"/>
        <rFont val="Arial Narrow"/>
        <family val="2"/>
      </rPr>
      <t>202X</t>
    </r>
    <r>
      <rPr>
        <sz val="10"/>
        <rFont val="宋体"/>
        <family val="3"/>
        <charset val="134"/>
      </rPr>
      <t>年度</t>
    </r>
    <phoneticPr fontId="12" type="noConversion"/>
  </si>
  <si>
    <t>关于工作底稿与审计程序索引号对应的说明</t>
    <phoneticPr fontId="12"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</si>
  <si>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2"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</si>
  <si>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2"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</si>
  <si>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2" type="noConversion"/>
  </si>
  <si>
    <t>根据被审计单位实际情况和风险评估情况裁剪、修改或增加审计程序</t>
    <phoneticPr fontId="12" type="noConversion"/>
  </si>
  <si>
    <t>审计程序</t>
    <phoneticPr fontId="36" type="noConversion"/>
  </si>
  <si>
    <t>2.……</t>
    <phoneticPr fontId="12" type="noConversion"/>
  </si>
  <si>
    <t>合计</t>
    <phoneticPr fontId="12" type="noConversion"/>
  </si>
  <si>
    <t>本期发生额</t>
    <phoneticPr fontId="12" type="noConversion"/>
  </si>
  <si>
    <t>检查比例</t>
    <phoneticPr fontId="12" type="noConversion"/>
  </si>
  <si>
    <t>1.如果检查比例较低应扩大检查样本量或说明原因</t>
    <phoneticPr fontId="12" type="noConversion"/>
  </si>
  <si>
    <r>
      <rPr>
        <b/>
        <sz val="10"/>
        <color indexed="8"/>
        <rFont val="宋体"/>
        <family val="3"/>
        <charset val="134"/>
      </rPr>
      <t xml:space="preserve">一、审计目标：
</t>
    </r>
    <r>
      <rPr>
        <sz val="10"/>
        <color indexed="8"/>
        <rFont val="Arial Narrow"/>
        <family val="2"/>
      </rPr>
      <t>1.</t>
    </r>
    <r>
      <rPr>
        <sz val="10"/>
        <color indexed="8"/>
        <rFont val="宋体"/>
        <family val="3"/>
        <charset val="134"/>
      </rPr>
      <t>利润表中记录的资产处置损益已发生，且与被审计单位有关，已记录于恰当的账户；</t>
    </r>
    <r>
      <rPr>
        <sz val="10"/>
        <color indexed="8"/>
        <rFont val="Arial Narrow"/>
        <family val="2"/>
      </rPr>
      <t>2.</t>
    </r>
    <r>
      <rPr>
        <sz val="10"/>
        <color indexed="8"/>
        <rFont val="宋体"/>
        <family val="3"/>
        <charset val="134"/>
      </rPr>
      <t xml:space="preserve">与资产处置损益有关的金额及其他数据已恰当记录，相关披露已得到恰当计量和描述；
</t>
    </r>
    <r>
      <rPr>
        <sz val="10"/>
        <color indexed="8"/>
        <rFont val="Arial Narrow"/>
        <family val="2"/>
      </rPr>
      <t>3.</t>
    </r>
    <r>
      <rPr>
        <sz val="10"/>
        <color indexed="8"/>
        <rFont val="宋体"/>
        <family val="3"/>
        <charset val="134"/>
      </rPr>
      <t>资产处置损益已记录于正确的会计期间</t>
    </r>
    <phoneticPr fontId="12" type="noConversion"/>
  </si>
  <si>
    <t>提示：</t>
    <phoneticPr fontId="12" type="noConversion"/>
  </si>
  <si>
    <r>
      <rPr>
        <sz val="10"/>
        <color rgb="FF0000FF"/>
        <rFont val="宋体"/>
        <family val="3"/>
        <charset val="134"/>
      </rPr>
      <t>根据《中国注册会计师审计准则问题解答第</t>
    </r>
    <r>
      <rPr>
        <sz val="10"/>
        <color rgb="FF0000FF"/>
        <rFont val="Arial Narrow"/>
        <family val="2"/>
      </rPr>
      <t>18</t>
    </r>
    <r>
      <rPr>
        <sz val="10"/>
        <color rgb="FF0000FF"/>
        <rFont val="宋体"/>
        <family val="3"/>
        <charset val="134"/>
      </rPr>
      <t>号——识别和应对第三方配合实施财务舞弊》：如存在大额资产处置收益，关注是否存在被审计单位在第三方配合下，对资产进行虚假处置或虚增</t>
    </r>
    <r>
      <rPr>
        <sz val="10"/>
        <color rgb="FF0000FF"/>
        <rFont val="宋体"/>
        <family val="3"/>
        <charset val="134"/>
      </rPr>
      <t>处置价格</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</si>
</sst>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1">
    <numFmt numFmtId="41" formatCode="_ * #,##0_ ;_ * \-#,##0_ ;_ * &quot;-&quot;_ ;_ @_ "/>
    <numFmt numFmtId="43" formatCode="_ * #,##0.00_ ;_ * \-#,##0.00_ ;_ * &quot;-&quot;??_ ;_ @_ "/>
    <numFmt numFmtId="176" formatCode="_-* #,##0_-;\-* #,##0_-;_-* &quot;-&quot;_-;_-@_-"/>
    <numFmt numFmtId="177" formatCode="_-* #,##0.00_-;\-* #,##0.00_-;_-* &quot;-&quot;??_-;_-@_-"/>
    <numFmt numFmtId="178" formatCode="&quot;$&quot;#,##0_);\(&quot;$&quot;#,##0\)"/>
    <numFmt numFmtId="179" formatCode="_-&quot;$&quot;* #,##0_-;\-&quot;$&quot;* #,##0_-;_-&quot;$&quot;* &quot;-&quot;_-;_-@_-"/>
    <numFmt numFmtId="180" formatCode="_-&quot;$&quot;* #,##0.00_-;\-&quot;$&quot;* #,##0.00_-;_-&quot;$&quot;* &quot;-&quot;??_-;_-@_-"/>
    <numFmt numFmtId="181" formatCode="&quot;\&quot;#,##0;&quot;\&quot;&quot;\&quot;\-#,##0"/>
    <numFmt numFmtId="182" formatCode="&quot;\&quot;#,##0;[Red]&quot;\&quot;&quot;\&quot;\-#,##0"/>
    <numFmt numFmtId="183" formatCode="&quot;\&quot;#,##0.00;[Red]&quot;\&quot;&quot;\&quot;\-#,##0.00"/>
    <numFmt numFmtId="184" formatCode="#,##0_ "/>
    <numFmt numFmtId="185" formatCode="_-#,##0.00_-;\(#,##0.00\);_-\ \ &quot;-&quot;_-;_-@_-"/>
    <numFmt numFmtId="186" formatCode="mmm/yyyy;_-\ &quot;N/A&quot;_-;_-\ &quot;-&quot;_-"/>
    <numFmt numFmtId="187" formatCode="mmm/dd/yyyy;_-\ &quot;N/A&quot;_-;_-\ &quot;-&quot;_-"/>
    <numFmt numFmtId="188" formatCode="_-#,##0_-;\(#,##0\);_-\ \ &quot;-&quot;_-;_-@_-"/>
    <numFmt numFmtId="189" formatCode="_-#,##0%_-;\(#,##0%\);_-\ &quot;-&quot;_-"/>
    <numFmt numFmtId="190" formatCode="_-#,###,_-;\(#,###,\);_-\ \ &quot;-&quot;_-;_-@_-"/>
    <numFmt numFmtId="191" formatCode="_-#,###.00,_-;\(#,###.00,\);_-\ \ &quot;-&quot;_-;_-@_-"/>
    <numFmt numFmtId="192" formatCode="_-#0&quot;.&quot;0000_-;\(#0&quot;.&quot;0000\);_-\ \ &quot;-&quot;_-;_-@_-"/>
    <numFmt numFmtId="193" formatCode="_-#0&quot;.&quot;0,_-;\(#0&quot;.&quot;0,\);_-\ \ &quot;-&quot;_-;_-@_-"/>
    <numFmt numFmtId="194" formatCode="0%;\(0%\)"/>
    <numFmt numFmtId="195" formatCode="0.0%"/>
    <numFmt numFmtId="196" formatCode="#,##0;\-#,##0;&quot;-&quot;"/>
    <numFmt numFmtId="197" formatCode="\(#,##0\)\ "/>
    <numFmt numFmtId="198" formatCode="[Blue]0.0%;[Blue]\(0.0%\)"/>
    <numFmt numFmtId="199" formatCode="0.0%;\(0.0%\)"/>
    <numFmt numFmtId="200" formatCode="[Red]0.0%;[Red]\(0.0%\)"/>
    <numFmt numFmtId="201" formatCode="[Blue]#,##0_);[Blue]\(#,##0\)"/>
    <numFmt numFmtId="202" formatCode="#,##0_);[Blue]\(#,##0\)"/>
    <numFmt numFmtId="203" formatCode="&quot;$&quot;#,##0;[Red]&quot;$&quot;&quot;$&quot;&quot;$&quot;&quot;$&quot;&quot;$&quot;&quot;$&quot;&quot;$&quot;\-#,##0"/>
    <numFmt numFmtId="204" formatCode="#,##0;\(#,##0\)"/>
    <numFmt numFmtId="205" formatCode="#,##0.0_);\(#,##0.0\)"/>
    <numFmt numFmtId="206" formatCode="hh:mm\ AM/PM_)"/>
    <numFmt numFmtId="207" formatCode="&quot;$&quot;#,##0.00_);\(&quot;$&quot;#,##0.00\)"/>
    <numFmt numFmtId="208" formatCode=";;;"/>
    <numFmt numFmtId="209" formatCode="\$#,##0.00;\(\$#,##0.00\)"/>
    <numFmt numFmtId="210" formatCode="\$#,##0;\(\$#,##0\)"/>
    <numFmt numFmtId="211" formatCode="_(&quot;$&quot;* #,##0_);_(&quot;$&quot;* \(#,##0\);_(&quot;$&quot;* &quot;-&quot;_);_(@_)"/>
    <numFmt numFmtId="212" formatCode="_(&quot;$&quot;* #,##0.00_);_(&quot;$&quot;* \(#,##0.00\);_(&quot;$&quot;* &quot;-&quot;??_);_(@_)"/>
    <numFmt numFmtId="213" formatCode="_-* #,##0_-;\-* #,##0_-;_-* &quot;-&quot;??_-;_-@_-"/>
    <numFmt numFmtId="214" formatCode="0.00000000000_);[Red]\(0.00000000000\)"/>
    <numFmt numFmtId="215" formatCode="0%_);\(0%\)"/>
    <numFmt numFmtId="216" formatCode="\ \ @"/>
    <numFmt numFmtId="217" formatCode="#,##0_);\(#,##0_)"/>
    <numFmt numFmtId="218" formatCode="0.0000000"/>
    <numFmt numFmtId="219" formatCode="\¥#,##0.00;[Red]\¥\-#,##0.00"/>
    <numFmt numFmtId="220" formatCode="0.000000"/>
    <numFmt numFmtId="221" formatCode="0.00000000"/>
    <numFmt numFmtId="22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23" formatCode="_([$€-2]* #,##0.00_);_([$€-2]* \(#,##0.00\);_([$€-2]* &quot;-&quot;??_)"/>
    <numFmt numFmtId="224" formatCode="#,##0.00_);[Red]\(#,##0.00\)"/>
  </numFmts>
  <fonts count="126">
    <font>
      <sz val="12"/>
      <name val="宋体"/>
      <charset val="134"/>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0"/>
      <color indexed="12"/>
      <name val="宋体"/>
      <family val="3"/>
      <charset val="134"/>
    </font>
    <font>
      <sz val="18"/>
      <color indexed="48"/>
      <name val="魏碑"/>
      <family val="3"/>
      <charset val="134"/>
    </font>
    <font>
      <i/>
      <sz val="10"/>
      <color indexed="12"/>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indexed="12"/>
      <name val="Arial Narrow"/>
      <family val="2"/>
    </font>
    <font>
      <u val="singleAccounting"/>
      <vertAlign val="subscript"/>
      <sz val="10"/>
      <name val="Times New Roman"/>
      <family val="1"/>
    </font>
    <font>
      <i/>
      <sz val="9"/>
      <name val="Times New Roman"/>
      <family val="1"/>
    </font>
    <font>
      <b/>
      <sz val="10"/>
      <color indexed="8"/>
      <name val="Arial Narrow"/>
      <family val="2"/>
    </font>
    <font>
      <b/>
      <sz val="10"/>
      <color indexed="8"/>
      <name val="宋体"/>
      <family val="3"/>
      <charset val="134"/>
    </font>
    <font>
      <sz val="12"/>
      <name val="仿宋_GB2312"/>
      <family val="3"/>
      <charset val="134"/>
    </font>
    <font>
      <b/>
      <sz val="10"/>
      <color indexed="12"/>
      <name val="Arial Narrow"/>
      <family val="2"/>
    </font>
    <font>
      <sz val="12"/>
      <name val="宋体"/>
      <family val="3"/>
      <charset val="134"/>
    </font>
    <font>
      <sz val="10.5"/>
      <name val="Arial Narrow"/>
      <family val="2"/>
    </font>
    <font>
      <sz val="10"/>
      <color rgb="FFFF0000"/>
      <name val="宋体"/>
      <family val="3"/>
      <charset val="134"/>
    </font>
    <font>
      <sz val="10"/>
      <color rgb="FF0000FF"/>
      <name val="Arial Narrow"/>
      <family val="2"/>
    </font>
    <font>
      <sz val="10"/>
      <color rgb="FF0000FF"/>
      <name val="宋体"/>
      <family val="3"/>
      <charset val="134"/>
    </font>
    <font>
      <sz val="9"/>
      <name val="宋体"/>
      <family val="2"/>
      <charset val="134"/>
      <scheme val="minor"/>
    </font>
    <font>
      <sz val="10"/>
      <color theme="1"/>
      <name val="宋体"/>
      <family val="3"/>
      <charset val="134"/>
    </font>
    <font>
      <b/>
      <sz val="10"/>
      <color rgb="FFFF0000"/>
      <name val="宋体"/>
      <family val="3"/>
      <charset val="134"/>
    </font>
    <font>
      <sz val="10"/>
      <name val="Arial"/>
      <family val="2"/>
      <charset val="134"/>
    </font>
    <font>
      <sz val="10"/>
      <color indexed="8"/>
      <name val="Arial"/>
      <family val="2"/>
      <charset val="134"/>
    </font>
    <font>
      <sz val="12"/>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0"/>
      <name val="Helv"/>
      <family val="2"/>
    </font>
    <font>
      <b/>
      <sz val="11"/>
      <color indexed="9"/>
      <name val="Calibri"/>
      <family val="2"/>
    </font>
    <font>
      <b/>
      <sz val="13"/>
      <name val="Tms Rmn"/>
      <family val="1"/>
      <charset val="134"/>
    </font>
    <font>
      <b/>
      <sz val="8"/>
      <name val="Arial"/>
      <family val="2"/>
      <charset val="134"/>
    </font>
    <font>
      <sz val="10"/>
      <color indexed="8"/>
      <name val="Arial"/>
      <family val="2"/>
    </font>
    <font>
      <sz val="9"/>
      <name val="Times New Roman"/>
      <family val="1"/>
      <charset val="134"/>
    </font>
    <font>
      <sz val="8"/>
      <name val="Arial"/>
      <family val="2"/>
      <charset val="134"/>
    </font>
    <font>
      <i/>
      <sz val="11"/>
      <color indexed="23"/>
      <name val="Calibri"/>
      <family val="2"/>
    </font>
    <font>
      <sz val="11"/>
      <color indexed="17"/>
      <name val="Calibri"/>
      <family val="2"/>
    </font>
    <font>
      <b/>
      <sz val="12"/>
      <name val="Helv"/>
      <family val="2"/>
    </font>
    <font>
      <b/>
      <sz val="12"/>
      <name val="Arial"/>
      <family val="2"/>
      <charset val="134"/>
    </font>
    <font>
      <b/>
      <sz val="10"/>
      <name val="Arial"/>
      <family val="2"/>
      <charset val="134"/>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name val="Helv"/>
      <family val="2"/>
    </font>
    <font>
      <sz val="11"/>
      <color indexed="60"/>
      <name val="Calibri"/>
      <family val="2"/>
    </font>
    <font>
      <sz val="7"/>
      <name val="Small Fonts"/>
      <family val="2"/>
      <charset val="134"/>
    </font>
    <font>
      <sz val="10"/>
      <name val="MS Sans Serif"/>
      <family val="2"/>
      <charset val="134"/>
    </font>
    <font>
      <sz val="10"/>
      <color indexed="8"/>
      <name val="MS Sans Serif"/>
      <family val="2"/>
      <charset val="134"/>
    </font>
    <font>
      <b/>
      <sz val="11"/>
      <color indexed="63"/>
      <name val="Calibri"/>
      <family val="2"/>
    </font>
    <font>
      <sz val="8"/>
      <color indexed="16"/>
      <name val="Century Schoolbook"/>
      <family val="1"/>
      <charset val="134"/>
    </font>
    <font>
      <b/>
      <i/>
      <sz val="10"/>
      <name val="Times New Roman"/>
      <family val="1"/>
      <charset val="134"/>
    </font>
    <font>
      <b/>
      <sz val="12"/>
      <name val="MS Sans Serif"/>
      <family val="2"/>
      <charset val="134"/>
    </font>
    <font>
      <sz val="12"/>
      <name val="MS Sans Serif"/>
      <family val="2"/>
      <charset val="134"/>
    </font>
    <font>
      <b/>
      <sz val="10"/>
      <color indexed="10"/>
      <name val="Arial"/>
      <family val="2"/>
      <charset val="134"/>
    </font>
    <font>
      <b/>
      <sz val="9"/>
      <name val="Times New Roman"/>
      <family val="1"/>
      <charset val="134"/>
    </font>
    <font>
      <b/>
      <sz val="11"/>
      <color indexed="8"/>
      <name val="Calibri"/>
      <family val="2"/>
    </font>
    <font>
      <sz val="11"/>
      <color indexed="10"/>
      <name val="Calibri"/>
      <family val="2"/>
    </font>
    <font>
      <sz val="8"/>
      <name val="Century Schoolbook"/>
      <family val="1"/>
      <charset val="134"/>
    </font>
    <font>
      <sz val="12"/>
      <color indexed="20"/>
      <name val="宋体"/>
      <family val="3"/>
      <charset val="134"/>
    </font>
    <font>
      <sz val="11"/>
      <color theme="1"/>
      <name val="宋体"/>
      <family val="3"/>
      <charset val="134"/>
      <scheme val="minor"/>
    </font>
    <font>
      <sz val="12"/>
      <color indexed="8"/>
      <name val="宋体"/>
      <family val="3"/>
      <charset val="134"/>
    </font>
    <font>
      <sz val="11"/>
      <color indexed="8"/>
      <name val="宋体"/>
      <family val="3"/>
      <charset val="134"/>
    </font>
    <font>
      <sz val="11"/>
      <color theme="1"/>
      <name val="宋体"/>
      <family val="2"/>
      <charset val="134"/>
      <scheme val="minor"/>
    </font>
    <font>
      <sz val="10"/>
      <color indexed="8"/>
      <name val="Tahoma"/>
      <family val="2"/>
      <charset val="134"/>
    </font>
    <font>
      <u/>
      <sz val="10"/>
      <color indexed="12"/>
      <name val="宋体"/>
      <family val="3"/>
      <charset val="134"/>
    </font>
    <font>
      <b/>
      <sz val="10"/>
      <name val="MS Sans Serif"/>
      <family val="2"/>
      <charset val="134"/>
    </font>
    <font>
      <sz val="10"/>
      <color indexed="17"/>
      <name val="Times New Roman"/>
      <family val="1"/>
    </font>
    <font>
      <sz val="10"/>
      <name val="Times New Roman"/>
      <family val="1"/>
      <charset val="134"/>
    </font>
    <font>
      <sz val="11"/>
      <name val="蹈框"/>
      <charset val="134"/>
    </font>
    <font>
      <sz val="12"/>
      <name val="바탕체"/>
      <family val="3"/>
      <charset val="134"/>
    </font>
    <font>
      <b/>
      <sz val="10"/>
      <color rgb="FFE92841"/>
      <name val="Arial Narrow"/>
      <family val="2"/>
    </font>
    <font>
      <sz val="12"/>
      <name val="宋体"/>
      <family val="3"/>
      <charset val="134"/>
      <scheme val="minor"/>
    </font>
    <font>
      <b/>
      <sz val="12"/>
      <name val="宋体"/>
      <family val="3"/>
      <charset val="134"/>
      <scheme val="minor"/>
    </font>
    <font>
      <sz val="12"/>
      <color rgb="FF0000FF"/>
      <name val="仿宋_GB2312"/>
      <family val="3"/>
      <charset val="134"/>
    </font>
    <font>
      <b/>
      <sz val="10.5"/>
      <name val="仿宋_GB2312"/>
      <family val="3"/>
      <charset val="134"/>
    </font>
    <font>
      <b/>
      <sz val="10.5"/>
      <name val="Arial Narrow"/>
      <family val="2"/>
    </font>
    <font>
      <b/>
      <sz val="10.5"/>
      <color rgb="FF000000"/>
      <name val="仿宋_GB2312"/>
      <family val="3"/>
      <charset val="134"/>
    </font>
    <font>
      <sz val="10.5"/>
      <name val="仿宋_GB2312"/>
      <family val="3"/>
      <charset val="134"/>
    </font>
    <font>
      <sz val="10.5"/>
      <color rgb="FFFF0000"/>
      <name val="仿宋_GB2312"/>
      <family val="3"/>
      <charset val="134"/>
    </font>
    <font>
      <sz val="10.5"/>
      <color rgb="FF0000FF"/>
      <name val="仿宋_GB2312"/>
      <family val="3"/>
      <charset val="134"/>
    </font>
    <font>
      <sz val="12"/>
      <color rgb="FF0000FF"/>
      <name val="Arial Narrow"/>
      <family val="2"/>
    </font>
    <font>
      <b/>
      <sz val="12"/>
      <color rgb="FFFF0000"/>
      <name val="仿宋_GB2312"/>
      <family val="3"/>
      <charset val="134"/>
    </font>
    <font>
      <b/>
      <sz val="12"/>
      <color rgb="FFFF0000"/>
      <name val="Arial Narrow"/>
      <family val="2"/>
    </font>
    <font>
      <sz val="12"/>
      <color rgb="FFFF0000"/>
      <name val="仿宋_GB2312"/>
      <family val="3"/>
      <charset val="134"/>
    </font>
    <font>
      <sz val="12"/>
      <color rgb="FFFF0000"/>
      <name val="Arial Narrow"/>
      <family val="2"/>
    </font>
    <font>
      <sz val="12"/>
      <color rgb="FF000000"/>
      <name val="仿宋_GB2312"/>
      <family val="3"/>
      <charset val="134"/>
    </font>
    <font>
      <sz val="12"/>
      <color rgb="FF000000"/>
      <name val="Arial Narrow"/>
      <family val="2"/>
    </font>
    <font>
      <b/>
      <sz val="10.5"/>
      <color rgb="FF000000"/>
      <name val="Arial Narrow"/>
      <family val="2"/>
    </font>
    <font>
      <sz val="10.5"/>
      <color rgb="FF000000"/>
      <name val="仿宋_GB2312"/>
      <family val="3"/>
      <charset val="134"/>
    </font>
    <font>
      <sz val="10.5"/>
      <color rgb="FFFF0000"/>
      <name val="Arial Narrow"/>
      <family val="2"/>
    </font>
    <font>
      <b/>
      <sz val="12"/>
      <color rgb="FF0000FF"/>
      <name val="仿宋_GB2312"/>
      <family val="3"/>
      <charset val="134"/>
    </font>
    <font>
      <b/>
      <sz val="12"/>
      <color rgb="FF0000FF"/>
      <name val="Arial Narrow"/>
      <family val="2"/>
    </font>
    <font>
      <sz val="10"/>
      <color indexed="8"/>
      <name val="Arial Narrow"/>
      <family val="2"/>
    </font>
    <font>
      <sz val="10"/>
      <color rgb="FFFF0000"/>
      <name val="Arial Narrow"/>
      <family val="2"/>
    </font>
    <font>
      <sz val="10"/>
      <color indexed="8"/>
      <name val="宋体"/>
      <family val="3"/>
      <charset val="134"/>
    </font>
    <font>
      <sz val="9"/>
      <color rgb="FF0000FF"/>
      <name val="Arial Narrow"/>
      <family val="2"/>
    </font>
    <font>
      <sz val="9"/>
      <color rgb="FF0000FF"/>
      <name val="宋体"/>
      <family val="3"/>
      <charset val="134"/>
    </font>
    <font>
      <sz val="10"/>
      <color rgb="FF0000FF"/>
      <name val="宋体"/>
      <family val="3"/>
      <charset val="134"/>
      <scheme val="major"/>
    </font>
    <font>
      <b/>
      <sz val="14"/>
      <name val="Arial Narrow"/>
      <family val="2"/>
    </font>
    <font>
      <b/>
      <sz val="14"/>
      <name val="宋体"/>
      <family val="3"/>
      <charset val="134"/>
    </font>
    <font>
      <sz val="14"/>
      <name val="Arial Narrow"/>
      <family val="2"/>
    </font>
    <font>
      <b/>
      <sz val="14"/>
      <color rgb="FFFF0000"/>
      <name val="宋体"/>
      <family val="3"/>
      <charset val="134"/>
    </font>
    <font>
      <sz val="10"/>
      <name val="宋体"/>
      <family val="3"/>
      <charset val="134"/>
      <scheme val="minor"/>
    </font>
    <font>
      <b/>
      <sz val="9"/>
      <color indexed="81"/>
      <name val="宋体"/>
      <family val="3"/>
      <charset val="134"/>
    </font>
    <font>
      <sz val="9"/>
      <color indexed="81"/>
      <name val="宋体"/>
      <family val="3"/>
      <charset val="134"/>
    </font>
    <font>
      <b/>
      <sz val="10"/>
      <color rgb="FF0000FF"/>
      <name val="宋体"/>
      <family val="3"/>
      <charset val="134"/>
    </font>
  </fonts>
  <fills count="37">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E4DFEC"/>
        <bgColor indexed="64"/>
      </patternFill>
    </fill>
    <fill>
      <patternFill patternType="solid">
        <fgColor theme="0"/>
        <bgColor indexed="64"/>
      </patternFill>
    </fill>
    <fill>
      <patternFill patternType="solid">
        <fgColor theme="0" tint="-0.14999847407452621"/>
        <bgColor indexed="64"/>
      </patternFill>
    </fill>
  </fills>
  <borders count="27">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bottom style="hair">
        <color indexed="64"/>
      </bottom>
      <diagonal/>
    </border>
    <border>
      <left/>
      <right/>
      <top style="medium">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style="hair">
        <color indexed="64"/>
      </left>
      <right style="hair">
        <color indexed="64"/>
      </right>
      <top style="hair">
        <color indexed="64"/>
      </top>
      <bottom/>
      <diagonal/>
    </border>
    <border>
      <left/>
      <right/>
      <top/>
      <bottom style="hair">
        <color indexed="64"/>
      </bottom>
      <diagonal/>
    </border>
  </borders>
  <cellStyleXfs count="308">
    <xf numFmtId="0" fontId="0" fillId="0" borderId="0">
      <protection locked="0"/>
    </xf>
    <xf numFmtId="49" fontId="15" fillId="0" borderId="0" applyProtection="0">
      <alignment horizontal="left"/>
    </xf>
    <xf numFmtId="188" fontId="15" fillId="0" borderId="0" applyFill="0" applyBorder="0" applyProtection="0">
      <alignment horizontal="right"/>
    </xf>
    <xf numFmtId="185" fontId="15" fillId="0" borderId="0" applyFill="0" applyBorder="0" applyProtection="0">
      <alignment horizontal="right"/>
    </xf>
    <xf numFmtId="187" fontId="25" fillId="0" borderId="0" applyFill="0" applyBorder="0" applyProtection="0">
      <alignment horizontal="center"/>
    </xf>
    <xf numFmtId="186" fontId="25" fillId="0" borderId="0" applyFill="0" applyBorder="0" applyProtection="0">
      <alignment horizontal="center"/>
    </xf>
    <xf numFmtId="189" fontId="26" fillId="0" borderId="0" applyFill="0" applyBorder="0" applyProtection="0">
      <alignment horizontal="right"/>
    </xf>
    <xf numFmtId="190" fontId="15" fillId="0" borderId="0" applyFill="0" applyBorder="0" applyProtection="0">
      <alignment horizontal="right"/>
    </xf>
    <xf numFmtId="191" fontId="15" fillId="0" borderId="0" applyFill="0" applyBorder="0" applyProtection="0">
      <alignment horizontal="right"/>
    </xf>
    <xf numFmtId="193" fontId="15" fillId="0" borderId="0" applyFill="0" applyBorder="0" applyProtection="0">
      <alignment horizontal="right"/>
    </xf>
    <xf numFmtId="192" fontId="15" fillId="0" borderId="0" applyFill="0" applyBorder="0" applyProtection="0">
      <alignment horizontal="right"/>
    </xf>
    <xf numFmtId="3" fontId="2" fillId="0" borderId="0"/>
    <xf numFmtId="178" fontId="3" fillId="0" borderId="1" applyAlignment="0" applyProtection="0"/>
    <xf numFmtId="41" fontId="4" fillId="0" borderId="0" applyFont="0" applyFill="0" applyBorder="0" applyAlignment="0" applyProtection="0"/>
    <xf numFmtId="43" fontId="4" fillId="0" borderId="0" applyFont="0" applyFill="0" applyBorder="0" applyAlignment="0" applyProtection="0"/>
    <xf numFmtId="0" fontId="15" fillId="0" borderId="0" applyFont="0" applyFill="0" applyBorder="0" applyAlignment="0" applyProtection="0"/>
    <xf numFmtId="0" fontId="5" fillId="0" borderId="0" applyNumberFormat="0" applyFill="0" applyBorder="0" applyAlignment="0" applyProtection="0">
      <alignment vertical="top"/>
      <protection locked="0"/>
    </xf>
    <xf numFmtId="38" fontId="6" fillId="2" borderId="0" applyNumberFormat="0" applyBorder="0" applyAlignment="0" applyProtection="0"/>
    <xf numFmtId="0" fontId="7" fillId="0" borderId="0" applyNumberFormat="0" applyFill="0" applyBorder="0" applyAlignment="0" applyProtection="0">
      <alignment vertical="top"/>
      <protection locked="0"/>
    </xf>
    <xf numFmtId="10" fontId="6" fillId="3" borderId="2" applyNumberFormat="0" applyBorder="0" applyAlignment="0" applyProtection="0"/>
    <xf numFmtId="182" fontId="8" fillId="0" borderId="0" applyFont="0" applyFill="0" applyBorder="0" applyAlignment="0" applyProtection="0"/>
    <xf numFmtId="183" fontId="8" fillId="0" borderId="0" applyFont="0" applyFill="0" applyBorder="0" applyAlignment="0" applyProtection="0"/>
    <xf numFmtId="0" fontId="9" fillId="0" borderId="0"/>
    <xf numFmtId="181" fontId="8" fillId="0" borderId="0"/>
    <xf numFmtId="10" fontId="4" fillId="0" borderId="0" applyFont="0" applyFill="0" applyBorder="0" applyAlignment="0" applyProtection="0"/>
    <xf numFmtId="3" fontId="10" fillId="0" borderId="0"/>
    <xf numFmtId="0" fontId="8" fillId="0" borderId="0">
      <alignment vertical="center"/>
    </xf>
    <xf numFmtId="0" fontId="8" fillId="0" borderId="0">
      <alignment vertical="center"/>
    </xf>
    <xf numFmtId="0" fontId="8" fillId="0" borderId="0"/>
    <xf numFmtId="0" fontId="8" fillId="0" borderId="0">
      <protection locked="0"/>
    </xf>
    <xf numFmtId="0" fontId="8" fillId="0" borderId="0" applyFill="0" applyBorder="0"/>
    <xf numFmtId="0" fontId="8" fillId="0" borderId="0">
      <alignment vertical="center"/>
    </xf>
    <xf numFmtId="0" fontId="11" fillId="0" borderId="0" applyNumberFormat="0" applyFill="0" applyBorder="0" applyAlignment="0" applyProtection="0">
      <alignment vertical="top"/>
      <protection locked="0"/>
    </xf>
    <xf numFmtId="43" fontId="8" fillId="0" borderId="0" applyFont="0" applyFill="0" applyBorder="0" applyAlignment="0" applyProtection="0"/>
    <xf numFmtId="0" fontId="8" fillId="0" borderId="0"/>
    <xf numFmtId="9" fontId="31" fillId="0" borderId="0" applyFont="0" applyFill="0" applyBorder="0" applyAlignment="0" applyProtection="0">
      <alignment vertical="center"/>
    </xf>
    <xf numFmtId="0" fontId="8" fillId="0" borderId="0">
      <protection locked="0"/>
    </xf>
    <xf numFmtId="0" fontId="8" fillId="0" borderId="0">
      <alignment vertical="center"/>
    </xf>
    <xf numFmtId="0" fontId="8" fillId="0" borderId="0">
      <alignment vertical="center"/>
      <protection locked="0"/>
    </xf>
    <xf numFmtId="0" fontId="8" fillId="0" borderId="0">
      <alignment vertical="center"/>
    </xf>
    <xf numFmtId="0" fontId="8" fillId="0" borderId="0">
      <protection locked="0"/>
    </xf>
    <xf numFmtId="0" fontId="4" fillId="0" borderId="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40" fillId="0" borderId="0">
      <alignment vertical="top"/>
      <protection locked="0"/>
    </xf>
    <xf numFmtId="0" fontId="40" fillId="0" borderId="0">
      <alignment vertical="top"/>
      <protection locked="0"/>
    </xf>
    <xf numFmtId="0" fontId="40" fillId="0" borderId="0">
      <alignment vertical="top"/>
      <protection locked="0"/>
    </xf>
    <xf numFmtId="0" fontId="40" fillId="0" borderId="0">
      <alignment vertical="top"/>
    </xf>
    <xf numFmtId="0" fontId="41" fillId="0" borderId="0"/>
    <xf numFmtId="0" fontId="40" fillId="0" borderId="0">
      <alignment vertical="top"/>
    </xf>
    <xf numFmtId="0" fontId="40" fillId="0" borderId="0">
      <alignment vertical="top"/>
      <protection locked="0"/>
    </xf>
    <xf numFmtId="0" fontId="40" fillId="0" borderId="0">
      <alignment vertical="top"/>
    </xf>
    <xf numFmtId="0" fontId="40" fillId="0" borderId="0">
      <alignment vertical="top"/>
    </xf>
    <xf numFmtId="0" fontId="40" fillId="0" borderId="0">
      <alignment vertical="top"/>
      <protection locked="0"/>
    </xf>
    <xf numFmtId="0" fontId="40" fillId="0" borderId="0">
      <alignment vertical="top"/>
      <protection locked="0"/>
    </xf>
    <xf numFmtId="0" fontId="40" fillId="0" borderId="0">
      <alignment vertical="top"/>
      <protection locked="0"/>
    </xf>
    <xf numFmtId="0" fontId="40" fillId="0" borderId="0">
      <alignment vertical="top"/>
    </xf>
    <xf numFmtId="0" fontId="40" fillId="0" borderId="0">
      <alignment vertical="top"/>
    </xf>
    <xf numFmtId="0" fontId="40" fillId="0" borderId="0">
      <alignment vertical="top"/>
      <protection locked="0"/>
    </xf>
    <xf numFmtId="0" fontId="40" fillId="0" borderId="0">
      <alignment vertical="top"/>
    </xf>
    <xf numFmtId="0" fontId="40" fillId="0" borderId="0">
      <alignment vertical="top"/>
    </xf>
    <xf numFmtId="0" fontId="40" fillId="0" borderId="0">
      <alignment vertical="top"/>
    </xf>
    <xf numFmtId="0" fontId="40" fillId="0" borderId="0">
      <alignment vertical="top"/>
      <protection locked="0"/>
    </xf>
    <xf numFmtId="0" fontId="40" fillId="0" borderId="0">
      <alignment vertical="top"/>
    </xf>
    <xf numFmtId="0" fontId="40" fillId="0" borderId="0">
      <alignment vertical="top"/>
      <protection locked="0"/>
    </xf>
    <xf numFmtId="0" fontId="40" fillId="0" borderId="0">
      <alignment vertical="top"/>
      <protection locked="0"/>
    </xf>
    <xf numFmtId="0" fontId="40" fillId="0" borderId="0">
      <alignment vertical="top"/>
      <protection locked="0"/>
    </xf>
    <xf numFmtId="0" fontId="40" fillId="0" borderId="0">
      <alignment vertical="top"/>
    </xf>
    <xf numFmtId="0" fontId="40" fillId="0" borderId="0">
      <alignment vertical="top"/>
    </xf>
    <xf numFmtId="0" fontId="40" fillId="0" borderId="0">
      <alignment vertical="top"/>
    </xf>
    <xf numFmtId="0" fontId="40" fillId="0" borderId="0">
      <alignment vertical="top"/>
    </xf>
    <xf numFmtId="0" fontId="40" fillId="0" borderId="0">
      <alignment vertical="top"/>
      <protection locked="0"/>
    </xf>
    <xf numFmtId="0" fontId="40" fillId="0" borderId="0">
      <alignment vertical="top"/>
      <protection locked="0"/>
    </xf>
    <xf numFmtId="0" fontId="40" fillId="0" borderId="0">
      <alignment vertical="top"/>
    </xf>
    <xf numFmtId="0" fontId="40" fillId="0" borderId="0">
      <alignment vertical="top"/>
      <protection locked="0"/>
    </xf>
    <xf numFmtId="194" fontId="8" fillId="0" borderId="0" applyFont="0" applyFill="0" applyBorder="0" applyAlignment="0" applyProtection="0">
      <alignment vertical="center"/>
    </xf>
    <xf numFmtId="195" fontId="8" fillId="0" borderId="0" applyFont="0" applyFill="0" applyBorder="0" applyAlignment="0" applyProtection="0">
      <alignment vertical="center"/>
    </xf>
    <xf numFmtId="10" fontId="8" fillId="0" borderId="0" applyFont="0" applyFill="0" applyBorder="0" applyAlignment="0" applyProtection="0">
      <alignment vertical="center"/>
    </xf>
    <xf numFmtId="0" fontId="42" fillId="6" borderId="0" applyNumberFormat="0" applyBorder="0" applyAlignment="0" applyProtection="0"/>
    <xf numFmtId="0" fontId="42" fillId="7" borderId="0" applyNumberFormat="0" applyBorder="0" applyAlignment="0" applyProtection="0"/>
    <xf numFmtId="0" fontId="42" fillId="8" borderId="0" applyNumberFormat="0" applyBorder="0" applyAlignment="0" applyProtection="0"/>
    <xf numFmtId="0" fontId="42" fillId="9" borderId="0" applyNumberFormat="0" applyBorder="0" applyAlignment="0" applyProtection="0"/>
    <xf numFmtId="0" fontId="42" fillId="10" borderId="0" applyNumberFormat="0" applyBorder="0" applyAlignment="0" applyProtection="0"/>
    <xf numFmtId="0" fontId="42" fillId="11" borderId="0" applyNumberFormat="0" applyBorder="0" applyAlignment="0" applyProtection="0"/>
    <xf numFmtId="0" fontId="42" fillId="12" borderId="0" applyNumberFormat="0" applyBorder="0" applyAlignment="0" applyProtection="0"/>
    <xf numFmtId="0" fontId="42" fillId="13" borderId="0" applyNumberFormat="0" applyBorder="0" applyAlignment="0" applyProtection="0"/>
    <xf numFmtId="0" fontId="42" fillId="14" borderId="0" applyNumberFormat="0" applyBorder="0" applyAlignment="0" applyProtection="0"/>
    <xf numFmtId="0" fontId="42" fillId="9" borderId="0" applyNumberFormat="0" applyBorder="0" applyAlignment="0" applyProtection="0"/>
    <xf numFmtId="0" fontId="42" fillId="12" borderId="0" applyNumberFormat="0" applyBorder="0" applyAlignment="0" applyProtection="0"/>
    <xf numFmtId="0" fontId="42" fillId="15" borderId="0" applyNumberFormat="0" applyBorder="0" applyAlignment="0" applyProtection="0"/>
    <xf numFmtId="0" fontId="43" fillId="16"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43" fillId="17" borderId="0" applyNumberFormat="0" applyBorder="0" applyAlignment="0" applyProtection="0"/>
    <xf numFmtId="0" fontId="43" fillId="18" borderId="0" applyNumberFormat="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17" borderId="0" applyNumberFormat="0" applyBorder="0" applyAlignment="0" applyProtection="0"/>
    <xf numFmtId="0" fontId="43" fillId="18" borderId="0" applyNumberFormat="0" applyBorder="0" applyAlignment="0" applyProtection="0"/>
    <xf numFmtId="0" fontId="43" fillId="23" borderId="0" applyNumberFormat="0" applyBorder="0" applyAlignment="0" applyProtection="0"/>
    <xf numFmtId="0" fontId="44" fillId="7" borderId="0" applyNumberFormat="0" applyBorder="0" applyAlignment="0" applyProtection="0"/>
    <xf numFmtId="196" fontId="40" fillId="0" borderId="0" applyFill="0" applyBorder="0" applyAlignment="0">
      <alignment vertical="center"/>
    </xf>
    <xf numFmtId="197" fontId="4" fillId="0" borderId="0" applyFill="0" applyBorder="0" applyAlignment="0"/>
    <xf numFmtId="198" fontId="4" fillId="0" borderId="0" applyFill="0" applyBorder="0" applyAlignment="0"/>
    <xf numFmtId="199" fontId="4" fillId="0" borderId="0" applyFill="0" applyBorder="0" applyAlignment="0"/>
    <xf numFmtId="200" fontId="4" fillId="0" borderId="0" applyFill="0" applyBorder="0" applyAlignment="0"/>
    <xf numFmtId="201" fontId="4" fillId="0" borderId="0" applyFill="0" applyBorder="0" applyAlignment="0"/>
    <xf numFmtId="202" fontId="4" fillId="0" borderId="0" applyFill="0" applyBorder="0" applyAlignment="0"/>
    <xf numFmtId="197" fontId="4" fillId="0" borderId="0" applyFill="0" applyBorder="0" applyAlignment="0"/>
    <xf numFmtId="0" fontId="45" fillId="24" borderId="12" applyNumberFormat="0" applyAlignment="0" applyProtection="0"/>
    <xf numFmtId="0" fontId="46" fillId="0" borderId="0"/>
    <xf numFmtId="0" fontId="47" fillId="25" borderId="13" applyNumberFormat="0" applyAlignment="0" applyProtection="0"/>
    <xf numFmtId="0" fontId="48" fillId="0" borderId="14" applyNumberFormat="0" applyFill="0" applyProtection="0">
      <alignment horizontal="center" vertical="center"/>
    </xf>
    <xf numFmtId="0" fontId="49" fillId="0" borderId="15">
      <alignment horizontal="center" vertical="center"/>
    </xf>
    <xf numFmtId="203" fontId="39" fillId="0" borderId="0">
      <alignment vertical="center"/>
    </xf>
    <xf numFmtId="203" fontId="39" fillId="0" borderId="0">
      <alignment vertical="center"/>
    </xf>
    <xf numFmtId="203" fontId="39" fillId="0" borderId="0">
      <alignment vertical="center"/>
    </xf>
    <xf numFmtId="203" fontId="39" fillId="0" borderId="0">
      <alignment vertical="center"/>
    </xf>
    <xf numFmtId="203" fontId="39" fillId="0" borderId="0">
      <alignment vertical="center"/>
    </xf>
    <xf numFmtId="203" fontId="39" fillId="0" borderId="0">
      <alignment vertical="center"/>
    </xf>
    <xf numFmtId="203" fontId="39" fillId="0" borderId="0">
      <alignment vertical="center"/>
    </xf>
    <xf numFmtId="203" fontId="39" fillId="0" borderId="0">
      <alignment vertical="center"/>
    </xf>
    <xf numFmtId="38" fontId="8" fillId="0" borderId="0" applyFont="0" applyFill="0" applyBorder="0" applyAlignment="0" applyProtection="0">
      <alignment vertical="center"/>
    </xf>
    <xf numFmtId="201" fontId="4" fillId="0" borderId="0" applyFont="0" applyFill="0" applyBorder="0" applyAlignment="0" applyProtection="0"/>
    <xf numFmtId="43" fontId="8" fillId="0" borderId="0" applyFont="0" applyFill="0" applyBorder="0" applyAlignment="0" applyProtection="0"/>
    <xf numFmtId="204" fontId="15" fillId="0" borderId="0"/>
    <xf numFmtId="37" fontId="8" fillId="0" borderId="0" applyFont="0" applyFill="0" applyBorder="0" applyAlignment="0" applyProtection="0">
      <alignment vertical="center"/>
    </xf>
    <xf numFmtId="205" fontId="8" fillId="0" borderId="0" applyFont="0" applyFill="0" applyBorder="0" applyAlignment="0" applyProtection="0">
      <alignment vertical="center"/>
    </xf>
    <xf numFmtId="39" fontId="8" fillId="0" borderId="0" applyFont="0" applyFill="0" applyBorder="0" applyAlignment="0" applyProtection="0">
      <alignment vertical="center"/>
    </xf>
    <xf numFmtId="40" fontId="8" fillId="0" borderId="0" applyFont="0" applyFill="0" applyBorder="0" applyAlignment="0" applyProtection="0">
      <alignment vertical="center"/>
    </xf>
    <xf numFmtId="206" fontId="8" fillId="0" borderId="0" applyFont="0" applyFill="0" applyBorder="0" applyAlignment="0" applyProtection="0">
      <alignment vertical="center"/>
    </xf>
    <xf numFmtId="197" fontId="4" fillId="0" borderId="0" applyFont="0" applyFill="0" applyBorder="0" applyAlignment="0" applyProtection="0"/>
    <xf numFmtId="178" fontId="8" fillId="0" borderId="0" applyFont="0" applyFill="0" applyBorder="0" applyAlignment="0" applyProtection="0">
      <alignment vertical="center"/>
    </xf>
    <xf numFmtId="207" fontId="8" fillId="0" borderId="0" applyFont="0" applyFill="0" applyBorder="0" applyAlignment="0" applyProtection="0">
      <alignment vertical="center"/>
    </xf>
    <xf numFmtId="208" fontId="8" fillId="0" borderId="0" applyFont="0" applyFill="0" applyBorder="0" applyAlignment="0" applyProtection="0">
      <alignment vertical="center"/>
    </xf>
    <xf numFmtId="209" fontId="15" fillId="0" borderId="0"/>
    <xf numFmtId="14" fontId="50" fillId="0" borderId="0" applyFill="0" applyBorder="0" applyAlignment="0"/>
    <xf numFmtId="210" fontId="15" fillId="0" borderId="0"/>
    <xf numFmtId="201" fontId="4" fillId="0" borderId="0" applyFill="0" applyBorder="0" applyAlignment="0"/>
    <xf numFmtId="197" fontId="4" fillId="0" borderId="0" applyFill="0" applyBorder="0" applyAlignment="0"/>
    <xf numFmtId="201" fontId="4" fillId="0" borderId="0" applyFill="0" applyBorder="0" applyAlignment="0"/>
    <xf numFmtId="202" fontId="4" fillId="0" borderId="0" applyFill="0" applyBorder="0" applyAlignment="0"/>
    <xf numFmtId="197" fontId="4" fillId="0" borderId="0" applyFill="0" applyBorder="0" applyAlignment="0"/>
    <xf numFmtId="0" fontId="51" fillId="0" borderId="0">
      <alignment horizontal="left" vertical="center"/>
    </xf>
    <xf numFmtId="0" fontId="52" fillId="26" borderId="2">
      <alignment vertical="center"/>
    </xf>
    <xf numFmtId="0" fontId="53" fillId="0" borderId="0" applyNumberFormat="0" applyFill="0" applyBorder="0" applyAlignment="0" applyProtection="0"/>
    <xf numFmtId="0" fontId="54" fillId="8" borderId="0" applyNumberFormat="0" applyBorder="0" applyAlignment="0" applyProtection="0"/>
    <xf numFmtId="0" fontId="55" fillId="0" borderId="0">
      <alignment horizontal="left"/>
    </xf>
    <xf numFmtId="0" fontId="56" fillId="0" borderId="5" applyNumberFormat="0" applyAlignment="0" applyProtection="0">
      <alignment horizontal="left" vertical="center"/>
    </xf>
    <xf numFmtId="0" fontId="56" fillId="0" borderId="16">
      <alignment horizontal="left" vertical="center"/>
    </xf>
    <xf numFmtId="14" fontId="57" fillId="27" borderId="6">
      <alignment horizontal="center" vertical="center" wrapText="1"/>
    </xf>
    <xf numFmtId="0" fontId="58" fillId="0" borderId="17" applyNumberFormat="0" applyFill="0" applyAlignment="0" applyProtection="0"/>
    <xf numFmtId="0" fontId="59" fillId="0" borderId="18" applyNumberFormat="0" applyFill="0" applyAlignment="0" applyProtection="0"/>
    <xf numFmtId="0" fontId="60" fillId="0" borderId="19" applyNumberFormat="0" applyFill="0" applyAlignment="0" applyProtection="0"/>
    <xf numFmtId="0" fontId="60" fillId="0" borderId="0" applyNumberFormat="0" applyFill="0" applyBorder="0" applyAlignment="0" applyProtection="0"/>
    <xf numFmtId="0" fontId="61" fillId="11" borderId="12" applyNumberFormat="0" applyAlignment="0" applyProtection="0"/>
    <xf numFmtId="0" fontId="8" fillId="0" borderId="0" applyNumberFormat="0" applyFont="0" applyFill="0" applyBorder="0" applyProtection="0">
      <alignment horizontal="left" vertical="center"/>
    </xf>
    <xf numFmtId="201" fontId="4" fillId="0" borderId="0" applyFill="0" applyBorder="0" applyAlignment="0"/>
    <xf numFmtId="197" fontId="4" fillId="0" borderId="0" applyFill="0" applyBorder="0" applyAlignment="0"/>
    <xf numFmtId="201" fontId="4" fillId="0" borderId="0" applyFill="0" applyBorder="0" applyAlignment="0"/>
    <xf numFmtId="202" fontId="4" fillId="0" borderId="0" applyFill="0" applyBorder="0" applyAlignment="0"/>
    <xf numFmtId="197" fontId="4" fillId="0" borderId="0" applyFill="0" applyBorder="0" applyAlignment="0"/>
    <xf numFmtId="0" fontId="62" fillId="0" borderId="20" applyNumberFormat="0" applyFill="0" applyAlignment="0" applyProtection="0"/>
    <xf numFmtId="41" fontId="8" fillId="0" borderId="0" applyFont="0" applyFill="0" applyBorder="0" applyAlignment="0" applyProtection="0">
      <alignment vertical="center"/>
    </xf>
    <xf numFmtId="43" fontId="8" fillId="0" borderId="0" applyFont="0" applyFill="0" applyBorder="0" applyAlignment="0" applyProtection="0">
      <alignment vertical="center"/>
    </xf>
    <xf numFmtId="0" fontId="63" fillId="0" borderId="6"/>
    <xf numFmtId="211" fontId="8" fillId="0" borderId="0" applyFont="0" applyFill="0" applyBorder="0" applyAlignment="0" applyProtection="0">
      <alignment vertical="center"/>
    </xf>
    <xf numFmtId="212" fontId="8" fillId="0" borderId="0" applyFont="0" applyFill="0" applyBorder="0" applyAlignment="0" applyProtection="0">
      <alignment vertical="center"/>
    </xf>
    <xf numFmtId="213" fontId="8" fillId="0" borderId="0" applyFont="0" applyFill="0" applyBorder="0" applyAlignment="0" applyProtection="0">
      <alignment vertical="center"/>
    </xf>
    <xf numFmtId="214" fontId="8" fillId="0" borderId="0" applyFont="0" applyFill="0" applyBorder="0" applyAlignment="0" applyProtection="0">
      <alignment vertical="center"/>
    </xf>
    <xf numFmtId="0" fontId="64" fillId="28" borderId="0" applyNumberFormat="0" applyBorder="0" applyAlignment="0" applyProtection="0"/>
    <xf numFmtId="37" fontId="65" fillId="0" borderId="0">
      <alignment vertical="center"/>
    </xf>
    <xf numFmtId="0" fontId="4" fillId="0" borderId="0"/>
    <xf numFmtId="0" fontId="4" fillId="0" borderId="0"/>
    <xf numFmtId="0" fontId="8" fillId="0" borderId="0"/>
    <xf numFmtId="0" fontId="8" fillId="0" borderId="0">
      <alignment vertical="center"/>
    </xf>
    <xf numFmtId="0" fontId="66" fillId="0" borderId="0">
      <alignment vertical="center"/>
    </xf>
    <xf numFmtId="0" fontId="67" fillId="0" borderId="0">
      <alignment vertical="center"/>
    </xf>
    <xf numFmtId="0" fontId="4" fillId="29" borderId="21" applyNumberFormat="0" applyFont="0" applyAlignment="0" applyProtection="0"/>
    <xf numFmtId="0" fontId="68" fillId="24" borderId="22" applyNumberFormat="0" applyAlignment="0" applyProtection="0"/>
    <xf numFmtId="215" fontId="8" fillId="0" borderId="0" applyFont="0" applyFill="0" applyBorder="0" applyAlignment="0" applyProtection="0">
      <alignment vertical="center"/>
    </xf>
    <xf numFmtId="200" fontId="4" fillId="0" borderId="0" applyFont="0" applyFill="0" applyBorder="0" applyAlignment="0" applyProtection="0"/>
    <xf numFmtId="194" fontId="4" fillId="0" borderId="0" applyFont="0" applyFill="0" applyBorder="0" applyAlignment="0" applyProtection="0"/>
    <xf numFmtId="0" fontId="52" fillId="2" borderId="2">
      <alignment vertical="center"/>
    </xf>
    <xf numFmtId="201" fontId="4" fillId="0" borderId="0" applyFill="0" applyBorder="0" applyAlignment="0"/>
    <xf numFmtId="197" fontId="4" fillId="0" borderId="0" applyFill="0" applyBorder="0" applyAlignment="0"/>
    <xf numFmtId="201" fontId="4" fillId="0" borderId="0" applyFill="0" applyBorder="0" applyAlignment="0"/>
    <xf numFmtId="202" fontId="4" fillId="0" borderId="0" applyFill="0" applyBorder="0" applyAlignment="0"/>
    <xf numFmtId="197" fontId="4" fillId="0" borderId="0" applyFill="0" applyBorder="0" applyAlignment="0"/>
    <xf numFmtId="4" fontId="51" fillId="0" borderId="0">
      <alignment horizontal="right" vertical="center"/>
    </xf>
    <xf numFmtId="4" fontId="69" fillId="0" borderId="0">
      <alignment horizontal="right" vertical="center"/>
    </xf>
    <xf numFmtId="0" fontId="70" fillId="0" borderId="0">
      <alignment horizontal="left" vertical="center"/>
    </xf>
    <xf numFmtId="43" fontId="6" fillId="0" borderId="3"/>
    <xf numFmtId="0" fontId="71" fillId="0" borderId="2">
      <alignment horizontal="center" vertical="center"/>
    </xf>
    <xf numFmtId="0" fontId="71" fillId="0" borderId="0">
      <alignment horizontal="center" vertical="center"/>
    </xf>
    <xf numFmtId="0" fontId="72" fillId="30" borderId="0" applyNumberFormat="0" applyFill="0">
      <alignment horizontal="left" vertical="center"/>
    </xf>
    <xf numFmtId="0" fontId="63" fillId="0" borderId="0"/>
    <xf numFmtId="49" fontId="50" fillId="0" borderId="0" applyFill="0" applyBorder="0" applyAlignment="0"/>
    <xf numFmtId="216" fontId="50" fillId="0" borderId="0" applyFill="0" applyBorder="0" applyAlignment="0"/>
    <xf numFmtId="217" fontId="4" fillId="0" borderId="0" applyFill="0" applyBorder="0" applyAlignment="0"/>
    <xf numFmtId="0" fontId="73" fillId="0" borderId="0" applyFill="0" applyBorder="0" applyProtection="0">
      <alignment horizontal="left" vertical="top"/>
    </xf>
    <xf numFmtId="0" fontId="74" fillId="0" borderId="0">
      <alignment horizontal="center" vertical="center"/>
    </xf>
    <xf numFmtId="0" fontId="75" fillId="0" borderId="23" applyNumberFormat="0" applyFill="0" applyAlignment="0" applyProtection="0"/>
    <xf numFmtId="0" fontId="76" fillId="0" borderId="0" applyNumberFormat="0" applyFill="0" applyBorder="0" applyAlignment="0" applyProtection="0"/>
    <xf numFmtId="0" fontId="8" fillId="0" borderId="0" applyNumberFormat="0" applyFont="0" applyFill="0" applyBorder="0" applyProtection="0">
      <alignment horizontal="center" vertical="center" wrapText="1"/>
    </xf>
    <xf numFmtId="9" fontId="8" fillId="0" borderId="0" applyFont="0" applyFill="0" applyBorder="0" applyAlignment="0" applyProtection="0">
      <alignment vertical="center"/>
    </xf>
    <xf numFmtId="0" fontId="41" fillId="0" borderId="0"/>
    <xf numFmtId="0" fontId="4" fillId="0" borderId="0"/>
    <xf numFmtId="176" fontId="41" fillId="0" borderId="0" applyFont="0" applyFill="0" applyBorder="0" applyAlignment="0" applyProtection="0"/>
    <xf numFmtId="177" fontId="41"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9" fontId="8" fillId="0" borderId="0" applyFont="0" applyFill="0" applyBorder="0" applyAlignment="0" applyProtection="0">
      <alignment vertical="center"/>
    </xf>
    <xf numFmtId="9" fontId="8" fillId="0" borderId="0" applyFont="0" applyFill="0" applyBorder="0" applyAlignment="0" applyProtection="0"/>
    <xf numFmtId="4" fontId="77" fillId="0" borderId="0">
      <alignment horizontal="right" vertical="center"/>
    </xf>
    <xf numFmtId="0" fontId="78" fillId="7" borderId="0" applyNumberFormat="0" applyBorder="0" applyAlignment="0" applyProtection="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8" fillId="0" borderId="0">
      <alignment vertical="center"/>
    </xf>
    <xf numFmtId="0" fontId="8" fillId="0" borderId="0">
      <alignment vertical="center"/>
    </xf>
    <xf numFmtId="0" fontId="8"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80" fillId="0" borderId="0" applyNumberFormat="0" applyBorder="0" applyAlignment="0">
      <alignment vertical="center"/>
      <protection locked="0"/>
    </xf>
    <xf numFmtId="0" fontId="8" fillId="0" borderId="0">
      <protection locked="0"/>
    </xf>
    <xf numFmtId="0" fontId="8" fillId="0" borderId="0">
      <protection locked="0"/>
    </xf>
    <xf numFmtId="0" fontId="8" fillId="0" borderId="0">
      <alignment vertical="center"/>
    </xf>
    <xf numFmtId="0" fontId="8" fillId="0" borderId="0">
      <alignment vertical="center"/>
    </xf>
    <xf numFmtId="0" fontId="8" fillId="0" borderId="0">
      <alignment vertical="center"/>
    </xf>
    <xf numFmtId="0" fontId="81" fillId="0" borderId="0" applyNumberFormat="0" applyBorder="0" applyProtection="0">
      <alignment vertical="center"/>
    </xf>
    <xf numFmtId="0" fontId="8" fillId="0" borderId="0">
      <protection locked="0"/>
    </xf>
    <xf numFmtId="0" fontId="8" fillId="0" borderId="0">
      <alignment vertical="center"/>
    </xf>
    <xf numFmtId="0" fontId="79" fillId="0" borderId="0">
      <alignment vertical="center"/>
    </xf>
    <xf numFmtId="0" fontId="4" fillId="0" borderId="0"/>
    <xf numFmtId="0" fontId="8" fillId="0" borderId="0">
      <alignment vertical="center"/>
    </xf>
    <xf numFmtId="0" fontId="82" fillId="0" borderId="0">
      <alignment vertical="center"/>
    </xf>
    <xf numFmtId="0" fontId="82" fillId="0" borderId="0">
      <alignment vertical="center"/>
    </xf>
    <xf numFmtId="0" fontId="8" fillId="0" borderId="0">
      <alignment vertical="center"/>
    </xf>
    <xf numFmtId="0" fontId="8" fillId="0" borderId="0">
      <alignment vertical="center"/>
    </xf>
    <xf numFmtId="0" fontId="83" fillId="0" borderId="0">
      <alignment vertical="center"/>
    </xf>
    <xf numFmtId="0" fontId="79" fillId="0" borderId="0">
      <alignment vertical="center"/>
    </xf>
    <xf numFmtId="0" fontId="79" fillId="0" borderId="0">
      <alignment vertical="center"/>
    </xf>
    <xf numFmtId="0" fontId="79" fillId="0" borderId="0">
      <alignment vertical="center"/>
    </xf>
    <xf numFmtId="0" fontId="8" fillId="0" borderId="0"/>
    <xf numFmtId="0" fontId="80" fillId="0" borderId="0" applyNumberFormat="0" applyBorder="0" applyAlignment="0" applyProtection="0">
      <alignment vertical="center"/>
    </xf>
    <xf numFmtId="0" fontId="79" fillId="0" borderId="0">
      <alignment vertical="center"/>
    </xf>
    <xf numFmtId="0" fontId="82"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84"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85" fillId="0" borderId="0" applyNumberFormat="0" applyFill="0" applyBorder="0" applyAlignment="0" applyProtection="0">
      <alignment vertical="center"/>
    </xf>
    <xf numFmtId="0" fontId="86" fillId="8" borderId="0" applyNumberFormat="0" applyBorder="0" applyAlignment="0" applyProtection="0">
      <alignment vertical="center"/>
    </xf>
    <xf numFmtId="4" fontId="8" fillId="0" borderId="0" applyFont="0" applyFill="0" applyBorder="0" applyAlignment="0" applyProtection="0">
      <alignment vertical="center"/>
    </xf>
    <xf numFmtId="41" fontId="8" fillId="0" borderId="0" applyFont="0" applyFill="0" applyBorder="0" applyAlignment="0" applyProtection="0">
      <alignment vertical="center"/>
    </xf>
    <xf numFmtId="218" fontId="8" fillId="0" borderId="0" applyFont="0" applyFill="0" applyBorder="0" applyAlignment="0" applyProtection="0">
      <alignment vertical="center"/>
    </xf>
    <xf numFmtId="219" fontId="8" fillId="0" borderId="0" applyFont="0" applyFill="0" applyBorder="0" applyAlignment="0" applyProtection="0">
      <alignment vertical="center"/>
    </xf>
    <xf numFmtId="220" fontId="8" fillId="0" borderId="0" applyFont="0" applyFill="0" applyBorder="0" applyAlignment="0" applyProtection="0">
      <alignment vertical="center"/>
    </xf>
    <xf numFmtId="221" fontId="8" fillId="0" borderId="0" applyFont="0" applyFill="0" applyBorder="0" applyAlignment="0" applyProtection="0">
      <alignment vertical="center"/>
    </xf>
    <xf numFmtId="179" fontId="41" fillId="0" borderId="0" applyFont="0" applyFill="0" applyBorder="0" applyAlignment="0" applyProtection="0"/>
    <xf numFmtId="180" fontId="41" fillId="0" borderId="0" applyFont="0" applyFill="0" applyBorder="0" applyAlignment="0" applyProtection="0"/>
    <xf numFmtId="0" fontId="87" fillId="0" borderId="0">
      <alignment vertical="center"/>
    </xf>
    <xf numFmtId="41" fontId="8" fillId="0" borderId="0" applyFont="0" applyFill="0" applyBorder="0" applyAlignment="0" applyProtection="0">
      <alignment vertical="center"/>
    </xf>
    <xf numFmtId="43" fontId="8" fillId="0" borderId="0" applyFont="0" applyFill="0" applyBorder="0" applyAlignment="0" applyProtection="0">
      <alignment vertical="center"/>
    </xf>
    <xf numFmtId="41" fontId="41" fillId="0" borderId="0" applyFont="0" applyFill="0" applyBorder="0" applyAlignment="0" applyProtection="0"/>
    <xf numFmtId="43" fontId="41"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0" fontId="88" fillId="0" borderId="0">
      <alignment vertical="center"/>
    </xf>
    <xf numFmtId="212" fontId="8" fillId="0" borderId="0" applyFont="0" applyFill="0" applyBorder="0" applyAlignment="0" applyProtection="0">
      <alignment vertical="center"/>
    </xf>
    <xf numFmtId="222" fontId="8" fillId="0" borderId="0" applyFont="0" applyFill="0" applyBorder="0" applyAlignment="0" applyProtection="0">
      <alignment vertical="center"/>
    </xf>
    <xf numFmtId="0" fontId="40" fillId="0" borderId="0">
      <alignment vertical="top"/>
    </xf>
    <xf numFmtId="38" fontId="8" fillId="0" borderId="0" applyFont="0" applyFill="0" applyBorder="0" applyAlignment="0" applyProtection="0">
      <alignment vertical="center"/>
    </xf>
    <xf numFmtId="40" fontId="8" fillId="0" borderId="0" applyFont="0" applyFill="0" applyBorder="0" applyAlignment="0" applyProtection="0">
      <alignment vertical="center"/>
    </xf>
    <xf numFmtId="0" fontId="8" fillId="0" borderId="0" applyFont="0" applyFill="0" applyBorder="0" applyAlignment="0" applyProtection="0">
      <alignment vertical="center"/>
    </xf>
    <xf numFmtId="0" fontId="8" fillId="0" borderId="0" applyFont="0" applyFill="0" applyBorder="0" applyAlignment="0" applyProtection="0">
      <alignment vertical="center"/>
    </xf>
    <xf numFmtId="0" fontId="89" fillId="0" borderId="0">
      <alignment vertical="center"/>
    </xf>
    <xf numFmtId="0" fontId="8" fillId="0" borderId="0">
      <protection locked="0"/>
    </xf>
    <xf numFmtId="0" fontId="8" fillId="0" borderId="0"/>
    <xf numFmtId="0" fontId="11" fillId="0" borderId="0" applyNumberFormat="0" applyFill="0" applyBorder="0" applyAlignment="0" applyProtection="0">
      <alignment vertical="top"/>
      <protection locked="0"/>
    </xf>
    <xf numFmtId="9" fontId="8" fillId="0" borderId="0" applyFont="0" applyFill="0" applyBorder="0" applyAlignment="0" applyProtection="0"/>
    <xf numFmtId="0" fontId="8" fillId="0" borderId="0">
      <protection locked="0"/>
    </xf>
    <xf numFmtId="223" fontId="8" fillId="0" borderId="0">
      <protection locked="0"/>
    </xf>
    <xf numFmtId="43" fontId="8" fillId="0" borderId="0" applyFont="0" applyFill="0" applyBorder="0" applyAlignment="0" applyProtection="0">
      <alignment vertical="center"/>
    </xf>
    <xf numFmtId="223" fontId="1" fillId="0" borderId="0">
      <alignment vertical="center"/>
    </xf>
    <xf numFmtId="223" fontId="8" fillId="0" borderId="0"/>
  </cellStyleXfs>
  <cellXfs count="258">
    <xf numFmtId="0" fontId="0" fillId="0" borderId="0" xfId="0">
      <protection locked="0"/>
    </xf>
    <xf numFmtId="0" fontId="21" fillId="0" borderId="0" xfId="27" applyFont="1" applyAlignment="1">
      <alignment vertical="center"/>
    </xf>
    <xf numFmtId="0" fontId="22" fillId="0" borderId="0" xfId="26" applyFont="1" applyBorder="1" applyAlignment="1">
      <alignment vertical="center"/>
    </xf>
    <xf numFmtId="0" fontId="22" fillId="0" borderId="0" xfId="26" applyFont="1" applyAlignment="1">
      <alignment vertical="center"/>
    </xf>
    <xf numFmtId="184" fontId="23" fillId="0" borderId="3" xfId="26" applyNumberFormat="1" applyFont="1" applyBorder="1" applyAlignment="1">
      <alignment horizontal="center" vertical="center" wrapText="1"/>
    </xf>
    <xf numFmtId="184" fontId="22" fillId="0" borderId="3" xfId="26" applyNumberFormat="1" applyFont="1" applyBorder="1" applyAlignment="1">
      <alignment horizontal="center" vertical="center" wrapText="1"/>
    </xf>
    <xf numFmtId="0" fontId="23" fillId="0" borderId="0" xfId="26" applyFont="1" applyAlignment="1">
      <alignment vertical="center"/>
    </xf>
    <xf numFmtId="43" fontId="22" fillId="0" borderId="0" xfId="30" applyNumberFormat="1" applyFont="1" applyBorder="1" applyAlignment="1">
      <alignment vertical="center"/>
    </xf>
    <xf numFmtId="43" fontId="24" fillId="0" borderId="0" xfId="30" applyNumberFormat="1" applyFont="1" applyBorder="1" applyAlignment="1">
      <alignment vertical="center"/>
    </xf>
    <xf numFmtId="0" fontId="22" fillId="0" borderId="0" xfId="0" applyFont="1" applyBorder="1" applyAlignment="1">
      <alignment vertical="center"/>
      <protection locked="0"/>
    </xf>
    <xf numFmtId="0" fontId="22" fillId="0" borderId="0" xfId="0" applyFont="1" applyAlignment="1">
      <alignment vertical="center"/>
      <protection locked="0"/>
    </xf>
    <xf numFmtId="0" fontId="22" fillId="0" borderId="0" xfId="31" applyFont="1" applyAlignment="1">
      <alignment vertical="center"/>
    </xf>
    <xf numFmtId="43" fontId="22" fillId="0" borderId="3" xfId="33" applyFont="1" applyBorder="1" applyAlignment="1">
      <alignment vertical="center"/>
    </xf>
    <xf numFmtId="0" fontId="22" fillId="0" borderId="4" xfId="0" applyFont="1" applyBorder="1" applyAlignment="1">
      <alignment vertical="center"/>
      <protection locked="0"/>
    </xf>
    <xf numFmtId="0" fontId="22" fillId="0" borderId="0" xfId="0" applyFont="1" applyBorder="1" applyAlignment="1">
      <alignment horizontal="left" vertical="center"/>
      <protection locked="0"/>
    </xf>
    <xf numFmtId="0" fontId="22" fillId="0" borderId="0" xfId="28" applyFont="1" applyBorder="1" applyAlignment="1" applyProtection="1">
      <alignment vertical="center"/>
      <protection locked="0"/>
    </xf>
    <xf numFmtId="0" fontId="22" fillId="0" borderId="3" xfId="0" applyFont="1" applyBorder="1" applyAlignment="1">
      <alignment horizontal="left" vertical="center"/>
      <protection locked="0"/>
    </xf>
    <xf numFmtId="0" fontId="22" fillId="0" borderId="3" xfId="0" applyFont="1" applyBorder="1" applyAlignment="1">
      <alignment vertical="center" wrapText="1"/>
      <protection locked="0"/>
    </xf>
    <xf numFmtId="43" fontId="22" fillId="0" borderId="3" xfId="0" applyNumberFormat="1" applyFont="1" applyBorder="1" applyAlignment="1">
      <alignment horizontal="left" vertical="center"/>
      <protection locked="0"/>
    </xf>
    <xf numFmtId="0" fontId="22" fillId="0" borderId="3" xfId="0" applyFont="1" applyBorder="1" applyAlignment="1">
      <alignment horizontal="center" vertical="center"/>
      <protection locked="0"/>
    </xf>
    <xf numFmtId="0" fontId="22" fillId="0" borderId="0" xfId="0" applyFont="1" applyBorder="1" applyAlignment="1">
      <alignment horizontal="center" vertical="center"/>
      <protection locked="0"/>
    </xf>
    <xf numFmtId="0" fontId="23" fillId="0" borderId="0" xfId="0" applyFont="1" applyBorder="1" applyAlignment="1">
      <alignment vertical="center"/>
      <protection locked="0"/>
    </xf>
    <xf numFmtId="0" fontId="22" fillId="0" borderId="0" xfId="0" applyFont="1" applyAlignment="1">
      <alignment horizontal="center" vertical="center"/>
      <protection locked="0"/>
    </xf>
    <xf numFmtId="0" fontId="22" fillId="0" borderId="0" xfId="0" applyFont="1" applyAlignment="1">
      <alignment horizontal="left" vertical="center"/>
      <protection locked="0"/>
    </xf>
    <xf numFmtId="0" fontId="24" fillId="0" borderId="0" xfId="0" applyFont="1" applyAlignment="1">
      <alignment vertical="center"/>
      <protection locked="0"/>
    </xf>
    <xf numFmtId="0" fontId="24" fillId="0" borderId="0" xfId="0" applyFont="1" applyAlignment="1">
      <protection locked="0"/>
    </xf>
    <xf numFmtId="0" fontId="24" fillId="0" borderId="0" xfId="0" applyFont="1" applyAlignment="1">
      <alignment horizontal="right"/>
      <protection locked="0"/>
    </xf>
    <xf numFmtId="49" fontId="24" fillId="0" borderId="0" xfId="0" applyNumberFormat="1" applyFont="1" applyAlignment="1">
      <alignment horizontal="right" vertical="center"/>
      <protection locked="0"/>
    </xf>
    <xf numFmtId="0" fontId="24" fillId="0" borderId="0" xfId="0" applyFont="1" applyAlignment="1">
      <alignment horizontal="right" vertical="center"/>
      <protection locked="0"/>
    </xf>
    <xf numFmtId="0" fontId="22" fillId="0" borderId="0" xfId="27" applyFont="1" applyAlignment="1">
      <alignment vertical="center"/>
    </xf>
    <xf numFmtId="0" fontId="23" fillId="0" borderId="0" xfId="0" applyFont="1" applyAlignment="1">
      <alignment vertical="center"/>
      <protection locked="0"/>
    </xf>
    <xf numFmtId="0" fontId="23" fillId="0" borderId="0" xfId="27" applyFont="1" applyAlignment="1">
      <alignment vertical="center"/>
    </xf>
    <xf numFmtId="43" fontId="22" fillId="0" borderId="0" xfId="33" applyFont="1" applyBorder="1" applyAlignment="1" applyProtection="1">
      <alignment vertical="center"/>
      <protection locked="0"/>
    </xf>
    <xf numFmtId="43" fontId="22" fillId="0" borderId="4" xfId="33" applyFont="1" applyBorder="1" applyAlignment="1" applyProtection="1">
      <alignment vertical="center"/>
      <protection locked="0"/>
    </xf>
    <xf numFmtId="43" fontId="22" fillId="0" borderId="0" xfId="33" applyFont="1" applyAlignment="1" applyProtection="1">
      <alignment vertical="center"/>
      <protection locked="0"/>
    </xf>
    <xf numFmtId="0" fontId="22" fillId="0" borderId="3" xfId="0" applyFont="1" applyBorder="1" applyAlignment="1">
      <alignment vertical="center"/>
      <protection locked="0"/>
    </xf>
    <xf numFmtId="0" fontId="23" fillId="5" borderId="3" xfId="0" applyFont="1" applyFill="1" applyBorder="1" applyAlignment="1">
      <alignment horizontal="center" vertical="center" wrapText="1"/>
      <protection locked="0"/>
    </xf>
    <xf numFmtId="0" fontId="23" fillId="5" borderId="3" xfId="26" applyFont="1" applyFill="1" applyBorder="1" applyAlignment="1">
      <alignment horizontal="center" vertical="center" wrapText="1"/>
    </xf>
    <xf numFmtId="0" fontId="23" fillId="0" borderId="4" xfId="0" applyFont="1" applyBorder="1" applyAlignment="1">
      <alignment vertical="center"/>
      <protection locked="0"/>
    </xf>
    <xf numFmtId="0" fontId="30" fillId="0" borderId="0" xfId="0" applyFont="1" applyAlignment="1">
      <alignment horizontal="left"/>
      <protection locked="0"/>
    </xf>
    <xf numFmtId="43" fontId="30" fillId="0" borderId="0" xfId="30" applyNumberFormat="1" applyFont="1" applyBorder="1" applyAlignment="1">
      <alignment vertical="center"/>
    </xf>
    <xf numFmtId="0" fontId="30" fillId="0" borderId="0" xfId="0" applyFont="1" applyAlignment="1">
      <alignment vertical="center"/>
      <protection locked="0"/>
    </xf>
    <xf numFmtId="0" fontId="20" fillId="0" borderId="0" xfId="27" applyFont="1" applyAlignment="1">
      <alignment vertical="center"/>
    </xf>
    <xf numFmtId="0" fontId="21" fillId="0" borderId="0" xfId="0" applyFont="1" applyAlignment="1">
      <alignment vertical="center"/>
      <protection locked="0"/>
    </xf>
    <xf numFmtId="184" fontId="22" fillId="0" borderId="3" xfId="26" applyNumberFormat="1" applyFont="1" applyFill="1" applyBorder="1" applyAlignment="1">
      <alignment horizontal="left" vertical="center" wrapText="1"/>
    </xf>
    <xf numFmtId="184" fontId="23" fillId="0" borderId="3" xfId="26" applyNumberFormat="1" applyFont="1" applyFill="1" applyBorder="1" applyAlignment="1">
      <alignment horizontal="center" vertical="center" wrapText="1"/>
    </xf>
    <xf numFmtId="0" fontId="22" fillId="4" borderId="0" xfId="29" applyFont="1" applyFill="1" applyBorder="1" applyAlignment="1">
      <alignment horizontal="justify" vertical="center" wrapText="1"/>
      <protection locked="0"/>
    </xf>
    <xf numFmtId="0" fontId="34" fillId="0" borderId="0" xfId="26" applyFont="1" applyAlignment="1">
      <alignment vertical="center"/>
    </xf>
    <xf numFmtId="0" fontId="22" fillId="0" borderId="0" xfId="36" applyFont="1" applyAlignment="1">
      <alignment vertical="center"/>
      <protection locked="0"/>
    </xf>
    <xf numFmtId="0" fontId="22" fillId="0" borderId="0" xfId="26" applyFont="1" applyFill="1" applyBorder="1" applyAlignment="1">
      <alignment horizontal="left" vertical="center" wrapText="1"/>
    </xf>
    <xf numFmtId="43" fontId="22" fillId="0" borderId="0" xfId="30" applyNumberFormat="1" applyFont="1" applyBorder="1" applyAlignment="1">
      <alignment horizontal="left" vertical="center"/>
    </xf>
    <xf numFmtId="0" fontId="90" fillId="5" borderId="3" xfId="300" applyFont="1" applyFill="1" applyBorder="1" applyAlignment="1" applyProtection="1">
      <alignment horizontal="center" vertical="center" wrapText="1"/>
      <protection locked="0"/>
    </xf>
    <xf numFmtId="0" fontId="92" fillId="0" borderId="0" xfId="0" applyFont="1" applyAlignment="1">
      <alignment vertical="center"/>
      <protection locked="0"/>
    </xf>
    <xf numFmtId="0" fontId="91" fillId="0" borderId="0" xfId="0" applyFont="1" applyAlignment="1">
      <alignment vertical="center"/>
      <protection locked="0"/>
    </xf>
    <xf numFmtId="0" fontId="21" fillId="0" borderId="0" xfId="0" applyFont="1" applyAlignment="1">
      <alignment horizontal="justify" vertical="center"/>
      <protection locked="0"/>
    </xf>
    <xf numFmtId="0" fontId="21" fillId="0" borderId="0" xfId="0" applyFont="1" applyAlignment="1">
      <alignment horizontal="left" vertical="center"/>
      <protection locked="0"/>
    </xf>
    <xf numFmtId="0" fontId="94" fillId="0" borderId="5" xfId="0" applyFont="1" applyBorder="1" applyAlignment="1">
      <alignment horizontal="justify" vertical="center" wrapText="1"/>
      <protection locked="0"/>
    </xf>
    <xf numFmtId="0" fontId="96" fillId="0" borderId="5" xfId="0" applyFont="1" applyBorder="1" applyAlignment="1">
      <alignment horizontal="right" vertical="center" wrapText="1"/>
      <protection locked="0"/>
    </xf>
    <xf numFmtId="0" fontId="97" fillId="0" borderId="0" xfId="0" applyFont="1" applyAlignment="1">
      <alignment horizontal="justify" vertical="center" wrapText="1"/>
      <protection locked="0"/>
    </xf>
    <xf numFmtId="0" fontId="32" fillId="0" borderId="0" xfId="0" applyFont="1" applyAlignment="1">
      <alignment horizontal="right" vertical="center" wrapText="1"/>
      <protection locked="0"/>
    </xf>
    <xf numFmtId="0" fontId="98" fillId="0" borderId="0" xfId="0" applyFont="1" applyAlignment="1">
      <alignment horizontal="justify" vertical="center" wrapText="1"/>
      <protection locked="0"/>
    </xf>
    <xf numFmtId="0" fontId="99" fillId="0" borderId="6" xfId="0" applyFont="1" applyBorder="1" applyAlignment="1">
      <alignment horizontal="justify" vertical="center" wrapText="1"/>
      <protection locked="0"/>
    </xf>
    <xf numFmtId="0" fontId="32" fillId="0" borderId="6" xfId="0" applyFont="1" applyBorder="1" applyAlignment="1">
      <alignment horizontal="right" vertical="center" wrapText="1"/>
      <protection locked="0"/>
    </xf>
    <xf numFmtId="0" fontId="94" fillId="0" borderId="6" xfId="0" applyFont="1" applyBorder="1" applyAlignment="1">
      <alignment horizontal="justify" vertical="center" wrapText="1"/>
      <protection locked="0"/>
    </xf>
    <xf numFmtId="0" fontId="95" fillId="0" borderId="6" xfId="0" applyFont="1" applyBorder="1" applyAlignment="1">
      <alignment horizontal="right" vertical="center" wrapText="1"/>
      <protection locked="0"/>
    </xf>
    <xf numFmtId="0" fontId="93" fillId="0" borderId="0" xfId="0" applyFont="1" applyAlignment="1">
      <alignment horizontal="justify" vertical="center"/>
      <protection locked="0"/>
    </xf>
    <xf numFmtId="0" fontId="101" fillId="0" borderId="6" xfId="0" applyFont="1" applyBorder="1" applyAlignment="1">
      <alignment horizontal="right" vertical="center" wrapText="1"/>
      <protection locked="0"/>
    </xf>
    <xf numFmtId="0" fontId="101" fillId="0" borderId="5" xfId="0" applyFont="1" applyBorder="1" applyAlignment="1">
      <alignment horizontal="right" vertical="center" wrapText="1"/>
      <protection locked="0"/>
    </xf>
    <xf numFmtId="0" fontId="103" fillId="0" borderId="0" xfId="0" applyFont="1" applyAlignment="1">
      <alignment horizontal="justify" vertical="center" wrapText="1"/>
      <protection locked="0"/>
    </xf>
    <xf numFmtId="0" fontId="104" fillId="0" borderId="0" xfId="0" applyFont="1" applyAlignment="1">
      <alignment horizontal="right" vertical="center" wrapText="1"/>
      <protection locked="0"/>
    </xf>
    <xf numFmtId="0" fontId="103" fillId="0" borderId="6" xfId="0" applyFont="1" applyBorder="1" applyAlignment="1">
      <alignment horizontal="justify" vertical="center" wrapText="1"/>
      <protection locked="0"/>
    </xf>
    <xf numFmtId="0" fontId="104" fillId="0" borderId="6" xfId="0" applyFont="1" applyBorder="1" applyAlignment="1">
      <alignment horizontal="right" vertical="center" wrapText="1"/>
      <protection locked="0"/>
    </xf>
    <xf numFmtId="0" fontId="101" fillId="0" borderId="6" xfId="0" applyFont="1" applyBorder="1" applyAlignment="1">
      <alignment horizontal="justify" vertical="center" wrapText="1"/>
      <protection locked="0"/>
    </xf>
    <xf numFmtId="0" fontId="96" fillId="31" borderId="5" xfId="0" applyFont="1" applyFill="1" applyBorder="1" applyAlignment="1">
      <alignment horizontal="justify" vertical="center" wrapText="1"/>
      <protection locked="0"/>
    </xf>
    <xf numFmtId="0" fontId="94" fillId="31" borderId="5" xfId="0" applyFont="1" applyFill="1" applyBorder="1" applyAlignment="1">
      <alignment horizontal="right" vertical="center" wrapText="1"/>
      <protection locked="0"/>
    </xf>
    <xf numFmtId="0" fontId="108" fillId="31" borderId="0" xfId="0" applyFont="1" applyFill="1" applyAlignment="1">
      <alignment horizontal="justify" vertical="center" wrapText="1"/>
      <protection locked="0"/>
    </xf>
    <xf numFmtId="0" fontId="32" fillId="31" borderId="0" xfId="0" applyFont="1" applyFill="1" applyAlignment="1">
      <alignment horizontal="right" vertical="center" wrapText="1"/>
      <protection locked="0"/>
    </xf>
    <xf numFmtId="0" fontId="109" fillId="31" borderId="6" xfId="0" applyFont="1" applyFill="1" applyBorder="1" applyAlignment="1">
      <alignment horizontal="justify" vertical="center" wrapText="1"/>
      <protection locked="0"/>
    </xf>
    <xf numFmtId="0" fontId="32" fillId="31" borderId="6" xfId="0" applyFont="1" applyFill="1" applyBorder="1" applyAlignment="1">
      <alignment horizontal="right" vertical="center" wrapText="1"/>
      <protection locked="0"/>
    </xf>
    <xf numFmtId="0" fontId="96" fillId="31" borderId="6" xfId="0" applyFont="1" applyFill="1" applyBorder="1" applyAlignment="1">
      <alignment horizontal="justify" vertical="center" wrapText="1"/>
      <protection locked="0"/>
    </xf>
    <xf numFmtId="0" fontId="95" fillId="31" borderId="6" xfId="0" applyFont="1" applyFill="1" applyBorder="1" applyAlignment="1">
      <alignment horizontal="right" vertical="center" wrapText="1"/>
      <protection locked="0"/>
    </xf>
    <xf numFmtId="0" fontId="98" fillId="32" borderId="0" xfId="0" applyFont="1" applyFill="1" applyAlignment="1">
      <alignment horizontal="justify" vertical="center" wrapText="1"/>
      <protection locked="0"/>
    </xf>
    <xf numFmtId="43" fontId="23" fillId="5" borderId="3" xfId="33" applyFont="1" applyFill="1" applyBorder="1" applyAlignment="1">
      <alignment vertical="center"/>
    </xf>
    <xf numFmtId="10" fontId="22" fillId="5" borderId="3" xfId="35" applyNumberFormat="1" applyFont="1" applyFill="1" applyBorder="1" applyAlignment="1">
      <alignment horizontal="right" vertical="center"/>
    </xf>
    <xf numFmtId="10" fontId="23" fillId="5" borderId="3" xfId="35" applyNumberFormat="1" applyFont="1" applyFill="1" applyBorder="1" applyAlignment="1">
      <alignment horizontal="right" vertical="center"/>
    </xf>
    <xf numFmtId="43" fontId="22" fillId="5" borderId="3" xfId="33" applyFont="1" applyFill="1" applyBorder="1" applyAlignment="1">
      <alignment vertical="center"/>
    </xf>
    <xf numFmtId="43" fontId="23" fillId="0" borderId="3" xfId="33" applyFont="1" applyFill="1" applyBorder="1" applyAlignment="1">
      <alignment horizontal="right" vertical="center"/>
    </xf>
    <xf numFmtId="43" fontId="23" fillId="5" borderId="3" xfId="33" applyFont="1" applyFill="1" applyBorder="1" applyAlignment="1">
      <alignment horizontal="right" vertical="center"/>
    </xf>
    <xf numFmtId="0" fontId="23" fillId="5" borderId="3" xfId="300" applyFont="1" applyFill="1" applyBorder="1" applyAlignment="1" applyProtection="1">
      <alignment horizontal="center" vertical="center" wrapText="1"/>
      <protection locked="0"/>
    </xf>
    <xf numFmtId="0" fontId="112" fillId="0" borderId="3" xfId="299" applyFont="1" applyFill="1" applyBorder="1" applyAlignment="1" applyProtection="1">
      <alignment vertical="center"/>
    </xf>
    <xf numFmtId="0" fontId="22" fillId="0" borderId="0" xfId="0" applyFont="1">
      <protection locked="0"/>
    </xf>
    <xf numFmtId="0" fontId="22" fillId="0" borderId="0" xfId="299" applyFont="1">
      <protection locked="0"/>
    </xf>
    <xf numFmtId="0" fontId="24" fillId="0" borderId="0" xfId="28" applyFont="1" applyBorder="1" applyAlignment="1" applyProtection="1">
      <alignment horizontal="center" vertical="center"/>
      <protection hidden="1"/>
    </xf>
    <xf numFmtId="0" fontId="22" fillId="0" borderId="0" xfId="28" applyFont="1" applyBorder="1" applyAlignment="1" applyProtection="1">
      <alignment horizontal="left" vertical="center"/>
      <protection hidden="1"/>
    </xf>
    <xf numFmtId="0" fontId="24" fillId="0" borderId="0" xfId="28" applyFont="1" applyBorder="1" applyAlignment="1" applyProtection="1">
      <alignment horizontal="left" vertical="center"/>
      <protection locked="0"/>
    </xf>
    <xf numFmtId="0" fontId="22" fillId="0" borderId="0" xfId="0" applyFont="1" applyAlignment="1">
      <alignment vertical="center" wrapText="1"/>
      <protection locked="0"/>
    </xf>
    <xf numFmtId="0" fontId="22" fillId="0" borderId="0" xfId="0" applyFont="1" applyBorder="1" applyAlignment="1">
      <alignment horizontal="left" vertical="center" wrapText="1"/>
      <protection locked="0"/>
    </xf>
    <xf numFmtId="0" fontId="22" fillId="0" borderId="0" xfId="28" applyFont="1" applyBorder="1" applyAlignment="1" applyProtection="1">
      <alignment vertical="center" wrapText="1"/>
      <protection locked="0"/>
    </xf>
    <xf numFmtId="0" fontId="22" fillId="0" borderId="0" xfId="0" applyFont="1" applyBorder="1" applyAlignment="1">
      <alignment horizontal="center" vertical="center" wrapText="1"/>
      <protection locked="0"/>
    </xf>
    <xf numFmtId="0" fontId="22" fillId="0" borderId="0" xfId="0" applyFont="1" applyBorder="1" applyAlignment="1">
      <alignment vertical="center" wrapText="1"/>
      <protection locked="0"/>
    </xf>
    <xf numFmtId="0" fontId="22" fillId="0" borderId="0" xfId="0" applyFont="1" applyAlignment="1">
      <alignment horizontal="left" vertical="center" wrapText="1"/>
      <protection locked="0"/>
    </xf>
    <xf numFmtId="0" fontId="24" fillId="0" borderId="0" xfId="0" applyFont="1" applyAlignment="1">
      <alignment vertical="center" wrapText="1"/>
      <protection locked="0"/>
    </xf>
    <xf numFmtId="43" fontId="22" fillId="0" borderId="3" xfId="33" applyFont="1" applyFill="1" applyBorder="1" applyAlignment="1" applyProtection="1">
      <alignment horizontal="center" vertical="center" wrapText="1"/>
      <protection locked="0"/>
    </xf>
    <xf numFmtId="0" fontId="27" fillId="5" borderId="3" xfId="299" applyFont="1" applyFill="1" applyBorder="1" applyAlignment="1" applyProtection="1">
      <alignment horizontal="center" vertical="center" wrapText="1"/>
    </xf>
    <xf numFmtId="0" fontId="22" fillId="0" borderId="0" xfId="0" applyFont="1" applyAlignment="1">
      <alignment horizontal="center" wrapText="1"/>
      <protection locked="0"/>
    </xf>
    <xf numFmtId="43" fontId="23" fillId="5" borderId="3" xfId="33" applyFont="1" applyFill="1" applyBorder="1" applyAlignment="1">
      <alignment horizontal="center" vertical="center"/>
    </xf>
    <xf numFmtId="0" fontId="22" fillId="4" borderId="0" xfId="0" applyFont="1" applyFill="1" applyBorder="1" applyAlignment="1" applyProtection="1">
      <alignment horizontal="justify" vertical="center" wrapText="1"/>
      <protection locked="0"/>
    </xf>
    <xf numFmtId="0" fontId="23" fillId="0" borderId="0" xfId="29" applyFont="1" applyAlignment="1">
      <alignment vertical="center"/>
      <protection locked="0"/>
    </xf>
    <xf numFmtId="0" fontId="22" fillId="0" borderId="0" xfId="29" applyFont="1" applyAlignment="1">
      <alignment vertical="center"/>
      <protection locked="0"/>
    </xf>
    <xf numFmtId="0" fontId="22" fillId="0" borderId="0" xfId="29" applyFont="1" applyBorder="1" applyAlignment="1">
      <alignment horizontal="justify" vertical="center" wrapText="1"/>
      <protection locked="0"/>
    </xf>
    <xf numFmtId="0" fontId="22" fillId="0" borderId="2" xfId="29" applyFont="1" applyBorder="1" applyAlignment="1">
      <alignment horizontal="center" vertical="center"/>
      <protection locked="0"/>
    </xf>
    <xf numFmtId="0" fontId="22" fillId="0" borderId="0" xfId="29" applyFont="1" applyBorder="1" applyAlignment="1">
      <alignment vertical="center"/>
      <protection locked="0"/>
    </xf>
    <xf numFmtId="0" fontId="23" fillId="0" borderId="0" xfId="0" applyFont="1" applyAlignment="1">
      <alignment horizontal="justify" vertical="center"/>
      <protection locked="0"/>
    </xf>
    <xf numFmtId="0" fontId="22" fillId="0" borderId="2" xfId="0" applyFont="1" applyBorder="1" applyAlignment="1">
      <alignment vertical="center"/>
      <protection locked="0"/>
    </xf>
    <xf numFmtId="184" fontId="22" fillId="0" borderId="3" xfId="26" applyNumberFormat="1" applyFont="1" applyFill="1" applyBorder="1" applyAlignment="1">
      <alignment horizontal="left" vertical="center" shrinkToFit="1"/>
    </xf>
    <xf numFmtId="0" fontId="23" fillId="0" borderId="0" xfId="28" applyFont="1" applyBorder="1" applyAlignment="1">
      <alignment vertical="center"/>
    </xf>
    <xf numFmtId="0" fontId="34" fillId="33" borderId="0" xfId="34" applyFont="1" applyFill="1" applyAlignment="1">
      <alignment vertical="center"/>
    </xf>
    <xf numFmtId="0" fontId="34" fillId="33" borderId="0" xfId="0" applyFont="1" applyFill="1" applyAlignment="1">
      <alignment vertical="center"/>
      <protection locked="0"/>
    </xf>
    <xf numFmtId="0" fontId="34" fillId="33" borderId="0" xfId="31" applyFont="1" applyFill="1" applyAlignment="1">
      <alignment vertical="center"/>
    </xf>
    <xf numFmtId="0" fontId="34" fillId="33" borderId="0" xfId="0" applyFont="1" applyFill="1" applyBorder="1" applyAlignment="1">
      <alignment vertical="center"/>
      <protection locked="0"/>
    </xf>
    <xf numFmtId="0" fontId="23" fillId="5" borderId="3" xfId="0" applyFont="1" applyFill="1" applyBorder="1" applyAlignment="1">
      <alignment horizontal="center" vertical="center"/>
      <protection locked="0"/>
    </xf>
    <xf numFmtId="43" fontId="23" fillId="5" borderId="3" xfId="33" applyFont="1" applyFill="1" applyBorder="1" applyAlignment="1" applyProtection="1">
      <alignment vertical="center"/>
      <protection locked="0"/>
    </xf>
    <xf numFmtId="0" fontId="22" fillId="0" borderId="0" xfId="37" applyNumberFormat="1" applyFont="1" applyFill="1" applyAlignment="1">
      <alignment vertical="center"/>
    </xf>
    <xf numFmtId="0" fontId="22" fillId="0" borderId="0" xfId="38" applyNumberFormat="1" applyFont="1" applyFill="1" applyBorder="1" applyAlignment="1">
      <alignment vertical="center"/>
      <protection locked="0"/>
    </xf>
    <xf numFmtId="0" fontId="22" fillId="0" borderId="0" xfId="38" applyNumberFormat="1" applyFont="1" applyFill="1" applyAlignment="1">
      <alignment vertical="center"/>
      <protection locked="0"/>
    </xf>
    <xf numFmtId="0" fontId="22" fillId="0" borderId="0" xfId="39" applyNumberFormat="1" applyFont="1" applyFill="1" applyAlignment="1">
      <alignment vertical="center"/>
    </xf>
    <xf numFmtId="0" fontId="23" fillId="0" borderId="0" xfId="39" applyNumberFormat="1" applyFont="1" applyFill="1" applyAlignment="1">
      <alignment horizontal="left" vertical="center"/>
    </xf>
    <xf numFmtId="43" fontId="22" fillId="0" borderId="3" xfId="33" applyFont="1" applyBorder="1" applyAlignment="1">
      <alignment vertical="center" wrapText="1"/>
    </xf>
    <xf numFmtId="10" fontId="22" fillId="34" borderId="3" xfId="35" applyNumberFormat="1" applyFont="1" applyFill="1" applyBorder="1" applyAlignment="1">
      <alignment vertical="center"/>
    </xf>
    <xf numFmtId="43" fontId="112" fillId="0" borderId="3" xfId="33" applyFont="1" applyFill="1" applyBorder="1" applyAlignment="1" applyProtection="1">
      <alignment vertical="center"/>
    </xf>
    <xf numFmtId="14" fontId="22" fillId="0" borderId="3" xfId="0" applyNumberFormat="1" applyFont="1" applyBorder="1" applyAlignment="1">
      <alignment horizontal="center" vertical="center"/>
      <protection locked="0"/>
    </xf>
    <xf numFmtId="0" fontId="24" fillId="0" borderId="0" xfId="32" applyFont="1" applyAlignment="1" applyProtection="1">
      <alignment vertical="center"/>
    </xf>
    <xf numFmtId="0" fontId="24" fillId="0" borderId="0" xfId="32" applyNumberFormat="1" applyFont="1" applyFill="1" applyAlignment="1">
      <alignment vertical="center"/>
      <protection locked="0"/>
    </xf>
    <xf numFmtId="0" fontId="11" fillId="0" borderId="0" xfId="32" applyAlignment="1">
      <alignment vertical="center"/>
      <protection locked="0"/>
    </xf>
    <xf numFmtId="43" fontId="24" fillId="0" borderId="0" xfId="32" applyNumberFormat="1" applyFont="1" applyBorder="1" applyAlignment="1" applyProtection="1">
      <alignment vertical="center"/>
      <protection locked="0"/>
    </xf>
    <xf numFmtId="43" fontId="24" fillId="0" borderId="0" xfId="32" applyNumberFormat="1" applyFont="1" applyBorder="1" applyAlignment="1" applyProtection="1">
      <alignment horizontal="left" vertical="center"/>
    </xf>
    <xf numFmtId="0" fontId="24" fillId="0" borderId="0" xfId="32" applyFont="1" applyBorder="1" applyAlignment="1">
      <alignment horizontal="left" vertical="center"/>
      <protection locked="0"/>
    </xf>
    <xf numFmtId="0" fontId="24" fillId="0" borderId="2" xfId="32" applyFont="1" applyBorder="1" applyAlignment="1">
      <alignment vertical="center"/>
      <protection locked="0"/>
    </xf>
    <xf numFmtId="43" fontId="117" fillId="0" borderId="0" xfId="33" applyFont="1" applyAlignment="1" applyProtection="1">
      <alignment horizontal="left" vertical="center"/>
      <protection locked="0"/>
    </xf>
    <xf numFmtId="0" fontId="120" fillId="0" borderId="0" xfId="27" applyFont="1" applyAlignment="1">
      <alignment vertical="center"/>
    </xf>
    <xf numFmtId="0" fontId="22" fillId="0" borderId="2" xfId="29" applyFont="1" applyBorder="1" applyAlignment="1">
      <alignment horizontal="justify" vertical="center" wrapText="1"/>
      <protection locked="0"/>
    </xf>
    <xf numFmtId="0" fontId="23" fillId="35" borderId="2" xfId="29" applyFont="1" applyFill="1" applyBorder="1" applyAlignment="1">
      <alignment horizontal="center" vertical="center"/>
      <protection locked="0"/>
    </xf>
    <xf numFmtId="0" fontId="122" fillId="0" borderId="0" xfId="0" applyNumberFormat="1" applyFont="1" applyAlignment="1">
      <alignment horizontal="right" vertical="center"/>
      <protection locked="0"/>
    </xf>
    <xf numFmtId="0" fontId="122" fillId="0" borderId="0" xfId="0" applyNumberFormat="1" applyFont="1" applyAlignment="1">
      <alignment horizontal="left" vertical="center"/>
      <protection locked="0"/>
    </xf>
    <xf numFmtId="0" fontId="34" fillId="0" borderId="0" xfId="0" applyFont="1" applyBorder="1" applyAlignment="1">
      <alignment horizontal="left" vertical="center"/>
      <protection locked="0"/>
    </xf>
    <xf numFmtId="0" fontId="113" fillId="0" borderId="0" xfId="0" applyFont="1" applyFill="1" applyBorder="1" applyAlignment="1">
      <alignment horizontal="left" vertical="center"/>
      <protection locked="0"/>
    </xf>
    <xf numFmtId="224" fontId="17" fillId="0" borderId="0" xfId="260" applyNumberFormat="1" applyFont="1" applyAlignment="1" applyProtection="1">
      <alignment horizontal="left" vertical="center"/>
      <protection locked="0"/>
    </xf>
    <xf numFmtId="0" fontId="19" fillId="0" borderId="0" xfId="0" applyFont="1" applyAlignment="1">
      <alignment vertical="center"/>
      <protection locked="0"/>
    </xf>
    <xf numFmtId="0" fontId="22" fillId="0" borderId="0" xfId="29" applyFont="1" applyAlignment="1">
      <alignment horizontal="center" vertical="center"/>
      <protection locked="0"/>
    </xf>
    <xf numFmtId="0" fontId="22" fillId="0" borderId="2" xfId="0" applyFont="1" applyBorder="1" applyAlignment="1">
      <alignment horizontal="center" vertical="center"/>
      <protection locked="0"/>
    </xf>
    <xf numFmtId="0" fontId="13" fillId="0" borderId="0" xfId="38" applyNumberFormat="1" applyFont="1" applyFill="1" applyAlignment="1">
      <alignment vertical="center"/>
      <protection locked="0"/>
    </xf>
    <xf numFmtId="0" fontId="13" fillId="0" borderId="0" xfId="39" applyNumberFormat="1" applyFont="1" applyFill="1" applyAlignment="1">
      <alignment vertical="center"/>
    </xf>
    <xf numFmtId="43" fontId="13" fillId="0" borderId="0" xfId="33" applyFont="1" applyFill="1" applyBorder="1" applyAlignment="1" applyProtection="1">
      <alignment vertical="center"/>
      <protection locked="0"/>
    </xf>
    <xf numFmtId="43" fontId="13" fillId="0" borderId="0" xfId="33" applyFont="1" applyFill="1" applyBorder="1" applyAlignment="1" applyProtection="1">
      <alignment vertical="center" wrapText="1"/>
      <protection locked="0"/>
    </xf>
    <xf numFmtId="43" fontId="16" fillId="0" borderId="0" xfId="33" applyFont="1" applyFill="1" applyAlignment="1" applyProtection="1">
      <alignment horizontal="left" vertical="center"/>
      <protection locked="0"/>
    </xf>
    <xf numFmtId="43" fontId="13" fillId="0" borderId="3" xfId="33" applyFont="1" applyFill="1" applyBorder="1" applyAlignment="1" applyProtection="1">
      <alignment horizontal="center" vertical="center" wrapText="1"/>
      <protection locked="0"/>
    </xf>
    <xf numFmtId="0" fontId="16" fillId="0" borderId="0" xfId="38" applyNumberFormat="1" applyFont="1" applyFill="1" applyAlignment="1">
      <alignment horizontal="justify" vertical="center"/>
      <protection locked="0"/>
    </xf>
    <xf numFmtId="43" fontId="16" fillId="5" borderId="3" xfId="33" applyFont="1" applyFill="1" applyBorder="1" applyAlignment="1" applyProtection="1">
      <alignment horizontal="center" vertical="center"/>
      <protection locked="0"/>
    </xf>
    <xf numFmtId="0" fontId="22" fillId="0" borderId="0" xfId="0" applyNumberFormat="1" applyFont="1" applyAlignment="1">
      <alignment horizontal="right" vertical="center"/>
      <protection locked="0"/>
    </xf>
    <xf numFmtId="49" fontId="22" fillId="0" borderId="7" xfId="33" applyNumberFormat="1" applyFont="1" applyFill="1" applyBorder="1" applyAlignment="1" applyProtection="1">
      <alignment horizontal="center" vertical="center"/>
      <protection locked="0"/>
    </xf>
    <xf numFmtId="43" fontId="13" fillId="0" borderId="9" xfId="33" applyFont="1" applyFill="1" applyBorder="1" applyAlignment="1" applyProtection="1">
      <alignment horizontal="left" vertical="center" wrapText="1"/>
      <protection locked="0"/>
    </xf>
    <xf numFmtId="0" fontId="22" fillId="0" borderId="7" xfId="33" applyNumberFormat="1" applyFont="1" applyFill="1" applyBorder="1" applyAlignment="1" applyProtection="1">
      <alignment horizontal="center" vertical="center"/>
      <protection locked="0"/>
    </xf>
    <xf numFmtId="0" fontId="23" fillId="0" borderId="7" xfId="33" applyNumberFormat="1" applyFont="1" applyFill="1" applyBorder="1" applyAlignment="1" applyProtection="1">
      <alignment horizontal="center" vertical="center"/>
      <protection locked="0"/>
    </xf>
    <xf numFmtId="43" fontId="22" fillId="0" borderId="7" xfId="33" applyFont="1" applyFill="1" applyBorder="1" applyAlignment="1" applyProtection="1">
      <alignment horizontal="center" vertical="center"/>
      <protection locked="0"/>
    </xf>
    <xf numFmtId="43" fontId="22" fillId="0" borderId="7" xfId="33" applyFont="1" applyFill="1" applyBorder="1" applyAlignment="1" applyProtection="1">
      <alignment horizontal="center" vertical="center" wrapText="1"/>
      <protection locked="0"/>
    </xf>
    <xf numFmtId="49" fontId="13" fillId="0" borderId="9" xfId="34" applyNumberFormat="1" applyFont="1" applyFill="1" applyBorder="1" applyAlignment="1" applyProtection="1">
      <alignment horizontal="left" vertical="center" wrapText="1"/>
      <protection locked="0"/>
    </xf>
    <xf numFmtId="43" fontId="113" fillId="0" borderId="3" xfId="33" applyFont="1" applyFill="1" applyBorder="1" applyAlignment="1" applyProtection="1">
      <alignment horizontal="center" vertical="center" wrapText="1"/>
      <protection locked="0"/>
    </xf>
    <xf numFmtId="49" fontId="13" fillId="0" borderId="9" xfId="33" applyNumberFormat="1" applyFont="1" applyFill="1" applyBorder="1" applyAlignment="1" applyProtection="1">
      <alignment horizontal="left" vertical="center" wrapText="1"/>
      <protection locked="0"/>
    </xf>
    <xf numFmtId="43" fontId="22" fillId="0" borderId="3" xfId="33" applyFont="1" applyFill="1" applyBorder="1" applyAlignment="1" applyProtection="1">
      <alignment vertical="center" wrapText="1"/>
      <protection locked="0"/>
    </xf>
    <xf numFmtId="49" fontId="22" fillId="0" borderId="3" xfId="33" applyNumberFormat="1" applyFont="1" applyFill="1" applyBorder="1" applyAlignment="1" applyProtection="1">
      <alignment horizontal="center" vertical="center" wrapText="1"/>
      <protection locked="0"/>
    </xf>
    <xf numFmtId="43" fontId="37" fillId="0" borderId="7" xfId="33" applyFont="1" applyFill="1" applyBorder="1" applyAlignment="1" applyProtection="1">
      <alignment horizontal="center" vertical="center" wrapText="1"/>
    </xf>
    <xf numFmtId="43" fontId="37" fillId="0" borderId="3" xfId="33" applyFont="1" applyFill="1" applyBorder="1" applyAlignment="1" applyProtection="1">
      <alignment horizontal="center" vertical="center" wrapText="1"/>
    </xf>
    <xf numFmtId="184" fontId="13" fillId="0" borderId="3" xfId="26" applyNumberFormat="1" applyFont="1" applyFill="1" applyBorder="1" applyAlignment="1">
      <alignment horizontal="left" vertical="center" wrapText="1"/>
    </xf>
    <xf numFmtId="43" fontId="16" fillId="0" borderId="0" xfId="30" applyNumberFormat="1" applyFont="1" applyFill="1" applyBorder="1" applyAlignment="1">
      <alignment vertical="center"/>
    </xf>
    <xf numFmtId="0" fontId="13" fillId="0" borderId="0" xfId="28" applyFont="1" applyBorder="1" applyAlignment="1">
      <alignment vertical="center"/>
    </xf>
    <xf numFmtId="0" fontId="23" fillId="5" borderId="3" xfId="0" applyFont="1" applyFill="1" applyBorder="1" applyAlignment="1" applyProtection="1">
      <alignment horizontal="center" vertical="center"/>
      <protection locked="0"/>
    </xf>
    <xf numFmtId="0" fontId="22" fillId="0" borderId="3" xfId="0" applyFont="1" applyBorder="1" applyAlignment="1" applyProtection="1">
      <alignment horizontal="center" vertical="center"/>
      <protection locked="0"/>
    </xf>
    <xf numFmtId="0" fontId="22" fillId="0" borderId="3" xfId="305" applyNumberFormat="1" applyFont="1" applyBorder="1" applyAlignment="1" applyProtection="1">
      <alignment horizontal="center" vertical="center"/>
      <protection locked="0"/>
    </xf>
    <xf numFmtId="49" fontId="16" fillId="0" borderId="0" xfId="304" applyNumberFormat="1" applyFont="1" applyFill="1" applyAlignment="1" applyProtection="1">
      <alignment horizontal="left" vertical="center"/>
      <protection locked="0"/>
    </xf>
    <xf numFmtId="43" fontId="16" fillId="5" borderId="3" xfId="33" applyFont="1" applyFill="1" applyBorder="1" applyAlignment="1" applyProtection="1">
      <alignment horizontal="center" vertical="center" wrapText="1"/>
      <protection locked="0"/>
    </xf>
    <xf numFmtId="0" fontId="22" fillId="0" borderId="0" xfId="0" applyFont="1" applyFill="1" applyAlignment="1">
      <alignment vertical="center"/>
      <protection locked="0"/>
    </xf>
    <xf numFmtId="0" fontId="27" fillId="0" borderId="0" xfId="0" applyFont="1" applyFill="1" applyAlignment="1" applyProtection="1">
      <alignment vertical="center"/>
    </xf>
    <xf numFmtId="0" fontId="22" fillId="0" borderId="0" xfId="31" applyFont="1" applyFill="1" applyAlignment="1">
      <alignment vertical="center"/>
    </xf>
    <xf numFmtId="0" fontId="22" fillId="0" borderId="0" xfId="0" applyFont="1" applyFill="1" applyBorder="1" applyAlignment="1">
      <alignment vertical="center"/>
      <protection locked="0"/>
    </xf>
    <xf numFmtId="43" fontId="22" fillId="0" borderId="0" xfId="33" applyFont="1" applyFill="1" applyBorder="1" applyAlignment="1" applyProtection="1">
      <alignment vertical="center"/>
      <protection locked="0"/>
    </xf>
    <xf numFmtId="0" fontId="23" fillId="5" borderId="0" xfId="0" applyFont="1" applyFill="1" applyAlignment="1">
      <alignment horizontal="center" vertical="center" wrapText="1"/>
      <protection locked="0"/>
    </xf>
    <xf numFmtId="43" fontId="22" fillId="0" borderId="3" xfId="33" applyFont="1" applyFill="1" applyBorder="1" applyAlignment="1">
      <alignment vertical="center"/>
    </xf>
    <xf numFmtId="43" fontId="113" fillId="0" borderId="3" xfId="33" applyFont="1" applyBorder="1" applyAlignment="1">
      <alignment vertical="center" wrapText="1"/>
    </xf>
    <xf numFmtId="43" fontId="22" fillId="5" borderId="3" xfId="33" applyFont="1" applyFill="1" applyBorder="1" applyAlignment="1">
      <alignment vertical="center" wrapText="1"/>
    </xf>
    <xf numFmtId="10" fontId="23" fillId="5" borderId="3" xfId="35" applyNumberFormat="1" applyFont="1" applyFill="1" applyBorder="1" applyAlignment="1">
      <alignment vertical="center"/>
    </xf>
    <xf numFmtId="0" fontId="22" fillId="5" borderId="0" xfId="0" applyFont="1" applyFill="1" applyAlignment="1">
      <alignment vertical="center"/>
      <protection locked="0"/>
    </xf>
    <xf numFmtId="0" fontId="22" fillId="0" borderId="0" xfId="28" applyFont="1" applyFill="1" applyBorder="1" applyAlignment="1" applyProtection="1">
      <alignment vertical="center"/>
      <protection locked="0"/>
    </xf>
    <xf numFmtId="0" fontId="34" fillId="0" borderId="0" xfId="0" applyFont="1" applyFill="1" applyAlignment="1">
      <alignment horizontal="left"/>
      <protection locked="0"/>
    </xf>
    <xf numFmtId="43" fontId="22" fillId="0" borderId="0" xfId="33" applyFont="1" applyFill="1" applyAlignment="1" applyProtection="1">
      <alignment vertical="center"/>
      <protection locked="0"/>
    </xf>
    <xf numFmtId="0" fontId="16" fillId="5" borderId="3" xfId="299" applyFont="1" applyFill="1" applyBorder="1" applyAlignment="1">
      <alignment horizontal="center" vertical="center"/>
      <protection locked="0"/>
    </xf>
    <xf numFmtId="0" fontId="16" fillId="5" borderId="3" xfId="299" applyFont="1" applyFill="1" applyBorder="1" applyAlignment="1">
      <alignment horizontal="center" vertical="center" wrapText="1"/>
      <protection locked="0"/>
    </xf>
    <xf numFmtId="0" fontId="119" fillId="0" borderId="0" xfId="0" applyFont="1" applyAlignment="1">
      <alignment horizontal="center" vertical="center"/>
      <protection locked="0"/>
    </xf>
    <xf numFmtId="223" fontId="35" fillId="0" borderId="0" xfId="306" applyFont="1" applyFill="1" applyAlignment="1">
      <alignment horizontal="left" vertical="center"/>
    </xf>
    <xf numFmtId="0" fontId="33" fillId="0" borderId="0" xfId="36" applyFont="1" applyAlignment="1">
      <alignment vertical="center"/>
      <protection locked="0"/>
    </xf>
    <xf numFmtId="0" fontId="23" fillId="0" borderId="0" xfId="36" applyFont="1" applyAlignment="1">
      <alignment vertical="center"/>
      <protection locked="0"/>
    </xf>
    <xf numFmtId="0" fontId="13" fillId="0" borderId="0" xfId="0" applyFont="1" applyAlignment="1">
      <alignment vertical="center"/>
      <protection locked="0"/>
    </xf>
    <xf numFmtId="0" fontId="113" fillId="0" borderId="0" xfId="36" applyFont="1" applyAlignment="1">
      <alignment vertical="center"/>
      <protection locked="0"/>
    </xf>
    <xf numFmtId="0" fontId="13" fillId="0" borderId="0" xfId="0" applyFont="1" applyBorder="1" applyAlignment="1">
      <alignment horizontal="center" vertical="center"/>
      <protection locked="0"/>
    </xf>
    <xf numFmtId="43" fontId="22" fillId="0" borderId="0" xfId="288" applyFont="1" applyBorder="1" applyAlignment="1" applyProtection="1">
      <alignment horizontal="center" vertical="center"/>
      <protection locked="0"/>
    </xf>
    <xf numFmtId="10" fontId="22" fillId="0" borderId="0" xfId="216" applyNumberFormat="1" applyFont="1" applyBorder="1" applyAlignment="1" applyProtection="1">
      <alignment horizontal="center" vertical="center"/>
      <protection locked="0"/>
    </xf>
    <xf numFmtId="0" fontId="23" fillId="5" borderId="3" xfId="0" applyFont="1" applyFill="1" applyBorder="1" applyAlignment="1">
      <alignment horizontal="left" vertical="center"/>
      <protection locked="0"/>
    </xf>
    <xf numFmtId="43" fontId="23" fillId="5" borderId="3" xfId="0" applyNumberFormat="1" applyFont="1" applyFill="1" applyBorder="1" applyAlignment="1">
      <alignment horizontal="left" vertical="center"/>
      <protection locked="0"/>
    </xf>
    <xf numFmtId="0" fontId="23" fillId="5" borderId="3" xfId="305" applyNumberFormat="1" applyFont="1" applyFill="1" applyBorder="1" applyAlignment="1" applyProtection="1">
      <alignment horizontal="center" vertical="center"/>
      <protection locked="0"/>
    </xf>
    <xf numFmtId="0" fontId="23" fillId="5" borderId="0" xfId="0" applyFont="1" applyFill="1" applyAlignment="1">
      <alignment vertical="center"/>
      <protection locked="0"/>
    </xf>
    <xf numFmtId="10" fontId="23" fillId="5" borderId="3" xfId="35" applyNumberFormat="1" applyFont="1" applyFill="1" applyBorder="1" applyAlignment="1" applyProtection="1">
      <alignment horizontal="right" vertical="center"/>
      <protection locked="0"/>
    </xf>
    <xf numFmtId="49" fontId="34" fillId="0" borderId="0" xfId="307" applyNumberFormat="1" applyFont="1" applyAlignment="1">
      <alignment horizontal="left" vertical="center"/>
    </xf>
    <xf numFmtId="0" fontId="125" fillId="0" borderId="0" xfId="0" applyFont="1" applyAlignment="1">
      <alignment vertical="center"/>
      <protection locked="0"/>
    </xf>
    <xf numFmtId="0" fontId="20" fillId="0" borderId="0" xfId="0" applyFont="1" applyAlignment="1">
      <alignment horizontal="left" vertical="center" wrapText="1"/>
      <protection locked="0"/>
    </xf>
    <xf numFmtId="0" fontId="21" fillId="0" borderId="0" xfId="0" applyFont="1" applyAlignment="1">
      <alignment horizontal="left" vertical="center" wrapText="1"/>
      <protection locked="0"/>
    </xf>
    <xf numFmtId="223" fontId="115" fillId="36" borderId="24" xfId="304" applyFont="1" applyFill="1" applyBorder="1" applyAlignment="1" applyProtection="1">
      <alignment horizontal="left" vertical="center" wrapText="1"/>
      <protection locked="0"/>
    </xf>
    <xf numFmtId="223" fontId="115" fillId="36" borderId="0" xfId="304" applyFont="1" applyFill="1" applyAlignment="1" applyProtection="1">
      <alignment horizontal="left" vertical="center" wrapText="1"/>
      <protection locked="0"/>
    </xf>
    <xf numFmtId="0" fontId="14" fillId="0" borderId="0" xfId="37" applyNumberFormat="1" applyFont="1" applyFill="1" applyAlignment="1">
      <alignment horizontal="center" vertical="center"/>
    </xf>
    <xf numFmtId="0" fontId="119" fillId="0" borderId="0" xfId="37" applyNumberFormat="1" applyFont="1" applyFill="1" applyAlignment="1">
      <alignment horizontal="center" vertical="center"/>
    </xf>
    <xf numFmtId="0" fontId="23" fillId="0" borderId="0" xfId="250" applyFont="1" applyAlignment="1" applyProtection="1">
      <alignment horizontal="left" vertical="center"/>
      <protection locked="0"/>
    </xf>
    <xf numFmtId="0" fontId="115" fillId="34" borderId="24" xfId="303" applyFont="1" applyFill="1" applyBorder="1" applyAlignment="1" applyProtection="1">
      <alignment horizontal="left" vertical="center" wrapText="1"/>
      <protection locked="0"/>
    </xf>
    <xf numFmtId="0" fontId="115" fillId="34" borderId="0" xfId="303" applyFont="1" applyFill="1" applyBorder="1" applyAlignment="1" applyProtection="1">
      <alignment horizontal="left" vertical="center" wrapText="1"/>
      <protection locked="0"/>
    </xf>
    <xf numFmtId="0" fontId="16" fillId="0" borderId="26" xfId="258" applyFont="1" applyFill="1" applyBorder="1" applyAlignment="1" applyProtection="1">
      <alignment horizontal="left" vertical="center" wrapText="1"/>
      <protection locked="0"/>
    </xf>
    <xf numFmtId="43" fontId="16" fillId="5" borderId="3" xfId="33" applyFont="1" applyFill="1" applyBorder="1" applyAlignment="1" applyProtection="1">
      <alignment horizontal="center" vertical="center"/>
      <protection locked="0"/>
    </xf>
    <xf numFmtId="43" fontId="16" fillId="5" borderId="3" xfId="33" applyFont="1" applyFill="1" applyBorder="1" applyAlignment="1" applyProtection="1">
      <alignment horizontal="center" vertical="center" wrapText="1"/>
      <protection locked="0"/>
    </xf>
    <xf numFmtId="0" fontId="16" fillId="5" borderId="3" xfId="258" applyFont="1" applyFill="1" applyBorder="1" applyAlignment="1" applyProtection="1">
      <alignment horizontal="center" vertical="center" wrapText="1"/>
      <protection locked="0"/>
    </xf>
    <xf numFmtId="43" fontId="16" fillId="34" borderId="3" xfId="33" applyFont="1" applyFill="1" applyBorder="1" applyAlignment="1" applyProtection="1">
      <alignment horizontal="center" vertical="center" wrapText="1"/>
      <protection locked="0"/>
    </xf>
    <xf numFmtId="43" fontId="13" fillId="0" borderId="3" xfId="33" applyFont="1" applyFill="1" applyBorder="1" applyAlignment="1" applyProtection="1">
      <alignment horizontal="center" vertical="center" wrapText="1"/>
      <protection locked="0"/>
    </xf>
    <xf numFmtId="43" fontId="13" fillId="0" borderId="3" xfId="33" applyFont="1" applyFill="1" applyBorder="1" applyAlignment="1" applyProtection="1">
      <alignment vertical="center" wrapText="1"/>
      <protection locked="0"/>
    </xf>
    <xf numFmtId="0" fontId="34" fillId="0" borderId="0" xfId="26" applyFont="1" applyAlignment="1">
      <alignment horizontal="left" vertical="center" wrapText="1"/>
    </xf>
    <xf numFmtId="0" fontId="34" fillId="0" borderId="0" xfId="26" applyFont="1" applyAlignment="1">
      <alignment vertical="center" wrapText="1"/>
    </xf>
    <xf numFmtId="0" fontId="14" fillId="0" borderId="0" xfId="27" applyFont="1" applyAlignment="1">
      <alignment horizontal="center" vertical="center"/>
    </xf>
    <xf numFmtId="0" fontId="119" fillId="0" borderId="0" xfId="27" applyFont="1" applyAlignment="1">
      <alignment horizontal="center" vertical="center"/>
    </xf>
    <xf numFmtId="0" fontId="100" fillId="0" borderId="0" xfId="0" applyFont="1" applyAlignment="1">
      <alignment horizontal="left" vertical="center" wrapText="1"/>
      <protection locked="0"/>
    </xf>
    <xf numFmtId="0" fontId="101" fillId="0" borderId="8" xfId="0" applyFont="1" applyBorder="1" applyAlignment="1">
      <alignment horizontal="justify" vertical="center" wrapText="1"/>
      <protection locked="0"/>
    </xf>
    <xf numFmtId="0" fontId="101" fillId="0" borderId="6" xfId="0" applyFont="1" applyBorder="1" applyAlignment="1">
      <alignment horizontal="justify" vertical="center" wrapText="1"/>
      <protection locked="0"/>
    </xf>
    <xf numFmtId="0" fontId="101" fillId="0" borderId="5" xfId="0" applyFont="1" applyBorder="1" applyAlignment="1">
      <alignment horizontal="center" vertical="center" wrapText="1"/>
      <protection locked="0"/>
    </xf>
    <xf numFmtId="0" fontId="20" fillId="0" borderId="0" xfId="27" applyFont="1" applyAlignment="1">
      <alignment horizontal="center" vertical="center"/>
    </xf>
    <xf numFmtId="0" fontId="118" fillId="0" borderId="0" xfId="27" applyFont="1" applyAlignment="1">
      <alignment horizontal="center" vertical="center"/>
    </xf>
    <xf numFmtId="0" fontId="93" fillId="0" borderId="0" xfId="0" applyFont="1" applyAlignment="1">
      <alignment horizontal="left" vertical="center" wrapText="1"/>
      <protection locked="0"/>
    </xf>
    <xf numFmtId="0" fontId="27" fillId="0" borderId="0" xfId="0" applyFont="1" applyFill="1" applyAlignment="1" applyProtection="1">
      <alignment horizontal="left" vertical="center" wrapText="1"/>
    </xf>
    <xf numFmtId="0" fontId="20" fillId="0" borderId="0" xfId="30" applyNumberFormat="1" applyFont="1" applyBorder="1" applyAlignment="1">
      <alignment horizontal="center" vertical="center"/>
    </xf>
    <xf numFmtId="0" fontId="119" fillId="0" borderId="0" xfId="30" applyNumberFormat="1" applyFont="1" applyBorder="1" applyAlignment="1">
      <alignment horizontal="center" vertical="center"/>
    </xf>
    <xf numFmtId="0" fontId="118" fillId="0" borderId="0" xfId="30" applyNumberFormat="1" applyFont="1" applyBorder="1" applyAlignment="1">
      <alignment horizontal="center" vertical="center"/>
    </xf>
    <xf numFmtId="0" fontId="16" fillId="5" borderId="3" xfId="0" applyFont="1" applyFill="1" applyBorder="1" applyAlignment="1">
      <alignment horizontal="center" vertical="center"/>
      <protection locked="0"/>
    </xf>
    <xf numFmtId="0" fontId="20" fillId="0" borderId="0" xfId="0" applyNumberFormat="1" applyFont="1" applyAlignment="1">
      <alignment horizontal="center" vertical="center"/>
      <protection locked="0"/>
    </xf>
    <xf numFmtId="0" fontId="118" fillId="0" borderId="0" xfId="0" applyNumberFormat="1" applyFont="1" applyAlignment="1">
      <alignment horizontal="center" vertical="center"/>
      <protection locked="0"/>
    </xf>
    <xf numFmtId="0" fontId="16" fillId="5" borderId="9" xfId="299" applyFont="1" applyFill="1" applyBorder="1" applyAlignment="1">
      <alignment horizontal="center" vertical="center"/>
      <protection locked="0"/>
    </xf>
    <xf numFmtId="0" fontId="16" fillId="5" borderId="10" xfId="299" applyFont="1" applyFill="1" applyBorder="1" applyAlignment="1">
      <alignment horizontal="center" vertical="center"/>
      <protection locked="0"/>
    </xf>
    <xf numFmtId="0" fontId="16" fillId="5" borderId="11" xfId="299" applyFont="1" applyFill="1" applyBorder="1" applyAlignment="1">
      <alignment horizontal="center" vertical="center"/>
      <protection locked="0"/>
    </xf>
    <xf numFmtId="0" fontId="16" fillId="5" borderId="3" xfId="38" applyFont="1" applyFill="1" applyBorder="1" applyAlignment="1">
      <alignment horizontal="center" vertical="center" wrapText="1"/>
      <protection locked="0"/>
    </xf>
    <xf numFmtId="0" fontId="23" fillId="5" borderId="3" xfId="38" applyFont="1" applyFill="1" applyBorder="1" applyAlignment="1">
      <alignment horizontal="center" vertical="center" wrapText="1"/>
      <protection locked="0"/>
    </xf>
    <xf numFmtId="0" fontId="23" fillId="5" borderId="9" xfId="0" applyFont="1" applyFill="1" applyBorder="1" applyAlignment="1" applyProtection="1">
      <alignment horizontal="center" vertical="center"/>
      <protection locked="0"/>
    </xf>
    <xf numFmtId="0" fontId="23" fillId="5" borderId="10" xfId="0" applyFont="1" applyFill="1" applyBorder="1" applyAlignment="1" applyProtection="1">
      <alignment horizontal="center" vertical="center"/>
      <protection locked="0"/>
    </xf>
    <xf numFmtId="0" fontId="16" fillId="5" borderId="3" xfId="299" applyFont="1" applyFill="1" applyBorder="1" applyAlignment="1" applyProtection="1">
      <alignment horizontal="center" vertical="center" wrapText="1"/>
    </xf>
    <xf numFmtId="0" fontId="16" fillId="5" borderId="25" xfId="299" applyFont="1" applyFill="1" applyBorder="1" applyAlignment="1" applyProtection="1">
      <alignment horizontal="center" vertical="center" wrapText="1"/>
    </xf>
    <xf numFmtId="0" fontId="16" fillId="5" borderId="7" xfId="299" applyFont="1" applyFill="1" applyBorder="1" applyAlignment="1" applyProtection="1">
      <alignment horizontal="center" vertical="center" wrapText="1"/>
    </xf>
    <xf numFmtId="0" fontId="16" fillId="5" borderId="3" xfId="38" applyFont="1" applyFill="1" applyBorder="1" applyAlignment="1">
      <alignment horizontal="center" vertical="center"/>
      <protection locked="0"/>
    </xf>
    <xf numFmtId="0" fontId="23" fillId="5" borderId="3" xfId="38" applyFont="1" applyFill="1" applyBorder="1" applyAlignment="1">
      <alignment horizontal="center" vertical="center"/>
      <protection locked="0"/>
    </xf>
  </cellXfs>
  <cellStyles count="308">
    <cellStyle name="%" xfId="41"/>
    <cellStyle name="?" xfId="42"/>
    <cellStyle name="?餡_x000c_k" xfId="43"/>
    <cellStyle name="?餡_x000c_k?_x000d_^" xfId="44"/>
    <cellStyle name="?餡_x000c_k?_x000d_^黇_x0001_??_x0007__x0001__x0001_" xfId="45"/>
    <cellStyle name="@_text" xfId="1"/>
    <cellStyle name="_2005审计报表及附注-中国建材股份模板（房屋）" xfId="46"/>
    <cellStyle name="_2006年年报审计PBC表-XXX" xfId="47"/>
    <cellStyle name="_2006年年报审计填报资料" xfId="48"/>
    <cellStyle name="_Book1" xfId="49"/>
    <cellStyle name="_J1000-存货-ZHHG" xfId="50"/>
    <cellStyle name="_PBC审核提示" xfId="51"/>
    <cellStyle name="_宝丽华房地产20051231" xfId="52"/>
    <cellStyle name="_保证金-企业填写部分" xfId="53"/>
    <cellStyle name="_北新房屋2004年审-刘" xfId="54"/>
    <cellStyle name="_北新股份2005年审工作底稿" xfId="55"/>
    <cellStyle name="_北新建材关连交易基础表051230（10－12月版）更新稿" xfId="56"/>
    <cellStyle name="_北新建材-会计报表附注模版" xfId="57"/>
    <cellStyle name="_北新龙之星2004年审工作底稿" xfId="58"/>
    <cellStyle name="_北新物流2005底稿-刘" xfId="59"/>
    <cellStyle name="_北新置换memo" xfId="60"/>
    <cellStyle name="_存货结转测试" xfId="61"/>
    <cellStyle name="_存货数量与明细05.12" xfId="62"/>
    <cellStyle name="_动力厂2004年审工作底稿-刘" xfId="63"/>
    <cellStyle name="_分工" xfId="64"/>
    <cellStyle name="_工程施工项目现场审计提示" xfId="65"/>
    <cellStyle name="_关联交易" xfId="66"/>
    <cellStyle name="_关联交易、往来统计表" xfId="67"/>
    <cellStyle name="_建造合同-宜万指（正式版）" xfId="68"/>
    <cellStyle name="_科目核对表" xfId="69"/>
    <cellStyle name="_母PL" xfId="70"/>
    <cellStyle name="_人员分工备忘录" xfId="71"/>
    <cellStyle name="_审计所需资料清单－子公司" xfId="72"/>
    <cellStyle name="_一公司建造合同前5名" xfId="73"/>
    <cellStyle name="_一公司－刘丰收" xfId="74"/>
    <cellStyle name="_长期借款－江阴" xfId="75"/>
    <cellStyle name="_子公司审计提示模版-Liufs" xfId="76"/>
    <cellStyle name="{Comma [0]}" xfId="2"/>
    <cellStyle name="{Comma}" xfId="3"/>
    <cellStyle name="{Date}" xfId="4"/>
    <cellStyle name="{Month}" xfId="5"/>
    <cellStyle name="{Percent}" xfId="6"/>
    <cellStyle name="{Thousand [0]}" xfId="7"/>
    <cellStyle name="{Thousand}" xfId="8"/>
    <cellStyle name="{Z'0000(1 dec)}" xfId="9"/>
    <cellStyle name="{Z'0000(4 dec)}" xfId="10"/>
    <cellStyle name="0%" xfId="77"/>
    <cellStyle name="0.0%" xfId="78"/>
    <cellStyle name="0.00%" xfId="79"/>
    <cellStyle name="20% - Accent1" xfId="80"/>
    <cellStyle name="20% - Accent2" xfId="81"/>
    <cellStyle name="20% - Accent3" xfId="82"/>
    <cellStyle name="20% - Accent4" xfId="83"/>
    <cellStyle name="20% - Accent5" xfId="84"/>
    <cellStyle name="20% - Accent6" xfId="85"/>
    <cellStyle name="40% - Accent1" xfId="86"/>
    <cellStyle name="40% - Accent2" xfId="87"/>
    <cellStyle name="40% - Accent3" xfId="88"/>
    <cellStyle name="40% - Accent4" xfId="89"/>
    <cellStyle name="40% - Accent5" xfId="90"/>
    <cellStyle name="40% - Accent6" xfId="91"/>
    <cellStyle name="60% - Accent1" xfId="92"/>
    <cellStyle name="60% - Accent2" xfId="93"/>
    <cellStyle name="60% - Accent3" xfId="94"/>
    <cellStyle name="60% - Accent4" xfId="95"/>
    <cellStyle name="60% - Accent5" xfId="96"/>
    <cellStyle name="60% - Accent6" xfId="97"/>
    <cellStyle name="Accent1" xfId="98"/>
    <cellStyle name="Accent2" xfId="99"/>
    <cellStyle name="Accent3" xfId="100"/>
    <cellStyle name="Accent4" xfId="101"/>
    <cellStyle name="Accent5" xfId="102"/>
    <cellStyle name="Accent6" xfId="103"/>
    <cellStyle name="Bad" xfId="104"/>
    <cellStyle name="Black" xfId="11"/>
    <cellStyle name="Border" xfId="12"/>
    <cellStyle name="Calc Currency (0)" xfId="105"/>
    <cellStyle name="Calc Currency (2)" xfId="106"/>
    <cellStyle name="Calc Percent (0)" xfId="107"/>
    <cellStyle name="Calc Percent (1)" xfId="108"/>
    <cellStyle name="Calc Percent (2)" xfId="109"/>
    <cellStyle name="Calc Units (0)" xfId="110"/>
    <cellStyle name="Calc Units (1)" xfId="111"/>
    <cellStyle name="Calc Units (2)" xfId="112"/>
    <cellStyle name="Calculation" xfId="113"/>
    <cellStyle name="category" xfId="114"/>
    <cellStyle name="Check Cell" xfId="115"/>
    <cellStyle name="Col Heads" xfId="116"/>
    <cellStyle name="Column_Title" xfId="117"/>
    <cellStyle name="Comma  - Style1" xfId="118"/>
    <cellStyle name="Comma  - Style2" xfId="119"/>
    <cellStyle name="Comma  - Style3" xfId="120"/>
    <cellStyle name="Comma  - Style4" xfId="121"/>
    <cellStyle name="Comma  - Style5" xfId="122"/>
    <cellStyle name="Comma  - Style6" xfId="123"/>
    <cellStyle name="Comma  - Style7" xfId="124"/>
    <cellStyle name="Comma  - Style8" xfId="125"/>
    <cellStyle name="Comma [0]_ rislugp" xfId="126"/>
    <cellStyle name="Comma [00]" xfId="127"/>
    <cellStyle name="Comma 28" xfId="128"/>
    <cellStyle name="comma zerodec" xfId="129"/>
    <cellStyle name="Comma,0" xfId="130"/>
    <cellStyle name="Comma,1" xfId="131"/>
    <cellStyle name="Comma,2" xfId="132"/>
    <cellStyle name="Comma_ rislugp" xfId="133"/>
    <cellStyle name="Currency [0]_ rislugp" xfId="134"/>
    <cellStyle name="Currency [00]" xfId="135"/>
    <cellStyle name="Currency,0" xfId="136"/>
    <cellStyle name="Currency,2" xfId="137"/>
    <cellStyle name="Currency_ rislugp" xfId="138"/>
    <cellStyle name="Currency1" xfId="139"/>
    <cellStyle name="Date Short" xfId="140"/>
    <cellStyle name="Dezimal [0]_laroux" xfId="13"/>
    <cellStyle name="Dezimal_laroux" xfId="14"/>
    <cellStyle name="Dollar (zero dec)" xfId="141"/>
    <cellStyle name="Enter Currency (0)" xfId="142"/>
    <cellStyle name="Enter Currency (2)" xfId="143"/>
    <cellStyle name="Enter Units (0)" xfId="144"/>
    <cellStyle name="Enter Units (1)" xfId="145"/>
    <cellStyle name="Enter Units (2)" xfId="146"/>
    <cellStyle name="entry" xfId="147"/>
    <cellStyle name="entry box" xfId="148"/>
    <cellStyle name="Euro" xfId="15"/>
    <cellStyle name="Explanatory Text" xfId="149"/>
    <cellStyle name="Followed Hyperlink_AheadBehind.xls Chart 23" xfId="16"/>
    <cellStyle name="Good" xfId="150"/>
    <cellStyle name="Grey" xfId="17"/>
    <cellStyle name="HEADER" xfId="151"/>
    <cellStyle name="Header1" xfId="152"/>
    <cellStyle name="Header2" xfId="153"/>
    <cellStyle name="Heading" xfId="154"/>
    <cellStyle name="Heading 1" xfId="155"/>
    <cellStyle name="Heading 2" xfId="156"/>
    <cellStyle name="Heading 3" xfId="157"/>
    <cellStyle name="Heading 4" xfId="158"/>
    <cellStyle name="Hyperlink_AheadBehind.xls Chart 23" xfId="18"/>
    <cellStyle name="Input" xfId="159"/>
    <cellStyle name="Input [yellow]" xfId="19"/>
    <cellStyle name="left" xfId="160"/>
    <cellStyle name="Link Currency (0)" xfId="161"/>
    <cellStyle name="Link Currency (2)" xfId="162"/>
    <cellStyle name="Link Units (0)" xfId="163"/>
    <cellStyle name="Link Units (1)" xfId="164"/>
    <cellStyle name="Link Units (2)" xfId="165"/>
    <cellStyle name="Linked Cell" xfId="166"/>
    <cellStyle name="Millares [0]_laroux" xfId="167"/>
    <cellStyle name="Millares_laroux" xfId="168"/>
    <cellStyle name="Milliers [0]_laroux" xfId="20"/>
    <cellStyle name="Milliers_laroux" xfId="21"/>
    <cellStyle name="Model" xfId="169"/>
    <cellStyle name="Moneda [0]_laroux" xfId="170"/>
    <cellStyle name="Moneda_laroux" xfId="171"/>
    <cellStyle name="Mon閠aire [0]_laroux" xfId="172"/>
    <cellStyle name="Mon閠aire_laroux" xfId="173"/>
    <cellStyle name="Neutral" xfId="174"/>
    <cellStyle name="no dec" xfId="175"/>
    <cellStyle name="Non défini" xfId="22"/>
    <cellStyle name="Normal - Style1" xfId="23"/>
    <cellStyle name="Normal 2" xfId="176"/>
    <cellStyle name="Normal 2 2" xfId="177"/>
    <cellStyle name="Normal 21" xfId="178"/>
    <cellStyle name="Normal 3 2" xfId="179"/>
    <cellStyle name="Normal_ rislugp" xfId="180"/>
    <cellStyle name="Normalny_Arkusz1" xfId="181"/>
    <cellStyle name="Note" xfId="182"/>
    <cellStyle name="Output" xfId="183"/>
    <cellStyle name="Percent (0)" xfId="184"/>
    <cellStyle name="Percent [0]" xfId="185"/>
    <cellStyle name="Percent [00]" xfId="186"/>
    <cellStyle name="Percent [2]" xfId="24"/>
    <cellStyle name="Prefilled" xfId="187"/>
    <cellStyle name="PrePop Currency (0)" xfId="188"/>
    <cellStyle name="PrePop Currency (2)" xfId="189"/>
    <cellStyle name="PrePop Units (0)" xfId="190"/>
    <cellStyle name="PrePop Units (1)" xfId="191"/>
    <cellStyle name="PrePop Units (2)" xfId="192"/>
    <cellStyle name="price" xfId="193"/>
    <cellStyle name="Red" xfId="25"/>
    <cellStyle name="revised" xfId="194"/>
    <cellStyle name="section" xfId="195"/>
    <cellStyle name="SOR" xfId="196"/>
    <cellStyle name="style" xfId="197"/>
    <cellStyle name="style1" xfId="198"/>
    <cellStyle name="style2" xfId="199"/>
    <cellStyle name="subhead" xfId="200"/>
    <cellStyle name="Text Indent A" xfId="201"/>
    <cellStyle name="Text Indent B" xfId="202"/>
    <cellStyle name="Text Indent C" xfId="203"/>
    <cellStyle name="Tickmark" xfId="204"/>
    <cellStyle name="title" xfId="205"/>
    <cellStyle name="Total" xfId="206"/>
    <cellStyle name="Warning Text" xfId="207"/>
    <cellStyle name="wrap" xfId="208"/>
    <cellStyle name="パーセント_laroux" xfId="209"/>
    <cellStyle name="_PLDT" xfId="210"/>
    <cellStyle name="_Total (2)" xfId="211"/>
    <cellStyle name="だ[0]_PLDT" xfId="212"/>
    <cellStyle name="だ_PLDT" xfId="213"/>
    <cellStyle name="だ[0]_Total (2)" xfId="214"/>
    <cellStyle name="だ_Total (2)" xfId="215"/>
    <cellStyle name="百分比" xfId="35" builtinId="5"/>
    <cellStyle name="百分比 2" xfId="216"/>
    <cellStyle name="百分比 2 2" xfId="302"/>
    <cellStyle name="百分比 3" xfId="217"/>
    <cellStyle name="標準_１１月価格表" xfId="218"/>
    <cellStyle name="差_T1000-主营业务收入-LJCH" xfId="219"/>
    <cellStyle name="常规" xfId="0" builtinId="0"/>
    <cellStyle name="常规 10" xfId="220"/>
    <cellStyle name="常规 10 2" xfId="221"/>
    <cellStyle name="常规 10 3" xfId="222"/>
    <cellStyle name="常规 10 4" xfId="223"/>
    <cellStyle name="常规 11 2" xfId="224"/>
    <cellStyle name="常规 11 3" xfId="225"/>
    <cellStyle name="常规 11 4" xfId="226"/>
    <cellStyle name="常规 11 5" xfId="306"/>
    <cellStyle name="常规 12 2" xfId="227"/>
    <cellStyle name="常规 12 3" xfId="228"/>
    <cellStyle name="常规 12 4" xfId="229"/>
    <cellStyle name="常规 13 2" xfId="230"/>
    <cellStyle name="常规 13 3" xfId="231"/>
    <cellStyle name="常规 13 4" xfId="232"/>
    <cellStyle name="常规 2" xfId="36"/>
    <cellStyle name="常规 2 2" xfId="38"/>
    <cellStyle name="常规 2 2 2" xfId="233"/>
    <cellStyle name="常规 2 2 3" xfId="234"/>
    <cellStyle name="常规 2 2 4" xfId="299"/>
    <cellStyle name="常规 2 3" xfId="235"/>
    <cellStyle name="常规 2 3 2" xfId="236"/>
    <cellStyle name="常规 2 4" xfId="237"/>
    <cellStyle name="常规 2 5" xfId="238"/>
    <cellStyle name="常规 2 6" xfId="239"/>
    <cellStyle name="常规 2 7" xfId="240"/>
    <cellStyle name="常规 2 8" xfId="241"/>
    <cellStyle name="常规 2_经销商信息-1-原始表" xfId="242"/>
    <cellStyle name="常规 3" xfId="40"/>
    <cellStyle name="常规 3 2" xfId="243"/>
    <cellStyle name="常规 3 3" xfId="244"/>
    <cellStyle name="常规 3 4" xfId="245"/>
    <cellStyle name="常规 4" xfId="246"/>
    <cellStyle name="常规 4 2" xfId="247"/>
    <cellStyle name="常规 4 2 2" xfId="300"/>
    <cellStyle name="常规 4 3" xfId="248"/>
    <cellStyle name="常规 4 4" xfId="249"/>
    <cellStyle name="常规 5" xfId="250"/>
    <cellStyle name="常规 5 2" xfId="251"/>
    <cellStyle name="常规 5 3" xfId="252"/>
    <cellStyle name="常规 5 4" xfId="253"/>
    <cellStyle name="常规 6" xfId="34"/>
    <cellStyle name="常规 6 2" xfId="254"/>
    <cellStyle name="常规 6 3" xfId="255"/>
    <cellStyle name="常规 6 4" xfId="256"/>
    <cellStyle name="常规 6 5" xfId="257"/>
    <cellStyle name="常规 7" xfId="258"/>
    <cellStyle name="常规 7 2" xfId="259"/>
    <cellStyle name="常规 7 3" xfId="260"/>
    <cellStyle name="常规 7 4" xfId="261"/>
    <cellStyle name="常规 7 5" xfId="304"/>
    <cellStyle name="常规 7 6" xfId="303"/>
    <cellStyle name="常规 8" xfId="262"/>
    <cellStyle name="常规 8 2" xfId="263"/>
    <cellStyle name="常规 8 3" xfId="264"/>
    <cellStyle name="常规 8 4" xfId="265"/>
    <cellStyle name="常规 9" xfId="266"/>
    <cellStyle name="常规 9 2" xfId="267"/>
    <cellStyle name="常规 9 3" xfId="268"/>
    <cellStyle name="常规 9 4" xfId="269"/>
    <cellStyle name="常规_2-1项目审定表－模板" xfId="26"/>
    <cellStyle name="常规_Book1" xfId="27"/>
    <cellStyle name="常规_Book1 2" xfId="37"/>
    <cellStyle name="常规_进一步审计程序--销售与收款循环" xfId="28"/>
    <cellStyle name="常规_进一步审计程序--销售与收款循环 2" xfId="307"/>
    <cellStyle name="常规_通用表" xfId="29"/>
    <cellStyle name="常规_新审定表" xfId="30"/>
    <cellStyle name="常规_制造费用" xfId="31"/>
    <cellStyle name="常规_制造费用 2" xfId="39"/>
    <cellStyle name="超级链接_B4-1审计项目工时预算与控制表(集团)" xfId="270"/>
    <cellStyle name="超链接" xfId="32" builtinId="8"/>
    <cellStyle name="超链接 2" xfId="271"/>
    <cellStyle name="超链接 2 2" xfId="272"/>
    <cellStyle name="超链接 2 3" xfId="301"/>
    <cellStyle name="分级显示行_1_4附件二凯旋评估表" xfId="273"/>
    <cellStyle name="好_T1000-主营业务收入" xfId="274"/>
    <cellStyle name="桁区切り [0.00]_１１月価格表" xfId="275"/>
    <cellStyle name="桁区切り_１１月価格表" xfId="276"/>
    <cellStyle name="霓付 [0]_97MBO" xfId="277"/>
    <cellStyle name="霓付_97MBO" xfId="278"/>
    <cellStyle name="烹拳 [0]_97MBO" xfId="279"/>
    <cellStyle name="烹拳_97MBO" xfId="280"/>
    <cellStyle name="砯刽 [0]_PLDT" xfId="281"/>
    <cellStyle name="砯刽_PLDT" xfId="282"/>
    <cellStyle name="普通_ 白土" xfId="283"/>
    <cellStyle name="千分位[0]_ 白土" xfId="284"/>
    <cellStyle name="千分位_ 白土" xfId="285"/>
    <cellStyle name="千位[0]_ 应交税金审定表" xfId="286"/>
    <cellStyle name="千位_ 应交税金审定表" xfId="287"/>
    <cellStyle name="千位分隔" xfId="33" builtinId="3"/>
    <cellStyle name="千位分隔 2" xfId="288"/>
    <cellStyle name="千位分隔 3" xfId="289"/>
    <cellStyle name="千位分隔 6" xfId="305"/>
    <cellStyle name="钎霖_laroux" xfId="290"/>
    <cellStyle name="通貨 [0.00]_１１月価格表" xfId="291"/>
    <cellStyle name="通貨_１１月価格表" xfId="292"/>
    <cellStyle name="样式 1" xfId="293"/>
    <cellStyle name="콤마 [0]_BOILER-CO1" xfId="294"/>
    <cellStyle name="콤마_BOILER-CO1" xfId="295"/>
    <cellStyle name="통화 [0]_BOILER-CO1" xfId="296"/>
    <cellStyle name="통화_BOILER-CO1" xfId="297"/>
    <cellStyle name="표준_0N-HANDLING " xfId="298"/>
  </cellStyles>
  <dxfs count="2">
    <dxf>
      <font>
        <condense val="0"/>
        <extend val="0"/>
        <color indexed="12"/>
      </font>
    </dxf>
    <dxf>
      <font>
        <condense val="0"/>
        <extend val="0"/>
        <color indexed="12"/>
      </font>
    </dxf>
  </dxfs>
  <tableStyles count="0" defaultTableStyle="TableStyleMedium9" defaultPivotStyle="PivotStyleLight16"/>
  <colors>
    <mruColors>
      <color rgb="FF0000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0"/>
  <sheetViews>
    <sheetView tabSelected="1" workbookViewId="0"/>
  </sheetViews>
  <sheetFormatPr defaultColWidth="9" defaultRowHeight="19.95" customHeight="1"/>
  <cols>
    <col min="1" max="1" width="77.59765625" style="108" customWidth="1"/>
    <col min="2" max="2" width="2" style="108" customWidth="1"/>
    <col min="3" max="3" width="2.09765625" style="108" customWidth="1"/>
    <col min="4" max="4" width="6.09765625" style="108" customWidth="1"/>
    <col min="5" max="5" width="22.59765625" style="108" bestFit="1" customWidth="1"/>
    <col min="6" max="6" width="9.09765625" style="148" customWidth="1"/>
    <col min="7" max="16384" width="9" style="108"/>
  </cols>
  <sheetData>
    <row r="1" spans="1:8" ht="19.95" customHeight="1">
      <c r="A1" s="107" t="s">
        <v>131</v>
      </c>
    </row>
    <row r="2" spans="1:8" ht="19.95" customHeight="1">
      <c r="A2" s="46" t="s">
        <v>132</v>
      </c>
      <c r="B2" s="109"/>
      <c r="C2" s="109"/>
      <c r="D2" s="141" t="s">
        <v>139</v>
      </c>
      <c r="E2" s="141" t="s">
        <v>81</v>
      </c>
      <c r="F2" s="141" t="s">
        <v>140</v>
      </c>
      <c r="G2" s="141" t="s">
        <v>141</v>
      </c>
      <c r="H2" s="109"/>
    </row>
    <row r="3" spans="1:8" ht="19.95" customHeight="1">
      <c r="A3" s="46" t="s">
        <v>233</v>
      </c>
      <c r="B3" s="109"/>
      <c r="C3" s="109"/>
      <c r="D3" s="110">
        <v>1</v>
      </c>
      <c r="E3" s="137" t="s">
        <v>125</v>
      </c>
      <c r="F3" s="149" t="s">
        <v>122</v>
      </c>
      <c r="G3" s="140"/>
      <c r="H3" s="109"/>
    </row>
    <row r="4" spans="1:8" ht="19.95" customHeight="1">
      <c r="A4" s="106" t="s">
        <v>133</v>
      </c>
      <c r="B4" s="111"/>
      <c r="C4" s="111"/>
      <c r="D4" s="110">
        <f>D3+1</f>
        <v>2</v>
      </c>
      <c r="E4" s="137" t="s">
        <v>126</v>
      </c>
      <c r="F4" s="149" t="s">
        <v>91</v>
      </c>
      <c r="G4" s="113"/>
      <c r="H4" s="109"/>
    </row>
    <row r="5" spans="1:8" ht="19.95" customHeight="1">
      <c r="A5" s="106" t="s">
        <v>134</v>
      </c>
      <c r="D5" s="110">
        <f>D4+1</f>
        <v>3</v>
      </c>
      <c r="E5" s="137" t="s">
        <v>123</v>
      </c>
      <c r="F5" s="110"/>
      <c r="G5" s="113" t="s">
        <v>135</v>
      </c>
      <c r="H5" s="111"/>
    </row>
    <row r="6" spans="1:8" ht="19.95" customHeight="1">
      <c r="A6" s="106" t="s">
        <v>82</v>
      </c>
      <c r="D6" s="110">
        <f t="shared" ref="D6:D9" si="0">D5+1</f>
        <v>4</v>
      </c>
      <c r="E6" s="137" t="s">
        <v>124</v>
      </c>
      <c r="F6" s="110"/>
      <c r="G6" s="113" t="s">
        <v>127</v>
      </c>
    </row>
    <row r="7" spans="1:8" ht="19.95" customHeight="1">
      <c r="A7" s="106" t="s">
        <v>136</v>
      </c>
      <c r="D7" s="110">
        <f t="shared" si="0"/>
        <v>5</v>
      </c>
      <c r="E7" s="137" t="s">
        <v>128</v>
      </c>
      <c r="F7" s="149" t="s">
        <v>92</v>
      </c>
      <c r="G7" s="113"/>
    </row>
    <row r="8" spans="1:8" ht="19.95" customHeight="1">
      <c r="A8" s="112"/>
      <c r="D8" s="110">
        <f t="shared" si="0"/>
        <v>6</v>
      </c>
      <c r="E8" s="137" t="s">
        <v>129</v>
      </c>
      <c r="F8" s="149" t="s">
        <v>80</v>
      </c>
      <c r="G8" s="113"/>
    </row>
    <row r="9" spans="1:8" ht="19.95" customHeight="1">
      <c r="A9" s="10"/>
      <c r="D9" s="110">
        <f t="shared" si="0"/>
        <v>7</v>
      </c>
      <c r="E9" s="137" t="s">
        <v>130</v>
      </c>
      <c r="F9" s="149" t="s">
        <v>93</v>
      </c>
      <c r="G9" s="113"/>
    </row>
    <row r="10" spans="1:8" ht="19.95" customHeight="1">
      <c r="A10" s="196" t="s">
        <v>234</v>
      </c>
      <c r="G10" s="10"/>
    </row>
    <row r="11" spans="1:8" ht="19.95" customHeight="1">
      <c r="A11" s="212" t="s">
        <v>235</v>
      </c>
    </row>
    <row r="12" spans="1:8" ht="19.95" customHeight="1">
      <c r="A12" s="212"/>
    </row>
    <row r="13" spans="1:8" ht="19.95" customHeight="1">
      <c r="A13" s="212"/>
    </row>
    <row r="14" spans="1:8" ht="19.95" customHeight="1">
      <c r="A14" s="212"/>
    </row>
    <row r="15" spans="1:8" ht="19.95" customHeight="1">
      <c r="A15" s="212" t="s">
        <v>236</v>
      </c>
    </row>
    <row r="16" spans="1:8" ht="19.95" customHeight="1">
      <c r="A16" s="212"/>
    </row>
    <row r="17" spans="1:1" ht="19.95" customHeight="1">
      <c r="A17" s="212"/>
    </row>
    <row r="18" spans="1:1" ht="19.95" customHeight="1">
      <c r="A18" s="213" t="s">
        <v>237</v>
      </c>
    </row>
    <row r="19" spans="1:1" ht="19.95" customHeight="1">
      <c r="A19" s="213"/>
    </row>
    <row r="20" spans="1:1" ht="19.95" customHeight="1">
      <c r="A20" s="213"/>
    </row>
  </sheetData>
  <mergeCells count="3">
    <mergeCell ref="A11:A14"/>
    <mergeCell ref="A15:A17"/>
    <mergeCell ref="A18:A20"/>
  </mergeCells>
  <phoneticPr fontId="12" type="noConversion"/>
  <hyperlinks>
    <hyperlink ref="E4" location="'审定表H10-1'!A1" display="审定表H10-1"/>
    <hyperlink ref="E5" location="'附注披露信息（上市公司）'!A1" display="附注披露信息（上市公司）"/>
    <hyperlink ref="E6" location="'附注披露信息（国企）'!A1" display="附注披露信息（国企）"/>
    <hyperlink ref="E7" location="'明细表H10-2'!A1" display="明细表H10-2"/>
    <hyperlink ref="E8" location="'调整分录汇总H10-3'!A1" display="调整分录汇总H10-3"/>
    <hyperlink ref="E9" location="'检查表H10-4'!A1" display="检查表H10-4"/>
    <hyperlink ref="E3" location="'资产处置损益实质性程序表H10A'!A1" display="资产处置损益实质性程序表H10A"/>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U21"/>
  <sheetViews>
    <sheetView view="pageBreakPreview" zoomScaleSheetLayoutView="100" workbookViewId="0">
      <selection sqref="A1:I1"/>
    </sheetView>
  </sheetViews>
  <sheetFormatPr defaultColWidth="9" defaultRowHeight="19.95" customHeight="1"/>
  <cols>
    <col min="1" max="1" width="4.3984375" style="126" customWidth="1"/>
    <col min="2" max="2" width="61.09765625" style="125" customWidth="1"/>
    <col min="3" max="3" width="8.8984375" style="125" customWidth="1"/>
    <col min="4" max="4" width="5.8984375" style="125" customWidth="1"/>
    <col min="5" max="5" width="8.09765625" style="125" customWidth="1"/>
    <col min="6" max="6" width="8" style="125" customWidth="1"/>
    <col min="7" max="7" width="6.19921875" style="125" customWidth="1"/>
    <col min="8" max="8" width="5.59765625" style="125" customWidth="1"/>
    <col min="9" max="9" width="8.3984375" style="125" customWidth="1"/>
    <col min="10" max="10" width="47" style="125" customWidth="1"/>
    <col min="11" max="11" width="14.59765625" style="125" customWidth="1"/>
    <col min="12" max="16384" width="9" style="125"/>
  </cols>
  <sheetData>
    <row r="1" spans="1:10" s="122" customFormat="1" ht="19.95" customHeight="1">
      <c r="A1" s="216" t="s">
        <v>160</v>
      </c>
      <c r="B1" s="216"/>
      <c r="C1" s="216"/>
      <c r="D1" s="216"/>
      <c r="E1" s="216"/>
      <c r="F1" s="216"/>
      <c r="G1" s="216"/>
      <c r="H1" s="216"/>
      <c r="I1" s="216"/>
    </row>
    <row r="2" spans="1:10" s="122" customFormat="1" ht="19.95" customHeight="1">
      <c r="A2" s="217" t="s">
        <v>169</v>
      </c>
      <c r="B2" s="217"/>
      <c r="C2" s="217"/>
      <c r="D2" s="217"/>
      <c r="E2" s="217"/>
      <c r="F2" s="217"/>
      <c r="G2" s="217"/>
      <c r="H2" s="217"/>
      <c r="I2" s="217"/>
    </row>
    <row r="3" spans="1:10" s="124" customFormat="1" ht="19.95" customHeight="1">
      <c r="A3" s="123" t="str">
        <f>底稿目录!A2</f>
        <v>被审计单位：</v>
      </c>
      <c r="B3" s="123"/>
      <c r="C3" s="123" t="str">
        <f>底稿目录!A4</f>
        <v>编制人：</v>
      </c>
      <c r="E3" s="124" t="str">
        <f>底稿目录!A6</f>
        <v>编制日期：</v>
      </c>
      <c r="H3" s="158" t="s">
        <v>164</v>
      </c>
      <c r="I3" s="132" t="s">
        <v>119</v>
      </c>
    </row>
    <row r="4" spans="1:10" s="124" customFormat="1" ht="19.95" customHeight="1">
      <c r="A4" s="123" t="str">
        <f>底稿目录!A3</f>
        <v>会计期间：202X年度</v>
      </c>
      <c r="B4" s="123"/>
      <c r="C4" s="123" t="str">
        <f>底稿目录!A5</f>
        <v>复核人：</v>
      </c>
      <c r="E4" s="124" t="str">
        <f>底稿目录!A7</f>
        <v>复核日期：</v>
      </c>
      <c r="H4" s="158" t="s">
        <v>165</v>
      </c>
    </row>
    <row r="5" spans="1:10" s="151" customFormat="1" ht="19.95" customHeight="1">
      <c r="A5" s="218" t="s">
        <v>226</v>
      </c>
      <c r="B5" s="218"/>
    </row>
    <row r="6" spans="1:10" s="151" customFormat="1" ht="19.95" customHeight="1">
      <c r="A6" s="152" t="s">
        <v>170</v>
      </c>
      <c r="B6" s="153"/>
    </row>
    <row r="7" spans="1:10" s="150" customFormat="1" ht="19.95" customHeight="1">
      <c r="A7" s="178" t="s">
        <v>225</v>
      </c>
      <c r="B7" s="154"/>
      <c r="C7" s="151"/>
      <c r="D7" s="151"/>
      <c r="E7" s="151"/>
      <c r="F7" s="151"/>
      <c r="G7" s="151"/>
      <c r="H7" s="151"/>
      <c r="I7" s="151"/>
    </row>
    <row r="8" spans="1:10" s="150" customFormat="1" ht="19.95" customHeight="1">
      <c r="A8" s="223" t="s">
        <v>176</v>
      </c>
      <c r="B8" s="223"/>
      <c r="C8" s="223"/>
      <c r="D8" s="223"/>
      <c r="E8" s="223"/>
      <c r="F8" s="223"/>
      <c r="G8" s="223" t="s">
        <v>155</v>
      </c>
      <c r="H8" s="223"/>
      <c r="I8" s="223"/>
    </row>
    <row r="9" spans="1:10" s="150" customFormat="1" ht="19.95" customHeight="1">
      <c r="A9" s="227" t="s">
        <v>228</v>
      </c>
      <c r="B9" s="227"/>
      <c r="C9" s="227"/>
      <c r="D9" s="227"/>
      <c r="E9" s="227"/>
      <c r="F9" s="227"/>
      <c r="G9" s="226" t="s">
        <v>38</v>
      </c>
      <c r="H9" s="226"/>
      <c r="I9" s="226"/>
    </row>
    <row r="10" spans="1:10" s="150" customFormat="1" ht="19.95" customHeight="1">
      <c r="A10" s="227" t="s">
        <v>230</v>
      </c>
      <c r="B10" s="227"/>
      <c r="C10" s="227"/>
      <c r="D10" s="227"/>
      <c r="E10" s="227"/>
      <c r="F10" s="227"/>
      <c r="G10" s="226" t="s">
        <v>171</v>
      </c>
      <c r="H10" s="226"/>
      <c r="I10" s="226"/>
    </row>
    <row r="11" spans="1:10" s="150" customFormat="1" ht="19.95" customHeight="1">
      <c r="A11" s="227" t="s">
        <v>231</v>
      </c>
      <c r="B11" s="227"/>
      <c r="C11" s="227"/>
      <c r="D11" s="227"/>
      <c r="E11" s="227"/>
      <c r="F11" s="227"/>
      <c r="G11" s="226" t="s">
        <v>39</v>
      </c>
      <c r="H11" s="226"/>
      <c r="I11" s="226"/>
    </row>
    <row r="12" spans="1:10" s="150" customFormat="1" ht="19.95" customHeight="1">
      <c r="A12" s="227" t="s">
        <v>229</v>
      </c>
      <c r="B12" s="227"/>
      <c r="C12" s="227"/>
      <c r="D12" s="227"/>
      <c r="E12" s="227"/>
      <c r="F12" s="227"/>
      <c r="G12" s="226" t="s">
        <v>172</v>
      </c>
      <c r="H12" s="226"/>
      <c r="I12" s="226"/>
    </row>
    <row r="13" spans="1:10" s="150" customFormat="1" ht="19.95" customHeight="1">
      <c r="A13" s="227" t="s">
        <v>232</v>
      </c>
      <c r="B13" s="227"/>
      <c r="C13" s="227"/>
      <c r="D13" s="227"/>
      <c r="E13" s="227"/>
      <c r="F13" s="227"/>
      <c r="G13" s="226" t="s">
        <v>161</v>
      </c>
      <c r="H13" s="226"/>
      <c r="I13" s="226"/>
    </row>
    <row r="14" spans="1:10" s="150" customFormat="1" ht="19.95" customHeight="1">
      <c r="A14" s="221" t="s">
        <v>227</v>
      </c>
      <c r="B14" s="221"/>
      <c r="C14" s="156"/>
    </row>
    <row r="15" spans="1:10" s="150" customFormat="1" ht="19.95" customHeight="1">
      <c r="A15" s="222" t="s">
        <v>175</v>
      </c>
      <c r="B15" s="224" t="s">
        <v>239</v>
      </c>
      <c r="C15" s="223" t="s">
        <v>174</v>
      </c>
      <c r="D15" s="222" t="s">
        <v>176</v>
      </c>
      <c r="E15" s="222"/>
      <c r="F15" s="222"/>
      <c r="G15" s="222"/>
      <c r="H15" s="222"/>
      <c r="I15" s="225" t="s">
        <v>177</v>
      </c>
    </row>
    <row r="16" spans="1:10" s="150" customFormat="1" ht="19.95" customHeight="1">
      <c r="A16" s="222"/>
      <c r="B16" s="224"/>
      <c r="C16" s="223"/>
      <c r="D16" s="157" t="s">
        <v>156</v>
      </c>
      <c r="E16" s="157" t="s">
        <v>152</v>
      </c>
      <c r="F16" s="157" t="s">
        <v>153</v>
      </c>
      <c r="G16" s="157" t="s">
        <v>154</v>
      </c>
      <c r="H16" s="157" t="s">
        <v>157</v>
      </c>
      <c r="I16" s="225"/>
      <c r="J16" s="197" t="s">
        <v>238</v>
      </c>
    </row>
    <row r="17" spans="1:21" s="124" customFormat="1" ht="39" customHeight="1">
      <c r="A17" s="159" t="s">
        <v>144</v>
      </c>
      <c r="B17" s="160" t="s">
        <v>178</v>
      </c>
      <c r="C17" s="170" t="s">
        <v>182</v>
      </c>
      <c r="D17" s="161" t="s">
        <v>166</v>
      </c>
      <c r="E17" s="161" t="s">
        <v>166</v>
      </c>
      <c r="F17" s="162" t="s">
        <v>163</v>
      </c>
      <c r="G17" s="161" t="s">
        <v>166</v>
      </c>
      <c r="H17" s="163"/>
      <c r="I17" s="164" t="s">
        <v>180</v>
      </c>
    </row>
    <row r="18" spans="1:21" s="124" customFormat="1" ht="54" customHeight="1">
      <c r="A18" s="159" t="s">
        <v>145</v>
      </c>
      <c r="B18" s="165" t="s">
        <v>158</v>
      </c>
      <c r="C18" s="170" t="s">
        <v>184</v>
      </c>
      <c r="D18" s="163"/>
      <c r="E18" s="161" t="s">
        <v>166</v>
      </c>
      <c r="F18" s="161" t="s">
        <v>166</v>
      </c>
      <c r="G18" s="163"/>
      <c r="H18" s="163"/>
      <c r="I18" s="166" t="s">
        <v>181</v>
      </c>
      <c r="J18" s="219" t="s">
        <v>167</v>
      </c>
      <c r="K18" s="220"/>
      <c r="L18" s="220"/>
      <c r="M18" s="220"/>
      <c r="N18" s="220"/>
      <c r="O18" s="220"/>
      <c r="P18" s="220"/>
      <c r="Q18" s="220"/>
      <c r="R18" s="220"/>
      <c r="S18" s="220"/>
      <c r="T18" s="220"/>
      <c r="U18" s="220"/>
    </row>
    <row r="19" spans="1:21" ht="27.6" customHeight="1">
      <c r="A19" s="159" t="s">
        <v>146</v>
      </c>
      <c r="B19" s="167" t="s">
        <v>179</v>
      </c>
      <c r="C19" s="155" t="s">
        <v>183</v>
      </c>
      <c r="D19" s="161" t="s">
        <v>166</v>
      </c>
      <c r="E19" s="161" t="s">
        <v>166</v>
      </c>
      <c r="F19" s="161" t="s">
        <v>166</v>
      </c>
      <c r="G19" s="162" t="s">
        <v>162</v>
      </c>
      <c r="H19" s="168"/>
      <c r="I19" s="102"/>
      <c r="J19" s="214" t="s">
        <v>185</v>
      </c>
      <c r="K19" s="215"/>
      <c r="L19" s="215"/>
    </row>
    <row r="20" spans="1:21" ht="28.2" customHeight="1">
      <c r="A20" s="159" t="s">
        <v>147</v>
      </c>
      <c r="B20" s="160" t="s">
        <v>173</v>
      </c>
      <c r="C20" s="171" t="s">
        <v>159</v>
      </c>
      <c r="D20" s="161" t="s">
        <v>166</v>
      </c>
      <c r="E20" s="161" t="s">
        <v>166</v>
      </c>
      <c r="F20" s="162" t="s">
        <v>163</v>
      </c>
      <c r="G20" s="161" t="s">
        <v>166</v>
      </c>
      <c r="H20" s="168"/>
      <c r="I20" s="102" t="s">
        <v>111</v>
      </c>
    </row>
    <row r="21" spans="1:21" ht="27.6">
      <c r="A21" s="159" t="s">
        <v>148</v>
      </c>
      <c r="B21" s="160" t="s">
        <v>40</v>
      </c>
      <c r="C21" s="171" t="s">
        <v>182</v>
      </c>
      <c r="D21" s="168"/>
      <c r="E21" s="168"/>
      <c r="F21" s="168"/>
      <c r="G21" s="168"/>
      <c r="H21" s="161" t="s">
        <v>166</v>
      </c>
      <c r="I21" s="169" t="s">
        <v>168</v>
      </c>
    </row>
  </sheetData>
  <mergeCells count="23">
    <mergeCell ref="G11:I11"/>
    <mergeCell ref="G12:I12"/>
    <mergeCell ref="A8:F8"/>
    <mergeCell ref="A9:F9"/>
    <mergeCell ref="A10:F10"/>
    <mergeCell ref="A11:F11"/>
    <mergeCell ref="A12:F12"/>
    <mergeCell ref="J19:L19"/>
    <mergeCell ref="A1:I1"/>
    <mergeCell ref="A2:I2"/>
    <mergeCell ref="A5:B5"/>
    <mergeCell ref="J18:U18"/>
    <mergeCell ref="A14:B14"/>
    <mergeCell ref="D15:H15"/>
    <mergeCell ref="A15:A16"/>
    <mergeCell ref="C15:C16"/>
    <mergeCell ref="B15:B16"/>
    <mergeCell ref="I15:I16"/>
    <mergeCell ref="G13:I13"/>
    <mergeCell ref="A13:F13"/>
    <mergeCell ref="G8:I8"/>
    <mergeCell ref="G9:I9"/>
    <mergeCell ref="G10:I10"/>
  </mergeCells>
  <phoneticPr fontId="12" type="noConversion"/>
  <hyperlinks>
    <hyperlink ref="I3" location="底稿目录!A1" display="H10A"/>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20"/>
  <sheetViews>
    <sheetView view="pageBreakPreview" zoomScaleSheetLayoutView="100" workbookViewId="0">
      <selection sqref="A1:K1"/>
    </sheetView>
  </sheetViews>
  <sheetFormatPr defaultColWidth="9" defaultRowHeight="19.95" customHeight="1"/>
  <cols>
    <col min="1" max="1" width="31.3984375" style="3" customWidth="1"/>
    <col min="2" max="2" width="15.5" style="3" customWidth="1"/>
    <col min="3" max="3" width="13.09765625" style="3" customWidth="1"/>
    <col min="4" max="4" width="11" style="3" customWidth="1"/>
    <col min="5" max="5" width="11.796875" style="3" customWidth="1"/>
    <col min="6" max="6" width="8.59765625" style="3" customWidth="1"/>
    <col min="7" max="10" width="14.69921875" style="3" customWidth="1"/>
    <col min="11" max="11" width="13.69921875" style="3" customWidth="1"/>
    <col min="12" max="16384" width="9" style="3"/>
  </cols>
  <sheetData>
    <row r="1" spans="1:11" s="29" customFormat="1" ht="19.95" customHeight="1">
      <c r="A1" s="230" t="s">
        <v>191</v>
      </c>
      <c r="B1" s="230"/>
      <c r="C1" s="230"/>
      <c r="D1" s="230"/>
      <c r="E1" s="230"/>
      <c r="F1" s="230"/>
      <c r="G1" s="230"/>
      <c r="H1" s="230"/>
      <c r="I1" s="230"/>
      <c r="J1" s="230"/>
      <c r="K1" s="230"/>
    </row>
    <row r="2" spans="1:11" s="29" customFormat="1" ht="19.95" customHeight="1">
      <c r="A2" s="231" t="s">
        <v>192</v>
      </c>
      <c r="B2" s="231"/>
      <c r="C2" s="231"/>
      <c r="D2" s="231"/>
      <c r="E2" s="231"/>
      <c r="F2" s="231"/>
      <c r="G2" s="231"/>
      <c r="H2" s="231"/>
      <c r="I2" s="231"/>
      <c r="J2" s="231"/>
      <c r="K2" s="231"/>
    </row>
    <row r="3" spans="1:11" ht="19.95" customHeight="1">
      <c r="A3" s="2" t="str">
        <f>底稿目录!A2</f>
        <v>被审计单位：</v>
      </c>
      <c r="C3" s="2" t="str">
        <f>底稿目录!A4</f>
        <v>编制人：</v>
      </c>
      <c r="H3" s="2" t="str">
        <f>底稿目录!A6</f>
        <v>编制日期：</v>
      </c>
      <c r="I3" s="2"/>
      <c r="J3" s="142" t="s">
        <v>142</v>
      </c>
      <c r="K3" s="131" t="s">
        <v>91</v>
      </c>
    </row>
    <row r="4" spans="1:11" ht="19.95" customHeight="1">
      <c r="A4" s="2" t="str">
        <f>底稿目录!A3</f>
        <v>会计期间：202X年度</v>
      </c>
      <c r="C4" s="2" t="str">
        <f>底稿目录!A5</f>
        <v>复核人：</v>
      </c>
      <c r="H4" s="2" t="str">
        <f>底稿目录!A7</f>
        <v>复核日期：</v>
      </c>
      <c r="I4" s="2"/>
      <c r="J4" s="142" t="s">
        <v>143</v>
      </c>
    </row>
    <row r="5" spans="1:11" ht="19.95" customHeight="1">
      <c r="A5" s="37" t="s">
        <v>84</v>
      </c>
      <c r="B5" s="37" t="s">
        <v>85</v>
      </c>
      <c r="C5" s="37" t="s">
        <v>86</v>
      </c>
      <c r="D5" s="37" t="s">
        <v>87</v>
      </c>
      <c r="E5" s="37" t="s">
        <v>88</v>
      </c>
      <c r="F5" s="37" t="s">
        <v>34</v>
      </c>
      <c r="G5" s="37" t="s">
        <v>89</v>
      </c>
      <c r="H5" s="37" t="s">
        <v>83</v>
      </c>
      <c r="I5" s="37" t="s">
        <v>26</v>
      </c>
      <c r="J5" s="37" t="s">
        <v>90</v>
      </c>
      <c r="K5" s="37" t="s">
        <v>35</v>
      </c>
    </row>
    <row r="6" spans="1:11" ht="24">
      <c r="A6" s="172" t="str">
        <f>'明细表H10-2'!A8</f>
        <v>持有待售的非流动资产（处置组）处置利得（损失以“-”填列）</v>
      </c>
      <c r="B6" s="85">
        <f>'明细表H10-2'!N8</f>
        <v>0</v>
      </c>
      <c r="C6" s="85">
        <f>'明细表H10-2'!O8</f>
        <v>0</v>
      </c>
      <c r="D6" s="85">
        <f>'明细表H10-2'!P8</f>
        <v>0</v>
      </c>
      <c r="E6" s="85">
        <f>B6+C6+D6</f>
        <v>0</v>
      </c>
      <c r="F6" s="4"/>
      <c r="G6" s="85">
        <f>'明细表H10-2'!U8</f>
        <v>0</v>
      </c>
      <c r="H6" s="85">
        <f>'明细表H10-2'!V8</f>
        <v>0</v>
      </c>
      <c r="I6" s="85">
        <f>'明细表H10-2'!W8</f>
        <v>0</v>
      </c>
      <c r="J6" s="82">
        <f>G6+H6+I6</f>
        <v>0</v>
      </c>
      <c r="K6" s="4"/>
    </row>
    <row r="7" spans="1:11" ht="19.95" customHeight="1">
      <c r="A7" s="172" t="str">
        <f>'明细表H10-2'!A9</f>
        <v>固定资产处置利得（损失以“-”填列）</v>
      </c>
      <c r="B7" s="85">
        <f>'明细表H10-2'!N9</f>
        <v>0</v>
      </c>
      <c r="C7" s="85">
        <f>'明细表H10-2'!O9</f>
        <v>0</v>
      </c>
      <c r="D7" s="85">
        <f>'明细表H10-2'!P9</f>
        <v>0</v>
      </c>
      <c r="E7" s="85">
        <f t="shared" ref="E7:E12" si="0">B7+C7+D7</f>
        <v>0</v>
      </c>
      <c r="F7" s="5"/>
      <c r="G7" s="85">
        <f>'明细表H10-2'!U9</f>
        <v>0</v>
      </c>
      <c r="H7" s="85">
        <f>'明细表H10-2'!V9</f>
        <v>0</v>
      </c>
      <c r="I7" s="85">
        <f>'明细表H10-2'!W9</f>
        <v>0</v>
      </c>
      <c r="J7" s="82">
        <f t="shared" ref="J7:J12" si="1">G7+H7+I7</f>
        <v>0</v>
      </c>
      <c r="K7" s="4"/>
    </row>
    <row r="8" spans="1:11" ht="19.95" customHeight="1">
      <c r="A8" s="172" t="str">
        <f>'明细表H10-2'!A10</f>
        <v>在建工程处置利得（损失以“-”填列）</v>
      </c>
      <c r="B8" s="85">
        <f>'明细表H10-2'!N10</f>
        <v>0</v>
      </c>
      <c r="C8" s="85">
        <f>'明细表H10-2'!O10</f>
        <v>0</v>
      </c>
      <c r="D8" s="85">
        <f>'明细表H10-2'!P10</f>
        <v>0</v>
      </c>
      <c r="E8" s="85">
        <f t="shared" si="0"/>
        <v>0</v>
      </c>
      <c r="F8" s="5"/>
      <c r="G8" s="85">
        <f>'明细表H10-2'!U10</f>
        <v>0</v>
      </c>
      <c r="H8" s="85">
        <f>'明细表H10-2'!V10</f>
        <v>0</v>
      </c>
      <c r="I8" s="85">
        <f>'明细表H10-2'!W10</f>
        <v>0</v>
      </c>
      <c r="J8" s="82">
        <f t="shared" si="1"/>
        <v>0</v>
      </c>
      <c r="K8" s="4"/>
    </row>
    <row r="9" spans="1:11" ht="24">
      <c r="A9" s="172" t="str">
        <f>'明细表H10-2'!A11</f>
        <v>生产性生物资产处置利得（损失以“-”填列）</v>
      </c>
      <c r="B9" s="85">
        <f>'明细表H10-2'!N11</f>
        <v>0</v>
      </c>
      <c r="C9" s="85">
        <f>'明细表H10-2'!O11</f>
        <v>0</v>
      </c>
      <c r="D9" s="85">
        <f>'明细表H10-2'!P11</f>
        <v>0</v>
      </c>
      <c r="E9" s="85">
        <f t="shared" si="0"/>
        <v>0</v>
      </c>
      <c r="F9" s="4"/>
      <c r="G9" s="85">
        <f>'明细表H10-2'!U11</f>
        <v>0</v>
      </c>
      <c r="H9" s="85">
        <f>'明细表H10-2'!V11</f>
        <v>0</v>
      </c>
      <c r="I9" s="85">
        <f>'明细表H10-2'!W11</f>
        <v>0</v>
      </c>
      <c r="J9" s="82">
        <f t="shared" si="1"/>
        <v>0</v>
      </c>
      <c r="K9" s="4"/>
    </row>
    <row r="10" spans="1:11" ht="19.95" customHeight="1">
      <c r="A10" s="172" t="str">
        <f>'明细表H10-2'!A12</f>
        <v>无形资产处置利得（损失以“-”填列）</v>
      </c>
      <c r="B10" s="85">
        <f>'明细表H10-2'!N12</f>
        <v>0</v>
      </c>
      <c r="C10" s="85">
        <f>'明细表H10-2'!O12</f>
        <v>0</v>
      </c>
      <c r="D10" s="85">
        <f>'明细表H10-2'!P12</f>
        <v>0</v>
      </c>
      <c r="E10" s="85">
        <f t="shared" si="0"/>
        <v>0</v>
      </c>
      <c r="F10" s="4"/>
      <c r="G10" s="85">
        <f>'明细表H10-2'!U12</f>
        <v>0</v>
      </c>
      <c r="H10" s="85">
        <f>'明细表H10-2'!V12</f>
        <v>0</v>
      </c>
      <c r="I10" s="85">
        <f>'明细表H10-2'!W12</f>
        <v>0</v>
      </c>
      <c r="J10" s="82">
        <f>G10+H10+I10</f>
        <v>0</v>
      </c>
      <c r="K10" s="4"/>
    </row>
    <row r="11" spans="1:11" ht="24">
      <c r="A11" s="172" t="str">
        <f>'明细表H10-2'!A13</f>
        <v>债务重组中因处置非流动资产产生的利得（损失以“-”填列）</v>
      </c>
      <c r="B11" s="85">
        <f>'明细表H10-2'!N13</f>
        <v>0</v>
      </c>
      <c r="C11" s="85">
        <f>'明细表H10-2'!O13</f>
        <v>0</v>
      </c>
      <c r="D11" s="85">
        <f>'明细表H10-2'!P13</f>
        <v>0</v>
      </c>
      <c r="E11" s="85">
        <f t="shared" si="0"/>
        <v>0</v>
      </c>
      <c r="F11" s="4"/>
      <c r="G11" s="85">
        <f>'明细表H10-2'!U13</f>
        <v>0</v>
      </c>
      <c r="H11" s="85">
        <f>'明细表H10-2'!V13</f>
        <v>0</v>
      </c>
      <c r="I11" s="85">
        <f>'明细表H10-2'!W13</f>
        <v>0</v>
      </c>
      <c r="J11" s="82">
        <f t="shared" si="1"/>
        <v>0</v>
      </c>
      <c r="K11" s="4"/>
    </row>
    <row r="12" spans="1:11" ht="24">
      <c r="A12" s="172" t="str">
        <f>'明细表H10-2'!A14</f>
        <v>非货币性资产交换产生的利得（损失以“-”填列）</v>
      </c>
      <c r="B12" s="85">
        <f>'明细表H10-2'!N14</f>
        <v>0</v>
      </c>
      <c r="C12" s="85">
        <f>'明细表H10-2'!O14</f>
        <v>0</v>
      </c>
      <c r="D12" s="85">
        <f>'明细表H10-2'!P14</f>
        <v>0</v>
      </c>
      <c r="E12" s="85">
        <f t="shared" si="0"/>
        <v>0</v>
      </c>
      <c r="F12" s="4"/>
      <c r="G12" s="85">
        <f>'明细表H10-2'!U14</f>
        <v>0</v>
      </c>
      <c r="H12" s="85">
        <f>'明细表H10-2'!V14</f>
        <v>0</v>
      </c>
      <c r="I12" s="85">
        <f>'明细表H10-2'!W14</f>
        <v>0</v>
      </c>
      <c r="J12" s="82">
        <f t="shared" si="1"/>
        <v>0</v>
      </c>
      <c r="K12" s="4"/>
    </row>
    <row r="13" spans="1:11" ht="19.95" customHeight="1">
      <c r="A13" s="172">
        <f>'明细表H10-2'!A15</f>
        <v>0</v>
      </c>
      <c r="B13" s="85">
        <f>'明细表H10-2'!N15</f>
        <v>0</v>
      </c>
      <c r="C13" s="85">
        <f>'明细表H10-2'!O15</f>
        <v>0</v>
      </c>
      <c r="D13" s="85">
        <f>'明细表H10-2'!P15</f>
        <v>0</v>
      </c>
      <c r="E13" s="85">
        <f t="shared" ref="E13:E14" si="2">B13+C13+D13</f>
        <v>0</v>
      </c>
      <c r="F13" s="4"/>
      <c r="G13" s="85">
        <f>'明细表H10-2'!U15</f>
        <v>0</v>
      </c>
      <c r="H13" s="85">
        <f>'明细表H10-2'!V15</f>
        <v>0</v>
      </c>
      <c r="I13" s="85">
        <f>'明细表H10-2'!W15</f>
        <v>0</v>
      </c>
      <c r="J13" s="82">
        <f t="shared" ref="J13:J14" si="3">G13+H13+I13</f>
        <v>0</v>
      </c>
      <c r="K13" s="4"/>
    </row>
    <row r="14" spans="1:11" ht="19.95" customHeight="1">
      <c r="A14" s="172">
        <f>'明细表H10-2'!A16</f>
        <v>0</v>
      </c>
      <c r="B14" s="85">
        <f>'明细表H10-2'!N16</f>
        <v>0</v>
      </c>
      <c r="C14" s="85">
        <f>'明细表H10-2'!O16</f>
        <v>0</v>
      </c>
      <c r="D14" s="85">
        <f>'明细表H10-2'!P16</f>
        <v>0</v>
      </c>
      <c r="E14" s="85">
        <f t="shared" si="2"/>
        <v>0</v>
      </c>
      <c r="F14" s="4"/>
      <c r="G14" s="85">
        <f>'明细表H10-2'!U16</f>
        <v>0</v>
      </c>
      <c r="H14" s="85">
        <f>'明细表H10-2'!V16</f>
        <v>0</v>
      </c>
      <c r="I14" s="85">
        <f>'明细表H10-2'!W16</f>
        <v>0</v>
      </c>
      <c r="J14" s="82">
        <f t="shared" si="3"/>
        <v>0</v>
      </c>
      <c r="K14" s="4"/>
    </row>
    <row r="15" spans="1:11" s="6" customFormat="1" ht="19.95" customHeight="1">
      <c r="A15" s="45" t="s">
        <v>27</v>
      </c>
      <c r="B15" s="82">
        <f>SUM(B6:B14)</f>
        <v>0</v>
      </c>
      <c r="C15" s="82">
        <f t="shared" ref="C15:E15" si="4">SUM(C6:C14)</f>
        <v>0</v>
      </c>
      <c r="D15" s="82">
        <f t="shared" si="4"/>
        <v>0</v>
      </c>
      <c r="E15" s="82">
        <f t="shared" si="4"/>
        <v>0</v>
      </c>
      <c r="F15" s="4"/>
      <c r="G15" s="82">
        <f>SUM(G6:G14)</f>
        <v>0</v>
      </c>
      <c r="H15" s="82">
        <f t="shared" ref="H15" si="5">SUM(H6:H14)</f>
        <v>0</v>
      </c>
      <c r="I15" s="82">
        <f t="shared" ref="I15" si="6">SUM(I6:I14)</f>
        <v>0</v>
      </c>
      <c r="J15" s="82">
        <f t="shared" ref="J15" si="7">SUM(J6:J14)</f>
        <v>0</v>
      </c>
      <c r="K15" s="4"/>
    </row>
    <row r="16" spans="1:11" ht="19.95" customHeight="1">
      <c r="A16" s="173" t="s">
        <v>187</v>
      </c>
      <c r="B16" s="49"/>
      <c r="C16" s="49"/>
      <c r="D16" s="49"/>
      <c r="E16" s="86"/>
      <c r="F16" s="49"/>
      <c r="G16" s="49"/>
      <c r="H16" s="49"/>
      <c r="I16" s="49"/>
      <c r="J16" s="86"/>
    </row>
    <row r="17" spans="1:11" ht="19.95" customHeight="1">
      <c r="A17" s="173" t="s">
        <v>186</v>
      </c>
      <c r="B17" s="49"/>
      <c r="C17" s="49"/>
      <c r="D17" s="49"/>
      <c r="E17" s="87">
        <f>E15-E16</f>
        <v>0</v>
      </c>
      <c r="F17" s="49"/>
      <c r="G17" s="49"/>
      <c r="H17" s="49"/>
      <c r="I17" s="49"/>
      <c r="J17" s="87">
        <f>J15-J16</f>
        <v>0</v>
      </c>
    </row>
    <row r="18" spans="1:11" ht="19.95" customHeight="1">
      <c r="A18" s="47" t="s">
        <v>151</v>
      </c>
    </row>
    <row r="19" spans="1:11" ht="32.4" customHeight="1">
      <c r="A19" s="229" t="s">
        <v>189</v>
      </c>
      <c r="B19" s="229"/>
      <c r="C19" s="229"/>
      <c r="D19" s="229"/>
      <c r="E19" s="229"/>
      <c r="F19" s="229"/>
      <c r="G19" s="229"/>
      <c r="H19" s="229"/>
      <c r="I19" s="229"/>
      <c r="J19" s="229"/>
      <c r="K19" s="229"/>
    </row>
    <row r="20" spans="1:11" ht="19.95" customHeight="1">
      <c r="A20" s="228" t="s">
        <v>188</v>
      </c>
      <c r="B20" s="228"/>
      <c r="C20" s="228"/>
      <c r="D20" s="228"/>
      <c r="E20" s="228"/>
      <c r="F20" s="228"/>
      <c r="G20" s="228"/>
      <c r="H20" s="228"/>
      <c r="I20" s="228"/>
      <c r="J20" s="228"/>
      <c r="K20" s="228"/>
    </row>
  </sheetData>
  <mergeCells count="4">
    <mergeCell ref="A20:K20"/>
    <mergeCell ref="A19:K19"/>
    <mergeCell ref="A1:K1"/>
    <mergeCell ref="A2:K2"/>
  </mergeCells>
  <phoneticPr fontId="12" type="noConversion"/>
  <hyperlinks>
    <hyperlink ref="K3" location="底稿目录!A1" display="H10"/>
  </hyperlinks>
  <printOptions horizontalCentered="1"/>
  <pageMargins left="0.70866141732283472" right="0.70866141732283472" top="0.74803149606299213" bottom="0.74803149606299213" header="0.31496062992125984" footer="0.31496062992125984"/>
  <pageSetup paperSize="9" scale="75"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Q30"/>
  <sheetViews>
    <sheetView view="pageBreakPreview" zoomScaleNormal="100" zoomScaleSheetLayoutView="100" workbookViewId="0">
      <selection sqref="A1:E1"/>
    </sheetView>
  </sheetViews>
  <sheetFormatPr defaultColWidth="9" defaultRowHeight="13.8"/>
  <cols>
    <col min="1" max="1" width="36.5" style="10" customWidth="1"/>
    <col min="2" max="5" width="15.3984375" style="10" customWidth="1"/>
    <col min="6" max="16384" width="9" style="10"/>
  </cols>
  <sheetData>
    <row r="1" spans="1:17" s="29" customFormat="1" ht="20.100000000000001" customHeight="1">
      <c r="A1" s="236" t="s">
        <v>137</v>
      </c>
      <c r="B1" s="236"/>
      <c r="C1" s="236"/>
      <c r="D1" s="236"/>
      <c r="E1" s="236"/>
      <c r="F1" s="31"/>
      <c r="G1" s="31"/>
      <c r="H1" s="31"/>
      <c r="I1" s="31"/>
      <c r="J1" s="31"/>
      <c r="K1" s="31"/>
      <c r="L1" s="31"/>
      <c r="M1" s="31"/>
      <c r="N1" s="31"/>
      <c r="O1" s="31"/>
      <c r="P1" s="31"/>
      <c r="Q1" s="31"/>
    </row>
    <row r="2" spans="1:17" s="1" customFormat="1" ht="25.05" customHeight="1">
      <c r="A2" s="231" t="s">
        <v>37</v>
      </c>
      <c r="B2" s="237"/>
      <c r="C2" s="237"/>
      <c r="D2" s="237"/>
      <c r="E2" s="237"/>
      <c r="F2" s="42"/>
      <c r="G2" s="42"/>
      <c r="H2" s="42"/>
      <c r="I2" s="42"/>
      <c r="J2" s="42"/>
      <c r="K2" s="236"/>
      <c r="L2" s="236"/>
      <c r="M2" s="236"/>
      <c r="N2" s="236"/>
      <c r="O2" s="236"/>
      <c r="P2" s="236"/>
      <c r="Q2" s="236"/>
    </row>
    <row r="3" spans="1:17" ht="20.100000000000001" customHeight="1">
      <c r="A3" s="9" t="str">
        <f>底稿目录!A2</f>
        <v>被审计单位：</v>
      </c>
      <c r="B3" s="9" t="str">
        <f>底稿目录!A4</f>
        <v>编制人：</v>
      </c>
      <c r="C3" s="9" t="str">
        <f>底稿目录!A6</f>
        <v>编制日期：</v>
      </c>
      <c r="D3" s="9"/>
      <c r="E3" s="143" t="s">
        <v>142</v>
      </c>
      <c r="F3" s="133" t="s">
        <v>121</v>
      </c>
      <c r="O3" s="9"/>
      <c r="P3" s="9"/>
      <c r="Q3" s="9"/>
    </row>
    <row r="4" spans="1:17" ht="20.100000000000001" customHeight="1">
      <c r="A4" s="9" t="str">
        <f>底稿目录!A3</f>
        <v>会计期间：202X年度</v>
      </c>
      <c r="B4" s="9" t="str">
        <f>底稿目录!A5</f>
        <v>复核人：</v>
      </c>
      <c r="C4" s="9" t="str">
        <f>底稿目录!A7</f>
        <v>复核日期：</v>
      </c>
      <c r="D4" s="9"/>
      <c r="E4" s="143" t="s">
        <v>143</v>
      </c>
      <c r="H4" s="9"/>
      <c r="O4" s="9"/>
      <c r="P4" s="9"/>
      <c r="Q4" s="9"/>
    </row>
    <row r="5" spans="1:17" ht="20.100000000000001" customHeight="1">
      <c r="A5" s="30" t="s">
        <v>30</v>
      </c>
    </row>
    <row r="6" spans="1:17" s="43" customFormat="1" ht="15.6">
      <c r="A6" s="10"/>
      <c r="B6" s="10"/>
      <c r="C6" s="10"/>
      <c r="D6" s="10"/>
    </row>
    <row r="7" spans="1:17" s="43" customFormat="1" ht="16.2" thickBot="1">
      <c r="A7" s="55" t="s">
        <v>46</v>
      </c>
      <c r="B7" s="10"/>
      <c r="C7" s="10"/>
      <c r="D7" s="10"/>
    </row>
    <row r="8" spans="1:17" s="43" customFormat="1" ht="16.2" thickBot="1">
      <c r="A8" s="56" t="s">
        <v>47</v>
      </c>
      <c r="B8" s="57" t="s">
        <v>31</v>
      </c>
      <c r="C8" s="57" t="s">
        <v>32</v>
      </c>
      <c r="D8" s="10"/>
    </row>
    <row r="9" spans="1:17" s="43" customFormat="1" ht="28.8">
      <c r="A9" s="58" t="s">
        <v>48</v>
      </c>
      <c r="B9" s="59"/>
      <c r="C9" s="59"/>
      <c r="D9" s="10"/>
    </row>
    <row r="10" spans="1:17" s="43" customFormat="1" ht="40.5" customHeight="1">
      <c r="A10" s="58" t="s">
        <v>49</v>
      </c>
      <c r="B10" s="59"/>
      <c r="C10" s="59"/>
      <c r="D10" s="10"/>
    </row>
    <row r="11" spans="1:17" s="43" customFormat="1" ht="15.6">
      <c r="A11" s="58" t="s">
        <v>50</v>
      </c>
      <c r="B11" s="59"/>
      <c r="C11" s="59"/>
      <c r="D11" s="10"/>
    </row>
    <row r="12" spans="1:17" s="43" customFormat="1" ht="28.8">
      <c r="A12" s="58" t="s">
        <v>51</v>
      </c>
      <c r="B12" s="59"/>
      <c r="C12" s="59"/>
      <c r="D12" s="10"/>
    </row>
    <row r="13" spans="1:17" s="43" customFormat="1" ht="15.6">
      <c r="A13" s="58" t="s">
        <v>52</v>
      </c>
      <c r="B13" s="59"/>
      <c r="C13" s="59"/>
      <c r="D13" s="10"/>
    </row>
    <row r="14" spans="1:17" s="43" customFormat="1" ht="28.8">
      <c r="A14" s="58" t="s">
        <v>53</v>
      </c>
      <c r="B14" s="59"/>
      <c r="C14" s="59"/>
      <c r="D14" s="10"/>
    </row>
    <row r="15" spans="1:17" s="43" customFormat="1" ht="15.6">
      <c r="A15" s="60" t="s">
        <v>54</v>
      </c>
      <c r="B15" s="59"/>
      <c r="C15" s="59"/>
      <c r="D15" s="10"/>
    </row>
    <row r="16" spans="1:17" s="43" customFormat="1" ht="16.2" thickBot="1">
      <c r="A16" s="61" t="s">
        <v>55</v>
      </c>
      <c r="B16" s="62"/>
      <c r="C16" s="62"/>
    </row>
    <row r="17" spans="1:5" ht="15" thickBot="1">
      <c r="A17" s="63" t="s">
        <v>56</v>
      </c>
      <c r="B17" s="64"/>
      <c r="C17" s="64"/>
    </row>
    <row r="19" spans="1:5" ht="15.6">
      <c r="A19" s="65" t="s">
        <v>57</v>
      </c>
    </row>
    <row r="20" spans="1:5" ht="45.6" customHeight="1">
      <c r="A20" s="232" t="s">
        <v>58</v>
      </c>
      <c r="B20" s="232"/>
      <c r="C20" s="232"/>
      <c r="D20" s="232"/>
      <c r="E20" s="232"/>
    </row>
    <row r="21" spans="1:5" ht="45.6" customHeight="1">
      <c r="A21" s="232" t="s">
        <v>59</v>
      </c>
      <c r="B21" s="232"/>
      <c r="C21" s="232"/>
      <c r="D21" s="232"/>
      <c r="E21" s="232"/>
    </row>
    <row r="22" spans="1:5" ht="45.6" customHeight="1">
      <c r="A22" s="232" t="s">
        <v>60</v>
      </c>
      <c r="B22" s="232"/>
      <c r="C22" s="232"/>
      <c r="D22" s="232"/>
      <c r="E22" s="232"/>
    </row>
    <row r="23" spans="1:5" ht="16.2">
      <c r="A23" s="54" t="s">
        <v>61</v>
      </c>
    </row>
    <row r="24" spans="1:5" ht="94.8" customHeight="1" thickBot="1">
      <c r="A24" s="232" t="s">
        <v>62</v>
      </c>
      <c r="B24" s="232"/>
      <c r="C24" s="232"/>
      <c r="D24" s="232"/>
      <c r="E24" s="232"/>
    </row>
    <row r="25" spans="1:5" ht="16.2" thickBot="1">
      <c r="A25" s="233" t="s">
        <v>63</v>
      </c>
      <c r="B25" s="235" t="s">
        <v>31</v>
      </c>
      <c r="C25" s="235"/>
      <c r="D25" s="235" t="s">
        <v>32</v>
      </c>
      <c r="E25" s="235"/>
    </row>
    <row r="26" spans="1:5" ht="16.2" thickBot="1">
      <c r="A26" s="234"/>
      <c r="B26" s="66" t="s">
        <v>42</v>
      </c>
      <c r="C26" s="67" t="s">
        <v>43</v>
      </c>
      <c r="D26" s="66" t="s">
        <v>42</v>
      </c>
      <c r="E26" s="66" t="s">
        <v>43</v>
      </c>
    </row>
    <row r="27" spans="1:5" ht="15.6">
      <c r="A27" s="68" t="s">
        <v>44</v>
      </c>
      <c r="B27" s="69"/>
      <c r="C27" s="69"/>
      <c r="D27" s="69"/>
      <c r="E27" s="69"/>
    </row>
    <row r="28" spans="1:5" ht="16.2" thickBot="1">
      <c r="A28" s="70" t="s">
        <v>45</v>
      </c>
      <c r="B28" s="71"/>
      <c r="C28" s="71"/>
      <c r="D28" s="71"/>
      <c r="E28" s="71"/>
    </row>
    <row r="29" spans="1:5" ht="16.8" thickBot="1">
      <c r="A29" s="72" t="s">
        <v>64</v>
      </c>
      <c r="B29" s="71"/>
      <c r="C29" s="71"/>
      <c r="D29" s="71"/>
      <c r="E29" s="71"/>
    </row>
    <row r="30" spans="1:5" ht="15.6">
      <c r="A30" s="65" t="s">
        <v>65</v>
      </c>
    </row>
  </sheetData>
  <mergeCells count="10">
    <mergeCell ref="A1:E1"/>
    <mergeCell ref="A2:E2"/>
    <mergeCell ref="K2:Q2"/>
    <mergeCell ref="A20:E20"/>
    <mergeCell ref="A21:E21"/>
    <mergeCell ref="A22:E22"/>
    <mergeCell ref="A24:E24"/>
    <mergeCell ref="A25:A26"/>
    <mergeCell ref="B25:C25"/>
    <mergeCell ref="D25:E25"/>
  </mergeCells>
  <phoneticPr fontId="12" type="noConversion"/>
  <hyperlinks>
    <hyperlink ref="F3" location="底稿目录!A1" display="返回目录"/>
  </hyperlinks>
  <printOptions horizontalCentered="1"/>
  <pageMargins left="0.70866141732283472" right="0.70866141732283472" top="0.74803149606299213" bottom="0.74803149606299213" header="0.31496062992125984" footer="0.31496062992125984"/>
  <pageSetup paperSize="9" scale="83" fitToHeight="100" orientation="portrait" blackAndWhite="1" cellComments="atEnd"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22"/>
  <sheetViews>
    <sheetView view="pageBreakPreview" zoomScaleSheetLayoutView="100" workbookViewId="0">
      <selection sqref="A1:D1"/>
    </sheetView>
  </sheetViews>
  <sheetFormatPr defaultColWidth="9" defaultRowHeight="15.6"/>
  <cols>
    <col min="1" max="2" width="31.296875" style="43" customWidth="1"/>
    <col min="3" max="3" width="26.19921875" style="43" customWidth="1"/>
    <col min="4" max="4" width="16" style="43" customWidth="1"/>
    <col min="5" max="16384" width="9" style="43"/>
  </cols>
  <sheetData>
    <row r="1" spans="1:5" ht="20.100000000000001" customHeight="1">
      <c r="A1" s="236" t="s">
        <v>137</v>
      </c>
      <c r="B1" s="236"/>
      <c r="C1" s="236"/>
      <c r="D1" s="236"/>
    </row>
    <row r="2" spans="1:5" ht="25.05" customHeight="1">
      <c r="A2" s="231" t="s">
        <v>36</v>
      </c>
      <c r="B2" s="237"/>
      <c r="C2" s="237"/>
      <c r="D2" s="237"/>
    </row>
    <row r="3" spans="1:5" ht="20.100000000000001" customHeight="1">
      <c r="A3" s="9" t="str">
        <f>底稿目录!A2</f>
        <v>被审计单位：</v>
      </c>
      <c r="B3" s="9" t="str">
        <f>底稿目录!A4</f>
        <v>编制人：</v>
      </c>
      <c r="C3" s="9" t="str">
        <f>底稿目录!A6</f>
        <v>编制日期：</v>
      </c>
      <c r="D3" s="143" t="s">
        <v>142</v>
      </c>
      <c r="E3" s="133" t="s">
        <v>121</v>
      </c>
    </row>
    <row r="4" spans="1:5" ht="20.100000000000001" customHeight="1">
      <c r="A4" s="9" t="str">
        <f>底稿目录!A3</f>
        <v>会计期间：202X年度</v>
      </c>
      <c r="B4" s="9" t="str">
        <f>底稿目录!A5</f>
        <v>复核人：</v>
      </c>
      <c r="C4" s="9" t="str">
        <f>底稿目录!A7</f>
        <v>复核日期：</v>
      </c>
      <c r="D4" s="143" t="s">
        <v>143</v>
      </c>
      <c r="E4" s="10"/>
    </row>
    <row r="5" spans="1:5" s="53" customFormat="1" ht="20.100000000000001" customHeight="1">
      <c r="A5" s="52" t="s">
        <v>33</v>
      </c>
      <c r="B5" s="52"/>
    </row>
    <row r="7" spans="1:5" ht="16.2" thickBot="1">
      <c r="A7" s="43" t="s">
        <v>66</v>
      </c>
    </row>
    <row r="8" spans="1:5" ht="29.4" thickBot="1">
      <c r="A8" s="73" t="s">
        <v>67</v>
      </c>
      <c r="B8" s="74" t="s">
        <v>31</v>
      </c>
      <c r="C8" s="74" t="s">
        <v>32</v>
      </c>
      <c r="D8" s="74" t="s">
        <v>68</v>
      </c>
    </row>
    <row r="9" spans="1:5" ht="28.8">
      <c r="A9" s="75" t="s">
        <v>69</v>
      </c>
      <c r="B9" s="76"/>
      <c r="C9" s="76"/>
      <c r="D9" s="76"/>
    </row>
    <row r="10" spans="1:5">
      <c r="A10" s="75" t="s">
        <v>70</v>
      </c>
      <c r="B10" s="76"/>
      <c r="C10" s="76"/>
      <c r="D10" s="76"/>
    </row>
    <row r="11" spans="1:5">
      <c r="A11" s="75" t="s">
        <v>71</v>
      </c>
      <c r="B11" s="76"/>
      <c r="C11" s="76"/>
      <c r="D11" s="76"/>
    </row>
    <row r="12" spans="1:5">
      <c r="A12" s="75" t="s">
        <v>72</v>
      </c>
      <c r="B12" s="76"/>
      <c r="C12" s="76"/>
      <c r="D12" s="76"/>
    </row>
    <row r="13" spans="1:5">
      <c r="A13" s="75" t="s">
        <v>73</v>
      </c>
      <c r="B13" s="76"/>
      <c r="C13" s="76"/>
      <c r="D13" s="76"/>
    </row>
    <row r="14" spans="1:5">
      <c r="A14" s="75" t="s">
        <v>74</v>
      </c>
      <c r="B14" s="76"/>
      <c r="C14" s="76"/>
      <c r="D14" s="76"/>
    </row>
    <row r="15" spans="1:5">
      <c r="A15" s="81" t="s">
        <v>54</v>
      </c>
      <c r="B15" s="76"/>
      <c r="C15" s="76"/>
      <c r="D15" s="76"/>
    </row>
    <row r="16" spans="1:5" ht="16.2" thickBot="1">
      <c r="A16" s="77"/>
      <c r="B16" s="78"/>
      <c r="C16" s="78"/>
      <c r="D16" s="78"/>
    </row>
    <row r="17" spans="1:4" ht="16.2" thickBot="1">
      <c r="A17" s="79" t="s">
        <v>75</v>
      </c>
      <c r="B17" s="80"/>
      <c r="C17" s="80"/>
      <c r="D17" s="80"/>
    </row>
    <row r="19" spans="1:4" ht="74.400000000000006" customHeight="1">
      <c r="A19" s="238" t="s">
        <v>76</v>
      </c>
      <c r="B19" s="238"/>
      <c r="C19" s="238"/>
      <c r="D19" s="238"/>
    </row>
    <row r="20" spans="1:4" ht="48" customHeight="1">
      <c r="A20" s="238" t="s">
        <v>77</v>
      </c>
      <c r="B20" s="238"/>
      <c r="C20" s="238"/>
      <c r="D20" s="238"/>
    </row>
    <row r="21" spans="1:4" ht="48" customHeight="1">
      <c r="A21" s="238" t="s">
        <v>78</v>
      </c>
      <c r="B21" s="238"/>
      <c r="C21" s="238"/>
      <c r="D21" s="238"/>
    </row>
    <row r="22" spans="1:4" ht="48" customHeight="1">
      <c r="A22" s="238" t="s">
        <v>79</v>
      </c>
      <c r="B22" s="238"/>
      <c r="C22" s="238"/>
      <c r="D22" s="238"/>
    </row>
  </sheetData>
  <mergeCells count="6">
    <mergeCell ref="A1:D1"/>
    <mergeCell ref="A19:D19"/>
    <mergeCell ref="A20:D20"/>
    <mergeCell ref="A21:D21"/>
    <mergeCell ref="A22:D22"/>
    <mergeCell ref="A2:D2"/>
  </mergeCells>
  <phoneticPr fontId="12" type="noConversion"/>
  <hyperlinks>
    <hyperlink ref="E3" location="底稿目录!A1" display="返回目录"/>
  </hyperlinks>
  <pageMargins left="0.70866141732283472" right="0.70866141732283472" top="0.74803149606299213" bottom="0.74803149606299213" header="0.31496062992125984" footer="0.31496062992125984"/>
  <pageSetup paperSize="9" scale="59"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Z36"/>
  <sheetViews>
    <sheetView view="pageBreakPreview" zoomScaleSheetLayoutView="100" workbookViewId="0">
      <selection sqref="A1:Z1"/>
    </sheetView>
  </sheetViews>
  <sheetFormatPr defaultColWidth="9" defaultRowHeight="13.8"/>
  <cols>
    <col min="1" max="1" width="29.296875" style="10" customWidth="1"/>
    <col min="2" max="13" width="6.69921875" style="10" customWidth="1"/>
    <col min="14" max="17" width="9.296875" style="10" customWidth="1"/>
    <col min="18" max="19" width="10.59765625" style="10" customWidth="1"/>
    <col min="20" max="20" width="6.69921875" style="10" bestFit="1" customWidth="1"/>
    <col min="21" max="24" width="8.09765625" style="10" customWidth="1"/>
    <col min="25" max="25" width="6.5" style="34" customWidth="1"/>
    <col min="26" max="26" width="7.296875" style="34" customWidth="1"/>
    <col min="27" max="16384" width="9" style="10"/>
  </cols>
  <sheetData>
    <row r="1" spans="1:26" s="1" customFormat="1" ht="20.100000000000001" customHeight="1">
      <c r="A1" s="230" t="s">
        <v>191</v>
      </c>
      <c r="B1" s="230"/>
      <c r="C1" s="230"/>
      <c r="D1" s="230"/>
      <c r="E1" s="230"/>
      <c r="F1" s="230"/>
      <c r="G1" s="230"/>
      <c r="H1" s="230"/>
      <c r="I1" s="230"/>
      <c r="J1" s="230"/>
      <c r="K1" s="230"/>
      <c r="L1" s="230"/>
      <c r="M1" s="230"/>
      <c r="N1" s="230"/>
      <c r="O1" s="230"/>
      <c r="P1" s="230"/>
      <c r="Q1" s="230"/>
      <c r="R1" s="230"/>
      <c r="S1" s="230"/>
      <c r="T1" s="230"/>
      <c r="U1" s="230"/>
      <c r="V1" s="230"/>
      <c r="W1" s="230"/>
      <c r="X1" s="230"/>
      <c r="Y1" s="230"/>
      <c r="Z1" s="230"/>
    </row>
    <row r="2" spans="1:26" s="139" customFormat="1" ht="25.05" customHeight="1">
      <c r="A2" s="231" t="s">
        <v>193</v>
      </c>
      <c r="B2" s="231"/>
      <c r="C2" s="231"/>
      <c r="D2" s="231"/>
      <c r="E2" s="231"/>
      <c r="F2" s="231"/>
      <c r="G2" s="231"/>
      <c r="H2" s="231"/>
      <c r="I2" s="231"/>
      <c r="J2" s="231"/>
      <c r="K2" s="231"/>
      <c r="L2" s="231"/>
      <c r="M2" s="231"/>
      <c r="N2" s="231"/>
      <c r="O2" s="231"/>
      <c r="P2" s="231"/>
      <c r="Q2" s="231"/>
      <c r="R2" s="231"/>
      <c r="S2" s="231"/>
      <c r="T2" s="231"/>
      <c r="U2" s="231"/>
      <c r="V2" s="231"/>
      <c r="W2" s="231"/>
      <c r="X2" s="231"/>
      <c r="Y2" s="231"/>
      <c r="Z2" s="231"/>
    </row>
    <row r="3" spans="1:26" ht="20.100000000000001" customHeight="1">
      <c r="A3" s="9" t="str">
        <f>底稿目录!A2</f>
        <v>被审计单位：</v>
      </c>
      <c r="C3" s="11"/>
      <c r="F3" s="9"/>
      <c r="J3" s="9" t="str">
        <f>底稿目录!A4</f>
        <v>编制人：</v>
      </c>
      <c r="P3" s="9" t="str">
        <f>底稿目录!A6</f>
        <v>编制日期：</v>
      </c>
      <c r="U3" s="9"/>
      <c r="V3" s="9"/>
      <c r="W3" s="9"/>
      <c r="Y3" s="142" t="s">
        <v>142</v>
      </c>
      <c r="Z3" s="134" t="s">
        <v>94</v>
      </c>
    </row>
    <row r="4" spans="1:26" ht="20.100000000000001" customHeight="1">
      <c r="A4" s="9" t="str">
        <f>底稿目录!A3</f>
        <v>会计期间：202X年度</v>
      </c>
      <c r="C4" s="11"/>
      <c r="F4" s="9"/>
      <c r="J4" s="9" t="str">
        <f>底稿目录!A5</f>
        <v>复核人：</v>
      </c>
      <c r="P4" s="9" t="str">
        <f>底稿目录!A7</f>
        <v>复核日期：</v>
      </c>
      <c r="U4" s="9"/>
      <c r="V4" s="9"/>
      <c r="W4" s="9"/>
      <c r="Y4" s="142" t="s">
        <v>143</v>
      </c>
      <c r="Z4" s="32"/>
    </row>
    <row r="5" spans="1:26" s="180" customFormat="1" ht="31.2" customHeight="1">
      <c r="A5" s="239" t="s">
        <v>190</v>
      </c>
      <c r="B5" s="239"/>
      <c r="C5" s="239"/>
      <c r="D5" s="239"/>
      <c r="E5" s="239"/>
      <c r="F5" s="239"/>
      <c r="G5" s="239"/>
      <c r="H5" s="239"/>
      <c r="I5" s="239"/>
      <c r="J5" s="239"/>
      <c r="K5" s="239"/>
      <c r="L5" s="239"/>
      <c r="M5" s="239"/>
      <c r="N5" s="239"/>
      <c r="O5" s="239"/>
      <c r="P5" s="239"/>
      <c r="Q5" s="239"/>
      <c r="R5" s="239"/>
      <c r="S5" s="239"/>
      <c r="T5" s="239"/>
      <c r="U5" s="239"/>
      <c r="V5" s="239"/>
      <c r="W5" s="239"/>
      <c r="X5" s="239"/>
      <c r="Y5" s="239"/>
      <c r="Z5" s="239"/>
    </row>
    <row r="6" spans="1:26" s="180" customFormat="1" ht="20.100000000000001" customHeight="1">
      <c r="A6" s="181" t="s">
        <v>95</v>
      </c>
      <c r="C6" s="182"/>
      <c r="F6" s="183"/>
      <c r="G6" s="183"/>
      <c r="L6" s="183"/>
      <c r="U6" s="183"/>
      <c r="V6" s="183"/>
      <c r="W6" s="183"/>
      <c r="X6" s="183"/>
      <c r="Y6" s="184"/>
      <c r="Z6" s="184"/>
    </row>
    <row r="7" spans="1:26" s="185" customFormat="1" ht="24">
      <c r="A7" s="36" t="s">
        <v>194</v>
      </c>
      <c r="B7" s="36" t="s">
        <v>195</v>
      </c>
      <c r="C7" s="36" t="s">
        <v>196</v>
      </c>
      <c r="D7" s="36" t="s">
        <v>0</v>
      </c>
      <c r="E7" s="36" t="s">
        <v>1</v>
      </c>
      <c r="F7" s="36" t="s">
        <v>2</v>
      </c>
      <c r="G7" s="36" t="s">
        <v>3</v>
      </c>
      <c r="H7" s="36" t="s">
        <v>4</v>
      </c>
      <c r="I7" s="36" t="s">
        <v>5</v>
      </c>
      <c r="J7" s="36" t="s">
        <v>6</v>
      </c>
      <c r="K7" s="36" t="s">
        <v>7</v>
      </c>
      <c r="L7" s="36" t="s">
        <v>8</v>
      </c>
      <c r="M7" s="36" t="s">
        <v>9</v>
      </c>
      <c r="N7" s="36" t="s">
        <v>197</v>
      </c>
      <c r="O7" s="37" t="s">
        <v>198</v>
      </c>
      <c r="P7" s="37" t="s">
        <v>199</v>
      </c>
      <c r="Q7" s="37" t="s">
        <v>200</v>
      </c>
      <c r="R7" s="36" t="s">
        <v>201</v>
      </c>
      <c r="S7" s="36" t="s">
        <v>202</v>
      </c>
      <c r="T7" s="36" t="s">
        <v>203</v>
      </c>
      <c r="U7" s="36" t="s">
        <v>204</v>
      </c>
      <c r="V7" s="37" t="s">
        <v>205</v>
      </c>
      <c r="W7" s="37" t="s">
        <v>199</v>
      </c>
      <c r="X7" s="37" t="s">
        <v>206</v>
      </c>
      <c r="Y7" s="179" t="s">
        <v>208</v>
      </c>
      <c r="Z7" s="179" t="s">
        <v>207</v>
      </c>
    </row>
    <row r="8" spans="1:26" ht="27.6">
      <c r="A8" s="44" t="s">
        <v>112</v>
      </c>
      <c r="B8" s="12"/>
      <c r="C8" s="12"/>
      <c r="D8" s="12"/>
      <c r="E8" s="12"/>
      <c r="F8" s="12"/>
      <c r="G8" s="12"/>
      <c r="H8" s="12"/>
      <c r="I8" s="12"/>
      <c r="J8" s="12"/>
      <c r="K8" s="12"/>
      <c r="L8" s="12"/>
      <c r="M8" s="12"/>
      <c r="N8" s="82">
        <f>SUM(B8:M8)</f>
        <v>0</v>
      </c>
      <c r="O8" s="186"/>
      <c r="P8" s="186"/>
      <c r="Q8" s="82">
        <f>N8+O8+P8</f>
        <v>0</v>
      </c>
      <c r="R8" s="187" t="s">
        <v>120</v>
      </c>
      <c r="S8" s="127"/>
      <c r="T8" s="128">
        <f>IF($Q$17=0,0,Q8/$Q$17)</f>
        <v>0</v>
      </c>
      <c r="U8" s="186"/>
      <c r="V8" s="186"/>
      <c r="W8" s="186"/>
      <c r="X8" s="85">
        <f>U8+V8+W8</f>
        <v>0</v>
      </c>
      <c r="Y8" s="128">
        <f>IF($X$17=0,0,X8/$X$17)</f>
        <v>0</v>
      </c>
      <c r="Z8" s="128">
        <f t="shared" ref="Z8:Z17" si="0">IF(AND(X8=0,Q8&gt;0),1,IF(AND(X8=0,Q8=0),0,(Q8-X8)/X8))</f>
        <v>0</v>
      </c>
    </row>
    <row r="9" spans="1:26" ht="19.95" customHeight="1">
      <c r="A9" s="44" t="s">
        <v>113</v>
      </c>
      <c r="B9" s="12"/>
      <c r="C9" s="12"/>
      <c r="D9" s="12"/>
      <c r="E9" s="12"/>
      <c r="F9" s="12"/>
      <c r="G9" s="12"/>
      <c r="H9" s="12"/>
      <c r="I9" s="12"/>
      <c r="J9" s="12"/>
      <c r="K9" s="12"/>
      <c r="L9" s="12"/>
      <c r="M9" s="12"/>
      <c r="N9" s="82">
        <f t="shared" ref="N9:N15" si="1">SUM(B9:M9)</f>
        <v>0</v>
      </c>
      <c r="O9" s="12"/>
      <c r="P9" s="12"/>
      <c r="Q9" s="82">
        <f>N9+O9+P9</f>
        <v>0</v>
      </c>
      <c r="R9" s="127"/>
      <c r="S9" s="127"/>
      <c r="T9" s="83">
        <f t="shared" ref="T9:T17" si="2">IF($Q$17=0,0,Q9/$Q$17)</f>
        <v>0</v>
      </c>
      <c r="U9" s="186"/>
      <c r="V9" s="186"/>
      <c r="W9" s="186"/>
      <c r="X9" s="85">
        <f>U9+V9+W9</f>
        <v>0</v>
      </c>
      <c r="Y9" s="83">
        <f>IF($X$17=0,0,X9/$X$17)</f>
        <v>0</v>
      </c>
      <c r="Z9" s="128">
        <f>IF(AND(X9=0,Q9&gt;0),1,IF(AND(X9=0,Q9=0),0,(Q9-X9)/X9))</f>
        <v>0</v>
      </c>
    </row>
    <row r="10" spans="1:26" ht="19.95" customHeight="1">
      <c r="A10" s="44" t="s">
        <v>114</v>
      </c>
      <c r="B10" s="12"/>
      <c r="C10" s="12"/>
      <c r="D10" s="12"/>
      <c r="E10" s="12"/>
      <c r="F10" s="12"/>
      <c r="G10" s="12"/>
      <c r="H10" s="12"/>
      <c r="I10" s="12"/>
      <c r="J10" s="12"/>
      <c r="K10" s="12"/>
      <c r="L10" s="12"/>
      <c r="M10" s="12"/>
      <c r="N10" s="82">
        <f t="shared" si="1"/>
        <v>0</v>
      </c>
      <c r="O10" s="12"/>
      <c r="P10" s="12"/>
      <c r="Q10" s="82">
        <f t="shared" ref="Q10:Q16" si="3">N10+O10+P10</f>
        <v>0</v>
      </c>
      <c r="R10" s="127"/>
      <c r="S10" s="127"/>
      <c r="T10" s="83">
        <f t="shared" si="2"/>
        <v>0</v>
      </c>
      <c r="U10" s="12"/>
      <c r="V10" s="12"/>
      <c r="W10" s="12"/>
      <c r="X10" s="85">
        <f>U10+V10+W10</f>
        <v>0</v>
      </c>
      <c r="Y10" s="83">
        <f t="shared" ref="Y10:Y17" si="4">IF($X$17=0,0,X10/$X$17)</f>
        <v>0</v>
      </c>
      <c r="Z10" s="128">
        <f t="shared" si="0"/>
        <v>0</v>
      </c>
    </row>
    <row r="11" spans="1:26" ht="25.8">
      <c r="A11" s="44" t="s">
        <v>115</v>
      </c>
      <c r="B11" s="12"/>
      <c r="C11" s="12"/>
      <c r="D11" s="12"/>
      <c r="E11" s="12"/>
      <c r="F11" s="12"/>
      <c r="G11" s="12"/>
      <c r="H11" s="12"/>
      <c r="I11" s="12"/>
      <c r="J11" s="12"/>
      <c r="K11" s="12"/>
      <c r="L11" s="12"/>
      <c r="M11" s="12"/>
      <c r="N11" s="82">
        <f t="shared" si="1"/>
        <v>0</v>
      </c>
      <c r="O11" s="12"/>
      <c r="P11" s="12"/>
      <c r="Q11" s="82">
        <f>N11+O11+P11</f>
        <v>0</v>
      </c>
      <c r="R11" s="127"/>
      <c r="S11" s="127"/>
      <c r="T11" s="83">
        <f t="shared" si="2"/>
        <v>0</v>
      </c>
      <c r="U11" s="12"/>
      <c r="V11" s="12"/>
      <c r="W11" s="12"/>
      <c r="X11" s="85">
        <f t="shared" ref="X11:X15" si="5">U11+V11+W11</f>
        <v>0</v>
      </c>
      <c r="Y11" s="83">
        <f t="shared" si="4"/>
        <v>0</v>
      </c>
      <c r="Z11" s="128">
        <f t="shared" si="0"/>
        <v>0</v>
      </c>
    </row>
    <row r="12" spans="1:26" ht="19.95" customHeight="1">
      <c r="A12" s="44" t="s">
        <v>116</v>
      </c>
      <c r="B12" s="12"/>
      <c r="C12" s="12"/>
      <c r="D12" s="12"/>
      <c r="E12" s="12"/>
      <c r="F12" s="12"/>
      <c r="G12" s="12"/>
      <c r="H12" s="12"/>
      <c r="I12" s="12"/>
      <c r="J12" s="12"/>
      <c r="K12" s="12"/>
      <c r="L12" s="12"/>
      <c r="M12" s="12"/>
      <c r="N12" s="82">
        <f t="shared" si="1"/>
        <v>0</v>
      </c>
      <c r="O12" s="12"/>
      <c r="P12" s="12"/>
      <c r="Q12" s="82">
        <f t="shared" si="3"/>
        <v>0</v>
      </c>
      <c r="R12" s="127"/>
      <c r="S12" s="127"/>
      <c r="T12" s="83">
        <f t="shared" si="2"/>
        <v>0</v>
      </c>
      <c r="U12" s="12"/>
      <c r="V12" s="12"/>
      <c r="W12" s="12"/>
      <c r="X12" s="85">
        <f t="shared" si="5"/>
        <v>0</v>
      </c>
      <c r="Y12" s="83">
        <f t="shared" si="4"/>
        <v>0</v>
      </c>
      <c r="Z12" s="128">
        <f t="shared" si="0"/>
        <v>0</v>
      </c>
    </row>
    <row r="13" spans="1:26" ht="25.8">
      <c r="A13" s="44" t="s">
        <v>118</v>
      </c>
      <c r="B13" s="12"/>
      <c r="C13" s="12"/>
      <c r="D13" s="12"/>
      <c r="E13" s="12"/>
      <c r="F13" s="12"/>
      <c r="G13" s="12"/>
      <c r="H13" s="12"/>
      <c r="I13" s="12"/>
      <c r="J13" s="12"/>
      <c r="K13" s="12"/>
      <c r="L13" s="12"/>
      <c r="M13" s="12"/>
      <c r="N13" s="82">
        <f t="shared" si="1"/>
        <v>0</v>
      </c>
      <c r="O13" s="12"/>
      <c r="P13" s="12"/>
      <c r="Q13" s="82">
        <f t="shared" si="3"/>
        <v>0</v>
      </c>
      <c r="R13" s="127"/>
      <c r="S13" s="127"/>
      <c r="T13" s="83">
        <f t="shared" si="2"/>
        <v>0</v>
      </c>
      <c r="U13" s="12"/>
      <c r="V13" s="12"/>
      <c r="W13" s="12"/>
      <c r="X13" s="85">
        <f t="shared" si="5"/>
        <v>0</v>
      </c>
      <c r="Y13" s="83">
        <f t="shared" si="4"/>
        <v>0</v>
      </c>
      <c r="Z13" s="128">
        <f t="shared" si="0"/>
        <v>0</v>
      </c>
    </row>
    <row r="14" spans="1:26" ht="25.8">
      <c r="A14" s="44" t="s">
        <v>117</v>
      </c>
      <c r="B14" s="12"/>
      <c r="C14" s="12"/>
      <c r="D14" s="12"/>
      <c r="E14" s="12"/>
      <c r="F14" s="12"/>
      <c r="G14" s="12"/>
      <c r="H14" s="12"/>
      <c r="I14" s="12"/>
      <c r="J14" s="12"/>
      <c r="K14" s="12"/>
      <c r="L14" s="12"/>
      <c r="M14" s="12"/>
      <c r="N14" s="82">
        <f t="shared" si="1"/>
        <v>0</v>
      </c>
      <c r="O14" s="12"/>
      <c r="P14" s="12"/>
      <c r="Q14" s="82">
        <f t="shared" si="3"/>
        <v>0</v>
      </c>
      <c r="R14" s="127"/>
      <c r="S14" s="127"/>
      <c r="T14" s="83">
        <f t="shared" si="2"/>
        <v>0</v>
      </c>
      <c r="U14" s="12"/>
      <c r="V14" s="12"/>
      <c r="W14" s="12"/>
      <c r="X14" s="85">
        <f t="shared" si="5"/>
        <v>0</v>
      </c>
      <c r="Y14" s="83">
        <f t="shared" si="4"/>
        <v>0</v>
      </c>
      <c r="Z14" s="128">
        <f t="shared" si="0"/>
        <v>0</v>
      </c>
    </row>
    <row r="15" spans="1:26" ht="19.95" customHeight="1">
      <c r="A15" s="114"/>
      <c r="B15" s="12"/>
      <c r="C15" s="12"/>
      <c r="D15" s="12"/>
      <c r="E15" s="12"/>
      <c r="F15" s="12"/>
      <c r="G15" s="12"/>
      <c r="H15" s="12"/>
      <c r="I15" s="12"/>
      <c r="J15" s="12"/>
      <c r="K15" s="12"/>
      <c r="L15" s="12"/>
      <c r="M15" s="12"/>
      <c r="N15" s="82">
        <f t="shared" si="1"/>
        <v>0</v>
      </c>
      <c r="O15" s="12"/>
      <c r="P15" s="12"/>
      <c r="Q15" s="82">
        <f t="shared" si="3"/>
        <v>0</v>
      </c>
      <c r="R15" s="127"/>
      <c r="S15" s="127"/>
      <c r="T15" s="83">
        <f t="shared" si="2"/>
        <v>0</v>
      </c>
      <c r="U15" s="12"/>
      <c r="V15" s="12"/>
      <c r="W15" s="12"/>
      <c r="X15" s="85">
        <f t="shared" si="5"/>
        <v>0</v>
      </c>
      <c r="Y15" s="83">
        <f t="shared" si="4"/>
        <v>0</v>
      </c>
      <c r="Z15" s="128">
        <f t="shared" si="0"/>
        <v>0</v>
      </c>
    </row>
    <row r="16" spans="1:26" ht="19.95" customHeight="1">
      <c r="A16" s="114"/>
      <c r="B16" s="12"/>
      <c r="C16" s="12"/>
      <c r="D16" s="12"/>
      <c r="E16" s="12"/>
      <c r="F16" s="12"/>
      <c r="G16" s="12"/>
      <c r="H16" s="12"/>
      <c r="I16" s="12"/>
      <c r="J16" s="12"/>
      <c r="K16" s="12"/>
      <c r="L16" s="12"/>
      <c r="M16" s="12"/>
      <c r="N16" s="82">
        <f>SUM(B16:M16)</f>
        <v>0</v>
      </c>
      <c r="O16" s="12"/>
      <c r="P16" s="12"/>
      <c r="Q16" s="82">
        <f t="shared" si="3"/>
        <v>0</v>
      </c>
      <c r="R16" s="127"/>
      <c r="S16" s="127"/>
      <c r="T16" s="83">
        <f>IF($Q$17=0,0,Q16/$Q$17)</f>
        <v>0</v>
      </c>
      <c r="U16" s="12"/>
      <c r="V16" s="12"/>
      <c r="W16" s="12"/>
      <c r="X16" s="85">
        <f t="shared" ref="X16" si="6">U16+V16+W16</f>
        <v>0</v>
      </c>
      <c r="Y16" s="83">
        <f t="shared" si="4"/>
        <v>0</v>
      </c>
      <c r="Z16" s="128">
        <f t="shared" ref="Z16" si="7">IF(AND(X16=0,Q16&gt;0),1,IF(AND(X16=0,Q16=0),0,(Q16-X16)/X16))</f>
        <v>0</v>
      </c>
    </row>
    <row r="17" spans="1:26" s="190" customFormat="1" ht="19.95" customHeight="1">
      <c r="A17" s="120" t="s">
        <v>27</v>
      </c>
      <c r="B17" s="82">
        <f>SUM(B8:B16)</f>
        <v>0</v>
      </c>
      <c r="C17" s="82">
        <f t="shared" ref="C17:N17" si="8">SUM(C8:C16)</f>
        <v>0</v>
      </c>
      <c r="D17" s="82">
        <f t="shared" si="8"/>
        <v>0</v>
      </c>
      <c r="E17" s="82">
        <f t="shared" si="8"/>
        <v>0</v>
      </c>
      <c r="F17" s="82">
        <f t="shared" si="8"/>
        <v>0</v>
      </c>
      <c r="G17" s="82">
        <f t="shared" si="8"/>
        <v>0</v>
      </c>
      <c r="H17" s="82">
        <f t="shared" si="8"/>
        <v>0</v>
      </c>
      <c r="I17" s="82">
        <f t="shared" si="8"/>
        <v>0</v>
      </c>
      <c r="J17" s="82">
        <f t="shared" si="8"/>
        <v>0</v>
      </c>
      <c r="K17" s="82">
        <f t="shared" si="8"/>
        <v>0</v>
      </c>
      <c r="L17" s="82">
        <f t="shared" si="8"/>
        <v>0</v>
      </c>
      <c r="M17" s="82">
        <f t="shared" si="8"/>
        <v>0</v>
      </c>
      <c r="N17" s="82">
        <f t="shared" si="8"/>
        <v>0</v>
      </c>
      <c r="O17" s="82">
        <f t="shared" ref="O17" si="9">SUM(O8:O16)</f>
        <v>0</v>
      </c>
      <c r="P17" s="82">
        <f t="shared" ref="P17" si="10">SUM(P8:P16)</f>
        <v>0</v>
      </c>
      <c r="Q17" s="82">
        <f t="shared" ref="Q17" si="11">SUM(Q8:Q16)</f>
        <v>0</v>
      </c>
      <c r="R17" s="188"/>
      <c r="S17" s="188"/>
      <c r="T17" s="189">
        <f t="shared" si="2"/>
        <v>0</v>
      </c>
      <c r="U17" s="82">
        <f t="shared" ref="U17" si="12">SUM(U8:U16)</f>
        <v>0</v>
      </c>
      <c r="V17" s="82">
        <f t="shared" ref="V17" si="13">SUM(V8:V16)</f>
        <v>0</v>
      </c>
      <c r="W17" s="82">
        <f t="shared" ref="W17" si="14">SUM(W8:W16)</f>
        <v>0</v>
      </c>
      <c r="X17" s="82">
        <f>U17+V17+W17</f>
        <v>0</v>
      </c>
      <c r="Y17" s="189">
        <f t="shared" si="4"/>
        <v>0</v>
      </c>
      <c r="Z17" s="189">
        <f t="shared" si="0"/>
        <v>0</v>
      </c>
    </row>
    <row r="18" spans="1:26" s="190" customFormat="1" ht="19.95" customHeight="1">
      <c r="A18" s="120" t="s">
        <v>28</v>
      </c>
      <c r="B18" s="83">
        <f>IF($N$17=0,0,B17/$N$17)</f>
        <v>0</v>
      </c>
      <c r="C18" s="83">
        <f>IF($N$17=0,0,C17/$N$17)</f>
        <v>0</v>
      </c>
      <c r="D18" s="83">
        <f t="shared" ref="D18:M18" si="15">IF($N$17=0,0,D17/$N$17)</f>
        <v>0</v>
      </c>
      <c r="E18" s="83">
        <f t="shared" si="15"/>
        <v>0</v>
      </c>
      <c r="F18" s="83">
        <f t="shared" si="15"/>
        <v>0</v>
      </c>
      <c r="G18" s="83">
        <f t="shared" si="15"/>
        <v>0</v>
      </c>
      <c r="H18" s="83">
        <f t="shared" si="15"/>
        <v>0</v>
      </c>
      <c r="I18" s="83">
        <f t="shared" si="15"/>
        <v>0</v>
      </c>
      <c r="J18" s="83">
        <f t="shared" si="15"/>
        <v>0</v>
      </c>
      <c r="K18" s="83">
        <f t="shared" si="15"/>
        <v>0</v>
      </c>
      <c r="L18" s="83">
        <f t="shared" si="15"/>
        <v>0</v>
      </c>
      <c r="M18" s="83">
        <f t="shared" si="15"/>
        <v>0</v>
      </c>
      <c r="N18" s="84">
        <f>IF($N$17=0,0,N17/$N$17)</f>
        <v>0</v>
      </c>
      <c r="O18" s="105"/>
      <c r="P18" s="105"/>
      <c r="Q18" s="105"/>
      <c r="R18" s="82"/>
      <c r="S18" s="82"/>
      <c r="T18" s="82"/>
      <c r="U18" s="82"/>
      <c r="V18" s="82"/>
      <c r="W18" s="82"/>
      <c r="X18" s="82"/>
      <c r="Y18" s="82"/>
      <c r="Z18" s="121"/>
    </row>
    <row r="19" spans="1:26" ht="19.95" customHeight="1">
      <c r="A19" s="38" t="s">
        <v>29</v>
      </c>
      <c r="B19" s="13"/>
      <c r="C19" s="13"/>
      <c r="D19" s="13"/>
      <c r="E19" s="13"/>
      <c r="F19" s="13"/>
      <c r="G19" s="13"/>
      <c r="H19" s="13"/>
      <c r="I19" s="13"/>
      <c r="J19" s="13"/>
      <c r="K19" s="13"/>
      <c r="L19" s="13"/>
      <c r="M19" s="13"/>
      <c r="N19" s="13"/>
      <c r="O19" s="13"/>
      <c r="P19" s="13"/>
      <c r="Q19" s="13"/>
      <c r="R19" s="13"/>
      <c r="S19" s="13"/>
      <c r="T19" s="13"/>
      <c r="U19" s="13"/>
      <c r="V19" s="13"/>
      <c r="W19" s="13"/>
      <c r="X19" s="13"/>
      <c r="Y19" s="33"/>
      <c r="Z19" s="33"/>
    </row>
    <row r="20" spans="1:26" ht="19.95" customHeight="1">
      <c r="A20" s="9"/>
      <c r="B20" s="9"/>
      <c r="C20" s="9"/>
      <c r="D20" s="9"/>
      <c r="E20" s="9"/>
      <c r="F20" s="9"/>
      <c r="G20" s="9"/>
      <c r="H20" s="9"/>
      <c r="I20" s="9"/>
      <c r="J20" s="9"/>
      <c r="K20" s="9"/>
      <c r="L20" s="9"/>
      <c r="M20" s="9"/>
      <c r="N20" s="9"/>
      <c r="O20" s="9"/>
      <c r="P20" s="9"/>
      <c r="Q20" s="9"/>
      <c r="R20" s="9"/>
      <c r="S20" s="9"/>
      <c r="T20" s="9"/>
      <c r="U20" s="9"/>
      <c r="V20" s="9"/>
      <c r="W20" s="9"/>
      <c r="X20" s="9"/>
      <c r="Y20" s="32"/>
      <c r="Z20" s="32"/>
    </row>
    <row r="21" spans="1:26" ht="19.95" customHeight="1">
      <c r="A21" s="9"/>
      <c r="B21" s="9"/>
      <c r="C21" s="9"/>
      <c r="D21" s="9"/>
      <c r="E21" s="9"/>
      <c r="F21" s="9"/>
      <c r="G21" s="9"/>
      <c r="H21" s="9"/>
      <c r="I21" s="9"/>
      <c r="J21" s="9"/>
      <c r="K21" s="9"/>
      <c r="L21" s="9"/>
      <c r="M21" s="9"/>
      <c r="N21" s="9"/>
      <c r="O21" s="9"/>
      <c r="P21" s="9"/>
      <c r="Q21" s="9"/>
      <c r="R21" s="9"/>
      <c r="S21" s="9"/>
      <c r="T21" s="9"/>
      <c r="U21" s="9"/>
      <c r="V21" s="9"/>
      <c r="W21" s="9"/>
      <c r="X21" s="9"/>
      <c r="Y21" s="32"/>
      <c r="Z21" s="32"/>
    </row>
    <row r="22" spans="1:26" ht="19.95" customHeight="1">
      <c r="A22" s="21" t="s">
        <v>96</v>
      </c>
      <c r="B22" s="9"/>
      <c r="C22" s="9"/>
      <c r="D22" s="9"/>
      <c r="E22" s="9"/>
      <c r="F22" s="9"/>
      <c r="G22" s="9"/>
      <c r="H22" s="9"/>
      <c r="I22" s="9"/>
      <c r="J22" s="9"/>
      <c r="K22" s="9"/>
      <c r="L22" s="9"/>
      <c r="M22" s="9"/>
      <c r="N22" s="9"/>
      <c r="O22" s="9"/>
      <c r="P22" s="9"/>
      <c r="Q22" s="9"/>
      <c r="R22" s="9"/>
      <c r="S22" s="9"/>
      <c r="T22" s="9"/>
      <c r="U22" s="9"/>
      <c r="V22" s="9"/>
      <c r="W22" s="9"/>
      <c r="X22" s="9"/>
      <c r="Y22" s="32"/>
      <c r="Z22" s="32"/>
    </row>
    <row r="23" spans="1:26" ht="19.95" customHeight="1">
      <c r="A23" s="9"/>
      <c r="B23" s="9"/>
      <c r="C23" s="9"/>
      <c r="D23" s="9"/>
      <c r="E23" s="9"/>
      <c r="F23" s="9"/>
      <c r="G23" s="9"/>
      <c r="H23" s="9"/>
      <c r="I23" s="9"/>
      <c r="J23" s="9"/>
      <c r="K23" s="9"/>
      <c r="L23" s="9"/>
      <c r="M23" s="9"/>
      <c r="N23" s="9"/>
      <c r="O23" s="9"/>
      <c r="P23" s="9"/>
      <c r="Q23" s="9"/>
      <c r="R23" s="9"/>
      <c r="S23" s="9"/>
      <c r="T23" s="9"/>
      <c r="U23" s="9"/>
      <c r="V23" s="9"/>
      <c r="W23" s="9"/>
      <c r="X23" s="9"/>
      <c r="Y23" s="32"/>
      <c r="Z23" s="32"/>
    </row>
    <row r="25" spans="1:26" ht="22.2" customHeight="1">
      <c r="A25" s="211" t="s">
        <v>246</v>
      </c>
    </row>
    <row r="26" spans="1:26" ht="16.8" customHeight="1">
      <c r="A26" s="210" t="s">
        <v>247</v>
      </c>
    </row>
    <row r="27" spans="1:26">
      <c r="A27" s="8"/>
    </row>
    <row r="28" spans="1:26">
      <c r="A28" s="8"/>
    </row>
    <row r="29" spans="1:26">
      <c r="A29" s="8"/>
    </row>
    <row r="30" spans="1:26">
      <c r="A30" s="138"/>
    </row>
    <row r="31" spans="1:26">
      <c r="A31" s="138"/>
    </row>
    <row r="32" spans="1:26">
      <c r="A32" s="116"/>
    </row>
    <row r="33" spans="1:16">
      <c r="A33" s="116"/>
      <c r="B33" s="117"/>
      <c r="C33" s="118"/>
      <c r="D33" s="117"/>
      <c r="E33" s="117"/>
      <c r="F33" s="119"/>
      <c r="G33" s="119"/>
      <c r="H33" s="117"/>
      <c r="I33" s="117"/>
      <c r="J33" s="117"/>
      <c r="K33" s="117"/>
      <c r="L33" s="119"/>
      <c r="M33" s="117"/>
      <c r="O33" s="117"/>
      <c r="P33" s="117"/>
    </row>
    <row r="34" spans="1:16">
      <c r="A34" s="116"/>
      <c r="B34" s="117"/>
      <c r="C34" s="118"/>
      <c r="D34" s="117"/>
      <c r="E34" s="117"/>
      <c r="F34" s="119"/>
      <c r="G34" s="119"/>
      <c r="H34" s="117"/>
      <c r="I34" s="117"/>
      <c r="J34" s="117"/>
      <c r="K34" s="117"/>
      <c r="L34" s="119"/>
      <c r="M34" s="117"/>
      <c r="O34" s="117"/>
      <c r="P34" s="117"/>
    </row>
    <row r="35" spans="1:16">
      <c r="A35" s="116"/>
    </row>
    <row r="36" spans="1:16">
      <c r="A36" s="116"/>
    </row>
  </sheetData>
  <mergeCells count="3">
    <mergeCell ref="A1:Z1"/>
    <mergeCell ref="A2:Z2"/>
    <mergeCell ref="A5:Z5"/>
  </mergeCells>
  <phoneticPr fontId="12" type="noConversion"/>
  <conditionalFormatting sqref="B18:M18">
    <cfRule type="cellIs" dxfId="1" priority="1" stopIfTrue="1" operator="greaterThanOrEqual">
      <formula>0.3</formula>
    </cfRule>
  </conditionalFormatting>
  <conditionalFormatting sqref="Y9:Y16 T9:T16">
    <cfRule type="cellIs" dxfId="0" priority="2" stopIfTrue="1" operator="greaterThanOrEqual">
      <formula>0.5</formula>
    </cfRule>
  </conditionalFormatting>
  <hyperlinks>
    <hyperlink ref="Z3" location="底稿目录!A1" display="H10-2"/>
  </hyperlinks>
  <printOptions horizontalCentered="1"/>
  <pageMargins left="0.70866141732283472" right="0.70866141732283472" top="0.74803149606299213" bottom="0.74803149606299213" header="0.31496062992125984" footer="0.31496062992125984"/>
  <pageSetup paperSize="9" scale="55" fitToHeight="100" orientation="landscape" blackAndWhite="1" cellComments="atEnd"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2"/>
  <sheetViews>
    <sheetView view="pageBreakPreview" zoomScaleNormal="100" zoomScaleSheetLayoutView="100" workbookViewId="0">
      <selection sqref="A1:J1"/>
    </sheetView>
  </sheetViews>
  <sheetFormatPr defaultRowHeight="19.95" customHeight="1"/>
  <cols>
    <col min="1" max="1" width="17.8984375" style="90" bestFit="1" customWidth="1"/>
    <col min="2" max="2" width="13.796875" style="90" customWidth="1"/>
    <col min="3" max="3" width="11.09765625" style="90" customWidth="1"/>
    <col min="4" max="4" width="12.296875" style="90" customWidth="1"/>
    <col min="5" max="5" width="15.69921875" style="90" customWidth="1"/>
    <col min="6" max="6" width="8.796875" style="90"/>
    <col min="7" max="8" width="11.19921875" style="90" customWidth="1"/>
    <col min="9" max="9" width="10.09765625" style="90" customWidth="1"/>
    <col min="10" max="10" width="15.59765625" style="90" customWidth="1"/>
    <col min="11" max="16384" width="8.796875" style="90"/>
  </cols>
  <sheetData>
    <row r="1" spans="1:10" ht="19.95" customHeight="1">
      <c r="A1" s="240" t="s">
        <v>137</v>
      </c>
      <c r="B1" s="240"/>
      <c r="C1" s="240"/>
      <c r="D1" s="240"/>
      <c r="E1" s="240"/>
      <c r="F1" s="240"/>
      <c r="G1" s="240"/>
      <c r="H1" s="240"/>
      <c r="I1" s="240"/>
      <c r="J1" s="240"/>
    </row>
    <row r="2" spans="1:10" ht="19.95" customHeight="1">
      <c r="A2" s="241" t="s">
        <v>209</v>
      </c>
      <c r="B2" s="242"/>
      <c r="C2" s="242"/>
      <c r="D2" s="242"/>
      <c r="E2" s="242"/>
      <c r="F2" s="242"/>
      <c r="G2" s="242"/>
      <c r="H2" s="242"/>
      <c r="I2" s="242"/>
      <c r="J2" s="242"/>
    </row>
    <row r="3" spans="1:10" ht="19.95" customHeight="1">
      <c r="A3" s="7" t="str">
        <f>底稿目录!A2</f>
        <v>被审计单位：</v>
      </c>
      <c r="B3" s="7"/>
      <c r="C3" s="7"/>
      <c r="D3" s="7" t="str">
        <f>底稿目录!A4</f>
        <v>编制人：</v>
      </c>
      <c r="E3" s="7"/>
      <c r="F3" s="50"/>
      <c r="G3" s="7" t="str">
        <f>底稿目录!A6</f>
        <v>编制日期：</v>
      </c>
      <c r="H3" s="7"/>
      <c r="I3" s="142" t="s">
        <v>142</v>
      </c>
      <c r="J3" s="135" t="s">
        <v>97</v>
      </c>
    </row>
    <row r="4" spans="1:10" ht="19.95" customHeight="1">
      <c r="A4" s="7" t="str">
        <f>底稿目录!A3</f>
        <v>会计期间：202X年度</v>
      </c>
      <c r="B4" s="7"/>
      <c r="C4" s="7"/>
      <c r="D4" s="7" t="str">
        <f>底稿目录!A5</f>
        <v>复核人：</v>
      </c>
      <c r="E4" s="7"/>
      <c r="F4" s="50"/>
      <c r="G4" s="7" t="str">
        <f>底稿目录!A7</f>
        <v>复核日期：</v>
      </c>
      <c r="H4" s="7"/>
      <c r="I4" s="142" t="s">
        <v>143</v>
      </c>
      <c r="J4" s="50"/>
    </row>
    <row r="5" spans="1:10" s="104" customFormat="1" ht="27.6">
      <c r="A5" s="103" t="s">
        <v>99</v>
      </c>
      <c r="B5" s="103" t="s">
        <v>100</v>
      </c>
      <c r="C5" s="103" t="s">
        <v>101</v>
      </c>
      <c r="D5" s="88" t="s">
        <v>102</v>
      </c>
      <c r="E5" s="88" t="s">
        <v>103</v>
      </c>
      <c r="F5" s="51" t="s">
        <v>41</v>
      </c>
      <c r="G5" s="88" t="s">
        <v>104</v>
      </c>
      <c r="H5" s="88" t="s">
        <v>105</v>
      </c>
      <c r="I5" s="88" t="s">
        <v>106</v>
      </c>
      <c r="J5" s="88" t="s">
        <v>98</v>
      </c>
    </row>
    <row r="6" spans="1:10" ht="19.95" customHeight="1">
      <c r="A6" s="89"/>
      <c r="B6" s="89"/>
      <c r="C6" s="89"/>
      <c r="D6" s="89"/>
      <c r="E6" s="89"/>
      <c r="F6" s="89"/>
      <c r="G6" s="129"/>
      <c r="H6" s="129"/>
      <c r="I6" s="89"/>
      <c r="J6" s="89"/>
    </row>
    <row r="7" spans="1:10" ht="19.95" customHeight="1">
      <c r="A7" s="89"/>
      <c r="B7" s="89"/>
      <c r="C7" s="89"/>
      <c r="D7" s="89"/>
      <c r="E7" s="89"/>
      <c r="F7" s="89"/>
      <c r="G7" s="129"/>
      <c r="H7" s="129"/>
      <c r="I7" s="89"/>
      <c r="J7" s="89"/>
    </row>
    <row r="8" spans="1:10" ht="19.95" customHeight="1">
      <c r="A8" s="89"/>
      <c r="B8" s="89"/>
      <c r="C8" s="89"/>
      <c r="D8" s="89"/>
      <c r="E8" s="89"/>
      <c r="F8" s="89"/>
      <c r="G8" s="129"/>
      <c r="H8" s="129"/>
      <c r="I8" s="89"/>
      <c r="J8" s="89"/>
    </row>
    <row r="9" spans="1:10" ht="19.95" customHeight="1">
      <c r="A9" s="89"/>
      <c r="B9" s="89"/>
      <c r="C9" s="89"/>
      <c r="D9" s="89"/>
      <c r="E9" s="89"/>
      <c r="F9" s="89"/>
      <c r="G9" s="129"/>
      <c r="H9" s="129"/>
      <c r="I9" s="89"/>
      <c r="J9" s="89"/>
    </row>
    <row r="10" spans="1:10" ht="19.95" customHeight="1">
      <c r="A10" s="89"/>
      <c r="B10" s="89"/>
      <c r="C10" s="89"/>
      <c r="D10" s="89"/>
      <c r="E10" s="89"/>
      <c r="F10" s="89"/>
      <c r="G10" s="129"/>
      <c r="H10" s="129"/>
      <c r="I10" s="89"/>
      <c r="J10" s="89"/>
    </row>
    <row r="11" spans="1:10" ht="19.95" customHeight="1">
      <c r="A11" s="89"/>
      <c r="B11" s="89"/>
      <c r="C11" s="89"/>
      <c r="D11" s="89"/>
      <c r="E11" s="89"/>
      <c r="F11" s="89"/>
      <c r="G11" s="129"/>
      <c r="H11" s="129"/>
      <c r="I11" s="89"/>
      <c r="J11" s="89"/>
    </row>
    <row r="12" spans="1:10" ht="19.95" customHeight="1">
      <c r="A12" s="89"/>
      <c r="B12" s="89"/>
      <c r="C12" s="89"/>
      <c r="D12" s="89"/>
      <c r="E12" s="89"/>
      <c r="F12" s="89"/>
      <c r="G12" s="129"/>
      <c r="H12" s="129"/>
      <c r="I12" s="89"/>
      <c r="J12" s="89"/>
    </row>
    <row r="13" spans="1:10" ht="19.95" customHeight="1">
      <c r="A13" s="89"/>
      <c r="B13" s="89"/>
      <c r="C13" s="89"/>
      <c r="D13" s="89"/>
      <c r="E13" s="89"/>
      <c r="F13" s="89"/>
      <c r="G13" s="129"/>
      <c r="H13" s="129"/>
      <c r="I13" s="89"/>
      <c r="J13" s="89"/>
    </row>
    <row r="14" spans="1:10" ht="19.95" customHeight="1">
      <c r="A14" s="89"/>
      <c r="B14" s="89"/>
      <c r="C14" s="89"/>
      <c r="D14" s="89"/>
      <c r="E14" s="89"/>
      <c r="F14" s="89"/>
      <c r="G14" s="129"/>
      <c r="H14" s="129"/>
      <c r="I14" s="89"/>
      <c r="J14" s="89"/>
    </row>
    <row r="15" spans="1:10" ht="19.95" customHeight="1">
      <c r="A15" s="89"/>
      <c r="B15" s="89"/>
      <c r="C15" s="89"/>
      <c r="D15" s="89"/>
      <c r="E15" s="89"/>
      <c r="F15" s="89"/>
      <c r="G15" s="129"/>
      <c r="H15" s="129"/>
      <c r="I15" s="89"/>
      <c r="J15" s="89"/>
    </row>
    <row r="16" spans="1:10" ht="19.95" customHeight="1">
      <c r="A16" s="89"/>
      <c r="B16" s="89"/>
      <c r="C16" s="89"/>
      <c r="D16" s="89"/>
      <c r="E16" s="89"/>
      <c r="F16" s="89"/>
      <c r="G16" s="129"/>
      <c r="H16" s="129"/>
      <c r="I16" s="89"/>
      <c r="J16" s="89"/>
    </row>
    <row r="17" spans="1:10" ht="19.95" customHeight="1">
      <c r="A17" s="89"/>
      <c r="B17" s="89"/>
      <c r="C17" s="89"/>
      <c r="D17" s="89"/>
      <c r="E17" s="89"/>
      <c r="F17" s="89"/>
      <c r="G17" s="129"/>
      <c r="H17" s="129"/>
      <c r="I17" s="89"/>
      <c r="J17" s="89"/>
    </row>
    <row r="18" spans="1:10" ht="19.95" customHeight="1">
      <c r="A18" s="89"/>
      <c r="B18" s="89"/>
      <c r="C18" s="89"/>
      <c r="D18" s="89"/>
      <c r="E18" s="89"/>
      <c r="F18" s="89"/>
      <c r="G18" s="129"/>
      <c r="H18" s="129"/>
      <c r="I18" s="89"/>
      <c r="J18" s="89"/>
    </row>
    <row r="19" spans="1:10" ht="19.95" customHeight="1">
      <c r="A19" s="89"/>
      <c r="B19" s="89"/>
      <c r="C19" s="89"/>
      <c r="D19" s="89"/>
      <c r="E19" s="89"/>
      <c r="F19" s="89"/>
      <c r="G19" s="129"/>
      <c r="H19" s="129"/>
      <c r="I19" s="89"/>
      <c r="J19" s="89"/>
    </row>
    <row r="20" spans="1:10" ht="19.95" customHeight="1">
      <c r="A20" s="89"/>
      <c r="B20" s="89"/>
      <c r="C20" s="89"/>
      <c r="D20" s="89"/>
      <c r="E20" s="89"/>
      <c r="F20" s="89"/>
      <c r="G20" s="129"/>
      <c r="H20" s="129"/>
      <c r="I20" s="89"/>
      <c r="J20" s="89"/>
    </row>
    <row r="21" spans="1:10" ht="19.95" customHeight="1">
      <c r="A21" s="146" t="s">
        <v>150</v>
      </c>
      <c r="B21" s="91"/>
      <c r="C21" s="91"/>
      <c r="D21" s="91"/>
      <c r="E21" s="91"/>
      <c r="F21" s="91"/>
      <c r="G21" s="91"/>
      <c r="H21" s="91"/>
      <c r="I21" s="91"/>
      <c r="J21" s="91"/>
    </row>
    <row r="22" spans="1:10" ht="19.95" customHeight="1">
      <c r="A22" s="91"/>
      <c r="B22" s="91"/>
      <c r="C22" s="91"/>
      <c r="D22" s="91"/>
      <c r="E22" s="91"/>
      <c r="F22" s="91"/>
      <c r="G22" s="91"/>
      <c r="H22" s="91"/>
      <c r="I22" s="91"/>
      <c r="J22" s="91"/>
    </row>
  </sheetData>
  <mergeCells count="2">
    <mergeCell ref="A1:J1"/>
    <mergeCell ref="A2:J2"/>
  </mergeCells>
  <phoneticPr fontId="12" type="noConversion"/>
  <dataValidations count="1">
    <dataValidation type="list" allowBlank="1" showInputMessage="1" showErrorMessage="1" sqref="B6:B20">
      <formula1>"账项调整,报表调整,其他"</formula1>
    </dataValidation>
  </dataValidations>
  <hyperlinks>
    <hyperlink ref="J3" location="底稿目录!A1" display="H10-3"/>
  </hyperlinks>
  <printOptions horizontalCentered="1"/>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T80"/>
  <sheetViews>
    <sheetView view="pageBreakPreview" zoomScaleSheetLayoutView="100" workbookViewId="0">
      <selection sqref="A1:Q1"/>
    </sheetView>
  </sheetViews>
  <sheetFormatPr defaultColWidth="9" defaultRowHeight="19.95" customHeight="1"/>
  <cols>
    <col min="1" max="1" width="12.19921875" style="10" customWidth="1"/>
    <col min="2" max="3" width="9" style="10"/>
    <col min="4" max="4" width="16.796875" style="10" customWidth="1"/>
    <col min="5" max="5" width="12.296875" style="10" customWidth="1"/>
    <col min="6" max="6" width="11.5" style="10" customWidth="1"/>
    <col min="7" max="7" width="11.3984375" style="10" customWidth="1"/>
    <col min="8" max="8" width="11.59765625" style="10" customWidth="1"/>
    <col min="9" max="9" width="17.19921875" style="10" customWidth="1"/>
    <col min="10" max="12" width="4.3984375" style="10" customWidth="1"/>
    <col min="13" max="14" width="4.3984375" style="95" customWidth="1"/>
    <col min="15" max="15" width="9.796875" style="95" customWidth="1"/>
    <col min="16" max="16" width="7.19921875" style="10" customWidth="1"/>
    <col min="17" max="17" width="16.5" style="10" customWidth="1"/>
    <col min="18" max="18" width="15.3984375" style="10" customWidth="1"/>
    <col min="19" max="16384" width="9" style="10"/>
  </cols>
  <sheetData>
    <row r="1" spans="1:20" s="30" customFormat="1" ht="19.95" customHeight="1">
      <c r="A1" s="244" t="s">
        <v>137</v>
      </c>
      <c r="B1" s="244"/>
      <c r="C1" s="244"/>
      <c r="D1" s="244"/>
      <c r="E1" s="244"/>
      <c r="F1" s="244"/>
      <c r="G1" s="244"/>
      <c r="H1" s="244"/>
      <c r="I1" s="244"/>
      <c r="J1" s="244"/>
      <c r="K1" s="244"/>
      <c r="L1" s="244"/>
      <c r="M1" s="244"/>
      <c r="N1" s="244"/>
      <c r="O1" s="244"/>
      <c r="P1" s="244"/>
      <c r="Q1" s="244"/>
    </row>
    <row r="2" spans="1:20" s="30" customFormat="1" ht="19.95" customHeight="1">
      <c r="A2" s="245" t="s">
        <v>138</v>
      </c>
      <c r="B2" s="245"/>
      <c r="C2" s="245"/>
      <c r="D2" s="245"/>
      <c r="E2" s="245"/>
      <c r="F2" s="245"/>
      <c r="G2" s="245"/>
      <c r="H2" s="245"/>
      <c r="I2" s="245"/>
      <c r="J2" s="245"/>
      <c r="K2" s="245"/>
      <c r="L2" s="245"/>
      <c r="M2" s="245"/>
      <c r="N2" s="245"/>
      <c r="O2" s="245"/>
      <c r="P2" s="245"/>
      <c r="Q2" s="245"/>
    </row>
    <row r="3" spans="1:20" ht="19.95" customHeight="1">
      <c r="A3" s="10" t="str">
        <f>底稿目录!A2</f>
        <v>被审计单位：</v>
      </c>
      <c r="C3" s="14"/>
      <c r="D3" s="14"/>
      <c r="E3" s="14" t="str">
        <f>底稿目录!A4</f>
        <v>编制人：</v>
      </c>
      <c r="I3" s="14" t="str">
        <f>底稿目录!A6</f>
        <v>编制日期：</v>
      </c>
      <c r="P3" s="142" t="s">
        <v>142</v>
      </c>
      <c r="Q3" s="136" t="s">
        <v>107</v>
      </c>
    </row>
    <row r="4" spans="1:20" ht="19.95" customHeight="1">
      <c r="A4" s="10" t="str">
        <f>底稿目录!A3</f>
        <v>会计期间：202X年度</v>
      </c>
      <c r="C4" s="14"/>
      <c r="D4" s="14"/>
      <c r="E4" s="14" t="str">
        <f>底稿目录!A5</f>
        <v>复核人：</v>
      </c>
      <c r="I4" s="14" t="str">
        <f>底稿目录!A7</f>
        <v>复核日期：</v>
      </c>
      <c r="P4" s="142" t="s">
        <v>143</v>
      </c>
      <c r="Q4" s="14"/>
    </row>
    <row r="5" spans="1:20" s="191" customFormat="1" ht="37.799999999999997" customHeight="1">
      <c r="A5" s="239" t="s">
        <v>245</v>
      </c>
      <c r="B5" s="239"/>
      <c r="C5" s="239"/>
      <c r="D5" s="239"/>
      <c r="E5" s="239"/>
      <c r="F5" s="239"/>
      <c r="G5" s="239"/>
      <c r="H5" s="239"/>
      <c r="I5" s="239"/>
      <c r="J5" s="239"/>
      <c r="K5" s="239"/>
      <c r="L5" s="239"/>
      <c r="M5" s="239"/>
      <c r="N5" s="239"/>
      <c r="O5" s="239"/>
      <c r="P5" s="239"/>
      <c r="Q5" s="239"/>
      <c r="S5" s="180"/>
      <c r="T5" s="180"/>
    </row>
    <row r="6" spans="1:20" s="15" customFormat="1" ht="19.95" customHeight="1">
      <c r="A6" s="115" t="s">
        <v>108</v>
      </c>
      <c r="B6" s="174" t="s">
        <v>210</v>
      </c>
      <c r="C6" s="92"/>
      <c r="D6" s="92"/>
      <c r="E6" s="93"/>
      <c r="F6" s="94"/>
      <c r="M6" s="97"/>
      <c r="N6" s="97"/>
      <c r="O6" s="97"/>
      <c r="S6" s="10"/>
      <c r="T6" s="10"/>
    </row>
    <row r="7" spans="1:20" s="15" customFormat="1" ht="19.95" customHeight="1">
      <c r="A7" s="145" t="s">
        <v>149</v>
      </c>
      <c r="C7" s="92"/>
      <c r="D7" s="92"/>
      <c r="E7" s="93"/>
      <c r="F7" s="94"/>
      <c r="M7" s="97"/>
      <c r="N7" s="97"/>
      <c r="O7" s="97"/>
      <c r="S7" s="10"/>
      <c r="T7" s="10"/>
    </row>
    <row r="8" spans="1:20" s="184" customFormat="1" ht="19.95" customHeight="1">
      <c r="A8" s="222" t="s">
        <v>224</v>
      </c>
      <c r="B8" s="246" t="s">
        <v>220</v>
      </c>
      <c r="C8" s="247"/>
      <c r="D8" s="247"/>
      <c r="E8" s="247"/>
      <c r="F8" s="247"/>
      <c r="G8" s="247"/>
      <c r="H8" s="248"/>
      <c r="I8" s="249" t="s">
        <v>221</v>
      </c>
      <c r="J8" s="251" t="s">
        <v>211</v>
      </c>
      <c r="K8" s="252"/>
      <c r="L8" s="252"/>
      <c r="M8" s="252"/>
      <c r="N8" s="252"/>
      <c r="O8" s="253" t="s">
        <v>212</v>
      </c>
      <c r="P8" s="254" t="s">
        <v>213</v>
      </c>
      <c r="Q8" s="256" t="s">
        <v>214</v>
      </c>
    </row>
    <row r="9" spans="1:20" s="193" customFormat="1" ht="24.6" customHeight="1">
      <c r="A9" s="222"/>
      <c r="B9" s="194" t="s">
        <v>215</v>
      </c>
      <c r="C9" s="194" t="s">
        <v>216</v>
      </c>
      <c r="D9" s="194" t="s">
        <v>222</v>
      </c>
      <c r="E9" s="194" t="s">
        <v>223</v>
      </c>
      <c r="F9" s="194" t="s">
        <v>217</v>
      </c>
      <c r="G9" s="195" t="s">
        <v>218</v>
      </c>
      <c r="H9" s="195" t="s">
        <v>219</v>
      </c>
      <c r="I9" s="250"/>
      <c r="J9" s="175">
        <v>1</v>
      </c>
      <c r="K9" s="175">
        <v>2</v>
      </c>
      <c r="L9" s="175">
        <v>3</v>
      </c>
      <c r="M9" s="175">
        <v>4</v>
      </c>
      <c r="N9" s="175">
        <v>5</v>
      </c>
      <c r="O9" s="253"/>
      <c r="P9" s="255"/>
      <c r="Q9" s="257"/>
      <c r="R9" s="192"/>
    </row>
    <row r="10" spans="1:20" ht="19.95" customHeight="1">
      <c r="A10" s="35"/>
      <c r="B10" s="130"/>
      <c r="C10" s="16"/>
      <c r="D10" s="17"/>
      <c r="E10" s="16"/>
      <c r="F10" s="16"/>
      <c r="G10" s="18"/>
      <c r="H10" s="18"/>
      <c r="I10" s="19"/>
      <c r="J10" s="176"/>
      <c r="K10" s="176"/>
      <c r="L10" s="176"/>
      <c r="M10" s="176"/>
      <c r="N10" s="176"/>
      <c r="O10" s="177"/>
      <c r="P10" s="19"/>
      <c r="Q10" s="19"/>
    </row>
    <row r="11" spans="1:20" ht="19.95" customHeight="1">
      <c r="A11" s="35"/>
      <c r="B11" s="130"/>
      <c r="C11" s="16"/>
      <c r="D11" s="17"/>
      <c r="E11" s="16"/>
      <c r="F11" s="16"/>
      <c r="G11" s="18"/>
      <c r="H11" s="18"/>
      <c r="I11" s="19"/>
      <c r="J11" s="176"/>
      <c r="K11" s="176"/>
      <c r="L11" s="176"/>
      <c r="M11" s="176"/>
      <c r="N11" s="176"/>
      <c r="O11" s="177"/>
      <c r="P11" s="19"/>
      <c r="Q11" s="19"/>
    </row>
    <row r="12" spans="1:20" ht="19.95" customHeight="1">
      <c r="A12" s="35"/>
      <c r="B12" s="130"/>
      <c r="C12" s="16"/>
      <c r="D12" s="17"/>
      <c r="E12" s="16"/>
      <c r="F12" s="16"/>
      <c r="G12" s="18"/>
      <c r="H12" s="18"/>
      <c r="I12" s="19"/>
      <c r="J12" s="176"/>
      <c r="K12" s="176"/>
      <c r="L12" s="176"/>
      <c r="M12" s="176"/>
      <c r="N12" s="176"/>
      <c r="O12" s="177"/>
      <c r="P12" s="19"/>
      <c r="Q12" s="19"/>
    </row>
    <row r="13" spans="1:20" ht="19.95" customHeight="1">
      <c r="A13" s="35"/>
      <c r="B13" s="130"/>
      <c r="C13" s="16"/>
      <c r="D13" s="17"/>
      <c r="E13" s="16"/>
      <c r="F13" s="16"/>
      <c r="G13" s="18"/>
      <c r="H13" s="18"/>
      <c r="I13" s="19"/>
      <c r="J13" s="176"/>
      <c r="K13" s="176"/>
      <c r="L13" s="176"/>
      <c r="M13" s="176"/>
      <c r="N13" s="176"/>
      <c r="O13" s="177"/>
      <c r="P13" s="19"/>
      <c r="Q13" s="19"/>
    </row>
    <row r="14" spans="1:20" ht="19.95" customHeight="1">
      <c r="A14" s="35"/>
      <c r="B14" s="130"/>
      <c r="C14" s="16"/>
      <c r="D14" s="17"/>
      <c r="E14" s="16"/>
      <c r="F14" s="16"/>
      <c r="G14" s="18"/>
      <c r="H14" s="18"/>
      <c r="I14" s="19"/>
      <c r="J14" s="176"/>
      <c r="K14" s="176"/>
      <c r="L14" s="176"/>
      <c r="M14" s="176"/>
      <c r="N14" s="176"/>
      <c r="O14" s="177"/>
      <c r="P14" s="19"/>
      <c r="Q14" s="19"/>
    </row>
    <row r="15" spans="1:20" ht="19.95" customHeight="1">
      <c r="A15" s="35"/>
      <c r="B15" s="130"/>
      <c r="C15" s="16"/>
      <c r="D15" s="17"/>
      <c r="E15" s="16"/>
      <c r="F15" s="16"/>
      <c r="G15" s="18"/>
      <c r="H15" s="18"/>
      <c r="I15" s="19"/>
      <c r="J15" s="176"/>
      <c r="K15" s="176"/>
      <c r="L15" s="176"/>
      <c r="M15" s="176"/>
      <c r="N15" s="176"/>
      <c r="O15" s="177"/>
      <c r="P15" s="19"/>
      <c r="Q15" s="19"/>
    </row>
    <row r="16" spans="1:20" ht="19.95" customHeight="1">
      <c r="A16" s="35"/>
      <c r="B16" s="130"/>
      <c r="C16" s="16"/>
      <c r="D16" s="17"/>
      <c r="E16" s="16"/>
      <c r="F16" s="16"/>
      <c r="G16" s="18"/>
      <c r="H16" s="18"/>
      <c r="I16" s="19"/>
      <c r="J16" s="176"/>
      <c r="K16" s="176"/>
      <c r="L16" s="176"/>
      <c r="M16" s="176"/>
      <c r="N16" s="176"/>
      <c r="O16" s="177"/>
      <c r="P16" s="19"/>
      <c r="Q16" s="19"/>
    </row>
    <row r="17" spans="1:17" ht="19.95" customHeight="1">
      <c r="A17" s="35"/>
      <c r="B17" s="130"/>
      <c r="C17" s="16"/>
      <c r="D17" s="17"/>
      <c r="E17" s="16"/>
      <c r="F17" s="16"/>
      <c r="G17" s="18"/>
      <c r="H17" s="18"/>
      <c r="I17" s="19"/>
      <c r="J17" s="176"/>
      <c r="K17" s="176"/>
      <c r="L17" s="176"/>
      <c r="M17" s="176"/>
      <c r="N17" s="176"/>
      <c r="O17" s="177"/>
      <c r="P17" s="19"/>
      <c r="Q17" s="19"/>
    </row>
    <row r="18" spans="1:17" ht="19.8" customHeight="1">
      <c r="A18" s="35"/>
      <c r="B18" s="130"/>
      <c r="C18" s="16"/>
      <c r="D18" s="17"/>
      <c r="E18" s="16"/>
      <c r="F18" s="16"/>
      <c r="G18" s="18"/>
      <c r="H18" s="18"/>
      <c r="I18" s="19"/>
      <c r="J18" s="176"/>
      <c r="K18" s="176"/>
      <c r="L18" s="176"/>
      <c r="M18" s="176"/>
      <c r="N18" s="176"/>
      <c r="O18" s="177"/>
      <c r="P18" s="19"/>
      <c r="Q18" s="19"/>
    </row>
    <row r="19" spans="1:17" s="208" customFormat="1" ht="19.95" customHeight="1">
      <c r="A19" s="243" t="s">
        <v>241</v>
      </c>
      <c r="B19" s="243"/>
      <c r="C19" s="243"/>
      <c r="D19" s="243"/>
      <c r="E19" s="205"/>
      <c r="F19" s="205"/>
      <c r="G19" s="206">
        <f>SUM(G10:G18)</f>
        <v>0</v>
      </c>
      <c r="H19" s="206">
        <f>SUM(H10:H18)</f>
        <v>0</v>
      </c>
      <c r="I19" s="120"/>
      <c r="J19" s="175"/>
      <c r="K19" s="175"/>
      <c r="L19" s="175"/>
      <c r="M19" s="175"/>
      <c r="N19" s="175"/>
      <c r="O19" s="207"/>
      <c r="P19" s="120"/>
      <c r="Q19" s="120"/>
    </row>
    <row r="20" spans="1:17" s="208" customFormat="1" ht="19.95" customHeight="1">
      <c r="A20" s="243" t="s">
        <v>242</v>
      </c>
      <c r="B20" s="243"/>
      <c r="C20" s="243"/>
      <c r="D20" s="243"/>
      <c r="E20" s="205"/>
      <c r="F20" s="205"/>
      <c r="G20" s="206"/>
      <c r="H20" s="206">
        <f>'明细表H10-2'!Q17</f>
        <v>0</v>
      </c>
      <c r="I20" s="120"/>
      <c r="J20" s="175"/>
      <c r="K20" s="175"/>
      <c r="L20" s="175"/>
      <c r="M20" s="175"/>
      <c r="N20" s="175"/>
      <c r="O20" s="207"/>
      <c r="P20" s="120"/>
      <c r="Q20" s="120"/>
    </row>
    <row r="21" spans="1:17" s="208" customFormat="1" ht="19.95" customHeight="1">
      <c r="A21" s="243" t="s">
        <v>243</v>
      </c>
      <c r="B21" s="243"/>
      <c r="C21" s="243"/>
      <c r="D21" s="243"/>
      <c r="E21" s="205"/>
      <c r="F21" s="205"/>
      <c r="G21" s="206"/>
      <c r="H21" s="209" t="e">
        <f>H19/H20</f>
        <v>#DIV/0!</v>
      </c>
      <c r="I21" s="120"/>
      <c r="J21" s="175"/>
      <c r="K21" s="175"/>
      <c r="L21" s="175"/>
      <c r="M21" s="175"/>
      <c r="N21" s="175"/>
      <c r="O21" s="207"/>
      <c r="P21" s="120"/>
      <c r="Q21" s="120"/>
    </row>
    <row r="22" spans="1:17" s="9" customFormat="1" ht="19.95" customHeight="1">
      <c r="A22" s="115" t="s">
        <v>109</v>
      </c>
      <c r="H22" s="21"/>
      <c r="I22" s="20"/>
      <c r="J22" s="20"/>
      <c r="K22" s="20"/>
      <c r="L22" s="20"/>
      <c r="M22" s="98"/>
      <c r="N22" s="99"/>
      <c r="O22" s="99"/>
    </row>
    <row r="23" spans="1:17" s="9" customFormat="1" ht="19.95" customHeight="1">
      <c r="A23" s="198" t="s">
        <v>244</v>
      </c>
      <c r="B23" s="48"/>
      <c r="C23"/>
      <c r="H23" s="198"/>
      <c r="I23" s="20"/>
      <c r="J23" s="20"/>
      <c r="K23" s="20"/>
      <c r="L23" s="20"/>
      <c r="M23" s="98"/>
      <c r="N23" s="99"/>
      <c r="O23" s="99"/>
    </row>
    <row r="24" spans="1:17" s="9" customFormat="1" ht="19.95" customHeight="1">
      <c r="A24" s="201" t="s">
        <v>240</v>
      </c>
      <c r="B24" s="199"/>
      <c r="C24"/>
      <c r="D24" s="202"/>
      <c r="E24" s="203"/>
      <c r="F24" s="203"/>
      <c r="G24" s="204"/>
      <c r="H24" s="200"/>
      <c r="I24" s="14"/>
      <c r="J24" s="14"/>
      <c r="K24" s="14"/>
      <c r="L24" s="14"/>
      <c r="M24" s="96"/>
      <c r="N24" s="99"/>
      <c r="O24" s="99"/>
    </row>
    <row r="25" spans="1:17" ht="19.95" customHeight="1">
      <c r="A25" s="9"/>
      <c r="B25" s="9"/>
      <c r="C25" s="9"/>
      <c r="D25" s="9"/>
      <c r="E25" s="9"/>
      <c r="F25" s="9"/>
      <c r="G25" s="9"/>
      <c r="H25" s="144"/>
      <c r="I25" s="14"/>
      <c r="J25" s="14"/>
      <c r="K25" s="14"/>
      <c r="L25" s="14"/>
      <c r="M25" s="96"/>
      <c r="N25" s="99"/>
      <c r="O25" s="99"/>
      <c r="P25" s="9"/>
    </row>
    <row r="26" spans="1:17" ht="19.95" customHeight="1">
      <c r="A26" s="21" t="s">
        <v>110</v>
      </c>
      <c r="B26" s="9"/>
      <c r="C26" s="9"/>
      <c r="D26" s="9"/>
      <c r="E26" s="9"/>
      <c r="F26" s="9"/>
      <c r="G26" s="9"/>
      <c r="H26" s="144"/>
      <c r="I26" s="14"/>
      <c r="J26" s="14"/>
      <c r="K26" s="14"/>
      <c r="L26" s="14"/>
      <c r="M26" s="96"/>
      <c r="N26" s="99"/>
      <c r="O26" s="99"/>
      <c r="P26" s="9"/>
    </row>
    <row r="27" spans="1:17" ht="19.95" customHeight="1">
      <c r="A27" s="9"/>
      <c r="B27" s="9"/>
      <c r="C27" s="9"/>
      <c r="D27" s="9"/>
      <c r="E27" s="9"/>
      <c r="F27" s="9"/>
      <c r="G27" s="9"/>
      <c r="H27" s="14"/>
      <c r="I27" s="14"/>
      <c r="J27" s="14"/>
      <c r="K27" s="14"/>
      <c r="L27" s="14"/>
      <c r="M27" s="96"/>
      <c r="N27" s="99"/>
      <c r="O27" s="99"/>
      <c r="P27" s="9"/>
    </row>
    <row r="28" spans="1:17" ht="19.95" customHeight="1">
      <c r="B28" s="22"/>
      <c r="D28" s="23"/>
      <c r="E28" s="23"/>
      <c r="F28" s="23"/>
      <c r="G28" s="23"/>
      <c r="H28" s="23"/>
      <c r="I28" s="23"/>
      <c r="J28" s="23"/>
      <c r="K28" s="23"/>
      <c r="L28" s="23"/>
      <c r="M28" s="100"/>
    </row>
    <row r="29" spans="1:17" ht="19.95" customHeight="1">
      <c r="B29" s="22"/>
      <c r="D29" s="23"/>
      <c r="E29" s="23"/>
      <c r="F29" s="23"/>
      <c r="G29" s="23"/>
      <c r="H29" s="23"/>
      <c r="I29" s="23"/>
      <c r="J29" s="23"/>
      <c r="K29" s="23"/>
      <c r="L29" s="23"/>
      <c r="M29" s="100"/>
    </row>
    <row r="30" spans="1:17" ht="19.95" customHeight="1">
      <c r="B30" s="147"/>
    </row>
    <row r="31" spans="1:17" ht="19.95" customHeight="1">
      <c r="B31" s="24"/>
      <c r="C31" s="24"/>
    </row>
    <row r="32" spans="1:17" ht="19.95" customHeight="1">
      <c r="B32" s="25"/>
      <c r="C32" s="25"/>
    </row>
    <row r="33" spans="2:15" ht="19.95" customHeight="1">
      <c r="B33" s="39"/>
      <c r="C33" s="25"/>
    </row>
    <row r="34" spans="2:15" ht="19.95" customHeight="1">
      <c r="B34" s="26"/>
      <c r="C34" s="25"/>
    </row>
    <row r="35" spans="2:15" ht="19.95" customHeight="1">
      <c r="B35" s="26"/>
      <c r="C35" s="25"/>
    </row>
    <row r="36" spans="2:15" ht="19.95" customHeight="1">
      <c r="B36" s="26"/>
      <c r="C36" s="25"/>
    </row>
    <row r="38" spans="2:15" ht="19.95" customHeight="1">
      <c r="B38" s="24"/>
    </row>
    <row r="39" spans="2:15" s="24" customFormat="1" ht="19.95" customHeight="1">
      <c r="B39" s="27"/>
      <c r="M39" s="101"/>
      <c r="N39" s="101"/>
      <c r="O39" s="101"/>
    </row>
    <row r="40" spans="2:15" s="24" customFormat="1" ht="19.95" customHeight="1">
      <c r="B40" s="27"/>
      <c r="M40" s="101"/>
      <c r="N40" s="101"/>
      <c r="O40" s="101"/>
    </row>
    <row r="41" spans="2:15" s="24" customFormat="1" ht="19.95" customHeight="1">
      <c r="B41" s="27"/>
      <c r="M41" s="101"/>
      <c r="N41" s="101"/>
      <c r="O41" s="101"/>
    </row>
    <row r="42" spans="2:15" s="24" customFormat="1" ht="19.95" customHeight="1">
      <c r="B42" s="27"/>
      <c r="M42" s="101"/>
      <c r="N42" s="101"/>
      <c r="O42" s="101"/>
    </row>
    <row r="43" spans="2:15" s="24" customFormat="1" ht="19.95" customHeight="1">
      <c r="B43" s="27"/>
      <c r="M43" s="101"/>
      <c r="N43" s="101"/>
      <c r="O43" s="101"/>
    </row>
    <row r="44" spans="2:15" s="24" customFormat="1" ht="19.95" customHeight="1">
      <c r="B44" s="27"/>
      <c r="C44" s="40"/>
      <c r="D44" s="8"/>
      <c r="M44" s="101"/>
      <c r="N44" s="101"/>
      <c r="O44" s="101"/>
    </row>
    <row r="45" spans="2:15" s="24" customFormat="1" ht="19.95" customHeight="1">
      <c r="B45" s="27"/>
      <c r="C45" s="8"/>
      <c r="D45" s="8"/>
      <c r="M45" s="101"/>
      <c r="N45" s="101"/>
      <c r="O45" s="101"/>
    </row>
    <row r="46" spans="2:15" s="24" customFormat="1" ht="19.95" customHeight="1">
      <c r="B46" s="27"/>
      <c r="C46" s="8"/>
      <c r="D46" s="8"/>
      <c r="M46" s="101"/>
      <c r="N46" s="101"/>
      <c r="O46" s="101"/>
    </row>
    <row r="47" spans="2:15" s="24" customFormat="1" ht="19.95" customHeight="1">
      <c r="B47" s="28"/>
      <c r="C47" s="8"/>
      <c r="D47" s="7"/>
      <c r="M47" s="101"/>
      <c r="N47" s="101"/>
      <c r="O47" s="101"/>
    </row>
    <row r="48" spans="2:15" s="24" customFormat="1" ht="19.95" customHeight="1">
      <c r="C48" s="8"/>
      <c r="D48" s="7"/>
      <c r="M48" s="101"/>
      <c r="N48" s="101"/>
      <c r="O48" s="101"/>
    </row>
    <row r="49" spans="2:15" s="24" customFormat="1" ht="19.95" customHeight="1">
      <c r="M49" s="101"/>
      <c r="N49" s="101"/>
      <c r="O49" s="101"/>
    </row>
    <row r="50" spans="2:15" ht="19.95" customHeight="1">
      <c r="B50" s="27"/>
      <c r="C50" s="24"/>
    </row>
    <row r="51" spans="2:15" ht="19.95" customHeight="1">
      <c r="C51" s="24"/>
    </row>
    <row r="52" spans="2:15" ht="19.95" customHeight="1">
      <c r="C52" s="24"/>
    </row>
    <row r="53" spans="2:15" ht="19.95" customHeight="1">
      <c r="C53" s="24"/>
    </row>
    <row r="54" spans="2:15" ht="19.95" customHeight="1">
      <c r="C54" s="24"/>
    </row>
    <row r="55" spans="2:15" ht="19.95" customHeight="1">
      <c r="C55" s="24"/>
    </row>
    <row r="56" spans="2:15" ht="19.95" customHeight="1">
      <c r="C56" s="24"/>
    </row>
    <row r="58" spans="2:15" ht="19.95" customHeight="1">
      <c r="C58" s="41"/>
    </row>
    <row r="59" spans="2:15" ht="19.95" customHeight="1">
      <c r="C59" s="24"/>
    </row>
    <row r="60" spans="2:15" ht="19.95" customHeight="1">
      <c r="C60" s="24"/>
    </row>
    <row r="62" spans="2:15" ht="19.95" customHeight="1">
      <c r="B62" s="27"/>
      <c r="C62" s="24"/>
      <c r="D62" s="24"/>
    </row>
    <row r="63" spans="2:15" ht="19.95" customHeight="1">
      <c r="C63" s="24"/>
      <c r="D63" s="24"/>
    </row>
    <row r="64" spans="2:15" ht="19.95" customHeight="1">
      <c r="C64" s="24"/>
      <c r="D64" s="24"/>
    </row>
    <row r="65" spans="3:4" ht="19.95" customHeight="1">
      <c r="C65" s="24"/>
      <c r="D65" s="24"/>
    </row>
    <row r="66" spans="3:4" ht="19.95" customHeight="1">
      <c r="C66" s="24"/>
      <c r="D66" s="24"/>
    </row>
    <row r="67" spans="3:4" ht="19.95" customHeight="1">
      <c r="C67" s="24"/>
      <c r="D67" s="24"/>
    </row>
    <row r="68" spans="3:4" ht="19.95" customHeight="1">
      <c r="C68" s="24"/>
    </row>
    <row r="69" spans="3:4" ht="19.95" customHeight="1">
      <c r="C69" s="24"/>
    </row>
    <row r="70" spans="3:4" ht="19.95" customHeight="1">
      <c r="C70" s="24"/>
    </row>
    <row r="71" spans="3:4" ht="19.95" customHeight="1">
      <c r="C71" s="41"/>
      <c r="D71" s="24"/>
    </row>
    <row r="72" spans="3:4" ht="19.95" customHeight="1">
      <c r="C72" s="24"/>
      <c r="D72" s="24"/>
    </row>
    <row r="73" spans="3:4" ht="19.95" customHeight="1">
      <c r="C73" s="24"/>
      <c r="D73" s="24"/>
    </row>
    <row r="74" spans="3:4" ht="19.95" customHeight="1">
      <c r="C74" s="24"/>
      <c r="D74" s="24"/>
    </row>
    <row r="75" spans="3:4" ht="19.95" customHeight="1">
      <c r="C75" s="24"/>
      <c r="D75" s="24"/>
    </row>
    <row r="76" spans="3:4" ht="19.95" customHeight="1">
      <c r="C76" s="24"/>
      <c r="D76" s="24"/>
    </row>
    <row r="77" spans="3:4" ht="19.95" customHeight="1">
      <c r="C77" s="24"/>
      <c r="D77" s="24"/>
    </row>
    <row r="78" spans="3:4" ht="19.95" customHeight="1">
      <c r="C78" s="24"/>
      <c r="D78" s="24"/>
    </row>
    <row r="79" spans="3:4" ht="19.95" customHeight="1">
      <c r="C79" s="24"/>
      <c r="D79" s="24"/>
    </row>
    <row r="80" spans="3:4" ht="19.95" customHeight="1">
      <c r="C80" s="24"/>
      <c r="D80" s="24"/>
    </row>
  </sheetData>
  <mergeCells count="13">
    <mergeCell ref="A20:D20"/>
    <mergeCell ref="A21:D21"/>
    <mergeCell ref="A1:Q1"/>
    <mergeCell ref="A2:Q2"/>
    <mergeCell ref="A8:A9"/>
    <mergeCell ref="B8:H8"/>
    <mergeCell ref="I8:I9"/>
    <mergeCell ref="J8:N8"/>
    <mergeCell ref="A19:D19"/>
    <mergeCell ref="O8:O9"/>
    <mergeCell ref="P8:P9"/>
    <mergeCell ref="Q8:Q9"/>
    <mergeCell ref="A5:Q5"/>
  </mergeCells>
  <phoneticPr fontId="12" type="noConversion"/>
  <dataValidations count="1">
    <dataValidation type="list" allowBlank="1" showInputMessage="1" showErrorMessage="1" sqref="J10:N21">
      <formula1>"√,X"</formula1>
    </dataValidation>
  </dataValidations>
  <hyperlinks>
    <hyperlink ref="Q3" location="底稿目录!A1" display="H10-4"/>
  </hyperlinks>
  <printOptions horizontalCentered="1"/>
  <pageMargins left="0.70866141732283472" right="0.70866141732283472" top="0.74803149606299213" bottom="0.74803149606299213" header="0.31496062992125984" footer="0.31496062992125984"/>
  <pageSetup paperSize="9" scale="73" fitToHeight="100" orientation="landscape" blackAndWhite="1" cellComments="atEnd"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8"/>
  <sheetViews>
    <sheetView workbookViewId="0"/>
  </sheetViews>
  <sheetFormatPr defaultRowHeight="15.6"/>
  <sheetData>
    <row r="1" spans="1:2">
      <c r="A1" t="s">
        <v>10</v>
      </c>
      <c r="B1" t="s">
        <v>11</v>
      </c>
    </row>
    <row r="2" spans="1:2">
      <c r="A2" t="s">
        <v>12</v>
      </c>
      <c r="B2" t="s">
        <v>13</v>
      </c>
    </row>
    <row r="3" spans="1:2">
      <c r="A3" t="s">
        <v>14</v>
      </c>
      <c r="B3" t="s">
        <v>15</v>
      </c>
    </row>
    <row r="4" spans="1:2">
      <c r="A4" t="s">
        <v>16</v>
      </c>
      <c r="B4" t="s">
        <v>17</v>
      </c>
    </row>
    <row r="5" spans="1:2">
      <c r="A5" t="s">
        <v>18</v>
      </c>
      <c r="B5" t="s">
        <v>19</v>
      </c>
    </row>
    <row r="6" spans="1:2">
      <c r="A6" t="s">
        <v>20</v>
      </c>
      <c r="B6" t="s">
        <v>21</v>
      </c>
    </row>
    <row r="7" spans="1:2">
      <c r="A7" t="s">
        <v>22</v>
      </c>
      <c r="B7" t="s">
        <v>23</v>
      </c>
    </row>
    <row r="8" spans="1:2">
      <c r="A8" t="s">
        <v>24</v>
      </c>
      <c r="B8" t="s">
        <v>25</v>
      </c>
    </row>
  </sheetData>
  <phoneticPr fontId="1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10</vt:i4>
      </vt:variant>
    </vt:vector>
  </HeadingPairs>
  <TitlesOfParts>
    <vt:vector size="19" baseType="lpstr">
      <vt:lpstr>底稿目录</vt:lpstr>
      <vt:lpstr>资产处置损益实质性程序表H10A</vt:lpstr>
      <vt:lpstr>审定表H10-1</vt:lpstr>
      <vt:lpstr>附注披露信息（上市公司）</vt:lpstr>
      <vt:lpstr>附注披露信息（国企）</vt:lpstr>
      <vt:lpstr>明细表H10-2</vt:lpstr>
      <vt:lpstr>调整分录汇总H10-3</vt:lpstr>
      <vt:lpstr>检查表H10-4</vt:lpstr>
      <vt:lpstr>GT_Custom</vt:lpstr>
      <vt:lpstr>资产处置损益实质性程序表H10A!_FilterDatabase</vt:lpstr>
      <vt:lpstr>'调整分录汇总H10-3'!Print_Area</vt:lpstr>
      <vt:lpstr>'附注披露信息（国企）'!Print_Area</vt:lpstr>
      <vt:lpstr>'附注披露信息（上市公司）'!Print_Area</vt:lpstr>
      <vt:lpstr>'检查表H10-4'!Print_Area</vt:lpstr>
      <vt:lpstr>'明细表H10-2'!Print_Area</vt:lpstr>
      <vt:lpstr>'审定表H10-1'!Print_Area</vt:lpstr>
      <vt:lpstr>资产处置损益实质性程序表H10A!Print_Area</vt:lpstr>
      <vt:lpstr>'审定表H10-1'!Print_Titles</vt:lpstr>
      <vt:lpstr>资产处置损益实质性程序表H10A!Print_Titles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2025-09-23T09:08:22Z</cp:lastPrinted>
  <dcterms:created xsi:type="dcterms:W3CDTF">2007-05-20T08:51:05Z</dcterms:created>
  <dcterms:modified xsi:type="dcterms:W3CDTF">2025-11-05T06:36:02Z</dcterms:modified>
</cp:coreProperties>
</file>