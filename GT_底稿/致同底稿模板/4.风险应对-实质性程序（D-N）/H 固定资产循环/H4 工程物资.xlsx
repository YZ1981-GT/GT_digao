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19"/>
  </bookViews>
  <sheets>
    <sheet name="底稿目录" sheetId="10" r:id="rId1"/>
    <sheet name="工程物资实质性程序表H4A" sheetId="21" r:id="rId2"/>
    <sheet name="审定表H4-1" sheetId="1" r:id="rId3"/>
    <sheet name="附注披露信息（上市公司）" sheetId="2" r:id="rId4"/>
    <sheet name="附注披露信息（国有企业）" sheetId="3" r:id="rId5"/>
    <sheet name="明细表H4-2" sheetId="4" r:id="rId6"/>
    <sheet name="调整分录汇总H4-3" sheetId="20" r:id="rId7"/>
    <sheet name="增加检查表H4-4" sheetId="5" r:id="rId8"/>
    <sheet name="减少检查表H4-5" sheetId="6" r:id="rId9"/>
    <sheet name="盘点检查表H4-6" sheetId="9" r:id="rId10"/>
    <sheet name="减值测算表H4-7" sheetId="7" r:id="rId11"/>
    <sheet name="可收回金额测试表H4-8" sheetId="8" r:id="rId12"/>
    <sheet name="关联交易检查表H4-9" sheetId="11" r:id="rId13"/>
  </sheets>
  <definedNames>
    <definedName name="_xlnm._FilterDatabase" localSheetId="1" hidden="1">工程物资实质性程序表H4A!$A$16:$L$29</definedName>
    <definedName name="_xlnm.Print_Area" localSheetId="6">'调整分录汇总H4-3'!$A$1:$J$21</definedName>
    <definedName name="_xlnm.Print_Area" localSheetId="4">'附注披露信息（国有企业）'!$A$1:$G$15</definedName>
    <definedName name="_xlnm.Print_Area" localSheetId="3">'附注披露信息（上市公司）'!$A$1:$E$14</definedName>
    <definedName name="_xlnm.Print_Area" localSheetId="1">工程物资实质性程序表H4A!$A$1:$I$29</definedName>
    <definedName name="_xlnm.Print_Area" localSheetId="12">'关联交易检查表H4-9'!$A$1:$N$29</definedName>
    <definedName name="_xlnm.Print_Area" localSheetId="8">'减少检查表H4-5'!$A$1:$V$39</definedName>
    <definedName name="_xlnm.Print_Area" localSheetId="10">'减值测算表H4-7'!$A$1:$M$23</definedName>
    <definedName name="_xlnm.Print_Area" localSheetId="11">'可收回金额测试表H4-8'!$A$1:$O$28</definedName>
    <definedName name="_xlnm.Print_Area" localSheetId="5">'明细表H4-2'!$A$1:$AW$39</definedName>
    <definedName name="_xlnm.Print_Area" localSheetId="9">'盘点检查表H4-6'!$A$1:$L$33</definedName>
    <definedName name="_xlnm.Print_Area" localSheetId="2">'审定表H4-1'!$A$1:$I$45</definedName>
    <definedName name="_xlnm.Print_Area" localSheetId="7">'增加检查表H4-4'!$A$1:$R$39</definedName>
    <definedName name="_xlnm.Print_Titles" localSheetId="5">'明细表H4-2'!$A:$D</definedName>
  </definedNames>
  <calcPr calcId="162913"/>
</workbook>
</file>

<file path=xl/calcChain.xml><?xml version="1.0" encoding="utf-8"?>
<calcChain xmlns="http://schemas.openxmlformats.org/spreadsheetml/2006/main">
  <c r="H32" i="6" l="1"/>
  <c r="I32" i="6"/>
  <c r="J26" i="6"/>
  <c r="M26" i="6" s="1"/>
  <c r="J27" i="6"/>
  <c r="M27" i="6" s="1"/>
  <c r="J28" i="6"/>
  <c r="M28" i="6"/>
  <c r="J29" i="6"/>
  <c r="M29" i="6" s="1"/>
  <c r="J30" i="6"/>
  <c r="M30" i="6" s="1"/>
  <c r="J31" i="6"/>
  <c r="M31" i="6" s="1"/>
  <c r="K32" i="6"/>
  <c r="L32" i="6"/>
  <c r="I32" i="5" l="1"/>
  <c r="D5" i="10"/>
  <c r="I17" i="9" l="1"/>
  <c r="J17" i="9"/>
  <c r="K17" i="9"/>
  <c r="I18" i="9"/>
  <c r="J18" i="9"/>
  <c r="K18" i="9"/>
  <c r="I19" i="9"/>
  <c r="J19" i="9"/>
  <c r="K19" i="9"/>
  <c r="I20" i="9"/>
  <c r="J20" i="9"/>
  <c r="K20" i="9"/>
  <c r="I21" i="9"/>
  <c r="J21" i="9"/>
  <c r="K21" i="9"/>
  <c r="I22" i="9"/>
  <c r="J22" i="9"/>
  <c r="K22" i="9"/>
  <c r="I23" i="9"/>
  <c r="J23" i="9"/>
  <c r="K23" i="9"/>
  <c r="I24" i="9"/>
  <c r="J24" i="9"/>
  <c r="K24" i="9"/>
  <c r="I25" i="9"/>
  <c r="J25" i="9"/>
  <c r="K25" i="9"/>
  <c r="I26" i="9"/>
  <c r="J26" i="9"/>
  <c r="K26" i="9"/>
  <c r="K16" i="9"/>
  <c r="J16" i="9"/>
  <c r="I16" i="9"/>
  <c r="N12" i="4" l="1"/>
  <c r="L13" i="4"/>
  <c r="D6" i="10" l="1"/>
  <c r="D7" i="10" s="1"/>
  <c r="D8" i="10" s="1"/>
  <c r="D9" i="10" s="1"/>
  <c r="D10" i="10" s="1"/>
  <c r="D11" i="10" s="1"/>
  <c r="D12" i="10" s="1"/>
  <c r="D13" i="10" s="1"/>
  <c r="D14" i="10" s="1"/>
  <c r="D15" i="10" s="1"/>
  <c r="G27" i="9" l="1"/>
  <c r="H27" i="9"/>
  <c r="I27" i="9"/>
  <c r="J27" i="9"/>
  <c r="K27" i="9"/>
  <c r="F27" i="9"/>
  <c r="F29" i="9" s="1"/>
  <c r="F4" i="21" l="1"/>
  <c r="C4" i="21"/>
  <c r="A4" i="21"/>
  <c r="F3" i="21"/>
  <c r="C3" i="21"/>
  <c r="A3" i="21"/>
  <c r="H10" i="7" l="1"/>
  <c r="E16" i="7"/>
  <c r="B13" i="8"/>
  <c r="E27" i="9"/>
  <c r="J16" i="6"/>
  <c r="M16" i="6" l="1"/>
  <c r="I10" i="7"/>
  <c r="K10" i="7" s="1"/>
  <c r="AR12" i="4"/>
  <c r="AQ12" i="4"/>
  <c r="AP12" i="4"/>
  <c r="AI28" i="4"/>
  <c r="AL12" i="4"/>
  <c r="AE12" i="4"/>
  <c r="AC12" i="4"/>
  <c r="AB12" i="4"/>
  <c r="Z27" i="4"/>
  <c r="Y12" i="4"/>
  <c r="W12" i="4"/>
  <c r="P12" i="4"/>
  <c r="L12" i="4"/>
  <c r="I12" i="4"/>
  <c r="E28" i="4"/>
  <c r="F12" i="4"/>
  <c r="AT12" i="4" l="1"/>
  <c r="AH12" i="4"/>
  <c r="AD12" i="4"/>
  <c r="AS12" i="4"/>
  <c r="F4" i="1"/>
  <c r="D4" i="1"/>
  <c r="D4" i="2"/>
  <c r="C4" i="2"/>
  <c r="D4" i="3"/>
  <c r="B4" i="3"/>
  <c r="AR4" i="4"/>
  <c r="AR3" i="4"/>
  <c r="AN4" i="4"/>
  <c r="AN3" i="4"/>
  <c r="AI4" i="4"/>
  <c r="AI3" i="4"/>
  <c r="V4" i="4"/>
  <c r="J4" i="4"/>
  <c r="G4" i="20"/>
  <c r="G3" i="20"/>
  <c r="D4" i="20"/>
  <c r="D3" i="20"/>
  <c r="A4" i="20"/>
  <c r="A3" i="20"/>
  <c r="G4" i="5"/>
  <c r="C4" i="5"/>
  <c r="L4" i="6"/>
  <c r="G4" i="6"/>
  <c r="H4" i="9"/>
  <c r="D4" i="9"/>
  <c r="J4" i="8"/>
  <c r="D4" i="8"/>
  <c r="I4" i="11"/>
  <c r="F4" i="11"/>
  <c r="E4" i="7"/>
  <c r="I4" i="7"/>
  <c r="AU12" i="4" l="1"/>
  <c r="G28" i="4"/>
  <c r="F28" i="4" s="1"/>
  <c r="H28" i="4"/>
  <c r="J28" i="4"/>
  <c r="K28" i="4"/>
  <c r="M28" i="4"/>
  <c r="Q28" i="4"/>
  <c r="R28" i="4"/>
  <c r="S28" i="4"/>
  <c r="T28" i="4"/>
  <c r="U28" i="4"/>
  <c r="V28" i="4"/>
  <c r="AJ28" i="4"/>
  <c r="AK28" i="4"/>
  <c r="AM28" i="4"/>
  <c r="AN28" i="4"/>
  <c r="AO28" i="4"/>
  <c r="A31" i="4"/>
  <c r="A32" i="4"/>
  <c r="A33" i="4"/>
  <c r="A34" i="4"/>
  <c r="A30" i="4"/>
  <c r="A12" i="1"/>
  <c r="A19" i="1" s="1"/>
  <c r="A9" i="1"/>
  <c r="A10" i="1"/>
  <c r="A11" i="1"/>
  <c r="A8" i="1"/>
  <c r="L28" i="4" l="1"/>
  <c r="I28" i="4"/>
  <c r="AM34" i="4"/>
  <c r="C19" i="1" s="1"/>
  <c r="Q34" i="4"/>
  <c r="K34" i="4"/>
  <c r="AN34" i="4"/>
  <c r="R34" i="4"/>
  <c r="C12" i="1" s="1"/>
  <c r="U34" i="4"/>
  <c r="G34" i="4"/>
  <c r="B12" i="1" s="1"/>
  <c r="AO34" i="4"/>
  <c r="S34" i="4"/>
  <c r="H34" i="4"/>
  <c r="AI34" i="4"/>
  <c r="B19" i="1" s="1"/>
  <c r="T34" i="4"/>
  <c r="M34" i="4"/>
  <c r="E34" i="4"/>
  <c r="AJ34" i="4"/>
  <c r="V34" i="4"/>
  <c r="J34" i="4"/>
  <c r="AK34" i="4"/>
  <c r="AJ33" i="4"/>
  <c r="T33" i="4"/>
  <c r="AK33" i="4"/>
  <c r="Q33" i="4"/>
  <c r="H33" i="4"/>
  <c r="V33" i="4"/>
  <c r="R33" i="4"/>
  <c r="C11" i="1" s="1"/>
  <c r="M33" i="4"/>
  <c r="J33" i="4"/>
  <c r="G33" i="4"/>
  <c r="B11" i="1" s="1"/>
  <c r="AI33" i="4"/>
  <c r="B18" i="1" s="1"/>
  <c r="AM33" i="4"/>
  <c r="C18" i="1" s="1"/>
  <c r="S33" i="4"/>
  <c r="E33" i="4"/>
  <c r="AN33" i="4"/>
  <c r="K33" i="4"/>
  <c r="AO33" i="4"/>
  <c r="U33" i="4"/>
  <c r="V31" i="4"/>
  <c r="M31" i="4"/>
  <c r="H31" i="4"/>
  <c r="AM31" i="4"/>
  <c r="C16" i="1" s="1"/>
  <c r="E31" i="4"/>
  <c r="R31" i="4"/>
  <c r="C9" i="1" s="1"/>
  <c r="G31" i="4"/>
  <c r="B9" i="1" s="1"/>
  <c r="AK31" i="4"/>
  <c r="AN31" i="4"/>
  <c r="J31" i="4"/>
  <c r="AO31" i="4"/>
  <c r="Q31" i="4"/>
  <c r="T31" i="4"/>
  <c r="U31" i="4"/>
  <c r="AI31" i="4"/>
  <c r="B16" i="1" s="1"/>
  <c r="S31" i="4"/>
  <c r="K31" i="4"/>
  <c r="AJ31" i="4"/>
  <c r="AI30" i="4"/>
  <c r="B15" i="1" s="1"/>
  <c r="T30" i="4"/>
  <c r="G30" i="4"/>
  <c r="B8" i="1" s="1"/>
  <c r="M30" i="4"/>
  <c r="AJ30" i="4"/>
  <c r="U30" i="4"/>
  <c r="K30" i="4"/>
  <c r="J30" i="4"/>
  <c r="AK30" i="4"/>
  <c r="V30" i="4"/>
  <c r="H30" i="4"/>
  <c r="AM30" i="4"/>
  <c r="C15" i="1" s="1"/>
  <c r="AN30" i="4"/>
  <c r="Q30" i="4"/>
  <c r="E30" i="4"/>
  <c r="AO30" i="4"/>
  <c r="R30" i="4"/>
  <c r="C8" i="1" s="1"/>
  <c r="S30" i="4"/>
  <c r="AO32" i="4"/>
  <c r="H32" i="4"/>
  <c r="V32" i="4"/>
  <c r="M32" i="4"/>
  <c r="AI32" i="4"/>
  <c r="B17" i="1" s="1"/>
  <c r="Q32" i="4"/>
  <c r="E32" i="4"/>
  <c r="AK32" i="4"/>
  <c r="S32" i="4"/>
  <c r="U32" i="4"/>
  <c r="AJ32" i="4"/>
  <c r="R32" i="4"/>
  <c r="J32" i="4"/>
  <c r="K32" i="4"/>
  <c r="AN32" i="4"/>
  <c r="T32" i="4"/>
  <c r="G32" i="4"/>
  <c r="B10" i="1" s="1"/>
  <c r="AM32" i="4"/>
  <c r="C17" i="1" s="1"/>
  <c r="A26" i="1"/>
  <c r="F19" i="1" l="1"/>
  <c r="B26" i="1"/>
  <c r="C26" i="1"/>
  <c r="D12" i="1"/>
  <c r="F11" i="1"/>
  <c r="F12" i="1"/>
  <c r="B13" i="1"/>
  <c r="B22" i="1"/>
  <c r="D8" i="1"/>
  <c r="F8" i="1"/>
  <c r="D15" i="1"/>
  <c r="D19" i="1"/>
  <c r="B20" i="1"/>
  <c r="F16" i="1"/>
  <c r="F9" i="1"/>
  <c r="F17" i="1"/>
  <c r="C10" i="1"/>
  <c r="C13" i="1" s="1"/>
  <c r="F10" i="1"/>
  <c r="C20" i="1"/>
  <c r="F18" i="1"/>
  <c r="F15" i="1"/>
  <c r="F26" i="1" l="1"/>
  <c r="D26" i="1"/>
  <c r="F13" i="1"/>
  <c r="F20" i="1"/>
  <c r="G18" i="8"/>
  <c r="AR27" i="4" l="1"/>
  <c r="AQ27" i="4"/>
  <c r="AP27" i="4"/>
  <c r="AR26" i="4"/>
  <c r="AQ26" i="4"/>
  <c r="AP26" i="4"/>
  <c r="AR25" i="4"/>
  <c r="AQ25" i="4"/>
  <c r="AP25" i="4"/>
  <c r="AR24" i="4"/>
  <c r="AQ24" i="4"/>
  <c r="AP24" i="4"/>
  <c r="AR23" i="4"/>
  <c r="AQ23" i="4"/>
  <c r="AP23" i="4"/>
  <c r="AR22" i="4"/>
  <c r="AQ22" i="4"/>
  <c r="AP22" i="4"/>
  <c r="AR21" i="4"/>
  <c r="AQ21" i="4"/>
  <c r="AP21" i="4"/>
  <c r="AR20" i="4"/>
  <c r="AQ20" i="4"/>
  <c r="AP20" i="4"/>
  <c r="AR19" i="4"/>
  <c r="AQ19" i="4"/>
  <c r="AP19" i="4"/>
  <c r="AR18" i="4"/>
  <c r="AQ18" i="4"/>
  <c r="AP18" i="4"/>
  <c r="AR17" i="4"/>
  <c r="AQ17" i="4"/>
  <c r="AP17" i="4"/>
  <c r="AR16" i="4"/>
  <c r="AQ16" i="4"/>
  <c r="AP16" i="4"/>
  <c r="AR15" i="4"/>
  <c r="AQ15" i="4"/>
  <c r="AP15" i="4"/>
  <c r="AR14" i="4"/>
  <c r="AQ14" i="4"/>
  <c r="AP14" i="4"/>
  <c r="AR13" i="4"/>
  <c r="AQ13" i="4"/>
  <c r="AP13" i="4"/>
  <c r="AE27" i="4"/>
  <c r="AC27" i="4"/>
  <c r="AB27" i="4"/>
  <c r="AE26" i="4"/>
  <c r="AC26" i="4"/>
  <c r="AB26" i="4"/>
  <c r="Z26" i="4"/>
  <c r="AE25" i="4"/>
  <c r="AC25" i="4"/>
  <c r="AB25" i="4"/>
  <c r="Z25" i="4"/>
  <c r="AE24" i="4"/>
  <c r="AC24" i="4"/>
  <c r="AB24" i="4"/>
  <c r="Z24" i="4"/>
  <c r="AE23" i="4"/>
  <c r="AC23" i="4"/>
  <c r="AB23" i="4"/>
  <c r="Z23" i="4"/>
  <c r="AE22" i="4"/>
  <c r="AC22" i="4"/>
  <c r="AB22" i="4"/>
  <c r="Z22" i="4"/>
  <c r="AE21" i="4"/>
  <c r="AC21" i="4"/>
  <c r="AB21" i="4"/>
  <c r="Z21" i="4"/>
  <c r="AE20" i="4"/>
  <c r="AC20" i="4"/>
  <c r="AB20" i="4"/>
  <c r="Z20" i="4"/>
  <c r="AE19" i="4"/>
  <c r="AC19" i="4"/>
  <c r="AB19" i="4"/>
  <c r="Z19" i="4"/>
  <c r="AE18" i="4"/>
  <c r="AC18" i="4"/>
  <c r="AB18" i="4"/>
  <c r="Z18" i="4"/>
  <c r="AE17" i="4"/>
  <c r="AC17" i="4"/>
  <c r="AB17" i="4"/>
  <c r="Z17" i="4"/>
  <c r="AE16" i="4"/>
  <c r="AC16" i="4"/>
  <c r="AB16" i="4"/>
  <c r="Z16" i="4"/>
  <c r="AE15" i="4"/>
  <c r="AC15" i="4"/>
  <c r="AB15" i="4"/>
  <c r="Z15" i="4"/>
  <c r="AE14" i="4"/>
  <c r="AC14" i="4"/>
  <c r="AB14" i="4"/>
  <c r="Z14" i="4"/>
  <c r="AE13" i="4"/>
  <c r="AC13" i="4"/>
  <c r="AB13" i="4"/>
  <c r="Z13" i="4"/>
  <c r="Z12" i="4"/>
  <c r="Y27" i="4"/>
  <c r="W27" i="4"/>
  <c r="Y26" i="4"/>
  <c r="W26" i="4"/>
  <c r="Y25" i="4"/>
  <c r="W25" i="4"/>
  <c r="Y24" i="4"/>
  <c r="W24" i="4"/>
  <c r="Y23" i="4"/>
  <c r="W23" i="4"/>
  <c r="Y22" i="4"/>
  <c r="W22" i="4"/>
  <c r="Y21" i="4"/>
  <c r="W21" i="4"/>
  <c r="Y20" i="4"/>
  <c r="W20" i="4"/>
  <c r="Y19" i="4"/>
  <c r="W19" i="4"/>
  <c r="Y18" i="4"/>
  <c r="W18" i="4"/>
  <c r="Y17" i="4"/>
  <c r="W17" i="4"/>
  <c r="Y16" i="4"/>
  <c r="W16" i="4"/>
  <c r="Y13" i="4"/>
  <c r="Y14" i="4"/>
  <c r="Y15" i="4"/>
  <c r="W13" i="4"/>
  <c r="W14" i="4"/>
  <c r="W15" i="4"/>
  <c r="AB33" i="4" l="1"/>
  <c r="AB32" i="4"/>
  <c r="AB31" i="4"/>
  <c r="AB34" i="4"/>
  <c r="AB30" i="4"/>
  <c r="AC33" i="4"/>
  <c r="AC34" i="4"/>
  <c r="AC32" i="4"/>
  <c r="AC31" i="4"/>
  <c r="AC30" i="4"/>
  <c r="AE31" i="4"/>
  <c r="AE34" i="4"/>
  <c r="AE30" i="4"/>
  <c r="AE32" i="4"/>
  <c r="AE33" i="4"/>
  <c r="AP30" i="4"/>
  <c r="AP34" i="4"/>
  <c r="AP31" i="4"/>
  <c r="AP33" i="4"/>
  <c r="AP32" i="4"/>
  <c r="AQ33" i="4"/>
  <c r="AQ34" i="4"/>
  <c r="AQ32" i="4"/>
  <c r="AQ30" i="4"/>
  <c r="AQ31" i="4"/>
  <c r="AR34" i="4"/>
  <c r="AR31" i="4"/>
  <c r="AR30" i="4"/>
  <c r="AR33" i="4"/>
  <c r="AR32" i="4"/>
  <c r="W33" i="4"/>
  <c r="W32" i="4"/>
  <c r="W30" i="4"/>
  <c r="W31" i="4"/>
  <c r="W34" i="4"/>
  <c r="Y34" i="4"/>
  <c r="Y33" i="4"/>
  <c r="Y30" i="4"/>
  <c r="Y32" i="4"/>
  <c r="Y31" i="4"/>
  <c r="AF12" i="4"/>
  <c r="Z32" i="4"/>
  <c r="Z33" i="4"/>
  <c r="Z30" i="4"/>
  <c r="Z34" i="4"/>
  <c r="Z31" i="4"/>
  <c r="AC28" i="4"/>
  <c r="AR28" i="4"/>
  <c r="AE28" i="4"/>
  <c r="H33" i="6" s="1"/>
  <c r="H34" i="6" s="1"/>
  <c r="AB28" i="4"/>
  <c r="I33" i="5" s="1"/>
  <c r="I34" i="5" s="1"/>
  <c r="Z28" i="4"/>
  <c r="Y28" i="4"/>
  <c r="W28" i="4"/>
  <c r="AQ28" i="4"/>
  <c r="AP28" i="4"/>
  <c r="X22" i="4"/>
  <c r="X26" i="4"/>
  <c r="AA13" i="4"/>
  <c r="AA19" i="4"/>
  <c r="AA23" i="4"/>
  <c r="AA25" i="4"/>
  <c r="AA27" i="4"/>
  <c r="X16" i="4"/>
  <c r="AD23" i="4"/>
  <c r="AD25" i="4"/>
  <c r="AD27" i="4"/>
  <c r="AD13" i="4"/>
  <c r="AD17" i="4"/>
  <c r="AD19" i="4"/>
  <c r="AD20" i="4"/>
  <c r="AD22" i="4"/>
  <c r="AA14" i="4"/>
  <c r="X24" i="4"/>
  <c r="AA21" i="4"/>
  <c r="AD18" i="4"/>
  <c r="X23" i="4"/>
  <c r="AA17" i="4"/>
  <c r="X27" i="4"/>
  <c r="X17" i="4"/>
  <c r="X21" i="4"/>
  <c r="X25" i="4"/>
  <c r="AA16" i="4"/>
  <c r="AA20" i="4"/>
  <c r="AA24" i="4"/>
  <c r="AD15" i="4"/>
  <c r="AA26" i="4"/>
  <c r="X18" i="4"/>
  <c r="AD24" i="4"/>
  <c r="AD26" i="4"/>
  <c r="X19" i="4"/>
  <c r="AA18" i="4"/>
  <c r="AD14" i="4"/>
  <c r="AD16" i="4"/>
  <c r="AD21" i="4"/>
  <c r="X20" i="4"/>
  <c r="AA15" i="4"/>
  <c r="AA22" i="4"/>
  <c r="AA28" i="4" l="1"/>
  <c r="X28" i="4"/>
  <c r="AD28" i="4"/>
  <c r="AG12" i="4"/>
  <c r="P27" i="4"/>
  <c r="P26" i="4"/>
  <c r="P25" i="4"/>
  <c r="P24" i="4"/>
  <c r="P23" i="4"/>
  <c r="P22" i="4"/>
  <c r="P21" i="4"/>
  <c r="P20" i="4"/>
  <c r="P19" i="4"/>
  <c r="P18" i="4"/>
  <c r="P17" i="4"/>
  <c r="P16" i="4"/>
  <c r="I3" i="11" l="1"/>
  <c r="F3" i="11"/>
  <c r="A4" i="11"/>
  <c r="A3" i="11"/>
  <c r="N27" i="4"/>
  <c r="O27" i="4" s="1"/>
  <c r="L27" i="4"/>
  <c r="I27" i="4"/>
  <c r="F27" i="4"/>
  <c r="N26" i="4"/>
  <c r="O26" i="4" s="1"/>
  <c r="L26" i="4"/>
  <c r="I26" i="4"/>
  <c r="F26" i="4"/>
  <c r="N25" i="4"/>
  <c r="O25" i="4" s="1"/>
  <c r="L25" i="4"/>
  <c r="I25" i="4"/>
  <c r="F25" i="4"/>
  <c r="N24" i="4"/>
  <c r="L24" i="4"/>
  <c r="I24" i="4"/>
  <c r="F24" i="4"/>
  <c r="N23" i="4"/>
  <c r="O23" i="4" s="1"/>
  <c r="L23" i="4"/>
  <c r="I23" i="4"/>
  <c r="F23" i="4"/>
  <c r="N22" i="4"/>
  <c r="O22" i="4" s="1"/>
  <c r="L22" i="4"/>
  <c r="I22" i="4"/>
  <c r="F22" i="4"/>
  <c r="N21" i="4"/>
  <c r="O21" i="4" s="1"/>
  <c r="L21" i="4"/>
  <c r="I21" i="4"/>
  <c r="F21" i="4"/>
  <c r="N20" i="4"/>
  <c r="L20" i="4"/>
  <c r="I20" i="4"/>
  <c r="F20" i="4"/>
  <c r="N19" i="4"/>
  <c r="O19" i="4" s="1"/>
  <c r="L19" i="4"/>
  <c r="I19" i="4"/>
  <c r="F19" i="4"/>
  <c r="N18" i="4"/>
  <c r="O18" i="4" s="1"/>
  <c r="L18" i="4"/>
  <c r="I18" i="4"/>
  <c r="F18" i="4"/>
  <c r="N17" i="4"/>
  <c r="O17" i="4" s="1"/>
  <c r="L17" i="4"/>
  <c r="I17" i="4"/>
  <c r="F17" i="4"/>
  <c r="N16" i="4"/>
  <c r="L16" i="4"/>
  <c r="I16" i="4"/>
  <c r="F16" i="4"/>
  <c r="V3" i="4"/>
  <c r="A3" i="4"/>
  <c r="A4" i="4"/>
  <c r="J16" i="7"/>
  <c r="F16" i="7"/>
  <c r="G16" i="7"/>
  <c r="H11" i="7"/>
  <c r="I11" i="7" s="1"/>
  <c r="K11" i="7" s="1"/>
  <c r="H12" i="7"/>
  <c r="I12" i="7" s="1"/>
  <c r="K12" i="7" s="1"/>
  <c r="H13" i="7"/>
  <c r="I13" i="7" s="1"/>
  <c r="K13" i="7" s="1"/>
  <c r="H14" i="7"/>
  <c r="I14" i="7" s="1"/>
  <c r="K14" i="7" s="1"/>
  <c r="H15" i="7"/>
  <c r="I15" i="7" s="1"/>
  <c r="K15" i="7" s="1"/>
  <c r="J17" i="6"/>
  <c r="J18" i="6"/>
  <c r="M18" i="6" s="1"/>
  <c r="J19" i="6"/>
  <c r="M19" i="6" s="1"/>
  <c r="J20" i="6"/>
  <c r="M20" i="6" s="1"/>
  <c r="J21" i="6"/>
  <c r="M21" i="6" s="1"/>
  <c r="J22" i="6"/>
  <c r="M22" i="6" s="1"/>
  <c r="J23" i="6"/>
  <c r="M23" i="6" s="1"/>
  <c r="J24" i="6"/>
  <c r="M24" i="6" s="1"/>
  <c r="J25" i="6"/>
  <c r="M25" i="6" s="1"/>
  <c r="AL27" i="4"/>
  <c r="AT27" i="4" s="1"/>
  <c r="AL26" i="4"/>
  <c r="AT26" i="4" s="1"/>
  <c r="AL25" i="4"/>
  <c r="AT25" i="4" s="1"/>
  <c r="AL24" i="4"/>
  <c r="AT24" i="4" s="1"/>
  <c r="AL23" i="4"/>
  <c r="AT23" i="4" s="1"/>
  <c r="AL22" i="4"/>
  <c r="AT22" i="4" s="1"/>
  <c r="AL21" i="4"/>
  <c r="AL20" i="4"/>
  <c r="AT20" i="4" s="1"/>
  <c r="AL19" i="4"/>
  <c r="AL18" i="4"/>
  <c r="AT18" i="4" s="1"/>
  <c r="AL17" i="4"/>
  <c r="AT17" i="4" s="1"/>
  <c r="AL16" i="4"/>
  <c r="AT16" i="4" s="1"/>
  <c r="AL13" i="4"/>
  <c r="AL14" i="4"/>
  <c r="AL15" i="4"/>
  <c r="P13" i="4"/>
  <c r="P14" i="4"/>
  <c r="P15" i="4"/>
  <c r="N13" i="4"/>
  <c r="N14" i="4"/>
  <c r="N15" i="4"/>
  <c r="I15" i="4"/>
  <c r="I14" i="4"/>
  <c r="I13" i="4"/>
  <c r="F13" i="4"/>
  <c r="F14" i="4"/>
  <c r="F15" i="4"/>
  <c r="O12" i="4"/>
  <c r="A4" i="9"/>
  <c r="H3" i="9"/>
  <c r="D3" i="9"/>
  <c r="A3" i="9"/>
  <c r="A4" i="8"/>
  <c r="J3" i="8"/>
  <c r="D3" i="8"/>
  <c r="A3" i="8"/>
  <c r="A4" i="7"/>
  <c r="I3" i="7"/>
  <c r="E3" i="7"/>
  <c r="A3" i="7"/>
  <c r="A4" i="6"/>
  <c r="L3" i="6"/>
  <c r="G3" i="6"/>
  <c r="A3" i="6"/>
  <c r="A4" i="5"/>
  <c r="G3" i="5"/>
  <c r="C3" i="5"/>
  <c r="A3" i="5"/>
  <c r="J3" i="4"/>
  <c r="A4" i="3"/>
  <c r="D3" i="3"/>
  <c r="B3" i="3"/>
  <c r="A3" i="3"/>
  <c r="A4" i="2"/>
  <c r="D3" i="2"/>
  <c r="C3" i="2"/>
  <c r="A3" i="2"/>
  <c r="F3" i="1"/>
  <c r="A4" i="1"/>
  <c r="D3" i="1"/>
  <c r="A3" i="1"/>
  <c r="I23" i="8"/>
  <c r="J23" i="8" s="1"/>
  <c r="K23" i="8" s="1"/>
  <c r="L13" i="8"/>
  <c r="K13" i="8"/>
  <c r="J13" i="8"/>
  <c r="I13" i="8"/>
  <c r="H13" i="8"/>
  <c r="F13" i="8"/>
  <c r="D13" i="8"/>
  <c r="M12" i="8"/>
  <c r="N12" i="8" s="1"/>
  <c r="M11" i="8"/>
  <c r="M10" i="8"/>
  <c r="N10" i="8" s="1"/>
  <c r="A15" i="1"/>
  <c r="A22" i="1"/>
  <c r="A24" i="1"/>
  <c r="A17" i="1"/>
  <c r="A18" i="1"/>
  <c r="A25" i="1"/>
  <c r="A23" i="1"/>
  <c r="A16" i="1"/>
  <c r="L14" i="4"/>
  <c r="L15" i="4"/>
  <c r="M17" i="6" l="1"/>
  <c r="M32" i="6" s="1"/>
  <c r="J32" i="6"/>
  <c r="P33" i="4"/>
  <c r="E11" i="1" s="1"/>
  <c r="G11" i="1" s="1"/>
  <c r="P30" i="4"/>
  <c r="E8" i="1" s="1"/>
  <c r="G8" i="1" s="1"/>
  <c r="H8" i="1" s="1"/>
  <c r="I8" i="1" s="1"/>
  <c r="P34" i="4"/>
  <c r="E12" i="1" s="1"/>
  <c r="G12" i="1" s="1"/>
  <c r="H12" i="1" s="1"/>
  <c r="I12" i="1" s="1"/>
  <c r="P32" i="4"/>
  <c r="E10" i="1" s="1"/>
  <c r="G10" i="1" s="1"/>
  <c r="P31" i="4"/>
  <c r="E9" i="1" s="1"/>
  <c r="G9" i="1" s="1"/>
  <c r="AL31" i="4"/>
  <c r="E16" i="1" s="1"/>
  <c r="AL30" i="4"/>
  <c r="E15" i="1" s="1"/>
  <c r="G15" i="1" s="1"/>
  <c r="AL32" i="4"/>
  <c r="E17" i="1" s="1"/>
  <c r="AL33" i="4"/>
  <c r="E18" i="1" s="1"/>
  <c r="AL34" i="4"/>
  <c r="E19" i="1" s="1"/>
  <c r="N31" i="4"/>
  <c r="N34" i="4"/>
  <c r="N32" i="4"/>
  <c r="N33" i="4"/>
  <c r="N30" i="4"/>
  <c r="N28" i="4"/>
  <c r="P28" i="4"/>
  <c r="AL28" i="4"/>
  <c r="D16" i="1"/>
  <c r="D18" i="1"/>
  <c r="D17" i="1"/>
  <c r="AF25" i="4"/>
  <c r="X15" i="4"/>
  <c r="X14" i="4"/>
  <c r="AF23" i="4"/>
  <c r="O14" i="4"/>
  <c r="AH23" i="4"/>
  <c r="AH22" i="4"/>
  <c r="AH21" i="4"/>
  <c r="AT14" i="4"/>
  <c r="AS23" i="4"/>
  <c r="AH20" i="4"/>
  <c r="AF22" i="4"/>
  <c r="AF27" i="4"/>
  <c r="AS22" i="4"/>
  <c r="D10" i="1"/>
  <c r="AS20" i="4"/>
  <c r="AS25" i="4"/>
  <c r="AF17" i="4"/>
  <c r="AF15" i="4"/>
  <c r="AS15" i="4"/>
  <c r="AS17" i="4"/>
  <c r="AS21" i="4"/>
  <c r="AF14" i="4"/>
  <c r="AF13" i="4"/>
  <c r="AS13" i="4"/>
  <c r="AS18" i="4"/>
  <c r="AS26" i="4"/>
  <c r="AS27" i="4"/>
  <c r="C22" i="1"/>
  <c r="D22" i="1" s="1"/>
  <c r="C23" i="1"/>
  <c r="AH15" i="4"/>
  <c r="AF16" i="4"/>
  <c r="AF20" i="4"/>
  <c r="AH26" i="4"/>
  <c r="O24" i="4"/>
  <c r="AH14" i="4"/>
  <c r="AF19" i="4"/>
  <c r="AF21" i="4"/>
  <c r="AH27" i="4"/>
  <c r="AH16" i="4"/>
  <c r="AT13" i="4"/>
  <c r="O13" i="4"/>
  <c r="AH13" i="4"/>
  <c r="X13" i="4"/>
  <c r="AF24" i="4"/>
  <c r="AT21" i="4"/>
  <c r="AH24" i="4"/>
  <c r="N11" i="8"/>
  <c r="N13" i="8" s="1"/>
  <c r="M13" i="8"/>
  <c r="AF18" i="4"/>
  <c r="AT15" i="4"/>
  <c r="O15" i="4"/>
  <c r="X12" i="4"/>
  <c r="AT19" i="4"/>
  <c r="AS16" i="4"/>
  <c r="AS19" i="4"/>
  <c r="AS24" i="4"/>
  <c r="AH25" i="4"/>
  <c r="AH17" i="4"/>
  <c r="O20" i="4"/>
  <c r="AF26" i="4"/>
  <c r="C25" i="1"/>
  <c r="AH19" i="4"/>
  <c r="AA12" i="4"/>
  <c r="AS14" i="4"/>
  <c r="B24" i="1"/>
  <c r="AH18" i="4"/>
  <c r="O16" i="4"/>
  <c r="F19" i="8"/>
  <c r="F20" i="8" s="1"/>
  <c r="B19" i="8"/>
  <c r="B20" i="8" s="1"/>
  <c r="N20" i="8" s="1"/>
  <c r="C19" i="8"/>
  <c r="C20" i="8" s="1"/>
  <c r="E19" i="8"/>
  <c r="E20" i="8" s="1"/>
  <c r="D19" i="8"/>
  <c r="D20" i="8" s="1"/>
  <c r="G19" i="8"/>
  <c r="G20" i="8" s="1"/>
  <c r="K16" i="7"/>
  <c r="H16" i="7"/>
  <c r="I16" i="7"/>
  <c r="AS31" i="4" l="1"/>
  <c r="AS34" i="4"/>
  <c r="AS30" i="4"/>
  <c r="AS33" i="4"/>
  <c r="AS32" i="4"/>
  <c r="AF34" i="4"/>
  <c r="AF30" i="4"/>
  <c r="AF31" i="4"/>
  <c r="AF32" i="4"/>
  <c r="AF33" i="4"/>
  <c r="O28" i="4"/>
  <c r="AH30" i="4"/>
  <c r="AH31" i="4"/>
  <c r="AH34" i="4"/>
  <c r="AH33" i="4"/>
  <c r="AH32" i="4"/>
  <c r="AT34" i="4"/>
  <c r="AT31" i="4"/>
  <c r="AT30" i="4"/>
  <c r="AT33" i="4"/>
  <c r="AT32" i="4"/>
  <c r="E13" i="1"/>
  <c r="AF28" i="4"/>
  <c r="AH28" i="4"/>
  <c r="AS28" i="4"/>
  <c r="E26" i="1"/>
  <c r="G26" i="1" s="1"/>
  <c r="H26" i="1" s="1"/>
  <c r="I26" i="1" s="1"/>
  <c r="G19" i="1"/>
  <c r="H19" i="1" s="1"/>
  <c r="I19" i="1" s="1"/>
  <c r="E20" i="1"/>
  <c r="AT28" i="4"/>
  <c r="AU22" i="4"/>
  <c r="AG23" i="4"/>
  <c r="AG22" i="4"/>
  <c r="AG21" i="4"/>
  <c r="G17" i="1"/>
  <c r="H17" i="1" s="1"/>
  <c r="I17" i="1" s="1"/>
  <c r="C24" i="1"/>
  <c r="D24" i="1" s="1"/>
  <c r="E23" i="1"/>
  <c r="G16" i="1"/>
  <c r="H16" i="1" s="1"/>
  <c r="I16" i="1" s="1"/>
  <c r="G18" i="1"/>
  <c r="H18" i="1" s="1"/>
  <c r="I18" i="1" s="1"/>
  <c r="B25" i="1"/>
  <c r="D25" i="1" s="1"/>
  <c r="D11" i="1"/>
  <c r="D9" i="1"/>
  <c r="AU23" i="4"/>
  <c r="H10" i="1"/>
  <c r="I10" i="1" s="1"/>
  <c r="F24" i="1"/>
  <c r="AU20" i="4"/>
  <c r="E25" i="1"/>
  <c r="F25" i="1"/>
  <c r="AU21" i="4"/>
  <c r="F23" i="1"/>
  <c r="N23" i="8"/>
  <c r="AG18" i="4"/>
  <c r="AU18" i="4"/>
  <c r="AG19" i="4"/>
  <c r="AU19" i="4"/>
  <c r="E24" i="1"/>
  <c r="D20" i="1"/>
  <c r="AG13" i="4"/>
  <c r="AU13" i="4"/>
  <c r="AG16" i="4"/>
  <c r="AU16" i="4"/>
  <c r="AG27" i="4"/>
  <c r="AU27" i="4"/>
  <c r="AG17" i="4"/>
  <c r="AU17" i="4"/>
  <c r="B23" i="1"/>
  <c r="G13" i="1"/>
  <c r="AU14" i="4"/>
  <c r="AG14" i="4"/>
  <c r="AG26" i="4"/>
  <c r="AU26" i="4"/>
  <c r="AU15" i="4"/>
  <c r="AG15" i="4"/>
  <c r="AU25" i="4"/>
  <c r="AG25" i="4"/>
  <c r="AG20" i="4"/>
  <c r="AG24" i="4"/>
  <c r="AU24" i="4"/>
  <c r="F22" i="1"/>
  <c r="AG28" i="4" l="1"/>
  <c r="AU30" i="4"/>
  <c r="AU32" i="4"/>
  <c r="AU34" i="4"/>
  <c r="AU31" i="4"/>
  <c r="AU33" i="4"/>
  <c r="D23" i="1"/>
  <c r="B27" i="1"/>
  <c r="F27" i="1"/>
  <c r="D13" i="1"/>
  <c r="AU28" i="4"/>
  <c r="G20" i="1"/>
  <c r="C27" i="1"/>
  <c r="G24" i="1"/>
  <c r="H24" i="1" s="1"/>
  <c r="I24" i="1" s="1"/>
  <c r="G25" i="1"/>
  <c r="G23" i="1"/>
  <c r="H11" i="1"/>
  <c r="I11" i="1" s="1"/>
  <c r="H9" i="1"/>
  <c r="I9" i="1" s="1"/>
  <c r="E22" i="1"/>
  <c r="G22" i="1" l="1"/>
  <c r="G27" i="1" s="1"/>
  <c r="B38" i="1" s="1"/>
  <c r="B39" i="1" s="1"/>
  <c r="B41" i="1" s="1"/>
  <c r="E27" i="1"/>
  <c r="D27" i="1"/>
  <c r="H15" i="1"/>
  <c r="H23" i="1"/>
  <c r="I23" i="1" s="1"/>
  <c r="H25" i="1"/>
  <c r="I25" i="1" s="1"/>
  <c r="C38" i="1" l="1"/>
  <c r="C39" i="1" s="1"/>
  <c r="C41" i="1" s="1"/>
  <c r="H13" i="1"/>
  <c r="I13" i="1" s="1"/>
  <c r="I15" i="1"/>
  <c r="H20" i="1"/>
  <c r="I20" i="1" s="1"/>
  <c r="H22" i="1"/>
  <c r="I22" i="1" l="1"/>
  <c r="H27" i="1"/>
  <c r="I27" i="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<sst xmlns="http://schemas.openxmlformats.org/spreadsheetml/2006/main" count="697" uniqueCount="552">
  <si>
    <t>致同会计师事务所</t>
  </si>
  <si>
    <t>工器具</t>
  </si>
  <si>
    <r>
      <t>1</t>
    </r>
    <r>
      <rPr>
        <sz val="10"/>
        <color indexed="12"/>
        <rFont val="宋体"/>
        <family val="3"/>
        <charset val="134"/>
      </rPr>
      <t>、本表可作为工程物资盘点汇总表或盘点明细表或固定资产抽盘表。</t>
    </r>
    <phoneticPr fontId="11" type="noConversion"/>
  </si>
  <si>
    <t>工程物资</t>
  </si>
  <si>
    <t>专用材料</t>
  </si>
  <si>
    <t>专用设备</t>
  </si>
  <si>
    <t>工程物资减值准备</t>
  </si>
  <si>
    <t>期末余额</t>
  </si>
  <si>
    <r>
      <rPr>
        <b/>
        <sz val="10"/>
        <color indexed="8"/>
        <rFont val="宋体"/>
        <family val="3"/>
        <charset val="134"/>
      </rPr>
      <t>合计</t>
    </r>
    <phoneticPr fontId="11" type="noConversion"/>
  </si>
  <si>
    <t>账项调整</t>
  </si>
  <si>
    <r>
      <rPr>
        <b/>
        <sz val="10"/>
        <rFont val="宋体"/>
        <family val="3"/>
        <charset val="134"/>
      </rPr>
      <t>二、审计过程：</t>
    </r>
    <phoneticPr fontId="11" type="noConversion"/>
  </si>
  <si>
    <r>
      <rPr>
        <b/>
        <sz val="10"/>
        <color indexed="8"/>
        <rFont val="宋体"/>
        <family val="3"/>
        <charset val="134"/>
      </rPr>
      <t>合计</t>
    </r>
  </si>
  <si>
    <r>
      <rPr>
        <b/>
        <sz val="10"/>
        <rFont val="宋体"/>
        <family val="3"/>
        <charset val="134"/>
      </rPr>
      <t>四、审计结论：</t>
    </r>
    <phoneticPr fontId="11" type="noConversion"/>
  </si>
  <si>
    <r>
      <rPr>
        <b/>
        <sz val="10"/>
        <rFont val="宋体"/>
        <family val="3"/>
        <charset val="134"/>
      </rPr>
      <t>备注</t>
    </r>
  </si>
  <si>
    <r>
      <rPr>
        <b/>
        <sz val="10"/>
        <rFont val="宋体"/>
        <family val="3"/>
        <charset val="134"/>
      </rPr>
      <t>合计</t>
    </r>
  </si>
  <si>
    <r>
      <rPr>
        <b/>
        <sz val="10"/>
        <rFont val="宋体"/>
        <family val="3"/>
        <charset val="134"/>
      </rPr>
      <t>预计未来现金流量的现值</t>
    </r>
    <phoneticPr fontId="11" type="noConversion"/>
  </si>
  <si>
    <r>
      <rPr>
        <b/>
        <sz val="10"/>
        <rFont val="宋体"/>
        <family val="3"/>
        <charset val="134"/>
      </rPr>
      <t>第二年</t>
    </r>
    <phoneticPr fontId="11" type="noConversion"/>
  </si>
  <si>
    <r>
      <rPr>
        <b/>
        <sz val="10"/>
        <rFont val="宋体"/>
        <family val="3"/>
        <charset val="134"/>
      </rPr>
      <t>第三年</t>
    </r>
    <phoneticPr fontId="11" type="noConversion"/>
  </si>
  <si>
    <r>
      <rPr>
        <b/>
        <sz val="10"/>
        <rFont val="宋体"/>
        <family val="3"/>
        <charset val="134"/>
      </rPr>
      <t>第五年</t>
    </r>
    <phoneticPr fontId="11" type="noConversion"/>
  </si>
  <si>
    <r>
      <rPr>
        <b/>
        <sz val="10"/>
        <rFont val="宋体"/>
        <family val="3"/>
        <charset val="134"/>
      </rPr>
      <t>增长率</t>
    </r>
    <phoneticPr fontId="11" type="noConversion"/>
  </si>
  <si>
    <r>
      <rPr>
        <sz val="10"/>
        <rFont val="宋体"/>
        <family val="3"/>
        <charset val="134"/>
      </rPr>
      <t>预计未来现金净流量</t>
    </r>
    <phoneticPr fontId="11" type="noConversion"/>
  </si>
  <si>
    <r>
      <rPr>
        <sz val="10"/>
        <color indexed="12"/>
        <rFont val="宋体"/>
        <family val="3"/>
        <charset val="134"/>
      </rPr>
      <t>（企业管理层如能证明递增的增长率是合理的，可以以递增的增长率为基础。）</t>
    </r>
    <phoneticPr fontId="11" type="noConversion"/>
  </si>
  <si>
    <r>
      <rPr>
        <sz val="10"/>
        <rFont val="宋体"/>
        <family val="3"/>
        <charset val="134"/>
      </rPr>
      <t>现值</t>
    </r>
    <phoneticPr fontId="11"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</si>
  <si>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t>
    </r>
    <phoneticPr fontId="11" type="noConversion"/>
  </si>
  <si>
    <r>
      <rPr>
        <b/>
        <sz val="10"/>
        <rFont val="宋体"/>
        <family val="3"/>
        <charset val="134"/>
      </rPr>
      <t>所得税率</t>
    </r>
    <phoneticPr fontId="11" type="noConversion"/>
  </si>
  <si>
    <r>
      <rPr>
        <b/>
        <sz val="10"/>
        <rFont val="宋体"/>
        <family val="3"/>
        <charset val="134"/>
      </rPr>
      <t>债务总额</t>
    </r>
    <phoneticPr fontId="11" type="noConversion"/>
  </si>
  <si>
    <r>
      <rPr>
        <b/>
        <sz val="10"/>
        <rFont val="宋体"/>
        <family val="3"/>
        <charset val="134"/>
      </rPr>
      <t>债务成本</t>
    </r>
    <r>
      <rPr>
        <b/>
        <sz val="10"/>
        <rFont val="Arial Narrow"/>
        <family val="2"/>
      </rPr>
      <t>Kd</t>
    </r>
    <phoneticPr fontId="11" type="noConversion"/>
  </si>
  <si>
    <r>
      <t>β</t>
    </r>
    <r>
      <rPr>
        <b/>
        <sz val="10"/>
        <rFont val="宋体"/>
        <family val="3"/>
        <charset val="134"/>
      </rPr>
      <t>系数</t>
    </r>
    <phoneticPr fontId="11" type="noConversion"/>
  </si>
  <si>
    <r>
      <rPr>
        <b/>
        <sz val="10"/>
        <rFont val="宋体"/>
        <family val="3"/>
        <charset val="134"/>
      </rPr>
      <t>平均风险股票必要报酬率</t>
    </r>
    <r>
      <rPr>
        <b/>
        <sz val="10"/>
        <rFont val="Arial Narrow"/>
        <family val="2"/>
      </rPr>
      <t>Rm</t>
    </r>
    <phoneticPr fontId="11" type="noConversion"/>
  </si>
  <si>
    <r>
      <rPr>
        <b/>
        <sz val="10"/>
        <rFont val="宋体"/>
        <family val="3"/>
        <charset val="134"/>
      </rPr>
      <t>资本成本</t>
    </r>
    <r>
      <rPr>
        <b/>
        <sz val="10"/>
        <rFont val="Arial Narrow"/>
        <family val="2"/>
      </rPr>
      <t>Ke</t>
    </r>
    <phoneticPr fontId="11" type="noConversion"/>
  </si>
  <si>
    <r>
      <rPr>
        <b/>
        <sz val="10"/>
        <rFont val="宋体"/>
        <family val="3"/>
        <charset val="134"/>
      </rPr>
      <t>税后折税前调整说明</t>
    </r>
    <phoneticPr fontId="11" type="noConversion"/>
  </si>
  <si>
    <r>
      <rPr>
        <b/>
        <sz val="10"/>
        <rFont val="宋体"/>
        <family val="3"/>
        <charset val="134"/>
      </rPr>
      <t>适用税率</t>
    </r>
    <phoneticPr fontId="11" type="noConversion"/>
  </si>
  <si>
    <r>
      <rPr>
        <b/>
        <sz val="10"/>
        <rFont val="宋体"/>
        <family val="3"/>
        <charset val="134"/>
      </rPr>
      <t>调整说明</t>
    </r>
    <phoneticPr fontId="11" type="noConversion"/>
  </si>
  <si>
    <r>
      <rPr>
        <sz val="10"/>
        <rFont val="宋体"/>
        <family val="3"/>
        <charset val="134"/>
      </rPr>
      <t>加权平均资金成本</t>
    </r>
    <phoneticPr fontId="11" type="noConversion"/>
  </si>
  <si>
    <r>
      <rPr>
        <sz val="10"/>
        <rFont val="宋体"/>
        <family val="3"/>
        <charset val="134"/>
      </rPr>
      <t>存在</t>
    </r>
    <phoneticPr fontId="11" type="noConversion"/>
  </si>
  <si>
    <r>
      <rPr>
        <sz val="10"/>
        <rFont val="宋体"/>
        <family val="3"/>
        <charset val="134"/>
      </rPr>
      <t>完整性</t>
    </r>
    <phoneticPr fontId="11" type="noConversion"/>
  </si>
  <si>
    <r>
      <rPr>
        <sz val="10"/>
        <rFont val="宋体"/>
        <family val="3"/>
        <charset val="134"/>
      </rPr>
      <t>权利和义务</t>
    </r>
    <phoneticPr fontId="11" type="noConversion"/>
  </si>
  <si>
    <r>
      <rPr>
        <sz val="10"/>
        <rFont val="宋体"/>
        <family val="3"/>
        <charset val="134"/>
      </rPr>
      <t>√</t>
    </r>
    <phoneticPr fontId="11" type="noConversion"/>
  </si>
  <si>
    <t>3</t>
  </si>
  <si>
    <t>4</t>
  </si>
  <si>
    <t>2</t>
  </si>
  <si>
    <t>6</t>
  </si>
  <si>
    <t>7</t>
  </si>
  <si>
    <t>5</t>
  </si>
  <si>
    <t>工程物资及减值准备实质性程序表</t>
    <phoneticPr fontId="6" type="noConversion"/>
  </si>
  <si>
    <r>
      <t>2</t>
    </r>
    <r>
      <rPr>
        <b/>
        <sz val="10"/>
        <color indexed="8"/>
        <rFont val="宋体"/>
        <family val="3"/>
        <charset val="134"/>
      </rPr>
      <t>、审计结论：</t>
    </r>
  </si>
  <si>
    <t>数量</t>
    <phoneticPr fontId="11" type="noConversion"/>
  </si>
  <si>
    <t>……</t>
    <phoneticPr fontId="11" type="noConversion"/>
  </si>
  <si>
    <t>【在建工程与工程物资的合计数披露详见J2-1】</t>
    <phoneticPr fontId="11" type="noConversion"/>
  </si>
  <si>
    <t>附注披露信息（国有企业）</t>
    <phoneticPr fontId="11" type="noConversion"/>
  </si>
  <si>
    <t>附注披露信息（上市公司）</t>
    <phoneticPr fontId="11" type="noConversion"/>
  </si>
  <si>
    <t>H4A</t>
  </si>
  <si>
    <t>H4-1</t>
  </si>
  <si>
    <t>H4-3</t>
  </si>
  <si>
    <t>H4-4</t>
  </si>
  <si>
    <t>H4-5</t>
  </si>
  <si>
    <t>H4-8</t>
  </si>
  <si>
    <t>H4-7</t>
  </si>
  <si>
    <t>H4-6</t>
  </si>
  <si>
    <r>
      <t>项</t>
    </r>
    <r>
      <rPr>
        <b/>
        <sz val="10.5"/>
        <rFont val="Arial Narrow"/>
        <family val="2"/>
      </rPr>
      <t xml:space="preserve">  </t>
    </r>
    <r>
      <rPr>
        <b/>
        <sz val="10.5"/>
        <rFont val="仿宋_GB2312"/>
        <family val="3"/>
        <charset val="134"/>
      </rPr>
      <t>目</t>
    </r>
  </si>
  <si>
    <t>上年年末余额</t>
  </si>
  <si>
    <t>X.XX</t>
  </si>
  <si>
    <t>(XX.XX)</t>
  </si>
  <si>
    <r>
      <t>合</t>
    </r>
    <r>
      <rPr>
        <b/>
        <sz val="10.5"/>
        <rFont val="Arial Narrow"/>
        <family val="2"/>
      </rPr>
      <t xml:space="preserve">  </t>
    </r>
    <r>
      <rPr>
        <b/>
        <sz val="10.5"/>
        <rFont val="仿宋_GB2312"/>
        <family val="3"/>
        <charset val="134"/>
      </rPr>
      <t>计</t>
    </r>
  </si>
  <si>
    <t>（2）工程物资</t>
    <phoneticPr fontId="11" type="noConversion"/>
  </si>
  <si>
    <r>
      <t>项</t>
    </r>
    <r>
      <rPr>
        <b/>
        <sz val="10.5"/>
        <color rgb="FF000000"/>
        <rFont val="Arial Narrow"/>
        <family val="2"/>
      </rPr>
      <t xml:space="preserve">  </t>
    </r>
    <r>
      <rPr>
        <b/>
        <sz val="10.5"/>
        <color rgb="FF000000"/>
        <rFont val="仿宋_GB2312"/>
        <family val="3"/>
        <charset val="134"/>
      </rPr>
      <t>目</t>
    </r>
  </si>
  <si>
    <t>期初余额</t>
  </si>
  <si>
    <t>账面余额</t>
  </si>
  <si>
    <t>减值准备</t>
  </si>
  <si>
    <t>账面价值</t>
  </si>
  <si>
    <t>在建工程</t>
  </si>
  <si>
    <r>
      <t>合</t>
    </r>
    <r>
      <rPr>
        <b/>
        <sz val="10.5"/>
        <color rgb="FF000000"/>
        <rFont val="Arial Narrow"/>
        <family val="2"/>
      </rPr>
      <t xml:space="preserve">  </t>
    </r>
    <r>
      <rPr>
        <b/>
        <sz val="10.5"/>
        <color rgb="FF000000"/>
        <rFont val="仿宋_GB2312"/>
        <family val="3"/>
        <charset val="134"/>
      </rPr>
      <t>计</t>
    </r>
  </si>
  <si>
    <r>
      <t>23</t>
    </r>
    <r>
      <rPr>
        <sz val="12"/>
        <rFont val="宋体"/>
        <family val="3"/>
        <charset val="134"/>
      </rPr>
      <t>、</t>
    </r>
    <r>
      <rPr>
        <sz val="12"/>
        <rFont val="仿宋_GB2312"/>
        <family val="3"/>
        <charset val="134"/>
      </rPr>
      <t>在建工程</t>
    </r>
    <phoneticPr fontId="11" type="noConversion"/>
  </si>
  <si>
    <r>
      <rPr>
        <b/>
        <sz val="10"/>
        <color indexed="8"/>
        <rFont val="宋体"/>
        <family val="3"/>
        <charset val="134"/>
      </rPr>
      <t>一、审计目标：</t>
    </r>
    <r>
      <rPr>
        <sz val="10"/>
        <color indexed="8"/>
        <rFont val="宋体"/>
        <family val="3"/>
        <charset val="134"/>
      </rPr>
      <t>工程物资以恰当的金额包括在财务报表中，与之相关的计价或分摊调整已恰当记录，相关披露已得到恰当计量和描述。</t>
    </r>
    <r>
      <rPr>
        <sz val="10"/>
        <color indexed="8"/>
        <rFont val="Arial Narrow"/>
        <family val="2"/>
      </rPr>
      <t xml:space="preserve"> </t>
    </r>
    <phoneticPr fontId="15" type="noConversion"/>
  </si>
  <si>
    <r>
      <rPr>
        <sz val="10"/>
        <color rgb="FF0000FF"/>
        <rFont val="宋体"/>
        <family val="3"/>
        <charset val="134"/>
      </rPr>
      <t>持有</t>
    </r>
    <r>
      <rPr>
        <sz val="10"/>
        <color rgb="FF0000FF"/>
        <rFont val="Arial Narrow"/>
        <family val="2"/>
      </rPr>
      <t>5%</t>
    </r>
    <r>
      <rPr>
        <sz val="10"/>
        <color rgb="FF0000FF"/>
        <rFont val="宋体"/>
        <family val="3"/>
        <charset val="134"/>
      </rPr>
      <t>以上股份的法人或其他组织</t>
    </r>
    <phoneticPr fontId="11" type="noConversion"/>
  </si>
  <si>
    <r>
      <t>A 1-1/</t>
    </r>
    <r>
      <rPr>
        <sz val="10"/>
        <color rgb="FFFF0000"/>
        <rFont val="Arial Narrow"/>
        <family val="2"/>
      </rPr>
      <t>A1-15 /A1-16</t>
    </r>
    <phoneticPr fontId="11" type="noConversion"/>
  </si>
  <si>
    <t>H4A</t>
    <phoneticPr fontId="11" type="noConversion"/>
  </si>
  <si>
    <r>
      <rPr>
        <sz val="10"/>
        <rFont val="宋体"/>
        <family val="3"/>
        <charset val="134"/>
      </rPr>
      <t>编制人：</t>
    </r>
    <phoneticPr fontId="11" type="noConversion"/>
  </si>
  <si>
    <r>
      <rPr>
        <sz val="10"/>
        <color rgb="FF000000"/>
        <rFont val="宋体"/>
        <family val="3"/>
        <charset val="134"/>
      </rPr>
      <t>专用材料</t>
    </r>
  </si>
  <si>
    <r>
      <rPr>
        <sz val="10"/>
        <color rgb="FF000000"/>
        <rFont val="宋体"/>
        <family val="3"/>
        <charset val="134"/>
      </rPr>
      <t>专用设备</t>
    </r>
  </si>
  <si>
    <r>
      <rPr>
        <sz val="10"/>
        <color rgb="FF000000"/>
        <rFont val="宋体"/>
        <family val="3"/>
        <charset val="134"/>
      </rPr>
      <t>工器具</t>
    </r>
  </si>
  <si>
    <r>
      <rPr>
        <sz val="10"/>
        <color rgb="FF000000"/>
        <rFont val="宋体"/>
        <family val="3"/>
        <charset val="134"/>
      </rPr>
      <t>其他</t>
    </r>
  </si>
  <si>
    <r>
      <rPr>
        <sz val="10"/>
        <rFont val="宋体"/>
        <family val="3"/>
        <charset val="134"/>
      </rPr>
      <t>复核人：</t>
    </r>
    <phoneticPr fontId="11" type="noConversion"/>
  </si>
  <si>
    <r>
      <rPr>
        <sz val="10"/>
        <rFont val="宋体"/>
        <family val="3"/>
        <charset val="134"/>
      </rPr>
      <t>复核日期：</t>
    </r>
    <phoneticPr fontId="11" type="noConversion"/>
  </si>
  <si>
    <r>
      <rPr>
        <b/>
        <sz val="10"/>
        <color rgb="FF000000"/>
        <rFont val="宋体"/>
        <family val="3"/>
        <charset val="134"/>
      </rPr>
      <t>固定资产类别设置（以下内容请根据实际情况修改）：</t>
    </r>
    <phoneticPr fontId="11" type="noConversion"/>
  </si>
  <si>
    <r>
      <rPr>
        <sz val="10"/>
        <rFont val="宋体"/>
        <family val="3"/>
        <charset val="134"/>
      </rPr>
      <t>编制日期：</t>
    </r>
    <phoneticPr fontId="11" type="noConversion"/>
  </si>
  <si>
    <r>
      <rPr>
        <b/>
        <sz val="10"/>
        <rFont val="宋体"/>
        <family val="3"/>
        <charset val="134"/>
      </rPr>
      <t>底稿开列时，可先在以下单元格填写有关内容，以便其他底稿引用有关数据：</t>
    </r>
    <phoneticPr fontId="11" type="noConversion"/>
  </si>
  <si>
    <r>
      <rPr>
        <sz val="10"/>
        <rFont val="宋体"/>
        <family val="3"/>
        <charset val="134"/>
      </rPr>
      <t>被审计单位：</t>
    </r>
    <phoneticPr fontId="11" type="noConversion"/>
  </si>
  <si>
    <t>H4-1</t>
    <phoneticPr fontId="11" type="noConversion"/>
  </si>
  <si>
    <t>H4-2</t>
    <phoneticPr fontId="11" type="noConversion"/>
  </si>
  <si>
    <t>H4-3</t>
    <phoneticPr fontId="11" type="noConversion"/>
  </si>
  <si>
    <t>H4-4</t>
    <phoneticPr fontId="11" type="noConversion"/>
  </si>
  <si>
    <t>H4-5</t>
    <phoneticPr fontId="11" type="noConversion"/>
  </si>
  <si>
    <t>H4-6</t>
    <phoneticPr fontId="11" type="noConversion"/>
  </si>
  <si>
    <t>H4-7</t>
    <phoneticPr fontId="11" type="noConversion"/>
  </si>
  <si>
    <t>H4-8</t>
    <phoneticPr fontId="11" type="noConversion"/>
  </si>
  <si>
    <t>H4-9</t>
  </si>
  <si>
    <t>H4-9</t>
    <phoneticPr fontId="11" type="noConversion"/>
  </si>
  <si>
    <t>H4-4</t>
    <phoneticPr fontId="11" type="noConversion"/>
  </si>
  <si>
    <t>H4-5</t>
    <phoneticPr fontId="11" type="noConversion"/>
  </si>
  <si>
    <t>H4-6</t>
    <phoneticPr fontId="11" type="noConversion"/>
  </si>
  <si>
    <t>H4-9</t>
    <phoneticPr fontId="11" type="noConversion"/>
  </si>
  <si>
    <r>
      <rPr>
        <b/>
        <sz val="10"/>
        <rFont val="宋体"/>
        <family val="3"/>
        <charset val="134"/>
      </rPr>
      <t>二、样本选取标准与规模：</t>
    </r>
    <phoneticPr fontId="50" type="noConversion"/>
  </si>
  <si>
    <r>
      <rPr>
        <sz val="10"/>
        <rFont val="宋体"/>
        <family val="3"/>
        <charset val="134"/>
      </rPr>
      <t>测试总体：</t>
    </r>
    <phoneticPr fontId="11" type="noConversion"/>
  </si>
  <si>
    <r>
      <rPr>
        <sz val="10"/>
        <rFont val="宋体"/>
        <family val="3"/>
        <charset val="134"/>
      </rPr>
      <t>特定样本：</t>
    </r>
    <phoneticPr fontId="11" type="noConversion"/>
  </si>
  <si>
    <r>
      <rPr>
        <sz val="10"/>
        <rFont val="宋体"/>
        <family val="3"/>
        <charset val="134"/>
      </rPr>
      <t>抽样总体：</t>
    </r>
    <phoneticPr fontId="11" type="noConversion"/>
  </si>
  <si>
    <r>
      <rPr>
        <sz val="10"/>
        <rFont val="宋体"/>
        <family val="3"/>
        <charset val="134"/>
      </rPr>
      <t>确定的抽样样本量：</t>
    </r>
    <phoneticPr fontId="11"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</si>
  <si>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1"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</si>
  <si>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1" type="noConversion"/>
  </si>
  <si>
    <r>
      <rPr>
        <sz val="10"/>
        <rFont val="宋体"/>
        <family val="3"/>
        <charset val="134"/>
      </rPr>
      <t>抽样方法：</t>
    </r>
    <phoneticPr fontId="11" type="noConversion"/>
  </si>
  <si>
    <r>
      <rPr>
        <sz val="10"/>
        <rFont val="宋体"/>
        <family val="3"/>
        <charset val="134"/>
      </rPr>
      <t>抽样过程：</t>
    </r>
    <phoneticPr fontId="11"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</si>
  <si>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1" type="noConversion"/>
  </si>
  <si>
    <r>
      <rPr>
        <b/>
        <sz val="10"/>
        <rFont val="宋体"/>
        <family val="3"/>
        <charset val="134"/>
      </rPr>
      <t>三、审计过程：</t>
    </r>
    <phoneticPr fontId="50" type="noConversion"/>
  </si>
  <si>
    <r>
      <rPr>
        <b/>
        <sz val="10"/>
        <rFont val="宋体"/>
        <family val="3"/>
        <charset val="134"/>
      </rPr>
      <t>盘点前财务账面记录</t>
    </r>
  </si>
  <si>
    <r>
      <rPr>
        <b/>
        <sz val="10"/>
        <rFont val="宋体"/>
        <family val="3"/>
        <charset val="134"/>
      </rPr>
      <t>企业盘点记录数量</t>
    </r>
    <phoneticPr fontId="11" type="noConversion"/>
  </si>
  <si>
    <r>
      <rPr>
        <b/>
        <sz val="10"/>
        <rFont val="宋体"/>
        <family val="3"/>
        <charset val="134"/>
      </rPr>
      <t>抽盘数量</t>
    </r>
    <phoneticPr fontId="11" type="noConversion"/>
  </si>
  <si>
    <r>
      <rPr>
        <b/>
        <sz val="10"/>
        <rFont val="宋体"/>
        <family val="3"/>
        <charset val="134"/>
      </rPr>
      <t>数量</t>
    </r>
  </si>
  <si>
    <r>
      <rPr>
        <b/>
        <sz val="10"/>
        <rFont val="宋体"/>
        <family val="3"/>
        <charset val="134"/>
      </rPr>
      <t>金额</t>
    </r>
  </si>
  <si>
    <t>无需打印</t>
    <phoneticPr fontId="11" type="noConversion"/>
  </si>
  <si>
    <t>H4-2</t>
    <phoneticPr fontId="11" type="noConversion"/>
  </si>
  <si>
    <r>
      <rPr>
        <sz val="10"/>
        <color theme="10"/>
        <rFont val="宋体"/>
        <family val="3"/>
        <charset val="134"/>
      </rPr>
      <t>附注披露信息（上市公司）</t>
    </r>
  </si>
  <si>
    <r>
      <rPr>
        <sz val="10"/>
        <color theme="10"/>
        <rFont val="宋体"/>
        <family val="3"/>
        <charset val="134"/>
      </rPr>
      <t>附注披露信息（国有企业）</t>
    </r>
  </si>
  <si>
    <r>
      <rPr>
        <sz val="10"/>
        <color theme="1"/>
        <rFont val="宋体"/>
        <family val="3"/>
        <charset val="134"/>
      </rPr>
      <t>备选</t>
    </r>
  </si>
  <si>
    <r>
      <rPr>
        <sz val="10"/>
        <color theme="1"/>
        <rFont val="宋体"/>
        <family val="3"/>
        <charset val="134"/>
      </rPr>
      <t>常规★</t>
    </r>
    <phoneticPr fontId="6" type="noConversion"/>
  </si>
  <si>
    <r>
      <rPr>
        <sz val="10"/>
        <color theme="1"/>
        <rFont val="宋体"/>
        <family val="3"/>
        <charset val="134"/>
      </rPr>
      <t>常规★</t>
    </r>
    <phoneticPr fontId="6" type="noConversion"/>
  </si>
  <si>
    <r>
      <rPr>
        <sz val="10"/>
        <rFont val="宋体"/>
        <family val="3"/>
        <charset val="134"/>
      </rPr>
      <t>关注会计政策、会计估计合理性、一贯性，关注其是否利用会计政策和会计估计及其变更操纵利润。</t>
    </r>
  </si>
  <si>
    <r>
      <rPr>
        <sz val="10"/>
        <rFont val="宋体"/>
        <family val="3"/>
        <charset val="134"/>
      </rPr>
      <t>常规★</t>
    </r>
  </si>
  <si>
    <r>
      <rPr>
        <b/>
        <sz val="10"/>
        <rFont val="宋体"/>
        <family val="3"/>
        <charset val="134"/>
      </rPr>
      <t>√</t>
    </r>
    <phoneticPr fontId="11" type="noConversion"/>
  </si>
  <si>
    <r>
      <rPr>
        <sz val="10"/>
        <rFont val="宋体"/>
        <family val="3"/>
        <charset val="134"/>
      </rPr>
      <t>√</t>
    </r>
    <phoneticPr fontId="11" type="noConversion"/>
  </si>
  <si>
    <r>
      <rPr>
        <sz val="10"/>
        <rFont val="宋体"/>
        <family val="3"/>
        <charset val="134"/>
      </rPr>
      <t>根据评估的舞弊风险等因素增加的审计程序。</t>
    </r>
  </si>
  <si>
    <r>
      <rPr>
        <sz val="10"/>
        <color theme="1"/>
        <rFont val="宋体"/>
        <family val="3"/>
        <charset val="134"/>
      </rPr>
      <t>常规★</t>
    </r>
  </si>
  <si>
    <r>
      <rPr>
        <b/>
        <sz val="10"/>
        <rFont val="宋体"/>
        <family val="3"/>
        <charset val="134"/>
      </rPr>
      <t>程序分类</t>
    </r>
    <phoneticPr fontId="11" type="noConversion"/>
  </si>
  <si>
    <r>
      <rPr>
        <b/>
        <sz val="10"/>
        <rFont val="宋体"/>
        <family val="3"/>
        <charset val="134"/>
      </rPr>
      <t>财务报表的认定</t>
    </r>
    <phoneticPr fontId="11" type="noConversion"/>
  </si>
  <si>
    <r>
      <rPr>
        <b/>
        <sz val="10"/>
        <rFont val="宋体"/>
        <family val="3"/>
        <charset val="134"/>
      </rPr>
      <t>底稿索引号</t>
    </r>
    <phoneticPr fontId="11" type="noConversion"/>
  </si>
  <si>
    <r>
      <rPr>
        <b/>
        <sz val="10"/>
        <rFont val="宋体"/>
        <family val="3"/>
        <charset val="134"/>
      </rPr>
      <t>准确性、计价和分摊</t>
    </r>
    <phoneticPr fontId="11" type="noConversion"/>
  </si>
  <si>
    <r>
      <rPr>
        <sz val="10"/>
        <rFont val="宋体"/>
        <family val="3"/>
        <charset val="134"/>
      </rPr>
      <t>工程物资、减值准备</t>
    </r>
    <phoneticPr fontId="6" type="noConversion"/>
  </si>
  <si>
    <r>
      <rPr>
        <b/>
        <sz val="10"/>
        <rFont val="宋体"/>
        <family val="3"/>
        <charset val="134"/>
      </rPr>
      <t>序号</t>
    </r>
    <phoneticPr fontId="11" type="noConversion"/>
  </si>
  <si>
    <r>
      <rPr>
        <sz val="10"/>
        <color theme="1"/>
        <rFont val="宋体"/>
        <family val="3"/>
        <charset val="134"/>
      </rPr>
      <t>常规★</t>
    </r>
    <phoneticPr fontId="6"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</si>
  <si>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phoneticPr fontId="11" type="noConversion"/>
  </si>
  <si>
    <r>
      <rPr>
        <b/>
        <sz val="10"/>
        <rFont val="宋体"/>
        <family val="3"/>
        <charset val="134"/>
      </rPr>
      <t>一、本账户涉及的科目</t>
    </r>
    <phoneticPr fontId="11" type="noConversion"/>
  </si>
  <si>
    <r>
      <t xml:space="preserve">A. </t>
    </r>
    <r>
      <rPr>
        <sz val="10"/>
        <rFont val="宋体"/>
        <family val="3"/>
        <charset val="134"/>
      </rPr>
      <t>资产负债表中记录的工程物资是存在的，且已记录于恰当的账户</t>
    </r>
    <phoneticPr fontId="11" type="noConversion"/>
  </si>
  <si>
    <r>
      <rPr>
        <b/>
        <sz val="10"/>
        <rFont val="宋体"/>
        <family val="3"/>
        <charset val="134"/>
      </rPr>
      <t>存在</t>
    </r>
    <phoneticPr fontId="11" type="noConversion"/>
  </si>
  <si>
    <r>
      <rPr>
        <b/>
        <sz val="10"/>
        <rFont val="宋体"/>
        <family val="3"/>
        <charset val="134"/>
      </rPr>
      <t>完整性</t>
    </r>
    <phoneticPr fontId="11" type="noConversion"/>
  </si>
  <si>
    <r>
      <rPr>
        <b/>
        <sz val="10"/>
        <rFont val="宋体"/>
        <family val="3"/>
        <charset val="134"/>
      </rPr>
      <t>权利和
义务</t>
    </r>
    <phoneticPr fontId="11" type="noConversion"/>
  </si>
  <si>
    <r>
      <rPr>
        <b/>
        <sz val="10"/>
        <rFont val="宋体"/>
        <family val="3"/>
        <charset val="134"/>
      </rPr>
      <t>列报</t>
    </r>
    <phoneticPr fontId="11"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</si>
  <si>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6" type="noConversion"/>
  </si>
  <si>
    <r>
      <rPr>
        <sz val="10"/>
        <color theme="1"/>
        <rFont val="宋体"/>
        <family val="3"/>
        <charset val="134"/>
      </rPr>
      <t>常规★</t>
    </r>
    <phoneticPr fontId="6" type="noConversion"/>
  </si>
  <si>
    <r>
      <rPr>
        <b/>
        <sz val="10"/>
        <color indexed="8"/>
        <rFont val="宋体"/>
        <family val="3"/>
        <charset val="134"/>
      </rPr>
      <t>项目</t>
    </r>
    <phoneticPr fontId="6" type="noConversion"/>
  </si>
  <si>
    <r>
      <rPr>
        <b/>
        <sz val="10"/>
        <rFont val="宋体"/>
        <family val="3"/>
        <charset val="134"/>
      </rPr>
      <t>期初数</t>
    </r>
    <phoneticPr fontId="11" type="noConversion"/>
  </si>
  <si>
    <r>
      <rPr>
        <b/>
        <sz val="10"/>
        <rFont val="宋体"/>
        <family val="3"/>
        <charset val="134"/>
      </rPr>
      <t>期末数</t>
    </r>
    <phoneticPr fontId="11" type="noConversion"/>
  </si>
  <si>
    <r>
      <rPr>
        <b/>
        <sz val="10"/>
        <color indexed="8"/>
        <rFont val="宋体"/>
        <family val="3"/>
        <charset val="134"/>
      </rPr>
      <t>本期审定数与上期
审定数的比较</t>
    </r>
    <phoneticPr fontId="11" type="noConversion"/>
  </si>
  <si>
    <r>
      <rPr>
        <b/>
        <sz val="10"/>
        <rFont val="宋体"/>
        <family val="3"/>
        <charset val="134"/>
      </rPr>
      <t>未审数</t>
    </r>
    <phoneticPr fontId="11" type="noConversion"/>
  </si>
  <si>
    <r>
      <rPr>
        <b/>
        <sz val="10"/>
        <rFont val="宋体"/>
        <family val="3"/>
        <charset val="134"/>
      </rPr>
      <t>账项调整</t>
    </r>
    <phoneticPr fontId="11" type="noConversion"/>
  </si>
  <si>
    <r>
      <rPr>
        <b/>
        <sz val="10"/>
        <rFont val="宋体"/>
        <family val="3"/>
        <charset val="134"/>
      </rPr>
      <t>审定数</t>
    </r>
    <phoneticPr fontId="11" type="noConversion"/>
  </si>
  <si>
    <r>
      <rPr>
        <b/>
        <sz val="10"/>
        <rFont val="宋体"/>
        <family val="3"/>
        <charset val="134"/>
      </rPr>
      <t>账项调整</t>
    </r>
    <phoneticPr fontId="11" type="noConversion"/>
  </si>
  <si>
    <r>
      <rPr>
        <b/>
        <sz val="10"/>
        <rFont val="宋体"/>
        <family val="3"/>
        <charset val="134"/>
      </rPr>
      <t>审定数</t>
    </r>
    <phoneticPr fontId="11" type="noConversion"/>
  </si>
  <si>
    <r>
      <rPr>
        <b/>
        <sz val="10"/>
        <rFont val="宋体"/>
        <family val="3"/>
        <charset val="134"/>
      </rPr>
      <t>变动额</t>
    </r>
    <phoneticPr fontId="11" type="noConversion"/>
  </si>
  <si>
    <r>
      <rPr>
        <b/>
        <sz val="10"/>
        <color indexed="8"/>
        <rFont val="宋体"/>
        <family val="3"/>
        <charset val="134"/>
      </rPr>
      <t>变动率</t>
    </r>
    <phoneticPr fontId="11" type="noConversion"/>
  </si>
  <si>
    <r>
      <rPr>
        <b/>
        <sz val="10"/>
        <color indexed="8"/>
        <rFont val="宋体"/>
        <family val="3"/>
        <charset val="134"/>
      </rPr>
      <t>一、工程物资原值</t>
    </r>
    <phoneticPr fontId="11" type="noConversion"/>
  </si>
  <si>
    <r>
      <rPr>
        <b/>
        <sz val="10"/>
        <color indexed="8"/>
        <rFont val="宋体"/>
        <family val="3"/>
        <charset val="134"/>
      </rPr>
      <t>合计</t>
    </r>
    <phoneticPr fontId="11" type="noConversion"/>
  </si>
  <si>
    <r>
      <rPr>
        <b/>
        <sz val="10"/>
        <color indexed="8"/>
        <rFont val="宋体"/>
        <family val="3"/>
        <charset val="134"/>
      </rPr>
      <t>二、减值准备</t>
    </r>
    <phoneticPr fontId="6" type="noConversion"/>
  </si>
  <si>
    <r>
      <rPr>
        <b/>
        <sz val="10"/>
        <color indexed="8"/>
        <rFont val="宋体"/>
        <family val="3"/>
        <charset val="134"/>
      </rPr>
      <t>三、净值</t>
    </r>
    <phoneticPr fontId="6" type="noConversion"/>
  </si>
  <si>
    <r>
      <t>1</t>
    </r>
    <r>
      <rPr>
        <b/>
        <sz val="10"/>
        <rFont val="宋体"/>
        <family val="3"/>
        <charset val="134"/>
      </rPr>
      <t>、审计说明：</t>
    </r>
    <phoneticPr fontId="11" type="noConversion"/>
  </si>
  <si>
    <r>
      <rPr>
        <sz val="10"/>
        <rFont val="宋体"/>
        <family val="3"/>
        <charset val="134"/>
      </rPr>
      <t>（</t>
    </r>
    <r>
      <rPr>
        <sz val="10"/>
        <rFont val="Arial Narrow"/>
        <family val="2"/>
      </rPr>
      <t>1</t>
    </r>
    <r>
      <rPr>
        <sz val="10"/>
        <rFont val="宋体"/>
        <family val="3"/>
        <charset val="134"/>
      </rPr>
      <t>）工程物资期末净值较期初净值增加（负数为减少）：</t>
    </r>
    <phoneticPr fontId="11"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</si>
  <si>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1" type="noConversion"/>
  </si>
  <si>
    <r>
      <rPr>
        <sz val="10"/>
        <rFont val="宋体"/>
        <family val="3"/>
        <charset val="134"/>
      </rPr>
      <t>（</t>
    </r>
    <r>
      <rPr>
        <sz val="10"/>
        <rFont val="Arial Narrow"/>
        <family val="2"/>
      </rPr>
      <t>2</t>
    </r>
    <r>
      <rPr>
        <sz val="10"/>
        <rFont val="宋体"/>
        <family val="3"/>
        <charset val="134"/>
      </rPr>
      <t>）情况说明：</t>
    </r>
    <phoneticPr fontId="11" type="noConversion"/>
  </si>
  <si>
    <r>
      <rPr>
        <sz val="10"/>
        <rFont val="宋体"/>
        <family val="3"/>
        <charset val="134"/>
      </rPr>
      <t>（</t>
    </r>
    <r>
      <rPr>
        <sz val="10"/>
        <rFont val="Arial Narrow"/>
        <family val="2"/>
      </rPr>
      <t>3</t>
    </r>
    <r>
      <rPr>
        <sz val="10"/>
        <rFont val="宋体"/>
        <family val="3"/>
        <charset val="134"/>
      </rPr>
      <t>）与经审计的财务报表核对</t>
    </r>
    <phoneticPr fontId="11" type="noConversion"/>
  </si>
  <si>
    <r>
      <rPr>
        <sz val="10"/>
        <rFont val="宋体"/>
        <family val="3"/>
        <charset val="134"/>
      </rPr>
      <t>期末数</t>
    </r>
    <phoneticPr fontId="15" type="noConversion"/>
  </si>
  <si>
    <r>
      <rPr>
        <sz val="10"/>
        <rFont val="宋体"/>
        <family val="3"/>
        <charset val="134"/>
      </rPr>
      <t>期初数</t>
    </r>
    <phoneticPr fontId="15" type="noConversion"/>
  </si>
  <si>
    <r>
      <rPr>
        <sz val="10"/>
        <rFont val="宋体"/>
        <family val="3"/>
        <charset val="134"/>
      </rPr>
      <t>在建工程审定数</t>
    </r>
    <phoneticPr fontId="15" type="noConversion"/>
  </si>
  <si>
    <r>
      <rPr>
        <sz val="10"/>
        <rFont val="宋体"/>
        <family val="3"/>
        <charset val="134"/>
      </rPr>
      <t>工程物资审定数</t>
    </r>
    <phoneticPr fontId="15" type="noConversion"/>
  </si>
  <si>
    <r>
      <rPr>
        <sz val="10"/>
        <rFont val="宋体"/>
        <family val="3"/>
        <charset val="134"/>
      </rPr>
      <t>在建工程与工程物资合计数</t>
    </r>
    <phoneticPr fontId="15" type="noConversion"/>
  </si>
  <si>
    <r>
      <rPr>
        <sz val="10"/>
        <rFont val="宋体"/>
        <family val="3"/>
        <charset val="134"/>
      </rPr>
      <t>报表数</t>
    </r>
    <phoneticPr fontId="15" type="noConversion"/>
  </si>
  <si>
    <r>
      <rPr>
        <sz val="10"/>
        <rFont val="宋体"/>
        <family val="3"/>
        <charset val="134"/>
      </rPr>
      <t>差异</t>
    </r>
    <phoneticPr fontId="15" type="noConversion"/>
  </si>
  <si>
    <r>
      <t>1</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11" type="noConversion"/>
  </si>
  <si>
    <r>
      <rPr>
        <sz val="10"/>
        <color indexed="12"/>
        <rFont val="宋体"/>
        <family val="3"/>
        <charset val="134"/>
      </rPr>
      <t>以及可能对审计报告的影响。</t>
    </r>
    <phoneticPr fontId="11"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</si>
  <si>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11" type="noConversion"/>
  </si>
  <si>
    <r>
      <t>(</t>
    </r>
    <r>
      <rPr>
        <sz val="10"/>
        <color indexed="12"/>
        <rFont val="宋体"/>
        <family val="3"/>
        <charset val="134"/>
      </rPr>
      <t>识别和实际评估的重大错报风险、尤其识特别风险，以及对内控了解和控制测试情况〔采用综合方案时〕）；</t>
    </r>
    <phoneticPr fontId="11"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</si>
  <si>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11" type="noConversion"/>
  </si>
  <si>
    <r>
      <t>b</t>
    </r>
    <r>
      <rPr>
        <sz val="10"/>
        <color indexed="12"/>
        <rFont val="宋体"/>
        <family val="3"/>
        <charset val="134"/>
      </rPr>
      <t>、涉及特别风险时，应当重点说明有关事项、应当措施、结果〔可索引有关底稿〕。</t>
    </r>
  </si>
  <si>
    <r>
      <rPr>
        <b/>
        <sz val="10"/>
        <color indexed="12"/>
        <rFont val="宋体"/>
        <family val="3"/>
        <charset val="134"/>
      </rPr>
      <t>特别风险涉及的事项包括但不限于：</t>
    </r>
    <r>
      <rPr>
        <sz val="10"/>
        <color indexed="12"/>
        <rFont val="Arial Narrow"/>
        <family val="2"/>
      </rPr>
      <t/>
    </r>
    <phoneticPr fontId="11" type="noConversion"/>
  </si>
  <si>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1"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</si>
  <si>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</si>
  <si>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</si>
  <si>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11" type="noConversion"/>
  </si>
  <si>
    <r>
      <t>B</t>
    </r>
    <r>
      <rPr>
        <sz val="10"/>
        <color indexed="12"/>
        <rFont val="宋体"/>
        <family val="3"/>
        <charset val="134"/>
      </rPr>
      <t>、发现的重大不符事项（如适用）</t>
    </r>
    <phoneticPr fontId="11" type="noConversion"/>
  </si>
  <si>
    <r>
      <rPr>
        <sz val="10"/>
        <color indexed="12"/>
        <rFont val="宋体"/>
        <family val="3"/>
        <charset val="134"/>
      </rPr>
      <t>按调整事项，逐笔概述调整原因及对本科目的调整金额，并说明相关底稿的索引号。</t>
    </r>
    <phoneticPr fontId="11" type="noConversion"/>
  </si>
  <si>
    <r>
      <rPr>
        <sz val="10"/>
        <color indexed="12"/>
        <rFont val="宋体"/>
        <family val="3"/>
        <charset val="134"/>
      </rPr>
      <t>〔即具体事项内容和调整分录，见经索引的本科目或相关科目的检查表或测算表〕</t>
    </r>
    <phoneticPr fontId="11" type="noConversion"/>
  </si>
  <si>
    <r>
      <t>2</t>
    </r>
    <r>
      <rPr>
        <sz val="10"/>
        <color indexed="12"/>
        <rFont val="宋体"/>
        <family val="3"/>
        <charset val="134"/>
      </rPr>
      <t>、说明基于获取的审计证据，在有关认定方面，是否发现重大错报或存在重大异常。</t>
    </r>
    <phoneticPr fontId="11" type="noConversion"/>
  </si>
  <si>
    <r>
      <rPr>
        <sz val="10"/>
        <color indexed="8"/>
        <rFont val="宋体"/>
        <family val="3"/>
        <charset val="134"/>
      </rPr>
      <t>其中：</t>
    </r>
    <phoneticPr fontId="11" type="noConversion"/>
  </si>
  <si>
    <r>
      <rPr>
        <b/>
        <sz val="10"/>
        <rFont val="宋体"/>
        <family val="3"/>
        <charset val="134"/>
      </rPr>
      <t>三、审计说明</t>
    </r>
    <phoneticPr fontId="11" type="noConversion"/>
  </si>
  <si>
    <r>
      <rPr>
        <b/>
        <sz val="10"/>
        <rFont val="宋体"/>
        <family val="3"/>
        <charset val="134"/>
      </rPr>
      <t>四、审计结论：</t>
    </r>
    <phoneticPr fontId="11" type="noConversion"/>
  </si>
  <si>
    <r>
      <rPr>
        <sz val="10"/>
        <color rgb="FF0000FF"/>
        <rFont val="宋体"/>
        <family val="3"/>
        <charset val="134"/>
      </rPr>
      <t>审计过程提示：</t>
    </r>
    <phoneticPr fontId="11" type="noConversion"/>
  </si>
  <si>
    <r>
      <rPr>
        <b/>
        <sz val="10"/>
        <color indexed="8"/>
        <rFont val="宋体"/>
        <family val="3"/>
        <charset val="134"/>
      </rPr>
      <t>报表项目</t>
    </r>
    <phoneticPr fontId="11" type="noConversion"/>
  </si>
  <si>
    <r>
      <rPr>
        <b/>
        <sz val="10"/>
        <rFont val="宋体"/>
        <family val="3"/>
        <charset val="134"/>
      </rPr>
      <t>科目名称</t>
    </r>
    <phoneticPr fontId="11" type="noConversion"/>
  </si>
  <si>
    <r>
      <rPr>
        <b/>
        <sz val="10"/>
        <rFont val="宋体"/>
        <family val="3"/>
        <charset val="134"/>
      </rPr>
      <t>附注项目</t>
    </r>
    <phoneticPr fontId="11" type="noConversion"/>
  </si>
  <si>
    <r>
      <rPr>
        <b/>
        <sz val="10"/>
        <rFont val="宋体"/>
        <family val="3"/>
        <charset val="134"/>
      </rPr>
      <t>备注</t>
    </r>
    <phoneticPr fontId="11" type="noConversion"/>
  </si>
  <si>
    <r>
      <rPr>
        <b/>
        <sz val="10"/>
        <color indexed="8"/>
        <rFont val="宋体"/>
        <family val="3"/>
        <charset val="134"/>
      </rPr>
      <t>调整事项说明</t>
    </r>
    <phoneticPr fontId="11"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</si>
  <si>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1" type="noConversion"/>
  </si>
  <si>
    <r>
      <rPr>
        <b/>
        <sz val="10"/>
        <rFont val="宋体"/>
        <family val="3"/>
        <charset val="134"/>
      </rPr>
      <t>借方调整金额</t>
    </r>
    <phoneticPr fontId="11" type="noConversion"/>
  </si>
  <si>
    <r>
      <rPr>
        <b/>
        <sz val="10"/>
        <rFont val="宋体"/>
        <family val="3"/>
        <charset val="134"/>
      </rPr>
      <t>贷方调整金额</t>
    </r>
    <phoneticPr fontId="11" type="noConversion"/>
  </si>
  <si>
    <r>
      <rPr>
        <b/>
        <sz val="10"/>
        <rFont val="宋体"/>
        <family val="3"/>
        <charset val="134"/>
      </rPr>
      <t>索引</t>
    </r>
    <phoneticPr fontId="11" type="noConversion"/>
  </si>
  <si>
    <r>
      <rPr>
        <sz val="10"/>
        <rFont val="宋体"/>
        <family val="3"/>
        <charset val="134"/>
      </rPr>
      <t>测试总体：</t>
    </r>
    <phoneticPr fontId="11" type="noConversion"/>
  </si>
  <si>
    <r>
      <rPr>
        <sz val="10"/>
        <rFont val="宋体"/>
        <family val="3"/>
        <charset val="134"/>
      </rPr>
      <t>特定样本：</t>
    </r>
    <phoneticPr fontId="11"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</si>
  <si>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1"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</si>
  <si>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1" type="noConversion"/>
  </si>
  <si>
    <r>
      <rPr>
        <sz val="10"/>
        <rFont val="宋体"/>
        <family val="3"/>
        <charset val="134"/>
      </rPr>
      <t>确定的抽样样本量：</t>
    </r>
    <phoneticPr fontId="11"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</si>
  <si>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1"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</si>
  <si>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1" type="noConversion"/>
  </si>
  <si>
    <r>
      <rPr>
        <sz val="10"/>
        <rFont val="宋体"/>
        <family val="3"/>
        <charset val="134"/>
      </rPr>
      <t>抽样方法：</t>
    </r>
    <phoneticPr fontId="11" type="noConversion"/>
  </si>
  <si>
    <r>
      <rPr>
        <sz val="10"/>
        <rFont val="宋体"/>
        <family val="3"/>
        <charset val="134"/>
      </rPr>
      <t>抽样过程：</t>
    </r>
    <phoneticPr fontId="11"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</si>
  <si>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1" type="noConversion"/>
  </si>
  <si>
    <r>
      <rPr>
        <b/>
        <sz val="10"/>
        <rFont val="宋体"/>
        <family val="3"/>
        <charset val="134"/>
      </rPr>
      <t>三、测试：</t>
    </r>
    <phoneticPr fontId="50" type="noConversion"/>
  </si>
  <si>
    <r>
      <rPr>
        <b/>
        <sz val="10"/>
        <rFont val="宋体"/>
        <family val="3"/>
        <charset val="134"/>
      </rPr>
      <t>序号</t>
    </r>
    <phoneticPr fontId="11" type="noConversion"/>
  </si>
  <si>
    <r>
      <rPr>
        <b/>
        <sz val="10"/>
        <rFont val="宋体"/>
        <family val="3"/>
        <charset val="134"/>
      </rPr>
      <t>工程物资类别</t>
    </r>
    <phoneticPr fontId="11" type="noConversion"/>
  </si>
  <si>
    <r>
      <rPr>
        <b/>
        <sz val="10"/>
        <rFont val="宋体"/>
        <family val="3"/>
        <charset val="134"/>
      </rPr>
      <t>工程物资名称</t>
    </r>
    <phoneticPr fontId="11" type="noConversion"/>
  </si>
  <si>
    <r>
      <rPr>
        <b/>
        <sz val="10"/>
        <rFont val="宋体"/>
        <family val="3"/>
        <charset val="134"/>
      </rPr>
      <t>四、审计说明：</t>
    </r>
    <phoneticPr fontId="50" type="noConversion"/>
  </si>
  <si>
    <r>
      <rPr>
        <b/>
        <sz val="10"/>
        <rFont val="宋体"/>
        <family val="3"/>
        <charset val="134"/>
      </rPr>
      <t>五、审计结论：</t>
    </r>
    <phoneticPr fontId="11" type="noConversion"/>
  </si>
  <si>
    <r>
      <rPr>
        <sz val="10"/>
        <rFont val="宋体"/>
        <family val="3"/>
        <charset val="134"/>
      </rPr>
      <t>特定样本：</t>
    </r>
    <phoneticPr fontId="11"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</si>
  <si>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1" type="noConversion"/>
  </si>
  <si>
    <r>
      <rPr>
        <sz val="10"/>
        <rFont val="宋体"/>
        <family val="3"/>
        <charset val="134"/>
      </rPr>
      <t>抽样总体：</t>
    </r>
    <phoneticPr fontId="11"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</si>
  <si>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1" type="noConversion"/>
  </si>
  <si>
    <r>
      <rPr>
        <sz val="10"/>
        <rFont val="宋体"/>
        <family val="3"/>
        <charset val="134"/>
      </rPr>
      <t>抽样方法：</t>
    </r>
    <phoneticPr fontId="11"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</si>
  <si>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1" type="noConversion"/>
  </si>
  <si>
    <r>
      <rPr>
        <b/>
        <sz val="10"/>
        <rFont val="宋体"/>
        <family val="3"/>
        <charset val="134"/>
      </rPr>
      <t>三、测试：</t>
    </r>
    <phoneticPr fontId="50" type="noConversion"/>
  </si>
  <si>
    <r>
      <rPr>
        <b/>
        <sz val="10"/>
        <rFont val="宋体"/>
        <family val="3"/>
        <charset val="134"/>
      </rPr>
      <t>工程物资类别</t>
    </r>
    <phoneticPr fontId="11" type="noConversion"/>
  </si>
  <si>
    <r>
      <rPr>
        <b/>
        <sz val="10"/>
        <rFont val="宋体"/>
        <family val="3"/>
        <charset val="134"/>
      </rPr>
      <t>工程物资名称</t>
    </r>
    <phoneticPr fontId="11" type="noConversion"/>
  </si>
  <si>
    <r>
      <rPr>
        <b/>
        <sz val="10"/>
        <rFont val="宋体"/>
        <family val="3"/>
        <charset val="134"/>
      </rPr>
      <t>入账凭证号</t>
    </r>
    <phoneticPr fontId="11" type="noConversion"/>
  </si>
  <si>
    <r>
      <rPr>
        <b/>
        <sz val="10"/>
        <rFont val="宋体"/>
        <family val="3"/>
        <charset val="134"/>
      </rPr>
      <t>减少方式</t>
    </r>
    <phoneticPr fontId="11" type="noConversion"/>
  </si>
  <si>
    <r>
      <rPr>
        <b/>
        <sz val="10"/>
        <rFont val="宋体"/>
        <family val="3"/>
        <charset val="134"/>
      </rPr>
      <t>对方科目</t>
    </r>
    <phoneticPr fontId="11" type="noConversion"/>
  </si>
  <si>
    <r>
      <rPr>
        <b/>
        <sz val="10"/>
        <rFont val="宋体"/>
        <family val="3"/>
        <charset val="134"/>
      </rPr>
      <t>减少情况</t>
    </r>
    <phoneticPr fontId="11" type="noConversion"/>
  </si>
  <si>
    <r>
      <rPr>
        <b/>
        <sz val="10"/>
        <rFont val="宋体"/>
        <family val="3"/>
        <charset val="134"/>
      </rPr>
      <t>索引号</t>
    </r>
    <phoneticPr fontId="11" type="noConversion"/>
  </si>
  <si>
    <r>
      <rPr>
        <b/>
        <sz val="10"/>
        <rFont val="宋体"/>
        <family val="3"/>
        <charset val="134"/>
      </rPr>
      <t>原值</t>
    </r>
    <phoneticPr fontId="11" type="noConversion"/>
  </si>
  <si>
    <r>
      <rPr>
        <b/>
        <sz val="10"/>
        <rFont val="宋体"/>
        <family val="3"/>
        <charset val="134"/>
      </rPr>
      <t>减值准备</t>
    </r>
    <phoneticPr fontId="11" type="noConversion"/>
  </si>
  <si>
    <r>
      <rPr>
        <b/>
        <sz val="10"/>
        <rFont val="宋体"/>
        <family val="3"/>
        <charset val="134"/>
      </rPr>
      <t>净值</t>
    </r>
    <phoneticPr fontId="11" type="noConversion"/>
  </si>
  <si>
    <r>
      <rPr>
        <b/>
        <sz val="10"/>
        <rFont val="宋体"/>
        <family val="3"/>
        <charset val="134"/>
      </rPr>
      <t>清理费用</t>
    </r>
    <phoneticPr fontId="11" type="noConversion"/>
  </si>
  <si>
    <r>
      <rPr>
        <b/>
        <sz val="10"/>
        <rFont val="宋体"/>
        <family val="3"/>
        <charset val="134"/>
      </rPr>
      <t>清理收入</t>
    </r>
    <phoneticPr fontId="11" type="noConversion"/>
  </si>
  <si>
    <r>
      <rPr>
        <b/>
        <sz val="10"/>
        <rFont val="宋体"/>
        <family val="3"/>
        <charset val="134"/>
      </rPr>
      <t>清理净损益</t>
    </r>
    <phoneticPr fontId="11" type="noConversion"/>
  </si>
  <si>
    <r>
      <rPr>
        <b/>
        <sz val="10"/>
        <rFont val="宋体"/>
        <family val="3"/>
        <charset val="134"/>
      </rPr>
      <t>一、审计目标：</t>
    </r>
    <phoneticPr fontId="50" type="noConversion"/>
  </si>
  <si>
    <r>
      <rPr>
        <b/>
        <sz val="10"/>
        <rFont val="宋体"/>
        <family val="3"/>
        <charset val="134"/>
      </rPr>
      <t>二、样本选取标准与规模：</t>
    </r>
    <phoneticPr fontId="50" type="noConversion"/>
  </si>
  <si>
    <r>
      <rPr>
        <b/>
        <sz val="10"/>
        <rFont val="宋体"/>
        <family val="3"/>
        <charset val="134"/>
      </rPr>
      <t>资产编号</t>
    </r>
    <phoneticPr fontId="11" type="noConversion"/>
  </si>
  <si>
    <r>
      <rPr>
        <b/>
        <sz val="10"/>
        <rFont val="宋体"/>
        <family val="3"/>
        <charset val="134"/>
      </rPr>
      <t>单位</t>
    </r>
    <phoneticPr fontId="11" type="noConversion"/>
  </si>
  <si>
    <r>
      <rPr>
        <b/>
        <sz val="10"/>
        <rFont val="宋体"/>
        <family val="3"/>
        <charset val="134"/>
      </rPr>
      <t>抽盘与企业盘点差异</t>
    </r>
    <phoneticPr fontId="11" type="noConversion"/>
  </si>
  <si>
    <r>
      <t>2</t>
    </r>
    <r>
      <rPr>
        <sz val="10"/>
        <color indexed="12"/>
        <rFont val="宋体"/>
        <family val="3"/>
        <charset val="134"/>
      </rPr>
      <t>、财务账面记录与资产管理管理部门账面记录应一致，若存在差异应调整一致。</t>
    </r>
    <phoneticPr fontId="11" type="noConversion"/>
  </si>
  <si>
    <r>
      <rPr>
        <b/>
        <sz val="10"/>
        <rFont val="宋体"/>
        <family val="3"/>
        <charset val="134"/>
      </rPr>
      <t>合计</t>
    </r>
    <phoneticPr fontId="11" type="noConversion"/>
  </si>
  <si>
    <r>
      <rPr>
        <b/>
        <sz val="10"/>
        <rFont val="宋体"/>
        <family val="3"/>
        <charset val="134"/>
      </rPr>
      <t>规格型号</t>
    </r>
    <phoneticPr fontId="11" type="noConversion"/>
  </si>
  <si>
    <r>
      <rPr>
        <sz val="10"/>
        <color rgb="FF0000FF"/>
        <rFont val="宋体"/>
        <family val="3"/>
        <charset val="134"/>
      </rPr>
      <t>监盘计划、监盘小结，参考固定资产</t>
    </r>
    <phoneticPr fontId="11" type="noConversion"/>
  </si>
  <si>
    <r>
      <t>5</t>
    </r>
    <r>
      <rPr>
        <sz val="10"/>
        <color indexed="12"/>
        <rFont val="宋体"/>
        <family val="3"/>
        <charset val="134"/>
      </rPr>
      <t>、盘点时应关注资产的品质状况（影响减值准备的计提）。</t>
    </r>
    <phoneticPr fontId="11" type="noConversion"/>
  </si>
  <si>
    <r>
      <t>1.</t>
    </r>
    <r>
      <rPr>
        <sz val="10"/>
        <rFont val="宋体"/>
        <family val="3"/>
        <charset val="134"/>
      </rPr>
      <t>资产负债表中记录的工程物资是存在的，且已记录于恰当的账户；</t>
    </r>
    <r>
      <rPr>
        <sz val="10"/>
        <rFont val="Arial Narrow"/>
        <family val="2"/>
      </rPr>
      <t>2.</t>
    </r>
    <r>
      <rPr>
        <sz val="10"/>
        <rFont val="宋体"/>
        <family val="3"/>
        <charset val="134"/>
      </rPr>
      <t>所有应记录的工程物资均已记录，所有应当包括在财务报表中的相关披露均已包括；</t>
    </r>
    <phoneticPr fontId="11" type="noConversion"/>
  </si>
  <si>
    <r>
      <rPr>
        <sz val="10"/>
        <color rgb="FF0000FF"/>
        <rFont val="宋体"/>
        <family val="3"/>
        <charset val="134"/>
      </rPr>
      <t>随机选样</t>
    </r>
    <r>
      <rPr>
        <sz val="10"/>
        <color rgb="FF0000FF"/>
        <rFont val="Arial Narrow"/>
        <family val="2"/>
      </rPr>
      <t>/</t>
    </r>
    <r>
      <rPr>
        <sz val="10"/>
        <color rgb="FF0000FF"/>
        <rFont val="宋体"/>
        <family val="3"/>
        <charset val="134"/>
      </rPr>
      <t>系统选样</t>
    </r>
    <r>
      <rPr>
        <sz val="10"/>
        <color rgb="FF0000FF"/>
        <rFont val="Arial Narrow"/>
        <family val="2"/>
      </rPr>
      <t>/</t>
    </r>
    <r>
      <rPr>
        <sz val="10"/>
        <color rgb="FF0000FF"/>
        <rFont val="宋体"/>
        <family val="3"/>
        <charset val="134"/>
      </rPr>
      <t>货币单元抽样</t>
    </r>
    <r>
      <rPr>
        <sz val="10"/>
        <color rgb="FF0000FF"/>
        <rFont val="Arial Narrow"/>
        <family val="2"/>
      </rPr>
      <t>/</t>
    </r>
    <r>
      <rPr>
        <sz val="10"/>
        <color rgb="FF0000FF"/>
        <rFont val="宋体"/>
        <family val="3"/>
        <charset val="134"/>
      </rPr>
      <t>随意选样</t>
    </r>
    <phoneticPr fontId="11" type="noConversion"/>
  </si>
  <si>
    <r>
      <rPr>
        <b/>
        <sz val="10"/>
        <rFont val="宋体"/>
        <family val="3"/>
        <charset val="134"/>
      </rPr>
      <t>工程物资名称</t>
    </r>
    <r>
      <rPr>
        <b/>
        <sz val="10"/>
        <rFont val="Arial Narrow"/>
        <family val="2"/>
      </rPr>
      <t>/</t>
    </r>
    <r>
      <rPr>
        <b/>
        <sz val="10"/>
        <rFont val="宋体"/>
        <family val="3"/>
        <charset val="134"/>
      </rPr>
      <t>类别</t>
    </r>
    <phoneticPr fontId="11" type="noConversion"/>
  </si>
  <si>
    <r>
      <rPr>
        <b/>
        <sz val="10"/>
        <rFont val="宋体"/>
        <family val="3"/>
        <charset val="134"/>
      </rPr>
      <t>抽取样本占期末余额比例：（</t>
    </r>
    <r>
      <rPr>
        <b/>
        <sz val="10"/>
        <rFont val="Arial Narrow"/>
        <family val="2"/>
      </rPr>
      <t>%</t>
    </r>
    <r>
      <rPr>
        <b/>
        <sz val="10"/>
        <rFont val="宋体"/>
        <family val="3"/>
        <charset val="134"/>
      </rPr>
      <t>）</t>
    </r>
    <phoneticPr fontId="11" type="noConversion"/>
  </si>
  <si>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</si>
  <si>
    <r>
      <t>4</t>
    </r>
    <r>
      <rPr>
        <sz val="10"/>
        <color indexed="12"/>
        <rFont val="宋体"/>
        <family val="3"/>
        <charset val="134"/>
      </rPr>
      <t>、盘点时，应关注易移动的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及可能发生减值的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t>
    </r>
    <phoneticPr fontId="11" type="noConversion"/>
  </si>
  <si>
    <r>
      <t>3.</t>
    </r>
    <r>
      <rPr>
        <sz val="10"/>
        <rFont val="宋体"/>
        <family val="3"/>
        <charset val="134"/>
      </rPr>
      <t>工程物资以恰当的金额包括在财务报表中，与之相关的计价或分摊调整已恰当记录，相关披露已得到恰当计量和描述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1" type="noConversion"/>
  </si>
  <si>
    <r>
      <rPr>
        <sz val="10"/>
        <rFont val="宋体"/>
        <family val="3"/>
        <charset val="134"/>
      </rPr>
      <t>测试总体：</t>
    </r>
    <phoneticPr fontId="11"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</si>
  <si>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1"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</si>
  <si>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1"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</si>
  <si>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1"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</si>
  <si>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11" type="noConversion"/>
  </si>
  <si>
    <r>
      <rPr>
        <b/>
        <sz val="10"/>
        <rFont val="宋体"/>
        <family val="3"/>
        <charset val="134"/>
      </rPr>
      <t>企业盘点与账面差异</t>
    </r>
    <phoneticPr fontId="11" type="noConversion"/>
  </si>
  <si>
    <r>
      <rPr>
        <b/>
        <sz val="10"/>
        <rFont val="宋体"/>
        <family val="3"/>
        <charset val="134"/>
      </rPr>
      <t>四、盘点情况说明：</t>
    </r>
    <phoneticPr fontId="11" type="noConversion"/>
  </si>
  <si>
    <r>
      <rPr>
        <b/>
        <sz val="10"/>
        <rFont val="宋体"/>
        <family val="3"/>
        <charset val="134"/>
      </rPr>
      <t>五、审计结论：</t>
    </r>
    <phoneticPr fontId="11" type="noConversion"/>
  </si>
  <si>
    <r>
      <rPr>
        <b/>
        <sz val="10"/>
        <rFont val="宋体"/>
        <family val="3"/>
        <charset val="134"/>
      </rPr>
      <t>工程物资类别</t>
    </r>
    <phoneticPr fontId="11" type="noConversion"/>
  </si>
  <si>
    <r>
      <rPr>
        <b/>
        <sz val="10"/>
        <rFont val="宋体"/>
        <family val="3"/>
        <charset val="134"/>
      </rPr>
      <t>是否存在减值迹象</t>
    </r>
    <phoneticPr fontId="11" type="noConversion"/>
  </si>
  <si>
    <r>
      <rPr>
        <b/>
        <sz val="10"/>
        <rFont val="宋体"/>
        <family val="3"/>
        <charset val="134"/>
      </rPr>
      <t>减值迹象描述</t>
    </r>
    <phoneticPr fontId="11" type="noConversion"/>
  </si>
  <si>
    <r>
      <rPr>
        <b/>
        <sz val="10"/>
        <rFont val="宋体"/>
        <family val="3"/>
        <charset val="134"/>
      </rPr>
      <t>账面价值</t>
    </r>
    <phoneticPr fontId="11" type="noConversion"/>
  </si>
  <si>
    <r>
      <rPr>
        <b/>
        <sz val="10"/>
        <rFont val="宋体"/>
        <family val="3"/>
        <charset val="134"/>
      </rPr>
      <t>可收回金额</t>
    </r>
    <phoneticPr fontId="11" type="noConversion"/>
  </si>
  <si>
    <r>
      <rPr>
        <b/>
        <sz val="10"/>
        <rFont val="宋体"/>
        <family val="3"/>
        <charset val="134"/>
      </rPr>
      <t>期末应计提的减值金额（当⑤＜②）</t>
    </r>
    <phoneticPr fontId="11" type="noConversion"/>
  </si>
  <si>
    <r>
      <rPr>
        <b/>
        <sz val="10"/>
        <rFont val="宋体"/>
        <family val="3"/>
        <charset val="134"/>
      </rPr>
      <t>期末账面已计提的减值准备</t>
    </r>
    <phoneticPr fontId="11" type="noConversion"/>
  </si>
  <si>
    <r>
      <rPr>
        <b/>
        <sz val="10"/>
        <rFont val="宋体"/>
        <family val="3"/>
        <charset val="134"/>
      </rPr>
      <t>本期应补提
或冲回的减值准备</t>
    </r>
    <phoneticPr fontId="11" type="noConversion"/>
  </si>
  <si>
    <r>
      <rPr>
        <b/>
        <sz val="10"/>
        <rFont val="宋体"/>
        <family val="3"/>
        <charset val="134"/>
      </rPr>
      <t>工作底稿索引号</t>
    </r>
    <phoneticPr fontId="11" type="noConversion"/>
  </si>
  <si>
    <r>
      <rPr>
        <b/>
        <sz val="10"/>
        <rFont val="宋体"/>
        <family val="3"/>
        <charset val="134"/>
      </rPr>
      <t>公允价值减处置费用的净额</t>
    </r>
    <phoneticPr fontId="11" type="noConversion"/>
  </si>
  <si>
    <r>
      <rPr>
        <b/>
        <sz val="10"/>
        <rFont val="宋体"/>
        <family val="3"/>
        <charset val="134"/>
      </rPr>
      <t>预计未来现金流量现值</t>
    </r>
    <phoneticPr fontId="11" type="noConversion"/>
  </si>
  <si>
    <r>
      <rPr>
        <b/>
        <sz val="10"/>
        <rFont val="宋体"/>
        <family val="3"/>
        <charset val="134"/>
      </rPr>
      <t>可收回金额（③、④较高者）</t>
    </r>
    <phoneticPr fontId="11" type="noConversion"/>
  </si>
  <si>
    <r>
      <rPr>
        <b/>
        <sz val="10"/>
        <rFont val="宋体"/>
        <family val="3"/>
        <charset val="134"/>
      </rPr>
      <t>期末已计提
减值准备</t>
    </r>
    <phoneticPr fontId="11" type="noConversion"/>
  </si>
  <si>
    <r>
      <rPr>
        <b/>
        <sz val="10"/>
        <rFont val="宋体"/>
        <family val="3"/>
        <charset val="134"/>
      </rPr>
      <t>①</t>
    </r>
    <phoneticPr fontId="11" type="noConversion"/>
  </si>
  <si>
    <r>
      <rPr>
        <b/>
        <sz val="10"/>
        <rFont val="宋体"/>
        <family val="3"/>
        <charset val="134"/>
      </rPr>
      <t>②</t>
    </r>
    <phoneticPr fontId="11" type="noConversion"/>
  </si>
  <si>
    <r>
      <rPr>
        <b/>
        <sz val="10"/>
        <rFont val="宋体"/>
        <family val="3"/>
        <charset val="134"/>
      </rPr>
      <t>③</t>
    </r>
    <phoneticPr fontId="11" type="noConversion"/>
  </si>
  <si>
    <r>
      <rPr>
        <b/>
        <sz val="10"/>
        <rFont val="宋体"/>
        <family val="3"/>
        <charset val="134"/>
      </rPr>
      <t>④</t>
    </r>
    <phoneticPr fontId="11" type="noConversion"/>
  </si>
  <si>
    <r>
      <rPr>
        <b/>
        <sz val="10"/>
        <rFont val="宋体"/>
        <family val="3"/>
        <charset val="134"/>
      </rPr>
      <t>⑤</t>
    </r>
    <phoneticPr fontId="11" type="noConversion"/>
  </si>
  <si>
    <r>
      <rPr>
        <b/>
        <sz val="10"/>
        <rFont val="宋体"/>
        <family val="3"/>
        <charset val="134"/>
      </rPr>
      <t>⑥＝⑤－②</t>
    </r>
    <phoneticPr fontId="11" type="noConversion"/>
  </si>
  <si>
    <r>
      <rPr>
        <b/>
        <sz val="10"/>
        <rFont val="宋体"/>
        <family val="3"/>
        <charset val="134"/>
      </rPr>
      <t>⑦</t>
    </r>
    <phoneticPr fontId="11"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</si>
  <si>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11" type="noConversion"/>
  </si>
  <si>
    <r>
      <rPr>
        <b/>
        <sz val="10"/>
        <rFont val="宋体"/>
        <family val="3"/>
        <charset val="134"/>
      </rPr>
      <t>三、审计说明：</t>
    </r>
    <phoneticPr fontId="11" type="noConversion"/>
  </si>
  <si>
    <r>
      <t>1.</t>
    </r>
    <r>
      <rPr>
        <sz val="10"/>
        <color rgb="FF0000FF"/>
        <rFont val="宋体"/>
        <family val="3"/>
        <charset val="134"/>
      </rPr>
      <t>获取或编制工程物资减值准备明细表，复核加计正确，并与总账数和明细账合计数核对相符；</t>
    </r>
  </si>
  <si>
    <r>
      <t>2.</t>
    </r>
    <r>
      <rPr>
        <sz val="10"/>
        <color rgb="FF0000FF"/>
        <rFont val="宋体"/>
        <family val="3"/>
        <charset val="134"/>
      </rPr>
      <t>检查工程物资减值准备计提和转销的批准程序，取得书面报告等证明文件；检查被审计单位计提工程物资减值准备的依据是否充分，会计处理是否正确；</t>
    </r>
  </si>
  <si>
    <r>
      <t>3.</t>
    </r>
    <r>
      <rPr>
        <sz val="10"/>
        <color rgb="FF0000FF"/>
        <rFont val="宋体"/>
        <family val="3"/>
        <charset val="134"/>
      </rPr>
      <t>检查工程物资转让时，相应的减值准备是否一并结转，会计处理是否正确；</t>
    </r>
  </si>
  <si>
    <r>
      <t>4.</t>
    </r>
    <r>
      <rPr>
        <sz val="10"/>
        <color rgb="FF0000FF"/>
        <rFont val="宋体"/>
        <family val="3"/>
        <charset val="134"/>
      </rPr>
      <t>重新测试被审计单位计提的减值准备是否合理；比较我们预期所估计减值准备和已记录的金额，调查所有重大差异；</t>
    </r>
  </si>
  <si>
    <r>
      <t>5.</t>
    </r>
    <r>
      <rPr>
        <sz val="10"/>
        <color rgb="FF0000FF"/>
        <rFont val="宋体"/>
        <family val="3"/>
        <charset val="134"/>
      </rPr>
      <t>上期确认的固定资产减值准备在本期的变动是否适当。</t>
    </r>
  </si>
  <si>
    <r>
      <rPr>
        <b/>
        <sz val="10"/>
        <color indexed="8"/>
        <rFont val="宋体"/>
        <family val="3"/>
        <charset val="134"/>
      </rPr>
      <t>二、审计过程：</t>
    </r>
    <phoneticPr fontId="15" type="noConversion"/>
  </si>
  <si>
    <r>
      <rPr>
        <b/>
        <sz val="10"/>
        <rFont val="宋体"/>
        <family val="3"/>
        <charset val="134"/>
      </rPr>
      <t>（一）资产的公允价值减去处置费用后的净额</t>
    </r>
    <phoneticPr fontId="11" type="noConversion"/>
  </si>
  <si>
    <r>
      <rPr>
        <b/>
        <sz val="10"/>
        <rFont val="宋体"/>
        <family val="3"/>
        <charset val="134"/>
      </rPr>
      <t>公允价值</t>
    </r>
    <phoneticPr fontId="11" type="noConversion"/>
  </si>
  <si>
    <r>
      <rPr>
        <b/>
        <sz val="10"/>
        <rFont val="宋体"/>
        <family val="3"/>
        <charset val="134"/>
      </rPr>
      <t>处置费用（资产处置的直接归属费用）</t>
    </r>
    <phoneticPr fontId="11" type="noConversion"/>
  </si>
  <si>
    <r>
      <rPr>
        <b/>
        <sz val="10"/>
        <rFont val="宋体"/>
        <family val="3"/>
        <charset val="134"/>
      </rPr>
      <t>公允价值</t>
    </r>
    <r>
      <rPr>
        <b/>
        <sz val="10"/>
        <rFont val="Arial Narrow"/>
        <family val="2"/>
      </rPr>
      <t>-</t>
    </r>
    <r>
      <rPr>
        <b/>
        <sz val="10"/>
        <rFont val="宋体"/>
        <family val="3"/>
        <charset val="134"/>
      </rPr>
      <t>处置费用</t>
    </r>
    <phoneticPr fontId="11" type="noConversion"/>
  </si>
  <si>
    <r>
      <rPr>
        <b/>
        <sz val="10"/>
        <rFont val="宋体"/>
        <family val="3"/>
        <charset val="134"/>
      </rPr>
      <t>销售协议价格</t>
    </r>
    <phoneticPr fontId="11" type="noConversion"/>
  </si>
  <si>
    <r>
      <rPr>
        <b/>
        <sz val="10"/>
        <rFont val="宋体"/>
        <family val="3"/>
        <charset val="134"/>
      </rPr>
      <t>说明</t>
    </r>
    <phoneticPr fontId="11" type="noConversion"/>
  </si>
  <si>
    <r>
      <rPr>
        <b/>
        <sz val="10"/>
        <rFont val="宋体"/>
        <family val="3"/>
        <charset val="134"/>
      </rPr>
      <t>资产活跃市场价格</t>
    </r>
    <phoneticPr fontId="11" type="noConversion"/>
  </si>
  <si>
    <r>
      <rPr>
        <b/>
        <sz val="10"/>
        <rFont val="宋体"/>
        <family val="3"/>
        <charset val="134"/>
      </rPr>
      <t>估计价格</t>
    </r>
    <phoneticPr fontId="11" type="noConversion"/>
  </si>
  <si>
    <r>
      <rPr>
        <b/>
        <sz val="10"/>
        <rFont val="宋体"/>
        <family val="3"/>
        <charset val="134"/>
      </rPr>
      <t>法律费用</t>
    </r>
    <phoneticPr fontId="11" type="noConversion"/>
  </si>
  <si>
    <r>
      <rPr>
        <b/>
        <sz val="10"/>
        <rFont val="宋体"/>
        <family val="3"/>
        <charset val="134"/>
      </rPr>
      <t>直接费用</t>
    </r>
    <phoneticPr fontId="11" type="noConversion"/>
  </si>
  <si>
    <r>
      <rPr>
        <b/>
        <sz val="10"/>
        <rFont val="宋体"/>
        <family val="3"/>
        <charset val="134"/>
      </rPr>
      <t>其他费用</t>
    </r>
    <phoneticPr fontId="11" type="noConversion"/>
  </si>
  <si>
    <r>
      <rPr>
        <b/>
        <sz val="10"/>
        <rFont val="宋体"/>
        <family val="3"/>
        <charset val="134"/>
      </rPr>
      <t>处置费用合计</t>
    </r>
    <phoneticPr fontId="11" type="noConversion"/>
  </si>
  <si>
    <r>
      <rPr>
        <b/>
        <sz val="10"/>
        <rFont val="宋体"/>
        <family val="3"/>
        <charset val="134"/>
      </rPr>
      <t>审计说明：</t>
    </r>
    <phoneticPr fontId="11" type="noConversion"/>
  </si>
  <si>
    <r>
      <rPr>
        <b/>
        <sz val="10"/>
        <rFont val="宋体"/>
        <family val="3"/>
        <charset val="134"/>
      </rPr>
      <t>（二）资产预计未来现金流量的现值</t>
    </r>
    <phoneticPr fontId="11" type="noConversion"/>
  </si>
  <si>
    <r>
      <rPr>
        <b/>
        <sz val="10"/>
        <rFont val="宋体"/>
        <family val="3"/>
        <charset val="134"/>
      </rPr>
      <t>预计未来现金流量</t>
    </r>
    <phoneticPr fontId="11" type="noConversion"/>
  </si>
  <si>
    <r>
      <rPr>
        <b/>
        <sz val="10"/>
        <rFont val="宋体"/>
        <family val="3"/>
        <charset val="134"/>
      </rPr>
      <t>预算或者预测期</t>
    </r>
    <phoneticPr fontId="11" type="noConversion"/>
  </si>
  <si>
    <r>
      <rPr>
        <sz val="10"/>
        <rFont val="宋体"/>
        <family val="3"/>
        <charset val="134"/>
      </rPr>
      <t>行业的长期平均增长率</t>
    </r>
    <phoneticPr fontId="11" type="noConversion"/>
  </si>
  <si>
    <r>
      <rPr>
        <sz val="10"/>
        <rFont val="宋体"/>
        <family val="3"/>
        <charset val="134"/>
      </rPr>
      <t>市场长期平均增长率</t>
    </r>
    <phoneticPr fontId="11" type="noConversion"/>
  </si>
  <si>
    <r>
      <rPr>
        <sz val="10"/>
        <rFont val="宋体"/>
        <family val="3"/>
        <charset val="134"/>
      </rPr>
      <t>所在国家或地区的长期平均增长率</t>
    </r>
    <phoneticPr fontId="11" type="noConversion"/>
  </si>
  <si>
    <r>
      <rPr>
        <b/>
        <sz val="10"/>
        <rFont val="宋体"/>
        <family val="3"/>
        <charset val="134"/>
      </rPr>
      <t>第一年</t>
    </r>
    <phoneticPr fontId="11" type="noConversion"/>
  </si>
  <si>
    <r>
      <rPr>
        <b/>
        <sz val="10"/>
        <rFont val="宋体"/>
        <family val="3"/>
        <charset val="134"/>
      </rPr>
      <t>第四年</t>
    </r>
    <phoneticPr fontId="11" type="noConversion"/>
  </si>
  <si>
    <r>
      <rPr>
        <sz val="10"/>
        <rFont val="宋体"/>
        <family val="3"/>
        <charset val="134"/>
      </rPr>
      <t>折现系数</t>
    </r>
    <phoneticPr fontId="11" type="noConversion"/>
  </si>
  <si>
    <r>
      <rPr>
        <b/>
        <sz val="10"/>
        <rFont val="宋体"/>
        <family val="3"/>
        <charset val="134"/>
      </rPr>
      <t>折现率</t>
    </r>
    <phoneticPr fontId="11" type="noConversion"/>
  </si>
  <si>
    <r>
      <rPr>
        <b/>
        <sz val="10"/>
        <rFont val="宋体"/>
        <family val="3"/>
        <charset val="134"/>
      </rPr>
      <t>资本总额</t>
    </r>
    <phoneticPr fontId="11" type="noConversion"/>
  </si>
  <si>
    <r>
      <rPr>
        <b/>
        <sz val="10"/>
        <rFont val="宋体"/>
        <family val="3"/>
        <charset val="134"/>
      </rPr>
      <t>无风险报酬率</t>
    </r>
    <r>
      <rPr>
        <b/>
        <sz val="10"/>
        <rFont val="Arial Narrow"/>
        <family val="2"/>
      </rPr>
      <t>Rf</t>
    </r>
    <phoneticPr fontId="11" type="noConversion"/>
  </si>
  <si>
    <r>
      <rPr>
        <b/>
        <sz val="10"/>
        <rFont val="宋体"/>
        <family val="3"/>
        <charset val="134"/>
      </rPr>
      <t>折现率</t>
    </r>
    <r>
      <rPr>
        <b/>
        <sz val="10"/>
        <rFont val="Arial Narrow"/>
        <family val="2"/>
      </rPr>
      <t>(</t>
    </r>
    <r>
      <rPr>
        <b/>
        <sz val="10"/>
        <rFont val="宋体"/>
        <family val="3"/>
        <charset val="134"/>
      </rPr>
      <t>税后</t>
    </r>
    <r>
      <rPr>
        <b/>
        <sz val="10"/>
        <rFont val="Arial Narrow"/>
        <family val="2"/>
      </rPr>
      <t>)</t>
    </r>
    <phoneticPr fontId="11" type="noConversion"/>
  </si>
  <si>
    <r>
      <rPr>
        <b/>
        <sz val="10"/>
        <rFont val="宋体"/>
        <family val="3"/>
        <charset val="134"/>
      </rPr>
      <t>折现率</t>
    </r>
    <r>
      <rPr>
        <b/>
        <sz val="10"/>
        <rFont val="Arial Narrow"/>
        <family val="2"/>
      </rPr>
      <t>(</t>
    </r>
    <r>
      <rPr>
        <b/>
        <sz val="10"/>
        <rFont val="宋体"/>
        <family val="3"/>
        <charset val="134"/>
      </rPr>
      <t>税前</t>
    </r>
    <r>
      <rPr>
        <b/>
        <sz val="10"/>
        <rFont val="Arial Narrow"/>
        <family val="2"/>
      </rPr>
      <t>)</t>
    </r>
    <phoneticPr fontId="11" type="noConversion"/>
  </si>
  <si>
    <r>
      <rPr>
        <b/>
        <sz val="10"/>
        <rFont val="宋体"/>
        <family val="3"/>
        <charset val="134"/>
      </rPr>
      <t>可收回金额</t>
    </r>
    <phoneticPr fontId="11" type="noConversion"/>
  </si>
  <si>
    <r>
      <t>1</t>
    </r>
    <r>
      <rPr>
        <sz val="10"/>
        <color indexed="12"/>
        <rFont val="宋体"/>
        <family val="3"/>
        <charset val="134"/>
      </rPr>
      <t>、可收回金额应当根据资产的公允价值减去处置费用后的净额与资产预计未来现金流量的现值两者之间较高者确定。</t>
    </r>
    <phoneticPr fontId="11"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</si>
  <si>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11"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</si>
  <si>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11"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</si>
  <si>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11" type="noConversion"/>
  </si>
  <si>
    <r>
      <rPr>
        <sz val="10"/>
        <color indexed="12"/>
        <rFont val="宋体"/>
        <family val="3"/>
        <charset val="134"/>
      </rPr>
      <t>仍然无法可靠估计资产的公允价值减去处置费用后的净额的，应当以该资产预计未来现金流量的现值作为其可收回金额。</t>
    </r>
    <phoneticPr fontId="11" type="noConversion"/>
  </si>
  <si>
    <r>
      <t>3</t>
    </r>
    <r>
      <rPr>
        <sz val="10"/>
        <color indexed="12"/>
        <rFont val="宋体"/>
        <family val="3"/>
        <charset val="134"/>
      </rPr>
      <t>、处置费用包括与资产处置有关的法律费用、相关税费、搬运费以及为使资产达到可销售状态所发生的直接费用等。</t>
    </r>
    <phoneticPr fontId="11"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</si>
  <si>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11"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</si>
  <si>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11" type="noConversion"/>
  </si>
  <si>
    <r>
      <rPr>
        <sz val="10"/>
        <color indexed="12"/>
        <rFont val="宋体"/>
        <family val="3"/>
        <charset val="134"/>
      </rPr>
      <t>预计的资产未来现金流量应当包括下列各项：</t>
    </r>
    <phoneticPr fontId="11" type="noConversion"/>
  </si>
  <si>
    <r>
      <rPr>
        <sz val="10"/>
        <color indexed="12"/>
        <rFont val="宋体"/>
        <family val="3"/>
        <charset val="134"/>
      </rPr>
      <t>　　（一）资产持续使用过程中预计产生的现金流入。</t>
    </r>
    <phoneticPr fontId="11"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</si>
  <si>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11" type="noConversion"/>
  </si>
  <si>
    <r>
      <rPr>
        <sz val="10"/>
        <color indexed="12"/>
        <rFont val="宋体"/>
        <family val="3"/>
        <charset val="134"/>
      </rPr>
      <t>于或者可通过合理和一致的基础分配到资产中的现金流出。</t>
    </r>
    <phoneticPr fontId="11"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</si>
  <si>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11" type="noConversion"/>
  </si>
  <si>
    <r>
      <rPr>
        <sz val="10"/>
        <color indexed="12"/>
        <rFont val="宋体"/>
        <family val="3"/>
        <charset val="134"/>
      </rPr>
      <t>处置中获取或者支付的、减去预计处置费用后的金额。</t>
    </r>
    <phoneticPr fontId="11"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</si>
  <si>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11" type="noConversion"/>
  </si>
  <si>
    <r>
      <rPr>
        <sz val="10"/>
        <color indexed="12"/>
        <rFont val="宋体"/>
        <family val="3"/>
        <charset val="134"/>
      </rPr>
      <t>折现率的确定通常应当以该资产的市场利率为依据。无法从市场获得的，可以使用替代利率估计折现率。</t>
    </r>
    <phoneticPr fontId="11" type="noConversion"/>
  </si>
  <si>
    <r>
      <rPr>
        <sz val="10"/>
        <color indexed="12"/>
        <rFont val="宋体"/>
        <family val="3"/>
        <charset val="134"/>
      </rPr>
      <t>加权平均资金成本（税后）</t>
    </r>
    <r>
      <rPr>
        <sz val="10"/>
        <color indexed="12"/>
        <rFont val="Arial Narrow"/>
        <family val="2"/>
      </rPr>
      <t>:</t>
    </r>
    <phoneticPr fontId="11" type="noConversion"/>
  </si>
  <si>
    <r>
      <rPr>
        <b/>
        <sz val="10"/>
        <rFont val="宋体"/>
        <family val="3"/>
        <charset val="134"/>
      </rPr>
      <t>相关税费</t>
    </r>
    <phoneticPr fontId="11" type="noConversion"/>
  </si>
  <si>
    <r>
      <rPr>
        <b/>
        <sz val="10"/>
        <rFont val="宋体"/>
        <family val="3"/>
        <charset val="134"/>
      </rPr>
      <t>搬运费</t>
    </r>
    <phoneticPr fontId="11" type="noConversion"/>
  </si>
  <si>
    <r>
      <rPr>
        <b/>
        <sz val="10"/>
        <rFont val="宋体"/>
        <family val="3"/>
        <charset val="134"/>
      </rPr>
      <t>以后年度</t>
    </r>
    <phoneticPr fontId="11" type="noConversion"/>
  </si>
  <si>
    <r>
      <rPr>
        <b/>
        <sz val="10"/>
        <rFont val="宋体"/>
        <family val="3"/>
        <charset val="134"/>
      </rPr>
      <t>增长率确定依据</t>
    </r>
    <phoneticPr fontId="11" type="noConversion"/>
  </si>
  <si>
    <r>
      <rPr>
        <b/>
        <sz val="10"/>
        <rFont val="宋体"/>
        <family val="3"/>
        <charset val="134"/>
      </rPr>
      <t>基数</t>
    </r>
    <phoneticPr fontId="11" type="noConversion"/>
  </si>
  <si>
    <r>
      <rPr>
        <b/>
        <sz val="10"/>
        <rFont val="宋体"/>
        <family val="3"/>
        <charset val="134"/>
      </rPr>
      <t>税率调整</t>
    </r>
    <phoneticPr fontId="11" type="noConversion"/>
  </si>
  <si>
    <r>
      <rPr>
        <b/>
        <sz val="10"/>
        <rFont val="宋体"/>
        <family val="3"/>
        <charset val="134"/>
      </rPr>
      <t>资产类别</t>
    </r>
    <phoneticPr fontId="11" type="noConversion"/>
  </si>
  <si>
    <r>
      <rPr>
        <b/>
        <sz val="10"/>
        <rFont val="宋体"/>
        <family val="3"/>
        <charset val="134"/>
      </rPr>
      <t>购买价款</t>
    </r>
    <phoneticPr fontId="11" type="noConversion"/>
  </si>
  <si>
    <r>
      <rPr>
        <b/>
        <sz val="10"/>
        <rFont val="宋体"/>
        <family val="3"/>
        <charset val="134"/>
      </rPr>
      <t>占同类交易金额的比例％</t>
    </r>
    <phoneticPr fontId="11" type="noConversion"/>
  </si>
  <si>
    <r>
      <rPr>
        <b/>
        <sz val="10"/>
        <rFont val="宋体"/>
        <family val="3"/>
        <charset val="134"/>
      </rPr>
      <t>关联交易是否存在异常</t>
    </r>
    <phoneticPr fontId="11" type="noConversion"/>
  </si>
  <si>
    <r>
      <rPr>
        <b/>
        <sz val="10"/>
        <rFont val="宋体"/>
        <family val="3"/>
        <charset val="134"/>
      </rPr>
      <t>关联单位名称</t>
    </r>
    <phoneticPr fontId="11" type="noConversion"/>
  </si>
  <si>
    <r>
      <rPr>
        <b/>
        <sz val="10"/>
        <rFont val="宋体"/>
        <family val="3"/>
        <charset val="134"/>
      </rPr>
      <t>出售工程物资名称</t>
    </r>
    <phoneticPr fontId="11" type="noConversion"/>
  </si>
  <si>
    <r>
      <rPr>
        <b/>
        <sz val="10"/>
        <rFont val="宋体"/>
        <family val="3"/>
        <charset val="134"/>
      </rPr>
      <t>出售时工程物资原值</t>
    </r>
    <phoneticPr fontId="11" type="noConversion"/>
  </si>
  <si>
    <r>
      <rPr>
        <b/>
        <sz val="10"/>
        <rFont val="宋体"/>
        <family val="3"/>
        <charset val="134"/>
      </rPr>
      <t>出售时净值</t>
    </r>
    <phoneticPr fontId="11" type="noConversion"/>
  </si>
  <si>
    <r>
      <rPr>
        <b/>
        <sz val="10"/>
        <rFont val="宋体"/>
        <family val="3"/>
        <charset val="134"/>
      </rPr>
      <t>出售时间</t>
    </r>
    <phoneticPr fontId="11" type="noConversion"/>
  </si>
  <si>
    <r>
      <rPr>
        <b/>
        <sz val="10"/>
        <rFont val="宋体"/>
        <family val="3"/>
        <charset val="134"/>
      </rPr>
      <t>定价政策</t>
    </r>
    <phoneticPr fontId="11" type="noConversion"/>
  </si>
  <si>
    <r>
      <rPr>
        <b/>
        <sz val="10"/>
        <rFont val="宋体"/>
        <family val="3"/>
        <charset val="134"/>
      </rPr>
      <t>索引号</t>
    </r>
    <phoneticPr fontId="11" type="noConversion"/>
  </si>
  <si>
    <r>
      <rPr>
        <b/>
        <sz val="10"/>
        <color indexed="8"/>
        <rFont val="宋体"/>
        <family val="3"/>
        <charset val="134"/>
      </rPr>
      <t>三、审计说明：</t>
    </r>
    <phoneticPr fontId="15" type="noConversion"/>
  </si>
  <si>
    <r>
      <rPr>
        <b/>
        <sz val="10"/>
        <color indexed="8"/>
        <rFont val="宋体"/>
        <family val="3"/>
        <charset val="134"/>
      </rPr>
      <t>四、审计结论：</t>
    </r>
    <phoneticPr fontId="15" type="noConversion"/>
  </si>
  <si>
    <r>
      <rPr>
        <sz val="10"/>
        <color rgb="FF0000FF"/>
        <rFont val="宋体"/>
        <family val="3"/>
        <charset val="134"/>
      </rPr>
      <t>勿删</t>
    </r>
    <phoneticPr fontId="11" type="noConversion"/>
  </si>
  <si>
    <r>
      <rPr>
        <sz val="10"/>
        <color rgb="FF0000FF"/>
        <rFont val="宋体"/>
        <family val="3"/>
        <charset val="134"/>
      </rPr>
      <t>关联关系</t>
    </r>
    <phoneticPr fontId="11" type="noConversion"/>
  </si>
  <si>
    <r>
      <rPr>
        <sz val="10"/>
        <color rgb="FF0000FF"/>
        <rFont val="宋体"/>
        <family val="3"/>
        <charset val="134"/>
      </rPr>
      <t>实际控制人</t>
    </r>
    <phoneticPr fontId="11" type="noConversion"/>
  </si>
  <si>
    <r>
      <rPr>
        <sz val="10"/>
        <color rgb="FF0000FF"/>
        <rFont val="宋体"/>
        <family val="3"/>
        <charset val="134"/>
      </rPr>
      <t>控股股东</t>
    </r>
    <phoneticPr fontId="11" type="noConversion"/>
  </si>
  <si>
    <r>
      <rPr>
        <sz val="10"/>
        <color rgb="FF0000FF"/>
        <rFont val="宋体"/>
        <family val="3"/>
        <charset val="134"/>
      </rPr>
      <t>控股股东、实际控制人的附属企业</t>
    </r>
    <phoneticPr fontId="11" type="noConversion"/>
  </si>
  <si>
    <r>
      <rPr>
        <sz val="10"/>
        <color rgb="FF0000FF"/>
        <rFont val="宋体"/>
        <family val="3"/>
        <charset val="134"/>
      </rPr>
      <t>联营企业</t>
    </r>
    <phoneticPr fontId="11" type="noConversion"/>
  </si>
  <si>
    <r>
      <rPr>
        <sz val="10"/>
        <color rgb="FF0000FF"/>
        <rFont val="宋体"/>
        <family val="3"/>
        <charset val="134"/>
      </rPr>
      <t>合营企业</t>
    </r>
    <phoneticPr fontId="11" type="noConversion"/>
  </si>
  <si>
    <r>
      <rPr>
        <sz val="10"/>
        <color rgb="FF0000FF"/>
        <rFont val="宋体"/>
        <family val="3"/>
        <charset val="134"/>
      </rPr>
      <t>董高监等关键管理人员</t>
    </r>
    <phoneticPr fontId="11" type="noConversion"/>
  </si>
  <si>
    <r>
      <rPr>
        <sz val="10"/>
        <color rgb="FF0000FF"/>
        <rFont val="宋体"/>
        <family val="3"/>
        <charset val="134"/>
      </rPr>
      <t>其他关联方</t>
    </r>
    <phoneticPr fontId="11" type="noConversion"/>
  </si>
  <si>
    <r>
      <rPr>
        <b/>
        <sz val="10"/>
        <color indexed="8"/>
        <rFont val="宋体"/>
        <family val="3"/>
        <charset val="134"/>
      </rPr>
      <t>一、审计目标</t>
    </r>
    <r>
      <rPr>
        <b/>
        <sz val="10"/>
        <color indexed="8"/>
        <rFont val="Arial Narrow"/>
        <family val="2"/>
      </rPr>
      <t>:</t>
    </r>
    <phoneticPr fontId="15" type="noConversion"/>
  </si>
  <si>
    <r>
      <t>1.</t>
    </r>
    <r>
      <rPr>
        <sz val="10"/>
        <rFont val="宋体"/>
        <family val="3"/>
        <charset val="134"/>
      </rPr>
      <t>资产负债表中记录的工程物资是存在的，且已记录于恰当的账户；</t>
    </r>
    <r>
      <rPr>
        <sz val="10"/>
        <rFont val="Arial Narrow"/>
        <family val="2"/>
      </rPr>
      <t>2.</t>
    </r>
    <r>
      <rPr>
        <sz val="10"/>
        <rFont val="宋体"/>
        <family val="3"/>
        <charset val="134"/>
      </rPr>
      <t>所有应记录的工程物资均已记录，所有应当包括在财务报表中的相关披露均已包括；</t>
    </r>
    <r>
      <rPr>
        <sz val="10"/>
        <rFont val="Arial Narrow"/>
        <family val="2"/>
      </rPr>
      <t>3.</t>
    </r>
    <r>
      <rPr>
        <sz val="10"/>
        <rFont val="宋体"/>
        <family val="3"/>
        <charset val="134"/>
      </rPr>
      <t>记录的工程物资由被审计单位拥有或控制。</t>
    </r>
    <phoneticPr fontId="11" type="noConversion"/>
  </si>
  <si>
    <r>
      <t>4.</t>
    </r>
    <r>
      <rPr>
        <sz val="10"/>
        <rFont val="宋体"/>
        <family val="3"/>
        <charset val="134"/>
      </rPr>
      <t>工程物资以恰当的金额包括在财务报表中，与之相关的计价或分摊调整已恰当记录，相关披露已得到恰当计量和描述；</t>
    </r>
    <r>
      <rPr>
        <sz val="10"/>
        <rFont val="Arial Narrow"/>
        <family val="2"/>
      </rPr>
      <t>5.</t>
    </r>
    <r>
      <rPr>
        <sz val="10"/>
        <rFont val="宋体"/>
        <family val="3"/>
        <charset val="134"/>
      </rPr>
      <t>工程物资已被恰当地汇总或分解且表述清楚，相关披露在按照企业会计准则的编制基础下是相关的、可理解的。</t>
    </r>
    <phoneticPr fontId="11" type="noConversion"/>
  </si>
  <si>
    <r>
      <rPr>
        <b/>
        <sz val="10"/>
        <rFont val="宋体"/>
        <family val="3"/>
        <charset val="134"/>
      </rPr>
      <t>关联单位名称</t>
    </r>
    <phoneticPr fontId="11" type="noConversion"/>
  </si>
  <si>
    <r>
      <rPr>
        <b/>
        <sz val="10"/>
        <rFont val="宋体"/>
        <family val="3"/>
        <charset val="134"/>
      </rPr>
      <t>关联方关系</t>
    </r>
    <phoneticPr fontId="11" type="noConversion"/>
  </si>
  <si>
    <r>
      <rPr>
        <b/>
        <sz val="10"/>
        <rFont val="宋体"/>
        <family val="3"/>
        <charset val="134"/>
      </rPr>
      <t>资产类别</t>
    </r>
    <phoneticPr fontId="11" type="noConversion"/>
  </si>
  <si>
    <r>
      <rPr>
        <b/>
        <sz val="10"/>
        <rFont val="宋体"/>
        <family val="3"/>
        <charset val="134"/>
      </rPr>
      <t>购买工程物资名称</t>
    </r>
    <phoneticPr fontId="11" type="noConversion"/>
  </si>
  <si>
    <r>
      <rPr>
        <b/>
        <sz val="10"/>
        <rFont val="宋体"/>
        <family val="3"/>
        <charset val="134"/>
      </rPr>
      <t>工程物资入账价值</t>
    </r>
    <phoneticPr fontId="11" type="noConversion"/>
  </si>
  <si>
    <r>
      <rPr>
        <b/>
        <sz val="10"/>
        <rFont val="宋体"/>
        <family val="3"/>
        <charset val="134"/>
      </rPr>
      <t>购入时间</t>
    </r>
    <phoneticPr fontId="11" type="noConversion"/>
  </si>
  <si>
    <r>
      <rPr>
        <b/>
        <sz val="10"/>
        <rFont val="宋体"/>
        <family val="3"/>
        <charset val="134"/>
      </rPr>
      <t>定价政策</t>
    </r>
    <phoneticPr fontId="11" type="noConversion"/>
  </si>
  <si>
    <r>
      <rPr>
        <b/>
        <sz val="10"/>
        <rFont val="宋体"/>
        <family val="3"/>
        <charset val="134"/>
      </rPr>
      <t>关联交易是否存在异常</t>
    </r>
    <phoneticPr fontId="11" type="noConversion"/>
  </si>
  <si>
    <r>
      <rPr>
        <b/>
        <sz val="10"/>
        <rFont val="宋体"/>
        <family val="3"/>
        <charset val="134"/>
      </rPr>
      <t>备注</t>
    </r>
    <phoneticPr fontId="11" type="noConversion"/>
  </si>
  <si>
    <r>
      <rPr>
        <b/>
        <sz val="10"/>
        <rFont val="宋体"/>
        <family val="3"/>
        <charset val="134"/>
      </rPr>
      <t>关联方关系</t>
    </r>
    <phoneticPr fontId="11" type="noConversion"/>
  </si>
  <si>
    <r>
      <rPr>
        <b/>
        <sz val="10"/>
        <rFont val="宋体"/>
        <family val="3"/>
        <charset val="134"/>
      </rPr>
      <t>出售时减值准备</t>
    </r>
    <phoneticPr fontId="11" type="noConversion"/>
  </si>
  <si>
    <r>
      <rPr>
        <b/>
        <sz val="10"/>
        <rFont val="宋体"/>
        <family val="3"/>
        <charset val="134"/>
      </rPr>
      <t>销售价格
（不含税）</t>
    </r>
    <phoneticPr fontId="11" type="noConversion"/>
  </si>
  <si>
    <r>
      <rPr>
        <b/>
        <sz val="12"/>
        <rFont val="宋体"/>
        <family val="3"/>
        <charset val="134"/>
      </rPr>
      <t>致同会计师事务所</t>
    </r>
    <phoneticPr fontId="6" type="noConversion"/>
  </si>
  <si>
    <r>
      <rPr>
        <b/>
        <sz val="12"/>
        <rFont val="宋体"/>
        <family val="3"/>
        <charset val="134"/>
      </rPr>
      <t>致同会计师事务所</t>
    </r>
  </si>
  <si>
    <r>
      <rPr>
        <b/>
        <sz val="12"/>
        <rFont val="宋体"/>
        <family val="3"/>
        <charset val="134"/>
      </rPr>
      <t>致同会计师事务所</t>
    </r>
    <phoneticPr fontId="11" type="noConversion"/>
  </si>
  <si>
    <r>
      <rPr>
        <b/>
        <sz val="14"/>
        <rFont val="宋体"/>
        <family val="3"/>
        <charset val="134"/>
      </rPr>
      <t>关联交易检查表</t>
    </r>
    <phoneticPr fontId="11" type="noConversion"/>
  </si>
  <si>
    <r>
      <rPr>
        <b/>
        <sz val="14"/>
        <rFont val="宋体"/>
        <family val="3"/>
        <charset val="134"/>
      </rPr>
      <t>工程物资减值准备测试表</t>
    </r>
    <r>
      <rPr>
        <b/>
        <sz val="14"/>
        <rFont val="Arial Narrow"/>
        <family val="2"/>
      </rPr>
      <t>-</t>
    </r>
    <r>
      <rPr>
        <b/>
        <sz val="14"/>
        <rFont val="宋体"/>
        <family val="3"/>
        <charset val="134"/>
      </rPr>
      <t>可收回金额</t>
    </r>
    <phoneticPr fontId="11" type="noConversion"/>
  </si>
  <si>
    <r>
      <rPr>
        <b/>
        <sz val="14"/>
        <rFont val="宋体"/>
        <family val="3"/>
        <charset val="134"/>
      </rPr>
      <t>工程物资减值测算表</t>
    </r>
    <phoneticPr fontId="11" type="noConversion"/>
  </si>
  <si>
    <r>
      <rPr>
        <b/>
        <sz val="14"/>
        <rFont val="宋体"/>
        <family val="3"/>
        <charset val="134"/>
      </rPr>
      <t>工程物资盘点检查表</t>
    </r>
    <phoneticPr fontId="11" type="noConversion"/>
  </si>
  <si>
    <r>
      <rPr>
        <b/>
        <sz val="14"/>
        <rFont val="宋体"/>
        <family val="3"/>
        <charset val="134"/>
      </rPr>
      <t>工程物资减少检查表</t>
    </r>
    <phoneticPr fontId="11" type="noConversion"/>
  </si>
  <si>
    <r>
      <rPr>
        <b/>
        <sz val="14"/>
        <rFont val="宋体"/>
        <family val="3"/>
        <charset val="134"/>
      </rPr>
      <t>工程物资增加检查表</t>
    </r>
    <phoneticPr fontId="11" type="noConversion"/>
  </si>
  <si>
    <r>
      <rPr>
        <b/>
        <sz val="14"/>
        <rFont val="宋体"/>
        <family val="3"/>
        <charset val="134"/>
      </rPr>
      <t>工程物资调整分录汇总表</t>
    </r>
    <phoneticPr fontId="11" type="noConversion"/>
  </si>
  <si>
    <r>
      <rPr>
        <b/>
        <sz val="14"/>
        <rFont val="宋体"/>
        <family val="3"/>
        <charset val="134"/>
      </rPr>
      <t>工程物资明细表</t>
    </r>
    <phoneticPr fontId="11" type="noConversion"/>
  </si>
  <si>
    <r>
      <rPr>
        <b/>
        <sz val="14"/>
        <rFont val="宋体"/>
        <family val="3"/>
        <charset val="134"/>
      </rPr>
      <t>工程物资及减值准备审定表</t>
    </r>
    <phoneticPr fontId="11" type="noConversion"/>
  </si>
  <si>
    <r>
      <rPr>
        <b/>
        <sz val="10"/>
        <rFont val="宋体"/>
        <family val="3"/>
        <charset val="134"/>
      </rPr>
      <t>期末工程物资总额：</t>
    </r>
    <phoneticPr fontId="11" type="noConversion"/>
  </si>
  <si>
    <t>返回目录</t>
    <phoneticPr fontId="11" type="noConversion"/>
  </si>
  <si>
    <r>
      <rPr>
        <b/>
        <sz val="10"/>
        <rFont val="宋体"/>
        <family val="3"/>
        <charset val="134"/>
      </rPr>
      <t>内容</t>
    </r>
  </si>
  <si>
    <r>
      <rPr>
        <b/>
        <sz val="10"/>
        <rFont val="宋体"/>
        <family val="3"/>
        <charset val="134"/>
      </rPr>
      <t>序号</t>
    </r>
    <phoneticPr fontId="11" type="noConversion"/>
  </si>
  <si>
    <r>
      <rPr>
        <b/>
        <sz val="10"/>
        <rFont val="宋体"/>
        <family val="3"/>
        <charset val="134"/>
      </rPr>
      <t>索引号</t>
    </r>
    <phoneticPr fontId="11" type="noConversion"/>
  </si>
  <si>
    <r>
      <rPr>
        <b/>
        <sz val="10"/>
        <rFont val="宋体"/>
        <family val="3"/>
        <charset val="134"/>
      </rPr>
      <t>备注</t>
    </r>
    <phoneticPr fontId="11" type="noConversion"/>
  </si>
  <si>
    <r>
      <t>1.</t>
    </r>
    <r>
      <rPr>
        <sz val="10"/>
        <color indexed="12"/>
        <rFont val="宋体"/>
        <family val="3"/>
        <charset val="134"/>
      </rPr>
      <t>本科目核算企业为在建工程准备的各种物资的成本，包括工程用材料、尚未安装的设备以及为生产准备的工器具等。</t>
    </r>
    <phoneticPr fontId="11" type="noConversion"/>
  </si>
  <si>
    <r>
      <t>2.</t>
    </r>
    <r>
      <rPr>
        <sz val="10"/>
        <color indexed="12"/>
        <rFont val="宋体"/>
        <family val="3"/>
        <charset val="134"/>
      </rPr>
      <t>本科目可按</t>
    </r>
    <r>
      <rPr>
        <sz val="10"/>
        <color indexed="12"/>
        <rFont val="Arial Narrow"/>
        <family val="2"/>
      </rPr>
      <t>“</t>
    </r>
    <r>
      <rPr>
        <sz val="10"/>
        <color indexed="12"/>
        <rFont val="宋体"/>
        <family val="3"/>
        <charset val="134"/>
      </rPr>
      <t>专用材料</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专用设备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工器具</t>
    </r>
    <r>
      <rPr>
        <sz val="10"/>
        <color indexed="12"/>
        <rFont val="Arial Narrow"/>
        <family val="2"/>
      </rPr>
      <t>”</t>
    </r>
    <r>
      <rPr>
        <sz val="10"/>
        <color indexed="12"/>
        <rFont val="宋体"/>
        <family val="3"/>
        <charset val="134"/>
      </rPr>
      <t>等进行明细核算。</t>
    </r>
    <phoneticPr fontId="11" type="noConversion"/>
  </si>
  <si>
    <t>索引号：</t>
    <phoneticPr fontId="11" type="noConversion"/>
  </si>
  <si>
    <t>页  次：</t>
    <phoneticPr fontId="11" type="noConversion"/>
  </si>
  <si>
    <t>索引号：</t>
    <phoneticPr fontId="11" type="noConversion"/>
  </si>
  <si>
    <t>页  次：</t>
    <phoneticPr fontId="11" type="noConversion"/>
  </si>
  <si>
    <t>索引号：</t>
    <phoneticPr fontId="11" type="noConversion"/>
  </si>
  <si>
    <t>H0</t>
    <phoneticPr fontId="11" type="noConversion"/>
  </si>
  <si>
    <t>1</t>
    <phoneticPr fontId="11" type="noConversion"/>
  </si>
  <si>
    <t>8</t>
  </si>
  <si>
    <t>9</t>
  </si>
  <si>
    <t>10</t>
  </si>
  <si>
    <t>11</t>
  </si>
  <si>
    <t>12</t>
  </si>
  <si>
    <t>13</t>
  </si>
  <si>
    <r>
      <rPr>
        <b/>
        <sz val="10"/>
        <rFont val="宋体"/>
        <family val="3"/>
        <charset val="134"/>
      </rPr>
      <t>（</t>
    </r>
    <r>
      <rPr>
        <b/>
        <sz val="10"/>
        <rFont val="Arial Narrow"/>
        <family val="2"/>
      </rPr>
      <t>1</t>
    </r>
    <r>
      <rPr>
        <b/>
        <sz val="10"/>
        <rFont val="宋体"/>
        <family val="3"/>
        <charset val="134"/>
      </rPr>
      <t>）向合并范围外关联方采购工程物资</t>
    </r>
    <phoneticPr fontId="11" type="noConversion"/>
  </si>
  <si>
    <r>
      <rPr>
        <b/>
        <sz val="10"/>
        <rFont val="宋体"/>
        <family val="3"/>
        <charset val="134"/>
      </rPr>
      <t>（</t>
    </r>
    <r>
      <rPr>
        <b/>
        <sz val="10"/>
        <rFont val="Arial Narrow"/>
        <family val="2"/>
      </rPr>
      <t>2</t>
    </r>
    <r>
      <rPr>
        <b/>
        <sz val="10"/>
        <rFont val="宋体"/>
        <family val="3"/>
        <charset val="134"/>
      </rPr>
      <t>）向合并范围外关联方出售工程物资</t>
    </r>
    <phoneticPr fontId="11"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</si>
  <si>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1" type="noConversion"/>
  </si>
  <si>
    <t>提示：本底稿适用于调整分录较多、较复杂的项目，且仅列示与本报表项目相关的审计调整。项目组可根据项目实际情况选择是否使用该底稿。</t>
    <phoneticPr fontId="11" type="noConversion"/>
  </si>
  <si>
    <t>提示：</t>
    <phoneticPr fontId="11" type="noConversion"/>
  </si>
  <si>
    <t>提示：</t>
    <phoneticPr fontId="11" type="noConversion"/>
  </si>
  <si>
    <r>
      <rPr>
        <sz val="10"/>
        <rFont val="宋体"/>
        <family val="3"/>
        <charset val="134"/>
      </rPr>
      <t>列报</t>
    </r>
    <phoneticPr fontId="11" type="noConversion"/>
  </si>
  <si>
    <r>
      <t xml:space="preserve">B. </t>
    </r>
    <r>
      <rPr>
        <sz val="10"/>
        <rFont val="宋体"/>
        <family val="3"/>
        <charset val="134"/>
      </rPr>
      <t>所有应记录的工程物资均已记录，所有应当包括在财务报表中的相关披露均已包括</t>
    </r>
    <phoneticPr fontId="1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</si>
  <si>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1" type="noConversion"/>
  </si>
  <si>
    <r>
      <t>对期初余额的审计，取得上期工程物资明细表复核加计是否正确，与总账、明细账合计数是否相符；检查期初工程物资在本期领用情况；对单项金额重大资产，进行实地查看资产或检查支持性文件，其他必要追加的审计程序。</t>
    </r>
    <r>
      <rPr>
        <sz val="10"/>
        <color rgb="FFFF0000"/>
        <rFont val="宋体"/>
        <family val="3"/>
        <charset val="134"/>
      </rPr>
      <t>（适用于首次承接）</t>
    </r>
    <phoneticPr fontId="11" type="noConversion"/>
  </si>
  <si>
    <r>
      <rPr>
        <sz val="10"/>
        <color theme="1"/>
        <rFont val="宋体"/>
        <family val="3"/>
        <charset val="134"/>
      </rPr>
      <t>√</t>
    </r>
    <phoneticPr fontId="11" type="noConversion"/>
  </si>
  <si>
    <r>
      <rPr>
        <b/>
        <sz val="10"/>
        <color theme="1"/>
        <rFont val="宋体"/>
        <family val="3"/>
        <charset val="134"/>
      </rPr>
      <t>√</t>
    </r>
    <phoneticPr fontId="11" type="noConversion"/>
  </si>
  <si>
    <r>
      <rPr>
        <sz val="10"/>
        <rFont val="宋体"/>
        <family val="3"/>
        <charset val="134"/>
      </rPr>
      <t>√</t>
    </r>
    <phoneticPr fontId="11" type="noConversion"/>
  </si>
  <si>
    <r>
      <rPr>
        <b/>
        <sz val="10"/>
        <rFont val="宋体"/>
        <family val="3"/>
        <charset val="134"/>
      </rPr>
      <t>√</t>
    </r>
    <phoneticPr fontId="11" type="noConversion"/>
  </si>
  <si>
    <r>
      <rPr>
        <sz val="10"/>
        <rFont val="宋体"/>
        <family val="3"/>
        <charset val="134"/>
      </rPr>
      <t>√</t>
    </r>
    <phoneticPr fontId="11" type="noConversion"/>
  </si>
  <si>
    <r>
      <rPr>
        <sz val="10"/>
        <rFont val="宋体"/>
        <family val="3"/>
        <charset val="134"/>
      </rPr>
      <t>√</t>
    </r>
    <phoneticPr fontId="11" type="noConversion"/>
  </si>
  <si>
    <r>
      <rPr>
        <sz val="10"/>
        <rFont val="宋体"/>
        <family val="3"/>
        <charset val="134"/>
      </rPr>
      <t>√</t>
    </r>
    <phoneticPr fontId="11" type="noConversion"/>
  </si>
  <si>
    <r>
      <rPr>
        <b/>
        <sz val="10"/>
        <rFont val="宋体"/>
        <family val="3"/>
        <charset val="134"/>
      </rPr>
      <t>√</t>
    </r>
    <phoneticPr fontId="11" type="noConversion"/>
  </si>
  <si>
    <r>
      <rPr>
        <sz val="10"/>
        <rFont val="宋体"/>
        <family val="3"/>
        <charset val="134"/>
      </rPr>
      <t>√</t>
    </r>
    <phoneticPr fontId="11" type="noConversion"/>
  </si>
  <si>
    <r>
      <rPr>
        <sz val="10"/>
        <rFont val="宋体"/>
        <family val="3"/>
        <charset val="134"/>
      </rPr>
      <t>√</t>
    </r>
    <phoneticPr fontId="11" type="noConversion"/>
  </si>
  <si>
    <t>检查本期新增的工程物资：对于外购的工程物资，检查采购合同、发票、收货单等原始凭证，检查其是否经过授权批准，会计处理是否正确。</t>
    <phoneticPr fontId="11" type="noConversion"/>
  </si>
  <si>
    <r>
      <t>检查本期减少的工程物资：</t>
    </r>
    <r>
      <rPr>
        <sz val="10"/>
        <rFont val="宋体"/>
        <family val="3"/>
        <charset val="134"/>
      </rPr>
      <t>结合在建工程审计，检查物资领用手续是否齐全、会计处理是否正确。</t>
    </r>
    <phoneticPr fontId="11" type="noConversion"/>
  </si>
  <si>
    <r>
      <rPr>
        <sz val="10"/>
        <rFont val="宋体"/>
        <family val="3"/>
        <charset val="134"/>
      </rPr>
      <t>其他方式增加或减少工程物资，考虑执行的程序：
（</t>
    </r>
    <r>
      <rPr>
        <sz val="10"/>
        <rFont val="Arial Narrow"/>
        <family val="2"/>
      </rPr>
      <t>1</t>
    </r>
    <r>
      <rPr>
        <sz val="10"/>
        <rFont val="宋体"/>
        <family val="3"/>
        <charset val="134"/>
      </rPr>
      <t>）对于非货币性资产交换、债务重组、企业合并、投资者投入等交易方式取得或减少的有关长期资产，检查相关合同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）对于因清产核资、资产评估调增有关长期资产价值的，检查有关清产核资报告、资产评估报告、国有资产管理等部门的确认文件、验资报告等，检查会计处理是否正确。</t>
    </r>
    <phoneticPr fontId="11" type="noConversion"/>
  </si>
  <si>
    <r>
      <rPr>
        <b/>
        <sz val="10"/>
        <rFont val="宋体"/>
        <family val="3"/>
        <charset val="134"/>
      </rPr>
      <t>√</t>
    </r>
    <phoneticPr fontId="11" type="noConversion"/>
  </si>
  <si>
    <r>
      <rPr>
        <sz val="10"/>
        <rFont val="宋体"/>
        <family val="3"/>
        <charset val="134"/>
      </rPr>
      <t>√</t>
    </r>
    <phoneticPr fontId="11" type="noConversion"/>
  </si>
  <si>
    <t xml:space="preserve">存放其他地方的资产（如有），考虑实地观察或函证由其他人保管或保管在盘点地之外的工程物资。 </t>
    <phoneticPr fontId="11" type="noConversion"/>
  </si>
  <si>
    <r>
      <rPr>
        <sz val="10"/>
        <rFont val="宋体"/>
        <family val="3"/>
        <charset val="134"/>
      </rPr>
      <t>√</t>
    </r>
    <phoneticPr fontId="11" type="noConversion"/>
  </si>
  <si>
    <r>
      <rPr>
        <sz val="10"/>
        <rFont val="宋体"/>
        <family val="3"/>
        <charset val="134"/>
      </rPr>
      <t>结合工程物资清单和盘点程序，了解工程物资的状态。针对存在减值迹象的投资性房地产，考虑执行下列程序：
（</t>
    </r>
    <r>
      <rPr>
        <sz val="10"/>
        <rFont val="Arial Narrow"/>
        <family val="2"/>
      </rPr>
      <t>1</t>
    </r>
    <r>
      <rPr>
        <sz val="10"/>
        <rFont val="宋体"/>
        <family val="3"/>
        <charset val="134"/>
      </rPr>
      <t>）获取工程物资的减值明细表，考虑对该资产可能造成减值的事件或环境变化。</t>
    </r>
    <r>
      <rPr>
        <sz val="10"/>
        <rFont val="Arial Narrow"/>
        <family val="2"/>
      </rPr>
      <t xml:space="preserve"> 
</t>
    </r>
    <r>
      <rPr>
        <sz val="10"/>
        <rFont val="宋体"/>
        <family val="3"/>
        <charset val="134"/>
      </rPr>
      <t>（</t>
    </r>
    <r>
      <rPr>
        <sz val="10"/>
        <rFont val="Arial Narrow"/>
        <family val="2"/>
      </rPr>
      <t>2</t>
    </r>
    <r>
      <rPr>
        <sz val="10"/>
        <rFont val="宋体"/>
        <family val="3"/>
        <charset val="134"/>
      </rPr>
      <t>）获取被审计单位管理层在资产负债表日就工程物资是否存在可能发生减值迹象的判断说明及减值测试过程，关注计提减值准备的依据是否充分，减值测试过程是否合理，会计处理是否正确。</t>
    </r>
    <phoneticPr fontId="11" type="noConversion"/>
  </si>
  <si>
    <t>检查工程物资、抵押和担保情况等是否已按企业会计准则或其他适用的规定在财务报表中做出恰当列报和披露</t>
    <phoneticPr fontId="11" type="noConversion"/>
  </si>
  <si>
    <t>IPO/上市/新三板/重组/舞弊应对</t>
    <phoneticPr fontId="6"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</si>
  <si>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1"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</si>
  <si>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1" type="noConversion"/>
  </si>
  <si>
    <r>
      <rPr>
        <b/>
        <sz val="10"/>
        <rFont val="宋体"/>
        <family val="3"/>
        <charset val="134"/>
      </rPr>
      <t>一、审计目标：</t>
    </r>
    <r>
      <rPr>
        <sz val="10"/>
        <rFont val="Arial Narrow"/>
        <family val="2"/>
      </rPr>
      <t/>
    </r>
    <phoneticPr fontId="50" type="noConversion"/>
  </si>
  <si>
    <r>
      <t xml:space="preserve">1. </t>
    </r>
    <r>
      <rPr>
        <sz val="10"/>
        <rFont val="宋体"/>
        <family val="3"/>
        <charset val="134"/>
      </rPr>
      <t>资产负债表中记录的工程物资是存在的，且已记录于恰当的账户；</t>
    </r>
    <r>
      <rPr>
        <sz val="10"/>
        <rFont val="Arial Narrow"/>
        <family val="2"/>
      </rPr>
      <t xml:space="preserve">2. </t>
    </r>
    <r>
      <rPr>
        <sz val="10"/>
        <rFont val="宋体"/>
        <family val="3"/>
        <charset val="134"/>
      </rPr>
      <t>所有应记录的工程物资均已记录，所有应当包括在财务报表中的相关披露均已包括；</t>
    </r>
    <r>
      <rPr>
        <sz val="10"/>
        <rFont val="Arial Narrow"/>
        <family val="2"/>
      </rPr>
      <t xml:space="preserve">4. </t>
    </r>
    <r>
      <rPr>
        <sz val="10"/>
        <rFont val="宋体"/>
        <family val="3"/>
        <charset val="134"/>
      </rPr>
      <t>工程物资以恰当的金额包括在财务报表中，与之相关的计价或分摊调整已恰当记录，相关披露已得到恰当计量和描述；</t>
    </r>
    <phoneticPr fontId="11" type="noConversion"/>
  </si>
  <si>
    <r>
      <rPr>
        <b/>
        <sz val="10"/>
        <rFont val="宋体"/>
        <family val="3"/>
        <charset val="134"/>
      </rPr>
      <t>一、审计目标：</t>
    </r>
    <r>
      <rPr>
        <sz val="10"/>
        <rFont val="Arial Narrow"/>
        <family val="2"/>
      </rPr>
      <t/>
    </r>
    <phoneticPr fontId="50" type="noConversion"/>
  </si>
  <si>
    <r>
      <t>1.</t>
    </r>
    <r>
      <rPr>
        <sz val="10"/>
        <rFont val="宋体"/>
        <family val="3"/>
        <charset val="134"/>
      </rPr>
      <t>资产负债表中记录的工程物资是存在的，且已记录于恰当的账户；</t>
    </r>
    <r>
      <rPr>
        <sz val="10"/>
        <rFont val="Arial Narrow"/>
        <family val="2"/>
      </rPr>
      <t>2.</t>
    </r>
    <r>
      <rPr>
        <sz val="10"/>
        <rFont val="宋体"/>
        <family val="3"/>
        <charset val="134"/>
      </rPr>
      <t>所有应记录的工程物资均已记录，所有应当包括在财务报表中的相关披露均已包括；</t>
    </r>
    <r>
      <rPr>
        <sz val="10"/>
        <rFont val="Arial Narrow"/>
        <family val="2"/>
      </rPr>
      <t/>
    </r>
    <phoneticPr fontId="11" type="noConversion"/>
  </si>
  <si>
    <r>
      <t>3.</t>
    </r>
    <r>
      <rPr>
        <sz val="10"/>
        <rFont val="宋体"/>
        <family val="3"/>
        <charset val="134"/>
      </rPr>
      <t>记录的工程物资由被审计单位拥有或控制；</t>
    </r>
    <r>
      <rPr>
        <sz val="10"/>
        <rFont val="Arial Narrow"/>
        <family val="2"/>
      </rPr>
      <t>4.</t>
    </r>
    <r>
      <rPr>
        <sz val="10"/>
        <rFont val="宋体"/>
        <family val="3"/>
        <charset val="134"/>
      </rPr>
      <t>工程物资以恰当的金额包括在财务报表中，与之相关的计价或分摊调整已恰当记录，相关披露已得到恰当计量和描述。</t>
    </r>
    <phoneticPr fontId="11" type="noConversion"/>
  </si>
  <si>
    <r>
      <rPr>
        <sz val="10"/>
        <color rgb="FF0000FF"/>
        <rFont val="宋体"/>
        <family val="3"/>
        <charset val="134"/>
      </rPr>
      <t>如工程物资借方发生额所有凭证共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1" type="noConversion"/>
  </si>
  <si>
    <r>
      <t>1.</t>
    </r>
    <r>
      <rPr>
        <sz val="10"/>
        <rFont val="宋体"/>
        <family val="3"/>
        <charset val="134"/>
      </rPr>
      <t>资产负债表中记录的工程物资是存在的，且已记录于恰当的账户；</t>
    </r>
    <r>
      <rPr>
        <sz val="10"/>
        <rFont val="Arial Narrow"/>
        <family val="2"/>
      </rPr>
      <t>2.</t>
    </r>
    <r>
      <rPr>
        <sz val="10"/>
        <rFont val="宋体"/>
        <family val="3"/>
        <charset val="134"/>
      </rPr>
      <t>所有应记录的工程物资均已记录，所有应当包括在财务报表中的相关披露均已包括；</t>
    </r>
    <r>
      <rPr>
        <sz val="10"/>
        <rFont val="Arial Narrow"/>
        <family val="2"/>
      </rPr>
      <t/>
    </r>
    <phoneticPr fontId="11" type="noConversion"/>
  </si>
  <si>
    <r>
      <t>3.</t>
    </r>
    <r>
      <rPr>
        <sz val="10"/>
        <rFont val="宋体"/>
        <family val="3"/>
        <charset val="134"/>
      </rPr>
      <t>工程物资以恰当的金额包括在财务报表中，与之相关的计价或分摊调整已恰当记录，相关披露已得到恰当计量和描述。</t>
    </r>
    <phoneticPr fontId="11" type="noConversion"/>
  </si>
  <si>
    <t>如期末工程物资数量XX、金额XX</t>
    <phoneticPr fontId="11" type="noConversion"/>
  </si>
  <si>
    <r>
      <rPr>
        <sz val="10"/>
        <color rgb="FF0000FF"/>
        <rFont val="宋体"/>
        <family val="3"/>
        <charset val="134"/>
      </rPr>
      <t>测试总体扣除特定样本以外的样本，数量</t>
    </r>
    <r>
      <rPr>
        <sz val="10"/>
        <color rgb="FF0000FF"/>
        <rFont val="Arial Narrow"/>
        <family val="2"/>
      </rPr>
      <t>XX</t>
    </r>
    <r>
      <rPr>
        <sz val="10"/>
        <color rgb="FF0000FF"/>
        <rFont val="宋体"/>
        <family val="3"/>
        <charset val="134"/>
      </rPr>
      <t>、金额</t>
    </r>
    <r>
      <rPr>
        <sz val="10"/>
        <color rgb="FF0000FF"/>
        <rFont val="Arial Narrow"/>
        <family val="2"/>
      </rPr>
      <t>XX</t>
    </r>
    <phoneticPr fontId="11" type="noConversion"/>
  </si>
  <si>
    <r>
      <rPr>
        <sz val="10"/>
        <rFont val="宋体"/>
        <family val="3"/>
        <charset val="134"/>
      </rPr>
      <t>抽盘地点：</t>
    </r>
    <r>
      <rPr>
        <sz val="10"/>
        <rFont val="Arial Narrow"/>
        <family val="2"/>
      </rPr>
      <t>______________</t>
    </r>
    <phoneticPr fontId="11" type="noConversion"/>
  </si>
  <si>
    <t>盘点人员：</t>
    <phoneticPr fontId="11" type="noConversion"/>
  </si>
  <si>
    <t>被审计单位仓库盘点人和财务监盘人签字</t>
    <phoneticPr fontId="11" type="noConversion"/>
  </si>
  <si>
    <t>监盘人员：</t>
    <phoneticPr fontId="11" type="noConversion"/>
  </si>
  <si>
    <t>（审计人员签字）</t>
    <phoneticPr fontId="11" type="noConversion"/>
  </si>
  <si>
    <r>
      <rPr>
        <sz val="10"/>
        <rFont val="宋体"/>
        <family val="3"/>
        <charset val="134"/>
      </rPr>
      <t>盘点时间：</t>
    </r>
    <r>
      <rPr>
        <sz val="10"/>
        <rFont val="Arial Narrow"/>
        <family val="2"/>
      </rPr>
      <t>__________________</t>
    </r>
    <phoneticPr fontId="11" type="noConversion"/>
  </si>
  <si>
    <t>品质状况（正常/闲置/毁损等）</t>
    <phoneticPr fontId="11" type="noConversion"/>
  </si>
  <si>
    <t>H4-1
/H4-2</t>
    <phoneticPr fontId="11" type="noConversion"/>
  </si>
  <si>
    <t>T1
/</t>
    <phoneticPr fontId="11" type="noConversion"/>
  </si>
  <si>
    <t>H4-4
/H4-5</t>
    <phoneticPr fontId="11" type="noConversion"/>
  </si>
  <si>
    <t>H4-7
/H4-8</t>
    <phoneticPr fontId="11" type="noConversion"/>
  </si>
  <si>
    <t>关联交易检查表</t>
    <phoneticPr fontId="11" type="noConversion"/>
  </si>
  <si>
    <t>可收回金额测试表</t>
    <phoneticPr fontId="11" type="noConversion"/>
  </si>
  <si>
    <t>工程物资实质性程序表</t>
    <phoneticPr fontId="11" type="noConversion"/>
  </si>
  <si>
    <t>审定表</t>
    <phoneticPr fontId="11" type="noConversion"/>
  </si>
  <si>
    <t>明细表</t>
    <phoneticPr fontId="11" type="noConversion"/>
  </si>
  <si>
    <t>调整分录汇总</t>
    <phoneticPr fontId="11" type="noConversion"/>
  </si>
  <si>
    <t>增加检查表</t>
    <phoneticPr fontId="11" type="noConversion"/>
  </si>
  <si>
    <t>减少检查表</t>
    <phoneticPr fontId="11" type="noConversion"/>
  </si>
  <si>
    <t>盘点检查表</t>
    <phoneticPr fontId="11" type="noConversion"/>
  </si>
  <si>
    <t>减值测算表</t>
    <phoneticPr fontId="11" type="noConversion"/>
  </si>
  <si>
    <t>获取或编制工程物资的明细表，完成以下工作，并编制审定表：
（1）复核加计是否正确，并与总账数和明细账合计数核对是否相符，期初余额与上期审定期末余额是否相符；
（2）分析工程物资与上期变动情况；</t>
    <phoneticPr fontId="11" type="noConversion"/>
  </si>
  <si>
    <r>
      <rPr>
        <sz val="10"/>
        <color theme="1"/>
        <rFont val="宋体"/>
        <family val="3"/>
        <charset val="134"/>
      </rPr>
      <t>监盘工程物资：
（</t>
    </r>
    <r>
      <rPr>
        <sz val="10"/>
        <color theme="1"/>
        <rFont val="Arial Narrow"/>
        <family val="2"/>
      </rPr>
      <t>1</t>
    </r>
    <r>
      <rPr>
        <sz val="10"/>
        <color theme="1"/>
        <rFont val="宋体"/>
        <family val="3"/>
        <charset val="134"/>
      </rPr>
      <t>）了解工程物资形态、取得工程物资存放地点清单等，初步确定监盘方式、时间、监盘计划；
（</t>
    </r>
    <r>
      <rPr>
        <sz val="10"/>
        <color theme="1"/>
        <rFont val="Arial Narrow"/>
        <family val="2"/>
      </rPr>
      <t>2</t>
    </r>
    <r>
      <rPr>
        <sz val="10"/>
        <color theme="1"/>
        <rFont val="宋体"/>
        <family val="3"/>
        <charset val="134"/>
      </rPr>
      <t>）获取被审计单位对于工程物资的盘点计划，制定和实施监盘计划（如有）；
（</t>
    </r>
    <r>
      <rPr>
        <sz val="10"/>
        <color theme="1"/>
        <rFont val="Arial Narrow"/>
        <family val="2"/>
      </rPr>
      <t>3</t>
    </r>
    <r>
      <rPr>
        <sz val="10"/>
        <color theme="1"/>
        <rFont val="宋体"/>
        <family val="3"/>
        <charset val="134"/>
      </rPr>
      <t>）取得工程物资地点清单，初步确定监盘方式、时间、监盘计划；
（</t>
    </r>
    <r>
      <rPr>
        <sz val="10"/>
        <color theme="1"/>
        <rFont val="Arial Narrow"/>
        <family val="2"/>
      </rPr>
      <t>4</t>
    </r>
    <r>
      <rPr>
        <sz val="10"/>
        <color theme="1"/>
        <rFont val="宋体"/>
        <family val="3"/>
        <charset val="134"/>
      </rPr>
      <t>）观察被审计单位制定的盘点程序的执行情况
（</t>
    </r>
    <r>
      <rPr>
        <sz val="10"/>
        <color theme="1"/>
        <rFont val="Arial Narrow"/>
        <family val="2"/>
      </rPr>
      <t>5</t>
    </r>
    <r>
      <rPr>
        <sz val="10"/>
        <color theme="1"/>
        <rFont val="宋体"/>
        <family val="3"/>
        <charset val="134"/>
      </rPr>
      <t>）抽取工程物资盘点，并检查工程物资的状态（在建、闲置、毁损等）；
（</t>
    </r>
    <r>
      <rPr>
        <sz val="10"/>
        <color theme="1"/>
        <rFont val="Arial Narrow"/>
        <family val="2"/>
      </rPr>
      <t>6</t>
    </r>
    <r>
      <rPr>
        <sz val="10"/>
        <color theme="1"/>
        <rFont val="宋体"/>
        <family val="3"/>
        <charset val="134"/>
      </rPr>
      <t>）评价工程物资盘点结果，完成监盘小结。</t>
    </r>
    <phoneticPr fontId="11" type="noConversion"/>
  </si>
  <si>
    <t>二、审计目标与认定的对应关系</t>
    <phoneticPr fontId="11" type="noConversion"/>
  </si>
  <si>
    <t>三、计划实施的实质性程序</t>
    <phoneticPr fontId="11" type="noConversion"/>
  </si>
  <si>
    <t>日期</t>
  </si>
  <si>
    <t>凭证编号</t>
  </si>
  <si>
    <t>业务内容</t>
    <phoneticPr fontId="11" type="noConversion"/>
  </si>
  <si>
    <t>对方科目</t>
    <phoneticPr fontId="11" type="noConversion"/>
  </si>
  <si>
    <t>对方明细科目</t>
    <phoneticPr fontId="11" type="noConversion"/>
  </si>
  <si>
    <t>借方金额</t>
    <phoneticPr fontId="11" type="noConversion"/>
  </si>
  <si>
    <t>记账凭证</t>
  </si>
  <si>
    <t>支持性文件</t>
    <phoneticPr fontId="11" type="noConversion"/>
  </si>
  <si>
    <r>
      <rPr>
        <b/>
        <sz val="10"/>
        <rFont val="宋体"/>
        <family val="3"/>
        <charset val="134"/>
      </rPr>
      <t>核对内容</t>
    </r>
  </si>
  <si>
    <t>索引号</t>
  </si>
  <si>
    <t>是否异常</t>
    <phoneticPr fontId="11" type="noConversion"/>
  </si>
  <si>
    <t>备注说明</t>
    <phoneticPr fontId="11" type="noConversion"/>
  </si>
  <si>
    <r>
      <rPr>
        <sz val="10"/>
        <color rgb="FF0000FF"/>
        <rFont val="宋体"/>
        <family val="3"/>
        <charset val="134"/>
      </rPr>
      <t>如工程物资借方发生额所有凭证共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
    </r>
    <phoneticPr fontId="11" type="noConversion"/>
  </si>
  <si>
    <t>是否异常</t>
    <phoneticPr fontId="11" type="noConversion"/>
  </si>
  <si>
    <t>备注说明</t>
    <phoneticPr fontId="11" type="noConversion"/>
  </si>
  <si>
    <r>
      <rPr>
        <sz val="10"/>
        <rFont val="宋体"/>
        <family val="3"/>
        <charset val="134"/>
      </rPr>
      <t>截止日：</t>
    </r>
    <r>
      <rPr>
        <sz val="10"/>
        <rFont val="Arial Narrow"/>
        <family val="2"/>
      </rPr>
      <t/>
    </r>
    <phoneticPr fontId="11" type="noConversion"/>
  </si>
  <si>
    <t>本期增加</t>
    <phoneticPr fontId="11" type="noConversion"/>
  </si>
  <si>
    <t>期初数</t>
    <phoneticPr fontId="11" type="noConversion"/>
  </si>
  <si>
    <t>本期增加</t>
    <phoneticPr fontId="11" type="noConversion"/>
  </si>
  <si>
    <t>期末数</t>
    <phoneticPr fontId="11" type="noConversion"/>
  </si>
  <si>
    <t>期末数</t>
    <phoneticPr fontId="11" type="noConversion"/>
  </si>
  <si>
    <t>期初数</t>
  </si>
  <si>
    <t>数量</t>
    <phoneticPr fontId="11" type="noConversion"/>
  </si>
  <si>
    <t>序号</t>
    <phoneticPr fontId="11" type="noConversion"/>
  </si>
  <si>
    <t>期初数</t>
    <phoneticPr fontId="11" type="noConversion"/>
  </si>
  <si>
    <t>工程物资类别</t>
  </si>
  <si>
    <t>计量单位</t>
  </si>
  <si>
    <t>减值准备</t>
    <phoneticPr fontId="11" type="noConversion"/>
  </si>
  <si>
    <t>期末净值</t>
    <phoneticPr fontId="61" type="noConversion"/>
  </si>
  <si>
    <t>库龄</t>
    <phoneticPr fontId="11" type="noConversion"/>
  </si>
  <si>
    <t>未审数</t>
    <phoneticPr fontId="11" type="noConversion"/>
  </si>
  <si>
    <t>账项调整</t>
    <phoneticPr fontId="61" type="noConversion"/>
  </si>
  <si>
    <t>审定数</t>
    <phoneticPr fontId="11" type="noConversion"/>
  </si>
  <si>
    <t>期初调整</t>
    <phoneticPr fontId="11" type="noConversion"/>
  </si>
  <si>
    <t>本期减少</t>
    <phoneticPr fontId="11" type="noConversion"/>
  </si>
  <si>
    <t>账项调整</t>
    <phoneticPr fontId="11" type="noConversion"/>
  </si>
  <si>
    <t>金额</t>
    <phoneticPr fontId="11" type="noConversion"/>
  </si>
  <si>
    <t>数量</t>
    <phoneticPr fontId="11" type="noConversion"/>
  </si>
  <si>
    <t>单价</t>
    <phoneticPr fontId="11" type="noConversion"/>
  </si>
  <si>
    <t>金额</t>
    <phoneticPr fontId="11" type="noConversion"/>
  </si>
  <si>
    <t>金额</t>
    <phoneticPr fontId="11" type="noConversion"/>
  </si>
  <si>
    <t>原值</t>
    <phoneticPr fontId="11" type="noConversion"/>
  </si>
  <si>
    <t>品质状况（正常、残次、毁损、滞销等）</t>
    <phoneticPr fontId="11" type="noConversion"/>
  </si>
  <si>
    <t>未审数</t>
    <phoneticPr fontId="11" type="noConversion"/>
  </si>
  <si>
    <t>审定净值</t>
    <phoneticPr fontId="61" type="noConversion"/>
  </si>
  <si>
    <t>工程物资名称</t>
    <phoneticPr fontId="11" type="noConversion"/>
  </si>
  <si>
    <t>本期减少</t>
    <phoneticPr fontId="11" type="noConversion"/>
  </si>
  <si>
    <t>本期减少</t>
    <phoneticPr fontId="11" type="noConversion"/>
  </si>
  <si>
    <t>期初调整</t>
    <phoneticPr fontId="61" type="noConversion"/>
  </si>
  <si>
    <t>未审净值</t>
    <phoneticPr fontId="61" type="noConversion"/>
  </si>
  <si>
    <r>
      <rPr>
        <sz val="10"/>
        <rFont val="宋体"/>
        <family val="3"/>
        <charset val="134"/>
      </rPr>
      <t>准确性、计价和分摊</t>
    </r>
    <phoneticPr fontId="11" type="noConversion"/>
  </si>
  <si>
    <r>
      <t xml:space="preserve">C. </t>
    </r>
    <r>
      <rPr>
        <sz val="10"/>
        <rFont val="宋体"/>
        <family val="3"/>
        <charset val="134"/>
      </rPr>
      <t>记录的工程物资产由被审计单位拥有或控制；</t>
    </r>
    <phoneticPr fontId="11" type="noConversion"/>
  </si>
  <si>
    <r>
      <t>D.</t>
    </r>
    <r>
      <rPr>
        <sz val="10"/>
        <rFont val="宋体"/>
        <family val="3"/>
        <charset val="134"/>
      </rPr>
      <t>工程物资以恰当的金额包括在财务报表中，与之相关的计价或分摊调整已恰当记录，相关披露已得到恰当计量和描述</t>
    </r>
    <r>
      <rPr>
        <sz val="10"/>
        <rFont val="Arial Narrow"/>
        <family val="2"/>
      </rPr>
      <t xml:space="preserve"> </t>
    </r>
    <phoneticPr fontId="11" type="noConversion"/>
  </si>
  <si>
    <r>
      <t xml:space="preserve">E. </t>
    </r>
    <r>
      <rPr>
        <sz val="10"/>
        <rFont val="宋体"/>
        <family val="3"/>
        <charset val="134"/>
      </rPr>
      <t>工程物资已被恰当地汇总或分解且表述清楚，相关披露在按照企业会计准则的编制基础下是相关的、可理解的</t>
    </r>
    <phoneticPr fontId="11" type="noConversion"/>
  </si>
  <si>
    <t>审计目标</t>
    <phoneticPr fontId="11" type="noConversion"/>
  </si>
  <si>
    <t>关于工作底稿与审计程序索引号对应的说明</t>
    <phoneticPr fontId="11"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</si>
  <si>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1"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</si>
  <si>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1"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</si>
  <si>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1" type="noConversion"/>
  </si>
  <si>
    <t>根据被审计单位实际情况和风险评估情况裁剪、修改或增加审计程序</t>
    <phoneticPr fontId="11" type="noConversion"/>
  </si>
  <si>
    <t>审计程序</t>
    <phoneticPr fontId="6"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</si>
  <si>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6" type="noConversion"/>
  </si>
  <si>
    <t>……</t>
    <phoneticPr fontId="11" type="noConversion"/>
  </si>
  <si>
    <t>合计</t>
    <phoneticPr fontId="11" type="noConversion"/>
  </si>
  <si>
    <t>随机选样/系统选样/货币单元抽样/随意选样（非统计抽样适用）</t>
    <phoneticPr fontId="11" type="noConversion"/>
  </si>
  <si>
    <t>本期新增工程物资合计</t>
    <phoneticPr fontId="11" type="noConversion"/>
  </si>
  <si>
    <t>本期减少工程物资合计</t>
    <phoneticPr fontId="11" type="noConversion"/>
  </si>
  <si>
    <t>检查比例</t>
    <phoneticPr fontId="11" type="noConversion"/>
  </si>
  <si>
    <r>
      <t>1.</t>
    </r>
    <r>
      <rPr>
        <sz val="10"/>
        <color rgb="FFFF0000"/>
        <rFont val="宋体"/>
        <family val="3"/>
        <charset val="134"/>
      </rPr>
      <t>如果检查比例较低应扩大检查样本量或说明原因</t>
    </r>
    <phoneticPr fontId="11" type="noConversion"/>
  </si>
  <si>
    <t>2.……</t>
    <phoneticPr fontId="11" type="noConversion"/>
  </si>
  <si>
    <t>检查比例</t>
    <phoneticPr fontId="11" type="noConversion"/>
  </si>
  <si>
    <r>
      <t>1.</t>
    </r>
    <r>
      <rPr>
        <sz val="10"/>
        <color rgb="FFFF0000"/>
        <rFont val="宋体"/>
        <family val="3"/>
        <charset val="134"/>
      </rPr>
      <t>如果检查比例较低应扩大检查样本量或说明原因</t>
    </r>
    <phoneticPr fontId="11" type="noConversion"/>
  </si>
  <si>
    <t>2.……</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</si>
</sst>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3">
    <numFmt numFmtId="8" formatCode="&quot;¥&quot;#,##0.00;[Red]&quot;¥&quot;\-#,##0.00"/>
    <numFmt numFmtId="41" formatCode="_ * #,##0_ ;_ * \-#,##0_ ;_ *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0&quot; F&quot;_);\(#,##0&quot; F&quot;\)"/>
    <numFmt numFmtId="188" formatCode="&quot;$&quot;#,##0;[Red]&quot;$&quot;&quot;$&quot;&quot;$&quot;&quot;$&quot;&quot;$&quot;&quot;$&quot;&quot;$&quot;\-#,##0"/>
    <numFmt numFmtId="189" formatCode="hh:mm\ AM/PM_)"/>
    <numFmt numFmtId="190" formatCode=";;;"/>
    <numFmt numFmtId="191" formatCode="_([$€-2]* #,##0.00_);_([$€-2]* \(#,##0.00\);_([$€-2]* &quot;-&quot;??_)"/>
    <numFmt numFmtId="192" formatCode="&quot;\&quot;#,##0;[Red]&quot;\&quot;&quot;\&quot;\-#,##0"/>
    <numFmt numFmtId="193" formatCode="&quot;\&quot;#,##0.00;[Red]&quot;\&quot;&quot;\&quot;\-#,##0.00"/>
    <numFmt numFmtId="194" formatCode="_(&quot;$&quot;* #,##0_);_(&quot;$&quot;* \(#,##0\);_(&quot;$&quot;* &quot;-&quot;_);_(@_)"/>
    <numFmt numFmtId="195" formatCode="_(&quot;$&quot;* #,##0.00_);_(&quot;$&quot;* \(#,##0.00\);_(&quot;$&quot;* &quot;-&quot;??_);_(@_)"/>
    <numFmt numFmtId="196" formatCode="_-* #,##0_-;\-* #,##0_-;_-* &quot;-&quot;??_-;_-@_-"/>
    <numFmt numFmtId="197" formatCode="0.00000000000_);[Red]\(0.00000000000\)"/>
    <numFmt numFmtId="198" formatCode="&quot;\&quot;#,##0;&quot;\&quot;&quot;\&quot;\-#,##0"/>
    <numFmt numFmtId="199" formatCode="0.0000000"/>
    <numFmt numFmtId="200" formatCode="0.000000"/>
    <numFmt numFmtId="201" formatCode="0.00000000"/>
    <numFmt numFmtId="202" formatCode="_ * #,##0_)\ _F_ ;_ * \(#,##0\)\ _F_ ;_ * &quot;-&quot;_)\ _F_ ;_ @_ "/>
    <numFmt numFmtId="203" formatCode="#,##0.00_ "/>
    <numFmt numFmtId="204" formatCode="_ * #,##0_ ;_ * \-#,##0_ ;_ * &quot;-&quot;??_ ;_ @_ "/>
    <numFmt numFmtId="205" formatCode="#,##0.00_);[Red]\(#,##0.00\)"/>
  </numFmts>
  <fonts count="101">
    <font>
      <sz val="12"/>
      <name val="宋体"/>
      <family val="3"/>
      <charset val="134"/>
    </font>
    <font>
      <sz val="11"/>
      <color theme="1"/>
      <name val="宋体"/>
      <family val="2"/>
      <charset val="134"/>
      <scheme val="minor"/>
    </font>
    <font>
      <sz val="11"/>
      <color theme="1"/>
      <name val="宋体"/>
      <family val="2"/>
      <charset val="134"/>
      <scheme val="minor"/>
    </font>
    <font>
      <sz val="10"/>
      <color theme="1"/>
      <name val="宋体"/>
      <family val="2"/>
      <charset val="134"/>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sz val="10"/>
      <color indexed="12"/>
      <name val="宋体"/>
      <family val="3"/>
      <charset val="134"/>
    </font>
    <font>
      <b/>
      <sz val="10"/>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7"/>
      <name val="Helv"/>
      <family val="2"/>
    </font>
    <font>
      <b/>
      <sz val="10"/>
      <name val="MS Sans Serif"/>
      <family val="2"/>
    </font>
    <font>
      <b/>
      <sz val="8"/>
      <name val="Arial"/>
      <family val="2"/>
    </font>
    <font>
      <sz val="10"/>
      <name val="Arial"/>
      <family val="2"/>
    </font>
    <font>
      <sz val="10"/>
      <name val="MS Sans Serif"/>
      <family val="2"/>
    </font>
    <font>
      <sz val="9"/>
      <name val="Times New Roman"/>
      <family val="1"/>
    </font>
    <font>
      <sz val="8"/>
      <name val="Arial"/>
      <family val="2"/>
    </font>
    <font>
      <u/>
      <sz val="7.5"/>
      <color indexed="36"/>
      <name val="Arial"/>
      <family val="2"/>
    </font>
    <font>
      <b/>
      <sz val="12"/>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3"/>
      <charset val="134"/>
    </font>
    <font>
      <sz val="8"/>
      <name val="Century Schoolbook"/>
      <family val="1"/>
    </font>
    <font>
      <sz val="11"/>
      <name val="蹈框"/>
      <charset val="134"/>
    </font>
    <font>
      <sz val="11"/>
      <name val="ＭＳ Ｐゴシック"/>
      <family val="2"/>
      <charset val="134"/>
    </font>
    <font>
      <sz val="12"/>
      <name val="바탕체"/>
      <family val="3"/>
    </font>
    <font>
      <sz val="18"/>
      <color indexed="48"/>
      <name val="魏碑"/>
      <family val="3"/>
      <charset val="134"/>
    </font>
    <font>
      <sz val="10"/>
      <color indexed="48"/>
      <name val="Arial Narrow"/>
      <family val="2"/>
    </font>
    <font>
      <u/>
      <sz val="12"/>
      <color theme="10"/>
      <name val="宋体"/>
      <family val="3"/>
      <charset val="134"/>
    </font>
    <font>
      <u/>
      <sz val="12"/>
      <color indexed="12"/>
      <name val="宋体"/>
      <family val="3"/>
      <charset val="134"/>
    </font>
    <font>
      <b/>
      <sz val="10"/>
      <color theme="1"/>
      <name val="Arial Narrow"/>
      <family val="2"/>
    </font>
    <font>
      <sz val="10"/>
      <color theme="1"/>
      <name val="Arial Narrow"/>
      <family val="2"/>
    </font>
    <font>
      <b/>
      <sz val="10"/>
      <color indexed="8"/>
      <name val="Arial Narrow"/>
      <family val="2"/>
    </font>
    <font>
      <b/>
      <sz val="10"/>
      <color indexed="8"/>
      <name val="宋体"/>
      <family val="3"/>
      <charset val="134"/>
    </font>
    <font>
      <b/>
      <u/>
      <sz val="10"/>
      <color indexed="10"/>
      <name val="Arial Narrow"/>
      <family val="2"/>
    </font>
    <font>
      <sz val="10"/>
      <color indexed="8"/>
      <name val="Arial Narrow"/>
      <family val="2"/>
    </font>
    <font>
      <b/>
      <sz val="10"/>
      <color theme="1"/>
      <name val="宋体"/>
      <family val="3"/>
      <charset val="134"/>
    </font>
    <font>
      <sz val="9"/>
      <name val="宋体"/>
      <family val="3"/>
      <charset val="134"/>
      <scheme val="minor"/>
    </font>
    <font>
      <sz val="10"/>
      <color rgb="FFFF0000"/>
      <name val="宋体"/>
      <family val="3"/>
      <charset val="134"/>
    </font>
    <font>
      <sz val="10"/>
      <name val="宋体"/>
      <family val="3"/>
      <charset val="134"/>
      <scheme val="minor"/>
    </font>
    <font>
      <sz val="10"/>
      <color rgb="FFFF0000"/>
      <name val="Arial Narrow"/>
      <family val="2"/>
    </font>
    <font>
      <sz val="10"/>
      <color indexed="8"/>
      <name val="宋体"/>
      <family val="3"/>
      <charset val="134"/>
    </font>
    <font>
      <sz val="10"/>
      <color rgb="FF0000FF"/>
      <name val="宋体"/>
      <family val="3"/>
      <charset val="134"/>
    </font>
    <font>
      <b/>
      <sz val="10"/>
      <color indexed="10"/>
      <name val="Arial Narrow"/>
      <family val="2"/>
    </font>
    <font>
      <sz val="10"/>
      <color rgb="FF0000FF"/>
      <name val="Arial Narrow"/>
      <family val="2"/>
    </font>
    <font>
      <b/>
      <sz val="12"/>
      <name val="宋体"/>
      <family val="3"/>
      <charset val="134"/>
      <scheme val="minor"/>
    </font>
    <font>
      <sz val="11"/>
      <color theme="1"/>
      <name val="宋体"/>
      <family val="2"/>
      <charset val="134"/>
      <scheme val="minor"/>
    </font>
    <font>
      <b/>
      <sz val="10"/>
      <color rgb="FFFF0000"/>
      <name val="宋体"/>
      <family val="3"/>
      <charset val="134"/>
    </font>
    <font>
      <b/>
      <sz val="10"/>
      <color indexed="12"/>
      <name val="Arial Narrow"/>
      <family val="2"/>
    </font>
    <font>
      <sz val="10"/>
      <color theme="1"/>
      <name val="宋体"/>
      <family val="3"/>
      <charset val="134"/>
    </font>
    <font>
      <sz val="9"/>
      <color indexed="81"/>
      <name val="宋体"/>
      <family val="3"/>
      <charset val="134"/>
    </font>
    <font>
      <b/>
      <sz val="9"/>
      <color indexed="81"/>
      <name val="宋体"/>
      <family val="3"/>
      <charset val="134"/>
    </font>
    <font>
      <b/>
      <sz val="10"/>
      <color rgb="FFE92841"/>
      <name val="Arial Narrow"/>
      <family val="2"/>
    </font>
    <font>
      <b/>
      <sz val="10"/>
      <color rgb="FF000000"/>
      <name val="宋体"/>
      <family val="3"/>
      <charset val="134"/>
    </font>
    <font>
      <b/>
      <sz val="10"/>
      <color rgb="FF0000FF"/>
      <name val="宋体"/>
      <family val="3"/>
      <charset val="134"/>
      <scheme val="minor"/>
    </font>
    <font>
      <sz val="10"/>
      <color theme="1"/>
      <name val="宋体"/>
      <family val="3"/>
      <charset val="134"/>
      <scheme val="minor"/>
    </font>
    <font>
      <b/>
      <sz val="10.5"/>
      <name val="仿宋_GB2312"/>
      <family val="3"/>
      <charset val="134"/>
    </font>
    <font>
      <b/>
      <sz val="10.5"/>
      <name val="Arial Narrow"/>
      <family val="2"/>
    </font>
    <font>
      <sz val="10.5"/>
      <name val="仿宋_GB2312"/>
      <family val="3"/>
      <charset val="134"/>
    </font>
    <font>
      <sz val="10.5"/>
      <name val="Arial Narrow"/>
      <family val="2"/>
    </font>
    <font>
      <sz val="12"/>
      <name val="仿宋_GB2312"/>
      <family val="3"/>
      <charset val="134"/>
    </font>
    <font>
      <b/>
      <sz val="10.5"/>
      <color rgb="FF000000"/>
      <name val="仿宋_GB2312"/>
      <family val="3"/>
      <charset val="134"/>
    </font>
    <font>
      <b/>
      <sz val="10.5"/>
      <color rgb="FF000000"/>
      <name val="Arial Narrow"/>
      <family val="2"/>
    </font>
    <font>
      <sz val="10.5"/>
      <color rgb="FF000000"/>
      <name val="仿宋_GB2312"/>
      <family val="3"/>
      <charset val="134"/>
    </font>
    <font>
      <sz val="10"/>
      <color rgb="FF000000"/>
      <name val="宋体"/>
      <family val="3"/>
      <charset val="134"/>
    </font>
    <font>
      <b/>
      <sz val="10"/>
      <color rgb="FF000000"/>
      <name val="Arial Narrow"/>
      <family val="2"/>
    </font>
    <font>
      <sz val="10"/>
      <color rgb="FF000000"/>
      <name val="Arial Narrow"/>
      <family val="2"/>
    </font>
    <font>
      <u/>
      <sz val="10"/>
      <color indexed="12"/>
      <name val="Arial Narrow"/>
      <family val="2"/>
    </font>
    <font>
      <sz val="10"/>
      <color theme="10"/>
      <name val="Arial Narrow"/>
      <family val="2"/>
    </font>
    <font>
      <sz val="10"/>
      <color theme="10"/>
      <name val="宋体"/>
      <family val="3"/>
      <charset val="134"/>
    </font>
    <font>
      <sz val="10"/>
      <color indexed="10"/>
      <name val="Arial Narrow"/>
      <family val="2"/>
    </font>
    <font>
      <b/>
      <sz val="14"/>
      <name val="Arial Narrow"/>
      <family val="2"/>
    </font>
    <font>
      <b/>
      <sz val="14"/>
      <name val="宋体"/>
      <family val="3"/>
      <charset val="134"/>
    </font>
    <font>
      <sz val="14"/>
      <name val="Arial Narrow"/>
      <family val="2"/>
    </font>
    <font>
      <sz val="14"/>
      <name val="宋体"/>
      <family val="3"/>
      <charset val="134"/>
    </font>
    <font>
      <sz val="10"/>
      <color rgb="FF0000FF"/>
      <name val="宋体"/>
      <family val="3"/>
      <charset val="134"/>
      <scheme val="major"/>
    </font>
    <font>
      <u val="singleAccounting"/>
      <sz val="10"/>
      <color rgb="FF0000FF"/>
      <name val="宋体"/>
      <family val="3"/>
      <charset val="134"/>
    </font>
  </fonts>
  <fills count="1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6"/>
        <bgColor indexed="64"/>
      </patternFill>
    </fill>
    <fill>
      <patternFill patternType="solid">
        <fgColor indexed="9"/>
        <bgColor indexed="9"/>
      </patternFill>
    </fill>
    <fill>
      <patternFill patternType="solid">
        <fgColor indexed="14"/>
        <bgColor indexed="64"/>
      </patternFill>
    </fill>
    <fill>
      <patternFill patternType="solid">
        <fgColor theme="7" tint="0.79998168889431442"/>
        <bgColor indexed="64"/>
      </patternFill>
    </fill>
    <fill>
      <patternFill patternType="solid">
        <fgColor rgb="FFE4DFEC"/>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rgb="FFE4DFEC"/>
        <bgColor rgb="FFB7DEE8"/>
      </patternFill>
    </fill>
  </fills>
  <borders count="19">
    <border>
      <left/>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medium">
        <color indexed="64"/>
      </top>
      <bottom/>
      <diagonal/>
    </border>
  </borders>
  <cellStyleXfs count="131">
    <xf numFmtId="0" fontId="0" fillId="0" borderId="0">
      <protection locked="0"/>
    </xf>
    <xf numFmtId="43" fontId="8" fillId="0" borderId="0" applyFont="0" applyFill="0" applyBorder="0" applyAlignment="0" applyProtection="0"/>
    <xf numFmtId="9" fontId="8" fillId="0" borderId="0" applyFont="0" applyFill="0" applyBorder="0" applyAlignment="0" applyProtection="0"/>
    <xf numFmtId="0" fontId="4" fillId="0" borderId="0"/>
    <xf numFmtId="0" fontId="8" fillId="0" borderId="0" applyFill="0" applyBorder="0"/>
    <xf numFmtId="0" fontId="8" fillId="0" borderId="0">
      <alignment vertical="center"/>
    </xf>
    <xf numFmtId="49" fontId="15" fillId="0" borderId="0" applyProtection="0">
      <alignment horizontal="left"/>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177" fontId="15" fillId="0" borderId="0" applyFill="0" applyBorder="0" applyProtection="0">
      <alignment horizontal="right"/>
    </xf>
    <xf numFmtId="178" fontId="15" fillId="0" borderId="0" applyFill="0" applyBorder="0" applyProtection="0">
      <alignment horizontal="right"/>
    </xf>
    <xf numFmtId="179" fontId="23" fillId="0" borderId="0" applyFill="0" applyBorder="0" applyProtection="0">
      <alignment horizontal="center"/>
    </xf>
    <xf numFmtId="180" fontId="23" fillId="0" borderId="0" applyFill="0" applyBorder="0" applyProtection="0">
      <alignment horizontal="center"/>
    </xf>
    <xf numFmtId="181" fontId="24"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15" fillId="0" borderId="0" applyFill="0" applyBorder="0" applyProtection="0">
      <alignment horizontal="right"/>
    </xf>
    <xf numFmtId="3" fontId="25" fillId="0" borderId="0"/>
    <xf numFmtId="186" fontId="26" fillId="0" borderId="4" applyAlignment="0" applyProtection="0"/>
    <xf numFmtId="187" fontId="8" fillId="0" borderId="0" applyFill="0" applyBorder="0" applyAlignment="0"/>
    <xf numFmtId="0" fontId="27" fillId="0" borderId="5">
      <alignment horizontal="center"/>
    </xf>
    <xf numFmtId="188" fontId="28" fillId="0" borderId="0"/>
    <xf numFmtId="188" fontId="28" fillId="0" borderId="0"/>
    <xf numFmtId="188" fontId="28" fillId="0" borderId="0"/>
    <xf numFmtId="188" fontId="28" fillId="0" borderId="0"/>
    <xf numFmtId="188" fontId="28" fillId="0" borderId="0"/>
    <xf numFmtId="188" fontId="28" fillId="0" borderId="0"/>
    <xf numFmtId="188" fontId="28" fillId="0" borderId="0"/>
    <xf numFmtId="188" fontId="28" fillId="0" borderId="0"/>
    <xf numFmtId="38" fontId="29" fillId="0" borderId="0" applyFont="0" applyFill="0" applyBorder="0" applyAlignment="0" applyProtection="0"/>
    <xf numFmtId="40" fontId="29"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0" fontId="30" fillId="0" borderId="0">
      <alignment horizontal="left"/>
    </xf>
    <xf numFmtId="0" fontId="31" fillId="2" borderId="6"/>
    <xf numFmtId="191" fontId="15" fillId="0" borderId="0" applyFont="0" applyFill="0" applyBorder="0" applyAlignment="0" applyProtection="0"/>
    <xf numFmtId="0" fontId="32" fillId="0" borderId="0" applyNumberFormat="0" applyFill="0" applyBorder="0" applyAlignment="0" applyProtection="0">
      <alignment vertical="top"/>
      <protection locked="0"/>
    </xf>
    <xf numFmtId="38" fontId="31" fillId="3" borderId="0" applyNumberFormat="0" applyBorder="0" applyAlignment="0" applyProtection="0"/>
    <xf numFmtId="0" fontId="33" fillId="0" borderId="7" applyNumberFormat="0" applyAlignment="0" applyProtection="0">
      <alignment horizontal="left" vertical="center"/>
    </xf>
    <xf numFmtId="0" fontId="33" fillId="0" borderId="8">
      <alignment horizontal="left" vertical="center"/>
    </xf>
    <xf numFmtId="0" fontId="34" fillId="0" borderId="0" applyNumberFormat="0" applyFill="0" applyBorder="0" applyAlignment="0" applyProtection="0">
      <alignment vertical="top"/>
      <protection locked="0"/>
    </xf>
    <xf numFmtId="10" fontId="31" fillId="4" borderId="6" applyNumberFormat="0" applyBorder="0" applyAlignment="0" applyProtection="0"/>
    <xf numFmtId="0" fontId="15" fillId="0" borderId="0" applyNumberFormat="0" applyFont="0" applyFill="0" applyBorder="0" applyProtection="0">
      <alignment horizontal="left" vertical="center"/>
    </xf>
    <xf numFmtId="41" fontId="28" fillId="0" borderId="0" applyFont="0" applyFill="0" applyBorder="0" applyAlignment="0" applyProtection="0"/>
    <xf numFmtId="43" fontId="28" fillId="0" borderId="0" applyFont="0" applyFill="0" applyBorder="0" applyAlignment="0" applyProtection="0"/>
    <xf numFmtId="192" fontId="8" fillId="0" borderId="0" applyFont="0" applyFill="0" applyBorder="0" applyAlignment="0" applyProtection="0"/>
    <xf numFmtId="193" fontId="8" fillId="0" borderId="0" applyFont="0" applyFill="0" applyBorder="0" applyAlignment="0" applyProtection="0"/>
    <xf numFmtId="194" fontId="28" fillId="0" borderId="0" applyFont="0" applyFill="0" applyBorder="0" applyAlignment="0" applyProtection="0"/>
    <xf numFmtId="195" fontId="28" fillId="0" borderId="0" applyFont="0" applyFill="0" applyBorder="0" applyAlignment="0" applyProtection="0"/>
    <xf numFmtId="196" fontId="28" fillId="0" borderId="0" applyFont="0" applyFill="0" applyBorder="0" applyAlignment="0" applyProtection="0"/>
    <xf numFmtId="197" fontId="8" fillId="0" borderId="0" applyFont="0" applyFill="0" applyBorder="0" applyAlignment="0" applyProtection="0"/>
    <xf numFmtId="37" fontId="35" fillId="0" borderId="0"/>
    <xf numFmtId="0" fontId="36" fillId="0" borderId="0"/>
    <xf numFmtId="198" fontId="8" fillId="0" borderId="0"/>
    <xf numFmtId="0" fontId="29" fillId="0" borderId="0"/>
    <xf numFmtId="0" fontId="37" fillId="0" borderId="0"/>
    <xf numFmtId="10" fontId="28" fillId="0" borderId="0" applyFont="0" applyFill="0" applyBorder="0" applyAlignment="0" applyProtection="0"/>
    <xf numFmtId="0" fontId="31" fillId="3" borderId="6"/>
    <xf numFmtId="4" fontId="30" fillId="0" borderId="0">
      <alignment horizontal="right"/>
    </xf>
    <xf numFmtId="3" fontId="38" fillId="0" borderId="0"/>
    <xf numFmtId="4" fontId="39" fillId="0" borderId="0">
      <alignment horizontal="right"/>
    </xf>
    <xf numFmtId="0" fontId="40" fillId="0" borderId="0">
      <alignment horizontal="left"/>
    </xf>
    <xf numFmtId="0" fontId="41" fillId="0" borderId="6">
      <alignment horizontal="center"/>
    </xf>
    <xf numFmtId="0" fontId="41" fillId="0" borderId="0">
      <alignment horizontal="center" vertical="center"/>
    </xf>
    <xf numFmtId="0" fontId="42" fillId="5" borderId="0" applyNumberFormat="0" applyFill="0">
      <alignment horizontal="left" vertical="center"/>
    </xf>
    <xf numFmtId="0" fontId="43" fillId="0" borderId="0">
      <alignment horizontal="center"/>
    </xf>
    <xf numFmtId="0" fontId="44" fillId="0" borderId="0" applyNumberFormat="0" applyFont="0" applyFill="0" applyBorder="0" applyProtection="0">
      <alignment horizontal="center" vertical="center" wrapText="1"/>
    </xf>
    <xf numFmtId="9" fontId="45" fillId="0" borderId="0" applyFont="0" applyFill="0" applyBorder="0" applyAlignment="0" applyProtection="0"/>
    <xf numFmtId="4" fontId="46" fillId="0" borderId="0">
      <alignment horizontal="right"/>
    </xf>
    <xf numFmtId="0" fontId="8" fillId="0" borderId="0">
      <protection locked="0"/>
    </xf>
    <xf numFmtId="0" fontId="8" fillId="0" borderId="0">
      <protection locked="0"/>
    </xf>
    <xf numFmtId="0" fontId="26" fillId="0" borderId="0" applyNumberFormat="0" applyFill="0" applyBorder="0" applyAlignment="0" applyProtection="0"/>
    <xf numFmtId="4" fontId="44" fillId="0" borderId="0" applyFont="0" applyFill="0" applyBorder="0" applyAlignment="0" applyProtection="0"/>
    <xf numFmtId="41" fontId="28" fillId="0" borderId="0" applyFont="0" applyFill="0" applyBorder="0" applyAlignment="0" applyProtection="0"/>
    <xf numFmtId="199" fontId="4" fillId="0" borderId="0" applyFont="0" applyFill="0" applyBorder="0" applyAlignment="0" applyProtection="0"/>
    <xf numFmtId="8" fontId="8" fillId="0" borderId="0" applyFont="0" applyFill="0" applyBorder="0" applyAlignment="0" applyProtection="0"/>
    <xf numFmtId="200" fontId="4" fillId="0" borderId="0" applyFont="0" applyFill="0" applyBorder="0" applyAlignment="0" applyProtection="0"/>
    <xf numFmtId="201" fontId="4" fillId="0" borderId="0" applyFont="0" applyFill="0" applyBorder="0" applyAlignment="0" applyProtection="0"/>
    <xf numFmtId="0" fontId="15" fillId="0" borderId="0"/>
    <xf numFmtId="0" fontId="15" fillId="0" borderId="0" applyFont="0" applyFill="0" applyBorder="0" applyAlignment="0" applyProtection="0"/>
    <xf numFmtId="0" fontId="15"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0" fontId="47" fillId="0" borderId="0"/>
    <xf numFmtId="195" fontId="28" fillId="0" borderId="0" applyFont="0" applyFill="0" applyBorder="0" applyAlignment="0" applyProtection="0"/>
    <xf numFmtId="202" fontId="8" fillId="0" borderId="0" applyFont="0" applyFill="0" applyBorder="0" applyAlignment="0" applyProtection="0"/>
    <xf numFmtId="0" fontId="22" fillId="0" borderId="0">
      <alignment vertical="top"/>
      <protection locked="0"/>
    </xf>
    <xf numFmtId="38" fontId="48" fillId="0" borderId="0" applyFont="0" applyFill="0" applyBorder="0" applyAlignment="0" applyProtection="0"/>
    <xf numFmtId="4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9" fillId="0" borderId="0"/>
    <xf numFmtId="0" fontId="8" fillId="0" borderId="0">
      <alignment vertical="center"/>
    </xf>
    <xf numFmtId="0" fontId="8" fillId="0" borderId="0"/>
    <xf numFmtId="0" fontId="8" fillId="0" borderId="0">
      <alignment vertical="center"/>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191" fontId="8" fillId="0" borderId="0"/>
    <xf numFmtId="0" fontId="14" fillId="0" borderId="0"/>
    <xf numFmtId="43" fontId="65" fillId="0" borderId="0" applyFont="0" applyFill="0" applyBorder="0" applyAlignment="0" applyProtection="0">
      <alignment vertical="center"/>
    </xf>
    <xf numFmtId="0" fontId="8" fillId="0" borderId="0">
      <protection locked="0"/>
    </xf>
    <xf numFmtId="0" fontId="70" fillId="0" borderId="0">
      <alignment vertical="center"/>
    </xf>
    <xf numFmtId="191" fontId="8" fillId="0" borderId="0">
      <alignment vertical="center"/>
    </xf>
    <xf numFmtId="191" fontId="8" fillId="0" borderId="0">
      <alignment vertical="center"/>
      <protection locked="0"/>
    </xf>
    <xf numFmtId="191" fontId="8" fillId="0" borderId="0">
      <alignment vertical="center"/>
    </xf>
    <xf numFmtId="0" fontId="3" fillId="0" borderId="0">
      <alignment vertical="center"/>
    </xf>
    <xf numFmtId="191" fontId="8" fillId="0" borderId="0">
      <protection locked="0"/>
    </xf>
    <xf numFmtId="43" fontId="3" fillId="0" borderId="0" applyFont="0" applyFill="0" applyBorder="0" applyAlignment="0" applyProtection="0">
      <alignment vertical="center"/>
    </xf>
    <xf numFmtId="43" fontId="8" fillId="0" borderId="0" applyFont="0" applyFill="0" applyBorder="0" applyAlignment="0" applyProtection="0">
      <alignment vertical="center"/>
    </xf>
    <xf numFmtId="0" fontId="8" fillId="0" borderId="0">
      <alignment vertical="center"/>
      <protection locked="0"/>
    </xf>
    <xf numFmtId="0" fontId="8" fillId="0" borderId="0" applyFill="0" applyBorder="0"/>
    <xf numFmtId="0" fontId="8" fillId="0" borderId="0">
      <protection locked="0"/>
    </xf>
    <xf numFmtId="191" fontId="2" fillId="0" borderId="0">
      <alignment vertical="center"/>
    </xf>
    <xf numFmtId="191" fontId="8" fillId="0" borderId="0">
      <protection locked="0"/>
    </xf>
    <xf numFmtId="191" fontId="8" fillId="0" borderId="0"/>
    <xf numFmtId="0" fontId="8" fillId="0" borderId="0">
      <protection locked="0"/>
    </xf>
    <xf numFmtId="191" fontId="1" fillId="0" borderId="0">
      <alignment vertical="center"/>
    </xf>
  </cellStyleXfs>
  <cellXfs count="511">
    <xf numFmtId="0" fontId="0" fillId="0" borderId="0" xfId="0">
      <protection locked="0"/>
    </xf>
    <xf numFmtId="43" fontId="9" fillId="0" borderId="0" xfId="4" applyNumberFormat="1" applyFont="1" applyBorder="1" applyAlignment="1">
      <alignment vertical="center"/>
    </xf>
    <xf numFmtId="0" fontId="9" fillId="0" borderId="0" xfId="0" applyFont="1" applyAlignment="1">
      <alignment vertical="center"/>
      <protection locked="0"/>
    </xf>
    <xf numFmtId="0" fontId="14" fillId="0" borderId="0" xfId="0" applyFont="1" applyAlignment="1">
      <alignment vertical="center"/>
      <protection locked="0"/>
    </xf>
    <xf numFmtId="0" fontId="9" fillId="0" borderId="0" xfId="5" applyFont="1" applyAlignment="1">
      <alignment vertical="center" wrapText="1"/>
    </xf>
    <xf numFmtId="43" fontId="19" fillId="0" borderId="0" xfId="4" applyNumberFormat="1" applyFont="1" applyBorder="1" applyAlignment="1">
      <alignment vertical="center"/>
    </xf>
    <xf numFmtId="0" fontId="9" fillId="0" borderId="0" xfId="83" applyFont="1">
      <protection locked="0"/>
    </xf>
    <xf numFmtId="0" fontId="7" fillId="0" borderId="0" xfId="83" applyFont="1" applyAlignment="1">
      <alignment vertical="center"/>
      <protection locked="0"/>
    </xf>
    <xf numFmtId="0" fontId="12" fillId="0" borderId="0" xfId="83" applyFont="1" applyAlignment="1">
      <alignment vertical="center"/>
      <protection locked="0"/>
    </xf>
    <xf numFmtId="0" fontId="9" fillId="0" borderId="0" xfId="83" applyFont="1" applyAlignment="1">
      <alignment vertical="center"/>
      <protection locked="0"/>
    </xf>
    <xf numFmtId="0" fontId="9" fillId="0" borderId="0" xfId="83" applyFont="1" applyAlignment="1">
      <alignment horizontal="left" vertical="center"/>
      <protection locked="0"/>
    </xf>
    <xf numFmtId="0" fontId="9" fillId="0" borderId="0" xfId="107" applyFont="1" applyAlignment="1" applyProtection="1">
      <alignment vertical="center"/>
      <protection locked="0"/>
    </xf>
    <xf numFmtId="0" fontId="19" fillId="0" borderId="0" xfId="107" applyFont="1" applyAlignment="1" applyProtection="1">
      <alignment horizontal="center" vertical="center"/>
      <protection hidden="1"/>
    </xf>
    <xf numFmtId="0" fontId="9" fillId="0" borderId="0" xfId="107" applyFont="1" applyAlignment="1" applyProtection="1">
      <alignment horizontal="left" vertical="center"/>
      <protection hidden="1"/>
    </xf>
    <xf numFmtId="0" fontId="19" fillId="0" borderId="0" xfId="107" applyFont="1" applyAlignment="1" applyProtection="1">
      <alignment horizontal="left" vertical="center"/>
      <protection locked="0"/>
    </xf>
    <xf numFmtId="0" fontId="9" fillId="0" borderId="10" xfId="83" applyFont="1" applyBorder="1" applyAlignment="1">
      <alignment vertical="center" wrapText="1"/>
      <protection locked="0"/>
    </xf>
    <xf numFmtId="0" fontId="9" fillId="0" borderId="0" xfId="83" applyFont="1" applyAlignment="1">
      <alignment horizontal="center" vertical="center"/>
      <protection locked="0"/>
    </xf>
    <xf numFmtId="0" fontId="13" fillId="0" borderId="0" xfId="106" applyFont="1">
      <alignment vertical="center"/>
    </xf>
    <xf numFmtId="0" fontId="9" fillId="0" borderId="10" xfId="83" applyFont="1" applyBorder="1" applyAlignment="1">
      <alignment horizontal="center" vertical="center" wrapText="1"/>
      <protection locked="0"/>
    </xf>
    <xf numFmtId="43" fontId="9" fillId="0" borderId="10" xfId="83" applyNumberFormat="1" applyFont="1" applyBorder="1" applyAlignment="1">
      <alignment horizontal="justify" vertical="center" wrapText="1"/>
      <protection locked="0"/>
    </xf>
    <xf numFmtId="43" fontId="9" fillId="0" borderId="10" xfId="83" applyNumberFormat="1" applyFont="1" applyBorder="1" applyAlignment="1">
      <alignment horizontal="center" vertical="center" wrapText="1"/>
      <protection locked="0"/>
    </xf>
    <xf numFmtId="0" fontId="9" fillId="0" borderId="10" xfId="83" applyFont="1" applyBorder="1" applyAlignment="1">
      <alignment horizontal="justify" vertical="center" wrapText="1"/>
      <protection locked="0"/>
    </xf>
    <xf numFmtId="0" fontId="9" fillId="0" borderId="0" xfId="108" applyFont="1">
      <alignment vertical="center"/>
    </xf>
    <xf numFmtId="43" fontId="9" fillId="0" borderId="0" xfId="83" applyNumberFormat="1" applyFont="1" applyAlignment="1">
      <alignment vertical="center"/>
      <protection locked="0"/>
    </xf>
    <xf numFmtId="9" fontId="9" fillId="0" borderId="10" xfId="2" applyFont="1" applyBorder="1" applyAlignment="1" applyProtection="1">
      <alignment horizontal="center" vertical="center" wrapText="1"/>
      <protection locked="0"/>
    </xf>
    <xf numFmtId="0" fontId="9" fillId="0" borderId="14" xfId="83" applyFont="1" applyBorder="1" applyAlignment="1">
      <alignment vertical="center"/>
      <protection locked="0"/>
    </xf>
    <xf numFmtId="10" fontId="9" fillId="0" borderId="16" xfId="2" applyNumberFormat="1" applyFont="1" applyBorder="1" applyAlignment="1" applyProtection="1">
      <alignment vertical="center"/>
      <protection locked="0"/>
    </xf>
    <xf numFmtId="9" fontId="9" fillId="0" borderId="10" xfId="83" applyNumberFormat="1" applyFont="1" applyBorder="1" applyAlignment="1">
      <alignment horizontal="center" vertical="center" wrapText="1"/>
      <protection locked="0"/>
    </xf>
    <xf numFmtId="10" fontId="9" fillId="0" borderId="10" xfId="2" applyNumberFormat="1" applyFont="1" applyBorder="1" applyAlignment="1" applyProtection="1">
      <alignment horizontal="center" vertical="center" wrapText="1"/>
      <protection locked="0"/>
    </xf>
    <xf numFmtId="0" fontId="9" fillId="0" borderId="16" xfId="83" applyFont="1" applyBorder="1" applyAlignment="1">
      <alignment horizontal="center" vertical="center"/>
      <protection locked="0"/>
    </xf>
    <xf numFmtId="0" fontId="13" fillId="0" borderId="0" xfId="106" applyFont="1" applyAlignment="1">
      <alignment vertical="center" wrapText="1"/>
    </xf>
    <xf numFmtId="0" fontId="9" fillId="0" borderId="0" xfId="0" applyFont="1" applyAlignment="1">
      <alignment vertical="center" wrapText="1"/>
      <protection locked="0"/>
    </xf>
    <xf numFmtId="0" fontId="9" fillId="0" borderId="0" xfId="107" applyFont="1" applyAlignment="1" applyProtection="1">
      <alignment vertical="center" wrapText="1"/>
      <protection locked="0"/>
    </xf>
    <xf numFmtId="0" fontId="9" fillId="0" borderId="10" xfId="0" applyFont="1" applyBorder="1" applyAlignment="1">
      <alignment vertical="center" shrinkToFit="1"/>
      <protection locked="0"/>
    </xf>
    <xf numFmtId="203" fontId="9" fillId="0" borderId="10" xfId="0" applyNumberFormat="1" applyFont="1" applyBorder="1" applyAlignment="1">
      <alignment vertical="center"/>
      <protection locked="0"/>
    </xf>
    <xf numFmtId="0" fontId="9" fillId="0" borderId="11" xfId="0" applyFont="1" applyBorder="1" applyAlignment="1">
      <alignment vertical="center"/>
      <protection locked="0"/>
    </xf>
    <xf numFmtId="0" fontId="19" fillId="0" borderId="0" xfId="0" applyFont="1" applyAlignment="1">
      <alignment vertical="center" wrapText="1"/>
      <protection locked="0"/>
    </xf>
    <xf numFmtId="0" fontId="19" fillId="0" borderId="0" xfId="0" applyFont="1" applyAlignment="1">
      <alignment vertical="center"/>
      <protection locked="0"/>
    </xf>
    <xf numFmtId="0" fontId="56" fillId="0" borderId="0" xfId="83" applyFont="1" applyAlignment="1" applyProtection="1">
      <alignment vertical="center"/>
    </xf>
    <xf numFmtId="49" fontId="7" fillId="0" borderId="0" xfId="1" applyNumberFormat="1" applyFont="1" applyFill="1" applyAlignment="1" applyProtection="1">
      <alignment horizontal="right" vertical="center" shrinkToFit="1"/>
    </xf>
    <xf numFmtId="0" fontId="7" fillId="0" borderId="0" xfId="83" applyFont="1" applyAlignment="1" applyProtection="1">
      <alignment horizontal="left" vertical="center"/>
    </xf>
    <xf numFmtId="0" fontId="9" fillId="0" borderId="11" xfId="83" applyFont="1" applyBorder="1" applyAlignment="1">
      <alignment horizontal="left" vertical="center"/>
      <protection locked="0"/>
    </xf>
    <xf numFmtId="0" fontId="7" fillId="0" borderId="0" xfId="0" applyFont="1" applyAlignment="1">
      <alignment vertical="center"/>
      <protection locked="0"/>
    </xf>
    <xf numFmtId="0" fontId="12" fillId="0" borderId="0" xfId="0" applyFont="1" applyAlignment="1">
      <alignment vertical="center"/>
      <protection locked="0"/>
    </xf>
    <xf numFmtId="0" fontId="13" fillId="0" borderId="0" xfId="0" applyFont="1" applyAlignment="1">
      <alignment vertical="center"/>
      <protection locked="0"/>
    </xf>
    <xf numFmtId="0" fontId="56" fillId="0" borderId="10" xfId="0" applyFont="1" applyBorder="1" applyAlignment="1" applyProtection="1">
      <alignment vertical="center"/>
    </xf>
    <xf numFmtId="176" fontId="16" fillId="0" borderId="0" xfId="2" applyNumberFormat="1" applyFont="1" applyBorder="1" applyAlignment="1">
      <alignment horizontal="left" vertical="center"/>
    </xf>
    <xf numFmtId="0" fontId="9" fillId="0" borderId="0" xfId="0" applyFont="1">
      <protection locked="0"/>
    </xf>
    <xf numFmtId="43" fontId="9" fillId="0" borderId="10" xfId="1" applyFont="1" applyFill="1" applyBorder="1" applyAlignment="1">
      <alignment horizontal="right" vertical="center" wrapText="1"/>
    </xf>
    <xf numFmtId="0" fontId="7" fillId="7" borderId="10" xfId="83" applyFont="1" applyFill="1" applyBorder="1" applyAlignment="1">
      <alignment horizontal="centerContinuous" vertical="center" wrapText="1"/>
      <protection locked="0"/>
    </xf>
    <xf numFmtId="0" fontId="9" fillId="7" borderId="10" xfId="83" applyFont="1" applyFill="1" applyBorder="1" applyAlignment="1">
      <alignment horizontal="centerContinuous" vertical="center"/>
      <protection locked="0"/>
    </xf>
    <xf numFmtId="0" fontId="56" fillId="0" borderId="6" xfId="0" applyFont="1" applyBorder="1" applyAlignment="1" applyProtection="1">
      <alignment horizontal="center" vertical="center"/>
    </xf>
    <xf numFmtId="0" fontId="59" fillId="0" borderId="6" xfId="0" applyFont="1" applyBorder="1" applyAlignment="1" applyProtection="1">
      <alignment horizontal="center" vertical="center"/>
    </xf>
    <xf numFmtId="0" fontId="59" fillId="0" borderId="6" xfId="0" applyFont="1" applyBorder="1" applyAlignment="1" applyProtection="1">
      <alignment vertical="center"/>
    </xf>
    <xf numFmtId="0" fontId="56" fillId="7" borderId="10" xfId="0" applyFont="1" applyFill="1" applyBorder="1" applyAlignment="1" applyProtection="1">
      <alignment horizontal="center" vertical="center"/>
    </xf>
    <xf numFmtId="0" fontId="9" fillId="0" borderId="10" xfId="2" applyNumberFormat="1" applyFont="1" applyFill="1" applyBorder="1" applyAlignment="1">
      <alignment horizontal="right" vertical="center" wrapText="1"/>
    </xf>
    <xf numFmtId="0" fontId="59" fillId="0" borderId="10" xfId="0" applyFont="1" applyBorder="1" applyAlignment="1">
      <alignment horizontal="center" vertical="center"/>
      <protection locked="0"/>
    </xf>
    <xf numFmtId="0" fontId="9" fillId="0" borderId="10" xfId="0" applyFont="1" applyBorder="1" applyAlignment="1">
      <alignment horizontal="left" vertical="center"/>
      <protection locked="0"/>
    </xf>
    <xf numFmtId="0" fontId="9" fillId="0" borderId="10" xfId="0" applyFont="1" applyBorder="1" applyAlignment="1">
      <alignment horizontal="center" vertical="center" shrinkToFit="1"/>
      <protection locked="0"/>
    </xf>
    <xf numFmtId="0" fontId="9" fillId="0" borderId="0" xfId="0" applyFont="1" applyAlignment="1">
      <alignment horizontal="center" vertical="center"/>
      <protection locked="0"/>
    </xf>
    <xf numFmtId="14" fontId="9" fillId="0" borderId="0" xfId="83" applyNumberFormat="1" applyFont="1" applyAlignment="1">
      <alignment vertical="center"/>
      <protection locked="0"/>
    </xf>
    <xf numFmtId="0" fontId="9" fillId="0" borderId="15" xfId="83" applyFont="1" applyBorder="1" applyAlignment="1">
      <alignment horizontal="left" vertical="center"/>
      <protection locked="0"/>
    </xf>
    <xf numFmtId="0" fontId="9" fillId="0" borderId="16" xfId="83" applyFont="1" applyBorder="1" applyAlignment="1">
      <alignment horizontal="left" vertical="center"/>
      <protection locked="0"/>
    </xf>
    <xf numFmtId="14" fontId="9" fillId="0" borderId="0" xfId="0" applyNumberFormat="1" applyFont="1" applyAlignment="1">
      <alignment vertical="center"/>
      <protection locked="0"/>
    </xf>
    <xf numFmtId="0" fontId="14" fillId="0" borderId="0" xfId="83" applyFont="1">
      <protection locked="0"/>
    </xf>
    <xf numFmtId="0" fontId="12" fillId="0" borderId="0" xfId="84" applyFont="1" applyAlignment="1">
      <alignment vertical="center"/>
      <protection locked="0"/>
    </xf>
    <xf numFmtId="14" fontId="14" fillId="0" borderId="0" xfId="0" applyNumberFormat="1" applyFont="1" applyAlignment="1">
      <alignment vertical="center"/>
      <protection locked="0"/>
    </xf>
    <xf numFmtId="204" fontId="9" fillId="0" borderId="10" xfId="1" applyNumberFormat="1" applyFont="1" applyFill="1" applyBorder="1" applyAlignment="1">
      <alignment vertical="center"/>
    </xf>
    <xf numFmtId="49" fontId="9" fillId="0" borderId="0" xfId="0" applyNumberFormat="1" applyFont="1" applyAlignment="1">
      <alignment vertical="center"/>
      <protection locked="0"/>
    </xf>
    <xf numFmtId="0" fontId="9" fillId="0" borderId="0" xfId="0" applyFont="1" applyAlignment="1">
      <alignment horizontal="right" vertical="center"/>
      <protection locked="0"/>
    </xf>
    <xf numFmtId="10" fontId="9" fillId="0" borderId="10" xfId="2" applyNumberFormat="1" applyFont="1" applyFill="1" applyBorder="1" applyAlignment="1" applyProtection="1">
      <alignment horizontal="center" vertical="center" wrapText="1"/>
      <protection locked="0"/>
    </xf>
    <xf numFmtId="10" fontId="9" fillId="0" borderId="14" xfId="2" applyNumberFormat="1" applyFont="1" applyFill="1" applyBorder="1" applyAlignment="1" applyProtection="1">
      <alignment vertical="center"/>
      <protection locked="0"/>
    </xf>
    <xf numFmtId="43" fontId="9" fillId="0" borderId="15" xfId="83" applyNumberFormat="1" applyFont="1" applyBorder="1" applyAlignment="1">
      <alignment vertical="center"/>
      <protection locked="0"/>
    </xf>
    <xf numFmtId="10" fontId="9" fillId="0" borderId="16" xfId="2" applyNumberFormat="1" applyFont="1" applyFill="1" applyBorder="1" applyAlignment="1" applyProtection="1">
      <alignment vertical="center"/>
      <protection locked="0"/>
    </xf>
    <xf numFmtId="0" fontId="7" fillId="0" borderId="14" xfId="83" applyFont="1" applyBorder="1" applyAlignment="1">
      <alignment horizontal="left" vertical="center"/>
      <protection locked="0"/>
    </xf>
    <xf numFmtId="0" fontId="19" fillId="0" borderId="10" xfId="83" applyFont="1" applyBorder="1" applyAlignment="1">
      <alignment vertical="center"/>
      <protection locked="0"/>
    </xf>
    <xf numFmtId="0" fontId="7" fillId="7" borderId="13" xfId="83" applyFont="1" applyFill="1" applyBorder="1" applyAlignment="1">
      <alignment horizontal="centerContinuous" vertical="center"/>
      <protection locked="0"/>
    </xf>
    <xf numFmtId="0" fontId="7" fillId="0" borderId="11" xfId="83" applyFont="1" applyBorder="1" applyAlignment="1">
      <alignment vertical="center"/>
      <protection locked="0"/>
    </xf>
    <xf numFmtId="0" fontId="19" fillId="0" borderId="0" xfId="83" applyFont="1" applyAlignment="1">
      <alignment horizontal="left" vertical="center"/>
      <protection locked="0"/>
    </xf>
    <xf numFmtId="0" fontId="9" fillId="0" borderId="0" xfId="3" applyFont="1" applyAlignment="1">
      <alignment vertical="center"/>
    </xf>
    <xf numFmtId="0" fontId="9" fillId="0" borderId="6" xfId="3" applyFont="1" applyBorder="1" applyAlignment="1">
      <alignment vertical="center"/>
    </xf>
    <xf numFmtId="0" fontId="9" fillId="0" borderId="6" xfId="3" applyFont="1" applyBorder="1" applyAlignment="1">
      <alignment horizontal="center" vertical="center"/>
    </xf>
    <xf numFmtId="43" fontId="9" fillId="0" borderId="6" xfId="3" applyNumberFormat="1" applyFont="1" applyBorder="1" applyAlignment="1">
      <alignment vertical="center"/>
    </xf>
    <xf numFmtId="0" fontId="56" fillId="0" borderId="0" xfId="0" applyFont="1" applyAlignment="1" applyProtection="1">
      <alignment vertical="center"/>
    </xf>
    <xf numFmtId="191" fontId="7" fillId="7" borderId="10" xfId="111" applyFont="1" applyFill="1" applyBorder="1" applyAlignment="1" applyProtection="1">
      <alignment horizontal="center" vertical="center" wrapText="1"/>
      <protection locked="0"/>
    </xf>
    <xf numFmtId="43" fontId="9" fillId="0" borderId="0" xfId="124" applyNumberFormat="1" applyFont="1" applyBorder="1" applyAlignment="1">
      <alignment vertical="center"/>
    </xf>
    <xf numFmtId="43" fontId="9" fillId="0" borderId="0" xfId="124" applyNumberFormat="1" applyFont="1" applyBorder="1" applyAlignment="1">
      <alignment horizontal="left" vertical="center"/>
    </xf>
    <xf numFmtId="191" fontId="76" fillId="7" borderId="10" xfId="111" applyFont="1" applyFill="1" applyBorder="1" applyAlignment="1" applyProtection="1">
      <alignment horizontal="center" vertical="center" wrapText="1"/>
      <protection locked="0"/>
    </xf>
    <xf numFmtId="43" fontId="9" fillId="0" borderId="11" xfId="1" applyFont="1" applyFill="1" applyBorder="1" applyAlignment="1">
      <alignment horizontal="right" vertical="center" wrapText="1"/>
    </xf>
    <xf numFmtId="0" fontId="63" fillId="0" borderId="0" xfId="0" applyFont="1" applyAlignment="1">
      <alignment vertical="center"/>
      <protection locked="0"/>
    </xf>
    <xf numFmtId="14" fontId="63" fillId="0" borderId="0" xfId="0" applyNumberFormat="1" applyFont="1" applyAlignment="1">
      <alignment vertical="center"/>
      <protection locked="0"/>
    </xf>
    <xf numFmtId="0" fontId="63" fillId="0" borderId="0" xfId="83" applyFont="1">
      <protection locked="0"/>
    </xf>
    <xf numFmtId="0" fontId="78" fillId="0" borderId="0" xfId="0" applyFont="1" applyAlignment="1">
      <alignment vertical="center"/>
      <protection locked="0"/>
    </xf>
    <xf numFmtId="0" fontId="79" fillId="0" borderId="0" xfId="0" applyFont="1" applyAlignment="1" applyProtection="1">
      <alignment horizontal="justify" vertical="center"/>
    </xf>
    <xf numFmtId="0" fontId="79" fillId="0" borderId="0" xfId="0" applyFont="1" applyAlignment="1" applyProtection="1">
      <alignment vertical="center"/>
    </xf>
    <xf numFmtId="0" fontId="80" fillId="0" borderId="7" xfId="0" applyFont="1" applyBorder="1" applyAlignment="1">
      <alignment horizontal="justify" vertical="center" wrapText="1"/>
      <protection locked="0"/>
    </xf>
    <xf numFmtId="0" fontId="80" fillId="0" borderId="7" xfId="0" applyFont="1" applyBorder="1" applyAlignment="1">
      <alignment horizontal="right" vertical="center" wrapText="1"/>
      <protection locked="0"/>
    </xf>
    <xf numFmtId="0" fontId="82" fillId="0" borderId="0" xfId="0" applyFont="1" applyAlignment="1">
      <alignment horizontal="justify" vertical="center" wrapText="1"/>
      <protection locked="0"/>
    </xf>
    <xf numFmtId="0" fontId="83" fillId="0" borderId="0" xfId="0" applyFont="1" applyAlignment="1">
      <alignment horizontal="right" vertical="center" wrapText="1"/>
      <protection locked="0"/>
    </xf>
    <xf numFmtId="0" fontId="83" fillId="0" borderId="0" xfId="0" applyFont="1" applyAlignment="1">
      <alignment horizontal="justify" vertical="center" wrapText="1"/>
      <protection locked="0"/>
    </xf>
    <xf numFmtId="0" fontId="82" fillId="0" borderId="9" xfId="0" applyFont="1" applyBorder="1" applyAlignment="1">
      <alignment horizontal="justify" vertical="center" wrapText="1"/>
      <protection locked="0"/>
    </xf>
    <xf numFmtId="0" fontId="83" fillId="0" borderId="9" xfId="0" applyFont="1" applyBorder="1" applyAlignment="1">
      <alignment horizontal="right" vertical="center" wrapText="1"/>
      <protection locked="0"/>
    </xf>
    <xf numFmtId="0" fontId="80" fillId="0" borderId="9" xfId="0" applyFont="1" applyBorder="1" applyAlignment="1">
      <alignment horizontal="justify" vertical="center" wrapText="1"/>
      <protection locked="0"/>
    </xf>
    <xf numFmtId="0" fontId="81" fillId="0" borderId="9" xfId="0" applyFont="1" applyBorder="1" applyAlignment="1">
      <alignment horizontal="right" vertical="center" wrapText="1"/>
      <protection locked="0"/>
    </xf>
    <xf numFmtId="43" fontId="9" fillId="7" borderId="10" xfId="1" applyFont="1" applyFill="1" applyBorder="1" applyAlignment="1">
      <alignment horizontal="right" vertical="center" wrapText="1"/>
    </xf>
    <xf numFmtId="43" fontId="9" fillId="7" borderId="17" xfId="1" applyFont="1" applyFill="1" applyBorder="1" applyAlignment="1">
      <alignment horizontal="right" vertical="center" wrapText="1"/>
    </xf>
    <xf numFmtId="0" fontId="85" fillId="0" borderId="9" xfId="0" applyFont="1" applyBorder="1" applyAlignment="1">
      <alignment horizontal="right" vertical="center" wrapText="1"/>
      <protection locked="0"/>
    </xf>
    <xf numFmtId="0" fontId="87" fillId="0" borderId="0" xfId="0" applyFont="1" applyAlignment="1">
      <alignment horizontal="justify" vertical="center" wrapText="1"/>
      <protection locked="0"/>
    </xf>
    <xf numFmtId="0" fontId="87" fillId="0" borderId="9" xfId="0" applyFont="1" applyBorder="1" applyAlignment="1">
      <alignment horizontal="justify" vertical="center" wrapText="1"/>
      <protection locked="0"/>
    </xf>
    <xf numFmtId="0" fontId="85" fillId="0" borderId="9" xfId="0" applyFont="1" applyBorder="1" applyAlignment="1">
      <alignment horizontal="justify" vertical="center" wrapText="1"/>
      <protection locked="0"/>
    </xf>
    <xf numFmtId="204" fontId="9" fillId="7" borderId="10" xfId="1" applyNumberFormat="1" applyFont="1" applyFill="1" applyBorder="1" applyAlignment="1">
      <alignment vertical="center"/>
    </xf>
    <xf numFmtId="43" fontId="59" fillId="7" borderId="10" xfId="1" applyFont="1" applyFill="1" applyBorder="1" applyAlignment="1">
      <alignment horizontal="right" vertical="center"/>
    </xf>
    <xf numFmtId="10" fontId="9" fillId="7" borderId="10" xfId="2" applyNumberFormat="1" applyFont="1" applyFill="1" applyBorder="1" applyAlignment="1">
      <alignment horizontal="right" vertical="center" wrapText="1"/>
    </xf>
    <xf numFmtId="43" fontId="59" fillId="7" borderId="0" xfId="1" applyFont="1" applyFill="1" applyBorder="1" applyAlignment="1">
      <alignment vertical="center"/>
    </xf>
    <xf numFmtId="43" fontId="9" fillId="7" borderId="6" xfId="3" applyNumberFormat="1" applyFont="1" applyFill="1" applyBorder="1" applyAlignment="1">
      <alignment vertical="center"/>
    </xf>
    <xf numFmtId="0" fontId="9" fillId="0" borderId="0" xfId="83" applyFont="1" applyBorder="1" applyAlignment="1">
      <alignment vertical="center"/>
      <protection locked="0"/>
    </xf>
    <xf numFmtId="0" fontId="9" fillId="0" borderId="0" xfId="83" applyFont="1" applyBorder="1" applyAlignment="1">
      <alignment horizontal="center" vertical="center"/>
      <protection locked="0"/>
    </xf>
    <xf numFmtId="0" fontId="9" fillId="0" borderId="0" xfId="83" applyFont="1" applyBorder="1" applyAlignment="1">
      <alignment horizontal="left" vertical="center"/>
      <protection locked="0"/>
    </xf>
    <xf numFmtId="191" fontId="9" fillId="0" borderId="0" xfId="117" applyFont="1">
      <alignment vertical="center"/>
      <protection locked="0"/>
    </xf>
    <xf numFmtId="0" fontId="9" fillId="0" borderId="0" xfId="107" applyNumberFormat="1" applyFont="1" applyAlignment="1" applyProtection="1">
      <alignment vertical="center"/>
      <protection locked="0"/>
    </xf>
    <xf numFmtId="0" fontId="9" fillId="0" borderId="0" xfId="107" applyNumberFormat="1" applyFont="1" applyAlignment="1" applyProtection="1">
      <alignment vertical="center" wrapText="1"/>
      <protection locked="0"/>
    </xf>
    <xf numFmtId="0" fontId="68" fillId="0" borderId="0" xfId="0" applyFont="1" applyBorder="1" applyAlignment="1">
      <alignment vertical="center" wrapText="1"/>
      <protection locked="0"/>
    </xf>
    <xf numFmtId="191" fontId="64" fillId="11" borderId="0" xfId="117" applyFont="1" applyFill="1">
      <alignment vertical="center"/>
      <protection locked="0"/>
    </xf>
    <xf numFmtId="0" fontId="7" fillId="8" borderId="10" xfId="125" applyFont="1" applyFill="1" applyBorder="1" applyAlignment="1" applyProtection="1">
      <alignment horizontal="center" vertical="center" wrapText="1"/>
      <protection locked="0"/>
    </xf>
    <xf numFmtId="0" fontId="7" fillId="8" borderId="10" xfId="125" applyFont="1" applyFill="1" applyBorder="1" applyAlignment="1" applyProtection="1">
      <alignment horizontal="center" vertical="center"/>
      <protection locked="0"/>
    </xf>
    <xf numFmtId="0" fontId="7" fillId="7" borderId="10" xfId="83" applyFont="1" applyFill="1" applyBorder="1" applyAlignment="1">
      <alignment horizontal="center" vertical="center" wrapText="1"/>
      <protection locked="0"/>
    </xf>
    <xf numFmtId="0" fontId="9" fillId="0" borderId="10" xfId="83" applyFont="1" applyBorder="1" applyAlignment="1">
      <alignment horizontal="center" vertical="center"/>
      <protection locked="0"/>
    </xf>
    <xf numFmtId="0" fontId="9" fillId="6" borderId="0" xfId="0" applyFont="1" applyFill="1" applyAlignment="1">
      <alignment horizontal="justify" vertical="center" wrapText="1"/>
      <protection locked="0"/>
    </xf>
    <xf numFmtId="0" fontId="9" fillId="0" borderId="0" xfId="0" applyFont="1" applyAlignment="1">
      <alignment horizontal="justify" wrapText="1"/>
      <protection locked="0"/>
    </xf>
    <xf numFmtId="0" fontId="9" fillId="0" borderId="0" xfId="0" applyFont="1" applyAlignment="1">
      <alignment horizontal="justify" vertical="top" wrapText="1"/>
      <protection locked="0"/>
    </xf>
    <xf numFmtId="0" fontId="89" fillId="9" borderId="0" xfId="0" applyFont="1" applyFill="1" applyAlignment="1" applyProtection="1">
      <alignment vertical="center"/>
    </xf>
    <xf numFmtId="0" fontId="90" fillId="10" borderId="0" xfId="0" applyFont="1" applyFill="1" applyAlignment="1" applyProtection="1">
      <alignment vertical="center"/>
    </xf>
    <xf numFmtId="0" fontId="9" fillId="0" borderId="0" xfId="0" applyFont="1" applyAlignment="1">
      <alignment horizontal="center"/>
      <protection locked="0"/>
    </xf>
    <xf numFmtId="0" fontId="91" fillId="0" borderId="0" xfId="110" quotePrefix="1" applyFont="1" applyAlignment="1">
      <protection locked="0"/>
    </xf>
    <xf numFmtId="0" fontId="68" fillId="0" borderId="0" xfId="83" applyFont="1" applyAlignment="1">
      <alignment vertical="center"/>
      <protection locked="0"/>
    </xf>
    <xf numFmtId="191" fontId="68" fillId="0" borderId="0" xfId="120" applyFont="1" applyFill="1" applyAlignment="1" applyProtection="1">
      <alignment horizontal="left" vertical="center"/>
    </xf>
    <xf numFmtId="0" fontId="68" fillId="0" borderId="0" xfId="83" applyFont="1" applyFill="1" applyAlignment="1">
      <alignment vertical="center"/>
      <protection locked="0"/>
    </xf>
    <xf numFmtId="0" fontId="68" fillId="0" borderId="0" xfId="83" applyFont="1" applyFill="1" applyAlignment="1">
      <alignment horizontal="right" vertical="center"/>
      <protection locked="0"/>
    </xf>
    <xf numFmtId="0" fontId="68" fillId="0" borderId="0" xfId="83" applyFont="1" applyFill="1" applyAlignment="1">
      <alignment horizontal="justify" vertical="center" wrapText="1"/>
      <protection locked="0"/>
    </xf>
    <xf numFmtId="0" fontId="68" fillId="0" borderId="0" xfId="83" applyFont="1" applyFill="1" applyAlignment="1" applyProtection="1">
      <alignment vertical="center"/>
    </xf>
    <xf numFmtId="0" fontId="68" fillId="0" borderId="0" xfId="0" applyFont="1" applyFill="1" applyAlignment="1">
      <alignment vertical="center"/>
      <protection locked="0"/>
    </xf>
    <xf numFmtId="191" fontId="7" fillId="0" borderId="0" xfId="128" applyFont="1" applyAlignment="1">
      <alignment vertical="center"/>
    </xf>
    <xf numFmtId="191" fontId="9" fillId="0" borderId="0" xfId="128" applyFont="1" applyAlignment="1" applyProtection="1">
      <alignment vertical="center" wrapText="1"/>
      <protection locked="0"/>
    </xf>
    <xf numFmtId="0" fontId="68" fillId="0" borderId="0" xfId="83" applyFont="1" applyAlignment="1">
      <alignment horizontal="left" vertical="center"/>
      <protection locked="0"/>
    </xf>
    <xf numFmtId="0" fontId="64" fillId="0" borderId="0" xfId="107" applyFont="1" applyAlignment="1" applyProtection="1">
      <alignment vertical="center"/>
      <protection locked="0"/>
    </xf>
    <xf numFmtId="0" fontId="92" fillId="0" borderId="6" xfId="109" applyFont="1" applyBorder="1" applyAlignment="1">
      <alignment vertical="center"/>
      <protection locked="0"/>
    </xf>
    <xf numFmtId="191" fontId="9" fillId="0" borderId="0" xfId="117" applyFont="1" applyAlignment="1">
      <alignment vertical="center"/>
      <protection locked="0"/>
    </xf>
    <xf numFmtId="191" fontId="92" fillId="0" borderId="0" xfId="109" applyNumberFormat="1" applyFont="1" applyAlignment="1">
      <alignment vertical="center"/>
      <protection locked="0"/>
    </xf>
    <xf numFmtId="191" fontId="9" fillId="0" borderId="0" xfId="117" applyFont="1" applyAlignment="1">
      <alignment horizontal="left" vertical="center"/>
      <protection locked="0"/>
    </xf>
    <xf numFmtId="191" fontId="9" fillId="0" borderId="0" xfId="118" applyFont="1">
      <alignment vertical="center"/>
    </xf>
    <xf numFmtId="191" fontId="9" fillId="0" borderId="0" xfId="117" applyFont="1" applyBorder="1" applyAlignment="1">
      <alignment horizontal="left" vertical="center"/>
      <protection locked="0"/>
    </xf>
    <xf numFmtId="191" fontId="9" fillId="0" borderId="0" xfId="117" applyFont="1" applyBorder="1" applyAlignment="1">
      <alignment horizontal="left" vertical="center" wrapText="1"/>
      <protection locked="0"/>
    </xf>
    <xf numFmtId="191" fontId="7" fillId="0" borderId="0" xfId="117" applyFont="1" applyBorder="1" applyAlignment="1">
      <alignment horizontal="left" vertical="center"/>
      <protection locked="0"/>
    </xf>
    <xf numFmtId="191" fontId="7" fillId="0" borderId="0" xfId="117" applyFont="1" applyBorder="1" applyAlignment="1">
      <alignment horizontal="justify" vertical="center"/>
      <protection locked="0"/>
    </xf>
    <xf numFmtId="191" fontId="9" fillId="0" borderId="0" xfId="117" applyFont="1" applyBorder="1">
      <alignment vertical="center"/>
      <protection locked="0"/>
    </xf>
    <xf numFmtId="191" fontId="7" fillId="0" borderId="0" xfId="117" applyFont="1" applyAlignment="1">
      <alignment horizontal="justify" vertical="center"/>
      <protection locked="0"/>
    </xf>
    <xf numFmtId="49" fontId="9" fillId="0" borderId="0" xfId="118" applyNumberFormat="1" applyFont="1" applyAlignment="1">
      <alignment horizontal="left" vertical="center"/>
    </xf>
    <xf numFmtId="191" fontId="7" fillId="7" borderId="10" xfId="84" applyNumberFormat="1" applyFont="1" applyFill="1" applyBorder="1" applyAlignment="1">
      <alignment horizontal="center" vertical="center"/>
      <protection locked="0"/>
    </xf>
    <xf numFmtId="191" fontId="56" fillId="7" borderId="10" xfId="84" applyNumberFormat="1" applyFont="1" applyFill="1" applyBorder="1" applyAlignment="1">
      <alignment horizontal="center" vertical="center" wrapText="1"/>
      <protection locked="0"/>
    </xf>
    <xf numFmtId="43" fontId="59" fillId="0" borderId="10" xfId="0" applyNumberFormat="1" applyFont="1" applyBorder="1" applyAlignment="1" applyProtection="1">
      <alignment vertical="center"/>
    </xf>
    <xf numFmtId="0" fontId="59" fillId="0" borderId="10" xfId="0" applyFont="1" applyBorder="1" applyAlignment="1" applyProtection="1">
      <alignment vertical="center"/>
    </xf>
    <xf numFmtId="43" fontId="7" fillId="0" borderId="0" xfId="4" applyNumberFormat="1" applyFont="1" applyBorder="1" applyAlignment="1">
      <alignment vertical="center"/>
    </xf>
    <xf numFmtId="43" fontId="72" fillId="0" borderId="0" xfId="4" applyNumberFormat="1" applyFont="1" applyBorder="1" applyAlignment="1">
      <alignment vertical="center"/>
    </xf>
    <xf numFmtId="0" fontId="9" fillId="0" borderId="0" xfId="84" applyFont="1">
      <protection locked="0"/>
    </xf>
    <xf numFmtId="0" fontId="9" fillId="0" borderId="10" xfId="0" applyFont="1" applyBorder="1" applyAlignment="1">
      <alignment horizontal="center" vertical="center"/>
      <protection locked="0"/>
    </xf>
    <xf numFmtId="0" fontId="68" fillId="0" borderId="0" xfId="0" applyFont="1" applyFill="1" applyAlignment="1">
      <alignment horizontal="right" vertical="center"/>
      <protection locked="0"/>
    </xf>
    <xf numFmtId="0" fontId="9" fillId="0" borderId="0" xfId="125" applyFont="1">
      <protection locked="0"/>
    </xf>
    <xf numFmtId="0" fontId="56" fillId="7" borderId="10" xfId="125" applyFont="1" applyFill="1" applyBorder="1" applyAlignment="1" applyProtection="1">
      <alignment horizontal="center" vertical="center" wrapText="1"/>
    </xf>
    <xf numFmtId="0" fontId="9" fillId="0" borderId="0" xfId="125" applyFont="1" applyAlignment="1">
      <alignment horizontal="center" wrapText="1"/>
      <protection locked="0"/>
    </xf>
    <xf numFmtId="0" fontId="59" fillId="0" borderId="10" xfId="125" applyFont="1" applyBorder="1" applyAlignment="1" applyProtection="1">
      <alignment vertical="center"/>
    </xf>
    <xf numFmtId="0" fontId="7" fillId="0" borderId="0" xfId="107" applyFont="1" applyAlignment="1">
      <alignment vertical="center"/>
    </xf>
    <xf numFmtId="0" fontId="7" fillId="0" borderId="0" xfId="83" applyFont="1" applyBorder="1" applyAlignment="1">
      <alignment vertical="center"/>
      <protection locked="0"/>
    </xf>
    <xf numFmtId="0" fontId="67" fillId="0" borderId="0" xfId="83" applyFont="1" applyAlignment="1">
      <alignment vertical="center"/>
      <protection locked="0"/>
    </xf>
    <xf numFmtId="0" fontId="7" fillId="0" borderId="11" xfId="0" applyFont="1" applyBorder="1" applyAlignment="1">
      <alignment vertical="center"/>
      <protection locked="0"/>
    </xf>
    <xf numFmtId="0" fontId="68" fillId="0" borderId="0" xfId="0" applyFont="1" applyAlignment="1">
      <alignment vertical="center"/>
      <protection locked="0"/>
    </xf>
    <xf numFmtId="191" fontId="9" fillId="0" borderId="0" xfId="111" applyFont="1" applyAlignment="1">
      <alignment horizontal="left" vertical="center" wrapText="1"/>
    </xf>
    <xf numFmtId="191" fontId="9" fillId="0" borderId="0" xfId="111" applyFont="1" applyAlignment="1">
      <alignment horizontal="left" vertical="center"/>
    </xf>
    <xf numFmtId="0" fontId="7" fillId="0" borderId="0" xfId="111" applyNumberFormat="1" applyFont="1" applyAlignment="1">
      <alignment horizontal="left" vertical="center"/>
    </xf>
    <xf numFmtId="0" fontId="9" fillId="0" borderId="0" xfId="111" applyNumberFormat="1" applyFont="1" applyAlignment="1" applyProtection="1">
      <alignment vertical="center"/>
      <protection locked="0"/>
    </xf>
    <xf numFmtId="0" fontId="9" fillId="0" borderId="0" xfId="111" applyNumberFormat="1" applyFont="1" applyAlignment="1">
      <alignment horizontal="left" vertical="center" wrapText="1"/>
    </xf>
    <xf numFmtId="0" fontId="9" fillId="0" borderId="0" xfId="111" applyNumberFormat="1" applyFont="1" applyAlignment="1">
      <alignment horizontal="left" vertical="center"/>
    </xf>
    <xf numFmtId="0" fontId="7" fillId="7" borderId="10" xfId="0" applyNumberFormat="1" applyFont="1" applyFill="1" applyBorder="1" applyAlignment="1" applyProtection="1">
      <alignment horizontal="center" vertical="center" wrapText="1"/>
    </xf>
    <xf numFmtId="0" fontId="7" fillId="7" borderId="10" xfId="112" applyNumberFormat="1" applyFont="1" applyFill="1" applyBorder="1" applyAlignment="1">
      <alignment horizontal="center" vertical="center" wrapText="1"/>
    </xf>
    <xf numFmtId="0" fontId="9" fillId="0" borderId="10" xfId="111" applyNumberFormat="1" applyFont="1" applyBorder="1" applyAlignment="1" applyProtection="1">
      <alignment vertical="center"/>
      <protection locked="0"/>
    </xf>
    <xf numFmtId="0" fontId="9" fillId="0" borderId="10" xfId="111" applyNumberFormat="1" applyFont="1" applyBorder="1" applyAlignment="1">
      <alignment horizontal="left" vertical="center" wrapText="1"/>
    </xf>
    <xf numFmtId="0" fontId="9" fillId="0" borderId="10" xfId="111" applyNumberFormat="1" applyFont="1" applyBorder="1" applyAlignment="1">
      <alignment horizontal="left" vertical="center"/>
    </xf>
    <xf numFmtId="191" fontId="9" fillId="0" borderId="0" xfId="111" applyFont="1" applyAlignment="1" applyProtection="1">
      <alignment vertical="center"/>
      <protection locked="0"/>
    </xf>
    <xf numFmtId="191" fontId="9" fillId="0" borderId="0" xfId="111" applyFont="1" applyAlignment="1" applyProtection="1">
      <alignment vertical="center" wrapText="1"/>
      <protection locked="0"/>
    </xf>
    <xf numFmtId="191" fontId="9" fillId="0" borderId="0" xfId="111" applyFont="1" applyAlignment="1" applyProtection="1">
      <alignment horizontal="left" vertical="center"/>
      <protection locked="0"/>
    </xf>
    <xf numFmtId="191" fontId="9" fillId="0" borderId="0" xfId="111" applyFont="1" applyAlignment="1" applyProtection="1">
      <alignment horizontal="centerContinuous" vertical="center" wrapText="1"/>
      <protection locked="0"/>
    </xf>
    <xf numFmtId="191" fontId="9" fillId="0" borderId="0" xfId="111" applyFont="1" applyAlignment="1" applyProtection="1">
      <alignment horizontal="centerContinuous" vertical="center"/>
      <protection locked="0"/>
    </xf>
    <xf numFmtId="191" fontId="7" fillId="0" borderId="0" xfId="111" applyFont="1" applyAlignment="1" applyProtection="1">
      <alignment horizontal="left" vertical="center" wrapText="1"/>
      <protection locked="0"/>
    </xf>
    <xf numFmtId="191" fontId="9" fillId="0" borderId="0" xfId="111" applyFont="1" applyAlignment="1" applyProtection="1">
      <alignment wrapText="1"/>
      <protection locked="0"/>
    </xf>
    <xf numFmtId="191" fontId="9" fillId="0" borderId="0" xfId="111" applyFont="1" applyProtection="1">
      <protection locked="0"/>
    </xf>
    <xf numFmtId="0" fontId="68" fillId="0" borderId="0" xfId="111" applyNumberFormat="1" applyFont="1" applyProtection="1">
      <protection locked="0"/>
    </xf>
    <xf numFmtId="0" fontId="68" fillId="0" borderId="0" xfId="0" applyFont="1" applyBorder="1" applyAlignment="1">
      <alignment vertical="center"/>
      <protection locked="0"/>
    </xf>
    <xf numFmtId="0" fontId="12" fillId="0" borderId="0" xfId="84" applyNumberFormat="1" applyFont="1" applyAlignment="1">
      <alignment vertical="center"/>
      <protection locked="0"/>
    </xf>
    <xf numFmtId="191" fontId="13" fillId="0" borderId="0" xfId="116" applyFont="1">
      <alignment vertical="center"/>
    </xf>
    <xf numFmtId="0" fontId="13" fillId="0" borderId="0" xfId="125" applyFont="1">
      <protection locked="0"/>
    </xf>
    <xf numFmtId="0" fontId="8" fillId="0" borderId="0" xfId="83" applyFont="1">
      <protection locked="0"/>
    </xf>
    <xf numFmtId="0" fontId="13" fillId="0" borderId="0" xfId="4" applyNumberFormat="1" applyFont="1" applyBorder="1" applyAlignment="1">
      <alignment vertical="center"/>
    </xf>
    <xf numFmtId="43" fontId="13" fillId="0" borderId="0" xfId="4" applyNumberFormat="1" applyFont="1" applyBorder="1" applyAlignment="1">
      <alignment vertical="center"/>
    </xf>
    <xf numFmtId="191" fontId="97" fillId="0" borderId="0" xfId="116" applyFont="1">
      <alignment vertical="center"/>
    </xf>
    <xf numFmtId="0" fontId="95" fillId="0" borderId="0" xfId="0" applyFont="1" applyAlignment="1">
      <alignment vertical="center"/>
      <protection locked="0"/>
    </xf>
    <xf numFmtId="0" fontId="97" fillId="0" borderId="0" xfId="106" applyFont="1">
      <alignment vertical="center"/>
    </xf>
    <xf numFmtId="0" fontId="97" fillId="0" borderId="0" xfId="106" applyFont="1" applyAlignment="1">
      <alignment vertical="center" wrapText="1"/>
    </xf>
    <xf numFmtId="0" fontId="97" fillId="0" borderId="0" xfId="125" applyFont="1">
      <protection locked="0"/>
    </xf>
    <xf numFmtId="0" fontId="95" fillId="0" borderId="0" xfId="84" applyNumberFormat="1" applyFont="1" applyAlignment="1">
      <alignment vertical="center"/>
      <protection locked="0"/>
    </xf>
    <xf numFmtId="0" fontId="95" fillId="0" borderId="0" xfId="84" applyFont="1" applyAlignment="1">
      <alignment vertical="center"/>
      <protection locked="0"/>
    </xf>
    <xf numFmtId="0" fontId="98" fillId="0" borderId="0" xfId="83" applyFont="1">
      <protection locked="0"/>
    </xf>
    <xf numFmtId="0" fontId="97" fillId="0" borderId="0" xfId="4" applyNumberFormat="1" applyFont="1" applyBorder="1" applyAlignment="1">
      <alignment vertical="center"/>
    </xf>
    <xf numFmtId="43" fontId="97" fillId="0" borderId="0" xfId="4" applyNumberFormat="1" applyFont="1" applyBorder="1" applyAlignment="1">
      <alignment vertical="center"/>
    </xf>
    <xf numFmtId="43" fontId="9" fillId="0" borderId="10" xfId="1" applyFont="1" applyBorder="1" applyAlignment="1" applyProtection="1">
      <alignment horizontal="left" vertical="center"/>
      <protection locked="0"/>
    </xf>
    <xf numFmtId="43" fontId="9" fillId="0" borderId="10" xfId="1" applyFont="1" applyFill="1" applyBorder="1" applyAlignment="1">
      <alignment horizontal="left" vertical="center" wrapText="1"/>
    </xf>
    <xf numFmtId="43" fontId="59" fillId="0" borderId="10" xfId="1" applyFont="1" applyBorder="1" applyAlignment="1" applyProtection="1">
      <alignment vertical="center"/>
    </xf>
    <xf numFmtId="43" fontId="9" fillId="0" borderId="10" xfId="83" applyNumberFormat="1" applyFont="1" applyBorder="1" applyAlignment="1">
      <alignment horizontal="center" vertical="center"/>
      <protection locked="0"/>
    </xf>
    <xf numFmtId="14" fontId="9" fillId="0" borderId="10" xfId="83" applyNumberFormat="1" applyFont="1" applyBorder="1" applyAlignment="1">
      <alignment vertical="center" wrapText="1"/>
      <protection locked="0"/>
    </xf>
    <xf numFmtId="49" fontId="9" fillId="0" borderId="10" xfId="83" applyNumberFormat="1" applyFont="1" applyBorder="1" applyAlignment="1">
      <alignment horizontal="center" vertical="center" wrapText="1"/>
      <protection locked="0"/>
    </xf>
    <xf numFmtId="0" fontId="7" fillId="0" borderId="0" xfId="107" applyFont="1" applyBorder="1" applyAlignment="1">
      <alignment vertical="center"/>
    </xf>
    <xf numFmtId="43" fontId="9" fillId="0" borderId="10" xfId="1" applyFont="1" applyBorder="1" applyAlignment="1" applyProtection="1">
      <alignment vertical="center"/>
      <protection locked="0"/>
    </xf>
    <xf numFmtId="14" fontId="9" fillId="0" borderId="10" xfId="83" applyNumberFormat="1" applyFont="1" applyBorder="1" applyAlignment="1">
      <alignment vertical="center"/>
      <protection locked="0"/>
    </xf>
    <xf numFmtId="49" fontId="9" fillId="0" borderId="10" xfId="0" applyNumberFormat="1" applyFont="1" applyBorder="1" applyAlignment="1">
      <alignment horizontal="center" vertical="center" shrinkToFit="1"/>
      <protection locked="0"/>
    </xf>
    <xf numFmtId="43" fontId="9" fillId="0" borderId="10" xfId="1" applyFont="1" applyBorder="1" applyAlignment="1" applyProtection="1">
      <alignment vertical="center" shrinkToFit="1"/>
      <protection locked="0"/>
    </xf>
    <xf numFmtId="204" fontId="7" fillId="7" borderId="10" xfId="1" applyNumberFormat="1" applyFont="1" applyFill="1" applyBorder="1" applyAlignment="1">
      <alignment vertical="center"/>
    </xf>
    <xf numFmtId="204" fontId="7" fillId="8" borderId="10" xfId="1" applyNumberFormat="1" applyFont="1" applyFill="1" applyBorder="1" applyAlignment="1">
      <alignment vertical="center"/>
    </xf>
    <xf numFmtId="49" fontId="9" fillId="0" borderId="10" xfId="0" applyNumberFormat="1" applyFont="1" applyBorder="1" applyAlignment="1">
      <alignment horizontal="center" vertical="center"/>
      <protection locked="0"/>
    </xf>
    <xf numFmtId="43" fontId="7" fillId="8" borderId="10" xfId="1" applyFont="1" applyFill="1" applyBorder="1" applyAlignment="1" applyProtection="1">
      <alignment horizontal="center" vertical="center" wrapText="1"/>
      <protection locked="0"/>
    </xf>
    <xf numFmtId="43" fontId="9" fillId="8" borderId="10" xfId="1" applyFont="1" applyFill="1" applyBorder="1" applyAlignment="1" applyProtection="1">
      <alignment horizontal="justify" vertical="center" wrapText="1"/>
      <protection locked="0"/>
    </xf>
    <xf numFmtId="43" fontId="9" fillId="7" borderId="0" xfId="1" applyFont="1" applyFill="1" applyAlignment="1" applyProtection="1">
      <alignment vertical="center"/>
      <protection locked="0"/>
    </xf>
    <xf numFmtId="43" fontId="7" fillId="7" borderId="10" xfId="1" applyFont="1" applyFill="1" applyBorder="1" applyAlignment="1">
      <alignment vertical="center"/>
    </xf>
    <xf numFmtId="43" fontId="7" fillId="8" borderId="10" xfId="1" applyFont="1" applyFill="1" applyBorder="1" applyAlignment="1" applyProtection="1">
      <alignment horizontal="justify" vertical="center" wrapText="1"/>
      <protection locked="0"/>
    </xf>
    <xf numFmtId="43" fontId="9" fillId="0" borderId="10" xfId="1" applyFont="1" applyFill="1" applyBorder="1" applyAlignment="1">
      <alignment vertical="center"/>
    </xf>
    <xf numFmtId="43" fontId="7" fillId="7" borderId="10" xfId="1" applyFont="1" applyFill="1" applyBorder="1" applyAlignment="1" applyProtection="1">
      <alignment horizontal="center" vertical="center" wrapText="1"/>
      <protection locked="0"/>
    </xf>
    <xf numFmtId="0" fontId="9" fillId="0" borderId="10" xfId="111" applyNumberFormat="1" applyFont="1" applyBorder="1" applyAlignment="1" applyProtection="1">
      <alignment horizontal="left" vertical="center" shrinkToFit="1"/>
      <protection locked="0"/>
    </xf>
    <xf numFmtId="9" fontId="9" fillId="0" borderId="10" xfId="2" applyFont="1" applyBorder="1" applyAlignment="1">
      <alignment horizontal="right" vertical="center" wrapText="1"/>
    </xf>
    <xf numFmtId="14" fontId="9" fillId="0" borderId="10" xfId="111" applyNumberFormat="1" applyFont="1" applyBorder="1" applyAlignment="1">
      <alignment horizontal="center" vertical="center" wrapText="1"/>
    </xf>
    <xf numFmtId="0" fontId="9" fillId="0" borderId="10" xfId="111" applyNumberFormat="1" applyFont="1" applyBorder="1" applyAlignment="1">
      <alignment horizontal="center" vertical="center" wrapText="1"/>
    </xf>
    <xf numFmtId="49" fontId="9" fillId="0" borderId="10" xfId="111" applyNumberFormat="1" applyFont="1" applyBorder="1" applyAlignment="1">
      <alignment horizontal="center" vertical="center" wrapText="1"/>
    </xf>
    <xf numFmtId="43" fontId="9" fillId="0" borderId="10" xfId="1" applyFont="1" applyBorder="1" applyAlignment="1">
      <alignment horizontal="left" vertical="center" wrapText="1"/>
    </xf>
    <xf numFmtId="43" fontId="9" fillId="0" borderId="10" xfId="1" applyFont="1" applyBorder="1" applyAlignment="1">
      <alignment horizontal="right" vertical="center" wrapText="1"/>
    </xf>
    <xf numFmtId="0" fontId="52" fillId="0" borderId="0" xfId="109" applyAlignment="1">
      <protection locked="0"/>
    </xf>
    <xf numFmtId="203" fontId="9" fillId="7" borderId="10" xfId="0" applyNumberFormat="1" applyFont="1" applyFill="1" applyBorder="1" applyAlignment="1">
      <alignment vertical="center"/>
      <protection locked="0"/>
    </xf>
    <xf numFmtId="43" fontId="99" fillId="0" borderId="0" xfId="1" applyFont="1" applyAlignment="1" applyProtection="1">
      <alignment vertical="center"/>
      <protection locked="0"/>
    </xf>
    <xf numFmtId="0" fontId="7" fillId="13" borderId="6" xfId="129" applyFont="1" applyFill="1" applyBorder="1" applyAlignment="1">
      <alignment horizontal="center" vertical="center"/>
      <protection locked="0"/>
    </xf>
    <xf numFmtId="0" fontId="12" fillId="0" borderId="0" xfId="106" applyFont="1" applyAlignment="1">
      <alignment vertical="center"/>
    </xf>
    <xf numFmtId="0" fontId="13" fillId="0" borderId="0" xfId="106" applyFont="1" applyAlignment="1">
      <alignment vertical="center"/>
    </xf>
    <xf numFmtId="0" fontId="95" fillId="0" borderId="0" xfId="106" applyFont="1" applyAlignment="1">
      <alignment vertical="center"/>
    </xf>
    <xf numFmtId="0" fontId="97" fillId="0" borderId="0" xfId="106" applyFont="1" applyAlignment="1">
      <alignment vertical="center"/>
    </xf>
    <xf numFmtId="0" fontId="9" fillId="0" borderId="0" xfId="108" applyFont="1" applyAlignment="1">
      <alignment vertical="center"/>
    </xf>
    <xf numFmtId="0" fontId="9" fillId="0" borderId="0" xfId="84" applyFont="1" applyAlignment="1">
      <alignment vertical="center"/>
      <protection locked="0"/>
    </xf>
    <xf numFmtId="43" fontId="56" fillId="7" borderId="10" xfId="1" applyFont="1" applyFill="1" applyBorder="1" applyAlignment="1">
      <alignment horizontal="right" vertical="center"/>
    </xf>
    <xf numFmtId="10" fontId="7" fillId="7" borderId="10" xfId="2" applyNumberFormat="1" applyFont="1" applyFill="1" applyBorder="1" applyAlignment="1">
      <alignment horizontal="right" vertical="center" wrapText="1"/>
    </xf>
    <xf numFmtId="0" fontId="63" fillId="0" borderId="0" xfId="0" applyNumberFormat="1" applyFont="1" applyAlignment="1">
      <alignment horizontal="right" vertical="center"/>
      <protection locked="0"/>
    </xf>
    <xf numFmtId="0" fontId="63" fillId="0" borderId="0" xfId="0" applyNumberFormat="1" applyFont="1" applyAlignment="1">
      <alignment horizontal="left" vertical="center"/>
      <protection locked="0"/>
    </xf>
    <xf numFmtId="0" fontId="64" fillId="0" borderId="0" xfId="0" applyFont="1" applyFill="1" applyBorder="1" applyAlignment="1">
      <alignment horizontal="left" vertical="center"/>
      <protection locked="0"/>
    </xf>
    <xf numFmtId="205" fontId="20" fillId="0" borderId="0" xfId="127" applyNumberFormat="1" applyFont="1" applyAlignment="1">
      <alignment horizontal="left" vertical="center"/>
      <protection locked="0"/>
    </xf>
    <xf numFmtId="43" fontId="18" fillId="0" borderId="0" xfId="4" applyNumberFormat="1" applyFont="1" applyBorder="1" applyAlignment="1">
      <alignment vertical="center"/>
    </xf>
    <xf numFmtId="0" fontId="18" fillId="0" borderId="0" xfId="0" applyFont="1" applyAlignment="1">
      <alignment vertical="center"/>
      <protection locked="0"/>
    </xf>
    <xf numFmtId="0" fontId="18" fillId="0" borderId="0" xfId="0" applyFont="1" applyAlignment="1">
      <alignment vertical="center" wrapText="1"/>
      <protection locked="0"/>
    </xf>
    <xf numFmtId="191" fontId="14" fillId="0" borderId="10" xfId="117" applyFont="1" applyFill="1" applyBorder="1" applyAlignment="1">
      <alignment horizontal="left" vertical="center" wrapText="1"/>
      <protection locked="0"/>
    </xf>
    <xf numFmtId="191" fontId="55" fillId="0" borderId="10" xfId="127" applyFont="1" applyFill="1" applyBorder="1" applyAlignment="1" applyProtection="1">
      <alignment horizontal="center" vertical="center" wrapText="1"/>
    </xf>
    <xf numFmtId="191" fontId="54" fillId="0" borderId="10" xfId="127" applyFont="1" applyFill="1" applyBorder="1" applyAlignment="1" applyProtection="1">
      <alignment horizontal="center" vertical="center" wrapText="1"/>
    </xf>
    <xf numFmtId="0" fontId="9" fillId="0" borderId="10" xfId="125" applyFont="1" applyFill="1" applyBorder="1" applyAlignment="1" applyProtection="1">
      <alignment horizontal="center" vertical="center"/>
      <protection locked="0"/>
    </xf>
    <xf numFmtId="191" fontId="7" fillId="0" borderId="10" xfId="127" applyFont="1" applyFill="1" applyBorder="1" applyAlignment="1" applyProtection="1">
      <alignment horizontal="center" vertical="center"/>
      <protection locked="0"/>
    </xf>
    <xf numFmtId="191" fontId="9" fillId="0" borderId="10" xfId="127" applyFont="1" applyFill="1" applyBorder="1" applyAlignment="1" applyProtection="1">
      <alignment horizontal="center" vertical="center"/>
      <protection locked="0"/>
    </xf>
    <xf numFmtId="191" fontId="7" fillId="0" borderId="10" xfId="117" applyFont="1" applyFill="1" applyBorder="1" applyAlignment="1" applyProtection="1">
      <alignment horizontal="center" vertical="center" wrapText="1"/>
      <protection locked="0"/>
    </xf>
    <xf numFmtId="191" fontId="9" fillId="0" borderId="10" xfId="117" applyFont="1" applyFill="1" applyBorder="1" applyAlignment="1" applyProtection="1">
      <alignment horizontal="center" vertical="center" wrapText="1"/>
      <protection locked="0"/>
    </xf>
    <xf numFmtId="191" fontId="9" fillId="0" borderId="15" xfId="117" applyFont="1" applyFill="1" applyBorder="1" applyAlignment="1" applyProtection="1">
      <alignment horizontal="center" vertical="center" wrapText="1"/>
      <protection locked="0"/>
    </xf>
    <xf numFmtId="43" fontId="9" fillId="0" borderId="10" xfId="1" applyFont="1" applyFill="1" applyBorder="1" applyAlignment="1" applyProtection="1">
      <alignment horizontal="center" vertical="center"/>
      <protection locked="0"/>
    </xf>
    <xf numFmtId="0" fontId="7" fillId="0" borderId="10" xfId="125" applyFont="1" applyFill="1" applyBorder="1" applyAlignment="1" applyProtection="1">
      <alignment horizontal="center" vertical="center"/>
      <protection locked="0"/>
    </xf>
    <xf numFmtId="191" fontId="73" fillId="0" borderId="10" xfId="127" applyFont="1" applyFill="1" applyBorder="1" applyAlignment="1" applyProtection="1">
      <alignment horizontal="center" vertical="center" wrapText="1"/>
    </xf>
    <xf numFmtId="49" fontId="9" fillId="0" borderId="10" xfId="115" applyNumberFormat="1" applyFont="1" applyFill="1" applyBorder="1" applyAlignment="1" applyProtection="1">
      <alignment horizontal="center" vertical="center"/>
      <protection locked="0"/>
    </xf>
    <xf numFmtId="0" fontId="14" fillId="0" borderId="10" xfId="115" applyFont="1" applyFill="1" applyBorder="1" applyAlignment="1" applyProtection="1">
      <alignment horizontal="left" vertical="center" wrapText="1"/>
      <protection locked="0"/>
    </xf>
    <xf numFmtId="191" fontId="55" fillId="0" borderId="10" xfId="117" applyFont="1" applyFill="1" applyBorder="1" applyAlignment="1" applyProtection="1">
      <alignment horizontal="center" vertical="center" wrapText="1"/>
    </xf>
    <xf numFmtId="0" fontId="9" fillId="0" borderId="10" xfId="125" applyFont="1" applyFill="1" applyBorder="1" applyAlignment="1" applyProtection="1">
      <alignment horizontal="center" vertical="center" wrapText="1"/>
      <protection locked="0"/>
    </xf>
    <xf numFmtId="49" fontId="14" fillId="0" borderId="10" xfId="115" applyNumberFormat="1" applyFont="1" applyFill="1" applyBorder="1" applyAlignment="1" applyProtection="1">
      <alignment horizontal="left" vertical="center" wrapText="1"/>
      <protection locked="0"/>
    </xf>
    <xf numFmtId="191" fontId="9" fillId="0" borderId="10" xfId="117" applyFont="1" applyFill="1" applyBorder="1" applyAlignment="1">
      <alignment horizontal="center" vertical="center" wrapText="1"/>
      <protection locked="0"/>
    </xf>
    <xf numFmtId="0" fontId="9" fillId="0" borderId="10" xfId="115" applyFont="1" applyFill="1" applyBorder="1" applyAlignment="1" applyProtection="1">
      <alignment horizontal="left" vertical="center" wrapText="1"/>
      <protection locked="0"/>
    </xf>
    <xf numFmtId="191" fontId="55" fillId="0" borderId="10" xfId="126" applyFont="1" applyFill="1" applyBorder="1" applyAlignment="1">
      <alignment vertical="center" wrapText="1"/>
    </xf>
    <xf numFmtId="43" fontId="14" fillId="0" borderId="10" xfId="1" applyFont="1" applyFill="1" applyBorder="1" applyAlignment="1" applyProtection="1">
      <alignment horizontal="left" vertical="center" wrapText="1"/>
      <protection locked="0"/>
    </xf>
    <xf numFmtId="0" fontId="9" fillId="0" borderId="10" xfId="115" applyFont="1" applyFill="1" applyBorder="1" applyAlignment="1" applyProtection="1">
      <alignment horizontal="center" vertical="center" wrapText="1"/>
      <protection locked="0"/>
    </xf>
    <xf numFmtId="49" fontId="9" fillId="0" borderId="10" xfId="1" applyNumberFormat="1" applyFont="1" applyFill="1" applyBorder="1" applyAlignment="1" applyProtection="1">
      <alignment horizontal="center" vertical="center" wrapText="1"/>
      <protection locked="0"/>
    </xf>
    <xf numFmtId="191" fontId="64" fillId="0" borderId="10" xfId="117" applyFont="1" applyFill="1" applyBorder="1" applyAlignment="1">
      <alignment horizontal="center" vertical="center" wrapText="1"/>
      <protection locked="0"/>
    </xf>
    <xf numFmtId="0" fontId="93" fillId="0" borderId="6" xfId="109" applyFont="1" applyBorder="1" applyAlignment="1">
      <alignment vertical="center"/>
      <protection locked="0"/>
    </xf>
    <xf numFmtId="49" fontId="5" fillId="0" borderId="0" xfId="127" applyNumberFormat="1" applyFont="1" applyFill="1" applyAlignment="1" applyProtection="1">
      <alignment horizontal="left" vertical="center"/>
      <protection locked="0"/>
    </xf>
    <xf numFmtId="0" fontId="9" fillId="0" borderId="10" xfId="111" applyNumberFormat="1" applyFont="1" applyFill="1" applyBorder="1" applyAlignment="1" applyProtection="1">
      <alignment vertical="center"/>
      <protection locked="0"/>
    </xf>
    <xf numFmtId="43" fontId="59" fillId="8" borderId="10" xfId="1" applyFont="1" applyFill="1" applyBorder="1" applyAlignment="1">
      <alignment horizontal="right" vertical="center"/>
    </xf>
    <xf numFmtId="43" fontId="9" fillId="8" borderId="10" xfId="1" applyFont="1" applyFill="1" applyBorder="1" applyAlignment="1">
      <alignment horizontal="right" vertical="center" wrapText="1"/>
    </xf>
    <xf numFmtId="10" fontId="9" fillId="8" borderId="10" xfId="2" applyNumberFormat="1" applyFont="1" applyFill="1" applyBorder="1" applyAlignment="1">
      <alignment horizontal="right" vertical="center" wrapText="1"/>
    </xf>
    <xf numFmtId="43" fontId="56" fillId="8" borderId="10" xfId="1" applyFont="1" applyFill="1" applyBorder="1" applyAlignment="1">
      <alignment horizontal="right" vertical="center"/>
    </xf>
    <xf numFmtId="10" fontId="7" fillId="8" borderId="10" xfId="2" applyNumberFormat="1" applyFont="1" applyFill="1" applyBorder="1" applyAlignment="1">
      <alignment horizontal="right" vertical="center" wrapText="1"/>
    </xf>
    <xf numFmtId="0" fontId="7" fillId="0" borderId="0" xfId="107" applyFont="1" applyFill="1" applyAlignment="1">
      <alignment horizontal="left" vertical="center"/>
    </xf>
    <xf numFmtId="0" fontId="9" fillId="0" borderId="0" xfId="0" applyFont="1" applyFill="1" applyAlignment="1">
      <alignment vertical="center"/>
      <protection locked="0"/>
    </xf>
    <xf numFmtId="0" fontId="58" fillId="0" borderId="0" xfId="83" applyFont="1" applyFill="1" applyAlignment="1" applyProtection="1">
      <alignment horizontal="center" vertical="center"/>
    </xf>
    <xf numFmtId="0" fontId="9" fillId="0" borderId="0" xfId="108" applyFont="1" applyFill="1" applyAlignment="1">
      <alignment vertical="center"/>
    </xf>
    <xf numFmtId="0" fontId="9" fillId="0" borderId="0" xfId="84" applyFont="1" applyFill="1" applyAlignment="1">
      <alignment vertical="center"/>
      <protection locked="0"/>
    </xf>
    <xf numFmtId="0" fontId="9" fillId="0" borderId="0" xfId="0" applyFont="1" applyFill="1" applyAlignment="1">
      <alignment horizontal="right" vertical="center"/>
      <protection locked="0"/>
    </xf>
    <xf numFmtId="0" fontId="9" fillId="0" borderId="0" xfId="107" applyFont="1" applyFill="1" applyAlignment="1">
      <alignment horizontal="left" vertical="center"/>
    </xf>
    <xf numFmtId="43" fontId="9" fillId="0" borderId="10" xfId="1" applyFont="1" applyFill="1" applyBorder="1" applyAlignment="1" applyProtection="1">
      <alignment horizontal="left" vertical="center"/>
      <protection locked="0"/>
    </xf>
    <xf numFmtId="43" fontId="57" fillId="7" borderId="10" xfId="1" applyFont="1" applyFill="1" applyBorder="1" applyAlignment="1">
      <alignment horizontal="center" vertical="center"/>
    </xf>
    <xf numFmtId="0" fontId="5" fillId="0" borderId="0" xfId="0" applyFont="1" applyAlignment="1">
      <alignment vertical="center"/>
      <protection locked="0"/>
    </xf>
    <xf numFmtId="43" fontId="7" fillId="8" borderId="10" xfId="1" applyFont="1" applyFill="1" applyBorder="1" applyAlignment="1">
      <alignment horizontal="right" vertical="center" wrapText="1"/>
    </xf>
    <xf numFmtId="0" fontId="7" fillId="8" borderId="0" xfId="0" applyFont="1" applyFill="1" applyAlignment="1">
      <alignment vertical="center"/>
      <protection locked="0"/>
    </xf>
    <xf numFmtId="43" fontId="9" fillId="8" borderId="11" xfId="1" applyFont="1" applyFill="1" applyBorder="1" applyAlignment="1">
      <alignment horizontal="right" vertical="center" wrapText="1"/>
    </xf>
    <xf numFmtId="0" fontId="9" fillId="8" borderId="0" xfId="0" applyFont="1" applyFill="1" applyAlignment="1">
      <alignment vertical="center"/>
      <protection locked="0"/>
    </xf>
    <xf numFmtId="0" fontId="56" fillId="8" borderId="10" xfId="125" applyFont="1" applyFill="1" applyBorder="1" applyAlignment="1" applyProtection="1">
      <alignment horizontal="center" vertical="center" wrapText="1"/>
    </xf>
    <xf numFmtId="0" fontId="95" fillId="0" borderId="0" xfId="83" applyFont="1" applyFill="1" applyAlignment="1">
      <alignment vertical="center"/>
      <protection locked="0"/>
    </xf>
    <xf numFmtId="0" fontId="9" fillId="0" borderId="0" xfId="107" applyFont="1" applyFill="1" applyAlignment="1" applyProtection="1">
      <alignment vertical="center"/>
      <protection locked="0"/>
    </xf>
    <xf numFmtId="0" fontId="7" fillId="0" borderId="0" xfId="107" applyFont="1" applyFill="1" applyAlignment="1">
      <alignment horizontal="left" vertical="center" wrapText="1"/>
    </xf>
    <xf numFmtId="191" fontId="7" fillId="0" borderId="0" xfId="128" applyFont="1" applyFill="1" applyAlignment="1">
      <alignment horizontal="left" vertical="center"/>
    </xf>
    <xf numFmtId="191" fontId="9" fillId="0" borderId="0" xfId="120" applyFont="1" applyFill="1">
      <protection locked="0"/>
    </xf>
    <xf numFmtId="191" fontId="9" fillId="0" borderId="0" xfId="128" applyFont="1" applyFill="1" applyAlignment="1">
      <alignment horizontal="left" vertical="center"/>
    </xf>
    <xf numFmtId="191" fontId="68" fillId="0" borderId="0" xfId="128" applyFont="1" applyFill="1" applyAlignment="1">
      <alignment horizontal="left" vertical="center"/>
    </xf>
    <xf numFmtId="0" fontId="9" fillId="0" borderId="0" xfId="83" applyFont="1" applyFill="1" applyAlignment="1">
      <alignment vertical="center"/>
      <protection locked="0"/>
    </xf>
    <xf numFmtId="0" fontId="9" fillId="0" borderId="0" xfId="0" applyFont="1" applyFill="1">
      <protection locked="0"/>
    </xf>
    <xf numFmtId="0" fontId="68" fillId="0" borderId="0" xfId="107" applyFont="1" applyFill="1" applyAlignment="1">
      <alignment horizontal="left" vertical="center"/>
    </xf>
    <xf numFmtId="0" fontId="9" fillId="8" borderId="0" xfId="83" applyFont="1" applyFill="1" applyAlignment="1">
      <alignment vertical="center"/>
      <protection locked="0"/>
    </xf>
    <xf numFmtId="0" fontId="5" fillId="8" borderId="10" xfId="114" applyFont="1" applyFill="1" applyBorder="1" applyAlignment="1">
      <alignment horizontal="center" vertical="center"/>
      <protection locked="0"/>
    </xf>
    <xf numFmtId="0" fontId="5" fillId="8" borderId="10" xfId="114" applyFont="1" applyFill="1" applyBorder="1" applyAlignment="1">
      <alignment horizontal="center" vertical="center" wrapText="1"/>
      <protection locked="0"/>
    </xf>
    <xf numFmtId="0" fontId="7" fillId="8" borderId="10" xfId="0" applyNumberFormat="1" applyFont="1" applyFill="1" applyBorder="1" applyAlignment="1">
      <alignment horizontal="center" vertical="center"/>
      <protection locked="0"/>
    </xf>
    <xf numFmtId="0" fontId="68" fillId="8" borderId="0" xfId="0" applyFont="1" applyFill="1" applyAlignment="1">
      <alignment horizontal="left"/>
      <protection locked="0"/>
    </xf>
    <xf numFmtId="49" fontId="7" fillId="0" borderId="0" xfId="107" applyNumberFormat="1" applyFont="1" applyFill="1" applyAlignment="1">
      <alignment horizontal="left" vertical="center"/>
    </xf>
    <xf numFmtId="49" fontId="9" fillId="0" borderId="0" xfId="107" applyNumberFormat="1" applyFont="1" applyFill="1" applyAlignment="1" applyProtection="1">
      <alignment vertical="center"/>
      <protection locked="0"/>
    </xf>
    <xf numFmtId="0" fontId="7" fillId="8" borderId="10" xfId="83" applyFont="1" applyFill="1" applyBorder="1" applyAlignment="1">
      <alignment horizontal="center" vertical="center"/>
      <protection locked="0"/>
    </xf>
    <xf numFmtId="0" fontId="7" fillId="8" borderId="10" xfId="0" applyFont="1" applyFill="1" applyBorder="1" applyAlignment="1">
      <alignment horizontal="center" vertical="center" wrapText="1"/>
      <protection locked="0"/>
    </xf>
    <xf numFmtId="0" fontId="7" fillId="8" borderId="10" xfId="83" applyFont="1" applyFill="1" applyBorder="1" applyAlignment="1">
      <alignment horizontal="center" vertical="center" wrapText="1"/>
      <protection locked="0"/>
    </xf>
    <xf numFmtId="0" fontId="7" fillId="0" borderId="0" xfId="107" applyFont="1" applyFill="1" applyAlignment="1">
      <alignment vertical="center" wrapText="1"/>
    </xf>
    <xf numFmtId="0" fontId="9" fillId="0" borderId="0" xfId="107" applyFont="1" applyFill="1" applyAlignment="1" applyProtection="1">
      <alignment vertical="center" wrapText="1"/>
      <protection locked="0"/>
    </xf>
    <xf numFmtId="0" fontId="9" fillId="0" borderId="0" xfId="107" applyFont="1" applyFill="1" applyAlignment="1">
      <alignment vertical="center"/>
    </xf>
    <xf numFmtId="191" fontId="66" fillId="0" borderId="0" xfId="128" applyFont="1" applyFill="1" applyAlignment="1">
      <alignment horizontal="left" vertical="center"/>
    </xf>
    <xf numFmtId="191" fontId="9" fillId="0" borderId="0" xfId="128" applyFont="1" applyFill="1" applyAlignment="1" applyProtection="1">
      <alignment vertical="center" wrapText="1"/>
      <protection locked="0"/>
    </xf>
    <xf numFmtId="191" fontId="7" fillId="0" borderId="0" xfId="128" applyFont="1" applyFill="1" applyAlignment="1">
      <alignment vertical="center"/>
    </xf>
    <xf numFmtId="191" fontId="19" fillId="0" borderId="0" xfId="128" applyFont="1" applyFill="1" applyAlignment="1" applyProtection="1">
      <alignment vertical="center"/>
      <protection hidden="1"/>
    </xf>
    <xf numFmtId="191" fontId="9" fillId="0" borderId="0" xfId="128" applyFont="1" applyFill="1" applyAlignment="1" applyProtection="1">
      <alignment vertical="center"/>
      <protection hidden="1"/>
    </xf>
    <xf numFmtId="191" fontId="19" fillId="0" borderId="0" xfId="128" applyFont="1" applyFill="1" applyAlignment="1" applyProtection="1">
      <alignment vertical="center"/>
      <protection locked="0"/>
    </xf>
    <xf numFmtId="191" fontId="9" fillId="0" borderId="0" xfId="128" applyFont="1" applyFill="1" applyAlignment="1" applyProtection="1">
      <alignment vertical="center"/>
      <protection locked="0"/>
    </xf>
    <xf numFmtId="0" fontId="16" fillId="0" borderId="0" xfId="0" applyFont="1" applyFill="1" applyAlignment="1">
      <alignment vertical="center"/>
      <protection locked="0"/>
    </xf>
    <xf numFmtId="0" fontId="14" fillId="0" borderId="0" xfId="0" applyFont="1" applyFill="1" applyAlignment="1">
      <alignment vertical="center"/>
      <protection locked="0"/>
    </xf>
    <xf numFmtId="0" fontId="100" fillId="0" borderId="0" xfId="0" applyFont="1" applyFill="1" applyAlignment="1">
      <alignment vertical="center"/>
      <protection locked="0"/>
    </xf>
    <xf numFmtId="0" fontId="9" fillId="0" borderId="0" xfId="0" applyFont="1" applyFill="1" applyAlignment="1">
      <alignment vertical="center" wrapText="1"/>
      <protection locked="0"/>
    </xf>
    <xf numFmtId="191" fontId="9" fillId="0" borderId="0" xfId="120" applyFont="1" applyFill="1" applyAlignment="1">
      <alignment vertical="center"/>
      <protection locked="0"/>
    </xf>
    <xf numFmtId="191" fontId="7" fillId="8" borderId="10" xfId="120" applyFont="1" applyFill="1" applyBorder="1" applyAlignment="1">
      <alignment horizontal="center" vertical="center" wrapText="1"/>
      <protection locked="0"/>
    </xf>
    <xf numFmtId="191" fontId="56" fillId="0" borderId="0" xfId="120" applyFont="1" applyFill="1" applyAlignment="1" applyProtection="1">
      <alignment vertical="center"/>
    </xf>
    <xf numFmtId="191" fontId="59" fillId="0" borderId="0" xfId="120" applyFont="1" applyFill="1" applyAlignment="1" applyProtection="1">
      <alignment vertical="center"/>
    </xf>
    <xf numFmtId="191" fontId="9" fillId="0" borderId="0" xfId="118" applyFont="1" applyFill="1">
      <alignment vertical="center"/>
    </xf>
    <xf numFmtId="49" fontId="9" fillId="0" borderId="0" xfId="0" applyNumberFormat="1" applyFont="1" applyFill="1" applyAlignment="1">
      <alignment vertical="center"/>
      <protection locked="0"/>
    </xf>
    <xf numFmtId="0" fontId="9" fillId="0" borderId="0" xfId="84" applyFont="1" applyFill="1">
      <protection locked="0"/>
    </xf>
    <xf numFmtId="0" fontId="51" fillId="8" borderId="0" xfId="83" applyFont="1" applyFill="1" applyAlignment="1">
      <alignment vertical="center"/>
      <protection locked="0"/>
    </xf>
    <xf numFmtId="0" fontId="9" fillId="0" borderId="0" xfId="108" applyFont="1" applyFill="1">
      <alignment vertical="center"/>
    </xf>
    <xf numFmtId="0" fontId="9" fillId="0" borderId="0" xfId="111" applyNumberFormat="1" applyFont="1" applyFill="1" applyAlignment="1">
      <alignment horizontal="left" vertical="center"/>
    </xf>
    <xf numFmtId="0" fontId="9" fillId="0" borderId="0" xfId="107" applyNumberFormat="1" applyFont="1" applyFill="1" applyAlignment="1" applyProtection="1">
      <alignment vertical="center" wrapText="1"/>
      <protection locked="0"/>
    </xf>
    <xf numFmtId="0" fontId="9" fillId="0" borderId="0" xfId="111" applyNumberFormat="1" applyFont="1" applyFill="1" applyAlignment="1">
      <alignment horizontal="left" vertical="center" wrapText="1"/>
    </xf>
    <xf numFmtId="191" fontId="9" fillId="0" borderId="0" xfId="111" applyFont="1" applyFill="1" applyAlignment="1">
      <alignment horizontal="left" vertical="center"/>
    </xf>
    <xf numFmtId="0" fontId="7" fillId="8" borderId="10" xfId="83" applyFont="1" applyFill="1" applyBorder="1" applyAlignment="1">
      <alignment horizontal="center" vertical="center"/>
      <protection locked="0"/>
    </xf>
    <xf numFmtId="0" fontId="9" fillId="0" borderId="10" xfId="83" applyFont="1" applyBorder="1" applyAlignment="1">
      <alignment horizontal="center" vertical="center"/>
      <protection locked="0"/>
    </xf>
    <xf numFmtId="0" fontId="96" fillId="0" borderId="0" xfId="0" applyFont="1" applyAlignment="1">
      <alignment horizontal="center" vertical="center"/>
      <protection locked="0"/>
    </xf>
    <xf numFmtId="191" fontId="66" fillId="0" borderId="0" xfId="130" applyFont="1" applyFill="1" applyAlignment="1">
      <alignment horizontal="left" vertical="center"/>
    </xf>
    <xf numFmtId="0" fontId="68" fillId="12" borderId="0" xfId="119" applyFont="1" applyFill="1" applyAlignment="1" applyProtection="1">
      <alignment horizontal="left" vertical="center" wrapText="1"/>
      <protection locked="0"/>
    </xf>
    <xf numFmtId="43" fontId="9" fillId="0" borderId="10" xfId="1" applyFont="1" applyBorder="1" applyAlignment="1" applyProtection="1">
      <alignment horizontal="center" vertical="center" wrapText="1"/>
      <protection locked="0"/>
    </xf>
    <xf numFmtId="0" fontId="66" fillId="0" borderId="0" xfId="107" applyFont="1" applyAlignment="1">
      <alignment horizontal="left" vertical="center"/>
    </xf>
    <xf numFmtId="0" fontId="7" fillId="8" borderId="0" xfId="83" applyFont="1" applyFill="1" applyAlignment="1">
      <alignment vertical="center"/>
      <protection locked="0"/>
    </xf>
    <xf numFmtId="43" fontId="7" fillId="8" borderId="10" xfId="83" applyNumberFormat="1" applyFont="1" applyFill="1" applyBorder="1" applyAlignment="1">
      <alignment horizontal="center" vertical="center"/>
      <protection locked="0"/>
    </xf>
    <xf numFmtId="14" fontId="7" fillId="8" borderId="10" xfId="83" applyNumberFormat="1" applyFont="1" applyFill="1" applyBorder="1" applyAlignment="1">
      <alignment vertical="center" wrapText="1"/>
      <protection locked="0"/>
    </xf>
    <xf numFmtId="0" fontId="7" fillId="8" borderId="10" xfId="0" applyFont="1" applyFill="1" applyBorder="1" applyAlignment="1">
      <alignment horizontal="center" vertical="center"/>
      <protection locked="0"/>
    </xf>
    <xf numFmtId="0" fontId="7" fillId="8" borderId="10" xfId="83" applyFont="1" applyFill="1" applyBorder="1" applyAlignment="1">
      <alignment vertical="center" wrapText="1"/>
      <protection locked="0"/>
    </xf>
    <xf numFmtId="49" fontId="7" fillId="8" borderId="10" xfId="83" applyNumberFormat="1" applyFont="1" applyFill="1" applyBorder="1" applyAlignment="1">
      <alignment horizontal="center" vertical="center" wrapText="1"/>
      <protection locked="0"/>
    </xf>
    <xf numFmtId="43" fontId="7" fillId="8" borderId="10" xfId="1" applyFont="1" applyFill="1" applyBorder="1" applyAlignment="1" applyProtection="1">
      <alignment horizontal="left" vertical="center"/>
      <protection locked="0"/>
    </xf>
    <xf numFmtId="14" fontId="7" fillId="8" borderId="10" xfId="83" applyNumberFormat="1" applyFont="1" applyFill="1" applyBorder="1" applyAlignment="1">
      <alignment vertical="center"/>
      <protection locked="0"/>
    </xf>
    <xf numFmtId="43" fontId="7" fillId="8" borderId="10" xfId="1" applyFont="1" applyFill="1" applyBorder="1" applyAlignment="1" applyProtection="1">
      <alignment vertical="center"/>
      <protection locked="0"/>
    </xf>
    <xf numFmtId="43" fontId="7" fillId="8" borderId="10" xfId="1" applyFont="1" applyFill="1" applyBorder="1" applyAlignment="1" applyProtection="1">
      <alignment vertical="center" wrapText="1"/>
      <protection locked="0"/>
    </xf>
    <xf numFmtId="10" fontId="7" fillId="8" borderId="10" xfId="2" applyNumberFormat="1" applyFont="1" applyFill="1" applyBorder="1" applyAlignment="1" applyProtection="1">
      <alignment vertical="center" wrapText="1"/>
      <protection locked="0"/>
    </xf>
    <xf numFmtId="43" fontId="7" fillId="8" borderId="10" xfId="1" applyFont="1" applyFill="1" applyBorder="1" applyAlignment="1" applyProtection="1">
      <alignment horizontal="right" vertical="center"/>
      <protection locked="0"/>
    </xf>
    <xf numFmtId="10" fontId="7" fillId="8" borderId="10" xfId="2" applyNumberFormat="1" applyFont="1" applyFill="1" applyBorder="1" applyAlignment="1" applyProtection="1">
      <alignment horizontal="right" vertical="center"/>
      <protection locked="0"/>
    </xf>
    <xf numFmtId="191" fontId="64" fillId="0" borderId="0" xfId="120" applyFont="1" applyBorder="1" applyAlignment="1">
      <alignment vertical="center"/>
      <protection locked="0"/>
    </xf>
    <xf numFmtId="0" fontId="12" fillId="0" borderId="0" xfId="0" applyFont="1" applyAlignment="1">
      <alignment horizontal="left" vertical="center" wrapText="1"/>
      <protection locked="0"/>
    </xf>
    <xf numFmtId="0" fontId="13" fillId="0" borderId="0" xfId="0" applyFont="1" applyAlignment="1">
      <alignment horizontal="left" vertical="center" wrapText="1"/>
      <protection locked="0"/>
    </xf>
    <xf numFmtId="0" fontId="9" fillId="0" borderId="10" xfId="115" applyFont="1" applyBorder="1" applyAlignment="1" applyProtection="1">
      <alignment horizontal="left" vertical="center" wrapText="1"/>
      <protection locked="0"/>
    </xf>
    <xf numFmtId="0" fontId="7" fillId="8" borderId="10" xfId="115" applyFont="1" applyFill="1" applyBorder="1" applyAlignment="1" applyProtection="1">
      <alignment horizontal="center" vertical="center" wrapText="1"/>
      <protection locked="0"/>
    </xf>
    <xf numFmtId="0" fontId="9" fillId="0" borderId="10" xfId="115" applyFont="1" applyBorder="1" applyAlignment="1" applyProtection="1">
      <alignment horizontal="center" vertical="center" wrapText="1"/>
      <protection locked="0"/>
    </xf>
    <xf numFmtId="0" fontId="68" fillId="12" borderId="0" xfId="125" applyFont="1" applyFill="1" applyBorder="1" applyAlignment="1" applyProtection="1">
      <alignment horizontal="left" vertical="center" wrapText="1"/>
      <protection locked="0"/>
    </xf>
    <xf numFmtId="0" fontId="68" fillId="12" borderId="0" xfId="125" applyFont="1" applyFill="1" applyAlignment="1" applyProtection="1">
      <alignment horizontal="left" vertical="center" wrapText="1"/>
      <protection locked="0"/>
    </xf>
    <xf numFmtId="0" fontId="12" fillId="0" borderId="0" xfId="116" applyNumberFormat="1" applyFont="1" applyAlignment="1">
      <alignment horizontal="center" vertical="center"/>
    </xf>
    <xf numFmtId="0" fontId="96" fillId="0" borderId="0" xfId="116" applyNumberFormat="1" applyFont="1" applyAlignment="1">
      <alignment horizontal="center" vertical="center"/>
    </xf>
    <xf numFmtId="0" fontId="95" fillId="0" borderId="0" xfId="116" applyNumberFormat="1" applyFont="1" applyAlignment="1">
      <alignment horizontal="center" vertical="center"/>
    </xf>
    <xf numFmtId="191" fontId="7" fillId="0" borderId="0" xfId="117" applyFont="1" applyAlignment="1">
      <alignment horizontal="left" vertical="center"/>
      <protection locked="0"/>
    </xf>
    <xf numFmtId="0" fontId="7" fillId="8" borderId="10" xfId="125" applyFont="1" applyFill="1" applyBorder="1" applyAlignment="1" applyProtection="1">
      <alignment horizontal="center" vertical="center" wrapText="1"/>
      <protection locked="0"/>
    </xf>
    <xf numFmtId="0" fontId="7" fillId="8" borderId="10" xfId="125" applyFont="1" applyFill="1" applyBorder="1" applyAlignment="1" applyProtection="1">
      <alignment horizontal="center" vertical="center"/>
      <protection locked="0"/>
    </xf>
    <xf numFmtId="49" fontId="7" fillId="8" borderId="10" xfId="115" applyNumberFormat="1" applyFont="1" applyFill="1" applyBorder="1" applyAlignment="1" applyProtection="1">
      <alignment horizontal="center" vertical="center"/>
      <protection locked="0"/>
    </xf>
    <xf numFmtId="0" fontId="5" fillId="7" borderId="10" xfId="119" applyFont="1" applyFill="1" applyBorder="1" applyAlignment="1" applyProtection="1">
      <alignment horizontal="center" vertical="center" wrapText="1"/>
      <protection locked="0"/>
    </xf>
    <xf numFmtId="0" fontId="5" fillId="0" borderId="12" xfId="119" applyFont="1" applyFill="1" applyBorder="1" applyAlignment="1" applyProtection="1">
      <alignment horizontal="left" vertical="center" wrapText="1"/>
      <protection locked="0"/>
    </xf>
    <xf numFmtId="0" fontId="5" fillId="8" borderId="10" xfId="115" applyFont="1" applyFill="1" applyBorder="1" applyAlignment="1" applyProtection="1">
      <alignment horizontal="center" vertical="center" wrapText="1"/>
      <protection locked="0"/>
    </xf>
    <xf numFmtId="191" fontId="56" fillId="7" borderId="10" xfId="84" applyNumberFormat="1" applyFont="1" applyFill="1" applyBorder="1" applyAlignment="1">
      <alignment horizontal="center" vertical="center" wrapText="1"/>
      <protection locked="0"/>
    </xf>
    <xf numFmtId="0" fontId="7" fillId="7" borderId="10" xfId="84" applyFont="1" applyFill="1" applyBorder="1" applyAlignment="1">
      <alignment horizontal="center" vertical="center" wrapText="1"/>
      <protection locked="0"/>
    </xf>
    <xf numFmtId="0" fontId="69" fillId="0" borderId="0" xfId="3" applyNumberFormat="1" applyFont="1" applyAlignment="1">
      <alignment horizontal="center" vertical="center"/>
    </xf>
    <xf numFmtId="0" fontId="95" fillId="0" borderId="0" xfId="4" applyNumberFormat="1" applyFont="1" applyBorder="1" applyAlignment="1">
      <alignment horizontal="center" vertical="center"/>
    </xf>
    <xf numFmtId="0" fontId="56" fillId="7" borderId="10" xfId="0" applyFont="1" applyFill="1" applyBorder="1" applyAlignment="1" applyProtection="1">
      <alignment horizontal="center" vertical="center"/>
    </xf>
    <xf numFmtId="0" fontId="56" fillId="7" borderId="10" xfId="0" applyFont="1" applyFill="1" applyBorder="1" applyAlignment="1" applyProtection="1">
      <alignment vertical="center"/>
    </xf>
    <xf numFmtId="191" fontId="7" fillId="7" borderId="14" xfId="111" applyFont="1" applyFill="1" applyBorder="1" applyAlignment="1" applyProtection="1">
      <alignment horizontal="center" vertical="center" wrapText="1"/>
      <protection locked="0"/>
    </xf>
    <xf numFmtId="191" fontId="7" fillId="7" borderId="15" xfId="111" applyFont="1" applyFill="1" applyBorder="1" applyAlignment="1" applyProtection="1">
      <alignment horizontal="center" vertical="center" wrapText="1"/>
      <protection locked="0"/>
    </xf>
    <xf numFmtId="191" fontId="7" fillId="7" borderId="16" xfId="111" applyFont="1" applyFill="1" applyBorder="1" applyAlignment="1" applyProtection="1">
      <alignment horizontal="center" vertical="center" wrapText="1"/>
      <protection locked="0"/>
    </xf>
    <xf numFmtId="0" fontId="10" fillId="0" borderId="0" xfId="84" applyNumberFormat="1" applyFont="1" applyAlignment="1">
      <alignment horizontal="center" vertical="center"/>
      <protection locked="0"/>
    </xf>
    <xf numFmtId="0" fontId="96" fillId="0" borderId="0" xfId="84" applyNumberFormat="1" applyFont="1" applyAlignment="1">
      <alignment horizontal="center" vertical="center"/>
      <protection locked="0"/>
    </xf>
    <xf numFmtId="0" fontId="85" fillId="0" borderId="18" xfId="0" applyFont="1" applyBorder="1" applyAlignment="1">
      <alignment horizontal="justify" vertical="center" wrapText="1"/>
      <protection locked="0"/>
    </xf>
    <xf numFmtId="0" fontId="85" fillId="0" borderId="9" xfId="0" applyFont="1" applyBorder="1" applyAlignment="1">
      <alignment horizontal="justify" vertical="center" wrapText="1"/>
      <protection locked="0"/>
    </xf>
    <xf numFmtId="0" fontId="85" fillId="0" borderId="18" xfId="0" applyFont="1" applyBorder="1" applyAlignment="1">
      <alignment horizontal="center" vertical="center" wrapText="1"/>
      <protection locked="0"/>
    </xf>
    <xf numFmtId="0" fontId="57" fillId="7" borderId="2" xfId="0" applyFont="1" applyFill="1" applyBorder="1" applyAlignment="1">
      <alignment horizontal="center" vertical="center"/>
      <protection locked="0"/>
    </xf>
    <xf numFmtId="0" fontId="57" fillId="7" borderId="3" xfId="0" applyFont="1" applyFill="1" applyBorder="1" applyAlignment="1">
      <alignment horizontal="center" vertical="center"/>
      <protection locked="0"/>
    </xf>
    <xf numFmtId="0" fontId="57" fillId="7" borderId="17" xfId="0" applyFont="1" applyFill="1" applyBorder="1" applyAlignment="1">
      <alignment horizontal="center" vertical="center"/>
      <protection locked="0"/>
    </xf>
    <xf numFmtId="191" fontId="5" fillId="7" borderId="14" xfId="111" applyFont="1" applyFill="1" applyBorder="1" applyAlignment="1" applyProtection="1">
      <alignment horizontal="center" vertical="center"/>
      <protection locked="0"/>
    </xf>
    <xf numFmtId="191" fontId="5" fillId="7" borderId="15" xfId="111" applyFont="1" applyFill="1" applyBorder="1" applyAlignment="1" applyProtection="1">
      <alignment horizontal="center" vertical="center"/>
      <protection locked="0"/>
    </xf>
    <xf numFmtId="191" fontId="5" fillId="7" borderId="16" xfId="111" applyFont="1" applyFill="1" applyBorder="1" applyAlignment="1" applyProtection="1">
      <alignment horizontal="center" vertical="center"/>
      <protection locked="0"/>
    </xf>
    <xf numFmtId="191" fontId="5" fillId="7" borderId="2" xfId="111" applyFont="1" applyFill="1" applyBorder="1" applyAlignment="1" applyProtection="1">
      <alignment horizontal="center" vertical="center" wrapText="1"/>
      <protection locked="0"/>
    </xf>
    <xf numFmtId="191" fontId="5" fillId="7" borderId="17" xfId="111" applyFont="1" applyFill="1" applyBorder="1" applyAlignment="1" applyProtection="1">
      <alignment horizontal="center" vertical="center" wrapText="1"/>
      <protection locked="0"/>
    </xf>
    <xf numFmtId="0" fontId="60" fillId="7" borderId="14" xfId="0" applyFont="1" applyFill="1" applyBorder="1" applyAlignment="1" applyProtection="1">
      <alignment horizontal="center" vertical="center"/>
    </xf>
    <xf numFmtId="0" fontId="60" fillId="7" borderId="15" xfId="0" applyFont="1" applyFill="1" applyBorder="1" applyAlignment="1" applyProtection="1">
      <alignment horizontal="center" vertical="center"/>
    </xf>
    <xf numFmtId="0" fontId="60" fillId="7" borderId="16" xfId="0" applyFont="1" applyFill="1" applyBorder="1" applyAlignment="1" applyProtection="1">
      <alignment horizontal="center" vertical="center"/>
    </xf>
    <xf numFmtId="191" fontId="57" fillId="7" borderId="14" xfId="111" applyFont="1" applyFill="1" applyBorder="1" applyAlignment="1" applyProtection="1">
      <alignment horizontal="center" vertical="center"/>
      <protection locked="0"/>
    </xf>
    <xf numFmtId="191" fontId="57" fillId="7" borderId="16" xfId="111" applyFont="1" applyFill="1" applyBorder="1" applyAlignment="1" applyProtection="1">
      <alignment horizontal="center" vertical="center"/>
      <protection locked="0"/>
    </xf>
    <xf numFmtId="191" fontId="57" fillId="7" borderId="15" xfId="111" applyFont="1" applyFill="1" applyBorder="1" applyAlignment="1" applyProtection="1">
      <alignment horizontal="center" vertical="center"/>
      <protection locked="0"/>
    </xf>
    <xf numFmtId="191" fontId="5" fillId="7" borderId="14" xfId="111" applyFont="1" applyFill="1" applyBorder="1" applyAlignment="1" applyProtection="1">
      <alignment horizontal="center" vertical="center" wrapText="1"/>
      <protection locked="0"/>
    </xf>
    <xf numFmtId="191" fontId="5" fillId="7" borderId="15" xfId="111" applyFont="1" applyFill="1" applyBorder="1" applyAlignment="1" applyProtection="1">
      <alignment horizontal="center" vertical="center" wrapText="1"/>
      <protection locked="0"/>
    </xf>
    <xf numFmtId="191" fontId="5" fillId="7" borderId="16" xfId="111" applyFont="1" applyFill="1" applyBorder="1" applyAlignment="1" applyProtection="1">
      <alignment horizontal="center" vertical="center" wrapText="1"/>
      <protection locked="0"/>
    </xf>
    <xf numFmtId="0" fontId="5" fillId="7" borderId="2" xfId="0" applyFont="1" applyFill="1" applyBorder="1" applyAlignment="1">
      <alignment horizontal="center" vertical="center" wrapText="1"/>
      <protection locked="0"/>
    </xf>
    <xf numFmtId="0" fontId="5" fillId="7" borderId="3" xfId="0" applyFont="1" applyFill="1" applyBorder="1" applyAlignment="1">
      <alignment horizontal="center" vertical="center" wrapText="1"/>
      <protection locked="0"/>
    </xf>
    <xf numFmtId="0" fontId="5" fillId="7" borderId="17" xfId="0" applyFont="1" applyFill="1" applyBorder="1" applyAlignment="1">
      <alignment horizontal="center" vertical="center" wrapText="1"/>
      <protection locked="0"/>
    </xf>
    <xf numFmtId="0" fontId="12" fillId="0" borderId="0" xfId="106" applyNumberFormat="1" applyFont="1" applyAlignment="1">
      <alignment horizontal="center" vertical="center"/>
    </xf>
    <xf numFmtId="0" fontId="12" fillId="0" borderId="0" xfId="106" applyFont="1" applyAlignment="1">
      <alignment horizontal="center" vertical="center"/>
    </xf>
    <xf numFmtId="0" fontId="95" fillId="0" borderId="0" xfId="106" applyNumberFormat="1" applyFont="1" applyAlignment="1">
      <alignment horizontal="center" vertical="center"/>
    </xf>
    <xf numFmtId="0" fontId="95" fillId="0" borderId="0" xfId="106" applyFont="1" applyAlignment="1">
      <alignment horizontal="center" vertical="center"/>
    </xf>
    <xf numFmtId="191" fontId="5" fillId="7" borderId="2" xfId="111" applyFont="1" applyFill="1" applyBorder="1" applyAlignment="1" applyProtection="1">
      <alignment horizontal="center" vertical="center"/>
      <protection locked="0"/>
    </xf>
    <xf numFmtId="191" fontId="5" fillId="7" borderId="3" xfId="111" applyFont="1" applyFill="1" applyBorder="1" applyAlignment="1" applyProtection="1">
      <alignment horizontal="center" vertical="center"/>
      <protection locked="0"/>
    </xf>
    <xf numFmtId="191" fontId="5" fillId="7" borderId="17" xfId="111" applyFont="1" applyFill="1" applyBorder="1" applyAlignment="1" applyProtection="1">
      <alignment horizontal="center" vertical="center"/>
      <protection locked="0"/>
    </xf>
    <xf numFmtId="0" fontId="59" fillId="8" borderId="14" xfId="0" applyFont="1" applyFill="1" applyBorder="1" applyAlignment="1">
      <alignment horizontal="left" vertical="center"/>
      <protection locked="0"/>
    </xf>
    <xf numFmtId="0" fontId="59" fillId="8" borderId="15" xfId="0" applyFont="1" applyFill="1" applyBorder="1" applyAlignment="1">
      <alignment horizontal="left" vertical="center"/>
      <protection locked="0"/>
    </xf>
    <xf numFmtId="0" fontId="59" fillId="8" borderId="16" xfId="0" applyFont="1" applyFill="1" applyBorder="1" applyAlignment="1">
      <alignment horizontal="left" vertical="center"/>
      <protection locked="0"/>
    </xf>
    <xf numFmtId="0" fontId="5" fillId="7" borderId="2" xfId="0" applyFont="1" applyFill="1" applyBorder="1" applyAlignment="1">
      <alignment horizontal="center" vertical="center" wrapText="1" shrinkToFit="1"/>
      <protection locked="0"/>
    </xf>
    <xf numFmtId="0" fontId="5" fillId="7" borderId="3" xfId="0" applyFont="1" applyFill="1" applyBorder="1" applyAlignment="1">
      <alignment horizontal="center" vertical="center" wrapText="1" shrinkToFit="1"/>
      <protection locked="0"/>
    </xf>
    <xf numFmtId="0" fontId="5" fillId="7" borderId="17" xfId="0" applyFont="1" applyFill="1" applyBorder="1" applyAlignment="1">
      <alignment horizontal="center" vertical="center" wrapText="1" shrinkToFit="1"/>
      <protection locked="0"/>
    </xf>
    <xf numFmtId="0" fontId="57" fillId="7" borderId="10" xfId="0" applyFont="1" applyFill="1" applyBorder="1" applyAlignment="1" applyProtection="1">
      <alignment horizontal="center" vertical="center"/>
    </xf>
    <xf numFmtId="0" fontId="57" fillId="7" borderId="10" xfId="0" applyFont="1" applyFill="1" applyBorder="1" applyAlignment="1" applyProtection="1">
      <alignment horizontal="center" vertical="center" wrapText="1"/>
    </xf>
    <xf numFmtId="0" fontId="5" fillId="7" borderId="14" xfId="0" applyFont="1" applyFill="1" applyBorder="1" applyAlignment="1">
      <alignment horizontal="center" vertical="center"/>
      <protection locked="0"/>
    </xf>
    <xf numFmtId="0" fontId="5" fillId="7" borderId="15" xfId="0" applyFont="1" applyFill="1" applyBorder="1" applyAlignment="1">
      <alignment horizontal="center" vertical="center"/>
      <protection locked="0"/>
    </xf>
    <xf numFmtId="0" fontId="5" fillId="7" borderId="16" xfId="0" applyFont="1" applyFill="1" applyBorder="1" applyAlignment="1">
      <alignment horizontal="center" vertical="center"/>
      <protection locked="0"/>
    </xf>
    <xf numFmtId="0" fontId="56" fillId="8" borderId="14" xfId="0" applyFont="1" applyFill="1" applyBorder="1" applyAlignment="1">
      <alignment horizontal="center" vertical="center"/>
      <protection locked="0"/>
    </xf>
    <xf numFmtId="0" fontId="56" fillId="8" borderId="15" xfId="0" applyFont="1" applyFill="1" applyBorder="1" applyAlignment="1">
      <alignment horizontal="center" vertical="center"/>
      <protection locked="0"/>
    </xf>
    <xf numFmtId="0" fontId="56" fillId="8" borderId="16" xfId="0" applyFont="1" applyFill="1" applyBorder="1" applyAlignment="1">
      <alignment horizontal="center" vertical="center"/>
      <protection locked="0"/>
    </xf>
    <xf numFmtId="0" fontId="59" fillId="7" borderId="14" xfId="0" applyFont="1" applyFill="1" applyBorder="1" applyAlignment="1">
      <alignment horizontal="left" vertical="center"/>
      <protection locked="0"/>
    </xf>
    <xf numFmtId="0" fontId="59" fillId="7" borderId="15" xfId="0" applyFont="1" applyFill="1" applyBorder="1" applyAlignment="1">
      <alignment horizontal="left" vertical="center"/>
      <protection locked="0"/>
    </xf>
    <xf numFmtId="0" fontId="59" fillId="7" borderId="16" xfId="0" applyFont="1" applyFill="1" applyBorder="1" applyAlignment="1">
      <alignment horizontal="left" vertical="center"/>
      <protection locked="0"/>
    </xf>
    <xf numFmtId="0" fontId="12" fillId="0" borderId="0" xfId="124" applyNumberFormat="1" applyFont="1" applyBorder="1" applyAlignment="1">
      <alignment horizontal="center" vertical="center"/>
    </xf>
    <xf numFmtId="0" fontId="95" fillId="0" borderId="0" xfId="124" applyNumberFormat="1" applyFont="1" applyBorder="1" applyAlignment="1">
      <alignment horizontal="center" vertical="center"/>
    </xf>
    <xf numFmtId="0" fontId="5" fillId="8" borderId="10" xfId="123" applyFont="1" applyFill="1" applyBorder="1" applyAlignment="1">
      <alignment horizontal="center" vertical="center"/>
      <protection locked="0"/>
    </xf>
    <xf numFmtId="0" fontId="7" fillId="8" borderId="10" xfId="123" applyFont="1" applyFill="1" applyBorder="1" applyAlignment="1">
      <alignment horizontal="center" vertical="center"/>
      <protection locked="0"/>
    </xf>
    <xf numFmtId="0" fontId="95" fillId="0" borderId="0" xfId="83" applyNumberFormat="1" applyFont="1" applyFill="1" applyAlignment="1">
      <alignment horizontal="center" vertical="center"/>
      <protection locked="0"/>
    </xf>
    <xf numFmtId="0" fontId="95" fillId="0" borderId="0" xfId="83" applyFont="1" applyFill="1" applyAlignment="1">
      <alignment horizontal="center" vertical="center"/>
      <protection locked="0"/>
    </xf>
    <xf numFmtId="0" fontId="12" fillId="0" borderId="0" xfId="83" applyNumberFormat="1" applyFont="1" applyAlignment="1">
      <alignment horizontal="center" vertical="center"/>
      <protection locked="0"/>
    </xf>
    <xf numFmtId="0" fontId="12" fillId="0" borderId="0" xfId="83" applyFont="1" applyAlignment="1">
      <alignment horizontal="center" vertical="center"/>
      <protection locked="0"/>
    </xf>
    <xf numFmtId="0" fontId="7" fillId="8" borderId="10" xfId="83" applyFont="1" applyFill="1" applyBorder="1" applyAlignment="1">
      <alignment horizontal="center" vertical="center"/>
      <protection locked="0"/>
    </xf>
    <xf numFmtId="0" fontId="7" fillId="8" borderId="10" xfId="83" applyFont="1" applyFill="1" applyBorder="1" applyAlignment="1">
      <alignment horizontal="center" vertical="center" wrapText="1"/>
      <protection locked="0"/>
    </xf>
    <xf numFmtId="0" fontId="5" fillId="14" borderId="2" xfId="83" applyFont="1" applyFill="1" applyBorder="1" applyAlignment="1" applyProtection="1">
      <alignment horizontal="center" vertical="center" wrapText="1"/>
    </xf>
    <xf numFmtId="0" fontId="5" fillId="14" borderId="17" xfId="83" applyFont="1" applyFill="1" applyBorder="1" applyAlignment="1" applyProtection="1">
      <alignment horizontal="center" vertical="center" wrapText="1"/>
    </xf>
    <xf numFmtId="0" fontId="5" fillId="14" borderId="10" xfId="83" applyFont="1" applyFill="1" applyBorder="1" applyAlignment="1" applyProtection="1">
      <alignment horizontal="center" vertical="center" wrapText="1"/>
    </xf>
    <xf numFmtId="0" fontId="7" fillId="0" borderId="0" xfId="107" applyFont="1" applyFill="1" applyAlignment="1">
      <alignment horizontal="left" vertical="center" wrapText="1"/>
    </xf>
    <xf numFmtId="0" fontId="5" fillId="8" borderId="10" xfId="123" applyFont="1" applyFill="1" applyBorder="1" applyAlignment="1">
      <alignment horizontal="center" vertical="center" wrapText="1"/>
      <protection locked="0"/>
    </xf>
    <xf numFmtId="0" fontId="7" fillId="8" borderId="10" xfId="123" applyFont="1" applyFill="1" applyBorder="1" applyAlignment="1">
      <alignment horizontal="center" vertical="center" wrapText="1"/>
      <protection locked="0"/>
    </xf>
    <xf numFmtId="49" fontId="5" fillId="8" borderId="10" xfId="0" applyNumberFormat="1" applyFont="1" applyFill="1" applyBorder="1" applyAlignment="1">
      <alignment horizontal="center" vertical="center"/>
      <protection locked="0"/>
    </xf>
    <xf numFmtId="49" fontId="7" fillId="8" borderId="10" xfId="0" applyNumberFormat="1" applyFont="1" applyFill="1" applyBorder="1" applyAlignment="1">
      <alignment horizontal="center" vertical="center"/>
      <protection locked="0"/>
    </xf>
    <xf numFmtId="0" fontId="5" fillId="8" borderId="10" xfId="83" applyFont="1" applyFill="1" applyBorder="1" applyAlignment="1">
      <alignment horizontal="center" vertical="center"/>
      <protection locked="0"/>
    </xf>
    <xf numFmtId="0" fontId="7" fillId="8" borderId="14" xfId="0" applyFont="1" applyFill="1" applyBorder="1" applyAlignment="1">
      <alignment horizontal="center" vertical="center"/>
      <protection locked="0"/>
    </xf>
    <xf numFmtId="0" fontId="7" fillId="8" borderId="15" xfId="0" applyFont="1" applyFill="1" applyBorder="1" applyAlignment="1">
      <alignment horizontal="center" vertical="center"/>
      <protection locked="0"/>
    </xf>
    <xf numFmtId="0" fontId="5" fillId="8" borderId="14" xfId="0" applyFont="1" applyFill="1" applyBorder="1" applyAlignment="1">
      <alignment horizontal="center" vertical="center" wrapText="1"/>
      <protection locked="0"/>
    </xf>
    <xf numFmtId="0" fontId="5" fillId="8" borderId="15" xfId="0" applyFont="1" applyFill="1" applyBorder="1" applyAlignment="1">
      <alignment horizontal="center" vertical="center" wrapText="1"/>
      <protection locked="0"/>
    </xf>
    <xf numFmtId="0" fontId="5" fillId="8" borderId="16" xfId="0" applyFont="1" applyFill="1" applyBorder="1" applyAlignment="1">
      <alignment horizontal="center" vertical="center" wrapText="1"/>
      <protection locked="0"/>
    </xf>
    <xf numFmtId="0" fontId="7" fillId="8" borderId="10" xfId="0" applyFont="1" applyFill="1" applyBorder="1" applyAlignment="1">
      <alignment horizontal="center" vertical="center" wrapText="1"/>
      <protection locked="0"/>
    </xf>
    <xf numFmtId="0" fontId="7" fillId="7" borderId="10" xfId="0" applyFont="1" applyFill="1" applyBorder="1" applyAlignment="1">
      <alignment horizontal="center" vertical="center" shrinkToFit="1"/>
      <protection locked="0"/>
    </xf>
    <xf numFmtId="191" fontId="5" fillId="8" borderId="2" xfId="120" applyFont="1" applyFill="1" applyBorder="1" applyAlignment="1">
      <alignment horizontal="center" vertical="center" wrapText="1"/>
      <protection locked="0"/>
    </xf>
    <xf numFmtId="191" fontId="7" fillId="8" borderId="17" xfId="120" applyFont="1" applyFill="1" applyBorder="1" applyAlignment="1">
      <alignment horizontal="center" vertical="center" wrapText="1"/>
      <protection locked="0"/>
    </xf>
    <xf numFmtId="0" fontId="12" fillId="0" borderId="0" xfId="106" applyNumberFormat="1" applyFont="1" applyAlignment="1">
      <alignment horizontal="center" vertical="center" wrapText="1"/>
    </xf>
    <xf numFmtId="0" fontId="12" fillId="0" borderId="0" xfId="106" applyFont="1" applyAlignment="1">
      <alignment horizontal="center" vertical="center" wrapText="1"/>
    </xf>
    <xf numFmtId="0" fontId="95" fillId="0" borderId="0" xfId="106" applyNumberFormat="1" applyFont="1" applyFill="1" applyAlignment="1">
      <alignment horizontal="center" vertical="center" wrapText="1"/>
    </xf>
    <xf numFmtId="0" fontId="95" fillId="0" borderId="0" xfId="106" applyFont="1" applyFill="1" applyAlignment="1">
      <alignment horizontal="center" vertical="center" wrapText="1"/>
    </xf>
    <xf numFmtId="191" fontId="7" fillId="8" borderId="2" xfId="120" applyFont="1" applyFill="1" applyBorder="1" applyAlignment="1">
      <alignment horizontal="center" vertical="center" wrapText="1"/>
      <protection locked="0"/>
    </xf>
    <xf numFmtId="191" fontId="68" fillId="0" borderId="0" xfId="128" applyFont="1" applyFill="1" applyAlignment="1">
      <alignment horizontal="left" vertical="center" wrapText="1"/>
    </xf>
    <xf numFmtId="191" fontId="7" fillId="8" borderId="14" xfId="120" applyFont="1" applyFill="1" applyBorder="1" applyAlignment="1">
      <alignment horizontal="center" vertical="center" wrapText="1"/>
      <protection locked="0"/>
    </xf>
    <xf numFmtId="191" fontId="7" fillId="8" borderId="16" xfId="120" applyFont="1" applyFill="1" applyBorder="1" applyAlignment="1">
      <alignment horizontal="center" vertical="center" wrapText="1"/>
      <protection locked="0"/>
    </xf>
    <xf numFmtId="0" fontId="7" fillId="8" borderId="2" xfId="0" applyFont="1" applyFill="1" applyBorder="1" applyAlignment="1">
      <alignment horizontal="center" vertical="center" wrapText="1"/>
      <protection locked="0"/>
    </xf>
    <xf numFmtId="0" fontId="7" fillId="8" borderId="17" xfId="0" applyFont="1" applyFill="1" applyBorder="1" applyAlignment="1">
      <alignment horizontal="center" vertical="center" wrapText="1"/>
      <protection locked="0"/>
    </xf>
    <xf numFmtId="0" fontId="7" fillId="8" borderId="3" xfId="0" applyFont="1" applyFill="1" applyBorder="1" applyAlignment="1">
      <alignment horizontal="center" vertical="center" wrapText="1"/>
      <protection locked="0"/>
    </xf>
    <xf numFmtId="0" fontId="7" fillId="8" borderId="14" xfId="0" applyFont="1" applyFill="1" applyBorder="1" applyAlignment="1">
      <alignment horizontal="center" vertical="center" wrapText="1"/>
      <protection locked="0"/>
    </xf>
    <xf numFmtId="0" fontId="7" fillId="8" borderId="15" xfId="0" applyFont="1" applyFill="1" applyBorder="1" applyAlignment="1">
      <alignment horizontal="center" vertical="center" wrapText="1"/>
      <protection locked="0"/>
    </xf>
    <xf numFmtId="0" fontId="7" fillId="8" borderId="16" xfId="0" applyFont="1" applyFill="1" applyBorder="1" applyAlignment="1">
      <alignment horizontal="center" vertical="center" wrapText="1"/>
      <protection locked="0"/>
    </xf>
    <xf numFmtId="0" fontId="7" fillId="7" borderId="10" xfId="83" applyFont="1" applyFill="1" applyBorder="1" applyAlignment="1">
      <alignment horizontal="center" vertical="center" wrapText="1"/>
      <protection locked="0"/>
    </xf>
    <xf numFmtId="0" fontId="7" fillId="7" borderId="2" xfId="83" applyFont="1" applyFill="1" applyBorder="1" applyAlignment="1">
      <alignment horizontal="center" vertical="center" wrapText="1"/>
      <protection locked="0"/>
    </xf>
    <xf numFmtId="0" fontId="7" fillId="7" borderId="17" xfId="83" applyFont="1" applyFill="1" applyBorder="1" applyAlignment="1">
      <alignment horizontal="center" vertical="center" wrapText="1"/>
      <protection locked="0"/>
    </xf>
    <xf numFmtId="43" fontId="7" fillId="0" borderId="2" xfId="83" applyNumberFormat="1" applyFont="1" applyBorder="1" applyAlignment="1">
      <alignment horizontal="center" vertical="center" wrapText="1"/>
      <protection locked="0"/>
    </xf>
    <xf numFmtId="43" fontId="7" fillId="0" borderId="3" xfId="83" applyNumberFormat="1" applyFont="1" applyBorder="1" applyAlignment="1">
      <alignment horizontal="center" vertical="center" wrapText="1"/>
      <protection locked="0"/>
    </xf>
    <xf numFmtId="43" fontId="7" fillId="0" borderId="17" xfId="83" applyNumberFormat="1" applyFont="1" applyBorder="1" applyAlignment="1">
      <alignment horizontal="center" vertical="center" wrapText="1"/>
      <protection locked="0"/>
    </xf>
    <xf numFmtId="0" fontId="7" fillId="7" borderId="3" xfId="83" applyFont="1" applyFill="1" applyBorder="1" applyAlignment="1">
      <alignment horizontal="center" vertical="center" wrapText="1"/>
      <protection locked="0"/>
    </xf>
    <xf numFmtId="0" fontId="9" fillId="7" borderId="2" xfId="83" applyFont="1" applyFill="1" applyBorder="1" applyAlignment="1">
      <alignment horizontal="center" vertical="center" wrapText="1"/>
      <protection locked="0"/>
    </xf>
    <xf numFmtId="0" fontId="9" fillId="7" borderId="17" xfId="83" applyFont="1" applyFill="1" applyBorder="1" applyAlignment="1">
      <alignment horizontal="center" vertical="center" wrapText="1"/>
      <protection locked="0"/>
    </xf>
    <xf numFmtId="0" fontId="7" fillId="7" borderId="11" xfId="83" applyFont="1" applyFill="1" applyBorder="1" applyAlignment="1">
      <alignment horizontal="center" vertical="center" wrapText="1"/>
      <protection locked="0"/>
    </xf>
    <xf numFmtId="0" fontId="7" fillId="7" borderId="1" xfId="83" applyFont="1" applyFill="1" applyBorder="1" applyAlignment="1">
      <alignment horizontal="center" vertical="center" wrapText="1"/>
      <protection locked="0"/>
    </xf>
    <xf numFmtId="0" fontId="7" fillId="7" borderId="12" xfId="83" applyFont="1" applyFill="1" applyBorder="1" applyAlignment="1">
      <alignment horizontal="center" vertical="center" wrapText="1"/>
      <protection locked="0"/>
    </xf>
    <xf numFmtId="0" fontId="7" fillId="7" borderId="13" xfId="83" applyFont="1" applyFill="1" applyBorder="1" applyAlignment="1">
      <alignment horizontal="center" vertical="center" wrapText="1"/>
      <protection locked="0"/>
    </xf>
    <xf numFmtId="0" fontId="7" fillId="7" borderId="14" xfId="83" applyFont="1" applyFill="1" applyBorder="1" applyAlignment="1">
      <alignment horizontal="center" vertical="center"/>
      <protection locked="0"/>
    </xf>
    <xf numFmtId="0" fontId="7" fillId="7" borderId="16" xfId="83" applyFont="1" applyFill="1" applyBorder="1" applyAlignment="1">
      <alignment horizontal="center" vertical="center"/>
      <protection locked="0"/>
    </xf>
    <xf numFmtId="0" fontId="12" fillId="0" borderId="0" xfId="0" applyNumberFormat="1" applyFont="1" applyAlignment="1">
      <alignment horizontal="center" vertical="center"/>
      <protection locked="0"/>
    </xf>
    <xf numFmtId="0" fontId="12" fillId="0" borderId="0" xfId="0" applyFont="1" applyAlignment="1">
      <alignment horizontal="center" vertical="center"/>
      <protection locked="0"/>
    </xf>
    <xf numFmtId="0" fontId="95" fillId="0" borderId="0" xfId="0" applyNumberFormat="1" applyFont="1" applyAlignment="1">
      <alignment horizontal="center" vertical="center"/>
      <protection locked="0"/>
    </xf>
    <xf numFmtId="0" fontId="95" fillId="0" borderId="0" xfId="0" applyFont="1" applyAlignment="1">
      <alignment horizontal="center" vertical="center"/>
      <protection locked="0"/>
    </xf>
    <xf numFmtId="0" fontId="9" fillId="0" borderId="0" xfId="111" applyNumberFormat="1" applyFont="1" applyFill="1" applyAlignment="1">
      <alignment horizontal="left" vertical="center" wrapText="1"/>
    </xf>
  </cellXfs>
  <cellStyles count="131">
    <cellStyle name="@_text" xfId="6"/>
    <cellStyle name="_2005审计报表及附注-中国建材股份模板（房屋）" xfId="7"/>
    <cellStyle name="_宝丽华房地产20051231" xfId="8"/>
    <cellStyle name="_北新房屋2004年审-刘" xfId="9"/>
    <cellStyle name="_北新股份2005年审工作底稿" xfId="10"/>
    <cellStyle name="_北新建材关连交易基础表051230（10－12月版）更新稿" xfId="11"/>
    <cellStyle name="_北新建材-会计报表附注模版" xfId="12"/>
    <cellStyle name="_北新龙之星2004年审工作底稿" xfId="13"/>
    <cellStyle name="_北新物流2005底稿-刘" xfId="14"/>
    <cellStyle name="_北新置换memo" xfId="15"/>
    <cellStyle name="_存货结转测试" xfId="16"/>
    <cellStyle name="_存货数量与明细05.12" xfId="17"/>
    <cellStyle name="_关联交易" xfId="18"/>
    <cellStyle name="_长期借款－江阴" xfId="19"/>
    <cellStyle name="{Comma [0]}" xfId="20"/>
    <cellStyle name="{Comma}" xfId="21"/>
    <cellStyle name="{Date}" xfId="22"/>
    <cellStyle name="{Month}" xfId="23"/>
    <cellStyle name="{Percent}" xfId="24"/>
    <cellStyle name="{Thousand [0]}" xfId="25"/>
    <cellStyle name="{Thousand}" xfId="26"/>
    <cellStyle name="{Z'0000(1 dec)}" xfId="27"/>
    <cellStyle name="{Z'0000(4 dec)}" xfId="28"/>
    <cellStyle name="Black" xfId="29"/>
    <cellStyle name="Border" xfId="30"/>
    <cellStyle name="Calc Currency (0)" xfId="31"/>
    <cellStyle name="Column_Title" xfId="32"/>
    <cellStyle name="Comma  - Style1" xfId="33"/>
    <cellStyle name="Comma  - Style2" xfId="34"/>
    <cellStyle name="Comma  - Style3" xfId="35"/>
    <cellStyle name="Comma  - Style4" xfId="36"/>
    <cellStyle name="Comma  - Style5" xfId="37"/>
    <cellStyle name="Comma  - Style6" xfId="38"/>
    <cellStyle name="Comma  - Style7" xfId="39"/>
    <cellStyle name="Comma  - Style8" xfId="40"/>
    <cellStyle name="Comma [0]_ rislugp" xfId="41"/>
    <cellStyle name="Comma_ rislugp" xfId="42"/>
    <cellStyle name="Currency [0]_ rislugp" xfId="43"/>
    <cellStyle name="Currency_ rislugp" xfId="44"/>
    <cellStyle name="Dezimal [0]_laroux" xfId="45"/>
    <cellStyle name="Dezimal_laroux" xfId="46"/>
    <cellStyle name="entry" xfId="47"/>
    <cellStyle name="entry box" xfId="48"/>
    <cellStyle name="Euro" xfId="49"/>
    <cellStyle name="Followed Hyperlink_AheadBehind.xls Chart 23" xfId="50"/>
    <cellStyle name="Grey" xfId="51"/>
    <cellStyle name="Header1" xfId="52"/>
    <cellStyle name="Header2" xfId="53"/>
    <cellStyle name="Hyperlink_AheadBehind.xls Chart 23" xfId="54"/>
    <cellStyle name="Input [yellow]" xfId="55"/>
    <cellStyle name="left" xfId="56"/>
    <cellStyle name="Millares [0]_laroux" xfId="57"/>
    <cellStyle name="Millares_laroux" xfId="58"/>
    <cellStyle name="Milliers [0]_laroux" xfId="59"/>
    <cellStyle name="Milliers_laroux" xfId="60"/>
    <cellStyle name="Moneda [0]_laroux" xfId="61"/>
    <cellStyle name="Moneda_laroux" xfId="62"/>
    <cellStyle name="Mon閠aire [0]_laroux" xfId="63"/>
    <cellStyle name="Mon閠aire_laroux" xfId="64"/>
    <cellStyle name="no dec" xfId="65"/>
    <cellStyle name="Non défini" xfId="66"/>
    <cellStyle name="Normal - Style1" xfId="67"/>
    <cellStyle name="Normal_ rislugp" xfId="68"/>
    <cellStyle name="Normalny_Arkusz1" xfId="69"/>
    <cellStyle name="Percent [2]" xfId="70"/>
    <cellStyle name="Prefilled" xfId="71"/>
    <cellStyle name="price" xfId="72"/>
    <cellStyle name="Red" xfId="73"/>
    <cellStyle name="revised" xfId="74"/>
    <cellStyle name="section" xfId="75"/>
    <cellStyle name="style" xfId="76"/>
    <cellStyle name="style1" xfId="77"/>
    <cellStyle name="style2" xfId="78"/>
    <cellStyle name="title" xfId="79"/>
    <cellStyle name="wrap" xfId="80"/>
    <cellStyle name="パーセント_laroux" xfId="81"/>
    <cellStyle name="百分比" xfId="2" builtinId="5"/>
    <cellStyle name="標準_１１月価格表" xfId="82"/>
    <cellStyle name="常规" xfId="0" builtinId="0"/>
    <cellStyle name="常规 11 5" xfId="130"/>
    <cellStyle name="常规 13" xfId="126"/>
    <cellStyle name="常规 2" xfId="83"/>
    <cellStyle name="常规 2 2" xfId="123"/>
    <cellStyle name="常规 2 2 2" xfId="120"/>
    <cellStyle name="常规 2 8" xfId="114"/>
    <cellStyle name="常规 3" xfId="84"/>
    <cellStyle name="常规 4" xfId="111"/>
    <cellStyle name="常规 5" xfId="117"/>
    <cellStyle name="常规 6" xfId="115"/>
    <cellStyle name="常规 7" xfId="119"/>
    <cellStyle name="常规 7 2" xfId="125"/>
    <cellStyle name="常规 7 3" xfId="127"/>
    <cellStyle name="常规_2-1项目审定表－模板" xfId="5"/>
    <cellStyle name="常规_Book1" xfId="106"/>
    <cellStyle name="常规_Book1 2" xfId="116"/>
    <cellStyle name="常规_c-资产类" xfId="3"/>
    <cellStyle name="常规_SA 营业收入" xfId="112"/>
    <cellStyle name="常规_进一步审计程序--销售与收款循环" xfId="107"/>
    <cellStyle name="常规_进一步审计程序--销售与收款循环 2" xfId="128"/>
    <cellStyle name="常规_通用表" xfId="129"/>
    <cellStyle name="常规_新审定表" xfId="4"/>
    <cellStyle name="常规_新审定表 2" xfId="124"/>
    <cellStyle name="常规_制造费用" xfId="108"/>
    <cellStyle name="常规_制造费用 2" xfId="118"/>
    <cellStyle name="超链接" xfId="109" builtinId="8"/>
    <cellStyle name="超链接 2 2" xfId="110"/>
    <cellStyle name="分级显示行_1_4附件二凯旋评估表" xfId="85"/>
    <cellStyle name="桁区切り [0.00]_１１月価格表" xfId="86"/>
    <cellStyle name="桁区切り_１１月価格表" xfId="87"/>
    <cellStyle name="霓付 [0]_97MBO" xfId="88"/>
    <cellStyle name="霓付_97MBO" xfId="89"/>
    <cellStyle name="烹拳 [0]_97MBO" xfId="90"/>
    <cellStyle name="烹拳_97MBO" xfId="91"/>
    <cellStyle name="普通_ 白土" xfId="92"/>
    <cellStyle name="千分位[0]_ 白土" xfId="93"/>
    <cellStyle name="千分位_ 白土" xfId="94"/>
    <cellStyle name="千位[0]_97汇总" xfId="95"/>
    <cellStyle name="千位_97汇总" xfId="96"/>
    <cellStyle name="千位分隔" xfId="1" builtinId="3"/>
    <cellStyle name="千位分隔 2" xfId="121"/>
    <cellStyle name="千位分隔 2 2" xfId="113"/>
    <cellStyle name="千位分隔 2 3" xfId="122"/>
    <cellStyle name="钎霖_laroux" xfId="97"/>
    <cellStyle name="通貨 [0.00]_１１月価格表" xfId="98"/>
    <cellStyle name="通貨_１１月価格表" xfId="99"/>
    <cellStyle name="样式 1" xfId="100"/>
    <cellStyle name="콤마 [0]_BOILER-CO1" xfId="101"/>
    <cellStyle name="콤마_BOILER-CO1" xfId="102"/>
    <cellStyle name="통화 [0]_BOILER-CO1" xfId="103"/>
    <cellStyle name="통화_BOILER-CO1" xfId="104"/>
    <cellStyle name="표준_0N-HANDLING " xfId="105"/>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106680</xdr:colOff>
          <xdr:row>48</xdr:row>
          <xdr:rowOff>45720</xdr:rowOff>
        </xdr:from>
        <xdr:to>
          <xdr:col>3</xdr:col>
          <xdr:colOff>0</xdr:colOff>
          <xdr:row>50</xdr:row>
          <xdr:rowOff>144780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11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48</xdr:row>
          <xdr:rowOff>144780</xdr:rowOff>
        </xdr:from>
        <xdr:to>
          <xdr:col>7</xdr:col>
          <xdr:colOff>198120</xdr:colOff>
          <xdr:row>50</xdr:row>
          <xdr:rowOff>76200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1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workbookViewId="0"/>
  </sheetViews>
  <sheetFormatPr defaultRowHeight="19.95" customHeight="1"/>
  <cols>
    <col min="1" max="1" width="77.59765625" style="47" customWidth="1"/>
    <col min="2" max="2" width="2" style="47" customWidth="1"/>
    <col min="3" max="3" width="2.09765625" style="47" customWidth="1"/>
    <col min="4" max="4" width="6.09765625" style="47" customWidth="1"/>
    <col min="5" max="5" width="33.3984375" style="47" customWidth="1"/>
    <col min="6" max="6" width="8" style="132" bestFit="1" customWidth="1"/>
    <col min="7" max="16384" width="8.796875" style="47"/>
  </cols>
  <sheetData>
    <row r="1" spans="1:8" s="2" customFormat="1" ht="19.95" customHeight="1">
      <c r="A1" s="42" t="s">
        <v>86</v>
      </c>
      <c r="F1" s="59"/>
    </row>
    <row r="2" spans="1:8" ht="19.95" customHeight="1">
      <c r="A2" s="127" t="s">
        <v>87</v>
      </c>
      <c r="B2" s="128"/>
      <c r="C2" s="128"/>
      <c r="G2" s="128"/>
      <c r="H2" s="128"/>
    </row>
    <row r="3" spans="1:8" ht="19.95" customHeight="1">
      <c r="A3" s="127" t="s">
        <v>494</v>
      </c>
      <c r="B3" s="128"/>
      <c r="C3" s="128"/>
      <c r="D3" s="243" t="s">
        <v>394</v>
      </c>
      <c r="E3" s="243" t="s">
        <v>393</v>
      </c>
      <c r="F3" s="243" t="s">
        <v>395</v>
      </c>
      <c r="G3" s="243" t="s">
        <v>396</v>
      </c>
      <c r="H3" s="129"/>
    </row>
    <row r="4" spans="1:8" ht="19.95" customHeight="1">
      <c r="A4" s="127" t="s">
        <v>77</v>
      </c>
      <c r="D4" s="52">
        <v>1</v>
      </c>
      <c r="E4" s="283" t="s">
        <v>467</v>
      </c>
      <c r="F4" s="52" t="s">
        <v>51</v>
      </c>
      <c r="G4" s="51"/>
      <c r="H4" s="128"/>
    </row>
    <row r="5" spans="1:8" ht="19.95" customHeight="1">
      <c r="A5" s="127" t="s">
        <v>82</v>
      </c>
      <c r="D5" s="52">
        <f>D4+1</f>
        <v>2</v>
      </c>
      <c r="E5" s="283" t="s">
        <v>468</v>
      </c>
      <c r="F5" s="52" t="s">
        <v>52</v>
      </c>
      <c r="G5" s="53"/>
    </row>
    <row r="6" spans="1:8" ht="19.95" customHeight="1">
      <c r="A6" s="127" t="s">
        <v>85</v>
      </c>
      <c r="D6" s="52">
        <f>D5+1</f>
        <v>3</v>
      </c>
      <c r="E6" s="145" t="s">
        <v>120</v>
      </c>
      <c r="F6" s="52"/>
      <c r="G6" s="53" t="s">
        <v>118</v>
      </c>
    </row>
    <row r="7" spans="1:8" ht="19.95" customHeight="1">
      <c r="A7" s="127" t="s">
        <v>83</v>
      </c>
      <c r="D7" s="52">
        <f t="shared" ref="D7:D15" si="0">D6+1</f>
        <v>4</v>
      </c>
      <c r="E7" s="145" t="s">
        <v>121</v>
      </c>
      <c r="F7" s="52"/>
      <c r="G7" s="53" t="s">
        <v>118</v>
      </c>
    </row>
    <row r="8" spans="1:8" ht="19.95" customHeight="1">
      <c r="A8" s="130" t="s">
        <v>84</v>
      </c>
      <c r="D8" s="52">
        <f t="shared" si="0"/>
        <v>5</v>
      </c>
      <c r="E8" s="283" t="s">
        <v>469</v>
      </c>
      <c r="F8" s="52" t="s">
        <v>119</v>
      </c>
      <c r="G8" s="53"/>
    </row>
    <row r="9" spans="1:8" ht="19.95" customHeight="1">
      <c r="A9" s="131" t="s">
        <v>78</v>
      </c>
      <c r="D9" s="52">
        <f t="shared" si="0"/>
        <v>6</v>
      </c>
      <c r="E9" s="283" t="s">
        <v>470</v>
      </c>
      <c r="F9" s="52" t="s">
        <v>53</v>
      </c>
      <c r="G9" s="53"/>
    </row>
    <row r="10" spans="1:8" ht="19.95" customHeight="1">
      <c r="A10" s="131" t="s">
        <v>79</v>
      </c>
      <c r="D10" s="52">
        <f t="shared" si="0"/>
        <v>7</v>
      </c>
      <c r="E10" s="283" t="s">
        <v>471</v>
      </c>
      <c r="F10" s="52" t="s">
        <v>54</v>
      </c>
      <c r="G10" s="53"/>
    </row>
    <row r="11" spans="1:8" ht="19.95" customHeight="1">
      <c r="A11" s="131" t="s">
        <v>80</v>
      </c>
      <c r="D11" s="52">
        <f t="shared" si="0"/>
        <v>8</v>
      </c>
      <c r="E11" s="283" t="s">
        <v>472</v>
      </c>
      <c r="F11" s="52" t="s">
        <v>55</v>
      </c>
      <c r="G11" s="53"/>
    </row>
    <row r="12" spans="1:8" ht="19.95" customHeight="1">
      <c r="A12" s="131" t="s">
        <v>81</v>
      </c>
      <c r="D12" s="52">
        <f t="shared" si="0"/>
        <v>9</v>
      </c>
      <c r="E12" s="283" t="s">
        <v>473</v>
      </c>
      <c r="F12" s="52" t="s">
        <v>58</v>
      </c>
      <c r="G12" s="53"/>
    </row>
    <row r="13" spans="1:8" ht="19.95" customHeight="1">
      <c r="A13" s="131" t="s">
        <v>47</v>
      </c>
      <c r="D13" s="52">
        <f t="shared" si="0"/>
        <v>10</v>
      </c>
      <c r="E13" s="283" t="s">
        <v>474</v>
      </c>
      <c r="F13" s="52" t="s">
        <v>57</v>
      </c>
      <c r="G13" s="53"/>
    </row>
    <row r="14" spans="1:8" ht="19.95" customHeight="1">
      <c r="D14" s="52">
        <f t="shared" si="0"/>
        <v>11</v>
      </c>
      <c r="E14" s="283" t="s">
        <v>466</v>
      </c>
      <c r="F14" s="52" t="s">
        <v>56</v>
      </c>
      <c r="G14" s="53"/>
    </row>
    <row r="15" spans="1:8" ht="19.95" customHeight="1">
      <c r="A15" s="355" t="s">
        <v>534</v>
      </c>
      <c r="D15" s="52">
        <f t="shared" si="0"/>
        <v>12</v>
      </c>
      <c r="E15" s="283" t="s">
        <v>465</v>
      </c>
      <c r="F15" s="52" t="s">
        <v>96</v>
      </c>
      <c r="G15" s="53"/>
    </row>
    <row r="16" spans="1:8" ht="19.95" customHeight="1">
      <c r="A16" s="374" t="s">
        <v>535</v>
      </c>
    </row>
    <row r="17" spans="1:5" ht="19.95" customHeight="1">
      <c r="A17" s="374"/>
    </row>
    <row r="18" spans="1:5" ht="19.95" customHeight="1">
      <c r="A18" s="374"/>
    </row>
    <row r="19" spans="1:5" ht="19.95" customHeight="1">
      <c r="A19" s="374"/>
    </row>
    <row r="20" spans="1:5" ht="19.95" customHeight="1">
      <c r="A20" s="374" t="s">
        <v>536</v>
      </c>
      <c r="E20" s="133"/>
    </row>
    <row r="21" spans="1:5" ht="19.95" customHeight="1">
      <c r="A21" s="374"/>
      <c r="D21" s="132"/>
    </row>
    <row r="22" spans="1:5" ht="19.95" customHeight="1">
      <c r="A22" s="374"/>
    </row>
    <row r="23" spans="1:5" ht="19.95" customHeight="1">
      <c r="A23" s="375" t="s">
        <v>537</v>
      </c>
    </row>
    <row r="24" spans="1:5" ht="19.95" customHeight="1">
      <c r="A24" s="375"/>
    </row>
    <row r="25" spans="1:5" ht="19.95" customHeight="1">
      <c r="A25" s="375"/>
    </row>
  </sheetData>
  <mergeCells count="3">
    <mergeCell ref="A16:A19"/>
    <mergeCell ref="A20:A22"/>
    <mergeCell ref="A23:A25"/>
  </mergeCells>
  <phoneticPr fontId="11" type="noConversion"/>
  <hyperlinks>
    <hyperlink ref="E4" location="'工程物资实质性程序表H4A'!A1" display="工程物资实质性程序表H4A"/>
    <hyperlink ref="E5" location="'审定表H4-1'!A1" display="审定表H4-1"/>
    <hyperlink ref="E6" location="'附注披露信息（上市公司）'!A1" display="附注披露信息（上市公司）"/>
    <hyperlink ref="E7" location="'附注披露信息（国有企业）'!A1" display="附注披露信息（国有企业）"/>
    <hyperlink ref="E8" location="'明细表H4-2'!A1" display="明细表H4-2"/>
    <hyperlink ref="E9" location="'调整分录汇总H4-3'!A1" display="调整分录汇总H4-3"/>
    <hyperlink ref="E10" location="'增加检查表H4-4'!A1" display="增加检查表H4-4"/>
    <hyperlink ref="E11" location="'减少检查表H4-5'!A1" display="减少检查表H4-5"/>
    <hyperlink ref="E12" location="'盘点检查表H4-6'!A1" display="盘点检查表H4-6"/>
    <hyperlink ref="E13" location="'减值测算表H4-7'!A1" display="减值测算表H4-7"/>
    <hyperlink ref="E14" location="'可收回金额测试表H4-8'!A1" display="可收回金额测试表H4-8"/>
    <hyperlink ref="E15" location="'关联交易检查表H4-9'!A1" display="关联交易检查表H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L29"/>
  <sheetViews>
    <sheetView view="pageBreakPreview" zoomScaleNormal="100" zoomScaleSheetLayoutView="100" workbookViewId="0">
      <selection sqref="A1:I1"/>
    </sheetView>
  </sheetViews>
  <sheetFormatPr defaultColWidth="9" defaultRowHeight="19.95" customHeight="1"/>
  <cols>
    <col min="1" max="1" width="4.09765625" style="156" customWidth="1"/>
    <col min="2" max="2" width="65.19921875" style="149" customWidth="1"/>
    <col min="3" max="3" width="10.19921875" style="149" customWidth="1"/>
    <col min="4" max="4" width="5" style="149" customWidth="1"/>
    <col min="5" max="5" width="6.19921875" style="149" customWidth="1"/>
    <col min="6" max="6" width="6.69921875" style="149" customWidth="1"/>
    <col min="7" max="7" width="7.5" style="149" customWidth="1"/>
    <col min="8" max="8" width="4.8984375" style="149" customWidth="1"/>
    <col min="9" max="9" width="6.3984375" style="149" customWidth="1"/>
    <col min="10" max="10" width="67.796875" style="149" customWidth="1"/>
    <col min="11" max="16384" width="9" style="149"/>
  </cols>
  <sheetData>
    <row r="1" spans="1:10" s="197" customFormat="1" ht="19.95" customHeight="1">
      <c r="A1" s="381" t="s">
        <v>379</v>
      </c>
      <c r="B1" s="381"/>
      <c r="C1" s="381"/>
      <c r="D1" s="381"/>
      <c r="E1" s="381"/>
      <c r="F1" s="381"/>
      <c r="G1" s="381"/>
      <c r="H1" s="381"/>
      <c r="I1" s="381"/>
    </row>
    <row r="2" spans="1:10" s="202" customFormat="1" ht="19.95" customHeight="1">
      <c r="A2" s="382" t="s">
        <v>44</v>
      </c>
      <c r="B2" s="383"/>
      <c r="C2" s="383"/>
      <c r="D2" s="383"/>
      <c r="E2" s="383"/>
      <c r="F2" s="383"/>
      <c r="G2" s="383"/>
      <c r="H2" s="383"/>
      <c r="I2" s="383"/>
    </row>
    <row r="3" spans="1:10" s="118" customFormat="1" ht="19.95" customHeight="1">
      <c r="A3" s="146" t="str">
        <f>底稿目录!A2</f>
        <v>被审计单位：</v>
      </c>
      <c r="B3" s="146"/>
      <c r="C3" s="118" t="str">
        <f>底稿目录!A4</f>
        <v>编制人：</v>
      </c>
      <c r="F3" s="118" t="str">
        <f>底稿目录!A6</f>
        <v>编制日期：</v>
      </c>
      <c r="H3" s="252" t="s">
        <v>399</v>
      </c>
      <c r="I3" s="147" t="s">
        <v>76</v>
      </c>
    </row>
    <row r="4" spans="1:10" s="118" customFormat="1" ht="19.95" customHeight="1">
      <c r="A4" s="146" t="str">
        <f>底稿目录!A3</f>
        <v>截止日：</v>
      </c>
      <c r="B4" s="146"/>
      <c r="C4" s="118" t="str">
        <f>底稿目录!A5</f>
        <v>复核人：</v>
      </c>
      <c r="F4" s="118" t="str">
        <f>底稿目录!A7</f>
        <v>复核日期：</v>
      </c>
      <c r="H4" s="252" t="s">
        <v>400</v>
      </c>
      <c r="I4" s="148"/>
    </row>
    <row r="5" spans="1:10" ht="19.95" customHeight="1">
      <c r="A5" s="384" t="s">
        <v>139</v>
      </c>
      <c r="B5" s="384"/>
    </row>
    <row r="6" spans="1:10" ht="19.95" customHeight="1">
      <c r="A6" s="150" t="s">
        <v>135</v>
      </c>
      <c r="B6" s="151"/>
      <c r="C6" s="151"/>
      <c r="D6" s="151"/>
      <c r="E6" s="151"/>
      <c r="F6" s="151"/>
      <c r="G6" s="151"/>
      <c r="H6" s="151"/>
      <c r="I6" s="151"/>
    </row>
    <row r="7" spans="1:10" s="118" customFormat="1" ht="19.95" customHeight="1">
      <c r="A7" s="284" t="s">
        <v>477</v>
      </c>
      <c r="B7" s="152"/>
      <c r="C7" s="153"/>
      <c r="D7" s="154"/>
      <c r="E7" s="154"/>
      <c r="F7" s="154"/>
      <c r="G7" s="154"/>
      <c r="H7" s="154"/>
      <c r="I7" s="154"/>
    </row>
    <row r="8" spans="1:10" s="118" customFormat="1" ht="19.95" customHeight="1">
      <c r="A8" s="390" t="s">
        <v>533</v>
      </c>
      <c r="B8" s="377"/>
      <c r="C8" s="377"/>
      <c r="D8" s="377"/>
      <c r="E8" s="377"/>
      <c r="F8" s="377"/>
      <c r="G8" s="377" t="s">
        <v>132</v>
      </c>
      <c r="H8" s="377"/>
      <c r="I8" s="377"/>
    </row>
    <row r="9" spans="1:10" s="118" customFormat="1" ht="19.95" customHeight="1">
      <c r="A9" s="376" t="s">
        <v>140</v>
      </c>
      <c r="B9" s="376"/>
      <c r="C9" s="376"/>
      <c r="D9" s="376"/>
      <c r="E9" s="376"/>
      <c r="F9" s="376"/>
      <c r="G9" s="378" t="s">
        <v>34</v>
      </c>
      <c r="H9" s="378"/>
      <c r="I9" s="378"/>
    </row>
    <row r="10" spans="1:10" s="118" customFormat="1" ht="19.95" customHeight="1">
      <c r="A10" s="376" t="s">
        <v>419</v>
      </c>
      <c r="B10" s="376"/>
      <c r="C10" s="376"/>
      <c r="D10" s="376"/>
      <c r="E10" s="376"/>
      <c r="F10" s="376"/>
      <c r="G10" s="378" t="s">
        <v>35</v>
      </c>
      <c r="H10" s="378"/>
      <c r="I10" s="378"/>
    </row>
    <row r="11" spans="1:10" s="118" customFormat="1" ht="19.95" customHeight="1">
      <c r="A11" s="376" t="s">
        <v>530</v>
      </c>
      <c r="B11" s="376"/>
      <c r="C11" s="376"/>
      <c r="D11" s="376"/>
      <c r="E11" s="376"/>
      <c r="F11" s="376"/>
      <c r="G11" s="378" t="s">
        <v>36</v>
      </c>
      <c r="H11" s="378"/>
      <c r="I11" s="378"/>
    </row>
    <row r="12" spans="1:10" s="118" customFormat="1" ht="19.95" customHeight="1">
      <c r="A12" s="376" t="s">
        <v>531</v>
      </c>
      <c r="B12" s="376"/>
      <c r="C12" s="376"/>
      <c r="D12" s="376"/>
      <c r="E12" s="376"/>
      <c r="F12" s="376"/>
      <c r="G12" s="378" t="s">
        <v>529</v>
      </c>
      <c r="H12" s="378"/>
      <c r="I12" s="378"/>
    </row>
    <row r="13" spans="1:10" s="118" customFormat="1" ht="19.95" customHeight="1">
      <c r="A13" s="376" t="s">
        <v>532</v>
      </c>
      <c r="B13" s="376"/>
      <c r="C13" s="376"/>
      <c r="D13" s="376"/>
      <c r="E13" s="376"/>
      <c r="F13" s="376"/>
      <c r="G13" s="378" t="s">
        <v>418</v>
      </c>
      <c r="H13" s="378"/>
      <c r="I13" s="378"/>
    </row>
    <row r="14" spans="1:10" s="118" customFormat="1" ht="19.95" customHeight="1">
      <c r="A14" s="389" t="s">
        <v>478</v>
      </c>
      <c r="B14" s="389"/>
      <c r="C14" s="155"/>
    </row>
    <row r="15" spans="1:10" s="118" customFormat="1" ht="21.6" customHeight="1">
      <c r="A15" s="387" t="s">
        <v>136</v>
      </c>
      <c r="B15" s="388" t="s">
        <v>539</v>
      </c>
      <c r="C15" s="385" t="s">
        <v>131</v>
      </c>
      <c r="D15" s="386" t="s">
        <v>132</v>
      </c>
      <c r="E15" s="386"/>
      <c r="F15" s="386"/>
      <c r="G15" s="386"/>
      <c r="H15" s="386"/>
      <c r="I15" s="385" t="s">
        <v>133</v>
      </c>
    </row>
    <row r="16" spans="1:10" s="118" customFormat="1" ht="35.4" customHeight="1">
      <c r="A16" s="387"/>
      <c r="B16" s="388"/>
      <c r="C16" s="385"/>
      <c r="D16" s="124" t="s">
        <v>141</v>
      </c>
      <c r="E16" s="124" t="s">
        <v>142</v>
      </c>
      <c r="F16" s="123" t="s">
        <v>143</v>
      </c>
      <c r="G16" s="123" t="s">
        <v>134</v>
      </c>
      <c r="H16" s="123" t="s">
        <v>144</v>
      </c>
      <c r="I16" s="385"/>
      <c r="J16" s="356" t="s">
        <v>538</v>
      </c>
    </row>
    <row r="17" spans="1:12" s="118" customFormat="1" ht="54.6" customHeight="1">
      <c r="A17" s="271" t="s">
        <v>405</v>
      </c>
      <c r="B17" s="272" t="s">
        <v>475</v>
      </c>
      <c r="C17" s="273" t="s">
        <v>123</v>
      </c>
      <c r="D17" s="260" t="s">
        <v>422</v>
      </c>
      <c r="E17" s="260" t="s">
        <v>422</v>
      </c>
      <c r="F17" s="260"/>
      <c r="G17" s="261" t="s">
        <v>423</v>
      </c>
      <c r="H17" s="274"/>
      <c r="I17" s="274" t="s">
        <v>461</v>
      </c>
    </row>
    <row r="18" spans="1:12" s="118" customFormat="1" ht="47.4" customHeight="1">
      <c r="A18" s="271" t="s">
        <v>40</v>
      </c>
      <c r="B18" s="275" t="s">
        <v>420</v>
      </c>
      <c r="C18" s="273" t="s">
        <v>137</v>
      </c>
      <c r="D18" s="262"/>
      <c r="E18" s="263" t="s">
        <v>127</v>
      </c>
      <c r="F18" s="262"/>
      <c r="G18" s="264" t="s">
        <v>424</v>
      </c>
      <c r="H18" s="274"/>
      <c r="I18" s="282" t="s">
        <v>462</v>
      </c>
      <c r="J18" s="379" t="s">
        <v>145</v>
      </c>
      <c r="K18" s="380"/>
      <c r="L18" s="380"/>
    </row>
    <row r="19" spans="1:12" s="118" customFormat="1" ht="50.4" customHeight="1">
      <c r="A19" s="271" t="s">
        <v>38</v>
      </c>
      <c r="B19" s="259" t="s">
        <v>421</v>
      </c>
      <c r="C19" s="273" t="s">
        <v>146</v>
      </c>
      <c r="D19" s="265" t="s">
        <v>425</v>
      </c>
      <c r="E19" s="266" t="s">
        <v>426</v>
      </c>
      <c r="F19" s="266" t="s">
        <v>37</v>
      </c>
      <c r="G19" s="266" t="s">
        <v>427</v>
      </c>
      <c r="H19" s="274"/>
      <c r="I19" s="276"/>
      <c r="J19" s="357" t="s">
        <v>540</v>
      </c>
    </row>
    <row r="20" spans="1:12" s="118" customFormat="1" ht="31.8" customHeight="1">
      <c r="A20" s="271" t="s">
        <v>39</v>
      </c>
      <c r="B20" s="277" t="s">
        <v>125</v>
      </c>
      <c r="C20" s="273" t="s">
        <v>124</v>
      </c>
      <c r="D20" s="266" t="s">
        <v>37</v>
      </c>
      <c r="E20" s="266" t="s">
        <v>428</v>
      </c>
      <c r="F20" s="266"/>
      <c r="G20" s="266" t="s">
        <v>430</v>
      </c>
      <c r="H20" s="274"/>
      <c r="I20" s="276"/>
      <c r="J20" s="122"/>
    </row>
    <row r="21" spans="1:12" s="118" customFormat="1" ht="43.2" customHeight="1">
      <c r="A21" s="271" t="s">
        <v>43</v>
      </c>
      <c r="B21" s="272" t="s">
        <v>432</v>
      </c>
      <c r="C21" s="273" t="s">
        <v>124</v>
      </c>
      <c r="D21" s="265" t="s">
        <v>127</v>
      </c>
      <c r="E21" s="266" t="s">
        <v>431</v>
      </c>
      <c r="F21" s="266" t="s">
        <v>37</v>
      </c>
      <c r="G21" s="266" t="s">
        <v>37</v>
      </c>
      <c r="H21" s="274"/>
      <c r="I21" s="276" t="s">
        <v>98</v>
      </c>
    </row>
    <row r="22" spans="1:12" s="118" customFormat="1" ht="37.799999999999997" customHeight="1">
      <c r="A22" s="271" t="s">
        <v>41</v>
      </c>
      <c r="B22" s="272" t="s">
        <v>433</v>
      </c>
      <c r="C22" s="273" t="s">
        <v>124</v>
      </c>
      <c r="D22" s="265" t="s">
        <v>127</v>
      </c>
      <c r="E22" s="266" t="s">
        <v>431</v>
      </c>
      <c r="F22" s="266"/>
      <c r="G22" s="266" t="s">
        <v>37</v>
      </c>
      <c r="H22" s="274"/>
      <c r="I22" s="276" t="s">
        <v>99</v>
      </c>
    </row>
    <row r="23" spans="1:12" s="118" customFormat="1" ht="85.2" customHeight="1">
      <c r="A23" s="271" t="s">
        <v>42</v>
      </c>
      <c r="B23" s="277" t="s">
        <v>434</v>
      </c>
      <c r="C23" s="273" t="s">
        <v>122</v>
      </c>
      <c r="D23" s="265" t="s">
        <v>435</v>
      </c>
      <c r="E23" s="266" t="s">
        <v>37</v>
      </c>
      <c r="F23" s="266" t="s">
        <v>436</v>
      </c>
      <c r="G23" s="265" t="s">
        <v>127</v>
      </c>
      <c r="H23" s="274"/>
      <c r="I23" s="276" t="s">
        <v>463</v>
      </c>
    </row>
    <row r="24" spans="1:12" s="118" customFormat="1" ht="115.8" customHeight="1">
      <c r="A24" s="271" t="s">
        <v>406</v>
      </c>
      <c r="B24" s="278" t="s">
        <v>476</v>
      </c>
      <c r="C24" s="273" t="s">
        <v>137</v>
      </c>
      <c r="D24" s="265" t="s">
        <v>429</v>
      </c>
      <c r="E24" s="267"/>
      <c r="F24" s="266" t="s">
        <v>427</v>
      </c>
      <c r="G24" s="266" t="s">
        <v>428</v>
      </c>
      <c r="H24" s="274"/>
      <c r="I24" s="276" t="s">
        <v>100</v>
      </c>
    </row>
    <row r="25" spans="1:12" s="118" customFormat="1" ht="30" customHeight="1">
      <c r="A25" s="271" t="s">
        <v>407</v>
      </c>
      <c r="B25" s="279" t="s">
        <v>437</v>
      </c>
      <c r="C25" s="273" t="s">
        <v>122</v>
      </c>
      <c r="D25" s="265" t="s">
        <v>127</v>
      </c>
      <c r="E25" s="268"/>
      <c r="F25" s="266" t="s">
        <v>438</v>
      </c>
      <c r="G25" s="266" t="s">
        <v>37</v>
      </c>
      <c r="H25" s="274"/>
      <c r="I25" s="276" t="s">
        <v>404</v>
      </c>
    </row>
    <row r="26" spans="1:12" s="118" customFormat="1" ht="86.4" customHeight="1">
      <c r="A26" s="271" t="s">
        <v>408</v>
      </c>
      <c r="B26" s="277" t="s">
        <v>439</v>
      </c>
      <c r="C26" s="280" t="s">
        <v>126</v>
      </c>
      <c r="D26" s="262"/>
      <c r="E26" s="262"/>
      <c r="F26" s="262"/>
      <c r="G26" s="262" t="s">
        <v>37</v>
      </c>
      <c r="H26" s="274"/>
      <c r="I26" s="276" t="s">
        <v>464</v>
      </c>
    </row>
    <row r="27" spans="1:12" s="118" customFormat="1" ht="41.4" customHeight="1">
      <c r="A27" s="271" t="s">
        <v>409</v>
      </c>
      <c r="B27" s="277" t="s">
        <v>138</v>
      </c>
      <c r="C27" s="273" t="s">
        <v>146</v>
      </c>
      <c r="D27" s="269" t="s">
        <v>127</v>
      </c>
      <c r="E27" s="262" t="s">
        <v>430</v>
      </c>
      <c r="F27" s="262" t="s">
        <v>37</v>
      </c>
      <c r="G27" s="269" t="s">
        <v>127</v>
      </c>
      <c r="H27" s="262" t="s">
        <v>37</v>
      </c>
      <c r="I27" s="276" t="s">
        <v>101</v>
      </c>
    </row>
    <row r="28" spans="1:12" s="118" customFormat="1" ht="38.4" customHeight="1">
      <c r="A28" s="271" t="s">
        <v>410</v>
      </c>
      <c r="B28" s="277" t="s">
        <v>129</v>
      </c>
      <c r="C28" s="270" t="s">
        <v>441</v>
      </c>
      <c r="D28" s="262"/>
      <c r="E28" s="262"/>
      <c r="F28" s="262"/>
      <c r="G28" s="262"/>
      <c r="H28" s="274"/>
      <c r="I28" s="276"/>
    </row>
    <row r="29" spans="1:12" s="118" customFormat="1" ht="33.6" customHeight="1">
      <c r="A29" s="271" t="s">
        <v>411</v>
      </c>
      <c r="B29" s="272" t="s">
        <v>440</v>
      </c>
      <c r="C29" s="273" t="s">
        <v>130</v>
      </c>
      <c r="D29" s="262"/>
      <c r="E29" s="262"/>
      <c r="F29" s="262"/>
      <c r="G29" s="262"/>
      <c r="H29" s="262" t="s">
        <v>128</v>
      </c>
      <c r="I29" s="281" t="s">
        <v>75</v>
      </c>
    </row>
  </sheetData>
  <mergeCells count="22">
    <mergeCell ref="A13:F13"/>
    <mergeCell ref="G13:I13"/>
    <mergeCell ref="J18:L18"/>
    <mergeCell ref="A1:I1"/>
    <mergeCell ref="A2:I2"/>
    <mergeCell ref="A5:B5"/>
    <mergeCell ref="C15:C16"/>
    <mergeCell ref="I15:I16"/>
    <mergeCell ref="D15:H15"/>
    <mergeCell ref="A15:A16"/>
    <mergeCell ref="B15:B16"/>
    <mergeCell ref="A14:B14"/>
    <mergeCell ref="A8:F8"/>
    <mergeCell ref="A9:F9"/>
    <mergeCell ref="A10:F10"/>
    <mergeCell ref="A11:F11"/>
    <mergeCell ref="A12:F12"/>
    <mergeCell ref="G8:I8"/>
    <mergeCell ref="G9:I9"/>
    <mergeCell ref="G10:I10"/>
    <mergeCell ref="G11:I11"/>
    <mergeCell ref="G12:I12"/>
  </mergeCells>
  <phoneticPr fontId="11" type="noConversion"/>
  <hyperlinks>
    <hyperlink ref="I3" location="底稿目录!A1" display="H4A"/>
  </hyperlinks>
  <printOptions horizontalCentered="1"/>
  <pageMargins left="0.70866141732283472" right="0.70866141732283472" top="0.74803149606299213" bottom="0.74803149606299213" header="0.31496062992125984" footer="0.31496062992125984"/>
  <pageSetup paperSize="9" scale="70" fitToHeight="2"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64"/>
  <sheetViews>
    <sheetView view="pageBreakPreview" zoomScaleSheetLayoutView="100" workbookViewId="0">
      <pane ySplit="6" topLeftCell="A7" activePane="bottomLeft" state="frozen"/>
      <selection sqref="A1:J1"/>
      <selection pane="bottomLeft" sqref="A1:I1"/>
    </sheetView>
  </sheetViews>
  <sheetFormatPr defaultColWidth="9" defaultRowHeight="19.95" customHeight="1"/>
  <cols>
    <col min="1" max="1" width="21.09765625" style="1" customWidth="1"/>
    <col min="2" max="7" width="10.59765625" style="1" customWidth="1"/>
    <col min="8" max="16384" width="9" style="1"/>
  </cols>
  <sheetData>
    <row r="1" spans="1:10" s="201" customFormat="1" ht="19.95" customHeight="1">
      <c r="A1" s="393" t="s">
        <v>0</v>
      </c>
      <c r="B1" s="393"/>
      <c r="C1" s="393"/>
      <c r="D1" s="393"/>
      <c r="E1" s="393"/>
      <c r="F1" s="393"/>
      <c r="G1" s="393"/>
      <c r="H1" s="393"/>
      <c r="I1" s="393"/>
      <c r="J1" s="200"/>
    </row>
    <row r="2" spans="1:10" s="211" customFormat="1" ht="19.95" customHeight="1">
      <c r="A2" s="394" t="s">
        <v>390</v>
      </c>
      <c r="B2" s="394"/>
      <c r="C2" s="394"/>
      <c r="D2" s="394"/>
      <c r="E2" s="394"/>
      <c r="F2" s="394"/>
      <c r="G2" s="394"/>
      <c r="H2" s="394"/>
      <c r="I2" s="394"/>
      <c r="J2" s="210"/>
    </row>
    <row r="3" spans="1:10" ht="19.95" customHeight="1">
      <c r="A3" s="2" t="str">
        <f>底稿目录!A2</f>
        <v>被审计单位：</v>
      </c>
      <c r="B3" s="2"/>
      <c r="C3" s="2"/>
      <c r="D3" s="2" t="str">
        <f>底稿目录!A4</f>
        <v>编制人：</v>
      </c>
      <c r="F3" s="2" t="str">
        <f>底稿目录!A6</f>
        <v>编制日期：</v>
      </c>
      <c r="H3" s="252" t="s">
        <v>401</v>
      </c>
      <c r="I3" s="147" t="s">
        <v>88</v>
      </c>
    </row>
    <row r="4" spans="1:10" ht="19.95" customHeight="1">
      <c r="A4" s="2" t="str">
        <f>底稿目录!A3</f>
        <v>截止日：</v>
      </c>
      <c r="B4" s="2"/>
      <c r="C4" s="2"/>
      <c r="D4" s="2" t="str">
        <f>底稿目录!A5</f>
        <v>复核人：</v>
      </c>
      <c r="F4" s="2" t="str">
        <f>底稿目录!A7</f>
        <v>复核日期：</v>
      </c>
      <c r="H4" s="252" t="s">
        <v>402</v>
      </c>
      <c r="I4" s="148"/>
    </row>
    <row r="5" spans="1:10" ht="30.6" customHeight="1">
      <c r="A5" s="395" t="s">
        <v>147</v>
      </c>
      <c r="B5" s="397" t="s">
        <v>148</v>
      </c>
      <c r="C5" s="398"/>
      <c r="D5" s="399"/>
      <c r="E5" s="397" t="s">
        <v>149</v>
      </c>
      <c r="F5" s="398"/>
      <c r="G5" s="399"/>
      <c r="H5" s="391" t="s">
        <v>150</v>
      </c>
      <c r="I5" s="392"/>
    </row>
    <row r="6" spans="1:10" ht="19.95" customHeight="1">
      <c r="A6" s="396"/>
      <c r="B6" s="84" t="s">
        <v>151</v>
      </c>
      <c r="C6" s="84" t="s">
        <v>152</v>
      </c>
      <c r="D6" s="84" t="s">
        <v>153</v>
      </c>
      <c r="E6" s="84" t="s">
        <v>151</v>
      </c>
      <c r="F6" s="84" t="s">
        <v>154</v>
      </c>
      <c r="G6" s="84" t="s">
        <v>155</v>
      </c>
      <c r="H6" s="157" t="s">
        <v>156</v>
      </c>
      <c r="I6" s="158" t="s">
        <v>157</v>
      </c>
    </row>
    <row r="7" spans="1:10" ht="19.95" customHeight="1">
      <c r="A7" s="45" t="s">
        <v>158</v>
      </c>
      <c r="B7" s="45"/>
      <c r="C7" s="45"/>
      <c r="D7" s="45"/>
      <c r="E7" s="45"/>
      <c r="F7" s="45"/>
      <c r="G7" s="45"/>
      <c r="H7" s="45"/>
      <c r="I7" s="45"/>
    </row>
    <row r="8" spans="1:10" ht="19.95" customHeight="1">
      <c r="A8" s="159" t="str">
        <f>底稿目录!A9</f>
        <v>专用材料</v>
      </c>
      <c r="B8" s="111">
        <f>'明细表H4-2'!G30</f>
        <v>0</v>
      </c>
      <c r="C8" s="111">
        <f>'明细表H4-2'!R30</f>
        <v>0</v>
      </c>
      <c r="D8" s="111">
        <f>B8+C8</f>
        <v>0</v>
      </c>
      <c r="E8" s="111">
        <f>'明细表H4-2'!P30</f>
        <v>0</v>
      </c>
      <c r="F8" s="111">
        <f>'明细表H4-2'!R30+'明细表H4-2'!T30-'明细表H4-2'!V30</f>
        <v>0</v>
      </c>
      <c r="G8" s="111">
        <f>E8+F8</f>
        <v>0</v>
      </c>
      <c r="H8" s="104">
        <f>G8-D8</f>
        <v>0</v>
      </c>
      <c r="I8" s="112">
        <f t="shared" ref="I8:I13" si="0">IF(AND(D8=0,H8=0),0,IF(AND(D8=0,H8&gt;0),1,H8/D8))</f>
        <v>0</v>
      </c>
    </row>
    <row r="9" spans="1:10" ht="19.95" customHeight="1">
      <c r="A9" s="159" t="str">
        <f>底稿目录!A10</f>
        <v>专用设备</v>
      </c>
      <c r="B9" s="111">
        <f>'明细表H4-2'!G31</f>
        <v>0</v>
      </c>
      <c r="C9" s="111">
        <f>'明细表H4-2'!R31</f>
        <v>0</v>
      </c>
      <c r="D9" s="111">
        <f>B9+C9</f>
        <v>0</v>
      </c>
      <c r="E9" s="111">
        <f>'明细表H4-2'!P31</f>
        <v>0</v>
      </c>
      <c r="F9" s="111">
        <f>'明细表H4-2'!R31+'明细表H4-2'!T31-'明细表H4-2'!V31</f>
        <v>0</v>
      </c>
      <c r="G9" s="111">
        <f>E9+F9</f>
        <v>0</v>
      </c>
      <c r="H9" s="104">
        <f>G9-D9</f>
        <v>0</v>
      </c>
      <c r="I9" s="112">
        <f t="shared" si="0"/>
        <v>0</v>
      </c>
    </row>
    <row r="10" spans="1:10" ht="19.95" customHeight="1">
      <c r="A10" s="159" t="str">
        <f>底稿目录!A11</f>
        <v>工器具</v>
      </c>
      <c r="B10" s="111">
        <f>'明细表H4-2'!G32</f>
        <v>0</v>
      </c>
      <c r="C10" s="111">
        <f>'明细表H4-2'!R32</f>
        <v>0</v>
      </c>
      <c r="D10" s="111">
        <f>B10+C10</f>
        <v>0</v>
      </c>
      <c r="E10" s="111">
        <f>'明细表H4-2'!P32</f>
        <v>0</v>
      </c>
      <c r="F10" s="111">
        <f>'明细表H4-2'!R32+'明细表H4-2'!T32-'明细表H4-2'!V32</f>
        <v>0</v>
      </c>
      <c r="G10" s="111">
        <f>E10+F10</f>
        <v>0</v>
      </c>
      <c r="H10" s="104">
        <f>G10-D10</f>
        <v>0</v>
      </c>
      <c r="I10" s="112">
        <f t="shared" si="0"/>
        <v>0</v>
      </c>
    </row>
    <row r="11" spans="1:10" ht="19.95" customHeight="1">
      <c r="A11" s="159" t="str">
        <f>底稿目录!A12</f>
        <v>其他</v>
      </c>
      <c r="B11" s="111">
        <f>'明细表H4-2'!G33</f>
        <v>0</v>
      </c>
      <c r="C11" s="111">
        <f>'明细表H4-2'!R33</f>
        <v>0</v>
      </c>
      <c r="D11" s="111">
        <f>B11+C11</f>
        <v>0</v>
      </c>
      <c r="E11" s="111">
        <f>'明细表H4-2'!P33</f>
        <v>0</v>
      </c>
      <c r="F11" s="111">
        <f>'明细表H4-2'!R33+'明细表H4-2'!T33-'明细表H4-2'!V33</f>
        <v>0</v>
      </c>
      <c r="G11" s="111">
        <f>E11+F11</f>
        <v>0</v>
      </c>
      <c r="H11" s="104">
        <f>G11-D11</f>
        <v>0</v>
      </c>
      <c r="I11" s="112">
        <f t="shared" si="0"/>
        <v>0</v>
      </c>
    </row>
    <row r="12" spans="1:10" ht="19.95" customHeight="1">
      <c r="A12" s="159" t="str">
        <f>底稿目录!A13</f>
        <v>……</v>
      </c>
      <c r="B12" s="111">
        <f>'明细表H4-2'!G34</f>
        <v>0</v>
      </c>
      <c r="C12" s="111">
        <f>'明细表H4-2'!R34</f>
        <v>0</v>
      </c>
      <c r="D12" s="111">
        <f>B12+C12</f>
        <v>0</v>
      </c>
      <c r="E12" s="111">
        <f>'明细表H4-2'!P34</f>
        <v>0</v>
      </c>
      <c r="F12" s="111">
        <f>'明细表H4-2'!R34+'明细表H4-2'!T34-'明细表H4-2'!V34</f>
        <v>0</v>
      </c>
      <c r="G12" s="111">
        <f>E12+F12</f>
        <v>0</v>
      </c>
      <c r="H12" s="104">
        <f>G12-D12</f>
        <v>0</v>
      </c>
      <c r="I12" s="112">
        <f t="shared" si="0"/>
        <v>0</v>
      </c>
    </row>
    <row r="13" spans="1:10" ht="19.95" customHeight="1">
      <c r="A13" s="54" t="s">
        <v>159</v>
      </c>
      <c r="B13" s="250">
        <f t="shared" ref="B13:H13" si="1">SUM(B8:B12)</f>
        <v>0</v>
      </c>
      <c r="C13" s="250">
        <f t="shared" si="1"/>
        <v>0</v>
      </c>
      <c r="D13" s="250">
        <f t="shared" si="1"/>
        <v>0</v>
      </c>
      <c r="E13" s="250">
        <f t="shared" si="1"/>
        <v>0</v>
      </c>
      <c r="F13" s="250">
        <f t="shared" si="1"/>
        <v>0</v>
      </c>
      <c r="G13" s="250">
        <f t="shared" si="1"/>
        <v>0</v>
      </c>
      <c r="H13" s="250">
        <f t="shared" si="1"/>
        <v>0</v>
      </c>
      <c r="I13" s="251">
        <f t="shared" si="0"/>
        <v>0</v>
      </c>
    </row>
    <row r="14" spans="1:10" ht="19.95" customHeight="1">
      <c r="A14" s="45" t="s">
        <v>160</v>
      </c>
      <c r="B14" s="45"/>
      <c r="C14" s="45"/>
      <c r="D14" s="45"/>
      <c r="E14" s="45"/>
      <c r="F14" s="45"/>
      <c r="G14" s="45"/>
      <c r="H14" s="45"/>
      <c r="I14" s="55"/>
    </row>
    <row r="15" spans="1:10" ht="19.95" customHeight="1">
      <c r="A15" s="160" t="str">
        <f>A8</f>
        <v>专用材料</v>
      </c>
      <c r="B15" s="111">
        <f>'明细表H4-2'!AI30</f>
        <v>0</v>
      </c>
      <c r="C15" s="111">
        <f>'明细表H4-2'!AM30</f>
        <v>0</v>
      </c>
      <c r="D15" s="111">
        <f>B15+C15</f>
        <v>0</v>
      </c>
      <c r="E15" s="111">
        <f>'明细表H4-2'!AL30</f>
        <v>0</v>
      </c>
      <c r="F15" s="111">
        <f>'明细表H4-2'!AM30+'明细表H4-2'!AN30-'明细表H4-2'!AO30</f>
        <v>0</v>
      </c>
      <c r="G15" s="111">
        <f>E15+F15</f>
        <v>0</v>
      </c>
      <c r="H15" s="104">
        <f>G15-D15</f>
        <v>0</v>
      </c>
      <c r="I15" s="112">
        <f t="shared" ref="I15:I20" si="2">IF(AND(D15=0,H15=0),0,IF(AND(D15=0,H15&gt;0),1,H15/D15))</f>
        <v>0</v>
      </c>
    </row>
    <row r="16" spans="1:10" ht="19.95" customHeight="1">
      <c r="A16" s="160" t="str">
        <f>A9</f>
        <v>专用设备</v>
      </c>
      <c r="B16" s="111">
        <f>'明细表H4-2'!AI31</f>
        <v>0</v>
      </c>
      <c r="C16" s="111">
        <f>'明细表H4-2'!AM31</f>
        <v>0</v>
      </c>
      <c r="D16" s="111">
        <f>B16+C16</f>
        <v>0</v>
      </c>
      <c r="E16" s="111">
        <f>'明细表H4-2'!AL31</f>
        <v>0</v>
      </c>
      <c r="F16" s="111">
        <f>'明细表H4-2'!AM31+'明细表H4-2'!AN31-'明细表H4-2'!AO31</f>
        <v>0</v>
      </c>
      <c r="G16" s="111">
        <f>E16+F16</f>
        <v>0</v>
      </c>
      <c r="H16" s="104">
        <f>G16-D16</f>
        <v>0</v>
      </c>
      <c r="I16" s="112">
        <f t="shared" si="2"/>
        <v>0</v>
      </c>
    </row>
    <row r="17" spans="1:9" ht="19.95" customHeight="1">
      <c r="A17" s="160" t="str">
        <f>A10</f>
        <v>工器具</v>
      </c>
      <c r="B17" s="111">
        <f>'明细表H4-2'!AI32</f>
        <v>0</v>
      </c>
      <c r="C17" s="111">
        <f>'明细表H4-2'!AM32</f>
        <v>0</v>
      </c>
      <c r="D17" s="111">
        <f>B17+C17</f>
        <v>0</v>
      </c>
      <c r="E17" s="111">
        <f>'明细表H4-2'!AL32</f>
        <v>0</v>
      </c>
      <c r="F17" s="111">
        <f>'明细表H4-2'!AM32+'明细表H4-2'!AN32-'明细表H4-2'!AO32</f>
        <v>0</v>
      </c>
      <c r="G17" s="111">
        <f>E17+F17</f>
        <v>0</v>
      </c>
      <c r="H17" s="104">
        <f>G17-D17</f>
        <v>0</v>
      </c>
      <c r="I17" s="112">
        <f t="shared" si="2"/>
        <v>0</v>
      </c>
    </row>
    <row r="18" spans="1:9" ht="19.95" customHeight="1">
      <c r="A18" s="160" t="str">
        <f>A11</f>
        <v>其他</v>
      </c>
      <c r="B18" s="111">
        <f>'明细表H4-2'!AI33</f>
        <v>0</v>
      </c>
      <c r="C18" s="111">
        <f>'明细表H4-2'!AM33</f>
        <v>0</v>
      </c>
      <c r="D18" s="111">
        <f>B18+C18</f>
        <v>0</v>
      </c>
      <c r="E18" s="111">
        <f>'明细表H4-2'!AL33</f>
        <v>0</v>
      </c>
      <c r="F18" s="111">
        <f>'明细表H4-2'!AM33+'明细表H4-2'!AN33-'明细表H4-2'!AO33</f>
        <v>0</v>
      </c>
      <c r="G18" s="111">
        <f>E18+F18</f>
        <v>0</v>
      </c>
      <c r="H18" s="104">
        <f>G18-D18</f>
        <v>0</v>
      </c>
      <c r="I18" s="112">
        <f t="shared" si="2"/>
        <v>0</v>
      </c>
    </row>
    <row r="19" spans="1:9" ht="19.95" customHeight="1">
      <c r="A19" s="160" t="str">
        <f>A12</f>
        <v>……</v>
      </c>
      <c r="B19" s="111">
        <f>'明细表H4-2'!AI34</f>
        <v>0</v>
      </c>
      <c r="C19" s="111">
        <f>'明细表H4-2'!AM34</f>
        <v>0</v>
      </c>
      <c r="D19" s="286">
        <f>B19+C19</f>
        <v>0</v>
      </c>
      <c r="E19" s="286">
        <f>'明细表H4-2'!AL34</f>
        <v>0</v>
      </c>
      <c r="F19" s="286">
        <f>'明细表H4-2'!AM34+'明细表H4-2'!AN34-'明细表H4-2'!AO34</f>
        <v>0</v>
      </c>
      <c r="G19" s="286">
        <f>E19+F19</f>
        <v>0</v>
      </c>
      <c r="H19" s="287">
        <f>G19-D19</f>
        <v>0</v>
      </c>
      <c r="I19" s="288">
        <f t="shared" si="2"/>
        <v>0</v>
      </c>
    </row>
    <row r="20" spans="1:9" ht="19.95" customHeight="1">
      <c r="A20" s="54" t="s">
        <v>159</v>
      </c>
      <c r="B20" s="250">
        <f>SUM(B15:B19)</f>
        <v>0</v>
      </c>
      <c r="C20" s="250">
        <f t="shared" ref="C20:H20" si="3">SUM(C15:C19)</f>
        <v>0</v>
      </c>
      <c r="D20" s="289">
        <f t="shared" si="3"/>
        <v>0</v>
      </c>
      <c r="E20" s="289">
        <f t="shared" si="3"/>
        <v>0</v>
      </c>
      <c r="F20" s="289">
        <f t="shared" si="3"/>
        <v>0</v>
      </c>
      <c r="G20" s="289">
        <f t="shared" si="3"/>
        <v>0</v>
      </c>
      <c r="H20" s="289">
        <f t="shared" si="3"/>
        <v>0</v>
      </c>
      <c r="I20" s="290">
        <f t="shared" si="2"/>
        <v>0</v>
      </c>
    </row>
    <row r="21" spans="1:9" ht="19.95" customHeight="1">
      <c r="A21" s="45" t="s">
        <v>161</v>
      </c>
      <c r="B21" s="45"/>
      <c r="C21" s="45"/>
      <c r="D21" s="45"/>
      <c r="E21" s="45"/>
      <c r="F21" s="45"/>
      <c r="G21" s="45"/>
      <c r="H21" s="45"/>
      <c r="I21" s="55"/>
    </row>
    <row r="22" spans="1:9" ht="19.95" customHeight="1">
      <c r="A22" s="160" t="str">
        <f>A8</f>
        <v>专用材料</v>
      </c>
      <c r="B22" s="111">
        <f t="shared" ref="B22:C26" si="4">B8-B15</f>
        <v>0</v>
      </c>
      <c r="C22" s="111">
        <f t="shared" si="4"/>
        <v>0</v>
      </c>
      <c r="D22" s="111">
        <f>B22+C22</f>
        <v>0</v>
      </c>
      <c r="E22" s="111">
        <f>E8-E15</f>
        <v>0</v>
      </c>
      <c r="F22" s="111">
        <f>F8-F15</f>
        <v>0</v>
      </c>
      <c r="G22" s="111">
        <f>E22+F22</f>
        <v>0</v>
      </c>
      <c r="H22" s="104">
        <f>G22-D22</f>
        <v>0</v>
      </c>
      <c r="I22" s="112">
        <f t="shared" ref="I22:I27" si="5">IF(AND(D22=0,H22=0),0,IF(AND(D22=0,H22&gt;0),1,H22/D22))</f>
        <v>0</v>
      </c>
    </row>
    <row r="23" spans="1:9" ht="19.95" customHeight="1">
      <c r="A23" s="160" t="str">
        <f>A9</f>
        <v>专用设备</v>
      </c>
      <c r="B23" s="111">
        <f t="shared" si="4"/>
        <v>0</v>
      </c>
      <c r="C23" s="111">
        <f t="shared" si="4"/>
        <v>0</v>
      </c>
      <c r="D23" s="111">
        <f>B23+C23</f>
        <v>0</v>
      </c>
      <c r="E23" s="111">
        <f t="shared" ref="E23:F26" si="6">E9-E16</f>
        <v>0</v>
      </c>
      <c r="F23" s="111">
        <f t="shared" si="6"/>
        <v>0</v>
      </c>
      <c r="G23" s="111">
        <f>E23+F23</f>
        <v>0</v>
      </c>
      <c r="H23" s="104">
        <f>G23-D23</f>
        <v>0</v>
      </c>
      <c r="I23" s="112">
        <f t="shared" si="5"/>
        <v>0</v>
      </c>
    </row>
    <row r="24" spans="1:9" ht="19.95" customHeight="1">
      <c r="A24" s="160" t="str">
        <f>A10</f>
        <v>工器具</v>
      </c>
      <c r="B24" s="111">
        <f t="shared" si="4"/>
        <v>0</v>
      </c>
      <c r="C24" s="111">
        <f t="shared" si="4"/>
        <v>0</v>
      </c>
      <c r="D24" s="111">
        <f>B24+C24</f>
        <v>0</v>
      </c>
      <c r="E24" s="111">
        <f t="shared" si="6"/>
        <v>0</v>
      </c>
      <c r="F24" s="111">
        <f t="shared" si="6"/>
        <v>0</v>
      </c>
      <c r="G24" s="111">
        <f>E24+F24</f>
        <v>0</v>
      </c>
      <c r="H24" s="104">
        <f>G24-D24</f>
        <v>0</v>
      </c>
      <c r="I24" s="112">
        <f t="shared" si="5"/>
        <v>0</v>
      </c>
    </row>
    <row r="25" spans="1:9" s="4" customFormat="1" ht="19.95" customHeight="1">
      <c r="A25" s="160" t="str">
        <f>A11</f>
        <v>其他</v>
      </c>
      <c r="B25" s="111">
        <f t="shared" si="4"/>
        <v>0</v>
      </c>
      <c r="C25" s="111">
        <f t="shared" si="4"/>
        <v>0</v>
      </c>
      <c r="D25" s="111">
        <f>B25+C25</f>
        <v>0</v>
      </c>
      <c r="E25" s="111">
        <f t="shared" si="6"/>
        <v>0</v>
      </c>
      <c r="F25" s="111">
        <f t="shared" si="6"/>
        <v>0</v>
      </c>
      <c r="G25" s="111">
        <f>E25+F25</f>
        <v>0</v>
      </c>
      <c r="H25" s="104">
        <f>G25-D25</f>
        <v>0</v>
      </c>
      <c r="I25" s="112">
        <f t="shared" si="5"/>
        <v>0</v>
      </c>
    </row>
    <row r="26" spans="1:9" s="4" customFormat="1" ht="19.95" customHeight="1">
      <c r="A26" s="160" t="str">
        <f>A12</f>
        <v>……</v>
      </c>
      <c r="B26" s="111">
        <f t="shared" si="4"/>
        <v>0</v>
      </c>
      <c r="C26" s="111">
        <f t="shared" si="4"/>
        <v>0</v>
      </c>
      <c r="D26" s="111">
        <f>B26+C26</f>
        <v>0</v>
      </c>
      <c r="E26" s="111">
        <f t="shared" si="6"/>
        <v>0</v>
      </c>
      <c r="F26" s="111">
        <f t="shared" si="6"/>
        <v>0</v>
      </c>
      <c r="G26" s="111">
        <f>E26+F26</f>
        <v>0</v>
      </c>
      <c r="H26" s="104">
        <f>G26-D26</f>
        <v>0</v>
      </c>
      <c r="I26" s="112">
        <f t="shared" si="5"/>
        <v>0</v>
      </c>
    </row>
    <row r="27" spans="1:9" ht="19.95" customHeight="1">
      <c r="A27" s="54" t="s">
        <v>8</v>
      </c>
      <c r="B27" s="250">
        <f>SUM(B22:B26)</f>
        <v>0</v>
      </c>
      <c r="C27" s="250">
        <f t="shared" ref="C27:H27" si="7">SUM(C22:C26)</f>
        <v>0</v>
      </c>
      <c r="D27" s="250">
        <f t="shared" si="7"/>
        <v>0</v>
      </c>
      <c r="E27" s="250">
        <f t="shared" si="7"/>
        <v>0</v>
      </c>
      <c r="F27" s="250">
        <f t="shared" si="7"/>
        <v>0</v>
      </c>
      <c r="G27" s="250">
        <f t="shared" si="7"/>
        <v>0</v>
      </c>
      <c r="H27" s="250">
        <f t="shared" si="7"/>
        <v>0</v>
      </c>
      <c r="I27" s="251">
        <f t="shared" si="5"/>
        <v>0</v>
      </c>
    </row>
    <row r="28" spans="1:9" ht="19.95" customHeight="1">
      <c r="A28" s="161" t="s">
        <v>162</v>
      </c>
    </row>
    <row r="29" spans="1:9" ht="19.95" customHeight="1">
      <c r="A29" s="79" t="s">
        <v>163</v>
      </c>
      <c r="D29" s="46"/>
    </row>
    <row r="30" spans="1:9" ht="19.95" customHeight="1">
      <c r="A30" s="79" t="s">
        <v>164</v>
      </c>
    </row>
    <row r="33" spans="1:3" ht="19.95" customHeight="1">
      <c r="A33" s="1" t="s">
        <v>165</v>
      </c>
    </row>
    <row r="35" spans="1:3" ht="19.95" customHeight="1">
      <c r="A35" s="1" t="s">
        <v>166</v>
      </c>
      <c r="B35" s="79"/>
      <c r="C35" s="79"/>
    </row>
    <row r="36" spans="1:3" ht="19.95" customHeight="1">
      <c r="A36" s="80"/>
      <c r="B36" s="81" t="s">
        <v>167</v>
      </c>
      <c r="C36" s="81" t="s">
        <v>168</v>
      </c>
    </row>
    <row r="37" spans="1:3" ht="19.95" customHeight="1">
      <c r="A37" s="80" t="s">
        <v>169</v>
      </c>
      <c r="B37" s="82"/>
      <c r="C37" s="82"/>
    </row>
    <row r="38" spans="1:3" ht="19.95" customHeight="1">
      <c r="A38" s="80" t="s">
        <v>170</v>
      </c>
      <c r="B38" s="114">
        <f>G27</f>
        <v>0</v>
      </c>
      <c r="C38" s="114">
        <f>D27</f>
        <v>0</v>
      </c>
    </row>
    <row r="39" spans="1:3" ht="19.95" customHeight="1">
      <c r="A39" s="80" t="s">
        <v>171</v>
      </c>
      <c r="B39" s="82">
        <f>B37+B38</f>
        <v>0</v>
      </c>
      <c r="C39" s="82">
        <f>C37+C38</f>
        <v>0</v>
      </c>
    </row>
    <row r="40" spans="1:3" ht="19.95" customHeight="1">
      <c r="A40" s="80" t="s">
        <v>172</v>
      </c>
      <c r="B40" s="82"/>
      <c r="C40" s="82"/>
    </row>
    <row r="41" spans="1:3" ht="19.95" customHeight="1">
      <c r="A41" s="80" t="s">
        <v>173</v>
      </c>
      <c r="B41" s="114">
        <f>B39-B40</f>
        <v>0</v>
      </c>
      <c r="C41" s="114">
        <f>C39-C40</f>
        <v>0</v>
      </c>
    </row>
    <row r="43" spans="1:3" ht="19.95" customHeight="1">
      <c r="A43" s="83" t="s">
        <v>45</v>
      </c>
    </row>
    <row r="44" spans="1:3" ht="19.95" customHeight="1">
      <c r="A44" s="113"/>
    </row>
    <row r="48" spans="1:3" s="5" customFormat="1" ht="19.95" customHeight="1">
      <c r="A48" s="256" t="s">
        <v>416</v>
      </c>
    </row>
    <row r="49" spans="1:1" s="5" customFormat="1" ht="19.95" customHeight="1">
      <c r="A49" s="5" t="s">
        <v>174</v>
      </c>
    </row>
    <row r="50" spans="1:1" s="5" customFormat="1" ht="19.95" customHeight="1">
      <c r="A50" s="5" t="s">
        <v>175</v>
      </c>
    </row>
    <row r="51" spans="1:1" s="5" customFormat="1" ht="19.95" customHeight="1">
      <c r="A51" s="5" t="s">
        <v>176</v>
      </c>
    </row>
    <row r="52" spans="1:1" s="5" customFormat="1" ht="19.95" customHeight="1">
      <c r="A52" s="5" t="s">
        <v>177</v>
      </c>
    </row>
    <row r="53" spans="1:1" s="5" customFormat="1" ht="19.95" customHeight="1">
      <c r="A53" s="5" t="s">
        <v>178</v>
      </c>
    </row>
    <row r="54" spans="1:1" s="5" customFormat="1" ht="19.95" customHeight="1">
      <c r="A54" s="5" t="s">
        <v>179</v>
      </c>
    </row>
    <row r="55" spans="1:1" s="5" customFormat="1" ht="19.95" customHeight="1">
      <c r="A55" s="162" t="s">
        <v>180</v>
      </c>
    </row>
    <row r="56" spans="1:1" s="5" customFormat="1" ht="19.95" customHeight="1">
      <c r="A56" s="5" t="s">
        <v>181</v>
      </c>
    </row>
    <row r="57" spans="1:1" s="5" customFormat="1" ht="19.95" customHeight="1">
      <c r="A57" s="5" t="s">
        <v>182</v>
      </c>
    </row>
    <row r="58" spans="1:1" ht="19.95" customHeight="1">
      <c r="A58" s="5" t="s">
        <v>183</v>
      </c>
    </row>
    <row r="59" spans="1:1" ht="19.95" customHeight="1">
      <c r="A59" s="5" t="s">
        <v>184</v>
      </c>
    </row>
    <row r="60" spans="1:1" ht="19.95" customHeight="1">
      <c r="A60" s="5" t="s">
        <v>185</v>
      </c>
    </row>
    <row r="61" spans="1:1" ht="19.95" customHeight="1">
      <c r="A61" s="5" t="s">
        <v>186</v>
      </c>
    </row>
    <row r="62" spans="1:1" ht="19.95" customHeight="1">
      <c r="A62" s="5" t="s">
        <v>187</v>
      </c>
    </row>
    <row r="64" spans="1:1" ht="19.95" customHeight="1">
      <c r="A64" s="5" t="s">
        <v>188</v>
      </c>
    </row>
  </sheetData>
  <mergeCells count="6">
    <mergeCell ref="H5:I5"/>
    <mergeCell ref="A1:I1"/>
    <mergeCell ref="A2:I2"/>
    <mergeCell ref="A5:A6"/>
    <mergeCell ref="B5:D5"/>
    <mergeCell ref="E5:G5"/>
  </mergeCells>
  <phoneticPr fontId="6" type="noConversion"/>
  <dataValidations count="1">
    <dataValidation type="list" allowBlank="1" showInputMessage="1" showErrorMessage="1" sqref="A44">
      <formula1>"A：未见异常，可以确认。,B：经审计调整可以确认。,C：由于存在上述重大未调整事项（或审计范围受到限制无法获取充分、适当证据），不可确认。"</formula1>
    </dataValidation>
  </dataValidations>
  <hyperlinks>
    <hyperlink ref="I3" location="底稿目录!A1" display="H4A"/>
  </hyperlinks>
  <printOptions horizontalCentered="1"/>
  <pageMargins left="0.70866141732283472" right="0.70866141732283472" top="0.74803149606299213" bottom="0.74803149606299213" header="0.31496062992125984" footer="0.31496062992125984"/>
  <pageSetup paperSize="9" scale="79"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T18"/>
  <sheetViews>
    <sheetView view="pageBreakPreview" zoomScaleNormal="115" zoomScaleSheetLayoutView="100" workbookViewId="0">
      <selection sqref="A1:E1"/>
    </sheetView>
  </sheetViews>
  <sheetFormatPr defaultColWidth="9" defaultRowHeight="19.95" customHeight="1"/>
  <cols>
    <col min="1" max="1" width="19.59765625" style="64" bestFit="1" customWidth="1"/>
    <col min="2" max="5" width="14.59765625" style="64" customWidth="1"/>
    <col min="6" max="6" width="14.09765625" style="64" customWidth="1"/>
    <col min="7" max="16384" width="9" style="64"/>
  </cols>
  <sheetData>
    <row r="1" spans="1:254" s="199" customFormat="1" ht="19.95" customHeight="1">
      <c r="A1" s="400" t="s">
        <v>0</v>
      </c>
      <c r="B1" s="400"/>
      <c r="C1" s="400"/>
      <c r="D1" s="400"/>
      <c r="E1" s="400"/>
      <c r="F1" s="196"/>
      <c r="G1" s="196"/>
      <c r="H1" s="196"/>
      <c r="I1" s="196"/>
      <c r="J1" s="196"/>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c r="CT1" s="65"/>
      <c r="CU1" s="65"/>
      <c r="CV1" s="65"/>
      <c r="CW1" s="65"/>
      <c r="CX1" s="65"/>
      <c r="CY1" s="65"/>
      <c r="CZ1" s="65"/>
      <c r="DA1" s="65"/>
      <c r="DB1" s="65"/>
      <c r="DC1" s="65"/>
      <c r="DD1" s="65"/>
      <c r="DE1" s="65"/>
      <c r="DF1" s="65"/>
      <c r="DG1" s="65"/>
      <c r="DH1" s="65"/>
      <c r="DI1" s="65"/>
      <c r="DJ1" s="65"/>
      <c r="DK1" s="65"/>
      <c r="DL1" s="65"/>
      <c r="DM1" s="65"/>
      <c r="DN1" s="65"/>
      <c r="DO1" s="65"/>
      <c r="DP1" s="65"/>
      <c r="DQ1" s="65"/>
      <c r="DR1" s="65"/>
      <c r="DS1" s="65"/>
      <c r="DT1" s="65"/>
      <c r="DU1" s="65"/>
      <c r="DV1" s="65"/>
      <c r="DW1" s="65"/>
      <c r="DX1" s="65"/>
      <c r="DY1" s="65"/>
      <c r="DZ1" s="65"/>
      <c r="EA1" s="65"/>
      <c r="EB1" s="65"/>
      <c r="EC1" s="65"/>
      <c r="ED1" s="65"/>
      <c r="EE1" s="65"/>
      <c r="EF1" s="65"/>
      <c r="EG1" s="65"/>
      <c r="EH1" s="65"/>
      <c r="EI1" s="65"/>
      <c r="EJ1" s="65"/>
      <c r="EK1" s="65"/>
      <c r="EL1" s="65"/>
      <c r="EM1" s="65"/>
      <c r="EN1" s="65"/>
      <c r="EO1" s="65"/>
      <c r="EP1" s="65"/>
      <c r="EQ1" s="65"/>
      <c r="ER1" s="65"/>
      <c r="ES1" s="65"/>
      <c r="ET1" s="65"/>
      <c r="EU1" s="65"/>
      <c r="EV1" s="65"/>
      <c r="EW1" s="65"/>
      <c r="EX1" s="65"/>
      <c r="EY1" s="65"/>
      <c r="EZ1" s="65"/>
      <c r="FA1" s="65"/>
      <c r="FB1" s="65"/>
      <c r="FC1" s="65"/>
      <c r="FD1" s="65"/>
      <c r="FE1" s="65"/>
      <c r="FF1" s="65"/>
      <c r="FG1" s="65"/>
      <c r="FH1" s="65"/>
      <c r="FI1" s="65"/>
      <c r="FJ1" s="65"/>
      <c r="FK1" s="65"/>
      <c r="FL1" s="65"/>
      <c r="FM1" s="65"/>
      <c r="FN1" s="65"/>
      <c r="FO1" s="65"/>
      <c r="FP1" s="65"/>
      <c r="FQ1" s="65"/>
      <c r="FR1" s="65"/>
      <c r="FS1" s="65"/>
      <c r="FT1" s="65"/>
      <c r="FU1" s="65"/>
      <c r="FV1" s="65"/>
      <c r="FW1" s="65"/>
      <c r="FX1" s="65"/>
      <c r="FY1" s="65"/>
      <c r="FZ1" s="65"/>
      <c r="GA1" s="65"/>
      <c r="GB1" s="65"/>
      <c r="GC1" s="65"/>
      <c r="GD1" s="65"/>
      <c r="GE1" s="65"/>
      <c r="GF1" s="65"/>
      <c r="GG1" s="65"/>
      <c r="GH1" s="65"/>
      <c r="GI1" s="65"/>
      <c r="GJ1" s="65"/>
      <c r="GK1" s="65"/>
      <c r="GL1" s="65"/>
      <c r="GM1" s="65"/>
      <c r="GN1" s="65"/>
      <c r="GO1" s="65"/>
      <c r="GP1" s="65"/>
      <c r="GQ1" s="65"/>
      <c r="GR1" s="65"/>
      <c r="GS1" s="65"/>
      <c r="GT1" s="65"/>
      <c r="GU1" s="65"/>
      <c r="GV1" s="65"/>
      <c r="GW1" s="65"/>
      <c r="GX1" s="65"/>
      <c r="GY1" s="65"/>
      <c r="GZ1" s="65"/>
      <c r="HA1" s="65"/>
      <c r="HB1" s="65"/>
      <c r="HC1" s="65"/>
      <c r="HD1" s="65"/>
      <c r="HE1" s="65"/>
      <c r="HF1" s="65"/>
      <c r="HG1" s="65"/>
      <c r="HH1" s="65"/>
      <c r="HI1" s="65"/>
      <c r="HJ1" s="65"/>
      <c r="HK1" s="65"/>
      <c r="HL1" s="65"/>
      <c r="HM1" s="65"/>
      <c r="HN1" s="65"/>
      <c r="HO1" s="65"/>
      <c r="HP1" s="65"/>
      <c r="HQ1" s="65"/>
      <c r="HR1" s="65"/>
      <c r="HS1" s="65"/>
      <c r="HT1" s="65"/>
      <c r="HU1" s="65"/>
      <c r="HV1" s="65"/>
      <c r="HW1" s="65"/>
      <c r="HX1" s="65"/>
      <c r="HY1" s="65"/>
      <c r="HZ1" s="65"/>
      <c r="IA1" s="65"/>
      <c r="IB1" s="65"/>
      <c r="IC1" s="65"/>
      <c r="ID1" s="65"/>
      <c r="IE1" s="65"/>
      <c r="IF1" s="65"/>
      <c r="IG1" s="65"/>
      <c r="IH1" s="65"/>
      <c r="II1" s="65"/>
      <c r="IJ1" s="65"/>
      <c r="IK1" s="65"/>
      <c r="IL1" s="65"/>
      <c r="IM1" s="65"/>
      <c r="IN1" s="65"/>
      <c r="IO1" s="65"/>
      <c r="IP1" s="65"/>
      <c r="IQ1" s="65"/>
      <c r="IR1" s="65"/>
      <c r="IS1" s="65"/>
      <c r="IT1" s="65"/>
    </row>
    <row r="2" spans="1:254" s="209" customFormat="1" ht="19.95" customHeight="1">
      <c r="A2" s="401" t="s">
        <v>50</v>
      </c>
      <c r="B2" s="401"/>
      <c r="C2" s="401"/>
      <c r="D2" s="401"/>
      <c r="E2" s="401"/>
      <c r="F2" s="207"/>
      <c r="G2" s="207"/>
      <c r="H2" s="207"/>
      <c r="I2" s="207"/>
      <c r="J2" s="207"/>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c r="DH2" s="208"/>
      <c r="DI2" s="208"/>
      <c r="DJ2" s="208"/>
      <c r="DK2" s="208"/>
      <c r="DL2" s="208"/>
      <c r="DM2" s="208"/>
      <c r="DN2" s="208"/>
      <c r="DO2" s="208"/>
      <c r="DP2" s="208"/>
      <c r="DQ2" s="208"/>
      <c r="DR2" s="208"/>
      <c r="DS2" s="208"/>
      <c r="DT2" s="208"/>
      <c r="DU2" s="208"/>
      <c r="DV2" s="208"/>
      <c r="DW2" s="208"/>
      <c r="DX2" s="208"/>
      <c r="DY2" s="208"/>
      <c r="DZ2" s="208"/>
      <c r="EA2" s="208"/>
      <c r="EB2" s="208"/>
      <c r="EC2" s="208"/>
      <c r="ED2" s="208"/>
      <c r="EE2" s="208"/>
      <c r="EF2" s="208"/>
      <c r="EG2" s="208"/>
      <c r="EH2" s="208"/>
      <c r="EI2" s="208"/>
      <c r="EJ2" s="208"/>
      <c r="EK2" s="208"/>
      <c r="EL2" s="208"/>
      <c r="EM2" s="208"/>
      <c r="EN2" s="208"/>
      <c r="EO2" s="208"/>
      <c r="EP2" s="208"/>
      <c r="EQ2" s="208"/>
      <c r="ER2" s="208"/>
      <c r="ES2" s="208"/>
      <c r="ET2" s="208"/>
      <c r="EU2" s="208"/>
      <c r="EV2" s="208"/>
      <c r="EW2" s="208"/>
      <c r="EX2" s="208"/>
      <c r="EY2" s="208"/>
      <c r="EZ2" s="208"/>
      <c r="FA2" s="208"/>
      <c r="FB2" s="208"/>
      <c r="FC2" s="208"/>
      <c r="FD2" s="208"/>
      <c r="FE2" s="208"/>
      <c r="FF2" s="208"/>
      <c r="FG2" s="208"/>
      <c r="FH2" s="208"/>
      <c r="FI2" s="208"/>
      <c r="FJ2" s="208"/>
      <c r="FK2" s="208"/>
      <c r="FL2" s="208"/>
      <c r="FM2" s="208"/>
      <c r="FN2" s="208"/>
      <c r="FO2" s="208"/>
      <c r="FP2" s="208"/>
      <c r="FQ2" s="208"/>
      <c r="FR2" s="208"/>
      <c r="FS2" s="208"/>
      <c r="FT2" s="208"/>
      <c r="FU2" s="208"/>
      <c r="FV2" s="208"/>
      <c r="FW2" s="208"/>
      <c r="FX2" s="208"/>
      <c r="FY2" s="208"/>
      <c r="FZ2" s="208"/>
      <c r="GA2" s="208"/>
      <c r="GB2" s="208"/>
      <c r="GC2" s="208"/>
      <c r="GD2" s="208"/>
      <c r="GE2" s="208"/>
      <c r="GF2" s="208"/>
      <c r="GG2" s="208"/>
      <c r="GH2" s="208"/>
      <c r="GI2" s="208"/>
      <c r="GJ2" s="208"/>
      <c r="GK2" s="208"/>
      <c r="GL2" s="208"/>
      <c r="GM2" s="208"/>
      <c r="GN2" s="208"/>
      <c r="GO2" s="208"/>
      <c r="GP2" s="208"/>
      <c r="GQ2" s="208"/>
      <c r="GR2" s="208"/>
      <c r="GS2" s="208"/>
      <c r="GT2" s="208"/>
      <c r="GU2" s="208"/>
      <c r="GV2" s="208"/>
      <c r="GW2" s="208"/>
      <c r="GX2" s="208"/>
      <c r="GY2" s="208"/>
      <c r="GZ2" s="208"/>
      <c r="HA2" s="208"/>
      <c r="HB2" s="208"/>
      <c r="HC2" s="208"/>
      <c r="HD2" s="208"/>
      <c r="HE2" s="208"/>
      <c r="HF2" s="208"/>
      <c r="HG2" s="208"/>
      <c r="HH2" s="208"/>
      <c r="HI2" s="208"/>
      <c r="HJ2" s="208"/>
      <c r="HK2" s="208"/>
      <c r="HL2" s="208"/>
      <c r="HM2" s="208"/>
      <c r="HN2" s="208"/>
      <c r="HO2" s="208"/>
      <c r="HP2" s="208"/>
      <c r="HQ2" s="208"/>
      <c r="HR2" s="208"/>
      <c r="HS2" s="208"/>
      <c r="HT2" s="208"/>
      <c r="HU2" s="208"/>
      <c r="HV2" s="208"/>
      <c r="HW2" s="208"/>
      <c r="HX2" s="208"/>
      <c r="HY2" s="208"/>
      <c r="HZ2" s="208"/>
      <c r="IA2" s="208"/>
      <c r="IB2" s="208"/>
      <c r="IC2" s="208"/>
      <c r="ID2" s="208"/>
      <c r="IE2" s="208"/>
      <c r="IF2" s="208"/>
      <c r="IG2" s="208"/>
      <c r="IH2" s="208"/>
      <c r="II2" s="208"/>
      <c r="IJ2" s="208"/>
      <c r="IK2" s="208"/>
      <c r="IL2" s="208"/>
      <c r="IM2" s="208"/>
      <c r="IN2" s="208"/>
      <c r="IO2" s="208"/>
      <c r="IP2" s="208"/>
      <c r="IQ2" s="208"/>
      <c r="IR2" s="208"/>
      <c r="IS2" s="208"/>
      <c r="IT2" s="208"/>
    </row>
    <row r="3" spans="1:254" ht="19.95" customHeight="1">
      <c r="A3" s="2" t="str">
        <f>底稿目录!A2</f>
        <v>被审计单位：</v>
      </c>
      <c r="B3" s="2"/>
      <c r="C3" s="2" t="str">
        <f>底稿目录!A4</f>
        <v>编制人：</v>
      </c>
      <c r="D3" s="63" t="str">
        <f>底稿目录!A6</f>
        <v>编制日期：</v>
      </c>
      <c r="E3" s="253" t="s">
        <v>403</v>
      </c>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row>
    <row r="4" spans="1:254" ht="19.95" customHeight="1">
      <c r="A4" s="2" t="str">
        <f>底稿目录!A3</f>
        <v>截止日：</v>
      </c>
      <c r="B4" s="2"/>
      <c r="C4" s="2" t="str">
        <f>底稿目录!A5</f>
        <v>复核人：</v>
      </c>
      <c r="D4" s="63" t="str">
        <f>底稿目录!A7</f>
        <v>复核日期：</v>
      </c>
      <c r="E4" s="253" t="s">
        <v>402</v>
      </c>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row>
    <row r="5" spans="1:254" ht="19.95" customHeight="1">
      <c r="A5" s="2"/>
      <c r="B5" s="2"/>
      <c r="C5" s="3"/>
      <c r="D5" s="66"/>
      <c r="F5" s="240" t="s">
        <v>392</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row>
    <row r="6" spans="1:254" ht="19.95" customHeight="1">
      <c r="A6" s="92" t="s">
        <v>48</v>
      </c>
      <c r="B6" s="89"/>
      <c r="C6" s="89"/>
      <c r="D6" s="90"/>
      <c r="E6" s="91"/>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row>
    <row r="7" spans="1:254" s="6" customFormat="1" ht="19.95" customHeight="1" thickBot="1">
      <c r="A7" s="93" t="s">
        <v>64</v>
      </c>
      <c r="B7" s="94"/>
      <c r="C7" s="94"/>
      <c r="D7" s="91"/>
      <c r="E7" s="91"/>
    </row>
    <row r="8" spans="1:254" s="6" customFormat="1" ht="19.95" customHeight="1" thickBot="1">
      <c r="A8" s="95" t="s">
        <v>59</v>
      </c>
      <c r="B8" s="96" t="s">
        <v>7</v>
      </c>
      <c r="C8" s="96" t="s">
        <v>60</v>
      </c>
      <c r="D8" s="91"/>
      <c r="E8" s="91"/>
    </row>
    <row r="9" spans="1:254" s="6" customFormat="1" ht="19.95" customHeight="1">
      <c r="A9" s="97" t="s">
        <v>4</v>
      </c>
      <c r="B9" s="98"/>
      <c r="C9" s="98"/>
      <c r="D9" s="91"/>
      <c r="E9" s="91"/>
    </row>
    <row r="10" spans="1:254" s="6" customFormat="1" ht="19.95" customHeight="1">
      <c r="A10" s="97" t="s">
        <v>5</v>
      </c>
      <c r="B10" s="98"/>
      <c r="C10" s="98"/>
      <c r="D10" s="91"/>
      <c r="E10" s="91"/>
    </row>
    <row r="11" spans="1:254" s="6" customFormat="1" ht="19.95" customHeight="1">
      <c r="A11" s="97" t="s">
        <v>1</v>
      </c>
      <c r="B11" s="98"/>
      <c r="C11" s="98"/>
      <c r="D11" s="91"/>
      <c r="E11" s="91"/>
    </row>
    <row r="12" spans="1:254" ht="19.95" customHeight="1">
      <c r="A12" s="99"/>
      <c r="B12" s="98" t="s">
        <v>61</v>
      </c>
      <c r="C12" s="98" t="s">
        <v>61</v>
      </c>
      <c r="D12" s="91"/>
      <c r="E12" s="91"/>
    </row>
    <row r="13" spans="1:254" ht="19.95" customHeight="1" thickBot="1">
      <c r="A13" s="100" t="s">
        <v>6</v>
      </c>
      <c r="B13" s="101" t="s">
        <v>62</v>
      </c>
      <c r="C13" s="101" t="s">
        <v>62</v>
      </c>
      <c r="D13" s="91"/>
      <c r="E13" s="91"/>
      <c r="F13" s="6"/>
      <c r="G13" s="6"/>
    </row>
    <row r="14" spans="1:254" ht="19.95" customHeight="1" thickBot="1">
      <c r="A14" s="102" t="s">
        <v>63</v>
      </c>
      <c r="B14" s="103" t="s">
        <v>61</v>
      </c>
      <c r="C14" s="103" t="s">
        <v>61</v>
      </c>
      <c r="D14" s="91"/>
      <c r="E14" s="91"/>
      <c r="F14" s="6"/>
      <c r="G14" s="6"/>
    </row>
    <row r="18" s="6" customFormat="1" ht="19.95" customHeight="1"/>
  </sheetData>
  <mergeCells count="2">
    <mergeCell ref="A1:E1"/>
    <mergeCell ref="A2:E2"/>
  </mergeCells>
  <phoneticPr fontId="11" type="noConversion"/>
  <hyperlinks>
    <hyperlink ref="F5" location="底稿目录!A1" display="返回目录"/>
  </hyperlinks>
  <pageMargins left="0.70866141732283472" right="0.70866141732283472" top="0.74803149606299213" bottom="0.74803149606299213" header="0.31496062992125984" footer="0.31496062992125984"/>
  <pageSetup paperSize="9" scale="76" fitToHeight="100"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T12"/>
  <sheetViews>
    <sheetView view="pageBreakPreview" zoomScaleNormal="115" zoomScaleSheetLayoutView="100" workbookViewId="0">
      <selection sqref="A1:G1"/>
    </sheetView>
  </sheetViews>
  <sheetFormatPr defaultColWidth="9" defaultRowHeight="19.95" customHeight="1"/>
  <cols>
    <col min="1" max="1" width="19.59765625" style="64" bestFit="1" customWidth="1"/>
    <col min="2" max="5" width="14.59765625" style="64" customWidth="1"/>
    <col min="6" max="6" width="14.09765625" style="64" customWidth="1"/>
    <col min="7" max="16384" width="9" style="64"/>
  </cols>
  <sheetData>
    <row r="1" spans="1:254" s="199" customFormat="1" ht="19.95" customHeight="1">
      <c r="A1" s="400" t="s">
        <v>0</v>
      </c>
      <c r="B1" s="400"/>
      <c r="C1" s="400"/>
      <c r="D1" s="400"/>
      <c r="E1" s="400"/>
      <c r="F1" s="400"/>
      <c r="G1" s="400"/>
      <c r="H1" s="196"/>
      <c r="I1" s="196"/>
      <c r="J1" s="196"/>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c r="CT1" s="65"/>
      <c r="CU1" s="65"/>
      <c r="CV1" s="65"/>
      <c r="CW1" s="65"/>
      <c r="CX1" s="65"/>
      <c r="CY1" s="65"/>
      <c r="CZ1" s="65"/>
      <c r="DA1" s="65"/>
      <c r="DB1" s="65"/>
      <c r="DC1" s="65"/>
      <c r="DD1" s="65"/>
      <c r="DE1" s="65"/>
      <c r="DF1" s="65"/>
      <c r="DG1" s="65"/>
      <c r="DH1" s="65"/>
      <c r="DI1" s="65"/>
      <c r="DJ1" s="65"/>
      <c r="DK1" s="65"/>
      <c r="DL1" s="65"/>
      <c r="DM1" s="65"/>
      <c r="DN1" s="65"/>
      <c r="DO1" s="65"/>
      <c r="DP1" s="65"/>
      <c r="DQ1" s="65"/>
      <c r="DR1" s="65"/>
      <c r="DS1" s="65"/>
      <c r="DT1" s="65"/>
      <c r="DU1" s="65"/>
      <c r="DV1" s="65"/>
      <c r="DW1" s="65"/>
      <c r="DX1" s="65"/>
      <c r="DY1" s="65"/>
      <c r="DZ1" s="65"/>
      <c r="EA1" s="65"/>
      <c r="EB1" s="65"/>
      <c r="EC1" s="65"/>
      <c r="ED1" s="65"/>
      <c r="EE1" s="65"/>
      <c r="EF1" s="65"/>
      <c r="EG1" s="65"/>
      <c r="EH1" s="65"/>
      <c r="EI1" s="65"/>
      <c r="EJ1" s="65"/>
      <c r="EK1" s="65"/>
      <c r="EL1" s="65"/>
      <c r="EM1" s="65"/>
      <c r="EN1" s="65"/>
      <c r="EO1" s="65"/>
      <c r="EP1" s="65"/>
      <c r="EQ1" s="65"/>
      <c r="ER1" s="65"/>
      <c r="ES1" s="65"/>
      <c r="ET1" s="65"/>
      <c r="EU1" s="65"/>
      <c r="EV1" s="65"/>
      <c r="EW1" s="65"/>
      <c r="EX1" s="65"/>
      <c r="EY1" s="65"/>
      <c r="EZ1" s="65"/>
      <c r="FA1" s="65"/>
      <c r="FB1" s="65"/>
      <c r="FC1" s="65"/>
      <c r="FD1" s="65"/>
      <c r="FE1" s="65"/>
      <c r="FF1" s="65"/>
      <c r="FG1" s="65"/>
      <c r="FH1" s="65"/>
      <c r="FI1" s="65"/>
      <c r="FJ1" s="65"/>
      <c r="FK1" s="65"/>
      <c r="FL1" s="65"/>
      <c r="FM1" s="65"/>
      <c r="FN1" s="65"/>
      <c r="FO1" s="65"/>
      <c r="FP1" s="65"/>
      <c r="FQ1" s="65"/>
      <c r="FR1" s="65"/>
      <c r="FS1" s="65"/>
      <c r="FT1" s="65"/>
      <c r="FU1" s="65"/>
      <c r="FV1" s="65"/>
      <c r="FW1" s="65"/>
      <c r="FX1" s="65"/>
      <c r="FY1" s="65"/>
      <c r="FZ1" s="65"/>
      <c r="GA1" s="65"/>
      <c r="GB1" s="65"/>
      <c r="GC1" s="65"/>
      <c r="GD1" s="65"/>
      <c r="GE1" s="65"/>
      <c r="GF1" s="65"/>
      <c r="GG1" s="65"/>
      <c r="GH1" s="65"/>
      <c r="GI1" s="65"/>
      <c r="GJ1" s="65"/>
      <c r="GK1" s="65"/>
      <c r="GL1" s="65"/>
      <c r="GM1" s="65"/>
      <c r="GN1" s="65"/>
      <c r="GO1" s="65"/>
      <c r="GP1" s="65"/>
      <c r="GQ1" s="65"/>
      <c r="GR1" s="65"/>
      <c r="GS1" s="65"/>
      <c r="GT1" s="65"/>
      <c r="GU1" s="65"/>
      <c r="GV1" s="65"/>
      <c r="GW1" s="65"/>
      <c r="GX1" s="65"/>
      <c r="GY1" s="65"/>
      <c r="GZ1" s="65"/>
      <c r="HA1" s="65"/>
      <c r="HB1" s="65"/>
      <c r="HC1" s="65"/>
      <c r="HD1" s="65"/>
      <c r="HE1" s="65"/>
      <c r="HF1" s="65"/>
      <c r="HG1" s="65"/>
      <c r="HH1" s="65"/>
      <c r="HI1" s="65"/>
      <c r="HJ1" s="65"/>
      <c r="HK1" s="65"/>
      <c r="HL1" s="65"/>
      <c r="HM1" s="65"/>
      <c r="HN1" s="65"/>
      <c r="HO1" s="65"/>
      <c r="HP1" s="65"/>
      <c r="HQ1" s="65"/>
      <c r="HR1" s="65"/>
      <c r="HS1" s="65"/>
      <c r="HT1" s="65"/>
      <c r="HU1" s="65"/>
      <c r="HV1" s="65"/>
      <c r="HW1" s="65"/>
      <c r="HX1" s="65"/>
      <c r="HY1" s="65"/>
      <c r="HZ1" s="65"/>
      <c r="IA1" s="65"/>
      <c r="IB1" s="65"/>
      <c r="IC1" s="65"/>
      <c r="ID1" s="65"/>
      <c r="IE1" s="65"/>
      <c r="IF1" s="65"/>
      <c r="IG1" s="65"/>
      <c r="IH1" s="65"/>
      <c r="II1" s="65"/>
      <c r="IJ1" s="65"/>
      <c r="IK1" s="65"/>
      <c r="IL1" s="65"/>
      <c r="IM1" s="65"/>
      <c r="IN1" s="65"/>
      <c r="IO1" s="65"/>
      <c r="IP1" s="65"/>
      <c r="IQ1" s="65"/>
      <c r="IR1" s="65"/>
      <c r="IS1" s="65"/>
      <c r="IT1" s="65"/>
    </row>
    <row r="2" spans="1:254" s="209" customFormat="1" ht="19.95" customHeight="1">
      <c r="A2" s="401" t="s">
        <v>49</v>
      </c>
      <c r="B2" s="401"/>
      <c r="C2" s="401"/>
      <c r="D2" s="401"/>
      <c r="E2" s="401"/>
      <c r="F2" s="401"/>
      <c r="G2" s="401"/>
      <c r="H2" s="207"/>
      <c r="I2" s="207"/>
      <c r="J2" s="207"/>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c r="DH2" s="208"/>
      <c r="DI2" s="208"/>
      <c r="DJ2" s="208"/>
      <c r="DK2" s="208"/>
      <c r="DL2" s="208"/>
      <c r="DM2" s="208"/>
      <c r="DN2" s="208"/>
      <c r="DO2" s="208"/>
      <c r="DP2" s="208"/>
      <c r="DQ2" s="208"/>
      <c r="DR2" s="208"/>
      <c r="DS2" s="208"/>
      <c r="DT2" s="208"/>
      <c r="DU2" s="208"/>
      <c r="DV2" s="208"/>
      <c r="DW2" s="208"/>
      <c r="DX2" s="208"/>
      <c r="DY2" s="208"/>
      <c r="DZ2" s="208"/>
      <c r="EA2" s="208"/>
      <c r="EB2" s="208"/>
      <c r="EC2" s="208"/>
      <c r="ED2" s="208"/>
      <c r="EE2" s="208"/>
      <c r="EF2" s="208"/>
      <c r="EG2" s="208"/>
      <c r="EH2" s="208"/>
      <c r="EI2" s="208"/>
      <c r="EJ2" s="208"/>
      <c r="EK2" s="208"/>
      <c r="EL2" s="208"/>
      <c r="EM2" s="208"/>
      <c r="EN2" s="208"/>
      <c r="EO2" s="208"/>
      <c r="EP2" s="208"/>
      <c r="EQ2" s="208"/>
      <c r="ER2" s="208"/>
      <c r="ES2" s="208"/>
      <c r="ET2" s="208"/>
      <c r="EU2" s="208"/>
      <c r="EV2" s="208"/>
      <c r="EW2" s="208"/>
      <c r="EX2" s="208"/>
      <c r="EY2" s="208"/>
      <c r="EZ2" s="208"/>
      <c r="FA2" s="208"/>
      <c r="FB2" s="208"/>
      <c r="FC2" s="208"/>
      <c r="FD2" s="208"/>
      <c r="FE2" s="208"/>
      <c r="FF2" s="208"/>
      <c r="FG2" s="208"/>
      <c r="FH2" s="208"/>
      <c r="FI2" s="208"/>
      <c r="FJ2" s="208"/>
      <c r="FK2" s="208"/>
      <c r="FL2" s="208"/>
      <c r="FM2" s="208"/>
      <c r="FN2" s="208"/>
      <c r="FO2" s="208"/>
      <c r="FP2" s="208"/>
      <c r="FQ2" s="208"/>
      <c r="FR2" s="208"/>
      <c r="FS2" s="208"/>
      <c r="FT2" s="208"/>
      <c r="FU2" s="208"/>
      <c r="FV2" s="208"/>
      <c r="FW2" s="208"/>
      <c r="FX2" s="208"/>
      <c r="FY2" s="208"/>
      <c r="FZ2" s="208"/>
      <c r="GA2" s="208"/>
      <c r="GB2" s="208"/>
      <c r="GC2" s="208"/>
      <c r="GD2" s="208"/>
      <c r="GE2" s="208"/>
      <c r="GF2" s="208"/>
      <c r="GG2" s="208"/>
      <c r="GH2" s="208"/>
      <c r="GI2" s="208"/>
      <c r="GJ2" s="208"/>
      <c r="GK2" s="208"/>
      <c r="GL2" s="208"/>
      <c r="GM2" s="208"/>
      <c r="GN2" s="208"/>
      <c r="GO2" s="208"/>
      <c r="GP2" s="208"/>
      <c r="GQ2" s="208"/>
      <c r="GR2" s="208"/>
      <c r="GS2" s="208"/>
      <c r="GT2" s="208"/>
      <c r="GU2" s="208"/>
      <c r="GV2" s="208"/>
      <c r="GW2" s="208"/>
      <c r="GX2" s="208"/>
      <c r="GY2" s="208"/>
      <c r="GZ2" s="208"/>
      <c r="HA2" s="208"/>
      <c r="HB2" s="208"/>
      <c r="HC2" s="208"/>
      <c r="HD2" s="208"/>
      <c r="HE2" s="208"/>
      <c r="HF2" s="208"/>
      <c r="HG2" s="208"/>
      <c r="HH2" s="208"/>
      <c r="HI2" s="208"/>
      <c r="HJ2" s="208"/>
      <c r="HK2" s="208"/>
      <c r="HL2" s="208"/>
      <c r="HM2" s="208"/>
      <c r="HN2" s="208"/>
      <c r="HO2" s="208"/>
      <c r="HP2" s="208"/>
      <c r="HQ2" s="208"/>
      <c r="HR2" s="208"/>
      <c r="HS2" s="208"/>
      <c r="HT2" s="208"/>
      <c r="HU2" s="208"/>
      <c r="HV2" s="208"/>
      <c r="HW2" s="208"/>
      <c r="HX2" s="208"/>
      <c r="HY2" s="208"/>
      <c r="HZ2" s="208"/>
      <c r="IA2" s="208"/>
      <c r="IB2" s="208"/>
      <c r="IC2" s="208"/>
      <c r="ID2" s="208"/>
      <c r="IE2" s="208"/>
      <c r="IF2" s="208"/>
      <c r="IG2" s="208"/>
      <c r="IH2" s="208"/>
      <c r="II2" s="208"/>
      <c r="IJ2" s="208"/>
      <c r="IK2" s="208"/>
      <c r="IL2" s="208"/>
      <c r="IM2" s="208"/>
      <c r="IN2" s="208"/>
      <c r="IO2" s="208"/>
      <c r="IP2" s="208"/>
      <c r="IQ2" s="208"/>
      <c r="IR2" s="208"/>
      <c r="IS2" s="208"/>
      <c r="IT2" s="208"/>
    </row>
    <row r="3" spans="1:254" ht="19.95" customHeight="1">
      <c r="A3" s="2" t="str">
        <f>底稿目录!A2</f>
        <v>被审计单位：</v>
      </c>
      <c r="B3" s="2" t="str">
        <f>底稿目录!A4</f>
        <v>编制人：</v>
      </c>
      <c r="D3" s="63" t="str">
        <f>底稿目录!A6</f>
        <v>编制日期：</v>
      </c>
      <c r="F3" s="253" t="s">
        <v>403</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row>
    <row r="4" spans="1:254" ht="19.95" customHeight="1">
      <c r="A4" s="2" t="str">
        <f>底稿目录!A3</f>
        <v>截止日：</v>
      </c>
      <c r="B4" s="2" t="str">
        <f>底稿目录!A5</f>
        <v>复核人：</v>
      </c>
      <c r="D4" s="63" t="str">
        <f>底稿目录!A7</f>
        <v>复核日期：</v>
      </c>
      <c r="F4" s="253" t="s">
        <v>402</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row>
    <row r="5" spans="1:254" ht="19.95" customHeight="1">
      <c r="A5" s="2"/>
      <c r="B5" s="3"/>
      <c r="D5" s="66"/>
      <c r="F5" s="6"/>
      <c r="G5" s="6"/>
      <c r="H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row>
    <row r="6" spans="1:254" ht="19.95" customHeight="1">
      <c r="A6" s="92" t="s">
        <v>48</v>
      </c>
      <c r="B6" s="89"/>
      <c r="C6" s="91"/>
      <c r="D6" s="90"/>
      <c r="F6" s="6"/>
      <c r="G6" s="6"/>
      <c r="H6" s="240" t="s">
        <v>392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row>
    <row r="7" spans="1:254" ht="19.95" customHeight="1" thickBot="1">
      <c r="A7" s="44" t="s">
        <v>72</v>
      </c>
      <c r="B7"/>
      <c r="C7"/>
      <c r="D7"/>
      <c r="E7"/>
      <c r="F7"/>
      <c r="G7"/>
      <c r="H7" s="6"/>
    </row>
    <row r="8" spans="1:254" ht="19.95" customHeight="1">
      <c r="A8" s="402" t="s">
        <v>65</v>
      </c>
      <c r="B8" s="404" t="s">
        <v>7</v>
      </c>
      <c r="C8" s="404"/>
      <c r="D8" s="404"/>
      <c r="E8" s="404" t="s">
        <v>66</v>
      </c>
      <c r="F8" s="404"/>
      <c r="G8" s="404"/>
      <c r="H8" s="6"/>
    </row>
    <row r="9" spans="1:254" s="6" customFormat="1" ht="19.95" customHeight="1" thickBot="1">
      <c r="A9" s="403"/>
      <c r="B9" s="106" t="s">
        <v>67</v>
      </c>
      <c r="C9" s="106" t="s">
        <v>68</v>
      </c>
      <c r="D9" s="106" t="s">
        <v>69</v>
      </c>
      <c r="E9" s="106" t="s">
        <v>67</v>
      </c>
      <c r="F9" s="106" t="s">
        <v>68</v>
      </c>
      <c r="G9" s="106" t="s">
        <v>69</v>
      </c>
    </row>
    <row r="10" spans="1:254" s="6" customFormat="1" ht="19.95" customHeight="1">
      <c r="A10" s="107" t="s">
        <v>70</v>
      </c>
      <c r="B10" s="98"/>
      <c r="C10" s="98"/>
      <c r="D10" s="98"/>
      <c r="E10" s="98"/>
      <c r="F10" s="98"/>
      <c r="G10" s="98"/>
    </row>
    <row r="11" spans="1:254" s="6" customFormat="1" ht="19.95" customHeight="1" thickBot="1">
      <c r="A11" s="108" t="s">
        <v>3</v>
      </c>
      <c r="B11" s="101"/>
      <c r="C11" s="101"/>
      <c r="D11" s="101"/>
      <c r="E11" s="101"/>
      <c r="F11" s="101"/>
      <c r="G11" s="101"/>
    </row>
    <row r="12" spans="1:254" ht="19.95" customHeight="1" thickBot="1">
      <c r="A12" s="109" t="s">
        <v>71</v>
      </c>
      <c r="B12" s="103"/>
      <c r="C12" s="103"/>
      <c r="D12" s="103"/>
      <c r="E12" s="103"/>
      <c r="F12" s="103"/>
      <c r="G12" s="103"/>
    </row>
  </sheetData>
  <mergeCells count="5">
    <mergeCell ref="A8:A9"/>
    <mergeCell ref="B8:D8"/>
    <mergeCell ref="E8:G8"/>
    <mergeCell ref="A1:G1"/>
    <mergeCell ref="A2:G2"/>
  </mergeCells>
  <phoneticPr fontId="11" type="noConversion"/>
  <hyperlinks>
    <hyperlink ref="H6" location="底稿目录!A1" display="返回目录"/>
  </hyperlinks>
  <pageMargins left="0.70866141732283472" right="0.70866141732283472" top="0.74803149606299213" bottom="0.74803149606299213" header="0.31496062992125984" footer="0.31496062992125984"/>
  <pageSetup paperSize="9" scale="76" fitToHeight="100"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O51"/>
  <sheetViews>
    <sheetView view="pageBreakPreview" zoomScaleSheetLayoutView="100" workbookViewId="0">
      <selection sqref="A1:AH1"/>
    </sheetView>
  </sheetViews>
  <sheetFormatPr defaultColWidth="9" defaultRowHeight="19.95" customHeight="1"/>
  <cols>
    <col min="1" max="1" width="6.09765625" style="2" customWidth="1"/>
    <col min="2" max="2" width="12.3984375" style="2" customWidth="1"/>
    <col min="3" max="3" width="12.59765625" style="2" customWidth="1"/>
    <col min="4" max="4" width="8.8984375" style="2" customWidth="1"/>
    <col min="5" max="34" width="6.8984375" style="2" customWidth="1"/>
    <col min="35" max="38" width="8.09765625" style="2" customWidth="1"/>
    <col min="39" max="41" width="9" style="2"/>
    <col min="42" max="45" width="8.09765625" style="2" customWidth="1"/>
    <col min="46" max="47" width="9" style="2"/>
    <col min="48" max="48" width="6.59765625" style="2" customWidth="1"/>
    <col min="49" max="16384" width="9" style="2"/>
  </cols>
  <sheetData>
    <row r="1" spans="1:67" s="245" customFormat="1" ht="19.95" customHeight="1">
      <c r="A1" s="425" t="s">
        <v>381</v>
      </c>
      <c r="B1" s="425"/>
      <c r="C1" s="425"/>
      <c r="D1" s="425"/>
      <c r="E1" s="425"/>
      <c r="F1" s="425"/>
      <c r="G1" s="425"/>
      <c r="H1" s="425"/>
      <c r="I1" s="425"/>
      <c r="J1" s="425"/>
      <c r="K1" s="426"/>
      <c r="L1" s="426"/>
      <c r="M1" s="426"/>
      <c r="N1" s="426"/>
      <c r="O1" s="426"/>
      <c r="P1" s="426"/>
      <c r="Q1" s="426"/>
      <c r="R1" s="426"/>
      <c r="S1" s="426"/>
      <c r="T1" s="426"/>
      <c r="U1" s="426"/>
      <c r="V1" s="426"/>
      <c r="W1" s="426"/>
      <c r="X1" s="426"/>
      <c r="Y1" s="426"/>
      <c r="Z1" s="426"/>
      <c r="AA1" s="426"/>
      <c r="AB1" s="426"/>
      <c r="AC1" s="426"/>
      <c r="AD1" s="426"/>
      <c r="AE1" s="426"/>
      <c r="AF1" s="426"/>
      <c r="AG1" s="426"/>
      <c r="AH1" s="426"/>
      <c r="AI1" s="426" t="s">
        <v>380</v>
      </c>
      <c r="AJ1" s="426"/>
      <c r="AK1" s="426"/>
      <c r="AL1" s="426"/>
      <c r="AM1" s="426"/>
      <c r="AN1" s="426"/>
      <c r="AO1" s="426"/>
      <c r="AP1" s="426"/>
      <c r="AQ1" s="426"/>
      <c r="AR1" s="426"/>
      <c r="AS1" s="426"/>
      <c r="AT1" s="426"/>
      <c r="AU1" s="426"/>
      <c r="AV1" s="426"/>
      <c r="AW1" s="426"/>
      <c r="AX1" s="244"/>
      <c r="AY1" s="244"/>
      <c r="AZ1" s="244"/>
      <c r="BA1" s="244"/>
      <c r="BB1" s="244"/>
      <c r="BC1" s="244"/>
      <c r="BD1" s="244"/>
      <c r="BE1" s="244"/>
      <c r="BF1" s="244"/>
      <c r="BG1" s="244"/>
      <c r="BH1" s="244"/>
      <c r="BI1" s="244"/>
      <c r="BJ1" s="244"/>
      <c r="BK1" s="244"/>
      <c r="BL1" s="244"/>
      <c r="BM1" s="244"/>
      <c r="BN1" s="244"/>
      <c r="BO1" s="244"/>
    </row>
    <row r="2" spans="1:67" s="247" customFormat="1" ht="19.95" customHeight="1">
      <c r="A2" s="427" t="s">
        <v>389</v>
      </c>
      <c r="B2" s="427"/>
      <c r="C2" s="427"/>
      <c r="D2" s="427"/>
      <c r="E2" s="427"/>
      <c r="F2" s="427"/>
      <c r="G2" s="427"/>
      <c r="H2" s="427"/>
      <c r="I2" s="427"/>
      <c r="J2" s="427"/>
      <c r="K2" s="428"/>
      <c r="L2" s="428"/>
      <c r="M2" s="428"/>
      <c r="N2" s="428"/>
      <c r="O2" s="428"/>
      <c r="P2" s="428"/>
      <c r="Q2" s="428"/>
      <c r="R2" s="428"/>
      <c r="S2" s="428"/>
      <c r="T2" s="428"/>
      <c r="U2" s="428"/>
      <c r="V2" s="428"/>
      <c r="W2" s="428"/>
      <c r="X2" s="428"/>
      <c r="Y2" s="428"/>
      <c r="Z2" s="428"/>
      <c r="AA2" s="428"/>
      <c r="AB2" s="428"/>
      <c r="AC2" s="428"/>
      <c r="AD2" s="428"/>
      <c r="AE2" s="428"/>
      <c r="AF2" s="428"/>
      <c r="AG2" s="428"/>
      <c r="AH2" s="428"/>
      <c r="AI2" s="428" t="s">
        <v>389</v>
      </c>
      <c r="AJ2" s="428"/>
      <c r="AK2" s="428"/>
      <c r="AL2" s="428"/>
      <c r="AM2" s="428"/>
      <c r="AN2" s="428"/>
      <c r="AO2" s="428"/>
      <c r="AP2" s="428"/>
      <c r="AQ2" s="428"/>
      <c r="AR2" s="428"/>
      <c r="AS2" s="428"/>
      <c r="AT2" s="428"/>
      <c r="AU2" s="428"/>
      <c r="AV2" s="428"/>
      <c r="AW2" s="428"/>
      <c r="AX2" s="246"/>
      <c r="AY2" s="246"/>
      <c r="AZ2" s="246"/>
      <c r="BA2" s="246"/>
      <c r="BB2" s="246"/>
      <c r="BC2" s="246"/>
      <c r="BD2" s="246"/>
      <c r="BE2" s="246"/>
      <c r="BF2" s="246"/>
      <c r="BG2" s="246"/>
      <c r="BH2" s="246"/>
      <c r="BI2" s="246"/>
      <c r="BJ2" s="246"/>
      <c r="BK2" s="246"/>
      <c r="BL2" s="246"/>
      <c r="BM2" s="246"/>
      <c r="BN2" s="246"/>
      <c r="BO2" s="246"/>
    </row>
    <row r="3" spans="1:67" ht="19.95" customHeight="1">
      <c r="A3" s="2" t="str">
        <f>底稿目录!A2</f>
        <v>被审计单位：</v>
      </c>
      <c r="J3" s="2" t="str">
        <f>底稿目录!A4</f>
        <v>编制人：</v>
      </c>
      <c r="Q3" s="69"/>
      <c r="V3" s="2" t="str">
        <f>底稿目录!A6</f>
        <v>编制日期：</v>
      </c>
      <c r="AG3" s="252" t="s">
        <v>401</v>
      </c>
      <c r="AH3" s="147" t="s">
        <v>89</v>
      </c>
      <c r="AI3" s="2" t="str">
        <f>底稿目录!A2</f>
        <v>被审计单位：</v>
      </c>
      <c r="AN3" s="2" t="str">
        <f>底稿目录!A4</f>
        <v>编制人：</v>
      </c>
      <c r="AR3" s="2" t="str">
        <f>底稿目录!A6</f>
        <v>编制日期：</v>
      </c>
      <c r="AS3" s="69"/>
      <c r="AV3" s="252" t="s">
        <v>401</v>
      </c>
      <c r="AW3" s="147" t="s">
        <v>89</v>
      </c>
    </row>
    <row r="4" spans="1:67" ht="19.95" customHeight="1">
      <c r="A4" s="2" t="str">
        <f>底稿目录!A3</f>
        <v>截止日：</v>
      </c>
      <c r="J4" s="2" t="str">
        <f>底稿目录!A5</f>
        <v>复核人：</v>
      </c>
      <c r="Q4" s="69"/>
      <c r="V4" s="2" t="str">
        <f>底稿目录!A7</f>
        <v>复核日期：</v>
      </c>
      <c r="AG4" s="252" t="s">
        <v>402</v>
      </c>
      <c r="AH4" s="148"/>
      <c r="AI4" s="2" t="str">
        <f>底稿目录!A3</f>
        <v>截止日：</v>
      </c>
      <c r="AN4" s="2" t="str">
        <f>底稿目录!A5</f>
        <v>复核人：</v>
      </c>
      <c r="AR4" s="2" t="str">
        <f>底稿目录!A7</f>
        <v>复核日期：</v>
      </c>
      <c r="AS4" s="69"/>
      <c r="AV4" s="252" t="s">
        <v>402</v>
      </c>
      <c r="AW4" s="148"/>
    </row>
    <row r="5" spans="1:67" s="292" customFormat="1" ht="19.95" customHeight="1">
      <c r="A5" s="291" t="s">
        <v>444</v>
      </c>
      <c r="F5" s="293"/>
      <c r="K5" s="294"/>
      <c r="L5" s="294"/>
      <c r="M5" s="294"/>
      <c r="N5" s="294"/>
      <c r="O5" s="294"/>
      <c r="V5" s="295"/>
      <c r="AC5" s="294"/>
      <c r="AD5" s="294"/>
      <c r="AE5" s="294"/>
      <c r="AF5" s="294"/>
      <c r="AG5" s="294"/>
      <c r="AT5" s="296"/>
      <c r="AU5" s="296"/>
    </row>
    <row r="6" spans="1:67" s="292" customFormat="1" ht="19.95" customHeight="1">
      <c r="A6" s="297" t="s">
        <v>445</v>
      </c>
      <c r="F6" s="293"/>
      <c r="K6" s="294"/>
      <c r="L6" s="294"/>
      <c r="M6" s="294"/>
      <c r="N6" s="294"/>
      <c r="O6" s="294"/>
      <c r="V6" s="295"/>
      <c r="AC6" s="294"/>
      <c r="AD6" s="294"/>
      <c r="AE6" s="294"/>
      <c r="AF6" s="294"/>
      <c r="AG6" s="294"/>
      <c r="AT6" s="296"/>
      <c r="AU6" s="296"/>
    </row>
    <row r="7" spans="1:67" ht="19.95" customHeight="1">
      <c r="A7" s="40" t="s">
        <v>10</v>
      </c>
      <c r="B7" s="9"/>
      <c r="K7" s="248"/>
      <c r="L7" s="248"/>
      <c r="M7" s="248"/>
      <c r="N7" s="248"/>
      <c r="O7" s="248"/>
      <c r="V7" s="249"/>
      <c r="AC7" s="248"/>
      <c r="AD7" s="248"/>
      <c r="AE7" s="248"/>
      <c r="AF7" s="248"/>
      <c r="AG7" s="248"/>
      <c r="AT7" s="69"/>
      <c r="AU7" s="69"/>
    </row>
    <row r="8" spans="1:67" s="300" customFormat="1" ht="19.95" customHeight="1">
      <c r="A8" s="405" t="s">
        <v>502</v>
      </c>
      <c r="B8" s="405" t="s">
        <v>504</v>
      </c>
      <c r="C8" s="405" t="s">
        <v>524</v>
      </c>
      <c r="D8" s="405" t="s">
        <v>505</v>
      </c>
      <c r="E8" s="413" t="s">
        <v>520</v>
      </c>
      <c r="F8" s="414"/>
      <c r="G8" s="414"/>
      <c r="H8" s="414"/>
      <c r="I8" s="414"/>
      <c r="J8" s="414"/>
      <c r="K8" s="414"/>
      <c r="L8" s="414"/>
      <c r="M8" s="414"/>
      <c r="N8" s="414"/>
      <c r="O8" s="414"/>
      <c r="P8" s="414"/>
      <c r="Q8" s="414"/>
      <c r="R8" s="414"/>
      <c r="S8" s="414"/>
      <c r="T8" s="414"/>
      <c r="U8" s="414"/>
      <c r="V8" s="414"/>
      <c r="W8" s="414"/>
      <c r="X8" s="414"/>
      <c r="Y8" s="414"/>
      <c r="Z8" s="414"/>
      <c r="AA8" s="414"/>
      <c r="AB8" s="414"/>
      <c r="AC8" s="414"/>
      <c r="AD8" s="414"/>
      <c r="AE8" s="414"/>
      <c r="AF8" s="414"/>
      <c r="AG8" s="414"/>
      <c r="AH8" s="415"/>
      <c r="AI8" s="413" t="s">
        <v>506</v>
      </c>
      <c r="AJ8" s="414"/>
      <c r="AK8" s="414"/>
      <c r="AL8" s="414"/>
      <c r="AM8" s="414"/>
      <c r="AN8" s="414"/>
      <c r="AO8" s="414"/>
      <c r="AP8" s="414"/>
      <c r="AQ8" s="414"/>
      <c r="AR8" s="414"/>
      <c r="AS8" s="415"/>
      <c r="AT8" s="438" t="s">
        <v>507</v>
      </c>
      <c r="AU8" s="438"/>
      <c r="AV8" s="422" t="s">
        <v>508</v>
      </c>
      <c r="AW8" s="435" t="s">
        <v>521</v>
      </c>
    </row>
    <row r="9" spans="1:67" s="300" customFormat="1" ht="19.95" customHeight="1">
      <c r="A9" s="406"/>
      <c r="B9" s="406"/>
      <c r="C9" s="406"/>
      <c r="D9" s="406"/>
      <c r="E9" s="413" t="s">
        <v>509</v>
      </c>
      <c r="F9" s="414"/>
      <c r="G9" s="414"/>
      <c r="H9" s="414"/>
      <c r="I9" s="414"/>
      <c r="J9" s="414"/>
      <c r="K9" s="414"/>
      <c r="L9" s="414"/>
      <c r="M9" s="414"/>
      <c r="N9" s="414"/>
      <c r="O9" s="414"/>
      <c r="P9" s="415"/>
      <c r="Q9" s="416" t="s">
        <v>527</v>
      </c>
      <c r="R9" s="418"/>
      <c r="S9" s="416" t="s">
        <v>510</v>
      </c>
      <c r="T9" s="418"/>
      <c r="U9" s="418"/>
      <c r="V9" s="417"/>
      <c r="W9" s="413" t="s">
        <v>511</v>
      </c>
      <c r="X9" s="414"/>
      <c r="Y9" s="414"/>
      <c r="Z9" s="414"/>
      <c r="AA9" s="414"/>
      <c r="AB9" s="414"/>
      <c r="AC9" s="414"/>
      <c r="AD9" s="414"/>
      <c r="AE9" s="414"/>
      <c r="AF9" s="414"/>
      <c r="AG9" s="414"/>
      <c r="AH9" s="415"/>
      <c r="AI9" s="440" t="s">
        <v>522</v>
      </c>
      <c r="AJ9" s="441"/>
      <c r="AK9" s="441"/>
      <c r="AL9" s="442"/>
      <c r="AM9" s="429" t="s">
        <v>512</v>
      </c>
      <c r="AN9" s="408" t="s">
        <v>9</v>
      </c>
      <c r="AO9" s="410"/>
      <c r="AP9" s="440" t="s">
        <v>511</v>
      </c>
      <c r="AQ9" s="441"/>
      <c r="AR9" s="441"/>
      <c r="AS9" s="442"/>
      <c r="AT9" s="438"/>
      <c r="AU9" s="438"/>
      <c r="AV9" s="423"/>
      <c r="AW9" s="436"/>
    </row>
    <row r="10" spans="1:67" s="300" customFormat="1" ht="19.95" customHeight="1">
      <c r="A10" s="406"/>
      <c r="B10" s="406"/>
      <c r="C10" s="406"/>
      <c r="D10" s="406"/>
      <c r="E10" s="408" t="s">
        <v>503</v>
      </c>
      <c r="F10" s="409"/>
      <c r="G10" s="410"/>
      <c r="H10" s="408" t="s">
        <v>495</v>
      </c>
      <c r="I10" s="409"/>
      <c r="J10" s="410"/>
      <c r="K10" s="408" t="s">
        <v>513</v>
      </c>
      <c r="L10" s="409"/>
      <c r="M10" s="410"/>
      <c r="N10" s="419" t="s">
        <v>499</v>
      </c>
      <c r="O10" s="420"/>
      <c r="P10" s="421"/>
      <c r="Q10" s="416" t="s">
        <v>514</v>
      </c>
      <c r="R10" s="417"/>
      <c r="S10" s="416" t="s">
        <v>497</v>
      </c>
      <c r="T10" s="417"/>
      <c r="U10" s="416" t="s">
        <v>513</v>
      </c>
      <c r="V10" s="417"/>
      <c r="W10" s="408" t="s">
        <v>496</v>
      </c>
      <c r="X10" s="409"/>
      <c r="Y10" s="410"/>
      <c r="Z10" s="408" t="s">
        <v>497</v>
      </c>
      <c r="AA10" s="409"/>
      <c r="AB10" s="410"/>
      <c r="AC10" s="408" t="s">
        <v>513</v>
      </c>
      <c r="AD10" s="409"/>
      <c r="AE10" s="410"/>
      <c r="AF10" s="419" t="s">
        <v>499</v>
      </c>
      <c r="AG10" s="420"/>
      <c r="AH10" s="421"/>
      <c r="AI10" s="411" t="s">
        <v>500</v>
      </c>
      <c r="AJ10" s="411" t="s">
        <v>497</v>
      </c>
      <c r="AK10" s="411" t="s">
        <v>525</v>
      </c>
      <c r="AL10" s="411" t="s">
        <v>498</v>
      </c>
      <c r="AM10" s="430"/>
      <c r="AN10" s="411" t="s">
        <v>497</v>
      </c>
      <c r="AO10" s="411" t="s">
        <v>513</v>
      </c>
      <c r="AP10" s="411" t="s">
        <v>500</v>
      </c>
      <c r="AQ10" s="411" t="s">
        <v>497</v>
      </c>
      <c r="AR10" s="411" t="s">
        <v>526</v>
      </c>
      <c r="AS10" s="411" t="s">
        <v>499</v>
      </c>
      <c r="AT10" s="439" t="s">
        <v>528</v>
      </c>
      <c r="AU10" s="439" t="s">
        <v>523</v>
      </c>
      <c r="AV10" s="423"/>
      <c r="AW10" s="436"/>
    </row>
    <row r="11" spans="1:67" s="300" customFormat="1" ht="19.95" customHeight="1">
      <c r="A11" s="407"/>
      <c r="B11" s="407"/>
      <c r="C11" s="407"/>
      <c r="D11" s="407"/>
      <c r="E11" s="299" t="s">
        <v>501</v>
      </c>
      <c r="F11" s="299" t="s">
        <v>517</v>
      </c>
      <c r="G11" s="299" t="s">
        <v>518</v>
      </c>
      <c r="H11" s="299" t="s">
        <v>501</v>
      </c>
      <c r="I11" s="299" t="s">
        <v>517</v>
      </c>
      <c r="J11" s="299" t="s">
        <v>515</v>
      </c>
      <c r="K11" s="299" t="s">
        <v>501</v>
      </c>
      <c r="L11" s="299" t="s">
        <v>517</v>
      </c>
      <c r="M11" s="299" t="s">
        <v>515</v>
      </c>
      <c r="N11" s="299" t="s">
        <v>501</v>
      </c>
      <c r="O11" s="299" t="s">
        <v>517</v>
      </c>
      <c r="P11" s="299" t="s">
        <v>518</v>
      </c>
      <c r="Q11" s="299" t="s">
        <v>501</v>
      </c>
      <c r="R11" s="299" t="s">
        <v>515</v>
      </c>
      <c r="S11" s="299" t="s">
        <v>501</v>
      </c>
      <c r="T11" s="299" t="s">
        <v>515</v>
      </c>
      <c r="U11" s="299" t="s">
        <v>501</v>
      </c>
      <c r="V11" s="299" t="s">
        <v>515</v>
      </c>
      <c r="W11" s="299" t="s">
        <v>516</v>
      </c>
      <c r="X11" s="299" t="s">
        <v>517</v>
      </c>
      <c r="Y11" s="299" t="s">
        <v>519</v>
      </c>
      <c r="Z11" s="299" t="s">
        <v>46</v>
      </c>
      <c r="AA11" s="299" t="s">
        <v>517</v>
      </c>
      <c r="AB11" s="299" t="s">
        <v>515</v>
      </c>
      <c r="AC11" s="299" t="s">
        <v>516</v>
      </c>
      <c r="AD11" s="299" t="s">
        <v>517</v>
      </c>
      <c r="AE11" s="299" t="s">
        <v>515</v>
      </c>
      <c r="AF11" s="299" t="s">
        <v>501</v>
      </c>
      <c r="AG11" s="299" t="s">
        <v>517</v>
      </c>
      <c r="AH11" s="299" t="s">
        <v>519</v>
      </c>
      <c r="AI11" s="412"/>
      <c r="AJ11" s="412"/>
      <c r="AK11" s="412"/>
      <c r="AL11" s="412"/>
      <c r="AM11" s="431"/>
      <c r="AN11" s="412"/>
      <c r="AO11" s="412"/>
      <c r="AP11" s="412"/>
      <c r="AQ11" s="412"/>
      <c r="AR11" s="412"/>
      <c r="AS11" s="412"/>
      <c r="AT11" s="439"/>
      <c r="AU11" s="439"/>
      <c r="AV11" s="424"/>
      <c r="AW11" s="437"/>
    </row>
    <row r="12" spans="1:67" ht="19.95" customHeight="1">
      <c r="A12" s="56">
        <v>1</v>
      </c>
      <c r="B12" s="57"/>
      <c r="C12" s="57"/>
      <c r="D12" s="164"/>
      <c r="E12" s="298"/>
      <c r="F12" s="104" t="e">
        <f t="shared" ref="F12:F28" si="0">G12/E12</f>
        <v>#DIV/0!</v>
      </c>
      <c r="G12" s="48"/>
      <c r="H12" s="298"/>
      <c r="I12" s="104" t="e">
        <f t="shared" ref="I12:I28" si="1">J12/H12</f>
        <v>#DIV/0!</v>
      </c>
      <c r="J12" s="48"/>
      <c r="K12" s="212"/>
      <c r="L12" s="104" t="e">
        <f t="shared" ref="L12:L28" si="2">M12/K12</f>
        <v>#DIV/0!</v>
      </c>
      <c r="M12" s="48"/>
      <c r="N12" s="104">
        <f t="shared" ref="N12:N27" si="3">E12+H12-K12</f>
        <v>0</v>
      </c>
      <c r="O12" s="104" t="e">
        <f t="shared" ref="O12:O28" si="4">P12/N12</f>
        <v>#DIV/0!</v>
      </c>
      <c r="P12" s="104">
        <f>G12+J12-M12</f>
        <v>0</v>
      </c>
      <c r="Q12" s="212"/>
      <c r="R12" s="212"/>
      <c r="S12" s="212"/>
      <c r="T12" s="212"/>
      <c r="U12" s="212"/>
      <c r="V12" s="212"/>
      <c r="W12" s="104">
        <f>E12+Q12</f>
        <v>0</v>
      </c>
      <c r="X12" s="104" t="e">
        <f t="shared" ref="X12:X28" si="5">Y12/W12</f>
        <v>#DIV/0!</v>
      </c>
      <c r="Y12" s="104">
        <f>G12+R12</f>
        <v>0</v>
      </c>
      <c r="Z12" s="104">
        <f t="shared" ref="Y12:Z15" si="6">H12+S12</f>
        <v>0</v>
      </c>
      <c r="AA12" s="104" t="e">
        <f t="shared" ref="AA12:AA28" si="7">AB12/Z12</f>
        <v>#DIV/0!</v>
      </c>
      <c r="AB12" s="104">
        <f>J12+T12</f>
        <v>0</v>
      </c>
      <c r="AC12" s="104">
        <f>K12+U12</f>
        <v>0</v>
      </c>
      <c r="AD12" s="104" t="e">
        <f t="shared" ref="AD12:AD28" si="8">AE12/AC12</f>
        <v>#DIV/0!</v>
      </c>
      <c r="AE12" s="104">
        <f>M12+V12</f>
        <v>0</v>
      </c>
      <c r="AF12" s="104">
        <f t="shared" ref="AF12:AF27" si="9">W12+Z12-AC12</f>
        <v>0</v>
      </c>
      <c r="AG12" s="104" t="e">
        <f>AH12/AF12</f>
        <v>#DIV/0!</v>
      </c>
      <c r="AH12" s="104">
        <f t="shared" ref="AH12:AH27" si="10">Y12+AB12-AE12</f>
        <v>0</v>
      </c>
      <c r="AI12" s="48"/>
      <c r="AJ12" s="48"/>
      <c r="AK12" s="48"/>
      <c r="AL12" s="105">
        <f t="shared" ref="AL12:AL27" si="11">AI12+AJ12-AK12</f>
        <v>0</v>
      </c>
      <c r="AM12" s="48"/>
      <c r="AN12" s="48"/>
      <c r="AO12" s="48"/>
      <c r="AP12" s="104">
        <f>AI12+AM12</f>
        <v>0</v>
      </c>
      <c r="AQ12" s="104">
        <f>AJ12+AN12</f>
        <v>0</v>
      </c>
      <c r="AR12" s="104">
        <f>AK12+AO12</f>
        <v>0</v>
      </c>
      <c r="AS12" s="105">
        <f t="shared" ref="AS12:AS27" si="12">AP12+AQ12-AR12</f>
        <v>0</v>
      </c>
      <c r="AT12" s="105">
        <f>P12-AL12</f>
        <v>0</v>
      </c>
      <c r="AU12" s="105">
        <f>AH12-AS12</f>
        <v>0</v>
      </c>
      <c r="AV12" s="213"/>
      <c r="AW12" s="213"/>
    </row>
    <row r="13" spans="1:67" ht="19.95" customHeight="1">
      <c r="A13" s="56">
        <v>2</v>
      </c>
      <c r="B13" s="57"/>
      <c r="C13" s="57"/>
      <c r="D13" s="164"/>
      <c r="E13" s="212"/>
      <c r="F13" s="104" t="e">
        <f t="shared" si="0"/>
        <v>#DIV/0!</v>
      </c>
      <c r="G13" s="48"/>
      <c r="H13" s="298"/>
      <c r="I13" s="104" t="e">
        <f t="shared" si="1"/>
        <v>#DIV/0!</v>
      </c>
      <c r="J13" s="48"/>
      <c r="K13" s="212"/>
      <c r="L13" s="104" t="e">
        <f t="shared" si="2"/>
        <v>#DIV/0!</v>
      </c>
      <c r="M13" s="48"/>
      <c r="N13" s="104">
        <f t="shared" si="3"/>
        <v>0</v>
      </c>
      <c r="O13" s="104" t="e">
        <f t="shared" si="4"/>
        <v>#DIV/0!</v>
      </c>
      <c r="P13" s="104">
        <f t="shared" ref="P13:P27" si="13">G13+J13-M13</f>
        <v>0</v>
      </c>
      <c r="Q13" s="212"/>
      <c r="R13" s="212"/>
      <c r="S13" s="212"/>
      <c r="T13" s="212"/>
      <c r="U13" s="212"/>
      <c r="V13" s="212"/>
      <c r="W13" s="104">
        <f t="shared" ref="W13:W27" si="14">E13+Q13</f>
        <v>0</v>
      </c>
      <c r="X13" s="104" t="e">
        <f t="shared" si="5"/>
        <v>#DIV/0!</v>
      </c>
      <c r="Y13" s="104">
        <f t="shared" si="6"/>
        <v>0</v>
      </c>
      <c r="Z13" s="104">
        <f t="shared" si="6"/>
        <v>0</v>
      </c>
      <c r="AA13" s="104" t="e">
        <f t="shared" si="7"/>
        <v>#DIV/0!</v>
      </c>
      <c r="AB13" s="104">
        <f t="shared" ref="AB13:AC15" si="15">J13+T13</f>
        <v>0</v>
      </c>
      <c r="AC13" s="104">
        <f t="shared" si="15"/>
        <v>0</v>
      </c>
      <c r="AD13" s="104" t="e">
        <f t="shared" si="8"/>
        <v>#DIV/0!</v>
      </c>
      <c r="AE13" s="104">
        <f t="shared" ref="AE13:AE27" si="16">M13+V13</f>
        <v>0</v>
      </c>
      <c r="AF13" s="104">
        <f t="shared" si="9"/>
        <v>0</v>
      </c>
      <c r="AG13" s="104" t="e">
        <f t="shared" ref="AG13:AG28" si="17">AH13/AF13</f>
        <v>#DIV/0!</v>
      </c>
      <c r="AH13" s="104">
        <f t="shared" si="10"/>
        <v>0</v>
      </c>
      <c r="AI13" s="48"/>
      <c r="AJ13" s="48"/>
      <c r="AK13" s="48"/>
      <c r="AL13" s="105">
        <f t="shared" si="11"/>
        <v>0</v>
      </c>
      <c r="AM13" s="48"/>
      <c r="AN13" s="48"/>
      <c r="AO13" s="48"/>
      <c r="AP13" s="104">
        <f t="shared" ref="AP13:AR15" si="18">AI13+AM13</f>
        <v>0</v>
      </c>
      <c r="AQ13" s="104">
        <f t="shared" si="18"/>
        <v>0</v>
      </c>
      <c r="AR13" s="104">
        <f t="shared" si="18"/>
        <v>0</v>
      </c>
      <c r="AS13" s="105">
        <f t="shared" si="12"/>
        <v>0</v>
      </c>
      <c r="AT13" s="105">
        <f t="shared" ref="AT13:AT27" si="19">P13-AL13</f>
        <v>0</v>
      </c>
      <c r="AU13" s="105">
        <f t="shared" ref="AU13:AU27" si="20">AH13-AS13</f>
        <v>0</v>
      </c>
      <c r="AV13" s="213"/>
      <c r="AW13" s="213"/>
    </row>
    <row r="14" spans="1:67" ht="19.95" customHeight="1">
      <c r="A14" s="56">
        <v>3</v>
      </c>
      <c r="B14" s="57"/>
      <c r="C14" s="57"/>
      <c r="D14" s="164"/>
      <c r="E14" s="212"/>
      <c r="F14" s="104" t="e">
        <f t="shared" si="0"/>
        <v>#DIV/0!</v>
      </c>
      <c r="G14" s="48"/>
      <c r="H14" s="212"/>
      <c r="I14" s="104" t="e">
        <f t="shared" si="1"/>
        <v>#DIV/0!</v>
      </c>
      <c r="J14" s="48"/>
      <c r="K14" s="212"/>
      <c r="L14" s="104" t="e">
        <f t="shared" si="2"/>
        <v>#DIV/0!</v>
      </c>
      <c r="M14" s="48"/>
      <c r="N14" s="104">
        <f t="shared" si="3"/>
        <v>0</v>
      </c>
      <c r="O14" s="104" t="e">
        <f t="shared" si="4"/>
        <v>#DIV/0!</v>
      </c>
      <c r="P14" s="104">
        <f t="shared" si="13"/>
        <v>0</v>
      </c>
      <c r="Q14" s="212"/>
      <c r="R14" s="212"/>
      <c r="S14" s="212"/>
      <c r="T14" s="212"/>
      <c r="U14" s="212"/>
      <c r="V14" s="212"/>
      <c r="W14" s="104">
        <f t="shared" si="14"/>
        <v>0</v>
      </c>
      <c r="X14" s="104" t="e">
        <f t="shared" si="5"/>
        <v>#DIV/0!</v>
      </c>
      <c r="Y14" s="104">
        <f t="shared" si="6"/>
        <v>0</v>
      </c>
      <c r="Z14" s="104">
        <f t="shared" si="6"/>
        <v>0</v>
      </c>
      <c r="AA14" s="104" t="e">
        <f t="shared" si="7"/>
        <v>#DIV/0!</v>
      </c>
      <c r="AB14" s="104">
        <f t="shared" si="15"/>
        <v>0</v>
      </c>
      <c r="AC14" s="104">
        <f t="shared" si="15"/>
        <v>0</v>
      </c>
      <c r="AD14" s="104" t="e">
        <f t="shared" si="8"/>
        <v>#DIV/0!</v>
      </c>
      <c r="AE14" s="104">
        <f t="shared" si="16"/>
        <v>0</v>
      </c>
      <c r="AF14" s="104">
        <f t="shared" si="9"/>
        <v>0</v>
      </c>
      <c r="AG14" s="104" t="e">
        <f t="shared" si="17"/>
        <v>#DIV/0!</v>
      </c>
      <c r="AH14" s="104">
        <f t="shared" si="10"/>
        <v>0</v>
      </c>
      <c r="AI14" s="48"/>
      <c r="AJ14" s="48"/>
      <c r="AK14" s="48"/>
      <c r="AL14" s="105">
        <f t="shared" si="11"/>
        <v>0</v>
      </c>
      <c r="AM14" s="48"/>
      <c r="AN14" s="48"/>
      <c r="AO14" s="48"/>
      <c r="AP14" s="104">
        <f t="shared" si="18"/>
        <v>0</v>
      </c>
      <c r="AQ14" s="104">
        <f t="shared" si="18"/>
        <v>0</v>
      </c>
      <c r="AR14" s="104">
        <f t="shared" si="18"/>
        <v>0</v>
      </c>
      <c r="AS14" s="105">
        <f t="shared" si="12"/>
        <v>0</v>
      </c>
      <c r="AT14" s="105">
        <f t="shared" si="19"/>
        <v>0</v>
      </c>
      <c r="AU14" s="105">
        <f t="shared" si="20"/>
        <v>0</v>
      </c>
      <c r="AV14" s="213"/>
      <c r="AW14" s="213"/>
    </row>
    <row r="15" spans="1:67" ht="19.95" customHeight="1">
      <c r="A15" s="56">
        <v>4</v>
      </c>
      <c r="B15" s="57"/>
      <c r="C15" s="57"/>
      <c r="D15" s="164"/>
      <c r="E15" s="212"/>
      <c r="F15" s="104" t="e">
        <f t="shared" si="0"/>
        <v>#DIV/0!</v>
      </c>
      <c r="G15" s="48"/>
      <c r="H15" s="212"/>
      <c r="I15" s="104" t="e">
        <f t="shared" si="1"/>
        <v>#DIV/0!</v>
      </c>
      <c r="J15" s="48"/>
      <c r="K15" s="212"/>
      <c r="L15" s="104" t="e">
        <f t="shared" si="2"/>
        <v>#DIV/0!</v>
      </c>
      <c r="M15" s="48"/>
      <c r="N15" s="104">
        <f t="shared" si="3"/>
        <v>0</v>
      </c>
      <c r="O15" s="104" t="e">
        <f t="shared" si="4"/>
        <v>#DIV/0!</v>
      </c>
      <c r="P15" s="104">
        <f t="shared" si="13"/>
        <v>0</v>
      </c>
      <c r="Q15" s="212"/>
      <c r="R15" s="212"/>
      <c r="S15" s="212"/>
      <c r="T15" s="212"/>
      <c r="U15" s="212"/>
      <c r="V15" s="212"/>
      <c r="W15" s="104">
        <f t="shared" si="14"/>
        <v>0</v>
      </c>
      <c r="X15" s="104" t="e">
        <f t="shared" si="5"/>
        <v>#DIV/0!</v>
      </c>
      <c r="Y15" s="104">
        <f t="shared" si="6"/>
        <v>0</v>
      </c>
      <c r="Z15" s="104">
        <f t="shared" si="6"/>
        <v>0</v>
      </c>
      <c r="AA15" s="104" t="e">
        <f t="shared" si="7"/>
        <v>#DIV/0!</v>
      </c>
      <c r="AB15" s="104">
        <f t="shared" si="15"/>
        <v>0</v>
      </c>
      <c r="AC15" s="104">
        <f t="shared" si="15"/>
        <v>0</v>
      </c>
      <c r="AD15" s="104" t="e">
        <f t="shared" si="8"/>
        <v>#DIV/0!</v>
      </c>
      <c r="AE15" s="104">
        <f t="shared" si="16"/>
        <v>0</v>
      </c>
      <c r="AF15" s="104">
        <f t="shared" si="9"/>
        <v>0</v>
      </c>
      <c r="AG15" s="104" t="e">
        <f t="shared" si="17"/>
        <v>#DIV/0!</v>
      </c>
      <c r="AH15" s="104">
        <f t="shared" si="10"/>
        <v>0</v>
      </c>
      <c r="AI15" s="48"/>
      <c r="AJ15" s="48"/>
      <c r="AK15" s="48"/>
      <c r="AL15" s="105">
        <f t="shared" si="11"/>
        <v>0</v>
      </c>
      <c r="AM15" s="48"/>
      <c r="AN15" s="48"/>
      <c r="AO15" s="48"/>
      <c r="AP15" s="104">
        <f t="shared" si="18"/>
        <v>0</v>
      </c>
      <c r="AQ15" s="104">
        <f t="shared" si="18"/>
        <v>0</v>
      </c>
      <c r="AR15" s="104">
        <f t="shared" si="18"/>
        <v>0</v>
      </c>
      <c r="AS15" s="105">
        <f t="shared" si="12"/>
        <v>0</v>
      </c>
      <c r="AT15" s="105">
        <f t="shared" si="19"/>
        <v>0</v>
      </c>
      <c r="AU15" s="105">
        <f t="shared" si="20"/>
        <v>0</v>
      </c>
      <c r="AV15" s="213"/>
      <c r="AW15" s="213"/>
    </row>
    <row r="16" spans="1:67" ht="19.95" customHeight="1">
      <c r="A16" s="56">
        <v>5</v>
      </c>
      <c r="B16" s="57"/>
      <c r="C16" s="57"/>
      <c r="D16" s="164"/>
      <c r="E16" s="212"/>
      <c r="F16" s="104" t="e">
        <f t="shared" si="0"/>
        <v>#DIV/0!</v>
      </c>
      <c r="G16" s="48"/>
      <c r="H16" s="212"/>
      <c r="I16" s="104" t="e">
        <f t="shared" si="1"/>
        <v>#DIV/0!</v>
      </c>
      <c r="J16" s="48"/>
      <c r="K16" s="212"/>
      <c r="L16" s="104" t="e">
        <f t="shared" si="2"/>
        <v>#DIV/0!</v>
      </c>
      <c r="M16" s="48"/>
      <c r="N16" s="104">
        <f t="shared" si="3"/>
        <v>0</v>
      </c>
      <c r="O16" s="104" t="e">
        <f t="shared" si="4"/>
        <v>#DIV/0!</v>
      </c>
      <c r="P16" s="104">
        <f t="shared" si="13"/>
        <v>0</v>
      </c>
      <c r="Q16" s="212"/>
      <c r="R16" s="212"/>
      <c r="S16" s="212"/>
      <c r="T16" s="212"/>
      <c r="U16" s="212"/>
      <c r="V16" s="212"/>
      <c r="W16" s="104">
        <f t="shared" si="14"/>
        <v>0</v>
      </c>
      <c r="X16" s="104" t="e">
        <f t="shared" si="5"/>
        <v>#DIV/0!</v>
      </c>
      <c r="Y16" s="104">
        <f t="shared" ref="Y16:Z19" si="21">G16+R16</f>
        <v>0</v>
      </c>
      <c r="Z16" s="104">
        <f t="shared" si="21"/>
        <v>0</v>
      </c>
      <c r="AA16" s="104" t="e">
        <f t="shared" si="7"/>
        <v>#DIV/0!</v>
      </c>
      <c r="AB16" s="104">
        <f t="shared" ref="AB16:AC19" si="22">J16+T16</f>
        <v>0</v>
      </c>
      <c r="AC16" s="104">
        <f t="shared" si="22"/>
        <v>0</v>
      </c>
      <c r="AD16" s="104" t="e">
        <f t="shared" si="8"/>
        <v>#DIV/0!</v>
      </c>
      <c r="AE16" s="104">
        <f t="shared" si="16"/>
        <v>0</v>
      </c>
      <c r="AF16" s="104">
        <f t="shared" si="9"/>
        <v>0</v>
      </c>
      <c r="AG16" s="104" t="e">
        <f t="shared" si="17"/>
        <v>#DIV/0!</v>
      </c>
      <c r="AH16" s="104">
        <f t="shared" si="10"/>
        <v>0</v>
      </c>
      <c r="AI16" s="48"/>
      <c r="AJ16" s="48"/>
      <c r="AK16" s="48"/>
      <c r="AL16" s="105">
        <f t="shared" si="11"/>
        <v>0</v>
      </c>
      <c r="AM16" s="48"/>
      <c r="AN16" s="48"/>
      <c r="AO16" s="48"/>
      <c r="AP16" s="104">
        <f t="shared" ref="AP16:AR19" si="23">AI16+AM16</f>
        <v>0</v>
      </c>
      <c r="AQ16" s="104">
        <f t="shared" si="23"/>
        <v>0</v>
      </c>
      <c r="AR16" s="104">
        <f t="shared" si="23"/>
        <v>0</v>
      </c>
      <c r="AS16" s="105">
        <f t="shared" si="12"/>
        <v>0</v>
      </c>
      <c r="AT16" s="105">
        <f t="shared" si="19"/>
        <v>0</v>
      </c>
      <c r="AU16" s="105">
        <f t="shared" si="20"/>
        <v>0</v>
      </c>
      <c r="AV16" s="213"/>
      <c r="AW16" s="213"/>
    </row>
    <row r="17" spans="1:49" ht="19.95" customHeight="1">
      <c r="A17" s="56">
        <v>6</v>
      </c>
      <c r="B17" s="57"/>
      <c r="C17" s="57"/>
      <c r="D17" s="164"/>
      <c r="E17" s="212"/>
      <c r="F17" s="104" t="e">
        <f t="shared" si="0"/>
        <v>#DIV/0!</v>
      </c>
      <c r="G17" s="48"/>
      <c r="H17" s="212"/>
      <c r="I17" s="104" t="e">
        <f t="shared" si="1"/>
        <v>#DIV/0!</v>
      </c>
      <c r="J17" s="48"/>
      <c r="K17" s="212"/>
      <c r="L17" s="104" t="e">
        <f t="shared" si="2"/>
        <v>#DIV/0!</v>
      </c>
      <c r="M17" s="48"/>
      <c r="N17" s="104">
        <f t="shared" si="3"/>
        <v>0</v>
      </c>
      <c r="O17" s="104" t="e">
        <f t="shared" si="4"/>
        <v>#DIV/0!</v>
      </c>
      <c r="P17" s="104">
        <f t="shared" si="13"/>
        <v>0</v>
      </c>
      <c r="Q17" s="212"/>
      <c r="R17" s="212"/>
      <c r="S17" s="212"/>
      <c r="T17" s="212"/>
      <c r="U17" s="212"/>
      <c r="V17" s="212"/>
      <c r="W17" s="104">
        <f t="shared" si="14"/>
        <v>0</v>
      </c>
      <c r="X17" s="104" t="e">
        <f t="shared" si="5"/>
        <v>#DIV/0!</v>
      </c>
      <c r="Y17" s="104">
        <f t="shared" si="21"/>
        <v>0</v>
      </c>
      <c r="Z17" s="104">
        <f t="shared" si="21"/>
        <v>0</v>
      </c>
      <c r="AA17" s="104" t="e">
        <f t="shared" si="7"/>
        <v>#DIV/0!</v>
      </c>
      <c r="AB17" s="104">
        <f t="shared" si="22"/>
        <v>0</v>
      </c>
      <c r="AC17" s="104">
        <f t="shared" si="22"/>
        <v>0</v>
      </c>
      <c r="AD17" s="104" t="e">
        <f t="shared" si="8"/>
        <v>#DIV/0!</v>
      </c>
      <c r="AE17" s="104">
        <f t="shared" si="16"/>
        <v>0</v>
      </c>
      <c r="AF17" s="104">
        <f t="shared" si="9"/>
        <v>0</v>
      </c>
      <c r="AG17" s="104" t="e">
        <f t="shared" si="17"/>
        <v>#DIV/0!</v>
      </c>
      <c r="AH17" s="104">
        <f t="shared" si="10"/>
        <v>0</v>
      </c>
      <c r="AI17" s="48"/>
      <c r="AJ17" s="48"/>
      <c r="AK17" s="48"/>
      <c r="AL17" s="105">
        <f t="shared" si="11"/>
        <v>0</v>
      </c>
      <c r="AM17" s="48"/>
      <c r="AN17" s="48"/>
      <c r="AO17" s="48"/>
      <c r="AP17" s="104">
        <f t="shared" si="23"/>
        <v>0</v>
      </c>
      <c r="AQ17" s="104">
        <f t="shared" si="23"/>
        <v>0</v>
      </c>
      <c r="AR17" s="104">
        <f t="shared" si="23"/>
        <v>0</v>
      </c>
      <c r="AS17" s="105">
        <f t="shared" si="12"/>
        <v>0</v>
      </c>
      <c r="AT17" s="105">
        <f t="shared" si="19"/>
        <v>0</v>
      </c>
      <c r="AU17" s="105">
        <f t="shared" si="20"/>
        <v>0</v>
      </c>
      <c r="AV17" s="213"/>
      <c r="AW17" s="213"/>
    </row>
    <row r="18" spans="1:49" ht="19.95" customHeight="1">
      <c r="A18" s="56">
        <v>7</v>
      </c>
      <c r="B18" s="57"/>
      <c r="C18" s="57"/>
      <c r="D18" s="164"/>
      <c r="E18" s="212"/>
      <c r="F18" s="104" t="e">
        <f t="shared" si="0"/>
        <v>#DIV/0!</v>
      </c>
      <c r="G18" s="48"/>
      <c r="H18" s="212"/>
      <c r="I18" s="104" t="e">
        <f t="shared" si="1"/>
        <v>#DIV/0!</v>
      </c>
      <c r="J18" s="48"/>
      <c r="K18" s="212"/>
      <c r="L18" s="104" t="e">
        <f t="shared" si="2"/>
        <v>#DIV/0!</v>
      </c>
      <c r="M18" s="48"/>
      <c r="N18" s="104">
        <f t="shared" si="3"/>
        <v>0</v>
      </c>
      <c r="O18" s="104" t="e">
        <f t="shared" si="4"/>
        <v>#DIV/0!</v>
      </c>
      <c r="P18" s="104">
        <f t="shared" si="13"/>
        <v>0</v>
      </c>
      <c r="Q18" s="212"/>
      <c r="R18" s="212"/>
      <c r="S18" s="212"/>
      <c r="T18" s="212"/>
      <c r="U18" s="212"/>
      <c r="V18" s="212"/>
      <c r="W18" s="104">
        <f t="shared" si="14"/>
        <v>0</v>
      </c>
      <c r="X18" s="104" t="e">
        <f t="shared" si="5"/>
        <v>#DIV/0!</v>
      </c>
      <c r="Y18" s="104">
        <f t="shared" si="21"/>
        <v>0</v>
      </c>
      <c r="Z18" s="104">
        <f t="shared" si="21"/>
        <v>0</v>
      </c>
      <c r="AA18" s="104" t="e">
        <f t="shared" si="7"/>
        <v>#DIV/0!</v>
      </c>
      <c r="AB18" s="104">
        <f t="shared" si="22"/>
        <v>0</v>
      </c>
      <c r="AC18" s="104">
        <f t="shared" si="22"/>
        <v>0</v>
      </c>
      <c r="AD18" s="104" t="e">
        <f t="shared" si="8"/>
        <v>#DIV/0!</v>
      </c>
      <c r="AE18" s="104">
        <f t="shared" si="16"/>
        <v>0</v>
      </c>
      <c r="AF18" s="104">
        <f t="shared" si="9"/>
        <v>0</v>
      </c>
      <c r="AG18" s="104" t="e">
        <f t="shared" si="17"/>
        <v>#DIV/0!</v>
      </c>
      <c r="AH18" s="104">
        <f t="shared" si="10"/>
        <v>0</v>
      </c>
      <c r="AI18" s="48"/>
      <c r="AJ18" s="48"/>
      <c r="AK18" s="48"/>
      <c r="AL18" s="105">
        <f t="shared" si="11"/>
        <v>0</v>
      </c>
      <c r="AM18" s="48"/>
      <c r="AN18" s="48"/>
      <c r="AO18" s="48"/>
      <c r="AP18" s="104">
        <f t="shared" si="23"/>
        <v>0</v>
      </c>
      <c r="AQ18" s="104">
        <f t="shared" si="23"/>
        <v>0</v>
      </c>
      <c r="AR18" s="104">
        <f t="shared" si="23"/>
        <v>0</v>
      </c>
      <c r="AS18" s="105">
        <f t="shared" si="12"/>
        <v>0</v>
      </c>
      <c r="AT18" s="105">
        <f t="shared" si="19"/>
        <v>0</v>
      </c>
      <c r="AU18" s="105">
        <f t="shared" si="20"/>
        <v>0</v>
      </c>
      <c r="AV18" s="213"/>
      <c r="AW18" s="213"/>
    </row>
    <row r="19" spans="1:49" ht="19.95" customHeight="1">
      <c r="A19" s="56">
        <v>8</v>
      </c>
      <c r="B19" s="57"/>
      <c r="C19" s="57"/>
      <c r="D19" s="164"/>
      <c r="E19" s="212"/>
      <c r="F19" s="104" t="e">
        <f t="shared" si="0"/>
        <v>#DIV/0!</v>
      </c>
      <c r="G19" s="48"/>
      <c r="H19" s="212"/>
      <c r="I19" s="104" t="e">
        <f t="shared" si="1"/>
        <v>#DIV/0!</v>
      </c>
      <c r="J19" s="48"/>
      <c r="K19" s="212"/>
      <c r="L19" s="104" t="e">
        <f t="shared" si="2"/>
        <v>#DIV/0!</v>
      </c>
      <c r="M19" s="48"/>
      <c r="N19" s="104">
        <f t="shared" si="3"/>
        <v>0</v>
      </c>
      <c r="O19" s="104" t="e">
        <f t="shared" si="4"/>
        <v>#DIV/0!</v>
      </c>
      <c r="P19" s="104">
        <f t="shared" si="13"/>
        <v>0</v>
      </c>
      <c r="Q19" s="212"/>
      <c r="R19" s="212"/>
      <c r="S19" s="212"/>
      <c r="T19" s="212"/>
      <c r="U19" s="212"/>
      <c r="V19" s="212"/>
      <c r="W19" s="104">
        <f t="shared" si="14"/>
        <v>0</v>
      </c>
      <c r="X19" s="104" t="e">
        <f t="shared" si="5"/>
        <v>#DIV/0!</v>
      </c>
      <c r="Y19" s="104">
        <f t="shared" si="21"/>
        <v>0</v>
      </c>
      <c r="Z19" s="104">
        <f t="shared" si="21"/>
        <v>0</v>
      </c>
      <c r="AA19" s="104" t="e">
        <f t="shared" si="7"/>
        <v>#DIV/0!</v>
      </c>
      <c r="AB19" s="104">
        <f t="shared" si="22"/>
        <v>0</v>
      </c>
      <c r="AC19" s="104">
        <f t="shared" si="22"/>
        <v>0</v>
      </c>
      <c r="AD19" s="104" t="e">
        <f t="shared" si="8"/>
        <v>#DIV/0!</v>
      </c>
      <c r="AE19" s="104">
        <f t="shared" si="16"/>
        <v>0</v>
      </c>
      <c r="AF19" s="104">
        <f t="shared" si="9"/>
        <v>0</v>
      </c>
      <c r="AG19" s="104" t="e">
        <f t="shared" si="17"/>
        <v>#DIV/0!</v>
      </c>
      <c r="AH19" s="104">
        <f t="shared" si="10"/>
        <v>0</v>
      </c>
      <c r="AI19" s="48"/>
      <c r="AJ19" s="48"/>
      <c r="AK19" s="48"/>
      <c r="AL19" s="105">
        <f t="shared" si="11"/>
        <v>0</v>
      </c>
      <c r="AM19" s="48"/>
      <c r="AN19" s="48"/>
      <c r="AO19" s="48"/>
      <c r="AP19" s="104">
        <f t="shared" si="23"/>
        <v>0</v>
      </c>
      <c r="AQ19" s="104">
        <f t="shared" si="23"/>
        <v>0</v>
      </c>
      <c r="AR19" s="104">
        <f t="shared" si="23"/>
        <v>0</v>
      </c>
      <c r="AS19" s="105">
        <f t="shared" si="12"/>
        <v>0</v>
      </c>
      <c r="AT19" s="105">
        <f t="shared" si="19"/>
        <v>0</v>
      </c>
      <c r="AU19" s="105">
        <f t="shared" si="20"/>
        <v>0</v>
      </c>
      <c r="AV19" s="213"/>
      <c r="AW19" s="213"/>
    </row>
    <row r="20" spans="1:49" ht="19.95" customHeight="1">
      <c r="A20" s="56">
        <v>9</v>
      </c>
      <c r="B20" s="57"/>
      <c r="C20" s="57"/>
      <c r="D20" s="164"/>
      <c r="E20" s="212"/>
      <c r="F20" s="104" t="e">
        <f t="shared" si="0"/>
        <v>#DIV/0!</v>
      </c>
      <c r="G20" s="48"/>
      <c r="H20" s="212"/>
      <c r="I20" s="104" t="e">
        <f t="shared" si="1"/>
        <v>#DIV/0!</v>
      </c>
      <c r="J20" s="48"/>
      <c r="K20" s="212"/>
      <c r="L20" s="104" t="e">
        <f t="shared" si="2"/>
        <v>#DIV/0!</v>
      </c>
      <c r="M20" s="48"/>
      <c r="N20" s="104">
        <f t="shared" si="3"/>
        <v>0</v>
      </c>
      <c r="O20" s="104" t="e">
        <f t="shared" si="4"/>
        <v>#DIV/0!</v>
      </c>
      <c r="P20" s="104">
        <f t="shared" si="13"/>
        <v>0</v>
      </c>
      <c r="Q20" s="212"/>
      <c r="R20" s="212"/>
      <c r="S20" s="212"/>
      <c r="T20" s="212"/>
      <c r="U20" s="212"/>
      <c r="V20" s="212"/>
      <c r="W20" s="104">
        <f t="shared" si="14"/>
        <v>0</v>
      </c>
      <c r="X20" s="104" t="e">
        <f t="shared" si="5"/>
        <v>#DIV/0!</v>
      </c>
      <c r="Y20" s="104">
        <f t="shared" ref="Y20:Z23" si="24">G20+R20</f>
        <v>0</v>
      </c>
      <c r="Z20" s="104">
        <f t="shared" si="24"/>
        <v>0</v>
      </c>
      <c r="AA20" s="104" t="e">
        <f t="shared" si="7"/>
        <v>#DIV/0!</v>
      </c>
      <c r="AB20" s="104">
        <f t="shared" ref="AB20:AC23" si="25">J20+T20</f>
        <v>0</v>
      </c>
      <c r="AC20" s="104">
        <f t="shared" si="25"/>
        <v>0</v>
      </c>
      <c r="AD20" s="104" t="e">
        <f t="shared" si="8"/>
        <v>#DIV/0!</v>
      </c>
      <c r="AE20" s="104">
        <f t="shared" si="16"/>
        <v>0</v>
      </c>
      <c r="AF20" s="104">
        <f t="shared" si="9"/>
        <v>0</v>
      </c>
      <c r="AG20" s="104" t="e">
        <f t="shared" si="17"/>
        <v>#DIV/0!</v>
      </c>
      <c r="AH20" s="104">
        <f t="shared" si="10"/>
        <v>0</v>
      </c>
      <c r="AI20" s="48"/>
      <c r="AJ20" s="48"/>
      <c r="AK20" s="48"/>
      <c r="AL20" s="105">
        <f t="shared" si="11"/>
        <v>0</v>
      </c>
      <c r="AM20" s="48"/>
      <c r="AN20" s="48"/>
      <c r="AO20" s="48"/>
      <c r="AP20" s="104">
        <f t="shared" ref="AP20:AR23" si="26">AI20+AM20</f>
        <v>0</v>
      </c>
      <c r="AQ20" s="104">
        <f t="shared" si="26"/>
        <v>0</v>
      </c>
      <c r="AR20" s="104">
        <f t="shared" si="26"/>
        <v>0</v>
      </c>
      <c r="AS20" s="105">
        <f t="shared" si="12"/>
        <v>0</v>
      </c>
      <c r="AT20" s="105">
        <f t="shared" si="19"/>
        <v>0</v>
      </c>
      <c r="AU20" s="105">
        <f t="shared" si="20"/>
        <v>0</v>
      </c>
      <c r="AV20" s="213"/>
      <c r="AW20" s="213"/>
    </row>
    <row r="21" spans="1:49" ht="19.95" customHeight="1">
      <c r="A21" s="56">
        <v>10</v>
      </c>
      <c r="B21" s="57"/>
      <c r="C21" s="57"/>
      <c r="D21" s="164"/>
      <c r="E21" s="212"/>
      <c r="F21" s="104" t="e">
        <f t="shared" si="0"/>
        <v>#DIV/0!</v>
      </c>
      <c r="G21" s="48"/>
      <c r="H21" s="212"/>
      <c r="I21" s="104" t="e">
        <f t="shared" si="1"/>
        <v>#DIV/0!</v>
      </c>
      <c r="J21" s="48"/>
      <c r="K21" s="212"/>
      <c r="L21" s="104" t="e">
        <f t="shared" si="2"/>
        <v>#DIV/0!</v>
      </c>
      <c r="M21" s="48"/>
      <c r="N21" s="104">
        <f t="shared" si="3"/>
        <v>0</v>
      </c>
      <c r="O21" s="104" t="e">
        <f t="shared" si="4"/>
        <v>#DIV/0!</v>
      </c>
      <c r="P21" s="104">
        <f t="shared" si="13"/>
        <v>0</v>
      </c>
      <c r="Q21" s="212"/>
      <c r="R21" s="212"/>
      <c r="S21" s="212"/>
      <c r="T21" s="212"/>
      <c r="U21" s="212"/>
      <c r="V21" s="212"/>
      <c r="W21" s="104">
        <f t="shared" si="14"/>
        <v>0</v>
      </c>
      <c r="X21" s="104" t="e">
        <f t="shared" si="5"/>
        <v>#DIV/0!</v>
      </c>
      <c r="Y21" s="104">
        <f t="shared" si="24"/>
        <v>0</v>
      </c>
      <c r="Z21" s="104">
        <f t="shared" si="24"/>
        <v>0</v>
      </c>
      <c r="AA21" s="104" t="e">
        <f t="shared" si="7"/>
        <v>#DIV/0!</v>
      </c>
      <c r="AB21" s="104">
        <f t="shared" si="25"/>
        <v>0</v>
      </c>
      <c r="AC21" s="104">
        <f t="shared" si="25"/>
        <v>0</v>
      </c>
      <c r="AD21" s="104" t="e">
        <f t="shared" si="8"/>
        <v>#DIV/0!</v>
      </c>
      <c r="AE21" s="104">
        <f t="shared" si="16"/>
        <v>0</v>
      </c>
      <c r="AF21" s="104">
        <f t="shared" si="9"/>
        <v>0</v>
      </c>
      <c r="AG21" s="104" t="e">
        <f t="shared" si="17"/>
        <v>#DIV/0!</v>
      </c>
      <c r="AH21" s="104">
        <f t="shared" si="10"/>
        <v>0</v>
      </c>
      <c r="AI21" s="48"/>
      <c r="AJ21" s="48"/>
      <c r="AK21" s="48"/>
      <c r="AL21" s="105">
        <f t="shared" si="11"/>
        <v>0</v>
      </c>
      <c r="AM21" s="48"/>
      <c r="AN21" s="48"/>
      <c r="AO21" s="48"/>
      <c r="AP21" s="104">
        <f t="shared" si="26"/>
        <v>0</v>
      </c>
      <c r="AQ21" s="104">
        <f t="shared" si="26"/>
        <v>0</v>
      </c>
      <c r="AR21" s="104">
        <f t="shared" si="26"/>
        <v>0</v>
      </c>
      <c r="AS21" s="105">
        <f t="shared" si="12"/>
        <v>0</v>
      </c>
      <c r="AT21" s="105">
        <f t="shared" si="19"/>
        <v>0</v>
      </c>
      <c r="AU21" s="105">
        <f t="shared" si="20"/>
        <v>0</v>
      </c>
      <c r="AV21" s="213"/>
      <c r="AW21" s="213"/>
    </row>
    <row r="22" spans="1:49" ht="19.95" customHeight="1">
      <c r="A22" s="56">
        <v>11</v>
      </c>
      <c r="B22" s="57"/>
      <c r="C22" s="57"/>
      <c r="D22" s="164"/>
      <c r="E22" s="212"/>
      <c r="F22" s="104" t="e">
        <f t="shared" si="0"/>
        <v>#DIV/0!</v>
      </c>
      <c r="G22" s="48"/>
      <c r="H22" s="212"/>
      <c r="I22" s="104" t="e">
        <f t="shared" si="1"/>
        <v>#DIV/0!</v>
      </c>
      <c r="J22" s="48"/>
      <c r="K22" s="212"/>
      <c r="L22" s="104" t="e">
        <f t="shared" si="2"/>
        <v>#DIV/0!</v>
      </c>
      <c r="M22" s="48"/>
      <c r="N22" s="104">
        <f t="shared" si="3"/>
        <v>0</v>
      </c>
      <c r="O22" s="104" t="e">
        <f t="shared" si="4"/>
        <v>#DIV/0!</v>
      </c>
      <c r="P22" s="104">
        <f t="shared" si="13"/>
        <v>0</v>
      </c>
      <c r="Q22" s="212"/>
      <c r="R22" s="212"/>
      <c r="S22" s="212"/>
      <c r="T22" s="212"/>
      <c r="U22" s="212"/>
      <c r="V22" s="212"/>
      <c r="W22" s="104">
        <f t="shared" si="14"/>
        <v>0</v>
      </c>
      <c r="X22" s="104" t="e">
        <f t="shared" si="5"/>
        <v>#DIV/0!</v>
      </c>
      <c r="Y22" s="104">
        <f t="shared" si="24"/>
        <v>0</v>
      </c>
      <c r="Z22" s="104">
        <f t="shared" si="24"/>
        <v>0</v>
      </c>
      <c r="AA22" s="104" t="e">
        <f t="shared" si="7"/>
        <v>#DIV/0!</v>
      </c>
      <c r="AB22" s="104">
        <f t="shared" si="25"/>
        <v>0</v>
      </c>
      <c r="AC22" s="104">
        <f t="shared" si="25"/>
        <v>0</v>
      </c>
      <c r="AD22" s="104" t="e">
        <f t="shared" si="8"/>
        <v>#DIV/0!</v>
      </c>
      <c r="AE22" s="104">
        <f t="shared" si="16"/>
        <v>0</v>
      </c>
      <c r="AF22" s="104">
        <f t="shared" si="9"/>
        <v>0</v>
      </c>
      <c r="AG22" s="104" t="e">
        <f t="shared" si="17"/>
        <v>#DIV/0!</v>
      </c>
      <c r="AH22" s="104">
        <f t="shared" si="10"/>
        <v>0</v>
      </c>
      <c r="AI22" s="48"/>
      <c r="AJ22" s="48"/>
      <c r="AK22" s="48"/>
      <c r="AL22" s="105">
        <f t="shared" si="11"/>
        <v>0</v>
      </c>
      <c r="AM22" s="48"/>
      <c r="AN22" s="48"/>
      <c r="AO22" s="48"/>
      <c r="AP22" s="104">
        <f t="shared" si="26"/>
        <v>0</v>
      </c>
      <c r="AQ22" s="104">
        <f t="shared" si="26"/>
        <v>0</v>
      </c>
      <c r="AR22" s="104">
        <f t="shared" si="26"/>
        <v>0</v>
      </c>
      <c r="AS22" s="105">
        <f t="shared" si="12"/>
        <v>0</v>
      </c>
      <c r="AT22" s="105">
        <f t="shared" si="19"/>
        <v>0</v>
      </c>
      <c r="AU22" s="105">
        <f t="shared" si="20"/>
        <v>0</v>
      </c>
      <c r="AV22" s="213"/>
      <c r="AW22" s="213"/>
    </row>
    <row r="23" spans="1:49" ht="19.95" customHeight="1">
      <c r="A23" s="56">
        <v>12</v>
      </c>
      <c r="B23" s="57"/>
      <c r="C23" s="57"/>
      <c r="D23" s="164"/>
      <c r="E23" s="212"/>
      <c r="F23" s="104" t="e">
        <f t="shared" si="0"/>
        <v>#DIV/0!</v>
      </c>
      <c r="G23" s="48"/>
      <c r="H23" s="212"/>
      <c r="I23" s="104" t="e">
        <f t="shared" si="1"/>
        <v>#DIV/0!</v>
      </c>
      <c r="J23" s="48"/>
      <c r="K23" s="212"/>
      <c r="L23" s="104" t="e">
        <f t="shared" si="2"/>
        <v>#DIV/0!</v>
      </c>
      <c r="M23" s="48"/>
      <c r="N23" s="104">
        <f t="shared" si="3"/>
        <v>0</v>
      </c>
      <c r="O23" s="104" t="e">
        <f t="shared" si="4"/>
        <v>#DIV/0!</v>
      </c>
      <c r="P23" s="104">
        <f t="shared" si="13"/>
        <v>0</v>
      </c>
      <c r="Q23" s="212"/>
      <c r="R23" s="212"/>
      <c r="S23" s="212"/>
      <c r="T23" s="212"/>
      <c r="U23" s="212"/>
      <c r="V23" s="212"/>
      <c r="W23" s="104">
        <f t="shared" si="14"/>
        <v>0</v>
      </c>
      <c r="X23" s="104" t="e">
        <f t="shared" si="5"/>
        <v>#DIV/0!</v>
      </c>
      <c r="Y23" s="104">
        <f t="shared" si="24"/>
        <v>0</v>
      </c>
      <c r="Z23" s="104">
        <f t="shared" si="24"/>
        <v>0</v>
      </c>
      <c r="AA23" s="104" t="e">
        <f t="shared" si="7"/>
        <v>#DIV/0!</v>
      </c>
      <c r="AB23" s="104">
        <f t="shared" si="25"/>
        <v>0</v>
      </c>
      <c r="AC23" s="104">
        <f t="shared" si="25"/>
        <v>0</v>
      </c>
      <c r="AD23" s="104" t="e">
        <f t="shared" si="8"/>
        <v>#DIV/0!</v>
      </c>
      <c r="AE23" s="104">
        <f t="shared" si="16"/>
        <v>0</v>
      </c>
      <c r="AF23" s="104">
        <f t="shared" si="9"/>
        <v>0</v>
      </c>
      <c r="AG23" s="104" t="e">
        <f t="shared" si="17"/>
        <v>#DIV/0!</v>
      </c>
      <c r="AH23" s="104">
        <f t="shared" si="10"/>
        <v>0</v>
      </c>
      <c r="AI23" s="48"/>
      <c r="AJ23" s="48"/>
      <c r="AK23" s="48"/>
      <c r="AL23" s="105">
        <f t="shared" si="11"/>
        <v>0</v>
      </c>
      <c r="AM23" s="48"/>
      <c r="AN23" s="48"/>
      <c r="AO23" s="48"/>
      <c r="AP23" s="104">
        <f t="shared" si="26"/>
        <v>0</v>
      </c>
      <c r="AQ23" s="104">
        <f t="shared" si="26"/>
        <v>0</v>
      </c>
      <c r="AR23" s="104">
        <f t="shared" si="26"/>
        <v>0</v>
      </c>
      <c r="AS23" s="105">
        <f t="shared" si="12"/>
        <v>0</v>
      </c>
      <c r="AT23" s="105">
        <f t="shared" si="19"/>
        <v>0</v>
      </c>
      <c r="AU23" s="105">
        <f t="shared" si="20"/>
        <v>0</v>
      </c>
      <c r="AV23" s="213"/>
      <c r="AW23" s="213"/>
    </row>
    <row r="24" spans="1:49" ht="19.95" customHeight="1">
      <c r="A24" s="56">
        <v>13</v>
      </c>
      <c r="B24" s="57"/>
      <c r="C24" s="57"/>
      <c r="D24" s="164"/>
      <c r="E24" s="212"/>
      <c r="F24" s="104" t="e">
        <f t="shared" si="0"/>
        <v>#DIV/0!</v>
      </c>
      <c r="G24" s="48"/>
      <c r="H24" s="212"/>
      <c r="I24" s="104" t="e">
        <f t="shared" si="1"/>
        <v>#DIV/0!</v>
      </c>
      <c r="J24" s="48"/>
      <c r="K24" s="212"/>
      <c r="L24" s="104" t="e">
        <f t="shared" si="2"/>
        <v>#DIV/0!</v>
      </c>
      <c r="M24" s="48"/>
      <c r="N24" s="104">
        <f t="shared" si="3"/>
        <v>0</v>
      </c>
      <c r="O24" s="104" t="e">
        <f t="shared" si="4"/>
        <v>#DIV/0!</v>
      </c>
      <c r="P24" s="104">
        <f t="shared" si="13"/>
        <v>0</v>
      </c>
      <c r="Q24" s="212"/>
      <c r="R24" s="212"/>
      <c r="S24" s="212"/>
      <c r="T24" s="212"/>
      <c r="U24" s="212"/>
      <c r="V24" s="212"/>
      <c r="W24" s="104">
        <f t="shared" si="14"/>
        <v>0</v>
      </c>
      <c r="X24" s="104" t="e">
        <f t="shared" si="5"/>
        <v>#DIV/0!</v>
      </c>
      <c r="Y24" s="104">
        <f t="shared" ref="Y24:Z27" si="27">G24+R24</f>
        <v>0</v>
      </c>
      <c r="Z24" s="104">
        <f t="shared" si="27"/>
        <v>0</v>
      </c>
      <c r="AA24" s="104" t="e">
        <f t="shared" si="7"/>
        <v>#DIV/0!</v>
      </c>
      <c r="AB24" s="104">
        <f t="shared" ref="AB24:AC27" si="28">J24+T24</f>
        <v>0</v>
      </c>
      <c r="AC24" s="104">
        <f t="shared" si="28"/>
        <v>0</v>
      </c>
      <c r="AD24" s="104" t="e">
        <f t="shared" si="8"/>
        <v>#DIV/0!</v>
      </c>
      <c r="AE24" s="104">
        <f t="shared" si="16"/>
        <v>0</v>
      </c>
      <c r="AF24" s="104">
        <f t="shared" si="9"/>
        <v>0</v>
      </c>
      <c r="AG24" s="104" t="e">
        <f t="shared" si="17"/>
        <v>#DIV/0!</v>
      </c>
      <c r="AH24" s="104">
        <f t="shared" si="10"/>
        <v>0</v>
      </c>
      <c r="AI24" s="48"/>
      <c r="AJ24" s="48"/>
      <c r="AK24" s="48"/>
      <c r="AL24" s="105">
        <f t="shared" si="11"/>
        <v>0</v>
      </c>
      <c r="AM24" s="48"/>
      <c r="AN24" s="48"/>
      <c r="AO24" s="48"/>
      <c r="AP24" s="104">
        <f t="shared" ref="AP24:AR27" si="29">AI24+AM24</f>
        <v>0</v>
      </c>
      <c r="AQ24" s="104">
        <f t="shared" si="29"/>
        <v>0</v>
      </c>
      <c r="AR24" s="104">
        <f t="shared" si="29"/>
        <v>0</v>
      </c>
      <c r="AS24" s="105">
        <f t="shared" si="12"/>
        <v>0</v>
      </c>
      <c r="AT24" s="105">
        <f t="shared" si="19"/>
        <v>0</v>
      </c>
      <c r="AU24" s="105">
        <f t="shared" si="20"/>
        <v>0</v>
      </c>
      <c r="AV24" s="213"/>
      <c r="AW24" s="213"/>
    </row>
    <row r="25" spans="1:49" ht="19.95" customHeight="1">
      <c r="A25" s="56">
        <v>14</v>
      </c>
      <c r="B25" s="57"/>
      <c r="C25" s="57"/>
      <c r="D25" s="164"/>
      <c r="E25" s="212"/>
      <c r="F25" s="104" t="e">
        <f t="shared" si="0"/>
        <v>#DIV/0!</v>
      </c>
      <c r="G25" s="48"/>
      <c r="H25" s="212"/>
      <c r="I25" s="104" t="e">
        <f t="shared" si="1"/>
        <v>#DIV/0!</v>
      </c>
      <c r="J25" s="48"/>
      <c r="K25" s="212"/>
      <c r="L25" s="104" t="e">
        <f t="shared" si="2"/>
        <v>#DIV/0!</v>
      </c>
      <c r="M25" s="48"/>
      <c r="N25" s="104">
        <f t="shared" si="3"/>
        <v>0</v>
      </c>
      <c r="O25" s="104" t="e">
        <f t="shared" si="4"/>
        <v>#DIV/0!</v>
      </c>
      <c r="P25" s="104">
        <f t="shared" si="13"/>
        <v>0</v>
      </c>
      <c r="Q25" s="212"/>
      <c r="R25" s="212"/>
      <c r="S25" s="212"/>
      <c r="T25" s="212"/>
      <c r="U25" s="212"/>
      <c r="V25" s="212"/>
      <c r="W25" s="104">
        <f t="shared" si="14"/>
        <v>0</v>
      </c>
      <c r="X25" s="104" t="e">
        <f t="shared" si="5"/>
        <v>#DIV/0!</v>
      </c>
      <c r="Y25" s="104">
        <f t="shared" si="27"/>
        <v>0</v>
      </c>
      <c r="Z25" s="104">
        <f t="shared" si="27"/>
        <v>0</v>
      </c>
      <c r="AA25" s="104" t="e">
        <f t="shared" si="7"/>
        <v>#DIV/0!</v>
      </c>
      <c r="AB25" s="104">
        <f t="shared" si="28"/>
        <v>0</v>
      </c>
      <c r="AC25" s="104">
        <f t="shared" si="28"/>
        <v>0</v>
      </c>
      <c r="AD25" s="104" t="e">
        <f t="shared" si="8"/>
        <v>#DIV/0!</v>
      </c>
      <c r="AE25" s="104">
        <f t="shared" si="16"/>
        <v>0</v>
      </c>
      <c r="AF25" s="104">
        <f t="shared" si="9"/>
        <v>0</v>
      </c>
      <c r="AG25" s="104" t="e">
        <f t="shared" si="17"/>
        <v>#DIV/0!</v>
      </c>
      <c r="AH25" s="104">
        <f t="shared" si="10"/>
        <v>0</v>
      </c>
      <c r="AI25" s="48"/>
      <c r="AJ25" s="48"/>
      <c r="AK25" s="48"/>
      <c r="AL25" s="105">
        <f t="shared" si="11"/>
        <v>0</v>
      </c>
      <c r="AM25" s="48"/>
      <c r="AN25" s="48"/>
      <c r="AO25" s="48"/>
      <c r="AP25" s="104">
        <f t="shared" si="29"/>
        <v>0</v>
      </c>
      <c r="AQ25" s="104">
        <f t="shared" si="29"/>
        <v>0</v>
      </c>
      <c r="AR25" s="104">
        <f t="shared" si="29"/>
        <v>0</v>
      </c>
      <c r="AS25" s="105">
        <f t="shared" si="12"/>
        <v>0</v>
      </c>
      <c r="AT25" s="105">
        <f t="shared" si="19"/>
        <v>0</v>
      </c>
      <c r="AU25" s="105">
        <f t="shared" si="20"/>
        <v>0</v>
      </c>
      <c r="AV25" s="213"/>
      <c r="AW25" s="213"/>
    </row>
    <row r="26" spans="1:49" ht="19.95" customHeight="1">
      <c r="A26" s="56">
        <v>15</v>
      </c>
      <c r="B26" s="57"/>
      <c r="C26" s="57"/>
      <c r="D26" s="164"/>
      <c r="E26" s="212"/>
      <c r="F26" s="104" t="e">
        <f t="shared" si="0"/>
        <v>#DIV/0!</v>
      </c>
      <c r="G26" s="48"/>
      <c r="H26" s="212"/>
      <c r="I26" s="104" t="e">
        <f t="shared" si="1"/>
        <v>#DIV/0!</v>
      </c>
      <c r="J26" s="48"/>
      <c r="K26" s="212"/>
      <c r="L26" s="104" t="e">
        <f t="shared" si="2"/>
        <v>#DIV/0!</v>
      </c>
      <c r="M26" s="48"/>
      <c r="N26" s="104">
        <f t="shared" si="3"/>
        <v>0</v>
      </c>
      <c r="O26" s="104" t="e">
        <f t="shared" si="4"/>
        <v>#DIV/0!</v>
      </c>
      <c r="P26" s="104">
        <f t="shared" si="13"/>
        <v>0</v>
      </c>
      <c r="Q26" s="212"/>
      <c r="R26" s="212"/>
      <c r="S26" s="212"/>
      <c r="T26" s="212"/>
      <c r="U26" s="212"/>
      <c r="V26" s="212"/>
      <c r="W26" s="104">
        <f t="shared" si="14"/>
        <v>0</v>
      </c>
      <c r="X26" s="104" t="e">
        <f t="shared" si="5"/>
        <v>#DIV/0!</v>
      </c>
      <c r="Y26" s="104">
        <f t="shared" si="27"/>
        <v>0</v>
      </c>
      <c r="Z26" s="104">
        <f t="shared" si="27"/>
        <v>0</v>
      </c>
      <c r="AA26" s="104" t="e">
        <f t="shared" si="7"/>
        <v>#DIV/0!</v>
      </c>
      <c r="AB26" s="104">
        <f t="shared" si="28"/>
        <v>0</v>
      </c>
      <c r="AC26" s="104">
        <f t="shared" si="28"/>
        <v>0</v>
      </c>
      <c r="AD26" s="104" t="e">
        <f t="shared" si="8"/>
        <v>#DIV/0!</v>
      </c>
      <c r="AE26" s="104">
        <f t="shared" si="16"/>
        <v>0</v>
      </c>
      <c r="AF26" s="104">
        <f t="shared" si="9"/>
        <v>0</v>
      </c>
      <c r="AG26" s="104" t="e">
        <f t="shared" si="17"/>
        <v>#DIV/0!</v>
      </c>
      <c r="AH26" s="104">
        <f t="shared" si="10"/>
        <v>0</v>
      </c>
      <c r="AI26" s="48"/>
      <c r="AJ26" s="48"/>
      <c r="AK26" s="48"/>
      <c r="AL26" s="105">
        <f t="shared" si="11"/>
        <v>0</v>
      </c>
      <c r="AM26" s="48"/>
      <c r="AN26" s="48"/>
      <c r="AO26" s="48"/>
      <c r="AP26" s="104">
        <f t="shared" si="29"/>
        <v>0</v>
      </c>
      <c r="AQ26" s="104">
        <f t="shared" si="29"/>
        <v>0</v>
      </c>
      <c r="AR26" s="104">
        <f t="shared" si="29"/>
        <v>0</v>
      </c>
      <c r="AS26" s="105">
        <f t="shared" si="12"/>
        <v>0</v>
      </c>
      <c r="AT26" s="105">
        <f t="shared" si="19"/>
        <v>0</v>
      </c>
      <c r="AU26" s="105">
        <f t="shared" si="20"/>
        <v>0</v>
      </c>
      <c r="AV26" s="213"/>
      <c r="AW26" s="213"/>
    </row>
    <row r="27" spans="1:49" ht="19.95" customHeight="1">
      <c r="A27" s="56">
        <v>16</v>
      </c>
      <c r="B27" s="57"/>
      <c r="C27" s="57"/>
      <c r="D27" s="164"/>
      <c r="E27" s="212"/>
      <c r="F27" s="104" t="e">
        <f t="shared" si="0"/>
        <v>#DIV/0!</v>
      </c>
      <c r="G27" s="48"/>
      <c r="H27" s="212"/>
      <c r="I27" s="104" t="e">
        <f t="shared" si="1"/>
        <v>#DIV/0!</v>
      </c>
      <c r="J27" s="48"/>
      <c r="K27" s="212"/>
      <c r="L27" s="104" t="e">
        <f t="shared" si="2"/>
        <v>#DIV/0!</v>
      </c>
      <c r="M27" s="48"/>
      <c r="N27" s="104">
        <f t="shared" si="3"/>
        <v>0</v>
      </c>
      <c r="O27" s="104" t="e">
        <f t="shared" si="4"/>
        <v>#DIV/0!</v>
      </c>
      <c r="P27" s="104">
        <f t="shared" si="13"/>
        <v>0</v>
      </c>
      <c r="Q27" s="212"/>
      <c r="R27" s="212"/>
      <c r="S27" s="212"/>
      <c r="T27" s="212"/>
      <c r="U27" s="212"/>
      <c r="V27" s="212"/>
      <c r="W27" s="104">
        <f t="shared" si="14"/>
        <v>0</v>
      </c>
      <c r="X27" s="104" t="e">
        <f t="shared" si="5"/>
        <v>#DIV/0!</v>
      </c>
      <c r="Y27" s="104">
        <f t="shared" si="27"/>
        <v>0</v>
      </c>
      <c r="Z27" s="104">
        <f>H27+S27</f>
        <v>0</v>
      </c>
      <c r="AA27" s="104" t="e">
        <f t="shared" si="7"/>
        <v>#DIV/0!</v>
      </c>
      <c r="AB27" s="104">
        <f t="shared" si="28"/>
        <v>0</v>
      </c>
      <c r="AC27" s="104">
        <f t="shared" si="28"/>
        <v>0</v>
      </c>
      <c r="AD27" s="104" t="e">
        <f t="shared" si="8"/>
        <v>#DIV/0!</v>
      </c>
      <c r="AE27" s="104">
        <f t="shared" si="16"/>
        <v>0</v>
      </c>
      <c r="AF27" s="104">
        <f t="shared" si="9"/>
        <v>0</v>
      </c>
      <c r="AG27" s="104" t="e">
        <f t="shared" si="17"/>
        <v>#DIV/0!</v>
      </c>
      <c r="AH27" s="104">
        <f t="shared" si="10"/>
        <v>0</v>
      </c>
      <c r="AI27" s="48"/>
      <c r="AJ27" s="48"/>
      <c r="AK27" s="48"/>
      <c r="AL27" s="105">
        <f t="shared" si="11"/>
        <v>0</v>
      </c>
      <c r="AM27" s="48"/>
      <c r="AN27" s="48"/>
      <c r="AO27" s="48"/>
      <c r="AP27" s="104">
        <f t="shared" si="29"/>
        <v>0</v>
      </c>
      <c r="AQ27" s="104">
        <f t="shared" si="29"/>
        <v>0</v>
      </c>
      <c r="AR27" s="104">
        <f t="shared" si="29"/>
        <v>0</v>
      </c>
      <c r="AS27" s="105">
        <f t="shared" si="12"/>
        <v>0</v>
      </c>
      <c r="AT27" s="105">
        <f t="shared" si="19"/>
        <v>0</v>
      </c>
      <c r="AU27" s="105">
        <f t="shared" si="20"/>
        <v>0</v>
      </c>
      <c r="AV27" s="213"/>
      <c r="AW27" s="213"/>
    </row>
    <row r="28" spans="1:49" s="302" customFormat="1" ht="19.95" customHeight="1">
      <c r="A28" s="443" t="s">
        <v>11</v>
      </c>
      <c r="B28" s="444"/>
      <c r="C28" s="444"/>
      <c r="D28" s="445"/>
      <c r="E28" s="301">
        <f>SUM(E12:E27)</f>
        <v>0</v>
      </c>
      <c r="F28" s="301" t="e">
        <f t="shared" si="0"/>
        <v>#DIV/0!</v>
      </c>
      <c r="G28" s="301">
        <f t="shared" ref="G28:AU28" si="30">SUM(G12:G27)</f>
        <v>0</v>
      </c>
      <c r="H28" s="301">
        <f t="shared" si="30"/>
        <v>0</v>
      </c>
      <c r="I28" s="301" t="e">
        <f t="shared" si="1"/>
        <v>#DIV/0!</v>
      </c>
      <c r="J28" s="301">
        <f t="shared" si="30"/>
        <v>0</v>
      </c>
      <c r="K28" s="301">
        <f t="shared" si="30"/>
        <v>0</v>
      </c>
      <c r="L28" s="301" t="e">
        <f t="shared" si="2"/>
        <v>#DIV/0!</v>
      </c>
      <c r="M28" s="301">
        <f t="shared" si="30"/>
        <v>0</v>
      </c>
      <c r="N28" s="301">
        <f t="shared" si="30"/>
        <v>0</v>
      </c>
      <c r="O28" s="301" t="e">
        <f t="shared" si="4"/>
        <v>#DIV/0!</v>
      </c>
      <c r="P28" s="301">
        <f t="shared" si="30"/>
        <v>0</v>
      </c>
      <c r="Q28" s="301">
        <f t="shared" si="30"/>
        <v>0</v>
      </c>
      <c r="R28" s="301">
        <f t="shared" si="30"/>
        <v>0</v>
      </c>
      <c r="S28" s="301">
        <f t="shared" si="30"/>
        <v>0</v>
      </c>
      <c r="T28" s="301">
        <f t="shared" si="30"/>
        <v>0</v>
      </c>
      <c r="U28" s="301">
        <f t="shared" si="30"/>
        <v>0</v>
      </c>
      <c r="V28" s="301">
        <f t="shared" si="30"/>
        <v>0</v>
      </c>
      <c r="W28" s="301">
        <f t="shared" si="30"/>
        <v>0</v>
      </c>
      <c r="X28" s="301" t="e">
        <f t="shared" si="5"/>
        <v>#DIV/0!</v>
      </c>
      <c r="Y28" s="301">
        <f t="shared" si="30"/>
        <v>0</v>
      </c>
      <c r="Z28" s="301">
        <f t="shared" si="30"/>
        <v>0</v>
      </c>
      <c r="AA28" s="301" t="e">
        <f t="shared" si="7"/>
        <v>#DIV/0!</v>
      </c>
      <c r="AB28" s="301">
        <f t="shared" si="30"/>
        <v>0</v>
      </c>
      <c r="AC28" s="301">
        <f t="shared" si="30"/>
        <v>0</v>
      </c>
      <c r="AD28" s="301" t="e">
        <f t="shared" si="8"/>
        <v>#DIV/0!</v>
      </c>
      <c r="AE28" s="301">
        <f t="shared" si="30"/>
        <v>0</v>
      </c>
      <c r="AF28" s="301">
        <f t="shared" si="30"/>
        <v>0</v>
      </c>
      <c r="AG28" s="301" t="e">
        <f t="shared" si="17"/>
        <v>#DIV/0!</v>
      </c>
      <c r="AH28" s="301">
        <f t="shared" si="30"/>
        <v>0</v>
      </c>
      <c r="AI28" s="301">
        <f>SUM(AI12:AI27)</f>
        <v>0</v>
      </c>
      <c r="AJ28" s="301">
        <f t="shared" si="30"/>
        <v>0</v>
      </c>
      <c r="AK28" s="301">
        <f t="shared" si="30"/>
        <v>0</v>
      </c>
      <c r="AL28" s="301">
        <f t="shared" si="30"/>
        <v>0</v>
      </c>
      <c r="AM28" s="301">
        <f t="shared" si="30"/>
        <v>0</v>
      </c>
      <c r="AN28" s="301">
        <f t="shared" si="30"/>
        <v>0</v>
      </c>
      <c r="AO28" s="301">
        <f t="shared" si="30"/>
        <v>0</v>
      </c>
      <c r="AP28" s="301">
        <f t="shared" si="30"/>
        <v>0</v>
      </c>
      <c r="AQ28" s="301">
        <f t="shared" si="30"/>
        <v>0</v>
      </c>
      <c r="AR28" s="301">
        <f t="shared" si="30"/>
        <v>0</v>
      </c>
      <c r="AS28" s="301">
        <f t="shared" si="30"/>
        <v>0</v>
      </c>
      <c r="AT28" s="301">
        <f t="shared" si="30"/>
        <v>0</v>
      </c>
      <c r="AU28" s="301">
        <f t="shared" si="30"/>
        <v>0</v>
      </c>
      <c r="AV28" s="301"/>
      <c r="AW28" s="301"/>
    </row>
    <row r="29" spans="1:49" ht="19.95" customHeight="1">
      <c r="A29" s="446" t="s">
        <v>189</v>
      </c>
      <c r="B29" s="447"/>
      <c r="C29" s="447"/>
      <c r="D29" s="448"/>
      <c r="E29" s="303"/>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row>
    <row r="30" spans="1:49" s="304" customFormat="1" ht="19.95" customHeight="1">
      <c r="A30" s="432" t="str">
        <f>底稿目录!A9</f>
        <v>专用材料</v>
      </c>
      <c r="B30" s="433"/>
      <c r="C30" s="433"/>
      <c r="D30" s="434"/>
      <c r="E30" s="287">
        <f>SUMPRODUCT(($B$12:$B$27=$A30)*(E$12:E$27))</f>
        <v>0</v>
      </c>
      <c r="F30" s="287"/>
      <c r="G30" s="287">
        <f>SUMPRODUCT(($B$12:$B$27=$A30)*(G$12:G$27))</f>
        <v>0</v>
      </c>
      <c r="H30" s="287">
        <f>SUMPRODUCT(($B$12:$B$27=$A30)*(H$12:H$27))</f>
        <v>0</v>
      </c>
      <c r="I30" s="287"/>
      <c r="J30" s="287">
        <f>SUMPRODUCT(($B$12:$B$27=$A30)*(J$12:J$27))</f>
        <v>0</v>
      </c>
      <c r="K30" s="287">
        <f>SUMPRODUCT(($B$12:$B$27=$A30)*(K$12:K$27))</f>
        <v>0</v>
      </c>
      <c r="L30" s="287"/>
      <c r="M30" s="287">
        <f>SUMPRODUCT(($B$12:$B$27=$A30)*(M$12:M$27))</f>
        <v>0</v>
      </c>
      <c r="N30" s="287">
        <f>SUMPRODUCT(($B$12:$B$27=$A30)*(N$12:N$27))</f>
        <v>0</v>
      </c>
      <c r="O30" s="287"/>
      <c r="P30" s="287">
        <f>SUMPRODUCT(($B$12:$B$27=$A30)*(P$12:P$27))</f>
        <v>0</v>
      </c>
      <c r="Q30" s="287">
        <f t="shared" ref="Q30:V30" si="31">SUMPRODUCT(($B$12:$B$27=$A30)*(Q$12:Q$27))</f>
        <v>0</v>
      </c>
      <c r="R30" s="287">
        <f t="shared" si="31"/>
        <v>0</v>
      </c>
      <c r="S30" s="287">
        <f t="shared" si="31"/>
        <v>0</v>
      </c>
      <c r="T30" s="287">
        <f t="shared" si="31"/>
        <v>0</v>
      </c>
      <c r="U30" s="287">
        <f t="shared" si="31"/>
        <v>0</v>
      </c>
      <c r="V30" s="287">
        <f t="shared" si="31"/>
        <v>0</v>
      </c>
      <c r="W30" s="287">
        <f>SUMPRODUCT(($B$12:$B$27=$A30)*(W$12:W$27))</f>
        <v>0</v>
      </c>
      <c r="X30" s="287"/>
      <c r="Y30" s="287">
        <f>SUMPRODUCT(($B$12:$B$27=$A30)*(Y$12:Y$27))</f>
        <v>0</v>
      </c>
      <c r="Z30" s="287">
        <f t="shared" ref="Z30:AF30" si="32">SUMPRODUCT(($B$12:$B$27=$A30)*(Z$12:Z$27))</f>
        <v>0</v>
      </c>
      <c r="AA30" s="287"/>
      <c r="AB30" s="287">
        <f t="shared" si="32"/>
        <v>0</v>
      </c>
      <c r="AC30" s="287">
        <f t="shared" si="32"/>
        <v>0</v>
      </c>
      <c r="AD30" s="287"/>
      <c r="AE30" s="287">
        <f t="shared" si="32"/>
        <v>0</v>
      </c>
      <c r="AF30" s="287">
        <f t="shared" si="32"/>
        <v>0</v>
      </c>
      <c r="AG30" s="287"/>
      <c r="AH30" s="287">
        <f>SUMPRODUCT(($B$12:$B$27=$A30)*(AH$12:AH$27))</f>
        <v>0</v>
      </c>
      <c r="AI30" s="287">
        <f t="shared" ref="AI30:AU30" si="33">SUMPRODUCT(($B$12:$B$27=$A30)*(AI$12:AI$27))</f>
        <v>0</v>
      </c>
      <c r="AJ30" s="287">
        <f t="shared" si="33"/>
        <v>0</v>
      </c>
      <c r="AK30" s="287">
        <f t="shared" si="33"/>
        <v>0</v>
      </c>
      <c r="AL30" s="287">
        <f t="shared" si="33"/>
        <v>0</v>
      </c>
      <c r="AM30" s="287">
        <f t="shared" si="33"/>
        <v>0</v>
      </c>
      <c r="AN30" s="287">
        <f t="shared" si="33"/>
        <v>0</v>
      </c>
      <c r="AO30" s="287">
        <f t="shared" si="33"/>
        <v>0</v>
      </c>
      <c r="AP30" s="287">
        <f t="shared" si="33"/>
        <v>0</v>
      </c>
      <c r="AQ30" s="287">
        <f t="shared" si="33"/>
        <v>0</v>
      </c>
      <c r="AR30" s="287">
        <f t="shared" si="33"/>
        <v>0</v>
      </c>
      <c r="AS30" s="287">
        <f t="shared" si="33"/>
        <v>0</v>
      </c>
      <c r="AT30" s="287">
        <f t="shared" si="33"/>
        <v>0</v>
      </c>
      <c r="AU30" s="287">
        <f t="shared" si="33"/>
        <v>0</v>
      </c>
      <c r="AV30" s="287"/>
      <c r="AW30" s="287"/>
    </row>
    <row r="31" spans="1:49" s="304" customFormat="1" ht="19.95" customHeight="1">
      <c r="A31" s="432" t="str">
        <f>底稿目录!A10</f>
        <v>专用设备</v>
      </c>
      <c r="B31" s="433"/>
      <c r="C31" s="433"/>
      <c r="D31" s="434"/>
      <c r="E31" s="287">
        <f>SUMPRODUCT(($B$12:$B$27=$A31)*(E$12:E$27))</f>
        <v>0</v>
      </c>
      <c r="F31" s="287"/>
      <c r="G31" s="287">
        <f t="shared" ref="G31:H34" si="34">SUMPRODUCT(($B$12:$B$27=$A31)*(G$12:G$27))</f>
        <v>0</v>
      </c>
      <c r="H31" s="287">
        <f t="shared" si="34"/>
        <v>0</v>
      </c>
      <c r="I31" s="287"/>
      <c r="J31" s="287">
        <f t="shared" ref="J31:K34" si="35">SUMPRODUCT(($B$12:$B$27=$A31)*(J$12:J$27))</f>
        <v>0</v>
      </c>
      <c r="K31" s="287">
        <f t="shared" si="35"/>
        <v>0</v>
      </c>
      <c r="L31" s="287"/>
      <c r="M31" s="287">
        <f t="shared" ref="M31:N34" si="36">SUMPRODUCT(($B$12:$B$27=$A31)*(M$12:M$27))</f>
        <v>0</v>
      </c>
      <c r="N31" s="287">
        <f t="shared" si="36"/>
        <v>0</v>
      </c>
      <c r="O31" s="287"/>
      <c r="P31" s="287">
        <f t="shared" ref="P31:W34" si="37">SUMPRODUCT(($B$12:$B$27=$A31)*(P$12:P$27))</f>
        <v>0</v>
      </c>
      <c r="Q31" s="287">
        <f t="shared" si="37"/>
        <v>0</v>
      </c>
      <c r="R31" s="287">
        <f t="shared" si="37"/>
        <v>0</v>
      </c>
      <c r="S31" s="287">
        <f t="shared" si="37"/>
        <v>0</v>
      </c>
      <c r="T31" s="287">
        <f t="shared" si="37"/>
        <v>0</v>
      </c>
      <c r="U31" s="287">
        <f t="shared" si="37"/>
        <v>0</v>
      </c>
      <c r="V31" s="287">
        <f t="shared" si="37"/>
        <v>0</v>
      </c>
      <c r="W31" s="287">
        <f t="shared" si="37"/>
        <v>0</v>
      </c>
      <c r="X31" s="287"/>
      <c r="Y31" s="287">
        <f t="shared" ref="Y31:AF34" si="38">SUMPRODUCT(($B$12:$B$27=$A31)*(Y$12:Y$27))</f>
        <v>0</v>
      </c>
      <c r="Z31" s="287">
        <f t="shared" si="38"/>
        <v>0</v>
      </c>
      <c r="AA31" s="287"/>
      <c r="AB31" s="287">
        <f t="shared" si="38"/>
        <v>0</v>
      </c>
      <c r="AC31" s="287">
        <f t="shared" si="38"/>
        <v>0</v>
      </c>
      <c r="AD31" s="287"/>
      <c r="AE31" s="287">
        <f t="shared" si="38"/>
        <v>0</v>
      </c>
      <c r="AF31" s="287">
        <f t="shared" si="38"/>
        <v>0</v>
      </c>
      <c r="AG31" s="287"/>
      <c r="AH31" s="287">
        <f t="shared" ref="AH31:AU34" si="39">SUMPRODUCT(($B$12:$B$27=$A31)*(AH$12:AH$27))</f>
        <v>0</v>
      </c>
      <c r="AI31" s="287">
        <f t="shared" si="39"/>
        <v>0</v>
      </c>
      <c r="AJ31" s="287">
        <f t="shared" si="39"/>
        <v>0</v>
      </c>
      <c r="AK31" s="287">
        <f t="shared" si="39"/>
        <v>0</v>
      </c>
      <c r="AL31" s="287">
        <f t="shared" si="39"/>
        <v>0</v>
      </c>
      <c r="AM31" s="287">
        <f t="shared" si="39"/>
        <v>0</v>
      </c>
      <c r="AN31" s="287">
        <f t="shared" si="39"/>
        <v>0</v>
      </c>
      <c r="AO31" s="287">
        <f t="shared" si="39"/>
        <v>0</v>
      </c>
      <c r="AP31" s="287">
        <f t="shared" si="39"/>
        <v>0</v>
      </c>
      <c r="AQ31" s="287">
        <f t="shared" si="39"/>
        <v>0</v>
      </c>
      <c r="AR31" s="287">
        <f t="shared" si="39"/>
        <v>0</v>
      </c>
      <c r="AS31" s="287">
        <f t="shared" si="39"/>
        <v>0</v>
      </c>
      <c r="AT31" s="287">
        <f t="shared" si="39"/>
        <v>0</v>
      </c>
      <c r="AU31" s="287">
        <f t="shared" si="39"/>
        <v>0</v>
      </c>
      <c r="AV31" s="287"/>
      <c r="AW31" s="287"/>
    </row>
    <row r="32" spans="1:49" s="304" customFormat="1" ht="19.95" customHeight="1">
      <c r="A32" s="432" t="str">
        <f>底稿目录!A11</f>
        <v>工器具</v>
      </c>
      <c r="B32" s="433"/>
      <c r="C32" s="433"/>
      <c r="D32" s="434"/>
      <c r="E32" s="287">
        <f>SUMPRODUCT(($B$12:$B$27=$A32)*(E$12:E$27))</f>
        <v>0</v>
      </c>
      <c r="F32" s="287"/>
      <c r="G32" s="287">
        <f t="shared" si="34"/>
        <v>0</v>
      </c>
      <c r="H32" s="287">
        <f t="shared" si="34"/>
        <v>0</v>
      </c>
      <c r="I32" s="287"/>
      <c r="J32" s="287">
        <f t="shared" si="35"/>
        <v>0</v>
      </c>
      <c r="K32" s="287">
        <f t="shared" si="35"/>
        <v>0</v>
      </c>
      <c r="L32" s="287"/>
      <c r="M32" s="287">
        <f t="shared" si="36"/>
        <v>0</v>
      </c>
      <c r="N32" s="287">
        <f t="shared" si="36"/>
        <v>0</v>
      </c>
      <c r="O32" s="287"/>
      <c r="P32" s="287">
        <f t="shared" si="37"/>
        <v>0</v>
      </c>
      <c r="Q32" s="287">
        <f t="shared" si="37"/>
        <v>0</v>
      </c>
      <c r="R32" s="287">
        <f t="shared" si="37"/>
        <v>0</v>
      </c>
      <c r="S32" s="287">
        <f t="shared" si="37"/>
        <v>0</v>
      </c>
      <c r="T32" s="287">
        <f t="shared" si="37"/>
        <v>0</v>
      </c>
      <c r="U32" s="287">
        <f t="shared" si="37"/>
        <v>0</v>
      </c>
      <c r="V32" s="287">
        <f t="shared" si="37"/>
        <v>0</v>
      </c>
      <c r="W32" s="287">
        <f t="shared" si="37"/>
        <v>0</v>
      </c>
      <c r="X32" s="287"/>
      <c r="Y32" s="287">
        <f t="shared" si="38"/>
        <v>0</v>
      </c>
      <c r="Z32" s="287">
        <f t="shared" si="38"/>
        <v>0</v>
      </c>
      <c r="AA32" s="287"/>
      <c r="AB32" s="287">
        <f t="shared" si="38"/>
        <v>0</v>
      </c>
      <c r="AC32" s="287">
        <f t="shared" si="38"/>
        <v>0</v>
      </c>
      <c r="AD32" s="287"/>
      <c r="AE32" s="287">
        <f t="shared" si="38"/>
        <v>0</v>
      </c>
      <c r="AF32" s="287">
        <f t="shared" si="38"/>
        <v>0</v>
      </c>
      <c r="AG32" s="287"/>
      <c r="AH32" s="287">
        <f t="shared" si="39"/>
        <v>0</v>
      </c>
      <c r="AI32" s="287">
        <f t="shared" si="39"/>
        <v>0</v>
      </c>
      <c r="AJ32" s="287">
        <f t="shared" si="39"/>
        <v>0</v>
      </c>
      <c r="AK32" s="287">
        <f t="shared" si="39"/>
        <v>0</v>
      </c>
      <c r="AL32" s="287">
        <f t="shared" si="39"/>
        <v>0</v>
      </c>
      <c r="AM32" s="287">
        <f t="shared" si="39"/>
        <v>0</v>
      </c>
      <c r="AN32" s="287">
        <f t="shared" si="39"/>
        <v>0</v>
      </c>
      <c r="AO32" s="287">
        <f t="shared" si="39"/>
        <v>0</v>
      </c>
      <c r="AP32" s="287">
        <f t="shared" si="39"/>
        <v>0</v>
      </c>
      <c r="AQ32" s="287">
        <f t="shared" si="39"/>
        <v>0</v>
      </c>
      <c r="AR32" s="287">
        <f t="shared" si="39"/>
        <v>0</v>
      </c>
      <c r="AS32" s="287">
        <f t="shared" si="39"/>
        <v>0</v>
      </c>
      <c r="AT32" s="287">
        <f t="shared" si="39"/>
        <v>0</v>
      </c>
      <c r="AU32" s="287">
        <f t="shared" si="39"/>
        <v>0</v>
      </c>
      <c r="AV32" s="287"/>
      <c r="AW32" s="287"/>
    </row>
    <row r="33" spans="1:49" s="304" customFormat="1" ht="19.95" customHeight="1">
      <c r="A33" s="432" t="str">
        <f>底稿目录!A12</f>
        <v>其他</v>
      </c>
      <c r="B33" s="433"/>
      <c r="C33" s="433"/>
      <c r="D33" s="434"/>
      <c r="E33" s="287">
        <f>SUMPRODUCT(($B$12:$B$27=$A33)*(E$12:E$27))</f>
        <v>0</v>
      </c>
      <c r="F33" s="287"/>
      <c r="G33" s="287">
        <f t="shared" si="34"/>
        <v>0</v>
      </c>
      <c r="H33" s="287">
        <f t="shared" si="34"/>
        <v>0</v>
      </c>
      <c r="I33" s="287"/>
      <c r="J33" s="287">
        <f t="shared" si="35"/>
        <v>0</v>
      </c>
      <c r="K33" s="287">
        <f t="shared" si="35"/>
        <v>0</v>
      </c>
      <c r="L33" s="287"/>
      <c r="M33" s="287">
        <f t="shared" si="36"/>
        <v>0</v>
      </c>
      <c r="N33" s="287">
        <f t="shared" si="36"/>
        <v>0</v>
      </c>
      <c r="O33" s="287"/>
      <c r="P33" s="287">
        <f t="shared" si="37"/>
        <v>0</v>
      </c>
      <c r="Q33" s="287">
        <f t="shared" si="37"/>
        <v>0</v>
      </c>
      <c r="R33" s="287">
        <f t="shared" si="37"/>
        <v>0</v>
      </c>
      <c r="S33" s="287">
        <f t="shared" si="37"/>
        <v>0</v>
      </c>
      <c r="T33" s="287">
        <f t="shared" si="37"/>
        <v>0</v>
      </c>
      <c r="U33" s="287">
        <f t="shared" si="37"/>
        <v>0</v>
      </c>
      <c r="V33" s="287">
        <f t="shared" si="37"/>
        <v>0</v>
      </c>
      <c r="W33" s="287">
        <f t="shared" si="37"/>
        <v>0</v>
      </c>
      <c r="X33" s="287"/>
      <c r="Y33" s="287">
        <f t="shared" si="38"/>
        <v>0</v>
      </c>
      <c r="Z33" s="287">
        <f t="shared" si="38"/>
        <v>0</v>
      </c>
      <c r="AA33" s="287"/>
      <c r="AB33" s="287">
        <f t="shared" si="38"/>
        <v>0</v>
      </c>
      <c r="AC33" s="287">
        <f t="shared" si="38"/>
        <v>0</v>
      </c>
      <c r="AD33" s="287"/>
      <c r="AE33" s="287">
        <f t="shared" si="38"/>
        <v>0</v>
      </c>
      <c r="AF33" s="287">
        <f t="shared" si="38"/>
        <v>0</v>
      </c>
      <c r="AG33" s="287"/>
      <c r="AH33" s="287">
        <f t="shared" si="39"/>
        <v>0</v>
      </c>
      <c r="AI33" s="287">
        <f t="shared" si="39"/>
        <v>0</v>
      </c>
      <c r="AJ33" s="287">
        <f t="shared" si="39"/>
        <v>0</v>
      </c>
      <c r="AK33" s="287">
        <f t="shared" si="39"/>
        <v>0</v>
      </c>
      <c r="AL33" s="287">
        <f t="shared" si="39"/>
        <v>0</v>
      </c>
      <c r="AM33" s="287">
        <f t="shared" si="39"/>
        <v>0</v>
      </c>
      <c r="AN33" s="287">
        <f t="shared" si="39"/>
        <v>0</v>
      </c>
      <c r="AO33" s="287">
        <f t="shared" si="39"/>
        <v>0</v>
      </c>
      <c r="AP33" s="287">
        <f t="shared" si="39"/>
        <v>0</v>
      </c>
      <c r="AQ33" s="287">
        <f t="shared" si="39"/>
        <v>0</v>
      </c>
      <c r="AR33" s="287">
        <f t="shared" si="39"/>
        <v>0</v>
      </c>
      <c r="AS33" s="287">
        <f t="shared" si="39"/>
        <v>0</v>
      </c>
      <c r="AT33" s="287">
        <f t="shared" si="39"/>
        <v>0</v>
      </c>
      <c r="AU33" s="287">
        <f t="shared" si="39"/>
        <v>0</v>
      </c>
      <c r="AV33" s="287"/>
      <c r="AW33" s="287"/>
    </row>
    <row r="34" spans="1:49" s="304" customFormat="1" ht="19.95" customHeight="1">
      <c r="A34" s="432" t="str">
        <f>底稿目录!A13</f>
        <v>……</v>
      </c>
      <c r="B34" s="433"/>
      <c r="C34" s="433"/>
      <c r="D34" s="434"/>
      <c r="E34" s="287">
        <f>SUMPRODUCT(($B$12:$B$27=$A34)*(E$12:E$27))</f>
        <v>0</v>
      </c>
      <c r="F34" s="287"/>
      <c r="G34" s="287">
        <f t="shared" si="34"/>
        <v>0</v>
      </c>
      <c r="H34" s="287">
        <f t="shared" si="34"/>
        <v>0</v>
      </c>
      <c r="I34" s="287"/>
      <c r="J34" s="287">
        <f t="shared" si="35"/>
        <v>0</v>
      </c>
      <c r="K34" s="287">
        <f t="shared" si="35"/>
        <v>0</v>
      </c>
      <c r="L34" s="287"/>
      <c r="M34" s="287">
        <f t="shared" si="36"/>
        <v>0</v>
      </c>
      <c r="N34" s="287">
        <f t="shared" si="36"/>
        <v>0</v>
      </c>
      <c r="O34" s="287"/>
      <c r="P34" s="287">
        <f t="shared" si="37"/>
        <v>0</v>
      </c>
      <c r="Q34" s="287">
        <f t="shared" si="37"/>
        <v>0</v>
      </c>
      <c r="R34" s="287">
        <f t="shared" si="37"/>
        <v>0</v>
      </c>
      <c r="S34" s="287">
        <f t="shared" si="37"/>
        <v>0</v>
      </c>
      <c r="T34" s="287">
        <f t="shared" si="37"/>
        <v>0</v>
      </c>
      <c r="U34" s="287">
        <f t="shared" si="37"/>
        <v>0</v>
      </c>
      <c r="V34" s="287">
        <f t="shared" si="37"/>
        <v>0</v>
      </c>
      <c r="W34" s="287">
        <f>SUMPRODUCT(($B$12:$B$27=$A34)*(W$12:W$27))</f>
        <v>0</v>
      </c>
      <c r="X34" s="287"/>
      <c r="Y34" s="287">
        <f t="shared" si="38"/>
        <v>0</v>
      </c>
      <c r="Z34" s="287">
        <f t="shared" si="38"/>
        <v>0</v>
      </c>
      <c r="AA34" s="287"/>
      <c r="AB34" s="287">
        <f t="shared" si="38"/>
        <v>0</v>
      </c>
      <c r="AC34" s="287">
        <f t="shared" si="38"/>
        <v>0</v>
      </c>
      <c r="AD34" s="287"/>
      <c r="AE34" s="287">
        <f t="shared" si="38"/>
        <v>0</v>
      </c>
      <c r="AF34" s="287">
        <f>SUMPRODUCT(($B$12:$B$27=$A34)*(AF$12:AF$27))</f>
        <v>0</v>
      </c>
      <c r="AG34" s="287"/>
      <c r="AH34" s="287">
        <f t="shared" si="39"/>
        <v>0</v>
      </c>
      <c r="AI34" s="287">
        <f t="shared" si="39"/>
        <v>0</v>
      </c>
      <c r="AJ34" s="287">
        <f t="shared" si="39"/>
        <v>0</v>
      </c>
      <c r="AK34" s="287">
        <f t="shared" si="39"/>
        <v>0</v>
      </c>
      <c r="AL34" s="287">
        <f t="shared" si="39"/>
        <v>0</v>
      </c>
      <c r="AM34" s="287">
        <f t="shared" si="39"/>
        <v>0</v>
      </c>
      <c r="AN34" s="287">
        <f t="shared" si="39"/>
        <v>0</v>
      </c>
      <c r="AO34" s="287">
        <f t="shared" si="39"/>
        <v>0</v>
      </c>
      <c r="AP34" s="287">
        <f t="shared" si="39"/>
        <v>0</v>
      </c>
      <c r="AQ34" s="287">
        <f t="shared" si="39"/>
        <v>0</v>
      </c>
      <c r="AR34" s="287">
        <f>SUMPRODUCT(($B$12:$B$27=$A34)*(AR$12:AR$27))</f>
        <v>0</v>
      </c>
      <c r="AS34" s="287">
        <f t="shared" si="39"/>
        <v>0</v>
      </c>
      <c r="AT34" s="287">
        <f t="shared" si="39"/>
        <v>0</v>
      </c>
      <c r="AU34" s="287">
        <f t="shared" si="39"/>
        <v>0</v>
      </c>
      <c r="AV34" s="287"/>
      <c r="AW34" s="287"/>
    </row>
    <row r="36" spans="1:49" ht="19.95" customHeight="1">
      <c r="A36" s="42" t="s">
        <v>190</v>
      </c>
    </row>
    <row r="38" spans="1:49" ht="19.95" customHeight="1">
      <c r="A38" s="42" t="s">
        <v>191</v>
      </c>
    </row>
    <row r="42" spans="1:49" ht="19.95" customHeight="1">
      <c r="A42" s="257" t="s">
        <v>417</v>
      </c>
    </row>
    <row r="43" spans="1:49" ht="19.95" customHeight="1">
      <c r="A43" s="37" t="s">
        <v>397</v>
      </c>
    </row>
    <row r="44" spans="1:49" ht="19.95" customHeight="1">
      <c r="A44" s="37" t="s">
        <v>398</v>
      </c>
    </row>
    <row r="45" spans="1:49" ht="19.95" customHeight="1">
      <c r="A45" s="37" t="s">
        <v>442</v>
      </c>
    </row>
    <row r="46" spans="1:49" ht="19.95" customHeight="1">
      <c r="A46" s="37" t="s">
        <v>443</v>
      </c>
    </row>
    <row r="47" spans="1:49" ht="19.95" customHeight="1">
      <c r="A47" s="242"/>
    </row>
    <row r="48" spans="1:49" ht="19.95" customHeight="1">
      <c r="A48" s="174"/>
    </row>
    <row r="49" spans="1:22" ht="19.95" customHeight="1">
      <c r="A49" s="135"/>
      <c r="B49" s="139"/>
      <c r="C49" s="136"/>
      <c r="D49" s="136"/>
      <c r="E49" s="136"/>
      <c r="F49" s="136"/>
      <c r="G49" s="136"/>
      <c r="H49" s="136"/>
      <c r="I49" s="136"/>
      <c r="J49" s="136"/>
      <c r="K49" s="136"/>
      <c r="L49" s="137"/>
      <c r="M49" s="136"/>
      <c r="N49" s="136"/>
      <c r="O49" s="136"/>
      <c r="P49" s="138"/>
      <c r="Q49" s="136"/>
      <c r="S49" s="136"/>
      <c r="T49" s="136"/>
      <c r="U49" s="136"/>
      <c r="V49" s="136"/>
    </row>
    <row r="50" spans="1:22" ht="19.95" customHeight="1">
      <c r="A50" s="139"/>
      <c r="B50" s="139"/>
      <c r="C50" s="140"/>
      <c r="D50" s="140"/>
      <c r="E50" s="140"/>
      <c r="F50" s="140"/>
      <c r="G50" s="140"/>
      <c r="H50" s="140"/>
      <c r="I50" s="140"/>
      <c r="J50" s="140"/>
      <c r="K50" s="140"/>
      <c r="L50" s="140"/>
      <c r="M50" s="140"/>
      <c r="N50" s="140"/>
      <c r="O50" s="140"/>
      <c r="P50" s="165"/>
      <c r="Q50" s="165"/>
      <c r="R50" s="165"/>
      <c r="S50" s="165"/>
      <c r="T50" s="165"/>
      <c r="U50" s="140"/>
      <c r="V50" s="140"/>
    </row>
    <row r="51" spans="1:22" ht="19.95" customHeight="1">
      <c r="A51" s="135"/>
    </row>
  </sheetData>
  <mergeCells count="51">
    <mergeCell ref="A28:D28"/>
    <mergeCell ref="A29:D29"/>
    <mergeCell ref="A30:D30"/>
    <mergeCell ref="A31:D31"/>
    <mergeCell ref="A32:D32"/>
    <mergeCell ref="A33:D33"/>
    <mergeCell ref="A34:D34"/>
    <mergeCell ref="AW8:AW11"/>
    <mergeCell ref="AI1:AW1"/>
    <mergeCell ref="AI2:AW2"/>
    <mergeCell ref="AT8:AU9"/>
    <mergeCell ref="AT10:AT11"/>
    <mergeCell ref="AU10:AU11"/>
    <mergeCell ref="AS10:AS11"/>
    <mergeCell ref="AI9:AL9"/>
    <mergeCell ref="AN9:AO9"/>
    <mergeCell ref="AP9:AS9"/>
    <mergeCell ref="AI8:AS8"/>
    <mergeCell ref="AR10:AR11"/>
    <mergeCell ref="AO10:AO11"/>
    <mergeCell ref="AN10:AN11"/>
    <mergeCell ref="AV8:AV11"/>
    <mergeCell ref="AP10:AP11"/>
    <mergeCell ref="A1:AH1"/>
    <mergeCell ref="A2:AH2"/>
    <mergeCell ref="AM9:AM11"/>
    <mergeCell ref="AI10:AI11"/>
    <mergeCell ref="AJ10:AJ11"/>
    <mergeCell ref="H10:J10"/>
    <mergeCell ref="K10:M10"/>
    <mergeCell ref="N10:P10"/>
    <mergeCell ref="W9:AH9"/>
    <mergeCell ref="W10:Y10"/>
    <mergeCell ref="S9:V9"/>
    <mergeCell ref="Z10:AB10"/>
    <mergeCell ref="AC10:AE10"/>
    <mergeCell ref="C8:C11"/>
    <mergeCell ref="D8:D11"/>
    <mergeCell ref="E10:G10"/>
    <mergeCell ref="A8:A11"/>
    <mergeCell ref="B8:B11"/>
    <mergeCell ref="AQ10:AQ11"/>
    <mergeCell ref="AK10:AK11"/>
    <mergeCell ref="AL10:AL11"/>
    <mergeCell ref="E9:P9"/>
    <mergeCell ref="E8:AH8"/>
    <mergeCell ref="Q10:R10"/>
    <mergeCell ref="Q9:R9"/>
    <mergeCell ref="S10:T10"/>
    <mergeCell ref="U10:V10"/>
    <mergeCell ref="AF10:AH10"/>
  </mergeCells>
  <phoneticPr fontId="11" type="noConversion"/>
  <hyperlinks>
    <hyperlink ref="AH3" location="底稿目录!A1" display="H4A"/>
    <hyperlink ref="AW3" location="底稿目录!A1" display="H4A"/>
  </hyperlinks>
  <printOptions horizontalCentered="1"/>
  <pageMargins left="0.70866141732283472" right="0.70866141732283472" top="0.74803149606299213" bottom="0.74803149606299213" header="0.31496062992125984" footer="0.31496062992125984"/>
  <pageSetup paperSize="9" scale="46" fitToWidth="2" orientation="landscape" blackAndWhite="1" r:id="rId1"/>
  <headerFooter>
    <oddFooter>&amp;C&amp;P/&amp;N</oddFooter>
  </headerFooter>
  <colBreaks count="1" manualBreakCount="1">
    <brk id="34" max="41"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B12:B27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2"/>
  <sheetViews>
    <sheetView view="pageBreakPreview" zoomScaleNormal="100" zoomScaleSheetLayoutView="100" workbookViewId="0">
      <selection sqref="A1:J1"/>
    </sheetView>
  </sheetViews>
  <sheetFormatPr defaultColWidth="9" defaultRowHeight="19.95" customHeight="1"/>
  <cols>
    <col min="1" max="1" width="22.3984375" style="166" customWidth="1"/>
    <col min="2" max="2" width="16.3984375" style="166" customWidth="1"/>
    <col min="3" max="3" width="12" style="166" customWidth="1"/>
    <col min="4" max="4" width="13.5" style="166" customWidth="1"/>
    <col min="5" max="5" width="16.59765625" style="166" customWidth="1"/>
    <col min="6" max="6" width="10.296875" style="166" customWidth="1"/>
    <col min="7" max="7" width="9.3984375" style="166" customWidth="1"/>
    <col min="8" max="8" width="10.5" style="166" customWidth="1"/>
    <col min="9" max="16384" width="9" style="166"/>
  </cols>
  <sheetData>
    <row r="1" spans="1:10" s="198" customFormat="1" ht="19.95" customHeight="1">
      <c r="A1" s="449" t="s">
        <v>380</v>
      </c>
      <c r="B1" s="449"/>
      <c r="C1" s="449"/>
      <c r="D1" s="449"/>
      <c r="E1" s="449"/>
      <c r="F1" s="449"/>
      <c r="G1" s="449"/>
      <c r="H1" s="449"/>
      <c r="I1" s="449"/>
      <c r="J1" s="449"/>
    </row>
    <row r="2" spans="1:10" s="206" customFormat="1" ht="19.95" customHeight="1">
      <c r="A2" s="450" t="s">
        <v>388</v>
      </c>
      <c r="B2" s="450"/>
      <c r="C2" s="450"/>
      <c r="D2" s="450"/>
      <c r="E2" s="450"/>
      <c r="F2" s="450"/>
      <c r="G2" s="450"/>
      <c r="H2" s="450"/>
      <c r="I2" s="450"/>
      <c r="J2" s="450"/>
    </row>
    <row r="3" spans="1:10" ht="19.95" customHeight="1">
      <c r="A3" s="85" t="str">
        <f>底稿目录!A2</f>
        <v>被审计单位：</v>
      </c>
      <c r="B3" s="85"/>
      <c r="C3" s="85"/>
      <c r="D3" s="85" t="str">
        <f>底稿目录!A4</f>
        <v>编制人：</v>
      </c>
      <c r="E3" s="85"/>
      <c r="F3" s="86"/>
      <c r="G3" s="85" t="str">
        <f>底稿目录!A6</f>
        <v>编制日期：</v>
      </c>
      <c r="H3" s="85"/>
      <c r="I3" s="252" t="s">
        <v>401</v>
      </c>
      <c r="J3" s="147" t="s">
        <v>90</v>
      </c>
    </row>
    <row r="4" spans="1:10" ht="19.95" customHeight="1">
      <c r="A4" s="85" t="str">
        <f>底稿目录!A3</f>
        <v>截止日：</v>
      </c>
      <c r="B4" s="85"/>
      <c r="C4" s="85"/>
      <c r="D4" s="85" t="str">
        <f>底稿目录!A5</f>
        <v>复核人：</v>
      </c>
      <c r="E4" s="85"/>
      <c r="F4" s="86"/>
      <c r="G4" s="85" t="str">
        <f>底稿目录!A7</f>
        <v>复核日期：</v>
      </c>
      <c r="H4" s="85"/>
      <c r="I4" s="252" t="s">
        <v>402</v>
      </c>
      <c r="J4" s="148"/>
    </row>
    <row r="5" spans="1:10" s="168" customFormat="1" ht="27.6">
      <c r="A5" s="167" t="s">
        <v>197</v>
      </c>
      <c r="B5" s="167" t="s">
        <v>198</v>
      </c>
      <c r="C5" s="305" t="s">
        <v>193</v>
      </c>
      <c r="D5" s="84" t="s">
        <v>194</v>
      </c>
      <c r="E5" s="84" t="s">
        <v>195</v>
      </c>
      <c r="F5" s="87" t="s">
        <v>47</v>
      </c>
      <c r="G5" s="84" t="s">
        <v>199</v>
      </c>
      <c r="H5" s="84" t="s">
        <v>200</v>
      </c>
      <c r="I5" s="84" t="s">
        <v>201</v>
      </c>
      <c r="J5" s="84" t="s">
        <v>196</v>
      </c>
    </row>
    <row r="6" spans="1:10" ht="19.95" customHeight="1">
      <c r="A6" s="169"/>
      <c r="B6" s="169"/>
      <c r="C6" s="169"/>
      <c r="D6" s="169"/>
      <c r="E6" s="169"/>
      <c r="F6" s="169"/>
      <c r="G6" s="214"/>
      <c r="H6" s="214"/>
      <c r="I6" s="169"/>
      <c r="J6" s="169"/>
    </row>
    <row r="7" spans="1:10" ht="19.95" customHeight="1">
      <c r="A7" s="169"/>
      <c r="B7" s="169"/>
      <c r="C7" s="169"/>
      <c r="D7" s="169"/>
      <c r="E7" s="169"/>
      <c r="F7" s="169"/>
      <c r="G7" s="214"/>
      <c r="H7" s="214"/>
      <c r="I7" s="169"/>
      <c r="J7" s="169"/>
    </row>
    <row r="8" spans="1:10" ht="19.95" customHeight="1">
      <c r="A8" s="169"/>
      <c r="B8" s="169"/>
      <c r="C8" s="169"/>
      <c r="D8" s="169"/>
      <c r="E8" s="169"/>
      <c r="F8" s="169"/>
      <c r="G8" s="214"/>
      <c r="H8" s="214"/>
      <c r="I8" s="169"/>
      <c r="J8" s="169"/>
    </row>
    <row r="9" spans="1:10" ht="19.95" customHeight="1">
      <c r="A9" s="169"/>
      <c r="B9" s="169"/>
      <c r="C9" s="169"/>
      <c r="D9" s="169"/>
      <c r="E9" s="169"/>
      <c r="F9" s="169"/>
      <c r="G9" s="214"/>
      <c r="H9" s="214"/>
      <c r="I9" s="169"/>
      <c r="J9" s="169"/>
    </row>
    <row r="10" spans="1:10" ht="19.95" customHeight="1">
      <c r="A10" s="169"/>
      <c r="B10" s="169"/>
      <c r="C10" s="169"/>
      <c r="D10" s="169"/>
      <c r="E10" s="169"/>
      <c r="F10" s="169"/>
      <c r="G10" s="214"/>
      <c r="H10" s="214"/>
      <c r="I10" s="169"/>
      <c r="J10" s="169"/>
    </row>
    <row r="11" spans="1:10" ht="19.95" customHeight="1">
      <c r="A11" s="169"/>
      <c r="B11" s="169"/>
      <c r="C11" s="169"/>
      <c r="D11" s="169"/>
      <c r="E11" s="169"/>
      <c r="F11" s="169"/>
      <c r="G11" s="214"/>
      <c r="H11" s="214"/>
      <c r="I11" s="169"/>
      <c r="J11" s="169"/>
    </row>
    <row r="12" spans="1:10" ht="19.95" customHeight="1">
      <c r="A12" s="169"/>
      <c r="B12" s="169"/>
      <c r="C12" s="169"/>
      <c r="D12" s="169"/>
      <c r="E12" s="169"/>
      <c r="F12" s="169"/>
      <c r="G12" s="214"/>
      <c r="H12" s="214"/>
      <c r="I12" s="169"/>
      <c r="J12" s="169"/>
    </row>
    <row r="13" spans="1:10" ht="19.95" customHeight="1">
      <c r="A13" s="169"/>
      <c r="B13" s="169"/>
      <c r="C13" s="169"/>
      <c r="D13" s="169"/>
      <c r="E13" s="169"/>
      <c r="F13" s="169"/>
      <c r="G13" s="214"/>
      <c r="H13" s="214"/>
      <c r="I13" s="169"/>
      <c r="J13" s="169"/>
    </row>
    <row r="14" spans="1:10" ht="19.95" customHeight="1">
      <c r="A14" s="169"/>
      <c r="B14" s="169"/>
      <c r="C14" s="169"/>
      <c r="D14" s="169"/>
      <c r="E14" s="169"/>
      <c r="F14" s="169"/>
      <c r="G14" s="214"/>
      <c r="H14" s="214"/>
      <c r="I14" s="169"/>
      <c r="J14" s="169"/>
    </row>
    <row r="15" spans="1:10" ht="19.95" customHeight="1">
      <c r="A15" s="169"/>
      <c r="B15" s="169"/>
      <c r="C15" s="169"/>
      <c r="D15" s="169"/>
      <c r="E15" s="169"/>
      <c r="F15" s="169"/>
      <c r="G15" s="214"/>
      <c r="H15" s="214"/>
      <c r="I15" s="169"/>
      <c r="J15" s="169"/>
    </row>
    <row r="16" spans="1:10" ht="19.95" customHeight="1">
      <c r="A16" s="169"/>
      <c r="B16" s="169"/>
      <c r="C16" s="169"/>
      <c r="D16" s="169"/>
      <c r="E16" s="169"/>
      <c r="F16" s="169"/>
      <c r="G16" s="214"/>
      <c r="H16" s="214"/>
      <c r="I16" s="169"/>
      <c r="J16" s="169"/>
    </row>
    <row r="17" spans="1:10" ht="19.95" customHeight="1">
      <c r="A17" s="169"/>
      <c r="B17" s="169"/>
      <c r="C17" s="169"/>
      <c r="D17" s="169"/>
      <c r="E17" s="169"/>
      <c r="F17" s="169"/>
      <c r="G17" s="214"/>
      <c r="H17" s="214"/>
      <c r="I17" s="169"/>
      <c r="J17" s="169"/>
    </row>
    <row r="18" spans="1:10" ht="19.95" customHeight="1">
      <c r="A18" s="169"/>
      <c r="B18" s="169"/>
      <c r="C18" s="169"/>
      <c r="D18" s="169"/>
      <c r="E18" s="169"/>
      <c r="F18" s="169"/>
      <c r="G18" s="214"/>
      <c r="H18" s="214"/>
      <c r="I18" s="169"/>
      <c r="J18" s="169"/>
    </row>
    <row r="19" spans="1:10" ht="19.95" customHeight="1">
      <c r="A19" s="169"/>
      <c r="B19" s="169"/>
      <c r="C19" s="169"/>
      <c r="D19" s="169"/>
      <c r="E19" s="169"/>
      <c r="F19" s="169"/>
      <c r="G19" s="214"/>
      <c r="H19" s="214"/>
      <c r="I19" s="169"/>
      <c r="J19" s="169"/>
    </row>
    <row r="20" spans="1:10" ht="19.95" customHeight="1">
      <c r="A20" s="169"/>
      <c r="B20" s="169"/>
      <c r="C20" s="169"/>
      <c r="D20" s="169"/>
      <c r="E20" s="169"/>
      <c r="F20" s="169"/>
      <c r="G20" s="214"/>
      <c r="H20" s="214"/>
      <c r="I20" s="169"/>
      <c r="J20" s="169"/>
    </row>
    <row r="22" spans="1:10" ht="19.95" customHeight="1">
      <c r="A22" s="255" t="s">
        <v>415</v>
      </c>
    </row>
  </sheetData>
  <mergeCells count="2">
    <mergeCell ref="A1:J1"/>
    <mergeCell ref="A2:J2"/>
  </mergeCells>
  <phoneticPr fontId="11" type="noConversion"/>
  <dataValidations count="1">
    <dataValidation type="list" allowBlank="1" showInputMessage="1" showErrorMessage="1" sqref="B6:B20">
      <formula1>"账项调整,报表调整,其他"</formula1>
    </dataValidation>
  </dataValidations>
  <hyperlinks>
    <hyperlink ref="J3" location="底稿目录!A1" display="H4A"/>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S42"/>
  <sheetViews>
    <sheetView view="pageBreakPreview" zoomScaleNormal="115" zoomScaleSheetLayoutView="100" workbookViewId="0">
      <selection sqref="A1:R1"/>
    </sheetView>
  </sheetViews>
  <sheetFormatPr defaultColWidth="9" defaultRowHeight="19.95" customHeight="1"/>
  <cols>
    <col min="1" max="1" width="7.69921875" style="9" customWidth="1"/>
    <col min="2" max="2" width="14.3984375" style="9" customWidth="1"/>
    <col min="3" max="3" width="11.59765625" style="9" customWidth="1"/>
    <col min="4" max="4" width="9.5" style="9" customWidth="1"/>
    <col min="5" max="5" width="9.59765625" style="9" customWidth="1"/>
    <col min="6" max="6" width="11.09765625" style="9" customWidth="1"/>
    <col min="7" max="7" width="13.796875" style="9" customWidth="1"/>
    <col min="8" max="8" width="10.59765625" style="9" customWidth="1"/>
    <col min="9" max="9" width="9.09765625" style="9" customWidth="1"/>
    <col min="10" max="10" width="21.09765625" style="9" customWidth="1"/>
    <col min="11" max="15" width="4.296875" style="9" customWidth="1"/>
    <col min="16" max="16" width="11" style="9" customWidth="1"/>
    <col min="17" max="17" width="6.59765625" style="9" customWidth="1"/>
    <col min="18" max="18" width="12.69921875" style="9" customWidth="1"/>
    <col min="19" max="16384" width="9" style="9"/>
  </cols>
  <sheetData>
    <row r="1" spans="1:19" s="8" customFormat="1" ht="19.95" customHeight="1">
      <c r="A1" s="455" t="s">
        <v>380</v>
      </c>
      <c r="B1" s="455"/>
      <c r="C1" s="455"/>
      <c r="D1" s="455"/>
      <c r="E1" s="455"/>
      <c r="F1" s="455"/>
      <c r="G1" s="455"/>
      <c r="H1" s="455"/>
      <c r="I1" s="455"/>
      <c r="J1" s="456"/>
      <c r="K1" s="456"/>
      <c r="L1" s="456"/>
      <c r="M1" s="456"/>
      <c r="N1" s="456"/>
      <c r="O1" s="456"/>
      <c r="P1" s="456"/>
      <c r="Q1" s="456"/>
      <c r="R1" s="456"/>
    </row>
    <row r="2" spans="1:19" s="306" customFormat="1" ht="19.95" customHeight="1">
      <c r="A2" s="453" t="s">
        <v>387</v>
      </c>
      <c r="B2" s="453"/>
      <c r="C2" s="453"/>
      <c r="D2" s="453"/>
      <c r="E2" s="453"/>
      <c r="F2" s="453"/>
      <c r="G2" s="453"/>
      <c r="H2" s="453"/>
      <c r="I2" s="453"/>
      <c r="J2" s="454"/>
      <c r="K2" s="454"/>
      <c r="L2" s="454"/>
      <c r="M2" s="454"/>
      <c r="N2" s="454"/>
      <c r="O2" s="454"/>
      <c r="P2" s="454"/>
      <c r="Q2" s="454"/>
      <c r="R2" s="454"/>
    </row>
    <row r="3" spans="1:19" ht="19.95" customHeight="1">
      <c r="A3" s="2" t="str">
        <f>底稿目录!A2</f>
        <v>被审计单位：</v>
      </c>
      <c r="B3" s="2"/>
      <c r="C3" s="2" t="str">
        <f>底稿目录!A4</f>
        <v>编制人：</v>
      </c>
      <c r="D3" s="2"/>
      <c r="F3" s="2"/>
      <c r="G3" s="2" t="str">
        <f>底稿目录!A6</f>
        <v>编制日期：</v>
      </c>
      <c r="Q3" s="252" t="s">
        <v>401</v>
      </c>
      <c r="R3" s="147" t="s">
        <v>91</v>
      </c>
    </row>
    <row r="4" spans="1:19" ht="19.95" customHeight="1">
      <c r="A4" s="2" t="str">
        <f>底稿目录!A3</f>
        <v>截止日：</v>
      </c>
      <c r="B4" s="2"/>
      <c r="C4" s="2" t="str">
        <f>底稿目录!A5</f>
        <v>复核人：</v>
      </c>
      <c r="D4" s="2"/>
      <c r="F4" s="2"/>
      <c r="G4" s="2" t="str">
        <f>底稿目录!A7</f>
        <v>复核日期：</v>
      </c>
      <c r="Q4" s="252" t="s">
        <v>402</v>
      </c>
      <c r="R4" s="148"/>
    </row>
    <row r="5" spans="1:19" s="307" customFormat="1" ht="19.95" customHeight="1">
      <c r="A5" s="462" t="s">
        <v>446</v>
      </c>
      <c r="B5" s="462"/>
      <c r="C5" s="462"/>
      <c r="D5" s="462"/>
      <c r="E5" s="462"/>
      <c r="F5" s="462"/>
      <c r="G5" s="462"/>
      <c r="H5" s="462"/>
      <c r="I5" s="462"/>
      <c r="J5" s="462"/>
      <c r="K5" s="462"/>
      <c r="L5" s="462"/>
      <c r="M5" s="462"/>
      <c r="N5" s="462"/>
      <c r="O5" s="462"/>
      <c r="P5" s="462"/>
      <c r="Q5" s="462"/>
      <c r="R5" s="462"/>
    </row>
    <row r="6" spans="1:19" s="307" customFormat="1" ht="19.95" customHeight="1">
      <c r="A6" s="297" t="s">
        <v>447</v>
      </c>
      <c r="B6" s="308"/>
      <c r="C6" s="308"/>
      <c r="D6" s="308"/>
      <c r="E6" s="308"/>
      <c r="F6" s="308"/>
      <c r="G6" s="308"/>
      <c r="H6" s="308"/>
      <c r="I6" s="308"/>
      <c r="J6" s="308"/>
      <c r="K6" s="308"/>
      <c r="L6" s="308"/>
      <c r="M6" s="308"/>
      <c r="N6" s="308"/>
      <c r="O6" s="308"/>
      <c r="P6" s="308"/>
      <c r="Q6" s="308"/>
      <c r="R6" s="308"/>
    </row>
    <row r="7" spans="1:19" s="307" customFormat="1" ht="19.95" customHeight="1">
      <c r="A7" s="297" t="s">
        <v>448</v>
      </c>
      <c r="B7" s="308"/>
      <c r="C7" s="308"/>
      <c r="D7" s="308"/>
      <c r="E7" s="308"/>
      <c r="F7" s="308"/>
      <c r="G7" s="308"/>
      <c r="H7" s="308"/>
      <c r="I7" s="308"/>
      <c r="J7" s="308"/>
      <c r="K7" s="308"/>
      <c r="L7" s="308"/>
      <c r="M7" s="308"/>
      <c r="N7" s="308"/>
      <c r="O7" s="308"/>
      <c r="P7" s="308"/>
      <c r="Q7" s="308"/>
      <c r="R7" s="308"/>
    </row>
    <row r="8" spans="1:19" s="307" customFormat="1" ht="19.95" customHeight="1">
      <c r="A8" s="309" t="s">
        <v>102</v>
      </c>
      <c r="B8" s="310"/>
      <c r="C8" s="310"/>
      <c r="D8" s="310"/>
      <c r="E8" s="310"/>
      <c r="F8" s="310"/>
      <c r="G8" s="310"/>
      <c r="H8" s="310"/>
      <c r="I8" s="310"/>
      <c r="J8" s="310"/>
      <c r="K8" s="310"/>
      <c r="L8" s="310"/>
    </row>
    <row r="9" spans="1:19" s="314" customFormat="1" ht="19.95" customHeight="1">
      <c r="A9" s="311" t="s">
        <v>202</v>
      </c>
      <c r="B9" s="312" t="s">
        <v>491</v>
      </c>
      <c r="C9" s="310"/>
      <c r="D9" s="310"/>
      <c r="E9" s="311"/>
      <c r="F9" s="312"/>
      <c r="G9" s="311" t="s">
        <v>203</v>
      </c>
      <c r="H9" s="312" t="s">
        <v>204</v>
      </c>
      <c r="I9" s="313"/>
      <c r="J9" s="310"/>
      <c r="K9" s="310"/>
      <c r="L9" s="310"/>
    </row>
    <row r="10" spans="1:19" s="314" customFormat="1" ht="19.95" customHeight="1">
      <c r="A10" s="311" t="s">
        <v>105</v>
      </c>
      <c r="B10" s="312" t="s">
        <v>205</v>
      </c>
      <c r="C10" s="310"/>
      <c r="D10" s="310"/>
      <c r="E10" s="311"/>
      <c r="F10" s="312"/>
      <c r="G10" s="311" t="s">
        <v>206</v>
      </c>
      <c r="H10" s="312"/>
      <c r="I10" s="312" t="s">
        <v>207</v>
      </c>
      <c r="J10" s="312" t="s">
        <v>208</v>
      </c>
      <c r="K10" s="313"/>
      <c r="L10" s="310"/>
      <c r="M10" s="315"/>
    </row>
    <row r="11" spans="1:19" s="314" customFormat="1" ht="19.95" customHeight="1">
      <c r="A11" s="311" t="s">
        <v>209</v>
      </c>
      <c r="B11" s="359" t="s">
        <v>543</v>
      </c>
      <c r="C11" s="310"/>
      <c r="D11" s="310"/>
      <c r="E11" s="311"/>
      <c r="F11" s="312"/>
      <c r="G11" s="311" t="s">
        <v>210</v>
      </c>
      <c r="H11" s="312" t="s">
        <v>211</v>
      </c>
      <c r="I11" s="313"/>
      <c r="J11" s="310"/>
      <c r="K11" s="310"/>
      <c r="L11" s="310"/>
      <c r="M11" s="315"/>
    </row>
    <row r="12" spans="1:19" s="11" customFormat="1" ht="19.95" customHeight="1">
      <c r="A12" s="170" t="s">
        <v>212</v>
      </c>
      <c r="B12" s="12"/>
      <c r="C12" s="12"/>
      <c r="D12" s="12"/>
      <c r="E12" s="13"/>
      <c r="F12" s="14"/>
    </row>
    <row r="13" spans="1:19" s="11" customFormat="1" ht="19.95" customHeight="1">
      <c r="A13" s="254" t="s">
        <v>414</v>
      </c>
      <c r="B13" s="12"/>
      <c r="C13" s="12"/>
      <c r="D13" s="12"/>
      <c r="E13" s="13"/>
      <c r="F13" s="14"/>
    </row>
    <row r="14" spans="1:19" s="316" customFormat="1" ht="19.95" customHeight="1">
      <c r="A14" s="457" t="s">
        <v>213</v>
      </c>
      <c r="B14" s="458" t="s">
        <v>214</v>
      </c>
      <c r="C14" s="458" t="s">
        <v>215</v>
      </c>
      <c r="D14" s="470" t="s">
        <v>485</v>
      </c>
      <c r="E14" s="471"/>
      <c r="F14" s="471"/>
      <c r="G14" s="471"/>
      <c r="H14" s="471"/>
      <c r="I14" s="472"/>
      <c r="J14" s="463" t="s">
        <v>486</v>
      </c>
      <c r="K14" s="468" t="s">
        <v>487</v>
      </c>
      <c r="L14" s="469"/>
      <c r="M14" s="469"/>
      <c r="N14" s="469"/>
      <c r="O14" s="469"/>
      <c r="P14" s="461" t="s">
        <v>488</v>
      </c>
      <c r="Q14" s="459" t="s">
        <v>489</v>
      </c>
      <c r="R14" s="451" t="s">
        <v>490</v>
      </c>
    </row>
    <row r="15" spans="1:19" s="316" customFormat="1" ht="30" customHeight="1">
      <c r="A15" s="457"/>
      <c r="B15" s="458"/>
      <c r="C15" s="458"/>
      <c r="D15" s="317" t="s">
        <v>479</v>
      </c>
      <c r="E15" s="317" t="s">
        <v>480</v>
      </c>
      <c r="F15" s="317" t="s">
        <v>481</v>
      </c>
      <c r="G15" s="317" t="s">
        <v>482</v>
      </c>
      <c r="H15" s="317" t="s">
        <v>483</v>
      </c>
      <c r="I15" s="318" t="s">
        <v>484</v>
      </c>
      <c r="J15" s="464"/>
      <c r="K15" s="319">
        <v>1</v>
      </c>
      <c r="L15" s="319">
        <v>2</v>
      </c>
      <c r="M15" s="319">
        <v>3</v>
      </c>
      <c r="N15" s="319">
        <v>4</v>
      </c>
      <c r="O15" s="319">
        <v>5</v>
      </c>
      <c r="P15" s="461"/>
      <c r="Q15" s="460"/>
      <c r="R15" s="452"/>
      <c r="S15" s="320"/>
    </row>
    <row r="16" spans="1:19" ht="19.95" customHeight="1">
      <c r="A16" s="126">
        <v>1</v>
      </c>
      <c r="B16" s="57"/>
      <c r="C16" s="15"/>
      <c r="D16" s="217"/>
      <c r="E16" s="212"/>
      <c r="F16" s="212"/>
      <c r="G16" s="215"/>
      <c r="H16" s="216"/>
      <c r="I16" s="358"/>
      <c r="J16" s="216"/>
      <c r="K16" s="164"/>
      <c r="L16" s="164"/>
      <c r="M16" s="164"/>
      <c r="N16" s="164"/>
      <c r="O16" s="164"/>
      <c r="P16" s="15"/>
      <c r="Q16" s="217"/>
      <c r="R16" s="126"/>
    </row>
    <row r="17" spans="1:18" ht="19.95" customHeight="1">
      <c r="A17" s="126">
        <v>2</v>
      </c>
      <c r="B17" s="57"/>
      <c r="C17" s="15"/>
      <c r="D17" s="217"/>
      <c r="E17" s="212"/>
      <c r="F17" s="212"/>
      <c r="G17" s="215"/>
      <c r="H17" s="216"/>
      <c r="I17" s="358"/>
      <c r="J17" s="216"/>
      <c r="K17" s="164"/>
      <c r="L17" s="164"/>
      <c r="M17" s="164"/>
      <c r="N17" s="164"/>
      <c r="O17" s="164"/>
      <c r="P17" s="15"/>
      <c r="Q17" s="217"/>
      <c r="R17" s="126"/>
    </row>
    <row r="18" spans="1:18" ht="19.95" customHeight="1">
      <c r="A18" s="126">
        <v>3</v>
      </c>
      <c r="B18" s="57"/>
      <c r="C18" s="15"/>
      <c r="D18" s="217"/>
      <c r="E18" s="212"/>
      <c r="F18" s="212"/>
      <c r="G18" s="215"/>
      <c r="H18" s="216"/>
      <c r="I18" s="358"/>
      <c r="J18" s="216"/>
      <c r="K18" s="164"/>
      <c r="L18" s="164"/>
      <c r="M18" s="164"/>
      <c r="N18" s="164"/>
      <c r="O18" s="164"/>
      <c r="P18" s="15"/>
      <c r="Q18" s="217"/>
      <c r="R18" s="126"/>
    </row>
    <row r="19" spans="1:18" ht="19.95" customHeight="1">
      <c r="A19" s="354">
        <v>4</v>
      </c>
      <c r="B19" s="57"/>
      <c r="C19" s="15"/>
      <c r="D19" s="217"/>
      <c r="E19" s="212"/>
      <c r="F19" s="212"/>
      <c r="G19" s="215"/>
      <c r="H19" s="216"/>
      <c r="I19" s="358"/>
      <c r="J19" s="216"/>
      <c r="K19" s="164"/>
      <c r="L19" s="164"/>
      <c r="M19" s="164"/>
      <c r="N19" s="164"/>
      <c r="O19" s="164"/>
      <c r="P19" s="15"/>
      <c r="Q19" s="217"/>
      <c r="R19" s="126"/>
    </row>
    <row r="20" spans="1:18" ht="19.95" customHeight="1">
      <c r="A20" s="354">
        <v>5</v>
      </c>
      <c r="B20" s="57"/>
      <c r="C20" s="15"/>
      <c r="D20" s="217"/>
      <c r="E20" s="212"/>
      <c r="F20" s="212"/>
      <c r="G20" s="215"/>
      <c r="H20" s="216"/>
      <c r="I20" s="358"/>
      <c r="J20" s="216"/>
      <c r="K20" s="164"/>
      <c r="L20" s="164"/>
      <c r="M20" s="164"/>
      <c r="N20" s="164"/>
      <c r="O20" s="164"/>
      <c r="P20" s="15"/>
      <c r="Q20" s="217"/>
      <c r="R20" s="126"/>
    </row>
    <row r="21" spans="1:18" ht="19.95" customHeight="1">
      <c r="A21" s="354">
        <v>6</v>
      </c>
      <c r="B21" s="57"/>
      <c r="C21" s="15"/>
      <c r="D21" s="217"/>
      <c r="E21" s="212"/>
      <c r="F21" s="212"/>
      <c r="G21" s="215"/>
      <c r="H21" s="216"/>
      <c r="I21" s="358"/>
      <c r="J21" s="216"/>
      <c r="K21" s="164"/>
      <c r="L21" s="164"/>
      <c r="M21" s="164"/>
      <c r="N21" s="164"/>
      <c r="O21" s="164"/>
      <c r="P21" s="15"/>
      <c r="Q21" s="217"/>
      <c r="R21" s="354"/>
    </row>
    <row r="22" spans="1:18" ht="19.95" customHeight="1">
      <c r="A22" s="354">
        <v>7</v>
      </c>
      <c r="B22" s="57"/>
      <c r="C22" s="15"/>
      <c r="D22" s="217"/>
      <c r="E22" s="212"/>
      <c r="F22" s="212"/>
      <c r="G22" s="215"/>
      <c r="H22" s="216"/>
      <c r="I22" s="358"/>
      <c r="J22" s="216"/>
      <c r="K22" s="164"/>
      <c r="L22" s="164"/>
      <c r="M22" s="164"/>
      <c r="N22" s="164"/>
      <c r="O22" s="164"/>
      <c r="P22" s="15"/>
      <c r="Q22" s="217"/>
      <c r="R22" s="354"/>
    </row>
    <row r="23" spans="1:18" ht="19.95" customHeight="1">
      <c r="A23" s="354">
        <v>8</v>
      </c>
      <c r="B23" s="57"/>
      <c r="C23" s="15"/>
      <c r="D23" s="217"/>
      <c r="E23" s="212"/>
      <c r="F23" s="212"/>
      <c r="G23" s="215"/>
      <c r="H23" s="216"/>
      <c r="I23" s="358"/>
      <c r="J23" s="216"/>
      <c r="K23" s="164"/>
      <c r="L23" s="164"/>
      <c r="M23" s="164"/>
      <c r="N23" s="164"/>
      <c r="O23" s="164"/>
      <c r="P23" s="15"/>
      <c r="Q23" s="217"/>
      <c r="R23" s="354"/>
    </row>
    <row r="24" spans="1:18" ht="19.95" customHeight="1">
      <c r="A24" s="354">
        <v>9</v>
      </c>
      <c r="B24" s="57"/>
      <c r="C24" s="15"/>
      <c r="D24" s="217"/>
      <c r="E24" s="212"/>
      <c r="F24" s="212"/>
      <c r="G24" s="215"/>
      <c r="H24" s="216"/>
      <c r="I24" s="358"/>
      <c r="J24" s="216"/>
      <c r="K24" s="164"/>
      <c r="L24" s="164"/>
      <c r="M24" s="164"/>
      <c r="N24" s="164"/>
      <c r="O24" s="164"/>
      <c r="P24" s="15"/>
      <c r="Q24" s="217"/>
      <c r="R24" s="354"/>
    </row>
    <row r="25" spans="1:18" ht="19.95" customHeight="1">
      <c r="A25" s="354">
        <v>10</v>
      </c>
      <c r="B25" s="57"/>
      <c r="C25" s="15"/>
      <c r="D25" s="217"/>
      <c r="E25" s="212"/>
      <c r="F25" s="212"/>
      <c r="G25" s="215"/>
      <c r="H25" s="216"/>
      <c r="I25" s="358"/>
      <c r="J25" s="216"/>
      <c r="K25" s="164"/>
      <c r="L25" s="164"/>
      <c r="M25" s="164"/>
      <c r="N25" s="164"/>
      <c r="O25" s="164"/>
      <c r="P25" s="15"/>
      <c r="Q25" s="217"/>
      <c r="R25" s="126"/>
    </row>
    <row r="26" spans="1:18" ht="19.95" customHeight="1">
      <c r="A26" s="354">
        <v>11</v>
      </c>
      <c r="B26" s="57"/>
      <c r="C26" s="15"/>
      <c r="D26" s="217"/>
      <c r="E26" s="212"/>
      <c r="F26" s="212"/>
      <c r="G26" s="215"/>
      <c r="H26" s="216"/>
      <c r="I26" s="358"/>
      <c r="J26" s="216"/>
      <c r="K26" s="164"/>
      <c r="L26" s="164"/>
      <c r="M26" s="164"/>
      <c r="N26" s="164"/>
      <c r="O26" s="164"/>
      <c r="P26" s="15"/>
      <c r="Q26" s="217"/>
      <c r="R26" s="126"/>
    </row>
    <row r="27" spans="1:18" ht="19.95" customHeight="1">
      <c r="A27" s="354">
        <v>12</v>
      </c>
      <c r="B27" s="57"/>
      <c r="C27" s="15"/>
      <c r="D27" s="217"/>
      <c r="E27" s="212"/>
      <c r="F27" s="212"/>
      <c r="G27" s="215"/>
      <c r="H27" s="216"/>
      <c r="I27" s="358"/>
      <c r="J27" s="216"/>
      <c r="K27" s="164"/>
      <c r="L27" s="164"/>
      <c r="M27" s="164"/>
      <c r="N27" s="164"/>
      <c r="O27" s="164"/>
      <c r="P27" s="15"/>
      <c r="Q27" s="217"/>
      <c r="R27" s="126"/>
    </row>
    <row r="28" spans="1:18" ht="19.95" customHeight="1">
      <c r="A28" s="354">
        <v>13</v>
      </c>
      <c r="B28" s="57"/>
      <c r="C28" s="15"/>
      <c r="D28" s="217"/>
      <c r="E28" s="212"/>
      <c r="F28" s="212"/>
      <c r="G28" s="215"/>
      <c r="H28" s="216"/>
      <c r="I28" s="358"/>
      <c r="J28" s="216"/>
      <c r="K28" s="164"/>
      <c r="L28" s="164"/>
      <c r="M28" s="164"/>
      <c r="N28" s="164"/>
      <c r="O28" s="164"/>
      <c r="P28" s="15"/>
      <c r="Q28" s="217"/>
      <c r="R28" s="354"/>
    </row>
    <row r="29" spans="1:18" ht="19.95" customHeight="1">
      <c r="A29" s="354">
        <v>14</v>
      </c>
      <c r="B29" s="57"/>
      <c r="C29" s="15"/>
      <c r="D29" s="217"/>
      <c r="E29" s="212"/>
      <c r="F29" s="212"/>
      <c r="G29" s="215"/>
      <c r="H29" s="216"/>
      <c r="I29" s="358"/>
      <c r="J29" s="216"/>
      <c r="K29" s="164"/>
      <c r="L29" s="164"/>
      <c r="M29" s="164"/>
      <c r="N29" s="164"/>
      <c r="O29" s="164"/>
      <c r="P29" s="15"/>
      <c r="Q29" s="217"/>
      <c r="R29" s="354"/>
    </row>
    <row r="30" spans="1:18" ht="19.95" customHeight="1">
      <c r="A30" s="354">
        <v>15</v>
      </c>
      <c r="B30" s="57"/>
      <c r="C30" s="15"/>
      <c r="D30" s="217"/>
      <c r="E30" s="212"/>
      <c r="F30" s="212"/>
      <c r="G30" s="215"/>
      <c r="H30" s="216"/>
      <c r="I30" s="358"/>
      <c r="J30" s="216"/>
      <c r="K30" s="164"/>
      <c r="L30" s="164"/>
      <c r="M30" s="164"/>
      <c r="N30" s="164"/>
      <c r="O30" s="164"/>
      <c r="P30" s="15"/>
      <c r="Q30" s="217"/>
      <c r="R30" s="126"/>
    </row>
    <row r="31" spans="1:18" ht="19.95" customHeight="1">
      <c r="A31" s="354" t="s">
        <v>541</v>
      </c>
      <c r="B31" s="57"/>
      <c r="C31" s="15"/>
      <c r="D31" s="217"/>
      <c r="E31" s="212"/>
      <c r="F31" s="212"/>
      <c r="G31" s="215"/>
      <c r="H31" s="216"/>
      <c r="I31" s="358"/>
      <c r="J31" s="216"/>
      <c r="K31" s="164"/>
      <c r="L31" s="164"/>
      <c r="M31" s="164"/>
      <c r="N31" s="164"/>
      <c r="O31" s="164"/>
      <c r="P31" s="15"/>
      <c r="Q31" s="217"/>
      <c r="R31" s="126"/>
    </row>
    <row r="32" spans="1:18" s="7" customFormat="1" ht="19.95" customHeight="1">
      <c r="A32" s="467" t="s">
        <v>542</v>
      </c>
      <c r="B32" s="467"/>
      <c r="C32" s="467"/>
      <c r="D32" s="467"/>
      <c r="E32" s="467"/>
      <c r="F32" s="467"/>
      <c r="G32" s="361"/>
      <c r="H32" s="362"/>
      <c r="I32" s="369">
        <f>SUM(I16:I31)</f>
        <v>0</v>
      </c>
      <c r="J32" s="362"/>
      <c r="K32" s="363"/>
      <c r="L32" s="363"/>
      <c r="M32" s="363"/>
      <c r="N32" s="363"/>
      <c r="O32" s="363"/>
      <c r="P32" s="364"/>
      <c r="Q32" s="365"/>
      <c r="R32" s="353"/>
    </row>
    <row r="33" spans="1:18" s="360" customFormat="1" ht="19.95" customHeight="1">
      <c r="A33" s="465" t="s">
        <v>544</v>
      </c>
      <c r="B33" s="466"/>
      <c r="C33" s="466"/>
      <c r="D33" s="466"/>
      <c r="E33" s="466"/>
      <c r="F33" s="466"/>
      <c r="G33" s="361"/>
      <c r="H33" s="362"/>
      <c r="I33" s="369">
        <f>'明细表H4-2'!AB28</f>
        <v>0</v>
      </c>
      <c r="J33" s="362"/>
      <c r="K33" s="363"/>
      <c r="L33" s="363"/>
      <c r="M33" s="363"/>
      <c r="N33" s="363"/>
      <c r="O33" s="363"/>
      <c r="P33" s="364"/>
      <c r="Q33" s="365"/>
      <c r="R33" s="353"/>
    </row>
    <row r="34" spans="1:18" s="360" customFormat="1" ht="19.95" customHeight="1">
      <c r="A34" s="465" t="s">
        <v>546</v>
      </c>
      <c r="B34" s="466"/>
      <c r="C34" s="466"/>
      <c r="D34" s="466"/>
      <c r="E34" s="466"/>
      <c r="F34" s="466"/>
      <c r="G34" s="361"/>
      <c r="H34" s="362"/>
      <c r="I34" s="370" t="e">
        <f>I32/I33</f>
        <v>#DIV/0!</v>
      </c>
      <c r="J34" s="362"/>
      <c r="K34" s="363"/>
      <c r="L34" s="363"/>
      <c r="M34" s="363"/>
      <c r="N34" s="363"/>
      <c r="O34" s="363"/>
      <c r="P34" s="364"/>
      <c r="Q34" s="365"/>
      <c r="R34" s="353"/>
    </row>
    <row r="35" spans="1:18" ht="19.95" customHeight="1">
      <c r="A35" s="218" t="s">
        <v>216</v>
      </c>
      <c r="B35" s="115"/>
      <c r="C35" s="115"/>
      <c r="D35" s="115"/>
      <c r="E35" s="115"/>
      <c r="F35" s="115"/>
      <c r="G35" s="115"/>
      <c r="H35" s="171"/>
      <c r="I35" s="116"/>
      <c r="J35" s="116"/>
      <c r="K35" s="116"/>
      <c r="L35" s="116"/>
      <c r="M35" s="116"/>
      <c r="N35" s="116"/>
      <c r="O35" s="116"/>
      <c r="P35" s="116"/>
      <c r="Q35" s="117"/>
    </row>
    <row r="36" spans="1:18" ht="19.95" customHeight="1">
      <c r="A36" s="373" t="s">
        <v>547</v>
      </c>
      <c r="B36" s="115"/>
      <c r="C36" s="115"/>
      <c r="D36" s="115"/>
      <c r="E36" s="115"/>
      <c r="F36" s="115"/>
      <c r="G36" s="115"/>
      <c r="H36" s="171"/>
      <c r="I36" s="116"/>
      <c r="J36" s="116"/>
      <c r="K36" s="116"/>
      <c r="L36" s="116"/>
      <c r="M36" s="116"/>
      <c r="N36" s="116"/>
      <c r="O36" s="116"/>
      <c r="P36" s="116"/>
      <c r="Q36" s="117"/>
    </row>
    <row r="37" spans="1:18" ht="19.95" customHeight="1">
      <c r="A37" s="373" t="s">
        <v>548</v>
      </c>
      <c r="H37" s="143"/>
      <c r="I37" s="10"/>
      <c r="J37" s="10"/>
      <c r="K37" s="10"/>
      <c r="L37" s="10"/>
      <c r="M37" s="10"/>
      <c r="N37" s="10"/>
      <c r="O37" s="10"/>
      <c r="P37" s="10"/>
      <c r="Q37" s="10"/>
    </row>
    <row r="38" spans="1:18" ht="19.95" customHeight="1">
      <c r="A38" s="7" t="s">
        <v>217</v>
      </c>
      <c r="H38" s="143"/>
      <c r="I38" s="10"/>
      <c r="J38" s="10"/>
      <c r="K38" s="10"/>
      <c r="L38" s="10"/>
      <c r="M38" s="10"/>
      <c r="N38" s="10"/>
      <c r="O38" s="10"/>
      <c r="P38" s="10"/>
      <c r="Q38" s="10"/>
    </row>
    <row r="39" spans="1:18" ht="19.95" customHeight="1">
      <c r="A39" s="7"/>
      <c r="H39" s="10"/>
      <c r="I39" s="10"/>
      <c r="J39" s="10"/>
      <c r="K39" s="10"/>
      <c r="L39" s="10"/>
      <c r="M39" s="10"/>
      <c r="N39" s="10"/>
      <c r="O39" s="10"/>
      <c r="P39" s="10"/>
      <c r="Q39" s="10"/>
    </row>
    <row r="40" spans="1:18" ht="19.95" customHeight="1">
      <c r="A40" s="16"/>
      <c r="B40" s="10"/>
      <c r="C40" s="10"/>
      <c r="D40" s="10"/>
      <c r="E40" s="10"/>
      <c r="F40" s="10"/>
      <c r="G40" s="10"/>
      <c r="H40" s="10"/>
      <c r="I40" s="10"/>
      <c r="J40" s="10"/>
      <c r="K40" s="10"/>
      <c r="L40" s="10"/>
      <c r="M40" s="10"/>
      <c r="N40" s="10"/>
      <c r="O40" s="10"/>
      <c r="P40" s="10"/>
      <c r="Q40" s="10"/>
    </row>
    <row r="42" spans="1:18" ht="19.95" customHeight="1">
      <c r="A42" s="172"/>
    </row>
  </sheetData>
  <mergeCells count="15">
    <mergeCell ref="A33:F33"/>
    <mergeCell ref="A32:F32"/>
    <mergeCell ref="A34:F34"/>
    <mergeCell ref="K14:O14"/>
    <mergeCell ref="D14:I14"/>
    <mergeCell ref="R14:R15"/>
    <mergeCell ref="A2:R2"/>
    <mergeCell ref="A1:R1"/>
    <mergeCell ref="A14:A15"/>
    <mergeCell ref="B14:B15"/>
    <mergeCell ref="Q14:Q15"/>
    <mergeCell ref="C14:C15"/>
    <mergeCell ref="P14:P15"/>
    <mergeCell ref="A5:R5"/>
    <mergeCell ref="J14:J15"/>
  </mergeCells>
  <phoneticPr fontId="11" type="noConversion"/>
  <dataValidations count="2">
    <dataValidation type="list" allowBlank="1" showInputMessage="1" showErrorMessage="1" prompt="如要修改下列框的选项，单击“数据-数据有效性-设置-序列-来源”。" sqref="B16:B31">
      <formula1>"专用材料,专用设备, 工器具, 其他"</formula1>
    </dataValidation>
    <dataValidation type="list" allowBlank="1" showInputMessage="1" showErrorMessage="1" sqref="K16:O34">
      <formula1>"√,X"</formula1>
    </dataValidation>
  </dataValidations>
  <hyperlinks>
    <hyperlink ref="R3" location="底稿目录!A1" display="H4A"/>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rowBreaks count="1" manualBreakCount="1">
    <brk id="24"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C40"/>
  <sheetViews>
    <sheetView view="pageBreakPreview" topLeftCell="A4" zoomScaleNormal="115" zoomScaleSheetLayoutView="100" workbookViewId="0">
      <selection sqref="A1:V1"/>
    </sheetView>
  </sheetViews>
  <sheetFormatPr defaultColWidth="9" defaultRowHeight="19.95" customHeight="1"/>
  <cols>
    <col min="1" max="1" width="7.796875" style="9" customWidth="1"/>
    <col min="2" max="2" width="9.19921875" style="9" customWidth="1"/>
    <col min="3" max="3" width="10.796875" style="9" customWidth="1"/>
    <col min="4" max="4" width="8.59765625" style="9" customWidth="1"/>
    <col min="5" max="6" width="10.09765625" style="9" customWidth="1"/>
    <col min="7" max="7" width="9" style="9"/>
    <col min="8" max="12" width="8.59765625" style="9" customWidth="1"/>
    <col min="13" max="13" width="10.09765625" style="9" customWidth="1"/>
    <col min="14" max="14" width="13.59765625" style="9" customWidth="1"/>
    <col min="15" max="19" width="3.59765625" style="9" customWidth="1"/>
    <col min="20" max="20" width="8" style="9" customWidth="1"/>
    <col min="21" max="21" width="5" style="9" customWidth="1"/>
    <col min="22" max="22" width="11" style="9" customWidth="1"/>
    <col min="23" max="16384" width="9" style="9"/>
  </cols>
  <sheetData>
    <row r="1" spans="1:29" s="8" customFormat="1" ht="19.95" customHeight="1">
      <c r="A1" s="455" t="s">
        <v>380</v>
      </c>
      <c r="B1" s="455"/>
      <c r="C1" s="455"/>
      <c r="D1" s="455"/>
      <c r="E1" s="455"/>
      <c r="F1" s="455"/>
      <c r="G1" s="455"/>
      <c r="H1" s="455"/>
      <c r="I1" s="455"/>
      <c r="J1" s="455"/>
      <c r="K1" s="455"/>
      <c r="L1" s="455"/>
      <c r="M1" s="455"/>
      <c r="N1" s="455"/>
      <c r="O1" s="455"/>
      <c r="P1" s="455"/>
      <c r="Q1" s="455"/>
      <c r="R1" s="455"/>
      <c r="S1" s="455"/>
      <c r="T1" s="455"/>
      <c r="U1" s="455"/>
      <c r="V1" s="455"/>
    </row>
    <row r="2" spans="1:29" s="306" customFormat="1" ht="19.95" customHeight="1">
      <c r="A2" s="453" t="s">
        <v>386</v>
      </c>
      <c r="B2" s="453"/>
      <c r="C2" s="453"/>
      <c r="D2" s="453"/>
      <c r="E2" s="453"/>
      <c r="F2" s="453"/>
      <c r="G2" s="453"/>
      <c r="H2" s="453"/>
      <c r="I2" s="453"/>
      <c r="J2" s="453"/>
      <c r="K2" s="453"/>
      <c r="L2" s="453"/>
      <c r="M2" s="453"/>
      <c r="N2" s="453"/>
      <c r="O2" s="453"/>
      <c r="P2" s="453"/>
      <c r="Q2" s="453"/>
      <c r="R2" s="453"/>
      <c r="S2" s="453"/>
      <c r="T2" s="453"/>
      <c r="U2" s="453"/>
      <c r="V2" s="453"/>
    </row>
    <row r="3" spans="1:29" ht="19.95" customHeight="1">
      <c r="A3" s="2" t="str">
        <f>底稿目录!A2</f>
        <v>被审计单位：</v>
      </c>
      <c r="B3" s="2"/>
      <c r="C3" s="2"/>
      <c r="D3" s="2"/>
      <c r="E3" s="2"/>
      <c r="F3" s="2"/>
      <c r="G3" s="2" t="str">
        <f>底稿目录!A4</f>
        <v>编制人：</v>
      </c>
      <c r="H3" s="2"/>
      <c r="I3" s="2"/>
      <c r="J3" s="2"/>
      <c r="K3" s="2"/>
      <c r="L3" s="2" t="str">
        <f>底稿目录!A6</f>
        <v>编制日期：</v>
      </c>
      <c r="M3" s="2"/>
      <c r="T3" s="252"/>
      <c r="U3" s="252" t="s">
        <v>401</v>
      </c>
      <c r="V3" s="147" t="s">
        <v>92</v>
      </c>
    </row>
    <row r="4" spans="1:29" ht="19.95" customHeight="1">
      <c r="A4" s="2" t="str">
        <f>底稿目录!A3</f>
        <v>截止日：</v>
      </c>
      <c r="B4" s="2"/>
      <c r="C4" s="2"/>
      <c r="D4" s="2"/>
      <c r="E4" s="2"/>
      <c r="F4" s="2"/>
      <c r="G4" s="2" t="str">
        <f>底稿目录!A5</f>
        <v>复核人：</v>
      </c>
      <c r="H4" s="2"/>
      <c r="I4" s="2"/>
      <c r="J4" s="2"/>
      <c r="K4" s="2"/>
      <c r="L4" s="2" t="str">
        <f>底稿目录!A7</f>
        <v>复核日期：</v>
      </c>
      <c r="M4" s="2"/>
      <c r="T4" s="252"/>
      <c r="U4" s="252" t="s">
        <v>402</v>
      </c>
      <c r="V4" s="148"/>
    </row>
    <row r="5" spans="1:29" s="307" customFormat="1" ht="19.95" customHeight="1">
      <c r="A5" s="462" t="s">
        <v>444</v>
      </c>
      <c r="B5" s="462"/>
      <c r="C5" s="462"/>
      <c r="D5" s="462"/>
      <c r="E5" s="462"/>
      <c r="F5" s="462"/>
      <c r="G5" s="462"/>
      <c r="H5" s="462"/>
      <c r="I5" s="462"/>
      <c r="J5" s="462"/>
      <c r="K5" s="462"/>
      <c r="L5" s="462"/>
      <c r="M5" s="462"/>
      <c r="N5" s="462"/>
      <c r="O5" s="462"/>
      <c r="P5" s="462"/>
      <c r="Q5" s="462"/>
      <c r="R5" s="462"/>
      <c r="S5" s="462"/>
      <c r="T5" s="462"/>
      <c r="U5" s="462"/>
      <c r="V5" s="462"/>
      <c r="W5" s="321"/>
      <c r="X5" s="321"/>
      <c r="Y5" s="322"/>
    </row>
    <row r="6" spans="1:29" s="307" customFormat="1" ht="19.95" customHeight="1">
      <c r="A6" s="297" t="s">
        <v>450</v>
      </c>
      <c r="B6" s="308"/>
      <c r="C6" s="308"/>
      <c r="D6" s="308"/>
      <c r="E6" s="308"/>
      <c r="F6" s="308"/>
      <c r="G6" s="308"/>
      <c r="H6" s="308"/>
      <c r="I6" s="308"/>
      <c r="J6" s="308"/>
      <c r="K6" s="308"/>
      <c r="L6" s="308"/>
      <c r="M6" s="308"/>
      <c r="N6" s="308"/>
      <c r="O6" s="308"/>
      <c r="P6" s="308"/>
      <c r="Q6" s="308"/>
      <c r="R6" s="308"/>
      <c r="S6" s="308"/>
      <c r="T6" s="308"/>
      <c r="U6" s="308"/>
      <c r="V6" s="308"/>
      <c r="W6" s="321"/>
      <c r="X6" s="321"/>
      <c r="Y6" s="322"/>
    </row>
    <row r="7" spans="1:29" s="307" customFormat="1" ht="19.95" customHeight="1">
      <c r="A7" s="297" t="s">
        <v>451</v>
      </c>
      <c r="B7" s="308"/>
      <c r="C7" s="308"/>
      <c r="D7" s="308"/>
      <c r="E7" s="308"/>
      <c r="F7" s="308"/>
      <c r="G7" s="308"/>
      <c r="H7" s="308"/>
      <c r="I7" s="308"/>
      <c r="J7" s="308"/>
      <c r="K7" s="308"/>
      <c r="L7" s="308"/>
      <c r="M7" s="308"/>
      <c r="N7" s="308"/>
      <c r="O7" s="308"/>
      <c r="P7" s="308"/>
      <c r="Q7" s="308"/>
      <c r="R7" s="308"/>
      <c r="S7" s="308"/>
      <c r="T7" s="308"/>
      <c r="U7" s="308"/>
      <c r="V7" s="308"/>
      <c r="W7" s="321"/>
      <c r="X7" s="321"/>
      <c r="Y7" s="322"/>
    </row>
    <row r="8" spans="1:29" s="307" customFormat="1" ht="19.95" customHeight="1">
      <c r="A8" s="309" t="s">
        <v>102</v>
      </c>
      <c r="B8" s="309"/>
      <c r="C8" s="310"/>
      <c r="D8" s="310"/>
      <c r="E8" s="310"/>
      <c r="F8" s="310"/>
      <c r="G8" s="310"/>
      <c r="H8" s="310"/>
      <c r="I8" s="310"/>
      <c r="J8" s="310"/>
      <c r="K8" s="310"/>
      <c r="L8" s="310"/>
      <c r="M8" s="310"/>
      <c r="S8" s="291"/>
      <c r="T8" s="291"/>
      <c r="U8" s="291"/>
      <c r="V8" s="291"/>
      <c r="W8" s="291"/>
      <c r="X8" s="321"/>
      <c r="Y8" s="321"/>
      <c r="Z8" s="321"/>
      <c r="AA8" s="321"/>
      <c r="AB8" s="322"/>
      <c r="AC8" s="322"/>
    </row>
    <row r="9" spans="1:29" s="314" customFormat="1" ht="19.95" customHeight="1">
      <c r="A9" s="311" t="s">
        <v>103</v>
      </c>
      <c r="B9" s="312" t="s">
        <v>449</v>
      </c>
      <c r="C9" s="310"/>
      <c r="D9" s="310"/>
      <c r="E9" s="310"/>
      <c r="F9" s="311"/>
      <c r="G9" s="312"/>
      <c r="H9" s="311" t="s">
        <v>218</v>
      </c>
      <c r="I9" s="312" t="s">
        <v>219</v>
      </c>
      <c r="J9" s="313"/>
      <c r="K9" s="310"/>
      <c r="L9" s="310"/>
      <c r="M9" s="310"/>
    </row>
    <row r="10" spans="1:29" s="314" customFormat="1" ht="19.95" customHeight="1">
      <c r="A10" s="311" t="s">
        <v>220</v>
      </c>
      <c r="B10" s="312" t="s">
        <v>221</v>
      </c>
      <c r="C10" s="310"/>
      <c r="D10" s="310"/>
      <c r="E10" s="310"/>
      <c r="F10" s="311"/>
      <c r="G10" s="312"/>
      <c r="H10" s="311" t="s">
        <v>106</v>
      </c>
      <c r="I10" s="312"/>
      <c r="J10" s="312" t="s">
        <v>107</v>
      </c>
      <c r="K10" s="312" t="s">
        <v>108</v>
      </c>
      <c r="L10" s="313"/>
      <c r="M10" s="310"/>
    </row>
    <row r="11" spans="1:29" s="314" customFormat="1" ht="19.95" customHeight="1">
      <c r="A11" s="311" t="s">
        <v>222</v>
      </c>
      <c r="B11" s="359" t="s">
        <v>543</v>
      </c>
      <c r="C11" s="310"/>
      <c r="D11" s="310"/>
      <c r="E11" s="310"/>
      <c r="F11" s="311"/>
      <c r="G11" s="312"/>
      <c r="H11" s="311" t="s">
        <v>110</v>
      </c>
      <c r="I11" s="312" t="s">
        <v>223</v>
      </c>
      <c r="J11" s="313"/>
      <c r="K11" s="310"/>
      <c r="L11" s="310"/>
      <c r="M11" s="310"/>
    </row>
    <row r="12" spans="1:29" s="11" customFormat="1" ht="19.95" customHeight="1">
      <c r="A12" s="170" t="s">
        <v>224</v>
      </c>
      <c r="B12" s="12"/>
      <c r="C12" s="12"/>
      <c r="D12" s="12"/>
      <c r="E12" s="12"/>
      <c r="F12" s="12"/>
      <c r="G12" s="13"/>
    </row>
    <row r="13" spans="1:29" s="11" customFormat="1" ht="19.95" customHeight="1">
      <c r="A13" s="254" t="s">
        <v>414</v>
      </c>
      <c r="B13" s="12"/>
      <c r="C13" s="12"/>
      <c r="D13" s="12"/>
      <c r="E13" s="12"/>
      <c r="F13" s="12"/>
      <c r="G13" s="13"/>
    </row>
    <row r="14" spans="1:29" s="316" customFormat="1" ht="19.95" customHeight="1">
      <c r="A14" s="457" t="s">
        <v>136</v>
      </c>
      <c r="B14" s="458" t="s">
        <v>225</v>
      </c>
      <c r="C14" s="458" t="s">
        <v>226</v>
      </c>
      <c r="D14" s="473" t="s">
        <v>227</v>
      </c>
      <c r="E14" s="473" t="s">
        <v>228</v>
      </c>
      <c r="F14" s="458" t="s">
        <v>229</v>
      </c>
      <c r="G14" s="457" t="s">
        <v>230</v>
      </c>
      <c r="H14" s="457"/>
      <c r="I14" s="457"/>
      <c r="J14" s="457"/>
      <c r="K14" s="457"/>
      <c r="L14" s="457"/>
      <c r="M14" s="457"/>
      <c r="N14" s="463" t="s">
        <v>486</v>
      </c>
      <c r="O14" s="468" t="s">
        <v>487</v>
      </c>
      <c r="P14" s="469"/>
      <c r="Q14" s="469"/>
      <c r="R14" s="469"/>
      <c r="S14" s="469"/>
      <c r="T14" s="461" t="s">
        <v>488</v>
      </c>
      <c r="U14" s="459" t="s">
        <v>492</v>
      </c>
      <c r="V14" s="451" t="s">
        <v>493</v>
      </c>
    </row>
    <row r="15" spans="1:29" s="316" customFormat="1" ht="20.399999999999999" customHeight="1">
      <c r="A15" s="457"/>
      <c r="B15" s="458"/>
      <c r="C15" s="458"/>
      <c r="D15" s="473"/>
      <c r="E15" s="473"/>
      <c r="F15" s="458"/>
      <c r="G15" s="323" t="s">
        <v>116</v>
      </c>
      <c r="H15" s="323" t="s">
        <v>232</v>
      </c>
      <c r="I15" s="323" t="s">
        <v>233</v>
      </c>
      <c r="J15" s="323" t="s">
        <v>234</v>
      </c>
      <c r="K15" s="324" t="s">
        <v>235</v>
      </c>
      <c r="L15" s="324" t="s">
        <v>236</v>
      </c>
      <c r="M15" s="325" t="s">
        <v>237</v>
      </c>
      <c r="N15" s="464"/>
      <c r="O15" s="319">
        <v>1</v>
      </c>
      <c r="P15" s="319">
        <v>2</v>
      </c>
      <c r="Q15" s="319">
        <v>3</v>
      </c>
      <c r="R15" s="319">
        <v>4</v>
      </c>
      <c r="S15" s="319">
        <v>5</v>
      </c>
      <c r="T15" s="461"/>
      <c r="U15" s="460"/>
      <c r="V15" s="452"/>
      <c r="W15" s="320"/>
    </row>
    <row r="16" spans="1:29" ht="19.95" customHeight="1">
      <c r="A16" s="126">
        <v>1</v>
      </c>
      <c r="B16" s="57"/>
      <c r="C16" s="15"/>
      <c r="D16" s="217"/>
      <c r="E16" s="15"/>
      <c r="F16" s="15"/>
      <c r="G16" s="212"/>
      <c r="H16" s="212"/>
      <c r="I16" s="212"/>
      <c r="J16" s="104">
        <f>H16-I16</f>
        <v>0</v>
      </c>
      <c r="K16" s="219"/>
      <c r="L16" s="219"/>
      <c r="M16" s="104">
        <f>L16-K16-J16</f>
        <v>0</v>
      </c>
      <c r="N16" s="220"/>
      <c r="O16" s="164"/>
      <c r="P16" s="164"/>
      <c r="Q16" s="164"/>
      <c r="R16" s="164"/>
      <c r="S16" s="164"/>
      <c r="T16" s="164"/>
      <c r="U16" s="164"/>
      <c r="V16" s="126"/>
    </row>
    <row r="17" spans="1:22" ht="19.95" customHeight="1">
      <c r="A17" s="126">
        <v>2</v>
      </c>
      <c r="B17" s="57"/>
      <c r="C17" s="15"/>
      <c r="D17" s="217"/>
      <c r="E17" s="15"/>
      <c r="F17" s="15"/>
      <c r="G17" s="212"/>
      <c r="H17" s="212"/>
      <c r="I17" s="212"/>
      <c r="J17" s="104">
        <f t="shared" ref="J17:J25" si="0">H17-I17</f>
        <v>0</v>
      </c>
      <c r="K17" s="219"/>
      <c r="L17" s="219"/>
      <c r="M17" s="104">
        <f t="shared" ref="M17:M25" si="1">L17-K17-J17</f>
        <v>0</v>
      </c>
      <c r="N17" s="220"/>
      <c r="O17" s="164"/>
      <c r="P17" s="164"/>
      <c r="Q17" s="164"/>
      <c r="R17" s="164"/>
      <c r="S17" s="164"/>
      <c r="T17" s="164"/>
      <c r="U17" s="164"/>
      <c r="V17" s="126"/>
    </row>
    <row r="18" spans="1:22" ht="19.95" customHeight="1">
      <c r="A18" s="126">
        <v>3</v>
      </c>
      <c r="B18" s="57"/>
      <c r="C18" s="15"/>
      <c r="D18" s="217"/>
      <c r="E18" s="15"/>
      <c r="F18" s="15"/>
      <c r="G18" s="212"/>
      <c r="H18" s="212"/>
      <c r="I18" s="212"/>
      <c r="J18" s="104">
        <f t="shared" si="0"/>
        <v>0</v>
      </c>
      <c r="K18" s="219"/>
      <c r="L18" s="219"/>
      <c r="M18" s="104">
        <f t="shared" si="1"/>
        <v>0</v>
      </c>
      <c r="N18" s="220"/>
      <c r="O18" s="164"/>
      <c r="P18" s="164"/>
      <c r="Q18" s="164"/>
      <c r="R18" s="164"/>
      <c r="S18" s="164"/>
      <c r="T18" s="164"/>
      <c r="U18" s="164"/>
      <c r="V18" s="126"/>
    </row>
    <row r="19" spans="1:22" ht="19.95" customHeight="1">
      <c r="A19" s="126">
        <v>4</v>
      </c>
      <c r="B19" s="57"/>
      <c r="C19" s="15"/>
      <c r="D19" s="217"/>
      <c r="E19" s="15"/>
      <c r="F19" s="15"/>
      <c r="G19" s="212"/>
      <c r="H19" s="212"/>
      <c r="I19" s="212"/>
      <c r="J19" s="104">
        <f t="shared" si="0"/>
        <v>0</v>
      </c>
      <c r="K19" s="219"/>
      <c r="L19" s="219"/>
      <c r="M19" s="104">
        <f t="shared" si="1"/>
        <v>0</v>
      </c>
      <c r="N19" s="220"/>
      <c r="O19" s="164"/>
      <c r="P19" s="164"/>
      <c r="Q19" s="164"/>
      <c r="R19" s="164"/>
      <c r="S19" s="164"/>
      <c r="T19" s="164"/>
      <c r="U19" s="164"/>
      <c r="V19" s="126"/>
    </row>
    <row r="20" spans="1:22" ht="19.95" customHeight="1">
      <c r="A20" s="126">
        <v>5</v>
      </c>
      <c r="B20" s="57"/>
      <c r="C20" s="15"/>
      <c r="D20" s="217"/>
      <c r="E20" s="15"/>
      <c r="F20" s="15"/>
      <c r="G20" s="212"/>
      <c r="H20" s="212"/>
      <c r="I20" s="212"/>
      <c r="J20" s="104">
        <f t="shared" si="0"/>
        <v>0</v>
      </c>
      <c r="K20" s="219"/>
      <c r="L20" s="219"/>
      <c r="M20" s="104">
        <f t="shared" si="1"/>
        <v>0</v>
      </c>
      <c r="N20" s="220"/>
      <c r="O20" s="164"/>
      <c r="P20" s="164"/>
      <c r="Q20" s="164"/>
      <c r="R20" s="164"/>
      <c r="S20" s="164"/>
      <c r="T20" s="164"/>
      <c r="U20" s="164"/>
      <c r="V20" s="126"/>
    </row>
    <row r="21" spans="1:22" ht="19.95" customHeight="1">
      <c r="A21" s="126">
        <v>6</v>
      </c>
      <c r="B21" s="57"/>
      <c r="C21" s="15"/>
      <c r="D21" s="217"/>
      <c r="E21" s="15"/>
      <c r="F21" s="15"/>
      <c r="G21" s="212"/>
      <c r="H21" s="212"/>
      <c r="I21" s="212"/>
      <c r="J21" s="104">
        <f t="shared" si="0"/>
        <v>0</v>
      </c>
      <c r="K21" s="219"/>
      <c r="L21" s="219"/>
      <c r="M21" s="104">
        <f t="shared" si="1"/>
        <v>0</v>
      </c>
      <c r="N21" s="220"/>
      <c r="O21" s="164"/>
      <c r="P21" s="164"/>
      <c r="Q21" s="164"/>
      <c r="R21" s="164"/>
      <c r="S21" s="164"/>
      <c r="T21" s="164"/>
      <c r="U21" s="164"/>
      <c r="V21" s="126"/>
    </row>
    <row r="22" spans="1:22" ht="19.95" customHeight="1">
      <c r="A22" s="126">
        <v>7</v>
      </c>
      <c r="B22" s="57"/>
      <c r="C22" s="15"/>
      <c r="D22" s="217"/>
      <c r="E22" s="15"/>
      <c r="F22" s="15"/>
      <c r="G22" s="212"/>
      <c r="H22" s="212"/>
      <c r="I22" s="212"/>
      <c r="J22" s="104">
        <f t="shared" si="0"/>
        <v>0</v>
      </c>
      <c r="K22" s="219"/>
      <c r="L22" s="219"/>
      <c r="M22" s="104">
        <f t="shared" si="1"/>
        <v>0</v>
      </c>
      <c r="N22" s="220"/>
      <c r="O22" s="164"/>
      <c r="P22" s="164"/>
      <c r="Q22" s="164"/>
      <c r="R22" s="164"/>
      <c r="S22" s="164"/>
      <c r="T22" s="164"/>
      <c r="U22" s="164"/>
      <c r="V22" s="126"/>
    </row>
    <row r="23" spans="1:22" ht="19.95" customHeight="1">
      <c r="A23" s="126">
        <v>8</v>
      </c>
      <c r="B23" s="57"/>
      <c r="C23" s="15"/>
      <c r="D23" s="217"/>
      <c r="E23" s="15"/>
      <c r="F23" s="15"/>
      <c r="G23" s="212"/>
      <c r="H23" s="212"/>
      <c r="I23" s="212"/>
      <c r="J23" s="104">
        <f t="shared" si="0"/>
        <v>0</v>
      </c>
      <c r="K23" s="219"/>
      <c r="L23" s="219"/>
      <c r="M23" s="104">
        <f t="shared" si="1"/>
        <v>0</v>
      </c>
      <c r="N23" s="220"/>
      <c r="O23" s="164"/>
      <c r="P23" s="164"/>
      <c r="Q23" s="164"/>
      <c r="R23" s="164"/>
      <c r="S23" s="164"/>
      <c r="T23" s="164"/>
      <c r="U23" s="164"/>
      <c r="V23" s="126"/>
    </row>
    <row r="24" spans="1:22" ht="19.95" customHeight="1">
      <c r="A24" s="354">
        <v>9</v>
      </c>
      <c r="B24" s="57"/>
      <c r="C24" s="15"/>
      <c r="D24" s="217"/>
      <c r="E24" s="15"/>
      <c r="F24" s="15"/>
      <c r="G24" s="212"/>
      <c r="H24" s="212"/>
      <c r="I24" s="212"/>
      <c r="J24" s="104">
        <f t="shared" si="0"/>
        <v>0</v>
      </c>
      <c r="K24" s="219"/>
      <c r="L24" s="219"/>
      <c r="M24" s="104">
        <f t="shared" si="1"/>
        <v>0</v>
      </c>
      <c r="N24" s="220"/>
      <c r="O24" s="164"/>
      <c r="P24" s="164"/>
      <c r="Q24" s="164"/>
      <c r="R24" s="164"/>
      <c r="S24" s="164"/>
      <c r="T24" s="164"/>
      <c r="U24" s="164"/>
      <c r="V24" s="354"/>
    </row>
    <row r="25" spans="1:22" ht="19.95" customHeight="1">
      <c r="A25" s="354">
        <v>10</v>
      </c>
      <c r="B25" s="57"/>
      <c r="C25" s="15"/>
      <c r="D25" s="217"/>
      <c r="E25" s="15"/>
      <c r="F25" s="15"/>
      <c r="G25" s="212"/>
      <c r="H25" s="212"/>
      <c r="I25" s="212"/>
      <c r="J25" s="104">
        <f t="shared" si="0"/>
        <v>0</v>
      </c>
      <c r="K25" s="219"/>
      <c r="L25" s="219"/>
      <c r="M25" s="104">
        <f t="shared" si="1"/>
        <v>0</v>
      </c>
      <c r="N25" s="220"/>
      <c r="O25" s="164"/>
      <c r="P25" s="164"/>
      <c r="Q25" s="164"/>
      <c r="R25" s="164"/>
      <c r="S25" s="164"/>
      <c r="T25" s="164"/>
      <c r="U25" s="164"/>
      <c r="V25" s="354"/>
    </row>
    <row r="26" spans="1:22" ht="19.95" customHeight="1">
      <c r="A26" s="354">
        <v>11</v>
      </c>
      <c r="B26" s="57"/>
      <c r="C26" s="15"/>
      <c r="D26" s="217"/>
      <c r="E26" s="15"/>
      <c r="F26" s="15"/>
      <c r="G26" s="212"/>
      <c r="H26" s="212"/>
      <c r="I26" s="212"/>
      <c r="J26" s="104">
        <f t="shared" ref="J26:J31" si="2">H26-I26</f>
        <v>0</v>
      </c>
      <c r="K26" s="219"/>
      <c r="L26" s="219"/>
      <c r="M26" s="104">
        <f t="shared" ref="M26:M31" si="3">L26-K26-J26</f>
        <v>0</v>
      </c>
      <c r="N26" s="220"/>
      <c r="O26" s="164"/>
      <c r="P26" s="164"/>
      <c r="Q26" s="164"/>
      <c r="R26" s="164"/>
      <c r="S26" s="164"/>
      <c r="T26" s="164"/>
      <c r="U26" s="164"/>
      <c r="V26" s="354"/>
    </row>
    <row r="27" spans="1:22" ht="19.95" customHeight="1">
      <c r="A27" s="354">
        <v>12</v>
      </c>
      <c r="B27" s="57"/>
      <c r="C27" s="15"/>
      <c r="D27" s="217"/>
      <c r="E27" s="15"/>
      <c r="F27" s="15"/>
      <c r="G27" s="212"/>
      <c r="H27" s="212"/>
      <c r="I27" s="212"/>
      <c r="J27" s="104">
        <f t="shared" si="2"/>
        <v>0</v>
      </c>
      <c r="K27" s="219"/>
      <c r="L27" s="219"/>
      <c r="M27" s="104">
        <f t="shared" si="3"/>
        <v>0</v>
      </c>
      <c r="N27" s="220"/>
      <c r="O27" s="164"/>
      <c r="P27" s="164"/>
      <c r="Q27" s="164"/>
      <c r="R27" s="164"/>
      <c r="S27" s="164"/>
      <c r="T27" s="164"/>
      <c r="U27" s="164"/>
      <c r="V27" s="354"/>
    </row>
    <row r="28" spans="1:22" ht="19.95" customHeight="1">
      <c r="A28" s="354">
        <v>13</v>
      </c>
      <c r="B28" s="57"/>
      <c r="C28" s="15"/>
      <c r="D28" s="217"/>
      <c r="E28" s="15"/>
      <c r="F28" s="15"/>
      <c r="G28" s="212"/>
      <c r="H28" s="212"/>
      <c r="I28" s="212"/>
      <c r="J28" s="104">
        <f t="shared" si="2"/>
        <v>0</v>
      </c>
      <c r="K28" s="219"/>
      <c r="L28" s="219"/>
      <c r="M28" s="104">
        <f t="shared" si="3"/>
        <v>0</v>
      </c>
      <c r="N28" s="220"/>
      <c r="O28" s="164"/>
      <c r="P28" s="164"/>
      <c r="Q28" s="164"/>
      <c r="R28" s="164"/>
      <c r="S28" s="164"/>
      <c r="T28" s="164"/>
      <c r="U28" s="164"/>
      <c r="V28" s="354"/>
    </row>
    <row r="29" spans="1:22" ht="19.95" customHeight="1">
      <c r="A29" s="354">
        <v>14</v>
      </c>
      <c r="B29" s="57"/>
      <c r="C29" s="15"/>
      <c r="D29" s="217"/>
      <c r="E29" s="15"/>
      <c r="F29" s="15"/>
      <c r="G29" s="212"/>
      <c r="H29" s="212"/>
      <c r="I29" s="212"/>
      <c r="J29" s="104">
        <f t="shared" si="2"/>
        <v>0</v>
      </c>
      <c r="K29" s="219"/>
      <c r="L29" s="219"/>
      <c r="M29" s="104">
        <f t="shared" si="3"/>
        <v>0</v>
      </c>
      <c r="N29" s="220"/>
      <c r="O29" s="164"/>
      <c r="P29" s="164"/>
      <c r="Q29" s="164"/>
      <c r="R29" s="164"/>
      <c r="S29" s="164"/>
      <c r="T29" s="164"/>
      <c r="U29" s="164"/>
      <c r="V29" s="354"/>
    </row>
    <row r="30" spans="1:22" ht="19.95" customHeight="1">
      <c r="A30" s="354">
        <v>15</v>
      </c>
      <c r="B30" s="57"/>
      <c r="C30" s="15"/>
      <c r="D30" s="217"/>
      <c r="E30" s="15"/>
      <c r="F30" s="15"/>
      <c r="G30" s="212"/>
      <c r="H30" s="212"/>
      <c r="I30" s="212"/>
      <c r="J30" s="104">
        <f t="shared" si="2"/>
        <v>0</v>
      </c>
      <c r="K30" s="219"/>
      <c r="L30" s="219"/>
      <c r="M30" s="104">
        <f t="shared" si="3"/>
        <v>0</v>
      </c>
      <c r="N30" s="220"/>
      <c r="O30" s="164"/>
      <c r="P30" s="164"/>
      <c r="Q30" s="164"/>
      <c r="R30" s="164"/>
      <c r="S30" s="164"/>
      <c r="T30" s="164"/>
      <c r="U30" s="164"/>
      <c r="V30" s="354"/>
    </row>
    <row r="31" spans="1:22" ht="19.95" customHeight="1">
      <c r="A31" s="354" t="s">
        <v>541</v>
      </c>
      <c r="B31" s="57"/>
      <c r="C31" s="15"/>
      <c r="D31" s="217"/>
      <c r="E31" s="15"/>
      <c r="F31" s="15"/>
      <c r="G31" s="212"/>
      <c r="H31" s="212"/>
      <c r="I31" s="212"/>
      <c r="J31" s="104">
        <f t="shared" si="2"/>
        <v>0</v>
      </c>
      <c r="K31" s="219"/>
      <c r="L31" s="219"/>
      <c r="M31" s="104">
        <f t="shared" si="3"/>
        <v>0</v>
      </c>
      <c r="N31" s="220"/>
      <c r="O31" s="164"/>
      <c r="P31" s="164"/>
      <c r="Q31" s="164"/>
      <c r="R31" s="164"/>
      <c r="S31" s="164"/>
      <c r="T31" s="164"/>
      <c r="U31" s="164"/>
      <c r="V31" s="354"/>
    </row>
    <row r="32" spans="1:22" s="360" customFormat="1" ht="19.95" customHeight="1">
      <c r="A32" s="467" t="s">
        <v>542</v>
      </c>
      <c r="B32" s="467"/>
      <c r="C32" s="467"/>
      <c r="D32" s="467"/>
      <c r="E32" s="467"/>
      <c r="F32" s="467"/>
      <c r="G32" s="301"/>
      <c r="H32" s="301">
        <f t="shared" ref="H32:I32" si="4">SUM(H16:H31)</f>
        <v>0</v>
      </c>
      <c r="I32" s="301">
        <f t="shared" si="4"/>
        <v>0</v>
      </c>
      <c r="J32" s="301">
        <f>SUM(J16:J31)</f>
        <v>0</v>
      </c>
      <c r="K32" s="301">
        <f t="shared" ref="K32:M32" si="5">SUM(K16:K31)</f>
        <v>0</v>
      </c>
      <c r="L32" s="301">
        <f t="shared" si="5"/>
        <v>0</v>
      </c>
      <c r="M32" s="301">
        <f t="shared" si="5"/>
        <v>0</v>
      </c>
      <c r="N32" s="367"/>
      <c r="O32" s="363"/>
      <c r="P32" s="363"/>
      <c r="Q32" s="363"/>
      <c r="R32" s="363"/>
      <c r="S32" s="363"/>
      <c r="T32" s="363"/>
      <c r="U32" s="363"/>
      <c r="V32" s="353"/>
    </row>
    <row r="33" spans="1:22" s="360" customFormat="1" ht="19.95" customHeight="1">
      <c r="A33" s="465" t="s">
        <v>545</v>
      </c>
      <c r="B33" s="466"/>
      <c r="C33" s="466"/>
      <c r="D33" s="466"/>
      <c r="E33" s="466"/>
      <c r="F33" s="466"/>
      <c r="G33" s="366"/>
      <c r="H33" s="371">
        <f>'明细表H4-2'!AE28</f>
        <v>0</v>
      </c>
      <c r="I33" s="366"/>
      <c r="J33" s="301"/>
      <c r="K33" s="368"/>
      <c r="L33" s="368"/>
      <c r="M33" s="301"/>
      <c r="N33" s="367"/>
      <c r="O33" s="363"/>
      <c r="P33" s="363"/>
      <c r="Q33" s="363"/>
      <c r="R33" s="363"/>
      <c r="S33" s="363"/>
      <c r="T33" s="363"/>
      <c r="U33" s="363"/>
      <c r="V33" s="353"/>
    </row>
    <row r="34" spans="1:22" s="360" customFormat="1" ht="19.95" customHeight="1">
      <c r="A34" s="465" t="s">
        <v>549</v>
      </c>
      <c r="B34" s="466"/>
      <c r="C34" s="466"/>
      <c r="D34" s="466"/>
      <c r="E34" s="466"/>
      <c r="F34" s="466"/>
      <c r="G34" s="366"/>
      <c r="H34" s="372" t="e">
        <f>H32/H33</f>
        <v>#DIV/0!</v>
      </c>
      <c r="I34" s="366"/>
      <c r="J34" s="301"/>
      <c r="K34" s="368"/>
      <c r="L34" s="368"/>
      <c r="M34" s="301"/>
      <c r="N34" s="367"/>
      <c r="O34" s="363"/>
      <c r="P34" s="363"/>
      <c r="Q34" s="363"/>
      <c r="R34" s="363"/>
      <c r="S34" s="363"/>
      <c r="T34" s="363"/>
      <c r="U34" s="363"/>
      <c r="V34" s="353"/>
    </row>
    <row r="35" spans="1:22" ht="19.95" customHeight="1">
      <c r="A35" s="218" t="s">
        <v>216</v>
      </c>
      <c r="B35" s="115"/>
      <c r="C35" s="115"/>
      <c r="D35" s="115"/>
      <c r="E35" s="115"/>
      <c r="F35" s="115"/>
      <c r="G35" s="115"/>
      <c r="H35" s="115"/>
      <c r="I35" s="115"/>
      <c r="J35" s="115"/>
      <c r="K35" s="115"/>
      <c r="L35" s="115"/>
      <c r="M35" s="115"/>
      <c r="N35" s="171"/>
      <c r="O35" s="171"/>
      <c r="P35" s="171"/>
      <c r="Q35" s="171"/>
      <c r="R35" s="116"/>
      <c r="S35" s="117"/>
      <c r="T35" s="117"/>
      <c r="U35" s="117"/>
    </row>
    <row r="36" spans="1:22" ht="19.95" customHeight="1">
      <c r="A36" s="373" t="s">
        <v>550</v>
      </c>
      <c r="B36" s="115"/>
      <c r="C36" s="115"/>
      <c r="D36" s="115"/>
      <c r="E36" s="115"/>
      <c r="F36" s="115"/>
      <c r="G36" s="115"/>
      <c r="H36" s="115"/>
      <c r="I36" s="115"/>
      <c r="J36" s="115"/>
      <c r="K36" s="115"/>
      <c r="L36" s="115"/>
      <c r="M36" s="115"/>
      <c r="N36" s="171"/>
      <c r="O36" s="171"/>
      <c r="P36" s="171"/>
      <c r="Q36" s="171"/>
      <c r="R36" s="116"/>
      <c r="S36" s="117"/>
      <c r="T36" s="117"/>
      <c r="U36" s="117"/>
    </row>
    <row r="37" spans="1:22" ht="19.95" customHeight="1">
      <c r="A37" s="373" t="s">
        <v>551</v>
      </c>
      <c r="N37" s="10"/>
      <c r="O37" s="10"/>
      <c r="P37" s="10"/>
      <c r="Q37" s="10"/>
      <c r="R37" s="10"/>
      <c r="S37" s="10"/>
      <c r="T37" s="10"/>
      <c r="U37" s="10"/>
    </row>
    <row r="38" spans="1:22" ht="19.95" customHeight="1">
      <c r="A38" s="7" t="s">
        <v>217</v>
      </c>
      <c r="N38" s="10"/>
      <c r="O38" s="10"/>
      <c r="P38" s="10"/>
      <c r="Q38" s="10"/>
      <c r="R38" s="10"/>
      <c r="S38" s="10"/>
      <c r="T38" s="10"/>
      <c r="U38" s="10"/>
    </row>
    <row r="39" spans="1:22" ht="19.95" customHeight="1">
      <c r="A39" s="7"/>
      <c r="N39" s="10"/>
      <c r="O39" s="10"/>
      <c r="P39" s="10"/>
      <c r="Q39" s="10"/>
      <c r="R39" s="10"/>
      <c r="S39" s="10"/>
      <c r="T39" s="10"/>
      <c r="U39" s="10"/>
    </row>
    <row r="40" spans="1:22" ht="19.95" customHeight="1">
      <c r="A40" s="16"/>
      <c r="C40" s="10"/>
      <c r="D40" s="10"/>
      <c r="E40" s="10"/>
      <c r="F40" s="10"/>
      <c r="G40" s="10"/>
      <c r="H40" s="10"/>
      <c r="I40" s="10"/>
      <c r="J40" s="10"/>
      <c r="K40" s="10"/>
      <c r="L40" s="10"/>
      <c r="M40" s="10"/>
      <c r="N40" s="10"/>
      <c r="O40" s="10"/>
      <c r="P40" s="10"/>
      <c r="Q40" s="10"/>
      <c r="R40" s="10"/>
      <c r="S40" s="10"/>
      <c r="T40" s="10"/>
      <c r="U40" s="10"/>
    </row>
  </sheetData>
  <mergeCells count="18">
    <mergeCell ref="A32:F32"/>
    <mergeCell ref="A33:F33"/>
    <mergeCell ref="A34:F34"/>
    <mergeCell ref="U14:U15"/>
    <mergeCell ref="V14:V15"/>
    <mergeCell ref="A1:V1"/>
    <mergeCell ref="A2:V2"/>
    <mergeCell ref="T14:T15"/>
    <mergeCell ref="A14:A15"/>
    <mergeCell ref="B14:B15"/>
    <mergeCell ref="C14:C15"/>
    <mergeCell ref="G14:M14"/>
    <mergeCell ref="D14:D15"/>
    <mergeCell ref="E14:E15"/>
    <mergeCell ref="F14:F15"/>
    <mergeCell ref="A5:V5"/>
    <mergeCell ref="N14:N15"/>
    <mergeCell ref="O14:S14"/>
  </mergeCells>
  <phoneticPr fontId="11" type="noConversion"/>
  <dataValidations xWindow="1404" yWindow="564" count="3">
    <dataValidation type="list" allowBlank="1" showInputMessage="1" showErrorMessage="1" prompt="如要修改下列框的选项，单击“数据-数据有效性-设置-序列-来源”。" sqref="B16:B31">
      <formula1>"专用材料,专用设备, 工器具, 其他"</formula1>
    </dataValidation>
    <dataValidation type="list" allowBlank="1" showInputMessage="1" showErrorMessage="1" prompt="如要修改下列框的选项，单击“数据-数据有效性-设置-序列-来源”。" sqref="E16:E31">
      <formula1>"报废,处置,工程领用,转入存货,其他减少"</formula1>
    </dataValidation>
    <dataValidation type="list" allowBlank="1" showInputMessage="1" showErrorMessage="1" sqref="O16:U34">
      <formula1>"√,X"</formula1>
    </dataValidation>
  </dataValidations>
  <hyperlinks>
    <hyperlink ref="V3" location="底稿目录!A1" display="H4A"/>
  </hyperlinks>
  <printOptions horizontalCentered="1"/>
  <pageMargins left="0.70866141732283472" right="0.70866141732283472" top="0.74803149606299213" bottom="0.74803149606299213" header="0.31496062992125984" footer="0.31496062992125984"/>
  <pageSetup paperSize="9" scale="66"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43"/>
  <sheetViews>
    <sheetView showZeros="0" view="pageBreakPreview" zoomScaleNormal="115" zoomScaleSheetLayoutView="100" workbookViewId="0">
      <selection sqref="A1:L1"/>
    </sheetView>
  </sheetViews>
  <sheetFormatPr defaultColWidth="9" defaultRowHeight="19.95" customHeight="1"/>
  <cols>
    <col min="1" max="1" width="19.19921875" style="31" customWidth="1"/>
    <col min="2" max="2" width="15.5" style="31" customWidth="1"/>
    <col min="3" max="3" width="14.19921875" style="31" customWidth="1"/>
    <col min="4" max="4" width="10.19921875" style="31" customWidth="1"/>
    <col min="5" max="6" width="11.796875" style="31" customWidth="1"/>
    <col min="7" max="7" width="12.09765625" style="31" customWidth="1"/>
    <col min="8" max="8" width="9.69921875" style="31" customWidth="1"/>
    <col min="9" max="9" width="14" style="31" customWidth="1"/>
    <col min="10" max="10" width="14.296875" style="31" customWidth="1"/>
    <col min="11" max="11" width="9.59765625" style="31" customWidth="1"/>
    <col min="12" max="12" width="16.796875" style="31" customWidth="1"/>
    <col min="13" max="16384" width="9" style="31"/>
  </cols>
  <sheetData>
    <row r="1" spans="1:12" s="30" customFormat="1" ht="19.95" customHeight="1">
      <c r="A1" s="477" t="s">
        <v>380</v>
      </c>
      <c r="B1" s="477"/>
      <c r="C1" s="477"/>
      <c r="D1" s="477"/>
      <c r="E1" s="477"/>
      <c r="F1" s="477"/>
      <c r="G1" s="477"/>
      <c r="H1" s="477"/>
      <c r="I1" s="477"/>
      <c r="J1" s="477"/>
      <c r="K1" s="478"/>
      <c r="L1" s="478"/>
    </row>
    <row r="2" spans="1:12" s="205" customFormat="1" ht="19.95" customHeight="1">
      <c r="A2" s="479" t="s">
        <v>385</v>
      </c>
      <c r="B2" s="479"/>
      <c r="C2" s="479"/>
      <c r="D2" s="479"/>
      <c r="E2" s="479"/>
      <c r="F2" s="479"/>
      <c r="G2" s="479"/>
      <c r="H2" s="479"/>
      <c r="I2" s="479"/>
      <c r="J2" s="479"/>
      <c r="K2" s="480"/>
      <c r="L2" s="480"/>
    </row>
    <row r="3" spans="1:12" ht="19.95" customHeight="1">
      <c r="A3" s="2" t="str">
        <f>底稿目录!A2</f>
        <v>被审计单位：</v>
      </c>
      <c r="B3" s="2"/>
      <c r="C3" s="2"/>
      <c r="D3" s="2" t="str">
        <f>底稿目录!A4</f>
        <v>编制人：</v>
      </c>
      <c r="E3" s="2"/>
      <c r="F3" s="2"/>
      <c r="G3" s="2"/>
      <c r="H3" s="2" t="str">
        <f>底稿目录!A6</f>
        <v>编制日期：</v>
      </c>
      <c r="I3" s="2"/>
      <c r="J3" s="2"/>
      <c r="K3" s="252" t="s">
        <v>401</v>
      </c>
      <c r="L3" s="147" t="s">
        <v>93</v>
      </c>
    </row>
    <row r="4" spans="1:12" ht="19.95" customHeight="1">
      <c r="A4" s="2" t="str">
        <f>底稿目录!A3</f>
        <v>截止日：</v>
      </c>
      <c r="B4" s="2"/>
      <c r="C4" s="2"/>
      <c r="D4" s="2" t="str">
        <f>底稿目录!A5</f>
        <v>复核人：</v>
      </c>
      <c r="E4" s="2"/>
      <c r="F4" s="2"/>
      <c r="G4" s="2"/>
      <c r="H4" s="2" t="str">
        <f>底稿目录!A7</f>
        <v>复核日期：</v>
      </c>
      <c r="I4" s="2"/>
      <c r="J4" s="2"/>
      <c r="K4" s="252" t="s">
        <v>402</v>
      </c>
      <c r="L4" s="148"/>
    </row>
    <row r="5" spans="1:12" s="327" customFormat="1" ht="19.95" customHeight="1">
      <c r="A5" s="326" t="s">
        <v>238</v>
      </c>
      <c r="B5" s="326"/>
      <c r="C5" s="326"/>
      <c r="D5" s="326"/>
      <c r="E5" s="326"/>
      <c r="F5" s="326"/>
      <c r="G5" s="326"/>
      <c r="H5" s="326"/>
      <c r="I5" s="326"/>
      <c r="J5" s="326"/>
      <c r="K5" s="326"/>
      <c r="L5" s="326"/>
    </row>
    <row r="6" spans="1:12" s="327" customFormat="1" ht="19.95" customHeight="1">
      <c r="A6" s="328" t="s">
        <v>248</v>
      </c>
      <c r="B6" s="308"/>
      <c r="C6" s="308"/>
      <c r="D6" s="308"/>
      <c r="E6" s="308"/>
      <c r="F6" s="308"/>
      <c r="G6" s="308"/>
      <c r="H6" s="308"/>
      <c r="I6" s="308"/>
      <c r="J6" s="308"/>
      <c r="K6" s="308"/>
      <c r="L6" s="308"/>
    </row>
    <row r="7" spans="1:12" s="327" customFormat="1" ht="19.95" customHeight="1">
      <c r="A7" s="328" t="s">
        <v>254</v>
      </c>
      <c r="B7" s="308"/>
      <c r="C7" s="308"/>
      <c r="D7" s="308"/>
      <c r="E7" s="308"/>
      <c r="F7" s="308"/>
      <c r="G7" s="308"/>
      <c r="H7" s="308"/>
      <c r="I7" s="308"/>
      <c r="J7" s="308"/>
      <c r="K7" s="308"/>
      <c r="L7" s="308"/>
    </row>
    <row r="8" spans="1:12" s="142" customFormat="1" ht="19.95" customHeight="1">
      <c r="A8" s="141" t="s">
        <v>239</v>
      </c>
      <c r="B8" s="141"/>
      <c r="C8" s="141"/>
      <c r="D8" s="141"/>
      <c r="E8" s="141"/>
      <c r="F8" s="141"/>
      <c r="G8" s="141"/>
      <c r="H8" s="141"/>
      <c r="I8" s="141"/>
      <c r="J8" s="141"/>
      <c r="K8" s="141"/>
      <c r="L8" s="141"/>
    </row>
    <row r="9" spans="1:12" s="330" customFormat="1" ht="19.95" customHeight="1">
      <c r="A9" s="311" t="s">
        <v>255</v>
      </c>
      <c r="B9" s="329" t="s">
        <v>452</v>
      </c>
      <c r="C9" s="314"/>
      <c r="D9" s="314"/>
      <c r="E9" s="314"/>
      <c r="F9" s="311"/>
      <c r="G9" s="311" t="s">
        <v>104</v>
      </c>
      <c r="H9" s="312" t="s">
        <v>256</v>
      </c>
      <c r="I9" s="314"/>
      <c r="J9" s="314"/>
    </row>
    <row r="10" spans="1:12" s="330" customFormat="1" ht="19.95" customHeight="1">
      <c r="A10" s="311" t="s">
        <v>105</v>
      </c>
      <c r="B10" s="312" t="s">
        <v>453</v>
      </c>
      <c r="C10" s="314"/>
      <c r="D10" s="314"/>
      <c r="E10" s="314"/>
      <c r="F10" s="311"/>
      <c r="G10" s="311" t="s">
        <v>106</v>
      </c>
      <c r="H10" s="312" t="s">
        <v>257</v>
      </c>
      <c r="I10" s="312" t="s">
        <v>258</v>
      </c>
    </row>
    <row r="11" spans="1:12" s="330" customFormat="1" ht="19.95" customHeight="1">
      <c r="A11" s="311" t="s">
        <v>109</v>
      </c>
      <c r="B11" s="312" t="s">
        <v>249</v>
      </c>
      <c r="C11" s="314"/>
      <c r="D11" s="314"/>
      <c r="E11" s="314"/>
      <c r="F11" s="311"/>
      <c r="G11" s="311" t="s">
        <v>110</v>
      </c>
      <c r="H11" s="482" t="s">
        <v>111</v>
      </c>
      <c r="I11" s="482"/>
      <c r="J11" s="482"/>
      <c r="K11" s="482"/>
      <c r="L11" s="482"/>
    </row>
    <row r="12" spans="1:12" s="330" customFormat="1" ht="19.95" customHeight="1">
      <c r="A12" s="331" t="s">
        <v>112</v>
      </c>
      <c r="B12" s="332"/>
      <c r="C12" s="332"/>
      <c r="D12" s="332"/>
      <c r="E12" s="333"/>
      <c r="F12" s="334"/>
      <c r="G12" s="335"/>
      <c r="H12" s="335"/>
      <c r="I12" s="335"/>
      <c r="J12" s="335"/>
      <c r="K12" s="335"/>
      <c r="L12" s="335"/>
    </row>
    <row r="13" spans="1:12" s="339" customFormat="1" ht="19.95" customHeight="1">
      <c r="A13" s="292" t="s">
        <v>454</v>
      </c>
      <c r="B13" s="336"/>
      <c r="C13" s="337" t="s">
        <v>455</v>
      </c>
      <c r="D13" s="338" t="s">
        <v>456</v>
      </c>
      <c r="G13" s="337" t="s">
        <v>457</v>
      </c>
      <c r="H13" s="338" t="s">
        <v>458</v>
      </c>
      <c r="J13" s="340" t="s">
        <v>459</v>
      </c>
      <c r="K13" s="340"/>
    </row>
    <row r="14" spans="1:12" s="304" customFormat="1" ht="19.95" customHeight="1">
      <c r="A14" s="473" t="s">
        <v>250</v>
      </c>
      <c r="B14" s="473" t="s">
        <v>240</v>
      </c>
      <c r="C14" s="473" t="s">
        <v>245</v>
      </c>
      <c r="D14" s="473" t="s">
        <v>241</v>
      </c>
      <c r="E14" s="483" t="s">
        <v>113</v>
      </c>
      <c r="F14" s="484"/>
      <c r="G14" s="481" t="s">
        <v>114</v>
      </c>
      <c r="H14" s="481" t="s">
        <v>115</v>
      </c>
      <c r="I14" s="481" t="s">
        <v>259</v>
      </c>
      <c r="J14" s="481" t="s">
        <v>242</v>
      </c>
      <c r="K14" s="481" t="s">
        <v>260</v>
      </c>
      <c r="L14" s="475" t="s">
        <v>460</v>
      </c>
    </row>
    <row r="15" spans="1:12" s="304" customFormat="1" ht="19.95" customHeight="1">
      <c r="A15" s="473"/>
      <c r="B15" s="473"/>
      <c r="C15" s="473"/>
      <c r="D15" s="473"/>
      <c r="E15" s="341" t="s">
        <v>116</v>
      </c>
      <c r="F15" s="341" t="s">
        <v>117</v>
      </c>
      <c r="G15" s="476"/>
      <c r="H15" s="476"/>
      <c r="I15" s="476"/>
      <c r="J15" s="476"/>
      <c r="K15" s="476"/>
      <c r="L15" s="476"/>
    </row>
    <row r="16" spans="1:12" s="2" customFormat="1" ht="19.95" customHeight="1">
      <c r="A16" s="33"/>
      <c r="B16" s="221"/>
      <c r="C16" s="58"/>
      <c r="D16" s="58"/>
      <c r="E16" s="34"/>
      <c r="F16" s="34"/>
      <c r="G16" s="34"/>
      <c r="H16" s="34"/>
      <c r="I16" s="241">
        <f>H16-E16</f>
        <v>0</v>
      </c>
      <c r="J16" s="241">
        <f>H16-G16</f>
        <v>0</v>
      </c>
      <c r="K16" s="241">
        <f>G16-E16</f>
        <v>0</v>
      </c>
      <c r="L16" s="34"/>
    </row>
    <row r="17" spans="1:12" s="2" customFormat="1" ht="19.95" customHeight="1">
      <c r="A17" s="33"/>
      <c r="B17" s="221"/>
      <c r="C17" s="58"/>
      <c r="D17" s="58"/>
      <c r="E17" s="222"/>
      <c r="F17" s="222"/>
      <c r="G17" s="222"/>
      <c r="H17" s="222"/>
      <c r="I17" s="241">
        <f t="shared" ref="I17:I26" si="0">H17-E17</f>
        <v>0</v>
      </c>
      <c r="J17" s="241">
        <f t="shared" ref="J17:J26" si="1">H17-G17</f>
        <v>0</v>
      </c>
      <c r="K17" s="241">
        <f t="shared" ref="K17:K26" si="2">G17-E17</f>
        <v>0</v>
      </c>
      <c r="L17" s="34"/>
    </row>
    <row r="18" spans="1:12" s="2" customFormat="1" ht="19.95" customHeight="1">
      <c r="A18" s="33"/>
      <c r="B18" s="221"/>
      <c r="C18" s="58"/>
      <c r="D18" s="58"/>
      <c r="E18" s="222"/>
      <c r="F18" s="222"/>
      <c r="G18" s="222"/>
      <c r="H18" s="222"/>
      <c r="I18" s="241">
        <f t="shared" si="0"/>
        <v>0</v>
      </c>
      <c r="J18" s="241">
        <f t="shared" si="1"/>
        <v>0</v>
      </c>
      <c r="K18" s="241">
        <f t="shared" si="2"/>
        <v>0</v>
      </c>
      <c r="L18" s="34"/>
    </row>
    <row r="19" spans="1:12" s="2" customFormat="1" ht="19.95" customHeight="1">
      <c r="A19" s="33"/>
      <c r="B19" s="221"/>
      <c r="C19" s="58"/>
      <c r="D19" s="58"/>
      <c r="E19" s="222"/>
      <c r="F19" s="222"/>
      <c r="G19" s="222"/>
      <c r="H19" s="222"/>
      <c r="I19" s="241">
        <f t="shared" si="0"/>
        <v>0</v>
      </c>
      <c r="J19" s="241">
        <f t="shared" si="1"/>
        <v>0</v>
      </c>
      <c r="K19" s="241">
        <f t="shared" si="2"/>
        <v>0</v>
      </c>
      <c r="L19" s="34"/>
    </row>
    <row r="20" spans="1:12" s="2" customFormat="1" ht="19.95" customHeight="1">
      <c r="A20" s="33"/>
      <c r="B20" s="221"/>
      <c r="C20" s="58"/>
      <c r="D20" s="58"/>
      <c r="E20" s="222"/>
      <c r="F20" s="222"/>
      <c r="G20" s="222"/>
      <c r="H20" s="222"/>
      <c r="I20" s="241">
        <f t="shared" si="0"/>
        <v>0</v>
      </c>
      <c r="J20" s="241">
        <f t="shared" si="1"/>
        <v>0</v>
      </c>
      <c r="K20" s="241">
        <f t="shared" si="2"/>
        <v>0</v>
      </c>
      <c r="L20" s="34"/>
    </row>
    <row r="21" spans="1:12" s="2" customFormat="1" ht="19.95" customHeight="1">
      <c r="A21" s="33"/>
      <c r="B21" s="221"/>
      <c r="C21" s="58"/>
      <c r="D21" s="58"/>
      <c r="E21" s="222"/>
      <c r="F21" s="222"/>
      <c r="G21" s="222"/>
      <c r="H21" s="222"/>
      <c r="I21" s="241">
        <f t="shared" si="0"/>
        <v>0</v>
      </c>
      <c r="J21" s="241">
        <f t="shared" si="1"/>
        <v>0</v>
      </c>
      <c r="K21" s="241">
        <f t="shared" si="2"/>
        <v>0</v>
      </c>
      <c r="L21" s="34"/>
    </row>
    <row r="22" spans="1:12" s="2" customFormat="1" ht="19.95" customHeight="1">
      <c r="A22" s="33"/>
      <c r="B22" s="221"/>
      <c r="C22" s="58"/>
      <c r="D22" s="58"/>
      <c r="E22" s="222"/>
      <c r="F22" s="222"/>
      <c r="G22" s="222"/>
      <c r="H22" s="222"/>
      <c r="I22" s="241">
        <f t="shared" si="0"/>
        <v>0</v>
      </c>
      <c r="J22" s="241">
        <f t="shared" si="1"/>
        <v>0</v>
      </c>
      <c r="K22" s="241">
        <f t="shared" si="2"/>
        <v>0</v>
      </c>
      <c r="L22" s="34"/>
    </row>
    <row r="23" spans="1:12" s="2" customFormat="1" ht="19.95" customHeight="1">
      <c r="A23" s="33"/>
      <c r="B23" s="221"/>
      <c r="C23" s="58"/>
      <c r="D23" s="58"/>
      <c r="E23" s="222"/>
      <c r="F23" s="222"/>
      <c r="G23" s="222"/>
      <c r="H23" s="222"/>
      <c r="I23" s="241">
        <f t="shared" si="0"/>
        <v>0</v>
      </c>
      <c r="J23" s="241">
        <f t="shared" si="1"/>
        <v>0</v>
      </c>
      <c r="K23" s="241">
        <f t="shared" si="2"/>
        <v>0</v>
      </c>
      <c r="L23" s="34"/>
    </row>
    <row r="24" spans="1:12" s="2" customFormat="1" ht="19.95" customHeight="1">
      <c r="A24" s="33"/>
      <c r="B24" s="221"/>
      <c r="C24" s="58"/>
      <c r="D24" s="58"/>
      <c r="E24" s="222"/>
      <c r="F24" s="222"/>
      <c r="G24" s="222"/>
      <c r="H24" s="222"/>
      <c r="I24" s="241">
        <f t="shared" si="0"/>
        <v>0</v>
      </c>
      <c r="J24" s="241">
        <f t="shared" si="1"/>
        <v>0</v>
      </c>
      <c r="K24" s="241">
        <f t="shared" si="2"/>
        <v>0</v>
      </c>
      <c r="L24" s="34"/>
    </row>
    <row r="25" spans="1:12" s="2" customFormat="1" ht="19.95" customHeight="1">
      <c r="A25" s="33"/>
      <c r="B25" s="221"/>
      <c r="C25" s="58"/>
      <c r="D25" s="58"/>
      <c r="E25" s="222"/>
      <c r="F25" s="222"/>
      <c r="G25" s="222"/>
      <c r="H25" s="222"/>
      <c r="I25" s="241">
        <f t="shared" si="0"/>
        <v>0</v>
      </c>
      <c r="J25" s="241">
        <f t="shared" si="1"/>
        <v>0</v>
      </c>
      <c r="K25" s="241">
        <f t="shared" si="2"/>
        <v>0</v>
      </c>
      <c r="L25" s="34"/>
    </row>
    <row r="26" spans="1:12" s="2" customFormat="1" ht="19.95" customHeight="1">
      <c r="A26" s="33"/>
      <c r="B26" s="221"/>
      <c r="C26" s="58"/>
      <c r="D26" s="58"/>
      <c r="E26" s="222"/>
      <c r="F26" s="222"/>
      <c r="G26" s="222"/>
      <c r="H26" s="222"/>
      <c r="I26" s="241">
        <f t="shared" si="0"/>
        <v>0</v>
      </c>
      <c r="J26" s="241">
        <f t="shared" si="1"/>
        <v>0</v>
      </c>
      <c r="K26" s="241">
        <f t="shared" si="2"/>
        <v>0</v>
      </c>
      <c r="L26" s="34"/>
    </row>
    <row r="27" spans="1:12" s="42" customFormat="1" ht="19.95" customHeight="1">
      <c r="A27" s="474" t="s">
        <v>244</v>
      </c>
      <c r="B27" s="474"/>
      <c r="C27" s="474"/>
      <c r="D27" s="223"/>
      <c r="E27" s="229">
        <f t="shared" ref="E27:K27" si="3">SUM(E16:E26)</f>
        <v>0</v>
      </c>
      <c r="F27" s="229">
        <f t="shared" si="3"/>
        <v>0</v>
      </c>
      <c r="G27" s="229">
        <f t="shared" si="3"/>
        <v>0</v>
      </c>
      <c r="H27" s="229">
        <f t="shared" si="3"/>
        <v>0</v>
      </c>
      <c r="I27" s="229">
        <f t="shared" si="3"/>
        <v>0</v>
      </c>
      <c r="J27" s="229">
        <f t="shared" si="3"/>
        <v>0</v>
      </c>
      <c r="K27" s="229">
        <f t="shared" si="3"/>
        <v>0</v>
      </c>
      <c r="L27" s="223"/>
    </row>
    <row r="28" spans="1:12" s="42" customFormat="1" ht="19.95" customHeight="1">
      <c r="A28" s="474" t="s">
        <v>391</v>
      </c>
      <c r="B28" s="474"/>
      <c r="C28" s="474"/>
      <c r="D28" s="224"/>
      <c r="E28" s="224"/>
      <c r="F28" s="224"/>
      <c r="G28" s="224"/>
      <c r="H28" s="224"/>
      <c r="I28" s="224"/>
      <c r="J28" s="224"/>
      <c r="K28" s="224"/>
      <c r="L28" s="224"/>
    </row>
    <row r="29" spans="1:12" s="42" customFormat="1" ht="19.95" customHeight="1">
      <c r="A29" s="474" t="s">
        <v>251</v>
      </c>
      <c r="B29" s="474"/>
      <c r="C29" s="474"/>
      <c r="D29" s="224"/>
      <c r="E29" s="224"/>
      <c r="F29" s="224" t="e">
        <f>F27/F28</f>
        <v>#DIV/0!</v>
      </c>
      <c r="G29" s="224"/>
      <c r="H29" s="224"/>
      <c r="I29" s="224"/>
      <c r="J29" s="224"/>
      <c r="K29" s="224"/>
      <c r="L29" s="224"/>
    </row>
    <row r="30" spans="1:12" ht="19.95" customHeight="1">
      <c r="A30" s="173" t="s">
        <v>261</v>
      </c>
      <c r="B30" s="35"/>
      <c r="C30" s="35"/>
      <c r="D30" s="35"/>
      <c r="E30" s="35"/>
      <c r="F30" s="35"/>
      <c r="G30" s="35"/>
      <c r="H30" s="35"/>
      <c r="I30" s="35"/>
      <c r="J30" s="35"/>
      <c r="K30" s="35"/>
      <c r="L30" s="35"/>
    </row>
    <row r="31" spans="1:12" ht="19.95" customHeight="1">
      <c r="A31" s="174" t="s">
        <v>246</v>
      </c>
      <c r="B31" s="2"/>
      <c r="C31" s="2"/>
      <c r="D31" s="2"/>
      <c r="E31" s="2"/>
      <c r="F31" s="2"/>
      <c r="G31" s="2"/>
      <c r="H31" s="2"/>
      <c r="I31" s="2"/>
      <c r="J31" s="2"/>
      <c r="K31" s="2"/>
      <c r="L31" s="2"/>
    </row>
    <row r="32" spans="1:12" ht="19.95" customHeight="1">
      <c r="A32" s="42" t="s">
        <v>262</v>
      </c>
      <c r="B32" s="2"/>
      <c r="C32" s="2"/>
      <c r="D32" s="2"/>
      <c r="E32" s="2"/>
      <c r="F32" s="2"/>
      <c r="G32" s="2"/>
      <c r="H32" s="2"/>
      <c r="I32" s="2"/>
      <c r="J32" s="2"/>
      <c r="K32" s="2"/>
      <c r="L32" s="2"/>
    </row>
    <row r="33" spans="1:12" ht="19.95" customHeight="1">
      <c r="A33" s="2"/>
      <c r="B33" s="2"/>
      <c r="C33" s="2"/>
      <c r="D33" s="2"/>
      <c r="E33" s="2"/>
      <c r="F33" s="2"/>
      <c r="G33" s="2"/>
      <c r="H33" s="2"/>
      <c r="I33" s="2"/>
      <c r="J33" s="2"/>
      <c r="K33" s="2"/>
      <c r="L33" s="2"/>
    </row>
    <row r="36" spans="1:12" ht="19.95" customHeight="1">
      <c r="A36" s="258" t="s">
        <v>416</v>
      </c>
      <c r="B36" s="36"/>
      <c r="C36" s="36"/>
    </row>
    <row r="37" spans="1:12" ht="19.95" customHeight="1">
      <c r="A37" s="37" t="s">
        <v>2</v>
      </c>
      <c r="B37" s="37"/>
      <c r="C37" s="37"/>
      <c r="D37" s="2"/>
      <c r="E37" s="2"/>
      <c r="F37" s="2"/>
      <c r="G37" s="2"/>
      <c r="H37" s="2"/>
      <c r="I37" s="2"/>
      <c r="J37" s="2"/>
      <c r="K37" s="2"/>
      <c r="L37" s="2"/>
    </row>
    <row r="38" spans="1:12" ht="19.95" customHeight="1">
      <c r="A38" s="37" t="s">
        <v>243</v>
      </c>
      <c r="B38" s="37"/>
      <c r="C38" s="37"/>
      <c r="D38" s="2"/>
      <c r="E38" s="2"/>
      <c r="F38" s="2"/>
      <c r="G38" s="2"/>
      <c r="H38" s="2"/>
      <c r="I38" s="2"/>
      <c r="J38" s="2"/>
      <c r="K38" s="2"/>
      <c r="L38" s="2"/>
    </row>
    <row r="39" spans="1:12" ht="19.95" customHeight="1">
      <c r="A39" s="37" t="s">
        <v>252</v>
      </c>
      <c r="B39" s="37"/>
      <c r="C39" s="37"/>
      <c r="D39" s="2"/>
      <c r="E39" s="2"/>
      <c r="F39" s="2"/>
      <c r="G39" s="2"/>
      <c r="H39" s="2"/>
      <c r="I39" s="2"/>
      <c r="J39" s="2"/>
      <c r="K39" s="2"/>
      <c r="L39" s="2"/>
    </row>
    <row r="40" spans="1:12" ht="19.95" customHeight="1">
      <c r="A40" s="37" t="s">
        <v>253</v>
      </c>
      <c r="B40" s="37"/>
      <c r="C40" s="37"/>
      <c r="D40" s="2"/>
      <c r="E40" s="2"/>
      <c r="F40" s="2"/>
      <c r="G40" s="2"/>
      <c r="H40" s="2"/>
      <c r="I40" s="2"/>
      <c r="J40" s="2"/>
      <c r="K40" s="2"/>
      <c r="L40" s="2"/>
    </row>
    <row r="41" spans="1:12" ht="19.95" customHeight="1">
      <c r="A41" s="37" t="s">
        <v>247</v>
      </c>
      <c r="B41" s="37"/>
      <c r="C41" s="37"/>
      <c r="D41" s="2"/>
      <c r="E41" s="2"/>
      <c r="F41" s="2"/>
      <c r="G41" s="2"/>
      <c r="H41" s="2"/>
      <c r="I41" s="2"/>
      <c r="J41" s="2"/>
      <c r="K41" s="2"/>
      <c r="L41" s="2"/>
    </row>
    <row r="42" spans="1:12" ht="19.95" customHeight="1">
      <c r="A42" s="37"/>
      <c r="B42" s="37"/>
      <c r="C42" s="37"/>
      <c r="D42" s="2"/>
      <c r="E42" s="2"/>
      <c r="F42" s="2"/>
      <c r="G42" s="2"/>
      <c r="H42" s="2"/>
      <c r="I42" s="2"/>
      <c r="J42" s="2"/>
      <c r="K42" s="2"/>
      <c r="L42" s="2"/>
    </row>
    <row r="43" spans="1:12" ht="19.95" customHeight="1">
      <c r="A43" s="37"/>
      <c r="B43" s="37"/>
      <c r="C43" s="37"/>
      <c r="D43" s="2"/>
      <c r="E43" s="2"/>
      <c r="F43" s="2"/>
      <c r="G43" s="2"/>
      <c r="H43" s="2"/>
      <c r="I43" s="2"/>
      <c r="J43" s="2"/>
      <c r="K43" s="2"/>
      <c r="L43" s="2"/>
    </row>
  </sheetData>
  <mergeCells count="17">
    <mergeCell ref="E14:F14"/>
    <mergeCell ref="A27:C27"/>
    <mergeCell ref="A28:C28"/>
    <mergeCell ref="A29:C29"/>
    <mergeCell ref="L14:L15"/>
    <mergeCell ref="A1:L1"/>
    <mergeCell ref="A2:L2"/>
    <mergeCell ref="A14:A15"/>
    <mergeCell ref="B14:B15"/>
    <mergeCell ref="C14:C15"/>
    <mergeCell ref="D14:D15"/>
    <mergeCell ref="G14:G15"/>
    <mergeCell ref="H14:H15"/>
    <mergeCell ref="I14:I15"/>
    <mergeCell ref="J14:J15"/>
    <mergeCell ref="K14:K15"/>
    <mergeCell ref="H11:L11"/>
  </mergeCells>
  <phoneticPr fontId="11" type="noConversion"/>
  <hyperlinks>
    <hyperlink ref="L3" location="底稿目录!A1" display="H4A"/>
  </hyperlinks>
  <printOptions horizontalCentered="1"/>
  <pageMargins left="0.70866141732283472" right="0.70866141732283472" top="0.74803149606299213" bottom="0.74803149606299213" header="0.31496062992125984" footer="0.31496062992125984"/>
  <pageSetup paperSize="9" scale="77" fitToHeight="2"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E31"/>
  <sheetViews>
    <sheetView view="pageBreakPreview" zoomScaleNormal="115" zoomScaleSheetLayoutView="100" workbookViewId="0">
      <selection sqref="A1:M1"/>
    </sheetView>
  </sheetViews>
  <sheetFormatPr defaultColWidth="9" defaultRowHeight="19.95" customHeight="1"/>
  <cols>
    <col min="1" max="1" width="13.8984375" style="9" customWidth="1"/>
    <col min="2" max="2" width="15.09765625" style="9" customWidth="1"/>
    <col min="3" max="3" width="9" style="9"/>
    <col min="4" max="4" width="18.59765625" style="9" customWidth="1"/>
    <col min="5" max="5" width="13.59765625" style="9" customWidth="1"/>
    <col min="6" max="6" width="13.09765625" style="9" customWidth="1"/>
    <col min="7" max="7" width="14" style="9" customWidth="1"/>
    <col min="8" max="8" width="15.59765625" style="9" customWidth="1"/>
    <col min="9" max="11" width="12.59765625" style="9" customWidth="1"/>
    <col min="12" max="12" width="9" style="9"/>
    <col min="13" max="13" width="11.8984375" style="9" customWidth="1"/>
    <col min="14" max="16384" width="9" style="9"/>
  </cols>
  <sheetData>
    <row r="1" spans="1:31" s="17" customFormat="1" ht="19.95" customHeight="1">
      <c r="A1" s="425" t="s">
        <v>380</v>
      </c>
      <c r="B1" s="425"/>
      <c r="C1" s="425"/>
      <c r="D1" s="425"/>
      <c r="E1" s="425"/>
      <c r="F1" s="425"/>
      <c r="G1" s="425"/>
      <c r="H1" s="425"/>
      <c r="I1" s="425"/>
      <c r="J1" s="425"/>
      <c r="K1" s="426"/>
      <c r="L1" s="426"/>
      <c r="M1" s="426"/>
    </row>
    <row r="2" spans="1:31" s="204" customFormat="1" ht="19.95" customHeight="1">
      <c r="A2" s="427" t="s">
        <v>384</v>
      </c>
      <c r="B2" s="427"/>
      <c r="C2" s="427"/>
      <c r="D2" s="427"/>
      <c r="E2" s="427"/>
      <c r="F2" s="427"/>
      <c r="G2" s="427"/>
      <c r="H2" s="427"/>
      <c r="I2" s="427"/>
      <c r="J2" s="427"/>
      <c r="K2" s="428"/>
      <c r="L2" s="428"/>
      <c r="M2" s="428"/>
    </row>
    <row r="3" spans="1:31" ht="19.95" customHeight="1">
      <c r="A3" s="2" t="str">
        <f>底稿目录!A2</f>
        <v>被审计单位：</v>
      </c>
      <c r="B3" s="2"/>
      <c r="C3" s="2"/>
      <c r="E3" s="2" t="str">
        <f>底稿目录!A4</f>
        <v>编制人：</v>
      </c>
      <c r="F3" s="2"/>
      <c r="I3" s="2" t="str">
        <f>底稿目录!A6</f>
        <v>编制日期：</v>
      </c>
      <c r="L3" s="252" t="s">
        <v>401</v>
      </c>
      <c r="M3" s="147" t="s">
        <v>94</v>
      </c>
    </row>
    <row r="4" spans="1:31" ht="19.95" customHeight="1">
      <c r="A4" s="2" t="str">
        <f>底稿目录!A3</f>
        <v>截止日：</v>
      </c>
      <c r="B4" s="2"/>
      <c r="C4" s="2"/>
      <c r="E4" s="2" t="str">
        <f>底稿目录!A5</f>
        <v>复核人：</v>
      </c>
      <c r="F4" s="2"/>
      <c r="I4" s="2" t="str">
        <f>底稿目录!A7</f>
        <v>复核日期：</v>
      </c>
      <c r="L4" s="252" t="s">
        <v>402</v>
      </c>
      <c r="M4" s="148"/>
    </row>
    <row r="5" spans="1:31" s="292" customFormat="1" ht="19.95" customHeight="1">
      <c r="A5" s="342" t="s">
        <v>73</v>
      </c>
      <c r="B5" s="343"/>
      <c r="G5" s="344"/>
      <c r="I5" s="313"/>
      <c r="N5" s="345"/>
      <c r="O5" s="346"/>
      <c r="Y5" s="296"/>
      <c r="Z5" s="296"/>
      <c r="AA5" s="296"/>
      <c r="AB5" s="296"/>
      <c r="AC5" s="296"/>
      <c r="AD5" s="296"/>
      <c r="AE5" s="296"/>
    </row>
    <row r="6" spans="1:31" s="2" customFormat="1" ht="19.95" customHeight="1">
      <c r="A6" s="40" t="s">
        <v>10</v>
      </c>
      <c r="B6" s="9"/>
      <c r="H6" s="22"/>
      <c r="I6" s="9"/>
      <c r="N6" s="68"/>
      <c r="O6" s="163"/>
      <c r="Y6" s="69"/>
      <c r="Z6" s="69"/>
      <c r="AA6" s="69"/>
      <c r="AB6" s="69"/>
      <c r="AC6" s="69"/>
      <c r="AD6" s="69"/>
      <c r="AE6" s="69"/>
    </row>
    <row r="7" spans="1:31" s="347" customFormat="1" ht="19.95" customHeight="1">
      <c r="A7" s="458" t="s">
        <v>263</v>
      </c>
      <c r="B7" s="458" t="s">
        <v>215</v>
      </c>
      <c r="C7" s="485" t="s">
        <v>264</v>
      </c>
      <c r="D7" s="485" t="s">
        <v>265</v>
      </c>
      <c r="E7" s="473" t="s">
        <v>266</v>
      </c>
      <c r="F7" s="488" t="s">
        <v>267</v>
      </c>
      <c r="G7" s="489"/>
      <c r="H7" s="490"/>
      <c r="I7" s="485" t="s">
        <v>268</v>
      </c>
      <c r="J7" s="485" t="s">
        <v>269</v>
      </c>
      <c r="K7" s="485" t="s">
        <v>270</v>
      </c>
      <c r="L7" s="473" t="s">
        <v>271</v>
      </c>
      <c r="M7" s="473" t="s">
        <v>13</v>
      </c>
    </row>
    <row r="8" spans="1:31" s="316" customFormat="1" ht="31.8" customHeight="1">
      <c r="A8" s="458"/>
      <c r="B8" s="458"/>
      <c r="C8" s="487"/>
      <c r="D8" s="486"/>
      <c r="E8" s="473"/>
      <c r="F8" s="324" t="s">
        <v>272</v>
      </c>
      <c r="G8" s="324" t="s">
        <v>273</v>
      </c>
      <c r="H8" s="324" t="s">
        <v>274</v>
      </c>
      <c r="I8" s="486"/>
      <c r="J8" s="486" t="s">
        <v>275</v>
      </c>
      <c r="K8" s="486"/>
      <c r="L8" s="473"/>
      <c r="M8" s="473"/>
    </row>
    <row r="9" spans="1:31" s="316" customFormat="1" ht="19.95" customHeight="1">
      <c r="A9" s="458"/>
      <c r="B9" s="458"/>
      <c r="C9" s="486"/>
      <c r="D9" s="324" t="s">
        <v>276</v>
      </c>
      <c r="E9" s="324" t="s">
        <v>277</v>
      </c>
      <c r="F9" s="324" t="s">
        <v>278</v>
      </c>
      <c r="G9" s="324" t="s">
        <v>279</v>
      </c>
      <c r="H9" s="324" t="s">
        <v>280</v>
      </c>
      <c r="I9" s="324" t="s">
        <v>281</v>
      </c>
      <c r="J9" s="324" t="s">
        <v>282</v>
      </c>
      <c r="K9" s="324" t="s">
        <v>283</v>
      </c>
      <c r="L9" s="473"/>
      <c r="M9" s="473"/>
    </row>
    <row r="10" spans="1:31" ht="19.95" customHeight="1">
      <c r="A10" s="57"/>
      <c r="B10" s="18"/>
      <c r="C10" s="225"/>
      <c r="D10" s="19"/>
      <c r="E10" s="20"/>
      <c r="F10" s="20"/>
      <c r="G10" s="20"/>
      <c r="H10" s="110">
        <f t="shared" ref="H10:H15" si="0">MAX(F10,G10)</f>
        <v>0</v>
      </c>
      <c r="I10" s="110">
        <f t="shared" ref="I10:I15" si="1">IF(E10&gt;H10,E10-H10,0)</f>
        <v>0</v>
      </c>
      <c r="J10" s="231"/>
      <c r="K10" s="110">
        <f t="shared" ref="K10:K15" si="2">I10-J10</f>
        <v>0</v>
      </c>
      <c r="L10" s="217"/>
      <c r="M10" s="21"/>
    </row>
    <row r="11" spans="1:31" ht="19.95" customHeight="1">
      <c r="A11" s="57"/>
      <c r="B11" s="18"/>
      <c r="C11" s="225"/>
      <c r="D11" s="19"/>
      <c r="E11" s="20"/>
      <c r="F11" s="20"/>
      <c r="G11" s="20"/>
      <c r="H11" s="110">
        <f t="shared" si="0"/>
        <v>0</v>
      </c>
      <c r="I11" s="110">
        <f t="shared" si="1"/>
        <v>0</v>
      </c>
      <c r="J11" s="231"/>
      <c r="K11" s="110">
        <f t="shared" si="2"/>
        <v>0</v>
      </c>
      <c r="L11" s="217"/>
      <c r="M11" s="21"/>
    </row>
    <row r="12" spans="1:31" ht="19.95" customHeight="1">
      <c r="A12" s="57"/>
      <c r="B12" s="18"/>
      <c r="C12" s="225"/>
      <c r="D12" s="19"/>
      <c r="E12" s="20"/>
      <c r="F12" s="20"/>
      <c r="G12" s="20"/>
      <c r="H12" s="110">
        <f t="shared" si="0"/>
        <v>0</v>
      </c>
      <c r="I12" s="110">
        <f t="shared" si="1"/>
        <v>0</v>
      </c>
      <c r="J12" s="231"/>
      <c r="K12" s="110">
        <f t="shared" si="2"/>
        <v>0</v>
      </c>
      <c r="L12" s="217"/>
      <c r="M12" s="21"/>
    </row>
    <row r="13" spans="1:31" ht="19.95" customHeight="1">
      <c r="A13" s="57"/>
      <c r="B13" s="18"/>
      <c r="C13" s="225"/>
      <c r="D13" s="19"/>
      <c r="E13" s="20"/>
      <c r="F13" s="20"/>
      <c r="G13" s="20"/>
      <c r="H13" s="110">
        <f t="shared" si="0"/>
        <v>0</v>
      </c>
      <c r="I13" s="110">
        <f t="shared" si="1"/>
        <v>0</v>
      </c>
      <c r="J13" s="231"/>
      <c r="K13" s="110">
        <f t="shared" si="2"/>
        <v>0</v>
      </c>
      <c r="L13" s="217"/>
      <c r="M13" s="21"/>
    </row>
    <row r="14" spans="1:31" ht="19.95" customHeight="1">
      <c r="A14" s="57"/>
      <c r="B14" s="18"/>
      <c r="C14" s="225"/>
      <c r="D14" s="19"/>
      <c r="E14" s="20"/>
      <c r="F14" s="20"/>
      <c r="G14" s="20"/>
      <c r="H14" s="110">
        <f t="shared" si="0"/>
        <v>0</v>
      </c>
      <c r="I14" s="110">
        <f t="shared" si="1"/>
        <v>0</v>
      </c>
      <c r="J14" s="231"/>
      <c r="K14" s="110">
        <f t="shared" si="2"/>
        <v>0</v>
      </c>
      <c r="L14" s="217"/>
      <c r="M14" s="21"/>
    </row>
    <row r="15" spans="1:31" ht="19.95" customHeight="1">
      <c r="A15" s="57"/>
      <c r="B15" s="18"/>
      <c r="C15" s="225"/>
      <c r="D15" s="19"/>
      <c r="E15" s="20"/>
      <c r="F15" s="20"/>
      <c r="G15" s="20"/>
      <c r="H15" s="110">
        <f t="shared" si="0"/>
        <v>0</v>
      </c>
      <c r="I15" s="110">
        <f t="shared" si="1"/>
        <v>0</v>
      </c>
      <c r="J15" s="231"/>
      <c r="K15" s="110">
        <f t="shared" si="2"/>
        <v>0</v>
      </c>
      <c r="L15" s="217"/>
      <c r="M15" s="21"/>
    </row>
    <row r="16" spans="1:31" s="228" customFormat="1" ht="19.95" customHeight="1">
      <c r="A16" s="226" t="s">
        <v>14</v>
      </c>
      <c r="B16" s="226"/>
      <c r="C16" s="227"/>
      <c r="D16" s="227"/>
      <c r="E16" s="229">
        <f t="shared" ref="E16:K16" si="3">SUM(E10:E15)</f>
        <v>0</v>
      </c>
      <c r="F16" s="229">
        <f t="shared" si="3"/>
        <v>0</v>
      </c>
      <c r="G16" s="229">
        <f t="shared" si="3"/>
        <v>0</v>
      </c>
      <c r="H16" s="229">
        <f t="shared" si="3"/>
        <v>0</v>
      </c>
      <c r="I16" s="229">
        <f t="shared" si="3"/>
        <v>0</v>
      </c>
      <c r="J16" s="229">
        <f t="shared" si="3"/>
        <v>0</v>
      </c>
      <c r="K16" s="229">
        <f t="shared" si="3"/>
        <v>0</v>
      </c>
      <c r="L16" s="230"/>
      <c r="M16" s="230"/>
    </row>
    <row r="17" spans="1:2" ht="19.95" customHeight="1">
      <c r="A17" s="7" t="s">
        <v>284</v>
      </c>
      <c r="B17" s="7"/>
    </row>
    <row r="20" spans="1:2" ht="19.95" customHeight="1">
      <c r="A20" s="7" t="s">
        <v>12</v>
      </c>
      <c r="B20" s="7"/>
    </row>
    <row r="26" spans="1:2" ht="19.95" customHeight="1">
      <c r="A26" s="258" t="s">
        <v>416</v>
      </c>
    </row>
    <row r="27" spans="1:2" ht="19.95" customHeight="1">
      <c r="A27" s="134" t="s">
        <v>285</v>
      </c>
    </row>
    <row r="28" spans="1:2" ht="19.95" customHeight="1">
      <c r="A28" s="134" t="s">
        <v>286</v>
      </c>
    </row>
    <row r="29" spans="1:2" ht="19.95" customHeight="1">
      <c r="A29" s="134" t="s">
        <v>287</v>
      </c>
    </row>
    <row r="30" spans="1:2" ht="19.95" customHeight="1">
      <c r="A30" s="134" t="s">
        <v>288</v>
      </c>
    </row>
    <row r="31" spans="1:2" ht="19.95" customHeight="1">
      <c r="A31" s="134" t="s">
        <v>289</v>
      </c>
    </row>
  </sheetData>
  <mergeCells count="13">
    <mergeCell ref="L7:L9"/>
    <mergeCell ref="M7:M9"/>
    <mergeCell ref="A1:M1"/>
    <mergeCell ref="A2:M2"/>
    <mergeCell ref="B7:B9"/>
    <mergeCell ref="J7:J8"/>
    <mergeCell ref="K7:K8"/>
    <mergeCell ref="A7:A9"/>
    <mergeCell ref="D7:D8"/>
    <mergeCell ref="C7:C9"/>
    <mergeCell ref="E7:E8"/>
    <mergeCell ref="F7:H7"/>
    <mergeCell ref="I7:I8"/>
  </mergeCells>
  <phoneticPr fontId="11" type="noConversion"/>
  <dataValidations count="2">
    <dataValidation type="list" allowBlank="1" showInputMessage="1" showErrorMessage="1" prompt="如要修改下列框的选项，单击“数据-数据有效性-设置-序列-来源”。" sqref="A10:A15">
      <formula1>"专用材料,专用设备, 工器具, 其他"</formula1>
    </dataValidation>
    <dataValidation type="list" allowBlank="1" showInputMessage="1" showErrorMessage="1" sqref="C10:C15">
      <formula1>"√,×"</formula1>
    </dataValidation>
  </dataValidations>
  <hyperlinks>
    <hyperlink ref="M3" location="底稿目录!A1" display="H4A"/>
  </hyperlinks>
  <printOptions horizontalCentered="1"/>
  <pageMargins left="0.70866141732283472" right="0.70866141732283472" top="0.74803149606299213" bottom="0.74803149606299213" header="0.31496062992125984" footer="0.31496062992125984"/>
  <pageSetup paperSize="9" scale="71"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B58"/>
  <sheetViews>
    <sheetView view="pageBreakPreview" zoomScaleSheetLayoutView="100" workbookViewId="0">
      <selection sqref="A1:O1"/>
    </sheetView>
  </sheetViews>
  <sheetFormatPr defaultColWidth="9" defaultRowHeight="19.95" customHeight="1"/>
  <cols>
    <col min="1" max="1" width="18.59765625" style="9" customWidth="1"/>
    <col min="2" max="2" width="8.8984375" style="9" customWidth="1"/>
    <col min="3" max="3" width="8.5" style="9" customWidth="1"/>
    <col min="4" max="4" width="8.8984375" style="9" customWidth="1"/>
    <col min="5" max="5" width="8" style="9" customWidth="1"/>
    <col min="6" max="6" width="7.8984375" style="9" customWidth="1"/>
    <col min="7" max="7" width="7.3984375" style="9" customWidth="1"/>
    <col min="8" max="8" width="8.8984375" style="9" customWidth="1"/>
    <col min="9" max="9" width="9.09765625" style="9" customWidth="1"/>
    <col min="10" max="10" width="6.59765625" style="9" customWidth="1"/>
    <col min="11" max="11" width="9.59765625" style="9" customWidth="1"/>
    <col min="12" max="12" width="8.59765625" style="9" customWidth="1"/>
    <col min="13" max="13" width="11.09765625" style="9" customWidth="1"/>
    <col min="14" max="14" width="9.59765625" style="9" customWidth="1"/>
    <col min="15" max="15" width="5.09765625" style="9" bestFit="1" customWidth="1"/>
    <col min="16" max="16384" width="9" style="9"/>
  </cols>
  <sheetData>
    <row r="1" spans="1:28" s="17" customFormat="1" ht="19.95" customHeight="1">
      <c r="A1" s="425" t="s">
        <v>380</v>
      </c>
      <c r="B1" s="425"/>
      <c r="C1" s="425"/>
      <c r="D1" s="425"/>
      <c r="E1" s="425"/>
      <c r="F1" s="425"/>
      <c r="G1" s="425"/>
      <c r="H1" s="425"/>
      <c r="I1" s="425"/>
      <c r="J1" s="425"/>
      <c r="K1" s="426"/>
      <c r="L1" s="426"/>
      <c r="M1" s="426"/>
      <c r="N1" s="426"/>
      <c r="O1" s="426"/>
    </row>
    <row r="2" spans="1:28" s="204" customFormat="1" ht="19.95" customHeight="1">
      <c r="A2" s="427" t="s">
        <v>383</v>
      </c>
      <c r="B2" s="427"/>
      <c r="C2" s="427"/>
      <c r="D2" s="427"/>
      <c r="E2" s="427"/>
      <c r="F2" s="427"/>
      <c r="G2" s="427"/>
      <c r="H2" s="427"/>
      <c r="I2" s="427"/>
      <c r="J2" s="427"/>
      <c r="K2" s="428"/>
      <c r="L2" s="428"/>
      <c r="M2" s="428"/>
      <c r="N2" s="428"/>
      <c r="O2" s="428"/>
    </row>
    <row r="3" spans="1:28" ht="19.95" customHeight="1">
      <c r="A3" s="2" t="str">
        <f>底稿目录!A2</f>
        <v>被审计单位：</v>
      </c>
      <c r="B3" s="2"/>
      <c r="C3" s="2"/>
      <c r="D3" s="2" t="str">
        <f>底稿目录!A4</f>
        <v>编制人：</v>
      </c>
      <c r="E3" s="2"/>
      <c r="G3" s="22"/>
      <c r="J3" s="2" t="str">
        <f>底稿目录!A6</f>
        <v>编制日期：</v>
      </c>
      <c r="K3" s="60"/>
      <c r="N3" s="252" t="s">
        <v>401</v>
      </c>
      <c r="O3" s="147" t="s">
        <v>95</v>
      </c>
    </row>
    <row r="4" spans="1:28" ht="19.95" customHeight="1">
      <c r="A4" s="2" t="str">
        <f>底稿目录!A3</f>
        <v>截止日：</v>
      </c>
      <c r="B4" s="2"/>
      <c r="C4" s="2"/>
      <c r="D4" s="2" t="str">
        <f>底稿目录!A5</f>
        <v>复核人：</v>
      </c>
      <c r="E4" s="2"/>
      <c r="G4" s="22"/>
      <c r="J4" s="2" t="str">
        <f>底稿目录!A7</f>
        <v>复核日期：</v>
      </c>
      <c r="K4" s="60"/>
      <c r="N4" s="252" t="s">
        <v>402</v>
      </c>
      <c r="O4" s="148"/>
    </row>
    <row r="5" spans="1:28" s="292" customFormat="1" ht="19.95" customHeight="1">
      <c r="A5" s="342" t="s">
        <v>73</v>
      </c>
      <c r="B5" s="343"/>
      <c r="G5" s="344"/>
      <c r="K5" s="345"/>
      <c r="L5" s="346"/>
      <c r="V5" s="296"/>
      <c r="W5" s="296"/>
      <c r="X5" s="296"/>
      <c r="Y5" s="296"/>
      <c r="Z5" s="296"/>
      <c r="AA5" s="296"/>
      <c r="AB5" s="296"/>
    </row>
    <row r="6" spans="1:28" s="292" customFormat="1" ht="19.95" customHeight="1">
      <c r="A6" s="342" t="s">
        <v>290</v>
      </c>
      <c r="B6" s="313"/>
      <c r="G6" s="348"/>
      <c r="K6" s="345"/>
      <c r="L6" s="346"/>
      <c r="V6" s="296"/>
      <c r="W6" s="296"/>
      <c r="X6" s="296"/>
      <c r="Y6" s="296"/>
      <c r="Z6" s="296"/>
      <c r="AA6" s="296"/>
      <c r="AB6" s="296"/>
    </row>
    <row r="7" spans="1:28" ht="19.95" customHeight="1">
      <c r="A7" s="7" t="s">
        <v>291</v>
      </c>
      <c r="G7" s="22"/>
    </row>
    <row r="8" spans="1:28" ht="19.95" customHeight="1">
      <c r="A8" s="491" t="s">
        <v>250</v>
      </c>
      <c r="B8" s="49" t="s">
        <v>292</v>
      </c>
      <c r="C8" s="49"/>
      <c r="D8" s="49"/>
      <c r="E8" s="49"/>
      <c r="F8" s="49"/>
      <c r="G8" s="50"/>
      <c r="H8" s="49" t="s">
        <v>293</v>
      </c>
      <c r="I8" s="49"/>
      <c r="J8" s="49"/>
      <c r="K8" s="49"/>
      <c r="L8" s="49"/>
      <c r="M8" s="49"/>
      <c r="N8" s="492" t="s">
        <v>294</v>
      </c>
      <c r="O8" s="492" t="s">
        <v>196</v>
      </c>
    </row>
    <row r="9" spans="1:28" ht="24">
      <c r="A9" s="491"/>
      <c r="B9" s="125" t="s">
        <v>295</v>
      </c>
      <c r="C9" s="125" t="s">
        <v>296</v>
      </c>
      <c r="D9" s="125" t="s">
        <v>297</v>
      </c>
      <c r="E9" s="125" t="s">
        <v>296</v>
      </c>
      <c r="F9" s="125" t="s">
        <v>298</v>
      </c>
      <c r="G9" s="125" t="s">
        <v>296</v>
      </c>
      <c r="H9" s="125" t="s">
        <v>299</v>
      </c>
      <c r="I9" s="125" t="s">
        <v>336</v>
      </c>
      <c r="J9" s="125" t="s">
        <v>337</v>
      </c>
      <c r="K9" s="125" t="s">
        <v>300</v>
      </c>
      <c r="L9" s="125" t="s">
        <v>301</v>
      </c>
      <c r="M9" s="125" t="s">
        <v>302</v>
      </c>
      <c r="N9" s="493"/>
      <c r="O9" s="493"/>
    </row>
    <row r="10" spans="1:28" ht="19.95" customHeight="1">
      <c r="A10" s="18"/>
      <c r="B10" s="19"/>
      <c r="C10" s="20"/>
      <c r="D10" s="19"/>
      <c r="E10" s="20"/>
      <c r="F10" s="19"/>
      <c r="G10" s="20"/>
      <c r="H10" s="19"/>
      <c r="I10" s="19"/>
      <c r="J10" s="19"/>
      <c r="K10" s="19"/>
      <c r="L10" s="19"/>
      <c r="M10" s="110">
        <f>SUM(H10:L10)</f>
        <v>0</v>
      </c>
      <c r="N10" s="110">
        <f>IF(B10&gt;0,B10,IF(D10&gt;0,D10,F10))-M10</f>
        <v>0</v>
      </c>
      <c r="O10" s="18"/>
    </row>
    <row r="11" spans="1:28" ht="19.95" customHeight="1">
      <c r="A11" s="18"/>
      <c r="B11" s="19"/>
      <c r="C11" s="20"/>
      <c r="D11" s="19"/>
      <c r="E11" s="20"/>
      <c r="F11" s="19"/>
      <c r="G11" s="20"/>
      <c r="H11" s="19"/>
      <c r="I11" s="19"/>
      <c r="J11" s="19"/>
      <c r="K11" s="19"/>
      <c r="L11" s="19"/>
      <c r="M11" s="110">
        <f>SUM(H11:L11)</f>
        <v>0</v>
      </c>
      <c r="N11" s="110">
        <f>IF(B11&gt;0,B11,IF(D11&gt;0,D11,F11))-M11</f>
        <v>0</v>
      </c>
      <c r="O11" s="18"/>
    </row>
    <row r="12" spans="1:28" ht="19.95" customHeight="1">
      <c r="A12" s="18"/>
      <c r="B12" s="19"/>
      <c r="C12" s="20"/>
      <c r="D12" s="19"/>
      <c r="E12" s="20"/>
      <c r="F12" s="19"/>
      <c r="G12" s="20"/>
      <c r="H12" s="19"/>
      <c r="I12" s="19"/>
      <c r="J12" s="19"/>
      <c r="K12" s="19"/>
      <c r="L12" s="19"/>
      <c r="M12" s="110">
        <f>SUM(H12:L12)</f>
        <v>0</v>
      </c>
      <c r="N12" s="110">
        <f>IF(B12&gt;0,B12,IF(D12&gt;0,D12,F12))-M12</f>
        <v>0</v>
      </c>
      <c r="O12" s="18"/>
    </row>
    <row r="13" spans="1:28" ht="19.95" customHeight="1">
      <c r="A13" s="125" t="s">
        <v>14</v>
      </c>
      <c r="B13" s="229">
        <f>SUM(B10:B12)</f>
        <v>0</v>
      </c>
      <c r="C13" s="232"/>
      <c r="D13" s="229">
        <f>SUM(D10:D12)</f>
        <v>0</v>
      </c>
      <c r="E13" s="232"/>
      <c r="F13" s="229">
        <f>SUM(F10:F12)</f>
        <v>0</v>
      </c>
      <c r="G13" s="232"/>
      <c r="H13" s="229">
        <f t="shared" ref="H13:N13" si="0">SUM(H10:H12)</f>
        <v>0</v>
      </c>
      <c r="I13" s="229">
        <f t="shared" si="0"/>
        <v>0</v>
      </c>
      <c r="J13" s="229">
        <f t="shared" si="0"/>
        <v>0</v>
      </c>
      <c r="K13" s="229">
        <f t="shared" si="0"/>
        <v>0</v>
      </c>
      <c r="L13" s="229">
        <f t="shared" si="0"/>
        <v>0</v>
      </c>
      <c r="M13" s="229">
        <f t="shared" si="0"/>
        <v>0</v>
      </c>
      <c r="N13" s="229">
        <f t="shared" si="0"/>
        <v>0</v>
      </c>
      <c r="O13" s="232"/>
    </row>
    <row r="14" spans="1:28" s="10" customFormat="1" ht="19.95" customHeight="1">
      <c r="A14" s="74" t="s">
        <v>303</v>
      </c>
      <c r="B14" s="61"/>
      <c r="C14" s="61"/>
      <c r="D14" s="61"/>
      <c r="E14" s="61"/>
      <c r="F14" s="61"/>
      <c r="G14" s="61"/>
      <c r="H14" s="61"/>
      <c r="I14" s="61"/>
      <c r="J14" s="61"/>
      <c r="K14" s="61"/>
      <c r="L14" s="61"/>
      <c r="M14" s="61"/>
      <c r="N14" s="61"/>
      <c r="O14" s="62"/>
    </row>
    <row r="15" spans="1:28" ht="19.95" customHeight="1">
      <c r="A15" s="7" t="s">
        <v>304</v>
      </c>
      <c r="G15" s="22"/>
    </row>
    <row r="16" spans="1:28" ht="19.95" customHeight="1">
      <c r="A16" s="492" t="s">
        <v>305</v>
      </c>
      <c r="B16" s="49" t="s">
        <v>306</v>
      </c>
      <c r="C16" s="49"/>
      <c r="D16" s="49"/>
      <c r="E16" s="49"/>
      <c r="F16" s="49"/>
      <c r="G16" s="49" t="s">
        <v>338</v>
      </c>
      <c r="H16" s="49"/>
      <c r="I16" s="498" t="s">
        <v>307</v>
      </c>
      <c r="J16" s="498" t="s">
        <v>308</v>
      </c>
      <c r="K16" s="498" t="s">
        <v>309</v>
      </c>
      <c r="L16" s="500" t="s">
        <v>339</v>
      </c>
      <c r="M16" s="501"/>
      <c r="N16" s="492" t="s">
        <v>15</v>
      </c>
      <c r="O16" s="492" t="s">
        <v>196</v>
      </c>
    </row>
    <row r="17" spans="1:15" ht="19.95" customHeight="1">
      <c r="A17" s="493"/>
      <c r="B17" s="125" t="s">
        <v>310</v>
      </c>
      <c r="C17" s="125" t="s">
        <v>16</v>
      </c>
      <c r="D17" s="125" t="s">
        <v>17</v>
      </c>
      <c r="E17" s="125" t="s">
        <v>311</v>
      </c>
      <c r="F17" s="125" t="s">
        <v>18</v>
      </c>
      <c r="G17" s="125" t="s">
        <v>340</v>
      </c>
      <c r="H17" s="125" t="s">
        <v>19</v>
      </c>
      <c r="I17" s="499"/>
      <c r="J17" s="499"/>
      <c r="K17" s="499"/>
      <c r="L17" s="502"/>
      <c r="M17" s="503"/>
      <c r="N17" s="493"/>
      <c r="O17" s="493"/>
    </row>
    <row r="18" spans="1:15" ht="19.95" customHeight="1">
      <c r="A18" s="18" t="s">
        <v>20</v>
      </c>
      <c r="B18" s="19"/>
      <c r="C18" s="19"/>
      <c r="D18" s="19"/>
      <c r="E18" s="19"/>
      <c r="F18" s="19"/>
      <c r="G18" s="23">
        <f>F18</f>
        <v>0</v>
      </c>
      <c r="H18" s="24"/>
      <c r="I18" s="24"/>
      <c r="J18" s="24"/>
      <c r="K18" s="24"/>
      <c r="L18" s="25"/>
      <c r="M18" s="26"/>
      <c r="N18" s="67"/>
      <c r="O18" s="494"/>
    </row>
    <row r="19" spans="1:15" ht="19.95" customHeight="1">
      <c r="A19" s="18" t="s">
        <v>312</v>
      </c>
      <c r="B19" s="110" t="e">
        <f>1/(1+$K$23)^1</f>
        <v>#DIV/0!</v>
      </c>
      <c r="C19" s="110" t="e">
        <f>1/(1+$K$23)^2</f>
        <v>#DIV/0!</v>
      </c>
      <c r="D19" s="110" t="e">
        <f>1/(1+$K$23)^3</f>
        <v>#DIV/0!</v>
      </c>
      <c r="E19" s="110" t="e">
        <f>1/(1+$K$23)^4</f>
        <v>#DIV/0!</v>
      </c>
      <c r="F19" s="110" t="e">
        <f>1/(1+$K$23)^5</f>
        <v>#DIV/0!</v>
      </c>
      <c r="G19" s="110" t="e">
        <f>(1+H18)/((K23-H18)*(1+K23)^5)</f>
        <v>#DIV/0!</v>
      </c>
      <c r="H19" s="75" t="s">
        <v>21</v>
      </c>
      <c r="I19" s="19"/>
      <c r="J19" s="70"/>
      <c r="K19" s="71"/>
      <c r="L19" s="72"/>
      <c r="M19" s="73"/>
      <c r="N19" s="67"/>
      <c r="O19" s="495"/>
    </row>
    <row r="20" spans="1:15" ht="19.95" customHeight="1">
      <c r="A20" s="18" t="s">
        <v>22</v>
      </c>
      <c r="B20" s="110" t="e">
        <f t="shared" ref="B20:G20" si="1">B18*B19</f>
        <v>#DIV/0!</v>
      </c>
      <c r="C20" s="110" t="e">
        <f t="shared" si="1"/>
        <v>#DIV/0!</v>
      </c>
      <c r="D20" s="110" t="e">
        <f t="shared" si="1"/>
        <v>#DIV/0!</v>
      </c>
      <c r="E20" s="110" t="e">
        <f t="shared" si="1"/>
        <v>#DIV/0!</v>
      </c>
      <c r="F20" s="110" t="e">
        <f t="shared" si="1"/>
        <v>#DIV/0!</v>
      </c>
      <c r="G20" s="110" t="e">
        <f t="shared" si="1"/>
        <v>#DIV/0!</v>
      </c>
      <c r="H20" s="75" t="s">
        <v>23</v>
      </c>
      <c r="I20" s="19"/>
      <c r="J20" s="70"/>
      <c r="K20" s="71"/>
      <c r="L20" s="72"/>
      <c r="M20" s="73"/>
      <c r="N20" s="110" t="e">
        <f>SUM(B20:G20)</f>
        <v>#DIV/0!</v>
      </c>
      <c r="O20" s="496"/>
    </row>
    <row r="21" spans="1:15" ht="19.95" customHeight="1">
      <c r="A21" s="492" t="s">
        <v>313</v>
      </c>
      <c r="B21" s="125" t="s">
        <v>24</v>
      </c>
      <c r="C21" s="492" t="s">
        <v>25</v>
      </c>
      <c r="D21" s="492" t="s">
        <v>314</v>
      </c>
      <c r="E21" s="492" t="s">
        <v>26</v>
      </c>
      <c r="F21" s="492" t="s">
        <v>315</v>
      </c>
      <c r="G21" s="492" t="s">
        <v>27</v>
      </c>
      <c r="H21" s="492" t="s">
        <v>28</v>
      </c>
      <c r="I21" s="492" t="s">
        <v>29</v>
      </c>
      <c r="J21" s="492" t="s">
        <v>316</v>
      </c>
      <c r="K21" s="492" t="s">
        <v>317</v>
      </c>
      <c r="L21" s="504" t="s">
        <v>30</v>
      </c>
      <c r="M21" s="505"/>
      <c r="N21" s="497" t="s">
        <v>318</v>
      </c>
      <c r="O21" s="497" t="s">
        <v>196</v>
      </c>
    </row>
    <row r="22" spans="1:15" ht="19.95" customHeight="1">
      <c r="A22" s="497"/>
      <c r="B22" s="125" t="s">
        <v>31</v>
      </c>
      <c r="C22" s="497"/>
      <c r="D22" s="497"/>
      <c r="E22" s="497"/>
      <c r="F22" s="497"/>
      <c r="G22" s="497"/>
      <c r="H22" s="497"/>
      <c r="I22" s="497"/>
      <c r="J22" s="497"/>
      <c r="K22" s="497"/>
      <c r="L22" s="125" t="s">
        <v>341</v>
      </c>
      <c r="M22" s="76" t="s">
        <v>32</v>
      </c>
      <c r="N22" s="497"/>
      <c r="O22" s="497"/>
    </row>
    <row r="23" spans="1:15" ht="19.95" customHeight="1">
      <c r="A23" s="18" t="s">
        <v>33</v>
      </c>
      <c r="B23" s="27"/>
      <c r="C23" s="19"/>
      <c r="D23" s="19"/>
      <c r="E23" s="28"/>
      <c r="F23" s="28"/>
      <c r="G23" s="20"/>
      <c r="H23" s="28"/>
      <c r="I23" s="110">
        <f>F23+G23*(H23-F23)</f>
        <v>0</v>
      </c>
      <c r="J23" s="110" t="e">
        <f>((C23*E23*(1-B23)+D23*I23))/(C23+D23)</f>
        <v>#DIV/0!</v>
      </c>
      <c r="K23" s="110" t="e">
        <f>J23/(1-(B23+L23))</f>
        <v>#DIV/0!</v>
      </c>
      <c r="L23" s="28"/>
      <c r="M23" s="29"/>
      <c r="N23" s="110" t="e">
        <f>MAX(N13,N20)</f>
        <v>#DIV/0!</v>
      </c>
      <c r="O23" s="27"/>
    </row>
    <row r="24" spans="1:15" s="10" customFormat="1" ht="19.95" customHeight="1">
      <c r="A24" s="77" t="s">
        <v>284</v>
      </c>
      <c r="B24" s="41"/>
      <c r="C24" s="41"/>
      <c r="D24" s="41"/>
      <c r="E24" s="41"/>
      <c r="F24" s="41"/>
      <c r="G24" s="41"/>
      <c r="H24" s="41"/>
      <c r="I24" s="41"/>
      <c r="J24" s="41"/>
      <c r="K24" s="41"/>
      <c r="L24" s="41"/>
      <c r="M24" s="41"/>
      <c r="N24" s="41"/>
      <c r="O24" s="41"/>
    </row>
    <row r="25" spans="1:15" s="10" customFormat="1" ht="19.95" customHeight="1">
      <c r="A25" s="9"/>
    </row>
    <row r="26" spans="1:15" s="10" customFormat="1" ht="19.95" customHeight="1">
      <c r="A26" s="9"/>
    </row>
    <row r="27" spans="1:15" s="10" customFormat="1" ht="19.95" customHeight="1">
      <c r="A27" s="7" t="s">
        <v>12</v>
      </c>
    </row>
    <row r="28" spans="1:15" s="10" customFormat="1" ht="19.95" customHeight="1">
      <c r="A28" s="9"/>
    </row>
    <row r="29" spans="1:15" s="10" customFormat="1" ht="19.95" customHeight="1"/>
    <row r="30" spans="1:15" s="10" customFormat="1" ht="19.95" customHeight="1"/>
    <row r="31" spans="1:15" s="10" customFormat="1" ht="19.95" customHeight="1">
      <c r="A31" s="258" t="s">
        <v>416</v>
      </c>
    </row>
    <row r="32" spans="1:15" s="10" customFormat="1" ht="19.95" customHeight="1">
      <c r="A32" s="78" t="s">
        <v>319</v>
      </c>
    </row>
    <row r="33" spans="1:1" s="10" customFormat="1" ht="19.95" customHeight="1">
      <c r="A33" s="78" t="s">
        <v>320</v>
      </c>
    </row>
    <row r="34" spans="1:1" s="10" customFormat="1" ht="19.95" customHeight="1">
      <c r="A34" s="78" t="s">
        <v>321</v>
      </c>
    </row>
    <row r="35" spans="1:1" s="10" customFormat="1" ht="19.95" customHeight="1">
      <c r="A35" s="78" t="s">
        <v>322</v>
      </c>
    </row>
    <row r="36" spans="1:1" s="10" customFormat="1" ht="19.95" customHeight="1">
      <c r="A36" s="78" t="s">
        <v>323</v>
      </c>
    </row>
    <row r="37" spans="1:1" s="10" customFormat="1" ht="19.95" customHeight="1">
      <c r="A37" s="78" t="s">
        <v>324</v>
      </c>
    </row>
    <row r="38" spans="1:1" s="10" customFormat="1" ht="19.95" customHeight="1">
      <c r="A38" s="78" t="s">
        <v>325</v>
      </c>
    </row>
    <row r="39" spans="1:1" s="10" customFormat="1" ht="19.95" customHeight="1">
      <c r="A39" s="78" t="s">
        <v>326</v>
      </c>
    </row>
    <row r="40" spans="1:1" s="10" customFormat="1" ht="19.95" customHeight="1">
      <c r="A40" s="78" t="s">
        <v>327</v>
      </c>
    </row>
    <row r="41" spans="1:1" s="10" customFormat="1" ht="19.95" customHeight="1">
      <c r="A41" s="78" t="s">
        <v>328</v>
      </c>
    </row>
    <row r="42" spans="1:1" s="10" customFormat="1" ht="19.95" customHeight="1">
      <c r="A42" s="78" t="s">
        <v>329</v>
      </c>
    </row>
    <row r="43" spans="1:1" s="10" customFormat="1" ht="19.95" customHeight="1">
      <c r="A43" s="78" t="s">
        <v>330</v>
      </c>
    </row>
    <row r="44" spans="1:1" s="10" customFormat="1" ht="19.95" customHeight="1">
      <c r="A44" s="78" t="s">
        <v>331</v>
      </c>
    </row>
    <row r="45" spans="1:1" s="10" customFormat="1" ht="19.95" customHeight="1">
      <c r="A45" s="78" t="s">
        <v>332</v>
      </c>
    </row>
    <row r="46" spans="1:1" s="10" customFormat="1" ht="19.95" customHeight="1">
      <c r="A46" s="78" t="s">
        <v>333</v>
      </c>
    </row>
    <row r="47" spans="1:1" s="10" customFormat="1" ht="19.95" customHeight="1">
      <c r="A47" s="78" t="s">
        <v>334</v>
      </c>
    </row>
    <row r="48" spans="1:1" s="10" customFormat="1" ht="19.95" customHeight="1">
      <c r="A48" s="78" t="s">
        <v>335</v>
      </c>
    </row>
    <row r="49" spans="1:5" s="10" customFormat="1" ht="19.95" customHeight="1">
      <c r="E49" s="6"/>
    </row>
    <row r="50" spans="1:5" s="10" customFormat="1" ht="19.95" customHeight="1"/>
    <row r="51" spans="1:5" s="10" customFormat="1" ht="19.95" customHeight="1"/>
    <row r="52" spans="1:5" s="10" customFormat="1" ht="19.95" customHeight="1"/>
    <row r="53" spans="1:5" s="10" customFormat="1" ht="19.95" customHeight="1">
      <c r="A53" s="143" t="s">
        <v>192</v>
      </c>
    </row>
    <row r="54" spans="1:5" s="10" customFormat="1" ht="19.95" customHeight="1">
      <c r="A54" s="143" t="s">
        <v>285</v>
      </c>
    </row>
    <row r="55" spans="1:5" s="10" customFormat="1" ht="19.95" customHeight="1">
      <c r="A55" s="143" t="s">
        <v>286</v>
      </c>
    </row>
    <row r="56" spans="1:5" s="10" customFormat="1" ht="19.95" customHeight="1">
      <c r="A56" s="143" t="s">
        <v>287</v>
      </c>
    </row>
    <row r="57" spans="1:5" s="10" customFormat="1" ht="19.95" customHeight="1">
      <c r="A57" s="143" t="s">
        <v>288</v>
      </c>
    </row>
    <row r="58" spans="1:5" ht="19.95" customHeight="1">
      <c r="A58" s="134" t="s">
        <v>289</v>
      </c>
    </row>
  </sheetData>
  <mergeCells count="26">
    <mergeCell ref="H21:H22"/>
    <mergeCell ref="I21:I22"/>
    <mergeCell ref="J21:J22"/>
    <mergeCell ref="K21:K22"/>
    <mergeCell ref="L21:M21"/>
    <mergeCell ref="N16:N17"/>
    <mergeCell ref="O16:O17"/>
    <mergeCell ref="O18:O20"/>
    <mergeCell ref="A21:A22"/>
    <mergeCell ref="C21:C22"/>
    <mergeCell ref="D21:D22"/>
    <mergeCell ref="E21:E22"/>
    <mergeCell ref="F21:F22"/>
    <mergeCell ref="G21:G22"/>
    <mergeCell ref="A16:A17"/>
    <mergeCell ref="I16:I17"/>
    <mergeCell ref="J16:J17"/>
    <mergeCell ref="K16:K17"/>
    <mergeCell ref="L16:M17"/>
    <mergeCell ref="O21:O22"/>
    <mergeCell ref="N21:N22"/>
    <mergeCell ref="A1:O1"/>
    <mergeCell ref="A2:O2"/>
    <mergeCell ref="A8:A9"/>
    <mergeCell ref="N8:N9"/>
    <mergeCell ref="O8:O9"/>
  </mergeCells>
  <phoneticPr fontId="11" type="noConversion"/>
  <dataValidations count="2">
    <dataValidation allowBlank="1" showInputMessage="1" showErrorMessage="1" prompt="可使用万德（Wind）的WACC计算器取数。" sqref="H23 E23:F23"/>
    <dataValidation allowBlank="1" showInputMessage="1" showErrorMessage="1" prompt="可使用万德（Wind）的BETA计算器计算β系数。" sqref="G23"/>
  </dataValidations>
  <hyperlinks>
    <hyperlink ref="O3" location="底稿目录!A1" display="H4A"/>
  </hyperlinks>
  <printOptions horizontalCentered="1"/>
  <pageMargins left="0.70866141732283472" right="0.70866141732283472" top="0.74803149606299213" bottom="0.74803149606299213" header="0.31496062992125984" footer="0.31496062992125984"/>
  <pageSetup paperSize="9" scale="80" fitToHeight="2" orientation="landscape" blackAndWhite="1" r:id="rId1"/>
  <headerFooter>
    <oddFooter>&amp;C&amp;P/&amp;N</oddFooter>
  </headerFooter>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0</xdr:col>
                <xdr:colOff>106680</xdr:colOff>
                <xdr:row>48</xdr:row>
                <xdr:rowOff>45720</xdr:rowOff>
              </from>
              <to>
                <xdr:col>3</xdr:col>
                <xdr:colOff>0</xdr:colOff>
                <xdr:row>50</xdr:row>
                <xdr:rowOff>144780</xdr:rowOff>
              </to>
            </anchor>
          </objectPr>
        </oleObject>
      </mc:Choice>
      <mc:Fallback>
        <oleObject progId="Equation.3" shapeId="2049" r:id="rId4"/>
      </mc:Fallback>
    </mc:AlternateContent>
    <mc:AlternateContent xmlns:mc="http://schemas.openxmlformats.org/markup-compatibility/2006">
      <mc:Choice Requires="x14">
        <oleObject progId="Equation.3" shapeId="2050" r:id="rId6">
          <objectPr defaultSize="0" autoPict="0" r:id="rId7">
            <anchor moveWithCells="1" sizeWithCells="1">
              <from>
                <xdr:col>3</xdr:col>
                <xdr:colOff>655320</xdr:colOff>
                <xdr:row>48</xdr:row>
                <xdr:rowOff>144780</xdr:rowOff>
              </from>
              <to>
                <xdr:col>7</xdr:col>
                <xdr:colOff>198120</xdr:colOff>
                <xdr:row>50</xdr:row>
                <xdr:rowOff>76200</xdr:rowOff>
              </to>
            </anchor>
          </objectPr>
        </oleObject>
      </mc:Choice>
      <mc:Fallback>
        <oleObject progId="Equation.3" shapeId="2050" r:id="rId6"/>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97"/>
  <sheetViews>
    <sheetView view="pageBreakPreview" zoomScaleSheetLayoutView="100" workbookViewId="0">
      <selection activeCell="N3" sqref="N3"/>
    </sheetView>
  </sheetViews>
  <sheetFormatPr defaultColWidth="9" defaultRowHeight="19.95" customHeight="1"/>
  <cols>
    <col min="1" max="1" width="12.3984375" style="2" customWidth="1"/>
    <col min="2" max="2" width="10.59765625" style="2" customWidth="1"/>
    <col min="3" max="3" width="9.09765625" style="2" customWidth="1"/>
    <col min="4" max="4" width="11.59765625" style="31" customWidth="1"/>
    <col min="5" max="5" width="14.59765625" style="31" customWidth="1"/>
    <col min="6" max="6" width="11.296875" style="31" customWidth="1"/>
    <col min="7" max="7" width="13.796875" style="31" customWidth="1"/>
    <col min="8" max="8" width="12" style="31" customWidth="1"/>
    <col min="9" max="9" width="12.09765625" style="31" customWidth="1"/>
    <col min="10" max="10" width="12" style="2" customWidth="1"/>
    <col min="11" max="11" width="8" style="2" customWidth="1"/>
    <col min="12" max="12" width="11.19921875" style="2" customWidth="1"/>
    <col min="13" max="13" width="10" style="2" customWidth="1"/>
    <col min="14" max="14" width="10.3984375" style="2" customWidth="1"/>
    <col min="15" max="16384" width="9" style="2"/>
  </cols>
  <sheetData>
    <row r="1" spans="1:16" s="43" customFormat="1" ht="19.95" customHeight="1">
      <c r="A1" s="506" t="s">
        <v>380</v>
      </c>
      <c r="B1" s="506"/>
      <c r="C1" s="506"/>
      <c r="D1" s="506"/>
      <c r="E1" s="506"/>
      <c r="F1" s="506"/>
      <c r="G1" s="506"/>
      <c r="H1" s="506"/>
      <c r="I1" s="506"/>
      <c r="J1" s="506"/>
      <c r="K1" s="507"/>
      <c r="L1" s="507"/>
      <c r="M1" s="507"/>
      <c r="N1" s="507"/>
    </row>
    <row r="2" spans="1:16" s="203" customFormat="1" ht="19.95" customHeight="1">
      <c r="A2" s="508" t="s">
        <v>382</v>
      </c>
      <c r="B2" s="508"/>
      <c r="C2" s="508"/>
      <c r="D2" s="508"/>
      <c r="E2" s="508"/>
      <c r="F2" s="508"/>
      <c r="G2" s="508"/>
      <c r="H2" s="508"/>
      <c r="I2" s="508"/>
      <c r="J2" s="508"/>
      <c r="K2" s="509"/>
      <c r="L2" s="509"/>
      <c r="M2" s="509"/>
      <c r="N2" s="509"/>
    </row>
    <row r="3" spans="1:16" ht="19.95" customHeight="1">
      <c r="A3" s="2" t="str">
        <f>底稿目录!A2</f>
        <v>被审计单位：</v>
      </c>
      <c r="D3" s="2"/>
      <c r="F3" s="2" t="str">
        <f>底稿目录!A4</f>
        <v>编制人：</v>
      </c>
      <c r="G3" s="2"/>
      <c r="I3" s="2" t="str">
        <f>底稿目录!A6</f>
        <v>编制日期：</v>
      </c>
      <c r="M3" s="252" t="s">
        <v>401</v>
      </c>
      <c r="N3" s="147" t="s">
        <v>97</v>
      </c>
    </row>
    <row r="4" spans="1:16" ht="19.95" customHeight="1">
      <c r="A4" s="2" t="str">
        <f>底稿目录!A3</f>
        <v>截止日：</v>
      </c>
      <c r="D4" s="2"/>
      <c r="F4" s="2" t="str">
        <f>底稿目录!A5</f>
        <v>复核人：</v>
      </c>
      <c r="G4" s="2"/>
      <c r="I4" s="2" t="str">
        <f>底稿目录!A7</f>
        <v>复核日期：</v>
      </c>
      <c r="M4" s="252" t="s">
        <v>402</v>
      </c>
      <c r="N4" s="148"/>
    </row>
    <row r="5" spans="1:16" s="11" customFormat="1" ht="19.95" customHeight="1">
      <c r="A5" s="38" t="s">
        <v>364</v>
      </c>
      <c r="B5" s="38"/>
      <c r="C5" s="38"/>
      <c r="D5" s="175"/>
      <c r="E5" s="175"/>
      <c r="F5" s="175"/>
      <c r="G5" s="175"/>
      <c r="H5" s="175"/>
      <c r="I5" s="175"/>
      <c r="J5" s="176"/>
      <c r="K5" s="176"/>
      <c r="L5" s="176"/>
      <c r="M5" s="176"/>
      <c r="N5" s="176"/>
    </row>
    <row r="6" spans="1:16" s="307" customFormat="1" ht="19.95" customHeight="1">
      <c r="A6" s="349" t="s">
        <v>365</v>
      </c>
      <c r="B6" s="349"/>
      <c r="C6" s="349"/>
      <c r="D6" s="350"/>
      <c r="E6" s="351"/>
      <c r="F6" s="351"/>
      <c r="G6" s="351"/>
      <c r="H6" s="351"/>
      <c r="I6" s="351"/>
      <c r="J6" s="349"/>
      <c r="K6" s="349"/>
      <c r="L6" s="349"/>
      <c r="M6" s="352"/>
      <c r="N6" s="352"/>
    </row>
    <row r="7" spans="1:16" s="307" customFormat="1" ht="32.4" customHeight="1">
      <c r="A7" s="510" t="s">
        <v>366</v>
      </c>
      <c r="B7" s="510"/>
      <c r="C7" s="510"/>
      <c r="D7" s="510"/>
      <c r="E7" s="510"/>
      <c r="F7" s="510"/>
      <c r="G7" s="510"/>
      <c r="H7" s="510"/>
      <c r="I7" s="510"/>
      <c r="J7" s="510"/>
      <c r="K7" s="510"/>
      <c r="L7" s="510"/>
      <c r="M7" s="510"/>
      <c r="N7" s="510"/>
    </row>
    <row r="8" spans="1:16" s="11" customFormat="1" ht="19.95" customHeight="1">
      <c r="A8" s="38" t="s">
        <v>290</v>
      </c>
      <c r="B8" s="176"/>
      <c r="C8" s="176"/>
      <c r="D8" s="32"/>
      <c r="E8" s="175"/>
      <c r="F8" s="175"/>
      <c r="G8" s="175"/>
      <c r="H8" s="175"/>
      <c r="I8" s="175"/>
      <c r="J8" s="176"/>
      <c r="K8" s="176"/>
      <c r="L8" s="176"/>
      <c r="M8" s="176"/>
      <c r="N8" s="176"/>
      <c r="P8" s="144"/>
    </row>
    <row r="9" spans="1:16" s="11" customFormat="1" ht="19.95" customHeight="1">
      <c r="A9" s="177" t="s">
        <v>412</v>
      </c>
      <c r="B9" s="119"/>
      <c r="C9" s="178"/>
      <c r="D9" s="120"/>
      <c r="E9" s="119"/>
      <c r="F9" s="179"/>
      <c r="G9" s="179"/>
      <c r="H9" s="179"/>
      <c r="I9" s="179"/>
      <c r="J9" s="179"/>
      <c r="K9" s="180"/>
      <c r="L9" s="180"/>
      <c r="M9" s="180"/>
      <c r="N9" s="176"/>
    </row>
    <row r="10" spans="1:16" s="11" customFormat="1" ht="24">
      <c r="A10" s="181" t="s">
        <v>367</v>
      </c>
      <c r="B10" s="181" t="s">
        <v>368</v>
      </c>
      <c r="C10" s="181" t="s">
        <v>369</v>
      </c>
      <c r="D10" s="182" t="s">
        <v>370</v>
      </c>
      <c r="E10" s="182" t="s">
        <v>343</v>
      </c>
      <c r="F10" s="182" t="s">
        <v>371</v>
      </c>
      <c r="G10" s="182" t="s">
        <v>344</v>
      </c>
      <c r="H10" s="182" t="s">
        <v>372</v>
      </c>
      <c r="I10" s="182" t="s">
        <v>373</v>
      </c>
      <c r="J10" s="182" t="s">
        <v>374</v>
      </c>
      <c r="K10" s="182" t="s">
        <v>375</v>
      </c>
      <c r="L10" s="182" t="s">
        <v>231</v>
      </c>
      <c r="N10" s="176"/>
    </row>
    <row r="11" spans="1:16" s="11" customFormat="1" ht="19.95" customHeight="1">
      <c r="A11" s="183"/>
      <c r="B11" s="285"/>
      <c r="C11" s="233"/>
      <c r="D11" s="233"/>
      <c r="E11" s="219"/>
      <c r="F11" s="219"/>
      <c r="G11" s="234"/>
      <c r="H11" s="235"/>
      <c r="I11" s="184"/>
      <c r="J11" s="236"/>
      <c r="K11" s="236"/>
      <c r="L11" s="237"/>
      <c r="N11" s="176"/>
    </row>
    <row r="12" spans="1:16" s="11" customFormat="1" ht="19.95" customHeight="1">
      <c r="A12" s="183"/>
      <c r="B12" s="285"/>
      <c r="C12" s="233"/>
      <c r="D12" s="233"/>
      <c r="E12" s="219"/>
      <c r="F12" s="219"/>
      <c r="G12" s="234"/>
      <c r="H12" s="235"/>
      <c r="I12" s="184"/>
      <c r="J12" s="236"/>
      <c r="K12" s="236"/>
      <c r="L12" s="237"/>
      <c r="N12" s="176"/>
    </row>
    <row r="13" spans="1:16" s="11" customFormat="1" ht="19.95" customHeight="1">
      <c r="A13" s="183"/>
      <c r="B13" s="285"/>
      <c r="C13" s="233"/>
      <c r="D13" s="233"/>
      <c r="E13" s="219"/>
      <c r="F13" s="219"/>
      <c r="G13" s="234"/>
      <c r="H13" s="235"/>
      <c r="I13" s="184"/>
      <c r="J13" s="236"/>
      <c r="K13" s="236"/>
      <c r="L13" s="237"/>
      <c r="N13" s="176"/>
    </row>
    <row r="14" spans="1:16" s="11" customFormat="1" ht="19.95" customHeight="1">
      <c r="A14" s="183"/>
      <c r="B14" s="285"/>
      <c r="C14" s="233"/>
      <c r="D14" s="233"/>
      <c r="E14" s="219"/>
      <c r="F14" s="219"/>
      <c r="G14" s="234"/>
      <c r="H14" s="235"/>
      <c r="I14" s="184"/>
      <c r="J14" s="236"/>
      <c r="K14" s="236"/>
      <c r="L14" s="237"/>
      <c r="N14" s="176"/>
    </row>
    <row r="15" spans="1:16" s="11" customFormat="1" ht="19.95" customHeight="1">
      <c r="A15" s="183"/>
      <c r="B15" s="285"/>
      <c r="C15" s="233"/>
      <c r="D15" s="233"/>
      <c r="E15" s="219"/>
      <c r="F15" s="219"/>
      <c r="G15" s="234"/>
      <c r="H15" s="235"/>
      <c r="I15" s="184"/>
      <c r="J15" s="236"/>
      <c r="K15" s="236"/>
      <c r="L15" s="237"/>
      <c r="N15" s="176"/>
    </row>
    <row r="16" spans="1:16" s="11" customFormat="1" ht="19.95" customHeight="1">
      <c r="A16" s="183"/>
      <c r="B16" s="285"/>
      <c r="C16" s="233"/>
      <c r="D16" s="233"/>
      <c r="E16" s="219"/>
      <c r="F16" s="219"/>
      <c r="G16" s="234"/>
      <c r="H16" s="235"/>
      <c r="I16" s="184"/>
      <c r="J16" s="236"/>
      <c r="K16" s="236"/>
      <c r="L16" s="237"/>
      <c r="N16" s="176"/>
    </row>
    <row r="17" spans="1:14" s="11" customFormat="1" ht="19.95" customHeight="1">
      <c r="A17" s="180"/>
      <c r="B17" s="176"/>
      <c r="C17" s="186"/>
      <c r="D17" s="32"/>
      <c r="E17" s="175"/>
      <c r="F17" s="175"/>
      <c r="G17" s="175"/>
      <c r="H17" s="175"/>
      <c r="I17" s="175"/>
      <c r="J17" s="176"/>
      <c r="K17" s="176"/>
      <c r="L17" s="176"/>
      <c r="M17" s="176"/>
      <c r="N17" s="176"/>
    </row>
    <row r="18" spans="1:14" s="11" customFormat="1" ht="19.95" customHeight="1">
      <c r="A18" s="177" t="s">
        <v>413</v>
      </c>
      <c r="B18" s="176"/>
      <c r="C18" s="186"/>
      <c r="D18" s="32"/>
      <c r="E18" s="175"/>
      <c r="F18" s="175"/>
      <c r="G18" s="175"/>
      <c r="H18" s="175"/>
      <c r="I18" s="175"/>
      <c r="J18" s="176"/>
      <c r="K18" s="176"/>
      <c r="L18" s="176"/>
      <c r="M18" s="176"/>
      <c r="N18" s="176"/>
    </row>
    <row r="19" spans="1:14" s="11" customFormat="1" ht="24">
      <c r="A19" s="181" t="s">
        <v>346</v>
      </c>
      <c r="B19" s="181" t="s">
        <v>376</v>
      </c>
      <c r="C19" s="181" t="s">
        <v>342</v>
      </c>
      <c r="D19" s="182" t="s">
        <v>347</v>
      </c>
      <c r="E19" s="182" t="s">
        <v>348</v>
      </c>
      <c r="F19" s="182" t="s">
        <v>377</v>
      </c>
      <c r="G19" s="182" t="s">
        <v>349</v>
      </c>
      <c r="H19" s="182" t="s">
        <v>378</v>
      </c>
      <c r="I19" s="182" t="s">
        <v>344</v>
      </c>
      <c r="J19" s="182" t="s">
        <v>350</v>
      </c>
      <c r="K19" s="182" t="s">
        <v>351</v>
      </c>
      <c r="L19" s="182" t="s">
        <v>345</v>
      </c>
      <c r="M19" s="182" t="s">
        <v>196</v>
      </c>
      <c r="N19" s="182" t="s">
        <v>352</v>
      </c>
    </row>
    <row r="20" spans="1:14" s="11" customFormat="1" ht="19.95" customHeight="1">
      <c r="A20" s="185"/>
      <c r="B20" s="285"/>
      <c r="C20" s="183"/>
      <c r="D20" s="183"/>
      <c r="E20" s="238"/>
      <c r="F20" s="239"/>
      <c r="G20" s="213"/>
      <c r="H20" s="239"/>
      <c r="I20" s="234"/>
      <c r="J20" s="235"/>
      <c r="K20" s="184"/>
      <c r="L20" s="236"/>
      <c r="M20" s="236"/>
      <c r="N20" s="237"/>
    </row>
    <row r="21" spans="1:14" s="11" customFormat="1" ht="19.95" customHeight="1">
      <c r="A21" s="185"/>
      <c r="B21" s="285"/>
      <c r="C21" s="183"/>
      <c r="D21" s="183"/>
      <c r="E21" s="238"/>
      <c r="F21" s="239"/>
      <c r="G21" s="213"/>
      <c r="H21" s="239"/>
      <c r="I21" s="234"/>
      <c r="J21" s="235"/>
      <c r="K21" s="184"/>
      <c r="L21" s="236"/>
      <c r="M21" s="236"/>
      <c r="N21" s="237"/>
    </row>
    <row r="22" spans="1:14" s="11" customFormat="1" ht="19.95" customHeight="1">
      <c r="A22" s="185"/>
      <c r="B22" s="285"/>
      <c r="C22" s="183"/>
      <c r="D22" s="183"/>
      <c r="E22" s="238"/>
      <c r="F22" s="239"/>
      <c r="G22" s="213"/>
      <c r="H22" s="239"/>
      <c r="I22" s="234"/>
      <c r="J22" s="235"/>
      <c r="K22" s="184"/>
      <c r="L22" s="236"/>
      <c r="M22" s="236"/>
      <c r="N22" s="237"/>
    </row>
    <row r="23" spans="1:14" s="11" customFormat="1" ht="19.95" customHeight="1">
      <c r="A23" s="185"/>
      <c r="B23" s="285"/>
      <c r="C23" s="183"/>
      <c r="D23" s="183"/>
      <c r="E23" s="238"/>
      <c r="F23" s="239"/>
      <c r="G23" s="213"/>
      <c r="H23" s="239"/>
      <c r="I23" s="234"/>
      <c r="J23" s="235"/>
      <c r="K23" s="184"/>
      <c r="L23" s="236"/>
      <c r="M23" s="236"/>
      <c r="N23" s="237"/>
    </row>
    <row r="24" spans="1:14" ht="19.95" customHeight="1">
      <c r="A24" s="38" t="s">
        <v>353</v>
      </c>
      <c r="B24" s="38"/>
      <c r="C24" s="38"/>
      <c r="D24" s="187"/>
      <c r="E24" s="187"/>
      <c r="F24" s="187"/>
      <c r="G24" s="187"/>
      <c r="H24" s="187"/>
      <c r="I24" s="187"/>
      <c r="J24" s="176"/>
      <c r="K24" s="176"/>
      <c r="L24" s="176"/>
      <c r="M24" s="176"/>
      <c r="N24" s="176"/>
    </row>
    <row r="25" spans="1:14" ht="19.95" customHeight="1">
      <c r="A25" s="39"/>
      <c r="B25" s="188"/>
      <c r="C25" s="39"/>
      <c r="D25" s="2"/>
      <c r="E25" s="187"/>
      <c r="F25" s="187"/>
      <c r="G25" s="187"/>
      <c r="H25" s="187"/>
      <c r="I25" s="187"/>
      <c r="J25" s="186"/>
      <c r="K25" s="186"/>
      <c r="L25" s="186"/>
      <c r="M25" s="186"/>
      <c r="N25" s="186"/>
    </row>
    <row r="26" spans="1:14" ht="19.95" customHeight="1">
      <c r="A26" s="39"/>
      <c r="B26" s="188"/>
      <c r="C26" s="39"/>
      <c r="D26" s="2"/>
      <c r="E26" s="189"/>
      <c r="F26" s="189"/>
      <c r="G26" s="189"/>
      <c r="H26" s="189"/>
      <c r="I26" s="189"/>
      <c r="J26" s="190"/>
      <c r="K26" s="190"/>
      <c r="L26" s="190"/>
      <c r="M26" s="190"/>
      <c r="N26" s="190"/>
    </row>
    <row r="27" spans="1:14" ht="19.95" customHeight="1">
      <c r="A27" s="38" t="s">
        <v>354</v>
      </c>
      <c r="B27" s="38"/>
      <c r="C27" s="38"/>
      <c r="D27" s="191"/>
      <c r="E27" s="189"/>
      <c r="F27" s="189"/>
      <c r="G27" s="189"/>
      <c r="H27" s="189"/>
      <c r="I27" s="189"/>
      <c r="J27" s="190"/>
      <c r="K27" s="190"/>
      <c r="L27" s="190"/>
      <c r="M27" s="190"/>
      <c r="N27" s="190"/>
    </row>
    <row r="28" spans="1:14" ht="19.95" customHeight="1">
      <c r="A28" s="39"/>
      <c r="B28" s="39"/>
      <c r="C28" s="39"/>
      <c r="D28" s="191"/>
      <c r="E28" s="189"/>
      <c r="F28" s="189"/>
      <c r="G28" s="189"/>
      <c r="H28" s="189"/>
      <c r="I28" s="189"/>
      <c r="J28" s="190"/>
      <c r="K28" s="190"/>
      <c r="L28" s="190"/>
      <c r="M28" s="190"/>
      <c r="N28" s="190"/>
    </row>
    <row r="29" spans="1:14" ht="19.95" customHeight="1">
      <c r="A29" s="39"/>
      <c r="B29" s="39"/>
      <c r="C29" s="39"/>
      <c r="D29" s="191"/>
      <c r="E29" s="189"/>
      <c r="F29" s="189"/>
      <c r="G29" s="189"/>
      <c r="H29" s="189"/>
      <c r="I29" s="189"/>
      <c r="J29" s="190"/>
      <c r="K29" s="190"/>
      <c r="L29" s="190"/>
      <c r="M29" s="190"/>
      <c r="N29" s="190"/>
    </row>
    <row r="30" spans="1:14" ht="19.95" customHeight="1">
      <c r="A30" s="38"/>
      <c r="B30" s="38"/>
      <c r="C30" s="38"/>
      <c r="D30" s="192"/>
      <c r="E30" s="192"/>
      <c r="F30" s="192"/>
      <c r="G30" s="192"/>
      <c r="H30" s="192"/>
      <c r="I30" s="192"/>
      <c r="J30" s="193"/>
      <c r="K30" s="193"/>
      <c r="L30" s="193"/>
      <c r="M30" s="193"/>
      <c r="N30" s="193"/>
    </row>
    <row r="31" spans="1:14" ht="19.95" customHeight="1">
      <c r="A31" s="193"/>
      <c r="B31" s="193"/>
      <c r="C31" s="193"/>
      <c r="D31" s="192"/>
      <c r="E31" s="192"/>
      <c r="F31" s="192"/>
      <c r="G31" s="192"/>
      <c r="H31" s="192"/>
      <c r="I31" s="192"/>
      <c r="J31" s="193"/>
      <c r="K31" s="193"/>
      <c r="L31" s="193"/>
      <c r="M31" s="193"/>
      <c r="N31" s="193"/>
    </row>
    <row r="32" spans="1:14" ht="19.95" customHeight="1">
      <c r="A32" s="193"/>
      <c r="B32" s="193"/>
      <c r="C32" s="193"/>
      <c r="D32" s="192"/>
      <c r="E32" s="192"/>
      <c r="F32" s="192"/>
      <c r="G32" s="192"/>
      <c r="H32" s="192"/>
      <c r="I32" s="192"/>
      <c r="J32" s="193"/>
      <c r="K32" s="193"/>
      <c r="L32" s="193"/>
      <c r="M32" s="193"/>
      <c r="N32" s="193"/>
    </row>
    <row r="33" spans="1:14" ht="19.95" customHeight="1">
      <c r="A33" s="194" t="s">
        <v>355</v>
      </c>
      <c r="B33" s="193"/>
      <c r="C33" s="193"/>
      <c r="D33" s="192"/>
      <c r="E33" s="192"/>
      <c r="F33" s="192"/>
      <c r="G33" s="192"/>
      <c r="H33" s="192"/>
      <c r="I33" s="192"/>
      <c r="J33" s="193"/>
      <c r="K33" s="193"/>
      <c r="L33" s="193"/>
      <c r="M33" s="193"/>
      <c r="N33" s="193"/>
    </row>
    <row r="34" spans="1:14" ht="19.95" customHeight="1">
      <c r="A34" s="194" t="s">
        <v>356</v>
      </c>
      <c r="B34" s="193"/>
      <c r="C34" s="193"/>
      <c r="D34" s="192"/>
      <c r="E34" s="192"/>
      <c r="F34" s="192"/>
      <c r="G34" s="192"/>
      <c r="H34" s="192"/>
      <c r="I34" s="192"/>
      <c r="J34" s="193"/>
      <c r="K34" s="193"/>
      <c r="L34" s="193"/>
      <c r="M34" s="193"/>
      <c r="N34" s="193"/>
    </row>
    <row r="35" spans="1:14" ht="19.95" customHeight="1">
      <c r="A35" s="121" t="s">
        <v>357</v>
      </c>
      <c r="B35" s="193"/>
      <c r="C35" s="193"/>
      <c r="D35" s="192"/>
      <c r="E35" s="192"/>
      <c r="F35" s="192"/>
      <c r="G35" s="192"/>
      <c r="H35" s="192"/>
      <c r="I35" s="192"/>
      <c r="J35" s="193"/>
      <c r="K35" s="193"/>
      <c r="L35" s="193"/>
      <c r="M35" s="193"/>
      <c r="N35" s="193"/>
    </row>
    <row r="36" spans="1:14" ht="19.95" customHeight="1">
      <c r="A36" s="121" t="s">
        <v>358</v>
      </c>
      <c r="B36" s="193"/>
      <c r="C36" s="193"/>
      <c r="D36" s="192"/>
      <c r="E36" s="192"/>
      <c r="F36" s="192"/>
      <c r="G36" s="192"/>
      <c r="H36" s="192"/>
      <c r="I36" s="192"/>
      <c r="J36" s="193"/>
      <c r="K36" s="193"/>
      <c r="L36" s="193"/>
      <c r="M36" s="193"/>
      <c r="N36" s="193"/>
    </row>
    <row r="37" spans="1:14" ht="19.95" customHeight="1">
      <c r="A37" s="121" t="s">
        <v>359</v>
      </c>
      <c r="B37" s="193"/>
      <c r="C37" s="193"/>
      <c r="D37" s="192"/>
      <c r="E37" s="192"/>
      <c r="F37" s="192"/>
      <c r="G37" s="192"/>
      <c r="H37" s="192"/>
      <c r="I37" s="192"/>
      <c r="J37" s="193"/>
      <c r="K37" s="193"/>
      <c r="L37" s="193"/>
      <c r="M37" s="193"/>
      <c r="N37" s="193"/>
    </row>
    <row r="38" spans="1:14" ht="19.95" customHeight="1">
      <c r="A38" s="121" t="s">
        <v>74</v>
      </c>
      <c r="B38" s="193"/>
      <c r="C38" s="193"/>
      <c r="D38" s="192"/>
      <c r="E38" s="192"/>
      <c r="F38" s="192"/>
      <c r="G38" s="192"/>
      <c r="H38" s="192"/>
      <c r="I38" s="192"/>
      <c r="J38" s="193"/>
      <c r="K38" s="193"/>
      <c r="L38" s="193"/>
      <c r="M38" s="193"/>
      <c r="N38" s="193"/>
    </row>
    <row r="39" spans="1:14" ht="19.95" customHeight="1">
      <c r="A39" s="121" t="s">
        <v>360</v>
      </c>
      <c r="B39" s="193"/>
      <c r="C39" s="193"/>
      <c r="D39" s="192"/>
      <c r="E39" s="192"/>
      <c r="F39" s="192"/>
      <c r="G39" s="192"/>
      <c r="H39" s="192"/>
      <c r="I39" s="192"/>
      <c r="J39" s="193"/>
      <c r="K39" s="193"/>
      <c r="L39" s="193"/>
      <c r="M39" s="193"/>
      <c r="N39" s="193"/>
    </row>
    <row r="40" spans="1:14" ht="19.95" customHeight="1">
      <c r="A40" s="195" t="s">
        <v>361</v>
      </c>
      <c r="B40" s="193"/>
      <c r="C40" s="193"/>
      <c r="D40" s="192"/>
      <c r="E40" s="192"/>
      <c r="F40" s="192"/>
      <c r="G40" s="192"/>
      <c r="H40" s="192"/>
      <c r="I40" s="192"/>
      <c r="J40" s="193"/>
      <c r="K40" s="193"/>
      <c r="L40" s="193"/>
      <c r="M40" s="193"/>
      <c r="N40" s="193"/>
    </row>
    <row r="41" spans="1:14" ht="19.95" customHeight="1">
      <c r="A41" s="121" t="s">
        <v>362</v>
      </c>
      <c r="B41" s="193"/>
      <c r="C41" s="193"/>
      <c r="D41" s="192"/>
      <c r="E41" s="192"/>
      <c r="F41" s="192"/>
      <c r="G41" s="192"/>
      <c r="H41" s="192"/>
      <c r="I41" s="192"/>
      <c r="J41" s="193"/>
      <c r="K41" s="193"/>
      <c r="L41" s="193"/>
      <c r="M41" s="193"/>
      <c r="N41" s="193"/>
    </row>
    <row r="42" spans="1:14" ht="19.95" customHeight="1">
      <c r="A42" s="121" t="s">
        <v>363</v>
      </c>
      <c r="B42" s="193"/>
      <c r="C42" s="193"/>
      <c r="D42" s="192"/>
      <c r="E42" s="192"/>
      <c r="F42" s="192"/>
      <c r="G42" s="192"/>
      <c r="H42" s="192"/>
      <c r="I42" s="192"/>
      <c r="J42" s="193"/>
      <c r="K42" s="193"/>
      <c r="L42" s="193"/>
      <c r="M42" s="193"/>
      <c r="N42" s="193"/>
    </row>
    <row r="43" spans="1:14" ht="19.95" customHeight="1">
      <c r="A43" s="193"/>
      <c r="B43" s="193"/>
      <c r="C43" s="193"/>
      <c r="D43" s="192"/>
      <c r="E43" s="192"/>
      <c r="F43" s="192"/>
      <c r="G43" s="192"/>
      <c r="H43" s="192"/>
      <c r="I43" s="192"/>
      <c r="J43" s="193"/>
      <c r="K43" s="193"/>
      <c r="L43" s="193"/>
      <c r="M43" s="193"/>
      <c r="N43" s="193"/>
    </row>
    <row r="44" spans="1:14" ht="19.95" customHeight="1">
      <c r="A44" s="193"/>
      <c r="B44" s="193"/>
      <c r="C44" s="193"/>
      <c r="D44" s="192"/>
      <c r="E44" s="192"/>
      <c r="F44" s="192"/>
      <c r="G44" s="192"/>
      <c r="H44" s="192"/>
      <c r="I44" s="192"/>
      <c r="J44" s="193"/>
      <c r="K44" s="193"/>
      <c r="L44" s="193"/>
      <c r="M44" s="193"/>
      <c r="N44" s="193"/>
    </row>
    <row r="45" spans="1:14" ht="19.95" customHeight="1">
      <c r="A45" s="193"/>
      <c r="B45" s="193"/>
      <c r="C45" s="193"/>
      <c r="D45" s="192"/>
      <c r="E45" s="192"/>
      <c r="F45" s="192"/>
      <c r="G45" s="192"/>
      <c r="H45" s="192"/>
      <c r="I45" s="192"/>
      <c r="J45" s="193"/>
      <c r="K45" s="193"/>
      <c r="L45" s="193"/>
      <c r="M45" s="193"/>
      <c r="N45" s="193"/>
    </row>
    <row r="46" spans="1:14" ht="19.95" customHeight="1">
      <c r="A46" s="193"/>
      <c r="B46" s="193"/>
      <c r="C46" s="193"/>
      <c r="D46" s="192"/>
      <c r="E46" s="192"/>
      <c r="F46" s="192"/>
      <c r="G46" s="192"/>
      <c r="H46" s="192"/>
      <c r="I46" s="192"/>
      <c r="J46" s="193"/>
      <c r="K46" s="193"/>
      <c r="L46" s="193"/>
      <c r="M46" s="193"/>
      <c r="N46" s="193"/>
    </row>
    <row r="47" spans="1:14" ht="19.95" customHeight="1">
      <c r="A47" s="193"/>
      <c r="B47" s="193"/>
      <c r="C47" s="193"/>
      <c r="D47" s="192"/>
      <c r="E47" s="192"/>
      <c r="F47" s="192"/>
      <c r="G47" s="192"/>
      <c r="H47" s="192"/>
      <c r="I47" s="192"/>
      <c r="J47" s="193"/>
      <c r="K47" s="193"/>
      <c r="L47" s="193"/>
      <c r="M47" s="193"/>
      <c r="N47" s="193"/>
    </row>
    <row r="48" spans="1:14" ht="19.95" customHeight="1">
      <c r="A48" s="193"/>
      <c r="B48" s="193"/>
      <c r="C48" s="193"/>
      <c r="D48" s="192"/>
      <c r="E48" s="192"/>
      <c r="F48" s="192"/>
      <c r="G48" s="192"/>
      <c r="H48" s="192"/>
      <c r="I48" s="192"/>
      <c r="J48" s="193"/>
      <c r="K48" s="193"/>
      <c r="L48" s="193"/>
      <c r="M48" s="193"/>
      <c r="N48" s="193"/>
    </row>
    <row r="49" spans="1:14" ht="19.95" customHeight="1">
      <c r="A49" s="193"/>
      <c r="B49" s="193"/>
      <c r="C49" s="193"/>
      <c r="D49" s="192"/>
      <c r="E49" s="192"/>
      <c r="F49" s="192"/>
      <c r="G49" s="192"/>
      <c r="H49" s="192"/>
      <c r="I49" s="192"/>
      <c r="J49" s="193"/>
      <c r="K49" s="193"/>
      <c r="L49" s="193"/>
      <c r="M49" s="193"/>
      <c r="N49" s="193"/>
    </row>
    <row r="50" spans="1:14" ht="19.95" customHeight="1">
      <c r="A50" s="193"/>
      <c r="B50" s="193"/>
      <c r="C50" s="193"/>
      <c r="D50" s="192"/>
      <c r="E50" s="192"/>
      <c r="F50" s="192"/>
      <c r="G50" s="192"/>
      <c r="H50" s="192"/>
      <c r="I50" s="192"/>
      <c r="J50" s="193"/>
      <c r="K50" s="193"/>
      <c r="L50" s="193"/>
      <c r="M50" s="193"/>
      <c r="N50" s="193"/>
    </row>
    <row r="51" spans="1:14" ht="19.95" customHeight="1">
      <c r="A51" s="193"/>
      <c r="B51" s="193"/>
      <c r="C51" s="193"/>
      <c r="D51" s="192"/>
      <c r="E51" s="192"/>
      <c r="F51" s="192"/>
      <c r="G51" s="192"/>
      <c r="H51" s="192"/>
      <c r="I51" s="192"/>
      <c r="J51" s="193"/>
      <c r="K51" s="193"/>
      <c r="L51" s="193"/>
      <c r="M51" s="193"/>
      <c r="N51" s="193"/>
    </row>
    <row r="52" spans="1:14" ht="19.95" customHeight="1">
      <c r="A52" s="193"/>
      <c r="B52" s="193"/>
      <c r="C52" s="193"/>
      <c r="D52" s="192"/>
      <c r="E52" s="192"/>
      <c r="F52" s="192"/>
      <c r="G52" s="192"/>
      <c r="H52" s="192"/>
      <c r="I52" s="192"/>
      <c r="J52" s="193"/>
      <c r="K52" s="193"/>
      <c r="L52" s="193"/>
      <c r="M52" s="193"/>
      <c r="N52" s="193"/>
    </row>
    <row r="53" spans="1:14" ht="19.95" customHeight="1">
      <c r="A53" s="193"/>
      <c r="B53" s="193"/>
      <c r="C53" s="193"/>
      <c r="D53" s="192"/>
      <c r="E53" s="192"/>
      <c r="F53" s="192"/>
      <c r="G53" s="192"/>
      <c r="H53" s="192"/>
      <c r="I53" s="192"/>
      <c r="J53" s="193"/>
      <c r="K53" s="193"/>
      <c r="L53" s="193"/>
      <c r="M53" s="193"/>
      <c r="N53" s="193"/>
    </row>
    <row r="54" spans="1:14" ht="19.95" customHeight="1">
      <c r="A54" s="193"/>
      <c r="B54" s="193"/>
      <c r="C54" s="193"/>
      <c r="D54" s="192"/>
      <c r="E54" s="192"/>
      <c r="F54" s="192"/>
      <c r="G54" s="192"/>
      <c r="H54" s="192"/>
      <c r="I54" s="192"/>
      <c r="J54" s="193"/>
      <c r="K54" s="193"/>
      <c r="L54" s="193"/>
      <c r="M54" s="193"/>
      <c r="N54" s="193"/>
    </row>
    <row r="55" spans="1:14" ht="19.95" customHeight="1">
      <c r="A55" s="193"/>
      <c r="B55" s="193"/>
      <c r="C55" s="193"/>
      <c r="D55" s="192"/>
      <c r="E55" s="192"/>
      <c r="F55" s="192"/>
      <c r="G55" s="192"/>
      <c r="H55" s="192"/>
      <c r="I55" s="192"/>
      <c r="J55" s="193"/>
      <c r="K55" s="193"/>
      <c r="L55" s="193"/>
      <c r="M55" s="193"/>
      <c r="N55" s="193"/>
    </row>
    <row r="56" spans="1:14" ht="19.95" customHeight="1">
      <c r="A56" s="193"/>
      <c r="B56" s="193"/>
      <c r="C56" s="193"/>
      <c r="D56" s="192"/>
      <c r="E56" s="192"/>
      <c r="F56" s="192"/>
      <c r="G56" s="192"/>
      <c r="H56" s="192"/>
      <c r="I56" s="192"/>
      <c r="J56" s="193"/>
      <c r="K56" s="193"/>
      <c r="L56" s="193"/>
      <c r="M56" s="193"/>
      <c r="N56" s="193"/>
    </row>
    <row r="57" spans="1:14" ht="19.95" customHeight="1">
      <c r="A57" s="193"/>
      <c r="B57" s="193"/>
      <c r="C57" s="193"/>
      <c r="D57" s="192"/>
      <c r="E57" s="192"/>
      <c r="F57" s="192"/>
      <c r="G57" s="192"/>
      <c r="H57" s="192"/>
      <c r="I57" s="192"/>
      <c r="J57" s="193"/>
      <c r="K57" s="193"/>
      <c r="L57" s="193"/>
      <c r="M57" s="193"/>
      <c r="N57" s="193"/>
    </row>
    <row r="58" spans="1:14" ht="19.95" customHeight="1">
      <c r="A58" s="193"/>
      <c r="B58" s="193"/>
      <c r="C58" s="193"/>
      <c r="D58" s="192"/>
      <c r="E58" s="192"/>
      <c r="F58" s="192"/>
      <c r="G58" s="192"/>
      <c r="H58" s="192"/>
      <c r="I58" s="192"/>
      <c r="J58" s="193"/>
      <c r="K58" s="193"/>
      <c r="L58" s="193"/>
      <c r="M58" s="193"/>
      <c r="N58" s="193"/>
    </row>
    <row r="59" spans="1:14" ht="19.95" customHeight="1">
      <c r="A59" s="193"/>
      <c r="B59" s="193"/>
      <c r="C59" s="193"/>
      <c r="D59" s="192"/>
      <c r="E59" s="192"/>
      <c r="F59" s="192"/>
      <c r="G59" s="192"/>
      <c r="H59" s="192"/>
      <c r="I59" s="192"/>
      <c r="J59" s="193"/>
      <c r="K59" s="193"/>
      <c r="L59" s="193"/>
      <c r="M59" s="193"/>
      <c r="N59" s="193"/>
    </row>
    <row r="60" spans="1:14" ht="19.95" customHeight="1">
      <c r="A60" s="193"/>
      <c r="B60" s="193"/>
      <c r="C60" s="193"/>
      <c r="D60" s="192"/>
      <c r="E60" s="192"/>
      <c r="F60" s="192"/>
      <c r="G60" s="192"/>
      <c r="H60" s="192"/>
      <c r="I60" s="192"/>
      <c r="J60" s="193"/>
      <c r="K60" s="193"/>
      <c r="L60" s="193"/>
      <c r="M60" s="193"/>
      <c r="N60" s="193"/>
    </row>
    <row r="61" spans="1:14" ht="19.95" customHeight="1">
      <c r="A61" s="193"/>
      <c r="B61" s="193"/>
      <c r="C61" s="193"/>
      <c r="D61" s="192"/>
      <c r="E61" s="192"/>
      <c r="F61" s="192"/>
      <c r="G61" s="192"/>
      <c r="H61" s="192"/>
      <c r="I61" s="192"/>
      <c r="J61" s="193"/>
      <c r="K61" s="193"/>
      <c r="L61" s="193"/>
      <c r="M61" s="193"/>
      <c r="N61" s="193"/>
    </row>
    <row r="62" spans="1:14" ht="19.95" customHeight="1">
      <c r="A62" s="193"/>
      <c r="B62" s="193"/>
      <c r="C62" s="193"/>
      <c r="D62" s="192"/>
      <c r="E62" s="192"/>
      <c r="F62" s="192"/>
      <c r="G62" s="192"/>
      <c r="H62" s="192"/>
      <c r="I62" s="192"/>
      <c r="J62" s="193"/>
      <c r="K62" s="193"/>
      <c r="L62" s="193"/>
      <c r="M62" s="193"/>
      <c r="N62" s="193"/>
    </row>
    <row r="63" spans="1:14" ht="19.95" customHeight="1">
      <c r="A63" s="193"/>
      <c r="B63" s="193"/>
      <c r="C63" s="193"/>
      <c r="D63" s="192"/>
      <c r="E63" s="192"/>
      <c r="F63" s="192"/>
      <c r="G63" s="192"/>
      <c r="H63" s="192"/>
      <c r="I63" s="192"/>
      <c r="J63" s="193"/>
      <c r="K63" s="193"/>
      <c r="L63" s="193"/>
      <c r="M63" s="193"/>
      <c r="N63" s="193"/>
    </row>
    <row r="64" spans="1:14" ht="19.95" customHeight="1">
      <c r="A64" s="193"/>
      <c r="B64" s="193"/>
      <c r="C64" s="193"/>
      <c r="D64" s="192"/>
      <c r="E64" s="192"/>
      <c r="F64" s="192"/>
      <c r="G64" s="192"/>
      <c r="H64" s="192"/>
      <c r="I64" s="192"/>
      <c r="J64" s="193"/>
      <c r="K64" s="193"/>
      <c r="L64" s="193"/>
      <c r="M64" s="193"/>
      <c r="N64" s="193"/>
    </row>
    <row r="65" spans="1:14" ht="19.95" customHeight="1">
      <c r="A65" s="193"/>
      <c r="B65" s="193"/>
      <c r="C65" s="193"/>
      <c r="D65" s="192"/>
      <c r="E65" s="192"/>
      <c r="F65" s="192"/>
      <c r="G65" s="192"/>
      <c r="H65" s="192"/>
      <c r="I65" s="192"/>
      <c r="J65" s="193"/>
      <c r="K65" s="193"/>
      <c r="L65" s="193"/>
      <c r="M65" s="193"/>
      <c r="N65" s="193"/>
    </row>
    <row r="66" spans="1:14" ht="19.95" customHeight="1">
      <c r="A66" s="193"/>
      <c r="B66" s="193"/>
      <c r="C66" s="193"/>
      <c r="D66" s="192"/>
      <c r="E66" s="192"/>
      <c r="F66" s="192"/>
      <c r="G66" s="192"/>
      <c r="H66" s="192"/>
      <c r="I66" s="192"/>
      <c r="J66" s="193"/>
      <c r="K66" s="193"/>
      <c r="L66" s="193"/>
      <c r="M66" s="193"/>
      <c r="N66" s="193"/>
    </row>
    <row r="67" spans="1:14" ht="19.95" customHeight="1">
      <c r="A67" s="193"/>
      <c r="B67" s="193"/>
      <c r="C67" s="193"/>
      <c r="D67" s="192"/>
      <c r="E67" s="192"/>
      <c r="F67" s="192"/>
      <c r="G67" s="192"/>
      <c r="H67" s="192"/>
      <c r="I67" s="192"/>
      <c r="J67" s="193"/>
      <c r="K67" s="193"/>
      <c r="L67" s="193"/>
      <c r="M67" s="193"/>
      <c r="N67" s="193"/>
    </row>
    <row r="68" spans="1:14" ht="19.95" customHeight="1">
      <c r="A68" s="193"/>
      <c r="B68" s="193"/>
      <c r="C68" s="193"/>
      <c r="D68" s="192"/>
      <c r="E68" s="192"/>
      <c r="F68" s="192"/>
      <c r="G68" s="192"/>
      <c r="H68" s="192"/>
      <c r="I68" s="192"/>
      <c r="J68" s="193"/>
      <c r="K68" s="193"/>
      <c r="L68" s="193"/>
      <c r="M68" s="193"/>
      <c r="N68" s="193"/>
    </row>
    <row r="69" spans="1:14" ht="19.95" customHeight="1">
      <c r="A69" s="193"/>
      <c r="B69" s="193"/>
      <c r="C69" s="193"/>
      <c r="D69" s="192"/>
      <c r="E69" s="192"/>
      <c r="F69" s="192"/>
      <c r="G69" s="192"/>
      <c r="H69" s="192"/>
      <c r="I69" s="192"/>
      <c r="J69" s="193"/>
      <c r="K69" s="193"/>
      <c r="L69" s="193"/>
      <c r="M69" s="193"/>
      <c r="N69" s="193"/>
    </row>
    <row r="70" spans="1:14" ht="19.95" customHeight="1">
      <c r="A70" s="193"/>
      <c r="B70" s="193"/>
      <c r="C70" s="193"/>
      <c r="D70" s="192"/>
      <c r="E70" s="192"/>
      <c r="F70" s="192"/>
      <c r="G70" s="192"/>
      <c r="H70" s="192"/>
      <c r="I70" s="192"/>
      <c r="J70" s="193"/>
      <c r="K70" s="193"/>
      <c r="L70" s="193"/>
      <c r="M70" s="193"/>
      <c r="N70" s="193"/>
    </row>
    <row r="71" spans="1:14" ht="19.95" customHeight="1">
      <c r="A71" s="193"/>
      <c r="B71" s="193"/>
      <c r="C71" s="193"/>
      <c r="D71" s="192"/>
      <c r="E71" s="192"/>
      <c r="F71" s="192"/>
      <c r="G71" s="192"/>
      <c r="H71" s="192"/>
      <c r="I71" s="192"/>
      <c r="J71" s="193"/>
      <c r="K71" s="193"/>
      <c r="L71" s="193"/>
      <c r="M71" s="193"/>
      <c r="N71" s="193"/>
    </row>
    <row r="72" spans="1:14" ht="19.95" customHeight="1">
      <c r="A72" s="193"/>
      <c r="B72" s="193"/>
      <c r="C72" s="193"/>
      <c r="D72" s="192"/>
      <c r="E72" s="192"/>
      <c r="F72" s="192"/>
      <c r="G72" s="192"/>
      <c r="H72" s="192"/>
      <c r="I72" s="192"/>
      <c r="J72" s="193"/>
      <c r="K72" s="193"/>
      <c r="L72" s="193"/>
      <c r="M72" s="193"/>
      <c r="N72" s="193"/>
    </row>
    <row r="73" spans="1:14" ht="19.95" customHeight="1">
      <c r="A73" s="193"/>
      <c r="B73" s="193"/>
      <c r="C73" s="193"/>
      <c r="D73" s="192"/>
      <c r="E73" s="192"/>
      <c r="F73" s="192"/>
      <c r="G73" s="192"/>
      <c r="H73" s="192"/>
      <c r="I73" s="192"/>
      <c r="J73" s="193"/>
      <c r="K73" s="193"/>
      <c r="L73" s="193"/>
      <c r="M73" s="193"/>
      <c r="N73" s="193"/>
    </row>
    <row r="74" spans="1:14" ht="19.95" customHeight="1">
      <c r="A74" s="193"/>
      <c r="B74" s="193"/>
      <c r="C74" s="193"/>
      <c r="D74" s="192"/>
      <c r="E74" s="192"/>
      <c r="F74" s="192"/>
      <c r="G74" s="192"/>
      <c r="H74" s="192"/>
      <c r="I74" s="192"/>
      <c r="J74" s="193"/>
      <c r="K74" s="193"/>
      <c r="L74" s="193"/>
      <c r="M74" s="193"/>
      <c r="N74" s="193"/>
    </row>
    <row r="75" spans="1:14" ht="19.95" customHeight="1">
      <c r="A75" s="193"/>
      <c r="B75" s="193"/>
      <c r="C75" s="193"/>
      <c r="D75" s="192"/>
      <c r="E75" s="192"/>
      <c r="F75" s="192"/>
      <c r="G75" s="192"/>
      <c r="H75" s="192"/>
      <c r="I75" s="192"/>
      <c r="J75" s="193"/>
      <c r="K75" s="193"/>
      <c r="L75" s="193"/>
      <c r="M75" s="193"/>
      <c r="N75" s="193"/>
    </row>
    <row r="76" spans="1:14" ht="19.95" customHeight="1">
      <c r="A76" s="193"/>
      <c r="B76" s="193"/>
      <c r="C76" s="193"/>
      <c r="D76" s="192"/>
      <c r="E76" s="192"/>
      <c r="F76" s="192"/>
      <c r="G76" s="192"/>
      <c r="H76" s="192"/>
      <c r="I76" s="192"/>
      <c r="J76" s="193"/>
      <c r="K76" s="193"/>
      <c r="L76" s="193"/>
      <c r="M76" s="193"/>
      <c r="N76" s="193"/>
    </row>
    <row r="77" spans="1:14" ht="19.95" customHeight="1">
      <c r="A77" s="193"/>
      <c r="B77" s="193"/>
      <c r="C77" s="193"/>
      <c r="D77" s="192"/>
      <c r="E77" s="192"/>
      <c r="F77" s="192"/>
      <c r="G77" s="192"/>
      <c r="H77" s="192"/>
      <c r="I77" s="192"/>
      <c r="J77" s="193"/>
      <c r="K77" s="193"/>
      <c r="L77" s="193"/>
      <c r="M77" s="193"/>
      <c r="N77" s="193"/>
    </row>
    <row r="78" spans="1:14" ht="19.95" customHeight="1">
      <c r="A78" s="193"/>
      <c r="B78" s="193"/>
      <c r="C78" s="193"/>
      <c r="D78" s="192"/>
      <c r="E78" s="192"/>
      <c r="F78" s="192"/>
      <c r="G78" s="192"/>
      <c r="H78" s="192"/>
      <c r="I78" s="192"/>
      <c r="J78" s="193"/>
      <c r="K78" s="193"/>
      <c r="L78" s="193"/>
      <c r="M78" s="193"/>
      <c r="N78" s="193"/>
    </row>
    <row r="79" spans="1:14" ht="19.95" customHeight="1">
      <c r="A79" s="193"/>
      <c r="B79" s="193"/>
      <c r="C79" s="193"/>
      <c r="D79" s="192"/>
      <c r="E79" s="192"/>
      <c r="F79" s="192"/>
      <c r="G79" s="192"/>
      <c r="H79" s="192"/>
      <c r="I79" s="192"/>
      <c r="J79" s="193"/>
      <c r="K79" s="193"/>
      <c r="L79" s="193"/>
      <c r="M79" s="193"/>
      <c r="N79" s="193"/>
    </row>
    <row r="80" spans="1:14" ht="19.95" customHeight="1">
      <c r="A80" s="193"/>
      <c r="B80" s="193"/>
      <c r="C80" s="193"/>
      <c r="D80" s="192"/>
      <c r="E80" s="192"/>
      <c r="F80" s="192"/>
      <c r="G80" s="192"/>
      <c r="H80" s="192"/>
      <c r="I80" s="192"/>
      <c r="J80" s="193"/>
      <c r="K80" s="193"/>
      <c r="L80" s="193"/>
      <c r="M80" s="193"/>
      <c r="N80" s="193"/>
    </row>
    <row r="81" spans="1:14" ht="19.95" customHeight="1">
      <c r="A81" s="193"/>
      <c r="B81" s="193"/>
      <c r="C81" s="193"/>
      <c r="D81" s="192"/>
      <c r="E81" s="192"/>
      <c r="F81" s="192"/>
      <c r="G81" s="192"/>
      <c r="H81" s="192"/>
      <c r="I81" s="192"/>
      <c r="J81" s="193"/>
      <c r="K81" s="193"/>
      <c r="L81" s="193"/>
      <c r="M81" s="193"/>
      <c r="N81" s="193"/>
    </row>
    <row r="82" spans="1:14" ht="19.95" customHeight="1">
      <c r="A82" s="193"/>
      <c r="B82" s="193"/>
      <c r="C82" s="193"/>
      <c r="D82" s="192"/>
      <c r="E82" s="192"/>
      <c r="F82" s="192"/>
      <c r="G82" s="192"/>
      <c r="H82" s="192"/>
      <c r="I82" s="192"/>
      <c r="J82" s="193"/>
      <c r="K82" s="193"/>
      <c r="L82" s="193"/>
      <c r="M82" s="193"/>
      <c r="N82" s="193"/>
    </row>
    <row r="83" spans="1:14" ht="19.95" customHeight="1">
      <c r="A83" s="193"/>
      <c r="B83" s="193"/>
      <c r="C83" s="193"/>
      <c r="D83" s="192"/>
      <c r="E83" s="192"/>
      <c r="F83" s="192"/>
      <c r="G83" s="192"/>
      <c r="H83" s="192"/>
      <c r="I83" s="192"/>
      <c r="J83" s="193"/>
      <c r="K83" s="193"/>
      <c r="L83" s="193"/>
      <c r="M83" s="193"/>
      <c r="N83" s="193"/>
    </row>
    <row r="84" spans="1:14" ht="19.95" customHeight="1">
      <c r="A84" s="193"/>
      <c r="B84" s="193"/>
      <c r="C84" s="193"/>
      <c r="D84" s="192"/>
      <c r="E84" s="192"/>
      <c r="F84" s="192"/>
      <c r="G84" s="192"/>
      <c r="H84" s="192"/>
      <c r="I84" s="192"/>
      <c r="J84" s="193"/>
      <c r="K84" s="193"/>
      <c r="L84" s="193"/>
      <c r="M84" s="193"/>
      <c r="N84" s="193"/>
    </row>
    <row r="85" spans="1:14" ht="19.95" customHeight="1">
      <c r="A85" s="193"/>
      <c r="B85" s="193"/>
      <c r="C85" s="193"/>
      <c r="D85" s="192"/>
      <c r="E85" s="192"/>
      <c r="F85" s="192"/>
      <c r="G85" s="192"/>
      <c r="H85" s="192"/>
      <c r="I85" s="192"/>
      <c r="J85" s="193"/>
      <c r="K85" s="193"/>
      <c r="L85" s="193"/>
      <c r="M85" s="193"/>
      <c r="N85" s="193"/>
    </row>
    <row r="86" spans="1:14" ht="19.95" customHeight="1">
      <c r="A86" s="193"/>
      <c r="B86" s="193"/>
      <c r="C86" s="193"/>
      <c r="D86" s="192"/>
      <c r="E86" s="192"/>
      <c r="F86" s="192"/>
      <c r="G86" s="192"/>
      <c r="H86" s="192"/>
      <c r="I86" s="192"/>
      <c r="J86" s="193"/>
      <c r="K86" s="193"/>
      <c r="L86" s="193"/>
      <c r="M86" s="193"/>
      <c r="N86" s="193"/>
    </row>
    <row r="87" spans="1:14" ht="19.95" customHeight="1">
      <c r="A87" s="193"/>
      <c r="B87" s="193"/>
      <c r="C87" s="193"/>
      <c r="D87" s="192"/>
      <c r="E87" s="192"/>
      <c r="F87" s="192"/>
      <c r="G87" s="192"/>
      <c r="H87" s="192"/>
      <c r="I87" s="192"/>
      <c r="J87" s="193"/>
      <c r="K87" s="193"/>
      <c r="L87" s="193"/>
      <c r="M87" s="193"/>
      <c r="N87" s="193"/>
    </row>
    <row r="88" spans="1:14" ht="19.95" customHeight="1">
      <c r="A88" s="193"/>
      <c r="B88" s="193"/>
      <c r="C88" s="193"/>
      <c r="D88" s="192"/>
      <c r="E88" s="192"/>
      <c r="F88" s="192"/>
      <c r="G88" s="192"/>
      <c r="H88" s="192"/>
      <c r="I88" s="192"/>
      <c r="J88" s="193"/>
      <c r="K88" s="193"/>
      <c r="L88" s="193"/>
      <c r="M88" s="193"/>
      <c r="N88" s="193"/>
    </row>
    <row r="89" spans="1:14" ht="19.95" customHeight="1">
      <c r="A89" s="193"/>
      <c r="B89" s="193"/>
      <c r="C89" s="193"/>
      <c r="D89" s="192"/>
      <c r="E89" s="192"/>
      <c r="F89" s="192"/>
      <c r="G89" s="192"/>
      <c r="H89" s="192"/>
      <c r="I89" s="192"/>
      <c r="J89" s="193"/>
      <c r="K89" s="193"/>
      <c r="L89" s="193"/>
      <c r="M89" s="193"/>
      <c r="N89" s="193"/>
    </row>
    <row r="90" spans="1:14" ht="19.95" customHeight="1">
      <c r="A90" s="193"/>
      <c r="B90" s="193"/>
      <c r="C90" s="193"/>
      <c r="D90" s="192"/>
      <c r="E90" s="192"/>
      <c r="F90" s="192"/>
      <c r="G90" s="192"/>
      <c r="H90" s="192"/>
      <c r="I90" s="192"/>
      <c r="J90" s="193"/>
      <c r="K90" s="193"/>
      <c r="L90" s="193"/>
      <c r="M90" s="193"/>
      <c r="N90" s="193"/>
    </row>
    <row r="91" spans="1:14" ht="19.95" customHeight="1">
      <c r="A91" s="193"/>
      <c r="B91" s="193"/>
      <c r="C91" s="193"/>
      <c r="D91" s="192"/>
      <c r="E91" s="192"/>
      <c r="F91" s="192"/>
      <c r="G91" s="192"/>
      <c r="H91" s="192"/>
      <c r="I91" s="192"/>
      <c r="J91" s="193"/>
      <c r="K91" s="193"/>
      <c r="L91" s="193"/>
      <c r="M91" s="193"/>
      <c r="N91" s="193"/>
    </row>
    <row r="92" spans="1:14" ht="19.95" customHeight="1">
      <c r="A92" s="193"/>
      <c r="B92" s="193"/>
      <c r="C92" s="193"/>
      <c r="D92" s="192"/>
      <c r="E92" s="192"/>
      <c r="F92" s="192"/>
      <c r="G92" s="192"/>
      <c r="H92" s="192"/>
      <c r="I92" s="192"/>
      <c r="J92" s="193"/>
      <c r="K92" s="193"/>
      <c r="L92" s="193"/>
      <c r="M92" s="193"/>
      <c r="N92" s="193"/>
    </row>
    <row r="93" spans="1:14" ht="19.95" customHeight="1">
      <c r="A93" s="193"/>
      <c r="B93" s="193"/>
      <c r="C93" s="193"/>
      <c r="D93" s="192"/>
      <c r="E93" s="192"/>
      <c r="F93" s="192"/>
      <c r="G93" s="192"/>
      <c r="H93" s="192"/>
      <c r="I93" s="192"/>
      <c r="J93" s="193"/>
      <c r="K93" s="193"/>
      <c r="L93" s="193"/>
      <c r="M93" s="193"/>
      <c r="N93" s="193"/>
    </row>
    <row r="94" spans="1:14" ht="19.95" customHeight="1">
      <c r="A94" s="193"/>
      <c r="B94" s="193"/>
      <c r="C94" s="193"/>
      <c r="D94" s="192"/>
      <c r="E94" s="192"/>
      <c r="F94" s="192"/>
      <c r="G94" s="192"/>
      <c r="H94" s="192"/>
      <c r="I94" s="192"/>
      <c r="J94" s="193"/>
      <c r="K94" s="193"/>
      <c r="L94" s="193"/>
      <c r="M94" s="193"/>
      <c r="N94" s="193"/>
    </row>
    <row r="95" spans="1:14" ht="19.95" customHeight="1">
      <c r="A95" s="193"/>
      <c r="B95" s="193"/>
      <c r="C95" s="193"/>
      <c r="D95" s="192"/>
      <c r="E95" s="192"/>
      <c r="F95" s="192"/>
      <c r="G95" s="192"/>
      <c r="H95" s="192"/>
      <c r="I95" s="192"/>
      <c r="J95" s="193"/>
      <c r="K95" s="193"/>
      <c r="L95" s="193"/>
      <c r="M95" s="193"/>
      <c r="N95" s="193"/>
    </row>
    <row r="96" spans="1:14" ht="19.95" customHeight="1">
      <c r="A96" s="193"/>
      <c r="B96" s="193"/>
      <c r="C96" s="193"/>
      <c r="D96" s="192"/>
      <c r="E96" s="192"/>
      <c r="F96" s="192"/>
      <c r="G96" s="192"/>
      <c r="H96" s="192"/>
      <c r="I96" s="192"/>
      <c r="J96" s="193"/>
      <c r="K96" s="193"/>
      <c r="L96" s="193"/>
      <c r="M96" s="193"/>
      <c r="N96" s="193"/>
    </row>
    <row r="97" spans="1:14" ht="19.95" customHeight="1">
      <c r="A97" s="193"/>
      <c r="B97" s="193"/>
      <c r="C97" s="193"/>
      <c r="D97" s="192"/>
      <c r="E97" s="192"/>
      <c r="F97" s="192"/>
      <c r="G97" s="192"/>
      <c r="H97" s="192"/>
      <c r="I97" s="192"/>
      <c r="J97" s="193"/>
      <c r="K97" s="193"/>
      <c r="L97" s="193"/>
      <c r="M97" s="193"/>
      <c r="N97" s="193"/>
    </row>
  </sheetData>
  <mergeCells count="3">
    <mergeCell ref="A1:N1"/>
    <mergeCell ref="A2:N2"/>
    <mergeCell ref="A7:N7"/>
  </mergeCells>
  <phoneticPr fontId="11" type="noConversion"/>
  <dataValidations count="1">
    <dataValidation type="list" allowBlank="1" showInputMessage="1" showErrorMessage="1" sqref="B11:B16 B20:B23">
      <formula1>$A$35:$A$42</formula1>
    </dataValidation>
  </dataValidations>
  <hyperlinks>
    <hyperlink ref="N3" location="底稿目录!A1" display="H4A"/>
  </hyperlinks>
  <printOptions horizontalCentered="1"/>
  <pageMargins left="0.70866141732283472" right="0.70866141732283472" top="0.74803149606299213" bottom="0.74803149606299213" header="0.31496062992125984" footer="0.31496062992125984"/>
  <pageSetup paperSize="9" scale="77"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13</vt:i4>
      </vt:variant>
    </vt:vector>
  </HeadingPairs>
  <TitlesOfParts>
    <vt:vector size="26" baseType="lpstr">
      <vt:lpstr>底稿目录</vt:lpstr>
      <vt:lpstr>工程物资实质性程序表H4A</vt:lpstr>
      <vt:lpstr>审定表H4-1</vt:lpstr>
      <vt:lpstr>附注披露信息（上市公司）</vt:lpstr>
      <vt:lpstr>附注披露信息（国有企业）</vt:lpstr>
      <vt:lpstr>明细表H4-2</vt:lpstr>
      <vt:lpstr>调整分录汇总H4-3</vt:lpstr>
      <vt:lpstr>增加检查表H4-4</vt:lpstr>
      <vt:lpstr>减少检查表H4-5</vt:lpstr>
      <vt:lpstr>盘点检查表H4-6</vt:lpstr>
      <vt:lpstr>减值测算表H4-7</vt:lpstr>
      <vt:lpstr>可收回金额测试表H4-8</vt:lpstr>
      <vt:lpstr>关联交易检查表H4-9</vt:lpstr>
      <vt:lpstr>'调整分录汇总H4-3'!Print_Area</vt:lpstr>
      <vt:lpstr>'附注披露信息（国有企业）'!Print_Area</vt:lpstr>
      <vt:lpstr>'附注披露信息（上市公司）'!Print_Area</vt:lpstr>
      <vt:lpstr>工程物资实质性程序表H4A!Print_Area</vt:lpstr>
      <vt:lpstr>'关联交易检查表H4-9'!Print_Area</vt:lpstr>
      <vt:lpstr>'减少检查表H4-5'!Print_Area</vt:lpstr>
      <vt:lpstr>'减值测算表H4-7'!Print_Area</vt:lpstr>
      <vt:lpstr>'可收回金额测试表H4-8'!Print_Area</vt:lpstr>
      <vt:lpstr>'明细表H4-2'!Print_Area</vt:lpstr>
      <vt:lpstr>'盘点检查表H4-6'!Print_Area</vt:lpstr>
      <vt:lpstr>'审定表H4-1'!Print_Area</vt:lpstr>
      <vt:lpstr>'增加检查表H4-4'!Print_Area</vt:lpstr>
      <vt:lpstr>'明细表H4-2'!Print_Titles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2025-10-21T02:37:10Z</cp:lastPrinted>
  <dcterms:created xsi:type="dcterms:W3CDTF">2013-12-07T09:19:30Z</dcterms:created>
  <dcterms:modified xsi:type="dcterms:W3CDTF">2025-11-05T06:21:45Z</dcterms:modified>
</cp:coreProperties>
</file>