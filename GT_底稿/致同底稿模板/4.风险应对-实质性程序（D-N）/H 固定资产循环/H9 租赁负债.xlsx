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120" yWindow="-120" windowWidth="20736" windowHeight="11160" tabRatio="847"/>
  </bookViews>
  <sheets>
    <sheet name="底稿目录" sheetId="1" r:id="rId1"/>
    <sheet name="租赁负债实质性程序表H9A" sheetId="36" r:id="rId2"/>
    <sheet name="审定表H9-1" sheetId="12" r:id="rId3"/>
    <sheet name="附注披露信息（上市公司）" sheetId="21" r:id="rId4"/>
    <sheet name="附注披露信息（国企）" sheetId="34" r:id="rId5"/>
    <sheet name="租赁负债明细表H9-2" sheetId="17" r:id="rId6"/>
    <sheet name="未确认融资费用明细表H9-3" sheetId="26" r:id="rId7"/>
    <sheet name="调整分录汇总H9-4" sheetId="35" r:id="rId8"/>
    <sheet name="GT_Custom" sheetId="22" state="hidden" r:id="rId9"/>
  </sheets>
  <definedNames>
    <definedName name="_xlnm._FilterDatabase" localSheetId="1" hidden="1">租赁负债实质性程序表H9A!$A$16:$L$25</definedName>
    <definedName name="_xlnm.Print_Area" localSheetId="7">'调整分录汇总H9-4'!$A$1:$J$22</definedName>
    <definedName name="_xlnm.Print_Area" localSheetId="4">'附注披露信息（国企）'!$A$1:$E$18</definedName>
    <definedName name="_xlnm.Print_Area" localSheetId="3">'附注披露信息（上市公司）'!$A$1:$E$21</definedName>
    <definedName name="_xlnm.Print_Area" localSheetId="2">'审定表H9-1'!$A$1:$M$28</definedName>
    <definedName name="_xlnm.Print_Area" localSheetId="6">'未确认融资费用明细表H9-3'!$A$1:$U$21</definedName>
    <definedName name="_xlnm.Print_Area" localSheetId="5">'租赁负债明细表H9-2'!$A$1:$V$18</definedName>
    <definedName name="_xlnm.Print_Area" localSheetId="1">租赁负债实质性程序表H9A!$A$1:$I$25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P14" i="26" l="1"/>
  <c r="B20" i="12" l="1"/>
  <c r="B19" i="12"/>
  <c r="B18" i="12"/>
  <c r="I8" i="12"/>
  <c r="K8" i="12" s="1"/>
  <c r="B21" i="12"/>
  <c r="B16" i="12"/>
  <c r="E4" i="36" l="1"/>
  <c r="C4" i="36"/>
  <c r="A4" i="36"/>
  <c r="E3" i="36"/>
  <c r="C3" i="36"/>
  <c r="A3" i="36"/>
  <c r="L9" i="26" l="1"/>
  <c r="K9" i="26"/>
  <c r="J9" i="26"/>
  <c r="E9" i="26"/>
  <c r="B14" i="26"/>
  <c r="K9" i="17"/>
  <c r="I10" i="17"/>
  <c r="I11" i="17"/>
  <c r="I12" i="17"/>
  <c r="I13" i="17"/>
  <c r="I9" i="17"/>
  <c r="E9" i="17"/>
  <c r="M4" i="26"/>
  <c r="G4" i="26"/>
  <c r="G4" i="35"/>
  <c r="G3" i="35"/>
  <c r="D4" i="35"/>
  <c r="D3" i="35"/>
  <c r="A4" i="35"/>
  <c r="A3" i="35"/>
  <c r="M4" i="17"/>
  <c r="F4" i="17"/>
  <c r="C4" i="34"/>
  <c r="C3" i="34"/>
  <c r="B4" i="34"/>
  <c r="B3" i="34"/>
  <c r="A4" i="34"/>
  <c r="A3" i="34"/>
  <c r="C4" i="21"/>
  <c r="C3" i="21"/>
  <c r="B4" i="21"/>
  <c r="B3" i="21"/>
  <c r="A4" i="21"/>
  <c r="A3" i="21"/>
  <c r="H4" i="12"/>
  <c r="D4" i="12"/>
  <c r="M9" i="26" l="1"/>
  <c r="O9" i="26" s="1"/>
  <c r="I15" i="12"/>
  <c r="I14" i="12"/>
  <c r="I13" i="12"/>
  <c r="I10" i="12"/>
  <c r="I9" i="12"/>
  <c r="I18" i="12"/>
  <c r="D15" i="12"/>
  <c r="D14" i="12"/>
  <c r="D13" i="12"/>
  <c r="F13" i="12" s="1"/>
  <c r="D9" i="12"/>
  <c r="D10" i="12"/>
  <c r="D8" i="12"/>
  <c r="F8" i="12" s="1"/>
  <c r="J10" i="17"/>
  <c r="K10" i="17"/>
  <c r="J11" i="17"/>
  <c r="K11" i="17"/>
  <c r="J12" i="17"/>
  <c r="K12" i="17"/>
  <c r="J13" i="17"/>
  <c r="K13" i="17"/>
  <c r="J9" i="17"/>
  <c r="L9" i="17" s="1"/>
  <c r="N9" i="17" s="1"/>
  <c r="L8" i="12" l="1"/>
  <c r="M8" i="12" s="1"/>
  <c r="J10" i="26" l="1"/>
  <c r="J11" i="26"/>
  <c r="J12" i="26"/>
  <c r="J13" i="26"/>
  <c r="K15" i="12"/>
  <c r="F15" i="12"/>
  <c r="K14" i="12"/>
  <c r="F14" i="12"/>
  <c r="K13" i="12"/>
  <c r="K18" i="12" s="1"/>
  <c r="K10" i="12"/>
  <c r="K9" i="12"/>
  <c r="F10" i="12"/>
  <c r="F9" i="12"/>
  <c r="L10" i="12" l="1"/>
  <c r="M10" i="12" s="1"/>
  <c r="L13" i="12"/>
  <c r="M13" i="12" s="1"/>
  <c r="L9" i="12"/>
  <c r="M9" i="12" s="1"/>
  <c r="L14" i="12"/>
  <c r="M14" i="12" s="1"/>
  <c r="L15" i="12"/>
  <c r="M15" i="12" s="1"/>
  <c r="B14" i="17"/>
  <c r="D5" i="1" l="1"/>
  <c r="D6" i="1" s="1"/>
  <c r="D7" i="1" s="1"/>
  <c r="D8" i="1" s="1"/>
  <c r="D9" i="1" s="1"/>
  <c r="A10" i="26" l="1"/>
  <c r="A11" i="26"/>
  <c r="A12" i="26"/>
  <c r="A13" i="26"/>
  <c r="A9" i="26"/>
  <c r="S14" i="26"/>
  <c r="R14" i="26"/>
  <c r="Q14" i="26"/>
  <c r="N14" i="26"/>
  <c r="I14" i="26"/>
  <c r="H14" i="26"/>
  <c r="G14" i="26"/>
  <c r="F14" i="26"/>
  <c r="D14" i="26"/>
  <c r="C14" i="26"/>
  <c r="L13" i="26"/>
  <c r="K13" i="26"/>
  <c r="L12" i="26"/>
  <c r="K12" i="26"/>
  <c r="M12" i="26" s="1"/>
  <c r="L11" i="26"/>
  <c r="K11" i="26"/>
  <c r="L10" i="26"/>
  <c r="K10" i="26"/>
  <c r="A4" i="26"/>
  <c r="M3" i="26"/>
  <c r="G3" i="26"/>
  <c r="A3" i="26"/>
  <c r="M11" i="26" l="1"/>
  <c r="M13" i="26"/>
  <c r="M10" i="26"/>
  <c r="O10" i="26" s="1"/>
  <c r="E14" i="26"/>
  <c r="K14" i="26"/>
  <c r="L14" i="26"/>
  <c r="J20" i="12"/>
  <c r="J19" i="12"/>
  <c r="O12" i="26"/>
  <c r="O13" i="26"/>
  <c r="E20" i="12"/>
  <c r="O11" i="26"/>
  <c r="J14" i="26"/>
  <c r="C16" i="12" l="1"/>
  <c r="H16" i="12"/>
  <c r="K20" i="12"/>
  <c r="M14" i="26"/>
  <c r="O14" i="26"/>
  <c r="J16" i="12"/>
  <c r="E16" i="12"/>
  <c r="F20" i="12" l="1"/>
  <c r="D16" i="12"/>
  <c r="G16" i="12"/>
  <c r="C20" i="12"/>
  <c r="D20" i="12"/>
  <c r="G20" i="12"/>
  <c r="H20" i="12"/>
  <c r="I20" i="12"/>
  <c r="L20" i="12" l="1"/>
  <c r="M20" i="12" s="1"/>
  <c r="I16" i="12"/>
  <c r="K16" i="12" l="1"/>
  <c r="F16" i="12"/>
  <c r="L16" i="12" l="1"/>
  <c r="M16" i="12" s="1"/>
  <c r="U14" i="17"/>
  <c r="O14" i="17" l="1"/>
  <c r="H14" i="17"/>
  <c r="G14" i="17"/>
  <c r="F14" i="17"/>
  <c r="E19" i="12" l="1"/>
  <c r="M14" i="17"/>
  <c r="E11" i="12" l="1"/>
  <c r="E18" i="12"/>
  <c r="E21" i="12" s="1"/>
  <c r="J11" i="12"/>
  <c r="J18" i="12"/>
  <c r="J21" i="12" s="1"/>
  <c r="D14" i="17"/>
  <c r="C14" i="17"/>
  <c r="R14" i="17"/>
  <c r="Q14" i="17"/>
  <c r="P14" i="17"/>
  <c r="B11" i="12" l="1"/>
  <c r="K14" i="17"/>
  <c r="J14" i="17"/>
  <c r="I14" i="17"/>
  <c r="H19" i="12"/>
  <c r="C19" i="12"/>
  <c r="H18" i="12"/>
  <c r="C18" i="12"/>
  <c r="L12" i="17"/>
  <c r="N12" i="17" s="1"/>
  <c r="L11" i="17"/>
  <c r="N11" i="17" s="1"/>
  <c r="L13" i="17"/>
  <c r="N13" i="17" s="1"/>
  <c r="L10" i="17"/>
  <c r="N10" i="17" s="1"/>
  <c r="C21" i="12" l="1"/>
  <c r="H21" i="12"/>
  <c r="H11" i="12"/>
  <c r="C11" i="12"/>
  <c r="N14" i="17"/>
  <c r="L14" i="17"/>
  <c r="D19" i="12" l="1"/>
  <c r="F19" i="12"/>
  <c r="D18" i="12"/>
  <c r="D11" i="12"/>
  <c r="E10" i="17"/>
  <c r="E11" i="17"/>
  <c r="E12" i="17"/>
  <c r="E13" i="17"/>
  <c r="F11" i="12" l="1"/>
  <c r="F18" i="12"/>
  <c r="D21" i="12"/>
  <c r="E14" i="17"/>
  <c r="F21" i="12" l="1"/>
  <c r="F23" i="12" s="1"/>
  <c r="L18" i="12"/>
  <c r="M18" i="12" s="1"/>
  <c r="G18" i="12"/>
  <c r="M3" i="17" l="1"/>
  <c r="F3" i="17"/>
  <c r="A4" i="17"/>
  <c r="A3" i="17"/>
  <c r="H3" i="12"/>
  <c r="D3" i="12"/>
  <c r="A4" i="12"/>
  <c r="A3" i="12"/>
  <c r="G11" i="12" l="1"/>
  <c r="G19" i="12"/>
  <c r="I19" i="12" l="1"/>
  <c r="I21" i="12" s="1"/>
  <c r="I11" i="12"/>
  <c r="G21" i="12"/>
  <c r="K19" i="12" l="1"/>
  <c r="K11" i="12"/>
  <c r="L11" i="12" s="1"/>
  <c r="M11" i="12" s="1"/>
  <c r="K21" i="12" l="1"/>
  <c r="L19" i="12"/>
  <c r="M19" i="12" s="1"/>
  <c r="L21" i="12" l="1"/>
  <c r="M21" i="12" s="1"/>
  <c r="K23" i="12"/>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<sst xmlns="http://schemas.openxmlformats.org/spreadsheetml/2006/main" count="318" uniqueCount="250">
  <si>
    <t>C1</t>
  </si>
  <si>
    <t>Custom 1</t>
  </si>
  <si>
    <t>C2</t>
  </si>
  <si>
    <t>Custom 2</t>
  </si>
  <si>
    <t>C3</t>
  </si>
  <si>
    <t>Custom 3</t>
  </si>
  <si>
    <t>C4</t>
  </si>
  <si>
    <t>Custom 4</t>
  </si>
  <si>
    <t>C5</t>
  </si>
  <si>
    <t>Custom 5</t>
  </si>
  <si>
    <t>C6</t>
  </si>
  <si>
    <t>Custom 6</t>
  </si>
  <si>
    <t>C7</t>
  </si>
  <si>
    <t>Custom 7</t>
  </si>
  <si>
    <t>C8</t>
  </si>
  <si>
    <t>Custom 8</t>
  </si>
  <si>
    <t>……</t>
    <phoneticPr fontId="13" type="noConversion"/>
  </si>
  <si>
    <t>3</t>
  </si>
  <si>
    <t>--</t>
    <phoneticPr fontId="16" type="noConversion"/>
  </si>
  <si>
    <r>
      <rPr>
        <b/>
        <sz val="10"/>
        <rFont val="宋体"/>
        <family val="3"/>
        <charset val="134"/>
      </rPr>
      <t>索引号</t>
    </r>
    <phoneticPr fontId="13" type="noConversion"/>
  </si>
  <si>
    <r>
      <rPr>
        <b/>
        <sz val="10"/>
        <rFont val="宋体"/>
        <family val="3"/>
        <charset val="134"/>
      </rPr>
      <t>序号</t>
    </r>
    <phoneticPr fontId="13" type="noConversion"/>
  </si>
  <si>
    <r>
      <rPr>
        <b/>
        <sz val="10"/>
        <rFont val="宋体"/>
        <family val="3"/>
        <charset val="134"/>
      </rPr>
      <t>三、审计说明：</t>
    </r>
    <phoneticPr fontId="13" type="noConversion"/>
  </si>
  <si>
    <r>
      <rPr>
        <b/>
        <sz val="10"/>
        <rFont val="宋体"/>
        <family val="3"/>
        <charset val="134"/>
      </rPr>
      <t>四、审计结论：</t>
    </r>
    <phoneticPr fontId="13" type="noConversion"/>
  </si>
  <si>
    <t>…</t>
    <phoneticPr fontId="13" type="noConversion"/>
  </si>
  <si>
    <r>
      <rPr>
        <b/>
        <sz val="10"/>
        <rFont val="宋体"/>
        <family val="3"/>
        <charset val="134"/>
      </rPr>
      <t>财务报表的认定　</t>
    </r>
  </si>
  <si>
    <r>
      <rPr>
        <sz val="10"/>
        <rFont val="宋体"/>
        <family val="3"/>
        <charset val="134"/>
      </rPr>
      <t>存在</t>
    </r>
    <phoneticPr fontId="13" type="noConversion"/>
  </si>
  <si>
    <r>
      <rPr>
        <b/>
        <sz val="10"/>
        <rFont val="宋体"/>
        <family val="3"/>
        <charset val="134"/>
      </rPr>
      <t>程序分类</t>
    </r>
    <phoneticPr fontId="13" type="noConversion"/>
  </si>
  <si>
    <t>2</t>
  </si>
  <si>
    <t>……</t>
  </si>
  <si>
    <t>致同会计师事务所</t>
  </si>
  <si>
    <t>附注披露表（上市公司）</t>
    <phoneticPr fontId="13" type="noConversion"/>
  </si>
  <si>
    <t>上年年末余额</t>
  </si>
  <si>
    <r>
      <t>47</t>
    </r>
    <r>
      <rPr>
        <sz val="12"/>
        <rFont val="宋体"/>
        <family val="3"/>
        <charset val="134"/>
      </rPr>
      <t>、</t>
    </r>
    <r>
      <rPr>
        <sz val="12"/>
        <rFont val="仿宋_GB2312"/>
        <family val="3"/>
        <charset val="134"/>
      </rPr>
      <t>租赁负债</t>
    </r>
    <phoneticPr fontId="13" type="noConversion"/>
  </si>
  <si>
    <r>
      <t>项</t>
    </r>
    <r>
      <rPr>
        <b/>
        <sz val="10.5"/>
        <rFont val="Arial Narrow"/>
        <family val="2"/>
      </rPr>
      <t xml:space="preserve">  </t>
    </r>
    <r>
      <rPr>
        <b/>
        <sz val="10.5"/>
        <rFont val="仿宋_GB2312"/>
        <family val="3"/>
        <charset val="134"/>
      </rPr>
      <t>目</t>
    </r>
  </si>
  <si>
    <t>期末余额</t>
  </si>
  <si>
    <r>
      <t>小</t>
    </r>
    <r>
      <rPr>
        <sz val="10.5"/>
        <rFont val="Arial Narrow"/>
        <family val="2"/>
      </rPr>
      <t xml:space="preserve">  </t>
    </r>
    <r>
      <rPr>
        <sz val="10.5"/>
        <rFont val="仿宋_GB2312"/>
        <family val="3"/>
        <charset val="134"/>
      </rPr>
      <t>计</t>
    </r>
  </si>
  <si>
    <t>X.XX</t>
  </si>
  <si>
    <t>减：一年内到期的租赁负债</t>
  </si>
  <si>
    <r>
      <t>合</t>
    </r>
    <r>
      <rPr>
        <b/>
        <sz val="10.5"/>
        <rFont val="Arial Narrow"/>
        <family val="2"/>
      </rPr>
      <t xml:space="preserve">  </t>
    </r>
    <r>
      <rPr>
        <b/>
        <sz val="10.5"/>
        <rFont val="仿宋_GB2312"/>
        <family val="3"/>
        <charset val="134"/>
      </rPr>
      <t>计</t>
    </r>
  </si>
  <si>
    <r>
      <t>2024</t>
    </r>
    <r>
      <rPr>
        <sz val="12"/>
        <color rgb="FFFF0000"/>
        <rFont val="仿宋_GB2312"/>
        <family val="3"/>
        <charset val="134"/>
      </rPr>
      <t>年计提的租赁负债利息费用金额为</t>
    </r>
    <r>
      <rPr>
        <sz val="12"/>
        <color rgb="FFFF0000"/>
        <rFont val="Arial Narrow"/>
        <family val="2"/>
      </rPr>
      <t>XX</t>
    </r>
    <r>
      <rPr>
        <sz val="12"/>
        <color rgb="FFFF0000"/>
        <rFont val="仿宋_GB2312"/>
        <family val="3"/>
        <charset val="134"/>
      </rPr>
      <t>万元，计入财务费用</t>
    </r>
    <r>
      <rPr>
        <sz val="12"/>
        <color rgb="FFFF0000"/>
        <rFont val="Arial Narrow"/>
        <family val="2"/>
      </rPr>
      <t>-</t>
    </r>
    <r>
      <rPr>
        <sz val="12"/>
        <color rgb="FFFF0000"/>
        <rFont val="仿宋_GB2312"/>
        <family val="3"/>
        <charset val="134"/>
      </rPr>
      <t>利息支出金额为</t>
    </r>
    <r>
      <rPr>
        <sz val="12"/>
        <color rgb="FFFF0000"/>
        <rFont val="Arial Narrow"/>
        <family val="2"/>
      </rPr>
      <t>XX</t>
    </r>
    <r>
      <rPr>
        <sz val="12"/>
        <color rgb="FFFF0000"/>
        <rFont val="仿宋_GB2312"/>
        <family val="3"/>
        <charset val="134"/>
      </rPr>
      <t>万元，计入固定资产金额为</t>
    </r>
    <r>
      <rPr>
        <sz val="12"/>
        <color rgb="FFFF0000"/>
        <rFont val="Arial Narrow"/>
        <family val="2"/>
      </rPr>
      <t>XX</t>
    </r>
    <r>
      <rPr>
        <sz val="12"/>
        <color rgb="FFFF0000"/>
        <rFont val="仿宋_GB2312"/>
        <family val="3"/>
        <charset val="134"/>
      </rPr>
      <t>万元。</t>
    </r>
  </si>
  <si>
    <t>【提示：</t>
  </si>
  <si>
    <r>
      <t>（</t>
    </r>
    <r>
      <rPr>
        <sz val="12"/>
        <color rgb="FF0000FF"/>
        <rFont val="Arial Narrow"/>
        <family val="2"/>
      </rPr>
      <t>1</t>
    </r>
    <r>
      <rPr>
        <sz val="12"/>
        <color rgb="FF0000FF"/>
        <rFont val="仿宋_GB2312"/>
        <family val="3"/>
        <charset val="134"/>
      </rPr>
      <t>）承租人根据《企业会计准则第</t>
    </r>
    <r>
      <rPr>
        <sz val="12"/>
        <color rgb="FF0000FF"/>
        <rFont val="Arial Narrow"/>
        <family val="2"/>
      </rPr>
      <t>21</t>
    </r>
    <r>
      <rPr>
        <sz val="12"/>
        <color rgb="FF0000FF"/>
        <rFont val="仿宋_GB2312"/>
        <family val="3"/>
        <charset val="134"/>
      </rPr>
      <t>号——租赁》所确认的租赁负债发生的利息费用适用借款费用准则。使用权资产于租赁期开始日便达到预定可使用状态，租赁负债相关利息费用不应资本化计入使用权资产。租赁期开始日后，租赁负债可视同企业的一般借款。</t>
    </r>
  </si>
  <si>
    <r>
      <t>（</t>
    </r>
    <r>
      <rPr>
        <sz val="12"/>
        <color rgb="FF0000FF"/>
        <rFont val="Arial Narrow"/>
        <family val="2"/>
      </rPr>
      <t>2</t>
    </r>
    <r>
      <rPr>
        <sz val="12"/>
        <color rgb="FF0000FF"/>
        <rFont val="仿宋_GB2312"/>
        <family val="3"/>
        <charset val="134"/>
      </rPr>
      <t>）承租人向出租人支付的租金等款项中包含应缴纳的增值税的，相关增值税税额不属于租赁付款额的范畴，不应纳入租赁负债和使用权资产的计量。</t>
    </r>
  </si>
  <si>
    <r>
      <t>（</t>
    </r>
    <r>
      <rPr>
        <sz val="12"/>
        <color rgb="FF0000FF"/>
        <rFont val="Arial Narrow"/>
        <family val="2"/>
      </rPr>
      <t>3</t>
    </r>
    <r>
      <rPr>
        <sz val="12"/>
        <color rgb="FF0000FF"/>
        <rFont val="仿宋_GB2312"/>
        <family val="3"/>
        <charset val="134"/>
      </rPr>
      <t>）出租人为确保承租人履行合同相关义务收取租赁保证金的，该租赁保证金不属于出租人的租赁收款额和承租人的租赁付款额，出租人和承租人应当分别将其作为单独的负债和资产进行会计处理。】</t>
    </r>
  </si>
  <si>
    <r>
      <t>49</t>
    </r>
    <r>
      <rPr>
        <sz val="12"/>
        <rFont val="宋体"/>
        <family val="3"/>
        <charset val="134"/>
      </rPr>
      <t>、</t>
    </r>
    <r>
      <rPr>
        <sz val="12"/>
        <rFont val="仿宋_GB2312"/>
        <family val="3"/>
        <charset val="134"/>
      </rPr>
      <t>租赁负债</t>
    </r>
    <phoneticPr fontId="13" type="noConversion"/>
  </si>
  <si>
    <t>期初余额</t>
  </si>
  <si>
    <t>租赁付款额</t>
  </si>
  <si>
    <t>减：未确认的融资费用</t>
  </si>
  <si>
    <t>重分类至一年内到期的非流动负债</t>
  </si>
  <si>
    <t>租赁负债净额</t>
  </si>
  <si>
    <r>
      <t>1</t>
    </r>
    <r>
      <rPr>
        <sz val="12"/>
        <color rgb="FF0000FF"/>
        <rFont val="仿宋_GB2312"/>
        <family val="3"/>
        <charset val="134"/>
      </rPr>
      <t>、承租人根据《企业会计准则第</t>
    </r>
    <r>
      <rPr>
        <sz val="12"/>
        <color rgb="FF0000FF"/>
        <rFont val="Arial Narrow"/>
        <family val="2"/>
      </rPr>
      <t>21</t>
    </r>
    <r>
      <rPr>
        <sz val="12"/>
        <color rgb="FF0000FF"/>
        <rFont val="仿宋_GB2312"/>
        <family val="3"/>
        <charset val="134"/>
      </rPr>
      <t>号——租赁》所确认的租赁负债发生的利息费用适用借款费用准则。使用权资产于租赁期开始日便达到预定可使用状态，租赁负债相关利息费用不应资本化计入使用权资产。租赁期开始日后，租赁负债可视同企业的一般借款。</t>
    </r>
  </si>
  <si>
    <r>
      <t>2</t>
    </r>
    <r>
      <rPr>
        <sz val="12"/>
        <color rgb="FF0000FF"/>
        <rFont val="仿宋_GB2312"/>
        <family val="3"/>
        <charset val="134"/>
      </rPr>
      <t>、承租人向出租人支付的租金等款项中包含应缴纳的增值税的，相关增值税税额不属于租赁付款额的范畴，不应纳入租赁负债和使用权资产的计量。</t>
    </r>
  </si>
  <si>
    <r>
      <t>3</t>
    </r>
    <r>
      <rPr>
        <sz val="12"/>
        <color rgb="FF0000FF"/>
        <rFont val="仿宋_GB2312"/>
        <family val="3"/>
        <charset val="134"/>
      </rPr>
      <t>、出租人为确保承租人履行合同相关义务收取租赁保证金的，该租赁保证金不属于出租人的租赁收款额和承租人的租赁付款额，出租人和承租人应当分别将其作为单独的负债和资产进行会计处理。】</t>
    </r>
  </si>
  <si>
    <r>
      <rPr>
        <b/>
        <sz val="10"/>
        <rFont val="宋体"/>
        <family val="3"/>
        <charset val="134"/>
      </rPr>
      <t>存在</t>
    </r>
    <phoneticPr fontId="13" type="noConversion"/>
  </si>
  <si>
    <r>
      <rPr>
        <b/>
        <sz val="10"/>
        <rFont val="宋体"/>
        <family val="3"/>
        <charset val="134"/>
      </rPr>
      <t>列报</t>
    </r>
    <phoneticPr fontId="13" type="noConversion"/>
  </si>
  <si>
    <r>
      <rPr>
        <sz val="10"/>
        <rFont val="宋体"/>
        <family val="3"/>
        <charset val="134"/>
      </rPr>
      <t>√</t>
    </r>
    <phoneticPr fontId="13" type="noConversion"/>
  </si>
  <si>
    <r>
      <rPr>
        <b/>
        <sz val="10"/>
        <rFont val="宋体"/>
        <family val="3"/>
        <charset val="134"/>
      </rPr>
      <t>一、审计目标：</t>
    </r>
    <r>
      <rPr>
        <sz val="10"/>
        <rFont val="Arial Narrow"/>
        <family val="2"/>
      </rPr>
      <t xml:space="preserve">1. </t>
    </r>
    <r>
      <rPr>
        <sz val="10"/>
        <rFont val="宋体"/>
        <family val="3"/>
        <charset val="134"/>
      </rPr>
      <t>资产负债表中记录的租赁负债是存在的，且已记录于恰当的账户；</t>
    </r>
    <r>
      <rPr>
        <sz val="10"/>
        <rFont val="Arial Narrow"/>
        <family val="2"/>
      </rPr>
      <t xml:space="preserve">2. </t>
    </r>
    <r>
      <rPr>
        <sz val="10"/>
        <rFont val="宋体"/>
        <family val="3"/>
        <charset val="134"/>
      </rPr>
      <t>所有应记录的租赁负债均已记录，所有应当包括在财务报表中的相关披露均已包括；</t>
    </r>
    <r>
      <rPr>
        <sz val="10"/>
        <rFont val="Arial Narrow"/>
        <family val="2"/>
      </rPr>
      <t xml:space="preserve">3. </t>
    </r>
    <r>
      <rPr>
        <sz val="10"/>
        <rFont val="宋体"/>
        <family val="3"/>
        <charset val="134"/>
      </rPr>
      <t>租赁负债以恰当的金额包括在财务报表中，与之相关的计价或分摊调整已恰当记录，相关披露已得到恰当计量和描述。</t>
    </r>
    <phoneticPr fontId="16" type="noConversion"/>
  </si>
  <si>
    <t>审计说明可以概述:(1)程序的测试情况、结果;(2)拟调整事项及其调整分录、未调整事项及其影响，审计范围受到限制情况及其影响。</t>
    <phoneticPr fontId="13" type="noConversion"/>
  </si>
  <si>
    <t>审计结论可参考：A、未见异常。 B、除上述重大不符事项应当作为调整事项予以调整外，其余未见异常。
C、由于存在以下重大未调整事项(或审计范围受到限制无法获取充分、适当证据)，不可确认。</t>
    <phoneticPr fontId="13" type="noConversion"/>
  </si>
  <si>
    <t>H9A</t>
    <phoneticPr fontId="13" type="noConversion"/>
  </si>
  <si>
    <t>H9-1</t>
    <phoneticPr fontId="13" type="noConversion"/>
  </si>
  <si>
    <t>H9-2</t>
    <phoneticPr fontId="13" type="noConversion"/>
  </si>
  <si>
    <t>H9-3</t>
  </si>
  <si>
    <t>H9-3</t>
    <phoneticPr fontId="13" type="noConversion"/>
  </si>
  <si>
    <t>H9-4</t>
  </si>
  <si>
    <t>H9-4</t>
    <phoneticPr fontId="13" type="noConversion"/>
  </si>
  <si>
    <r>
      <rPr>
        <u/>
        <sz val="10"/>
        <color indexed="12"/>
        <rFont val="宋体"/>
        <family val="3"/>
        <charset val="134"/>
      </rPr>
      <t>附注披露信息（上市公司）</t>
    </r>
  </si>
  <si>
    <r>
      <rPr>
        <u/>
        <sz val="10"/>
        <color indexed="12"/>
        <rFont val="宋体"/>
        <family val="3"/>
        <charset val="134"/>
      </rPr>
      <t>附注披露信息（国企）</t>
    </r>
  </si>
  <si>
    <t>返回目录</t>
    <phoneticPr fontId="13" type="noConversion"/>
  </si>
  <si>
    <r>
      <rPr>
        <sz val="10"/>
        <rFont val="宋体"/>
        <family val="3"/>
        <charset val="134"/>
      </rPr>
      <t>编制日期：</t>
    </r>
    <phoneticPr fontId="13" type="noConversion"/>
  </si>
  <si>
    <r>
      <rPr>
        <sz val="10"/>
        <rFont val="宋体"/>
        <family val="3"/>
        <charset val="134"/>
      </rPr>
      <t>无需打印</t>
    </r>
    <phoneticPr fontId="13" type="noConversion"/>
  </si>
  <si>
    <r>
      <rPr>
        <sz val="10"/>
        <rFont val="宋体"/>
        <family val="3"/>
        <charset val="134"/>
      </rPr>
      <t>复核日期：</t>
    </r>
    <phoneticPr fontId="13" type="noConversion"/>
  </si>
  <si>
    <r>
      <rPr>
        <sz val="10"/>
        <rFont val="宋体"/>
        <family val="3"/>
        <charset val="134"/>
      </rPr>
      <t>复核人：</t>
    </r>
    <phoneticPr fontId="13" type="noConversion"/>
  </si>
  <si>
    <t>H9A</t>
    <phoneticPr fontId="13" type="noConversion"/>
  </si>
  <si>
    <t>H9-1</t>
    <phoneticPr fontId="13" type="noConversion"/>
  </si>
  <si>
    <t>H9-2</t>
    <phoneticPr fontId="13" type="noConversion"/>
  </si>
  <si>
    <r>
      <rPr>
        <b/>
        <sz val="10"/>
        <rFont val="宋体"/>
        <family val="3"/>
        <charset val="134"/>
      </rPr>
      <t>内容</t>
    </r>
  </si>
  <si>
    <r>
      <rPr>
        <u/>
        <sz val="10"/>
        <color indexed="12"/>
        <rFont val="宋体"/>
        <family val="3"/>
        <charset val="134"/>
      </rPr>
      <t>租赁负债明细表</t>
    </r>
    <phoneticPr fontId="13" type="noConversion"/>
  </si>
  <si>
    <r>
      <rPr>
        <u/>
        <sz val="10"/>
        <color indexed="12"/>
        <rFont val="宋体"/>
        <family val="3"/>
        <charset val="134"/>
      </rPr>
      <t>未确认融资费用明细表</t>
    </r>
    <phoneticPr fontId="13" type="noConversion"/>
  </si>
  <si>
    <r>
      <rPr>
        <u/>
        <sz val="10"/>
        <color indexed="12"/>
        <rFont val="宋体"/>
        <family val="3"/>
        <charset val="134"/>
      </rPr>
      <t>调整分录汇总</t>
    </r>
    <phoneticPr fontId="13" type="noConversion"/>
  </si>
  <si>
    <r>
      <rPr>
        <b/>
        <sz val="10"/>
        <rFont val="宋体"/>
        <family val="3"/>
        <charset val="134"/>
      </rPr>
      <t>底稿开列时，可先在以下单元格填写有关内容，以便其他底稿引用有关数据：</t>
    </r>
    <phoneticPr fontId="13" type="noConversion"/>
  </si>
  <si>
    <r>
      <rPr>
        <sz val="10"/>
        <rFont val="宋体"/>
        <family val="3"/>
        <charset val="134"/>
      </rPr>
      <t>被审计单位：</t>
    </r>
    <phoneticPr fontId="13" type="noConversion"/>
  </si>
  <si>
    <r>
      <rPr>
        <u/>
        <sz val="10"/>
        <color indexed="12"/>
        <rFont val="宋体"/>
        <family val="3"/>
        <charset val="134"/>
      </rPr>
      <t>租赁负债实质性程序表</t>
    </r>
    <phoneticPr fontId="13" type="noConversion"/>
  </si>
  <si>
    <r>
      <rPr>
        <sz val="10"/>
        <rFont val="宋体"/>
        <family val="3"/>
        <charset val="134"/>
      </rPr>
      <t>编制人：</t>
    </r>
    <phoneticPr fontId="13" type="noConversion"/>
  </si>
  <si>
    <r>
      <rPr>
        <u/>
        <sz val="10"/>
        <color indexed="12"/>
        <rFont val="宋体"/>
        <family val="3"/>
        <charset val="134"/>
      </rPr>
      <t>审定表</t>
    </r>
    <phoneticPr fontId="13" type="noConversion"/>
  </si>
  <si>
    <r>
      <rPr>
        <sz val="10"/>
        <color theme="1"/>
        <rFont val="宋体"/>
        <family val="3"/>
        <charset val="134"/>
      </rPr>
      <t>√</t>
    </r>
    <phoneticPr fontId="13"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</si>
  <si>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</si>
  <si>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r>
      <rPr>
        <sz val="10"/>
        <rFont val="宋体"/>
        <family val="3"/>
        <charset val="134"/>
      </rPr>
      <t>√</t>
    </r>
    <phoneticPr fontId="13" type="noConversion"/>
  </si>
  <si>
    <r>
      <rPr>
        <sz val="10"/>
        <rFont val="宋体"/>
        <family val="3"/>
        <charset val="134"/>
      </rPr>
      <t>根据评估的舞弊风险等因素增加的审计程序。</t>
    </r>
  </si>
  <si>
    <r>
      <rPr>
        <sz val="10"/>
        <rFont val="宋体"/>
        <family val="3"/>
        <charset val="134"/>
      </rPr>
      <t>租赁负债、未确认融资费用</t>
    </r>
    <phoneticPr fontId="103" type="noConversion"/>
  </si>
  <si>
    <r>
      <t xml:space="preserve">E. </t>
    </r>
    <r>
      <rPr>
        <sz val="10"/>
        <rFont val="宋体"/>
        <family val="3"/>
        <charset val="134"/>
      </rPr>
      <t>租赁负债已被恰当地汇总或分解且表述清楚，相关披露在按照企业会计准则的编制基础下是相关的、可理解的</t>
    </r>
    <phoneticPr fontId="13" type="noConversion"/>
  </si>
  <si>
    <r>
      <rPr>
        <b/>
        <sz val="10"/>
        <rFont val="宋体"/>
        <family val="3"/>
        <charset val="134"/>
      </rPr>
      <t>财务报表的认定</t>
    </r>
    <phoneticPr fontId="13" type="noConversion"/>
  </si>
  <si>
    <r>
      <rPr>
        <sz val="10"/>
        <rFont val="宋体"/>
        <family val="3"/>
        <charset val="134"/>
      </rPr>
      <t>√</t>
    </r>
    <phoneticPr fontId="13" type="noConversion"/>
  </si>
  <si>
    <r>
      <rPr>
        <sz val="10"/>
        <rFont val="宋体"/>
        <family val="3"/>
        <charset val="134"/>
      </rPr>
      <t>检查关联交易情况，检查关联交易的真实性、合理性及合规性；检查关联交易会计处理是否正确，考虑是否存在未识别的关联方，检查关联交易和余额披露是否正确。</t>
    </r>
    <phoneticPr fontId="13" type="noConversion"/>
  </si>
  <si>
    <r>
      <rPr>
        <b/>
        <sz val="10"/>
        <rFont val="宋体"/>
        <family val="3"/>
        <charset val="134"/>
      </rPr>
      <t>一、本账户涉及的科目</t>
    </r>
    <phoneticPr fontId="13"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</si>
  <si>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103" type="noConversion"/>
  </si>
  <si>
    <r>
      <rPr>
        <b/>
        <sz val="10"/>
        <rFont val="宋体"/>
        <family val="3"/>
        <charset val="134"/>
      </rPr>
      <t>√</t>
    </r>
    <phoneticPr fontId="13" type="noConversion"/>
  </si>
  <si>
    <r>
      <t xml:space="preserve">A. </t>
    </r>
    <r>
      <rPr>
        <sz val="10"/>
        <rFont val="宋体"/>
        <family val="3"/>
        <charset val="134"/>
      </rPr>
      <t>资产负债表中记录的租赁负债是存在的，且已记录于恰当的账户</t>
    </r>
    <phoneticPr fontId="13" type="noConversion"/>
  </si>
  <si>
    <r>
      <rPr>
        <b/>
        <sz val="10"/>
        <rFont val="宋体"/>
        <family val="3"/>
        <charset val="134"/>
      </rPr>
      <t>底稿索引号</t>
    </r>
    <phoneticPr fontId="13" type="noConversion"/>
  </si>
  <si>
    <r>
      <rPr>
        <b/>
        <sz val="10"/>
        <rFont val="宋体"/>
        <family val="3"/>
        <charset val="134"/>
      </rPr>
      <t>完整性</t>
    </r>
    <phoneticPr fontId="13" type="noConversion"/>
  </si>
  <si>
    <r>
      <rPr>
        <b/>
        <sz val="10"/>
        <rFont val="宋体"/>
        <family val="3"/>
        <charset val="134"/>
      </rPr>
      <t>权利和
义务</t>
    </r>
    <phoneticPr fontId="13" type="noConversion"/>
  </si>
  <si>
    <r>
      <rPr>
        <b/>
        <sz val="10"/>
        <rFont val="宋体"/>
        <family val="3"/>
        <charset val="134"/>
      </rPr>
      <t>准确性、计价和分摊</t>
    </r>
    <phoneticPr fontId="13" type="noConversion"/>
  </si>
  <si>
    <r>
      <t>A 1-1/</t>
    </r>
    <r>
      <rPr>
        <sz val="10"/>
        <color rgb="FFFF0000"/>
        <rFont val="Arial Narrow"/>
        <family val="2"/>
      </rPr>
      <t>A1-15 /A1-16</t>
    </r>
    <phoneticPr fontId="13" type="noConversion"/>
  </si>
  <si>
    <r>
      <rPr>
        <sz val="10"/>
        <rFont val="宋体"/>
        <family val="3"/>
        <charset val="134"/>
      </rPr>
      <t>（</t>
    </r>
    <r>
      <rPr>
        <sz val="10"/>
        <rFont val="Arial Narrow"/>
        <family val="2"/>
      </rPr>
      <t>1</t>
    </r>
    <r>
      <rPr>
        <sz val="10"/>
        <rFont val="宋体"/>
        <family val="3"/>
        <charset val="134"/>
      </rPr>
      <t>）租赁负债期末净值较期初净值增加（负数为减少）：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</si>
  <si>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3" type="noConversion"/>
  </si>
  <si>
    <r>
      <rPr>
        <b/>
        <sz val="10"/>
        <rFont val="宋体"/>
        <family val="3"/>
        <charset val="134"/>
      </rPr>
      <t>二、审计过程：</t>
    </r>
    <phoneticPr fontId="16" type="noConversion"/>
  </si>
  <si>
    <r>
      <t>1</t>
    </r>
    <r>
      <rPr>
        <b/>
        <sz val="10"/>
        <rFont val="宋体"/>
        <family val="3"/>
        <charset val="134"/>
      </rPr>
      <t>、审计说明：</t>
    </r>
    <r>
      <rPr>
        <b/>
        <sz val="10"/>
        <color indexed="12"/>
        <rFont val="Arial Narrow"/>
        <family val="2"/>
      </rPr>
      <t/>
    </r>
    <phoneticPr fontId="13" type="noConversion"/>
  </si>
  <si>
    <r>
      <t>2</t>
    </r>
    <r>
      <rPr>
        <b/>
        <sz val="10"/>
        <rFont val="宋体"/>
        <family val="3"/>
        <charset val="134"/>
      </rPr>
      <t>、审计结论：</t>
    </r>
    <phoneticPr fontId="16" type="noConversion"/>
  </si>
  <si>
    <r>
      <rPr>
        <b/>
        <sz val="10"/>
        <color indexed="8"/>
        <rFont val="宋体"/>
        <family val="3"/>
        <charset val="134"/>
      </rPr>
      <t>合计</t>
    </r>
    <phoneticPr fontId="16" type="noConversion"/>
  </si>
  <si>
    <r>
      <rPr>
        <b/>
        <sz val="10"/>
        <rFont val="宋体"/>
        <family val="3"/>
        <charset val="134"/>
      </rPr>
      <t>一、审计目标：</t>
    </r>
    <r>
      <rPr>
        <sz val="10"/>
        <rFont val="Arial Narrow"/>
        <family val="2"/>
      </rPr>
      <t xml:space="preserve">1. </t>
    </r>
    <r>
      <rPr>
        <sz val="10"/>
        <rFont val="宋体"/>
        <family val="3"/>
        <charset val="134"/>
      </rPr>
      <t>资产负债表中记录的租赁负债是存在的，且已记录于恰当的账户；</t>
    </r>
    <r>
      <rPr>
        <sz val="10"/>
        <rFont val="Arial Narrow"/>
        <family val="2"/>
      </rPr>
      <t xml:space="preserve">2. </t>
    </r>
    <r>
      <rPr>
        <sz val="10"/>
        <rFont val="宋体"/>
        <family val="3"/>
        <charset val="134"/>
      </rPr>
      <t>所有应记录的租赁负债均已记录，所有应当包括在财务报表中的相关披露均已包括；</t>
    </r>
    <r>
      <rPr>
        <sz val="10"/>
        <rFont val="Arial Narrow"/>
        <family val="2"/>
      </rPr>
      <t xml:space="preserve">3. </t>
    </r>
    <r>
      <rPr>
        <sz val="10"/>
        <rFont val="宋体"/>
        <family val="3"/>
        <charset val="134"/>
      </rPr>
      <t>租赁负债以恰当的金额包括在财务报表中，与之相关的计价或分摊调整已恰当记录，相关披露已得到恰当计量和描述。</t>
    </r>
    <phoneticPr fontId="16" type="noConversion"/>
  </si>
  <si>
    <r>
      <rPr>
        <b/>
        <sz val="10"/>
        <rFont val="宋体"/>
        <family val="3"/>
        <charset val="134"/>
      </rPr>
      <t>二、审计过程：</t>
    </r>
    <r>
      <rPr>
        <sz val="10"/>
        <rFont val="宋体"/>
        <family val="3"/>
        <charset val="134"/>
      </rPr>
      <t>获取或编制未确认融资费用明细表，将总金额与报表、总账、明细账合计数核对相符。</t>
    </r>
    <phoneticPr fontId="13" type="noConversion"/>
  </si>
  <si>
    <r>
      <rPr>
        <b/>
        <sz val="10"/>
        <color indexed="8"/>
        <rFont val="宋体"/>
        <family val="3"/>
        <charset val="134"/>
      </rPr>
      <t>调整事项说明</t>
    </r>
    <phoneticPr fontId="13"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</si>
  <si>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13" type="noConversion"/>
  </si>
  <si>
    <r>
      <rPr>
        <b/>
        <sz val="10"/>
        <color indexed="8"/>
        <rFont val="宋体"/>
        <family val="3"/>
        <charset val="134"/>
      </rPr>
      <t>报表项目</t>
    </r>
    <phoneticPr fontId="13" type="noConversion"/>
  </si>
  <si>
    <r>
      <rPr>
        <b/>
        <sz val="10"/>
        <rFont val="宋体"/>
        <family val="3"/>
        <charset val="134"/>
      </rPr>
      <t>科目名称</t>
    </r>
    <phoneticPr fontId="13" type="noConversion"/>
  </si>
  <si>
    <r>
      <rPr>
        <b/>
        <sz val="10"/>
        <rFont val="宋体"/>
        <family val="3"/>
        <charset val="134"/>
      </rPr>
      <t>附注项目</t>
    </r>
    <phoneticPr fontId="13" type="noConversion"/>
  </si>
  <si>
    <r>
      <rPr>
        <b/>
        <sz val="10"/>
        <rFont val="宋体"/>
        <family val="3"/>
        <charset val="134"/>
      </rPr>
      <t>借方调整金额</t>
    </r>
    <phoneticPr fontId="13" type="noConversion"/>
  </si>
  <si>
    <r>
      <rPr>
        <b/>
        <sz val="10"/>
        <rFont val="宋体"/>
        <family val="3"/>
        <charset val="134"/>
      </rPr>
      <t>贷方调整金额</t>
    </r>
    <phoneticPr fontId="13" type="noConversion"/>
  </si>
  <si>
    <r>
      <rPr>
        <b/>
        <sz val="10"/>
        <rFont val="宋体"/>
        <family val="3"/>
        <charset val="134"/>
      </rPr>
      <t>索引</t>
    </r>
    <phoneticPr fontId="13" type="noConversion"/>
  </si>
  <si>
    <r>
      <rPr>
        <b/>
        <sz val="10"/>
        <rFont val="宋体"/>
        <family val="3"/>
        <charset val="134"/>
      </rPr>
      <t>备注</t>
    </r>
    <phoneticPr fontId="13" type="noConversion"/>
  </si>
  <si>
    <r>
      <rPr>
        <b/>
        <sz val="12"/>
        <rFont val="宋体"/>
        <family val="3"/>
        <charset val="134"/>
      </rPr>
      <t>致同会计师事务所</t>
    </r>
  </si>
  <si>
    <r>
      <rPr>
        <b/>
        <sz val="12"/>
        <rFont val="宋体"/>
        <family val="3"/>
        <charset val="134"/>
      </rPr>
      <t>致同会计师事务所</t>
    </r>
    <phoneticPr fontId="16" type="noConversion"/>
  </si>
  <si>
    <r>
      <rPr>
        <b/>
        <sz val="12"/>
        <rFont val="宋体"/>
        <family val="3"/>
        <charset val="134"/>
      </rPr>
      <t>致同会计师事务所</t>
    </r>
    <phoneticPr fontId="103" type="noConversion"/>
  </si>
  <si>
    <r>
      <rPr>
        <b/>
        <sz val="14"/>
        <rFont val="宋体"/>
        <family val="3"/>
        <charset val="134"/>
      </rPr>
      <t>未确认融资费用明细表</t>
    </r>
    <phoneticPr fontId="13" type="noConversion"/>
  </si>
  <si>
    <r>
      <rPr>
        <b/>
        <sz val="14"/>
        <rFont val="宋体"/>
        <family val="3"/>
        <charset val="134"/>
      </rPr>
      <t>租赁负债明细表</t>
    </r>
  </si>
  <si>
    <r>
      <rPr>
        <b/>
        <sz val="14"/>
        <rFont val="宋体"/>
        <family val="3"/>
        <charset val="134"/>
      </rPr>
      <t>租赁负债审定表</t>
    </r>
  </si>
  <si>
    <r>
      <rPr>
        <b/>
        <sz val="14"/>
        <rFont val="宋体"/>
        <family val="3"/>
        <charset val="134"/>
      </rPr>
      <t>租赁负债实质性程序表</t>
    </r>
    <phoneticPr fontId="103" type="noConversion"/>
  </si>
  <si>
    <r>
      <rPr>
        <b/>
        <sz val="14"/>
        <rFont val="宋体"/>
        <family val="3"/>
        <charset val="134"/>
      </rPr>
      <t>租赁负债调整分录汇总表</t>
    </r>
    <phoneticPr fontId="13" type="noConversion"/>
  </si>
  <si>
    <t>合计</t>
    <phoneticPr fontId="16" type="noConversion"/>
  </si>
  <si>
    <t>索引号：</t>
    <phoneticPr fontId="13" type="noConversion"/>
  </si>
  <si>
    <t>页  次：</t>
    <phoneticPr fontId="13" type="noConversion"/>
  </si>
  <si>
    <t>索引号：</t>
    <phoneticPr fontId="13" type="noConversion"/>
  </si>
  <si>
    <t>页  次：</t>
    <phoneticPr fontId="13" type="noConversion"/>
  </si>
  <si>
    <t>索引号：</t>
    <phoneticPr fontId="13" type="noConversion"/>
  </si>
  <si>
    <t>页  次：</t>
    <phoneticPr fontId="13" type="noConversion"/>
  </si>
  <si>
    <t>1</t>
    <phoneticPr fontId="13" type="noConversion"/>
  </si>
  <si>
    <t>4</t>
  </si>
  <si>
    <t>5</t>
  </si>
  <si>
    <t>6</t>
  </si>
  <si>
    <t>7</t>
  </si>
  <si>
    <t>8</t>
  </si>
  <si>
    <t>9</t>
  </si>
  <si>
    <t>提示：本底稿适用于调整分录较多、较复杂的项目，且仅列示与本报表项目相关的审计调整。项目组可根据项目实际情况选择是否使用该底稿。</t>
    <phoneticPr fontId="13" type="noConversion"/>
  </si>
  <si>
    <t>提示：</t>
    <phoneticPr fontId="16" type="noConversion"/>
  </si>
  <si>
    <t>提示：</t>
    <phoneticPr fontId="13" type="noConversion"/>
  </si>
  <si>
    <r>
      <rPr>
        <sz val="10"/>
        <color rgb="FF0000E1"/>
        <rFont val="宋体"/>
        <family val="3"/>
        <charset val="134"/>
      </rPr>
      <t>本科目核算企业应当分期计入利息费用的未确认融资费用。</t>
    </r>
    <phoneticPr fontId="13" type="noConversion"/>
  </si>
  <si>
    <r>
      <rPr>
        <sz val="10"/>
        <rFont val="宋体"/>
        <family val="3"/>
        <charset val="134"/>
      </rPr>
      <t>准确性、计价和分摊</t>
    </r>
    <phoneticPr fontId="13" type="noConversion"/>
  </si>
  <si>
    <t>获取或编制租赁负债的明细表，复核加计是否正确，并与总账数和明细账合计数核对是否相符,分析租赁负债与上期变动情况；并编制审定表。</t>
    <phoneticPr fontId="13" type="noConversion"/>
  </si>
  <si>
    <r>
      <rPr>
        <sz val="10"/>
        <color theme="1"/>
        <rFont val="宋体"/>
        <family val="3"/>
        <charset val="134"/>
      </rPr>
      <t>√</t>
    </r>
    <phoneticPr fontId="13" type="noConversion"/>
  </si>
  <si>
    <r>
      <rPr>
        <b/>
        <sz val="10"/>
        <color theme="1"/>
        <rFont val="宋体"/>
        <family val="3"/>
        <charset val="134"/>
      </rPr>
      <t>√</t>
    </r>
    <phoneticPr fontId="13" type="noConversion"/>
  </si>
  <si>
    <r>
      <rPr>
        <sz val="10"/>
        <rFont val="宋体"/>
        <family val="3"/>
        <charset val="134"/>
      </rPr>
      <t>对期初余额的审计，取得上期租赁负债明细表复核加计是否正确，与总账、明细账合计数是否相符；</t>
    </r>
    <r>
      <rPr>
        <sz val="10"/>
        <rFont val="Arial Narrow"/>
        <family val="2"/>
      </rPr>
      <t xml:space="preserve"> </t>
    </r>
    <r>
      <rPr>
        <sz val="10"/>
        <rFont val="宋体"/>
        <family val="3"/>
        <charset val="134"/>
      </rPr>
      <t>结合使用权资产重新测算期初租赁负债余额准确性；对单项金额重大租赁负债结合使用权资产检查支持性文件，其他必要追加的审计程序。</t>
    </r>
    <r>
      <rPr>
        <sz val="10"/>
        <color rgb="FFFF0000"/>
        <rFont val="宋体"/>
        <family val="3"/>
        <charset val="134"/>
      </rPr>
      <t>（适用于首次承接）</t>
    </r>
    <phoneticPr fontId="13" type="noConversion"/>
  </si>
  <si>
    <r>
      <rPr>
        <b/>
        <sz val="10"/>
        <rFont val="宋体"/>
        <family val="3"/>
        <charset val="134"/>
      </rPr>
      <t>√</t>
    </r>
    <phoneticPr fontId="13" type="noConversion"/>
  </si>
  <si>
    <r>
      <rPr>
        <sz val="10"/>
        <rFont val="宋体"/>
        <family val="3"/>
        <charset val="134"/>
      </rPr>
      <t>√</t>
    </r>
    <phoneticPr fontId="13" type="noConversion"/>
  </si>
  <si>
    <t>关注会计政策、会计估计合理性、一贯性，关注其是否利用会计政策和会计估计及其变更操纵利润。</t>
    <phoneticPr fontId="13" type="noConversion"/>
  </si>
  <si>
    <r>
      <rPr>
        <b/>
        <sz val="10"/>
        <rFont val="宋体"/>
        <family val="3"/>
        <charset val="134"/>
      </rPr>
      <t>√</t>
    </r>
  </si>
  <si>
    <r>
      <rPr>
        <sz val="10"/>
        <rFont val="宋体"/>
        <family val="3"/>
        <charset val="134"/>
      </rPr>
      <t>√</t>
    </r>
  </si>
  <si>
    <t>H8-6
/H8-7</t>
    <phoneticPr fontId="13" type="noConversion"/>
  </si>
  <si>
    <r>
      <rPr>
        <b/>
        <sz val="10"/>
        <rFont val="宋体"/>
        <family val="3"/>
        <charset val="134"/>
      </rPr>
      <t>√</t>
    </r>
    <phoneticPr fontId="13" type="noConversion"/>
  </si>
  <si>
    <t>H8-14</t>
    <phoneticPr fontId="13" type="noConversion"/>
  </si>
  <si>
    <t>检查租赁负债是否已按企业会计准则或其他适用的规定在财务报表中做出恰当列报和披露</t>
    <phoneticPr fontId="103" type="noConversion"/>
  </si>
  <si>
    <t>IPO/上市/新三板/重组/舞弊应对</t>
    <phoneticPr fontId="103" type="noConversion"/>
  </si>
  <si>
    <t>常规★</t>
    <phoneticPr fontId="103" type="noConversion"/>
  </si>
  <si>
    <t>备选</t>
    <phoneticPr fontId="13" type="noConversion"/>
  </si>
  <si>
    <t>常规★</t>
    <phoneticPr fontId="103"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</si>
  <si>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103" type="noConversion"/>
  </si>
  <si>
    <t>试算平衡表数</t>
  </si>
  <si>
    <t>差异</t>
    <phoneticPr fontId="13" type="noConversion"/>
  </si>
  <si>
    <t>项目</t>
    <phoneticPr fontId="13" type="noConversion"/>
  </si>
  <si>
    <t>期初数</t>
    <phoneticPr fontId="13" type="noConversion"/>
  </si>
  <si>
    <t>期末数</t>
    <phoneticPr fontId="13" type="noConversion"/>
  </si>
  <si>
    <t>未审数</t>
    <phoneticPr fontId="13" type="noConversion"/>
  </si>
  <si>
    <t>账项调整</t>
    <phoneticPr fontId="13" type="noConversion"/>
  </si>
  <si>
    <t>审定数</t>
    <phoneticPr fontId="13" type="noConversion"/>
  </si>
  <si>
    <t>重分类：减一年内到期的租赁负债</t>
    <phoneticPr fontId="13" type="noConversion"/>
  </si>
  <si>
    <t>报表数</t>
    <phoneticPr fontId="13" type="noConversion"/>
  </si>
  <si>
    <t>审定数</t>
    <phoneticPr fontId="13" type="noConversion"/>
  </si>
  <si>
    <t>变动额</t>
    <phoneticPr fontId="13" type="noConversion"/>
  </si>
  <si>
    <t>变动率</t>
    <phoneticPr fontId="13" type="noConversion"/>
  </si>
  <si>
    <t>一、租赁负债原值</t>
  </si>
  <si>
    <t>项目A</t>
    <phoneticPr fontId="13" type="noConversion"/>
  </si>
  <si>
    <t>项目B</t>
    <phoneticPr fontId="13" type="noConversion"/>
  </si>
  <si>
    <t>合计</t>
    <phoneticPr fontId="13" type="noConversion"/>
  </si>
  <si>
    <t>二、未确认融资费用</t>
    <phoneticPr fontId="13" type="noConversion"/>
  </si>
  <si>
    <t>三、租赁负债净值</t>
  </si>
  <si>
    <t>1、审计说明：</t>
    <phoneticPr fontId="13" type="noConversion"/>
  </si>
  <si>
    <t>2、审计结论：</t>
    <phoneticPr fontId="13" type="noConversion"/>
  </si>
  <si>
    <t>本期审定数与上期
审定数的比较</t>
    <phoneticPr fontId="13" type="noConversion"/>
  </si>
  <si>
    <t>出租方名称</t>
    <phoneticPr fontId="13" type="noConversion"/>
  </si>
  <si>
    <t>1年以下</t>
  </si>
  <si>
    <t>1～2年</t>
  </si>
  <si>
    <t>２～3年</t>
  </si>
  <si>
    <t>本期调整</t>
    <phoneticPr fontId="16" type="noConversion"/>
  </si>
  <si>
    <t>审定数</t>
    <phoneticPr fontId="16" type="noConversion"/>
  </si>
  <si>
    <t>重分类：减一年内到期的租赁负债</t>
  </si>
  <si>
    <t>备注</t>
  </si>
  <si>
    <t>期末余额</t>
    <phoneticPr fontId="16" type="noConversion"/>
  </si>
  <si>
    <t>借方发生</t>
  </si>
  <si>
    <t>贷方发生</t>
  </si>
  <si>
    <t>贷方发生</t>
    <phoneticPr fontId="16" type="noConversion"/>
  </si>
  <si>
    <t>期末余额</t>
    <phoneticPr fontId="16" type="noConversion"/>
  </si>
  <si>
    <t>3年以上</t>
    <phoneticPr fontId="13" type="noConversion"/>
  </si>
  <si>
    <t>期末报表数</t>
    <phoneticPr fontId="13" type="noConversion"/>
  </si>
  <si>
    <t>是否关联方</t>
    <phoneticPr fontId="16" type="noConversion"/>
  </si>
  <si>
    <t>出租方名称</t>
    <phoneticPr fontId="13" type="noConversion"/>
  </si>
  <si>
    <t>期后付款</t>
    <phoneticPr fontId="16" type="noConversion"/>
  </si>
  <si>
    <t>贷方发生</t>
    <phoneticPr fontId="16" type="noConversion"/>
  </si>
  <si>
    <t>3年以上</t>
    <phoneticPr fontId="13" type="noConversion"/>
  </si>
  <si>
    <t>期初余额</t>
    <phoneticPr fontId="16" type="noConversion"/>
  </si>
  <si>
    <t>未审数</t>
    <phoneticPr fontId="16" type="noConversion"/>
  </si>
  <si>
    <t>期初调整</t>
    <phoneticPr fontId="16" type="noConversion"/>
  </si>
  <si>
    <t>审定数</t>
    <phoneticPr fontId="16" type="noConversion"/>
  </si>
  <si>
    <t>期末到期日分析</t>
    <phoneticPr fontId="16" type="noConversion"/>
  </si>
  <si>
    <t>发函或替代情况</t>
    <phoneticPr fontId="16" type="noConversion"/>
  </si>
  <si>
    <t>借方发生</t>
    <phoneticPr fontId="16" type="noConversion"/>
  </si>
  <si>
    <t>租赁负债的初始确认及未确认融资费用的摊销计算过程，详见使用权资产底稿&lt;H8-4/H8-5/H8-6/H8-7&gt;</t>
    <phoneticPr fontId="16" type="noConversion"/>
  </si>
  <si>
    <t>到期日</t>
    <phoneticPr fontId="16" type="noConversion"/>
  </si>
  <si>
    <t>账项调整</t>
    <phoneticPr fontId="16" type="noConversion"/>
  </si>
  <si>
    <t>重分类调整</t>
    <phoneticPr fontId="16" type="noConversion"/>
  </si>
  <si>
    <t>期末最终审定数</t>
    <phoneticPr fontId="16" type="noConversion"/>
  </si>
  <si>
    <t>期初余额</t>
    <phoneticPr fontId="16" type="noConversion"/>
  </si>
  <si>
    <t>未审数</t>
    <phoneticPr fontId="16" type="noConversion"/>
  </si>
  <si>
    <t>减：期末一年内到期未确认融资费用</t>
    <phoneticPr fontId="13" type="noConversion"/>
  </si>
  <si>
    <t>是否是关联方</t>
    <phoneticPr fontId="16" type="noConversion"/>
  </si>
  <si>
    <t>借方发生</t>
    <phoneticPr fontId="16" type="noConversion"/>
  </si>
  <si>
    <t>期末余额</t>
    <phoneticPr fontId="16" type="noConversion"/>
  </si>
  <si>
    <t>期初余额</t>
    <phoneticPr fontId="16" type="noConversion"/>
  </si>
  <si>
    <t>借方发生</t>
    <phoneticPr fontId="16" type="noConversion"/>
  </si>
  <si>
    <t>贷方发生</t>
    <phoneticPr fontId="16" type="noConversion"/>
  </si>
  <si>
    <t>H0</t>
    <phoneticPr fontId="13" type="noConversion"/>
  </si>
  <si>
    <r>
      <rPr>
        <sz val="10"/>
        <rFont val="宋体"/>
        <family val="3"/>
        <charset val="134"/>
      </rPr>
      <t>结合使用权资产的审计，检查租赁负债的初始计量和后续计量：
（</t>
    </r>
    <r>
      <rPr>
        <sz val="10"/>
        <rFont val="Arial Narrow"/>
        <family val="2"/>
      </rPr>
      <t>1</t>
    </r>
    <r>
      <rPr>
        <sz val="10"/>
        <rFont val="宋体"/>
        <family val="3"/>
        <charset val="134"/>
      </rPr>
      <t>）获取相关租赁合同</t>
    </r>
    <r>
      <rPr>
        <sz val="10"/>
        <rFont val="Arial Narrow"/>
        <family val="2"/>
      </rPr>
      <t>/</t>
    </r>
    <r>
      <rPr>
        <sz val="10"/>
        <rFont val="宋体"/>
        <family val="3"/>
        <charset val="134"/>
      </rPr>
      <t>协议，检查初始直接费用、或有租金确认、折现率是否合理，使用权资产和租赁负债的入账价值是否正确和会计处理是否正确。
（</t>
    </r>
    <r>
      <rPr>
        <sz val="10"/>
        <rFont val="Arial Narrow"/>
        <family val="2"/>
      </rPr>
      <t>2</t>
    </r>
    <r>
      <rPr>
        <sz val="10"/>
        <rFont val="宋体"/>
        <family val="3"/>
        <charset val="134"/>
      </rPr>
      <t>）当存在续租选择权、购买选择权和终止租赁选择权时，了解被审计单位对是否行使相关权利做出的判断，检查其判断依据是否充分，并评估对使用权资产、租赁负债入账价值的影响；
（</t>
    </r>
    <r>
      <rPr>
        <sz val="10"/>
        <rFont val="Arial Narrow"/>
        <family val="2"/>
      </rPr>
      <t>3</t>
    </r>
    <r>
      <rPr>
        <sz val="10"/>
        <rFont val="宋体"/>
        <family val="3"/>
        <charset val="134"/>
      </rPr>
      <t>）按实际利率法重新计算未确认融资费用摊销、租赁负债余额，计算使用权资产余额，与被审计单位账面记录核对是否一致；
（</t>
    </r>
    <r>
      <rPr>
        <sz val="10"/>
        <rFont val="Arial Narrow"/>
        <family val="2"/>
      </rPr>
      <t>4</t>
    </r>
    <r>
      <rPr>
        <sz val="10"/>
        <rFont val="宋体"/>
        <family val="3"/>
        <charset val="134"/>
      </rPr>
      <t>）重估或租赁变更等原因导致租赁付款额发生变动时，重新计量租赁负债账面价值会计处理是否正确。</t>
    </r>
    <phoneticPr fontId="13" type="noConversion"/>
  </si>
  <si>
    <t>H9-1
/H9-2</t>
    <phoneticPr fontId="13" type="noConversion"/>
  </si>
  <si>
    <t>T1
/</t>
    <phoneticPr fontId="13" type="noConversion"/>
  </si>
  <si>
    <t>H8-4
/H8-5</t>
    <phoneticPr fontId="13" type="noConversion"/>
  </si>
  <si>
    <t xml:space="preserve">必要时函证租赁资产、租赁期、应付和已付租金、租赁条款等信息。 </t>
    <phoneticPr fontId="13" type="noConversion"/>
  </si>
  <si>
    <t>二、审计目标与认定的对应关系</t>
    <phoneticPr fontId="13" type="noConversion"/>
  </si>
  <si>
    <t>三、计划实施的实质性程序</t>
    <phoneticPr fontId="13" type="noConversion"/>
  </si>
  <si>
    <r>
      <rPr>
        <sz val="10"/>
        <rFont val="宋体"/>
        <family val="3"/>
        <charset val="134"/>
      </rPr>
      <t>完整性</t>
    </r>
    <phoneticPr fontId="13" type="noConversion"/>
  </si>
  <si>
    <r>
      <rPr>
        <sz val="10"/>
        <rFont val="宋体"/>
        <family val="3"/>
        <charset val="134"/>
      </rPr>
      <t>权利和义务</t>
    </r>
    <phoneticPr fontId="13" type="noConversion"/>
  </si>
  <si>
    <r>
      <rPr>
        <sz val="10"/>
        <rFont val="宋体"/>
        <family val="3"/>
        <charset val="134"/>
      </rPr>
      <t>列报</t>
    </r>
    <phoneticPr fontId="13" type="noConversion"/>
  </si>
  <si>
    <t>审计目标</t>
    <phoneticPr fontId="13" type="noConversion"/>
  </si>
  <si>
    <r>
      <t xml:space="preserve">B. </t>
    </r>
    <r>
      <rPr>
        <sz val="10"/>
        <rFont val="宋体"/>
        <family val="3"/>
        <charset val="134"/>
      </rPr>
      <t>所有应记录的租赁负债均已记录，所有应当包括在财务报表中的相关披露均已包括</t>
    </r>
    <phoneticPr fontId="13" type="noConversion"/>
  </si>
  <si>
    <r>
      <t xml:space="preserve">C. </t>
    </r>
    <r>
      <rPr>
        <sz val="10"/>
        <rFont val="宋体"/>
        <family val="3"/>
        <charset val="134"/>
      </rPr>
      <t>记录的租赁负债由被审计单位拥有或控制；</t>
    </r>
    <phoneticPr fontId="13" type="noConversion"/>
  </si>
  <si>
    <r>
      <t xml:space="preserve">D. </t>
    </r>
    <r>
      <rPr>
        <sz val="10"/>
        <rFont val="宋体"/>
        <family val="3"/>
        <charset val="134"/>
      </rPr>
      <t>租赁负债以恰当的金额包括在财务报表中，与之相关的计价或分摊调整已恰当记录，相关披露已得到恰当计量和描述</t>
    </r>
    <r>
      <rPr>
        <sz val="10"/>
        <rFont val="Arial Narrow"/>
        <family val="2"/>
      </rPr>
      <t xml:space="preserve"> </t>
    </r>
    <phoneticPr fontId="13"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</si>
  <si>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</si>
  <si>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13"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</si>
  <si>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3"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</si>
  <si>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3"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</si>
  <si>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3" type="noConversion"/>
  </si>
  <si>
    <t>根据被审计单位实际情况和风险评估情况裁剪、修改或增加审计程序</t>
    <phoneticPr fontId="13" type="noConversion"/>
  </si>
  <si>
    <t>审计程序</t>
    <phoneticPr fontId="10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</si>
</sst>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2">
    <numFmt numFmtId="41" formatCode="_ * #,##0_ ;_ * \-#,##0_ ;_ * &quot;-&quot;_ ;_ @_ "/>
    <numFmt numFmtId="43" formatCode="_ * #,##0.00_ ;_ * \-#,##0.00_ ;_ * &quot;-&quot;??_ ;_ @_ "/>
    <numFmt numFmtId="176" formatCode="_-* #,##0_-;\-* #,##0_-;_-* &quot;-&quot;_-;_-@_-"/>
    <numFmt numFmtId="177" formatCode="_-* #,##0.00_-;\-* #,##0.00_-;_-* &quot;-&quot;??_-;_-@_-"/>
    <numFmt numFmtId="178" formatCode="&quot;$&quot;#,##0_);\(&quot;$&quot;#,##0\)"/>
    <numFmt numFmtId="179" formatCode="_-&quot;$&quot;* #,##0_-;\-&quot;$&quot;* #,##0_-;_-&quot;$&quot;* &quot;-&quot;_-;_-@_-"/>
    <numFmt numFmtId="180" formatCode="_-&quot;$&quot;* #,##0.00_-;\-&quot;$&quot;* #,##0.00_-;_-&quot;$&quot;* &quot;-&quot;??_-;_-@_-"/>
    <numFmt numFmtId="181" formatCode="&quot;\&quot;#,##0;&quot;\&quot;&quot;\&quot;\-#,##0"/>
    <numFmt numFmtId="182" formatCode="&quot;\&quot;#,##0;[Red]&quot;\&quot;&quot;\&quot;\-#,##0"/>
    <numFmt numFmtId="183" formatCode="_-#,##0.00_-;\(#,##0.00\);_-\ \ &quot;-&quot;_-;_-@_-"/>
    <numFmt numFmtId="184" formatCode="mmm/yyyy;_-\ &quot;N/A&quot;_-;_-\ &quot;-&quot;_-"/>
    <numFmt numFmtId="185" formatCode="mmm/dd/yyyy;_-\ &quot;N/A&quot;_-;_-\ &quot;-&quot;_-"/>
    <numFmt numFmtId="186" formatCode="_-#,##0_-;\(#,##0\);_-\ \ &quot;-&quot;_-;_-@_-"/>
    <numFmt numFmtId="187" formatCode="_-#,##0%_-;\(#,##0%\);_-\ &quot;-&quot;_-"/>
    <numFmt numFmtId="188" formatCode="_-#,###,_-;\(#,###,\);_-\ \ &quot;-&quot;_-;_-@_-"/>
    <numFmt numFmtId="189" formatCode="_-#,###.00,_-;\(#,###.00,\);_-\ \ &quot;-&quot;_-;_-@_-"/>
    <numFmt numFmtId="190" formatCode="_-#0&quot;.&quot;0000_-;\(#0&quot;.&quot;0000\);_-\ \ &quot;-&quot;_-;_-@_-"/>
    <numFmt numFmtId="191" formatCode="_-#0&quot;.&quot;0,_-;\(#0&quot;.&quot;0,\);_-\ \ &quot;-&quot;_-;_-@_-"/>
    <numFmt numFmtId="192" formatCode="_-* #,##0.0000000000_-;\-* #,##0.0000000000_-;_-* &quot;-&quot;??_-;_-@_-"/>
    <numFmt numFmtId="193" formatCode="0.0%"/>
    <numFmt numFmtId="194" formatCode="&quot;¥&quot;#,##0;\-&quot;¥&quot;#,##0"/>
    <numFmt numFmtId="195" formatCode="#.\ \ "/>
    <numFmt numFmtId="196" formatCode="##.\ \ "/>
    <numFmt numFmtId="197" formatCode="#,##0;\-#,##0;&quot;-&quot;"/>
    <numFmt numFmtId="198" formatCode="#,##0.0_);\(#,##0.0\)"/>
    <numFmt numFmtId="199" formatCode="_(* #,##0.0000_);_(* \(#,##0.0000\);_(* &quot;-&quot;??_);_(@_)"/>
    <numFmt numFmtId="200" formatCode="mmmm\ d\,\ yyyy"/>
    <numFmt numFmtId="201" formatCode="#,##0\ &quot;FB&quot;;\-#,##0\ &quot;FB&quot;"/>
    <numFmt numFmtId="202" formatCode="_(&quot;$&quot;* #,##0.00_);_(&quot;$&quot;* \(#,##0.00\);_(&quot;$&quot;* &quot;-&quot;??_);_(@_)"/>
    <numFmt numFmtId="203" formatCode="0.0%;\(0.0%\)"/>
    <numFmt numFmtId="204" formatCode="&quot;$&quot;#,##0;[Red]&quot;$&quot;&quot;$&quot;&quot;$&quot;&quot;$&quot;&quot;$&quot;&quot;$&quot;&quot;$&quot;\-#,##0"/>
    <numFmt numFmtId="205" formatCode="_(&quot;$&quot;* #,##0_);_(&quot;$&quot;* \(#,##0\);_(&quot;$&quot;* &quot;-&quot;_);_(@_)"/>
    <numFmt numFmtId="206" formatCode="#,##0;\(#,##0\)"/>
    <numFmt numFmtId="207" formatCode="&quot;$&quot;#,##0.00_);\(&quot;$&quot;#,##0.00\)"/>
    <numFmt numFmtId="208" formatCode="\$#,##0.00;\(\$#,##0.00\)"/>
    <numFmt numFmtId="209" formatCode="#,##0.000000"/>
    <numFmt numFmtId="210" formatCode="\$#,##0;\(\$#,##0\)"/>
    <numFmt numFmtId="211" formatCode="&quot;?#,##0;\-&quot;?#,##0"/>
    <numFmt numFmtId="212" formatCode="_-* #,##0&quot;¥&quot;_-;\-* #,##0&quot;¥&quot;_-;_-* &quot;-&quot;&quot;¥&quot;_-;_-@_-"/>
    <numFmt numFmtId="213" formatCode="_-* #,##0.00\ _B_E_F_-;\-* #,##0.00\ _B_E_F_-;_-* &quot;-&quot;??\ _B_E_F_-;_-@_-"/>
    <numFmt numFmtId="214" formatCode="&quot;$&quot;#,##0;\-&quot;$&quot;#,##0"/>
    <numFmt numFmtId="215" formatCode="#,##0&quot; $&quot;;[Red]\-#,##0&quot; $&quot;"/>
    <numFmt numFmtId="216" formatCode="#,##0.00\ &quot;FB&quot;;\-#,##0.00\ &quot;FB&quot;"/>
    <numFmt numFmtId="217" formatCode="#,##0.00\ &quot;FB&quot;;[Red]\-#,##0.00\ &quot;FB&quot;"/>
    <numFmt numFmtId="218" formatCode="_-* #,##0\ _k_r_-;\-* #,##0\ _k_r_-;_-* &quot;-&quot;\ _k_r_-;_-@_-"/>
    <numFmt numFmtId="219" formatCode="_-* #,##0.00\ _k_r_-;\-* #,##0.00\ _k_r_-;_-* &quot;-&quot;??\ _k_r_-;_-@_-"/>
    <numFmt numFmtId="220" formatCode="#,##0.00_);#,##0.00\)"/>
    <numFmt numFmtId="221" formatCode="0.00000&quot;  &quot;"/>
    <numFmt numFmtId="222" formatCode="&quot;\&quot;#,##0.00;[Red]&quot;\&quot;&quot;\&quot;&quot;\&quot;&quot;\&quot;&quot;\&quot;&quot;\&quot;\-#,##0.00"/>
    <numFmt numFmtId="223" formatCode="&quot;\&quot;#,##0.00;[Red]&quot;\&quot;\-#,##0.00"/>
    <numFmt numFmtId="224" formatCode="&quot;\&quot;#,##0;[Red]&quot;\&quot;\-#,##0"/>
    <numFmt numFmtId="22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26" formatCode="#,##0&quot; F&quot;_);\(#,##0&quot; F&quot;\)"/>
    <numFmt numFmtId="227" formatCode=";;;"/>
    <numFmt numFmtId="228" formatCode="#,##0.00&quot;¥&quot;;\-#,##0.00&quot;¥&quot;"/>
    <numFmt numFmtId="229" formatCode="_-* #,##0_-;\-* #,##0_-;_-* &quot;-&quot;??_-;_-@_-"/>
    <numFmt numFmtId="230" formatCode="0.00000000000_);[Red]\(0.00000000000\)"/>
    <numFmt numFmtId="231" formatCode="0%_);\(0%\)"/>
    <numFmt numFmtId="232" formatCode="#,##0.00&quot;¥&quot;;[Red]\-#,##0.00&quot;¥&quot;"/>
    <numFmt numFmtId="233" formatCode="_(* #,##0_);_(* \(#,##0\);_(* &quot;-&quot;_);_(@_)"/>
    <numFmt numFmtId="234" formatCode="_([$€-2]* #,##0.00_);_([$€-2]* \(#,##0.00\);_([$€-2]* &quot;-&quot;??_)"/>
    <numFmt numFmtId="235" formatCode="#,##0.00_);[Red]\(#,##0.00\)"/>
  </numFmts>
  <fonts count="166">
    <font>
      <sz val="12"/>
      <name val="宋体"/>
      <charset val="134"/>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b/>
      <sz val="10"/>
      <color indexed="8"/>
      <name val="宋体"/>
      <family val="3"/>
      <charset val="134"/>
    </font>
    <font>
      <sz val="10"/>
      <color indexed="12"/>
      <name val="宋体"/>
      <family val="3"/>
      <charset val="134"/>
    </font>
    <font>
      <sz val="12"/>
      <name val="Arial"/>
      <family val="2"/>
    </font>
    <font>
      <b/>
      <sz val="10"/>
      <color indexed="10"/>
      <name val="Arial"/>
      <family val="2"/>
    </font>
    <font>
      <b/>
      <sz val="12"/>
      <name val="Arial"/>
      <family val="2"/>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u/>
      <sz val="10"/>
      <name val="Arial Narrow"/>
      <family val="2"/>
    </font>
    <font>
      <sz val="10"/>
      <color indexed="12"/>
      <name val="Arial Narrow"/>
      <family val="2"/>
    </font>
    <font>
      <b/>
      <sz val="10"/>
      <color indexed="8"/>
      <name val="Arial Narrow"/>
      <family val="2"/>
    </font>
    <font>
      <sz val="10.5"/>
      <name val="Arial Narrow"/>
      <family val="2"/>
    </font>
    <font>
      <sz val="10"/>
      <color indexed="8"/>
      <name val="Arial Narrow"/>
      <family val="2"/>
    </font>
    <font>
      <b/>
      <sz val="10"/>
      <color indexed="12"/>
      <name val="Arial Narrow"/>
      <family val="2"/>
    </font>
    <font>
      <sz val="10"/>
      <color indexed="8"/>
      <name val="Arial"/>
      <family val="2"/>
    </font>
    <font>
      <sz val="10"/>
      <name val="Helv"/>
      <family val="2"/>
    </font>
    <font>
      <sz val="13"/>
      <name val="Tms Rmn"/>
      <family val="1"/>
    </font>
    <font>
      <sz val="10"/>
      <name val="Book Antiqua"/>
      <family val="1"/>
    </font>
    <font>
      <b/>
      <sz val="10"/>
      <name val="Book Antiqua"/>
      <family val="1"/>
    </font>
    <font>
      <sz val="12"/>
      <color indexed="9"/>
      <name val="宋体"/>
      <family val="3"/>
      <charset val="134"/>
    </font>
    <font>
      <sz val="12"/>
      <color indexed="8"/>
      <name val="宋体"/>
      <family val="3"/>
      <charset val="134"/>
    </font>
    <font>
      <sz val="8"/>
      <name val="Times New Roman"/>
      <family val="1"/>
    </font>
    <font>
      <b/>
      <sz val="10"/>
      <name val="Helv"/>
      <family val="2"/>
    </font>
    <font>
      <b/>
      <sz val="13"/>
      <name val="Tms Rmn"/>
      <family val="1"/>
    </font>
    <font>
      <b/>
      <sz val="8"/>
      <name val="Arial"/>
      <family val="2"/>
    </font>
    <font>
      <sz val="10"/>
      <name val="MS Serif"/>
      <family val="1"/>
    </font>
    <font>
      <sz val="10"/>
      <color indexed="16"/>
      <name val="MS Serif"/>
      <family val="1"/>
    </font>
    <font>
      <sz val="9"/>
      <name val="Times New Roman"/>
      <family val="1"/>
    </font>
    <font>
      <b/>
      <sz val="12"/>
      <name val="Helv"/>
      <family val="2"/>
    </font>
    <font>
      <sz val="12"/>
      <name val="Helv"/>
      <family val="2"/>
    </font>
    <font>
      <sz val="12"/>
      <color indexed="9"/>
      <name val="Helv"/>
      <family val="2"/>
    </font>
    <font>
      <b/>
      <sz val="11"/>
      <name val="Helv"/>
      <family val="2"/>
    </font>
    <font>
      <sz val="10"/>
      <color indexed="8"/>
      <name val="MS Sans Serif"/>
      <family val="2"/>
    </font>
    <font>
      <sz val="10"/>
      <name val="Tms Rmn"/>
      <family val="1"/>
    </font>
    <font>
      <sz val="10"/>
      <name val="MS Sans Serif"/>
      <family val="2"/>
    </font>
    <font>
      <sz val="8"/>
      <color indexed="16"/>
      <name val="Century Schoolbook"/>
      <family val="1"/>
    </font>
    <font>
      <sz val="12"/>
      <name val="Times New Roman"/>
      <family val="1"/>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8"/>
      <color indexed="8"/>
      <name val="Helv"/>
      <family val="2"/>
    </font>
    <font>
      <b/>
      <sz val="9"/>
      <name val="Times New Roman"/>
      <family val="1"/>
    </font>
    <font>
      <sz val="11"/>
      <name val="明朝"/>
      <family val="3"/>
      <charset val="134"/>
    </font>
    <font>
      <sz val="14"/>
      <name val="柧挬"/>
      <family val="2"/>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2"/>
      <color indexed="20"/>
      <name val="宋体"/>
      <family val="3"/>
      <charset val="134"/>
    </font>
    <font>
      <sz val="11"/>
      <color theme="1"/>
      <name val="宋体"/>
      <family val="3"/>
      <charset val="134"/>
      <scheme val="minor"/>
    </font>
    <font>
      <u/>
      <sz val="9"/>
      <color indexed="12"/>
      <name val="Times New Roman"/>
      <family val="1"/>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amily val="2"/>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2"/>
    </font>
    <font>
      <sz val="12"/>
      <name val="바탕체"/>
      <family val="3"/>
    </font>
    <font>
      <sz val="12"/>
      <name val="仿宋_GB2312"/>
      <family val="3"/>
      <charset val="134"/>
    </font>
    <font>
      <sz val="10"/>
      <color rgb="FFFF0000"/>
      <name val="Arial Narrow"/>
      <family val="2"/>
    </font>
    <font>
      <b/>
      <sz val="10"/>
      <color rgb="FFFF0000"/>
      <name val="宋体"/>
      <family val="3"/>
      <charset val="134"/>
    </font>
    <font>
      <b/>
      <sz val="10"/>
      <color rgb="FFFF0000"/>
      <name val="Arial Narrow"/>
      <family val="2"/>
    </font>
    <font>
      <i/>
      <u/>
      <sz val="10"/>
      <color indexed="12"/>
      <name val="Arial Narrow"/>
      <family val="2"/>
    </font>
    <font>
      <b/>
      <sz val="10"/>
      <color theme="1"/>
      <name val="Arial Narrow"/>
      <family val="2"/>
    </font>
    <font>
      <b/>
      <sz val="10"/>
      <color theme="1"/>
      <name val="宋体"/>
      <family val="3"/>
      <charset val="134"/>
    </font>
    <font>
      <sz val="11"/>
      <color theme="1"/>
      <name val="宋体"/>
      <family val="2"/>
      <scheme val="minor"/>
    </font>
    <font>
      <sz val="10"/>
      <color theme="1"/>
      <name val="Arial Narrow"/>
      <family val="2"/>
    </font>
    <font>
      <b/>
      <sz val="10"/>
      <color rgb="FF0000FF"/>
      <name val="Arial Narrow"/>
      <family val="2"/>
    </font>
    <font>
      <sz val="10"/>
      <color rgb="FF0000FF"/>
      <name val="Arial Narrow"/>
      <family val="2"/>
    </font>
    <font>
      <sz val="10"/>
      <color rgb="FF0000FF"/>
      <name val="宋体"/>
      <family val="3"/>
      <charset val="134"/>
    </font>
    <font>
      <sz val="10"/>
      <color rgb="FFFF0000"/>
      <name val="宋体"/>
      <family val="3"/>
      <charset val="134"/>
    </font>
    <font>
      <sz val="9"/>
      <name val="宋体"/>
      <family val="2"/>
      <charset val="134"/>
      <scheme val="minor"/>
    </font>
    <font>
      <sz val="11"/>
      <color theme="1"/>
      <name val="宋体"/>
      <family val="2"/>
      <charset val="134"/>
      <scheme val="minor"/>
    </font>
    <font>
      <sz val="10"/>
      <color indexed="10"/>
      <name val="宋体"/>
      <family val="3"/>
      <charset val="134"/>
    </font>
    <font>
      <sz val="10"/>
      <color indexed="10"/>
      <name val="Arial Narrow"/>
      <family val="2"/>
    </font>
    <font>
      <b/>
      <sz val="10"/>
      <name val="Arial"/>
      <family val="2"/>
    </font>
    <font>
      <sz val="10"/>
      <color theme="1"/>
      <name val="宋体"/>
      <family val="3"/>
      <charset val="134"/>
    </font>
    <font>
      <b/>
      <sz val="9"/>
      <color indexed="81"/>
      <name val="宋体"/>
      <family val="3"/>
      <charset val="134"/>
    </font>
    <font>
      <sz val="9"/>
      <color indexed="81"/>
      <name val="宋体"/>
      <family val="3"/>
      <charset val="134"/>
    </font>
    <font>
      <sz val="12"/>
      <name val="???"/>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Tms Rm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b/>
      <sz val="11"/>
      <color indexed="63"/>
      <name val="Calibri"/>
      <family val="2"/>
    </font>
    <font>
      <sz val="9"/>
      <color indexed="8"/>
      <name val="宋体"/>
      <family val="3"/>
      <charset val="134"/>
    </font>
    <font>
      <b/>
      <sz val="12"/>
      <name val="MS Sans Serif"/>
      <family val="2"/>
    </font>
    <font>
      <sz val="12"/>
      <name val="MS Sans Serif"/>
      <family val="2"/>
    </font>
    <font>
      <sz val="11"/>
      <color indexed="10"/>
      <name val="Calibri"/>
      <family val="2"/>
    </font>
    <font>
      <sz val="11"/>
      <color rgb="FF9C0006"/>
      <name val="宋体"/>
      <family val="3"/>
      <charset val="134"/>
      <scheme val="minor"/>
    </font>
    <font>
      <sz val="10"/>
      <color indexed="20"/>
      <name val="Times New Roman"/>
      <family val="1"/>
    </font>
    <font>
      <sz val="11"/>
      <color indexed="8"/>
      <name val="宋体"/>
      <family val="3"/>
      <charset val="134"/>
    </font>
    <font>
      <sz val="11"/>
      <color rgb="FF006100"/>
      <name val="宋体"/>
      <family val="3"/>
      <charset val="134"/>
      <scheme val="minor"/>
    </font>
    <font>
      <sz val="10"/>
      <color indexed="17"/>
      <name val="Times New Roman"/>
      <family val="1"/>
    </font>
    <font>
      <b/>
      <sz val="10"/>
      <color rgb="FFE92841"/>
      <name val="Arial Narrow"/>
      <family val="2"/>
    </font>
    <font>
      <b/>
      <sz val="12"/>
      <color indexed="8"/>
      <name val="宋体"/>
      <family val="3"/>
      <charset val="134"/>
      <scheme val="minor"/>
    </font>
    <font>
      <sz val="10"/>
      <name val="宋体"/>
      <family val="3"/>
      <charset val="134"/>
      <scheme val="minor"/>
    </font>
    <font>
      <b/>
      <sz val="10"/>
      <name val="宋体"/>
      <family val="3"/>
      <charset val="134"/>
      <scheme val="minor"/>
    </font>
    <font>
      <b/>
      <sz val="10.5"/>
      <name val="仿宋_GB2312"/>
      <family val="3"/>
      <charset val="134"/>
    </font>
    <font>
      <b/>
      <sz val="10.5"/>
      <name val="Arial Narrow"/>
      <family val="2"/>
    </font>
    <font>
      <b/>
      <sz val="10.5"/>
      <color rgb="FF000000"/>
      <name val="仿宋_GB2312"/>
      <family val="3"/>
      <charset val="134"/>
    </font>
    <font>
      <sz val="10.5"/>
      <name val="仿宋_GB2312"/>
      <family val="3"/>
      <charset val="134"/>
    </font>
    <font>
      <sz val="12"/>
      <color rgb="FFFF0000"/>
      <name val="Arial Narrow"/>
      <family val="2"/>
    </font>
    <font>
      <sz val="12"/>
      <color rgb="FFFF0000"/>
      <name val="仿宋_GB2312"/>
      <family val="3"/>
      <charset val="134"/>
    </font>
    <font>
      <sz val="12"/>
      <color rgb="FF0000FF"/>
      <name val="仿宋_GB2312"/>
      <family val="3"/>
      <charset val="134"/>
    </font>
    <font>
      <sz val="12"/>
      <color rgb="FF0000FF"/>
      <name val="Arial Narrow"/>
      <family val="2"/>
    </font>
    <font>
      <sz val="10.5"/>
      <color rgb="FF000000"/>
      <name val="仿宋_GB2312"/>
      <family val="3"/>
      <charset val="134"/>
    </font>
    <font>
      <sz val="10"/>
      <color rgb="FF0000E1"/>
      <name val="宋体"/>
      <family val="3"/>
      <charset val="134"/>
    </font>
    <font>
      <sz val="10"/>
      <color rgb="FF0000E1"/>
      <name val="Arial Narrow"/>
      <family val="2"/>
    </font>
    <font>
      <sz val="9"/>
      <color rgb="FF0000FF"/>
      <name val="宋体"/>
      <family val="3"/>
      <charset val="134"/>
    </font>
    <font>
      <sz val="10"/>
      <color rgb="FF0000FF"/>
      <name val="宋体"/>
      <family val="3"/>
      <charset val="134"/>
      <scheme val="major"/>
    </font>
    <font>
      <sz val="12"/>
      <color indexed="12"/>
      <name val="宋体"/>
      <family val="3"/>
      <charset val="134"/>
    </font>
    <font>
      <u/>
      <sz val="10"/>
      <color indexed="12"/>
      <name val="Arial Narrow"/>
      <family val="2"/>
    </font>
    <font>
      <u/>
      <sz val="10"/>
      <color indexed="12"/>
      <name val="宋体"/>
      <family val="3"/>
      <charset val="134"/>
    </font>
    <font>
      <b/>
      <sz val="10"/>
      <color indexed="10"/>
      <name val="Arial Narrow"/>
      <family val="2"/>
    </font>
    <font>
      <b/>
      <sz val="14"/>
      <name val="Arial Narrow"/>
      <family val="2"/>
    </font>
    <font>
      <b/>
      <sz val="14"/>
      <name val="宋体"/>
      <family val="3"/>
      <charset val="134"/>
    </font>
    <font>
      <sz val="14"/>
      <name val="Arial Narrow"/>
      <family val="2"/>
    </font>
    <font>
      <b/>
      <sz val="14"/>
      <color indexed="8"/>
      <name val="宋体"/>
      <family val="3"/>
      <charset val="134"/>
      <scheme val="minor"/>
    </font>
    <font>
      <b/>
      <sz val="10"/>
      <color rgb="FF0000E1"/>
      <name val="Arial Narrow"/>
      <family val="2"/>
    </font>
    <font>
      <b/>
      <sz val="10"/>
      <color rgb="FF0000E1"/>
      <name val="宋体"/>
      <family val="3"/>
      <charset val="134"/>
    </font>
    <font>
      <sz val="10"/>
      <color rgb="FF0000E1"/>
      <name val="宋体"/>
      <family val="3"/>
      <charset val="134"/>
      <scheme val="major"/>
    </font>
    <font>
      <sz val="9"/>
      <color rgb="FF0000FF"/>
      <name val="Arial Narrow"/>
      <family val="2"/>
    </font>
  </fonts>
  <fills count="6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indexed="65"/>
        <bgColor indexed="64"/>
      </patternFill>
    </fill>
    <fill>
      <patternFill patternType="gray0625">
        <fgColor indexed="10"/>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13"/>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43"/>
        <bgColor indexed="64"/>
      </patternFill>
    </fill>
    <fill>
      <patternFill patternType="solid">
        <fgColor indexed="40"/>
        <bgColor indexed="64"/>
      </patternFill>
    </fill>
    <fill>
      <patternFill patternType="solid">
        <fgColor indexed="45"/>
      </patternFill>
    </fill>
    <fill>
      <patternFill patternType="solid">
        <fgColor indexed="29"/>
      </patternFill>
    </fill>
    <fill>
      <patternFill patternType="solid">
        <fgColor indexed="10"/>
      </patternFill>
    </fill>
    <fill>
      <patternFill patternType="solid">
        <fgColor indexed="51"/>
      </patternFill>
    </fill>
    <fill>
      <patternFill patternType="solid">
        <fgColor indexed="52"/>
      </patternFill>
    </fill>
    <fill>
      <patternFill patternType="solid">
        <fgColor indexed="53"/>
      </patternFill>
    </fill>
    <fill>
      <patternFill patternType="solid">
        <fgColor indexed="57"/>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45"/>
        <bgColor indexed="45"/>
      </patternFill>
    </fill>
    <fill>
      <patternFill patternType="solid">
        <fgColor indexed="13"/>
      </patternFill>
    </fill>
    <fill>
      <patternFill patternType="solid">
        <fgColor indexed="56"/>
      </patternFill>
    </fill>
    <fill>
      <patternFill patternType="solid">
        <fgColor indexed="42"/>
      </patternFill>
    </fill>
    <fill>
      <patternFill patternType="solid">
        <fgColor indexed="18"/>
      </patternFill>
    </fill>
    <fill>
      <patternFill patternType="solid">
        <fgColor indexed="58"/>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30"/>
      </patternFill>
    </fill>
    <fill>
      <patternFill patternType="solid">
        <fgColor indexed="36"/>
      </patternFill>
    </fill>
    <fill>
      <patternFill patternType="solid">
        <fgColor indexed="49"/>
      </patternFill>
    </fill>
    <fill>
      <patternFill patternType="solid">
        <fgColor indexed="22"/>
      </patternFill>
    </fill>
    <fill>
      <patternFill patternType="solid">
        <fgColor indexed="55"/>
      </patternFill>
    </fill>
    <fill>
      <patternFill patternType="solid">
        <fgColor indexed="27"/>
        <bgColor indexed="64"/>
      </patternFill>
    </fill>
    <fill>
      <patternFill patternType="solid">
        <fgColor indexed="26"/>
      </patternFill>
    </fill>
    <fill>
      <patternFill patternType="solid">
        <fgColor indexed="9"/>
      </patternFill>
    </fill>
    <fill>
      <patternFill patternType="solid">
        <fgColor indexed="9"/>
        <bgColor indexed="9"/>
      </patternFill>
    </fill>
    <fill>
      <patternFill patternType="solid">
        <fgColor rgb="FFE4DFEC"/>
        <bgColor indexed="64"/>
      </patternFill>
    </fill>
    <fill>
      <patternFill patternType="solid">
        <fgColor theme="0" tint="-0.14999847407452621"/>
        <bgColor indexed="64"/>
      </patternFill>
    </fill>
  </fills>
  <borders count="40">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bottom style="hair">
        <color indexed="64"/>
      </bottom>
      <diagonal/>
    </border>
    <border>
      <left style="hair">
        <color indexed="64"/>
      </left>
      <right style="hair">
        <color indexed="64"/>
      </right>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8"/>
      </left>
      <right style="hair">
        <color indexed="8"/>
      </right>
      <top style="hair">
        <color indexed="8"/>
      </top>
      <bottom/>
      <diagonal/>
    </border>
    <border>
      <left style="hair">
        <color indexed="8"/>
      </left>
      <right style="hair">
        <color indexed="8"/>
      </right>
      <top style="hair">
        <color indexed="8"/>
      </top>
      <bottom style="hair">
        <color indexed="8"/>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style="hair">
        <color indexed="8"/>
      </right>
      <top style="hair">
        <color indexed="8"/>
      </top>
      <bottom style="hair">
        <color indexed="8"/>
      </bottom>
      <diagonal/>
    </border>
    <border>
      <left/>
      <right/>
      <top style="hair">
        <color indexed="8"/>
      </top>
      <bottom style="hair">
        <color indexed="8"/>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1"/>
      </top>
      <bottom style="medium">
        <color auto="1"/>
      </bottom>
      <diagonal/>
    </border>
    <border>
      <left style="hair">
        <color auto="1"/>
      </left>
      <right style="hair">
        <color auto="1"/>
      </right>
      <top style="hair">
        <color auto="1"/>
      </top>
      <bottom style="hair">
        <color auto="1"/>
      </bottom>
      <diagonal/>
    </border>
    <border>
      <left/>
      <right/>
      <top style="hair">
        <color indexed="64"/>
      </top>
      <bottom/>
      <diagonal/>
    </border>
    <border>
      <left style="hair">
        <color indexed="64"/>
      </left>
      <right/>
      <top/>
      <bottom/>
      <diagonal/>
    </border>
    <border>
      <left style="thin">
        <color auto="1"/>
      </left>
      <right style="thin">
        <color auto="1"/>
      </right>
      <top style="thin">
        <color auto="1"/>
      </top>
      <bottom style="thin">
        <color auto="1"/>
      </bottom>
      <diagonal/>
    </border>
  </borders>
  <cellStyleXfs count="796">
    <xf numFmtId="0" fontId="0" fillId="0" borderId="0">
      <protection locked="0"/>
    </xf>
    <xf numFmtId="49" fontId="16" fillId="0" borderId="0" applyProtection="0">
      <alignment horizontal="left"/>
    </xf>
    <xf numFmtId="186" fontId="16" fillId="0" borderId="0" applyFill="0" applyBorder="0" applyProtection="0">
      <alignment horizontal="right"/>
    </xf>
    <xf numFmtId="183" fontId="16" fillId="0" borderId="0" applyFill="0" applyBorder="0" applyProtection="0">
      <alignment horizontal="right"/>
    </xf>
    <xf numFmtId="185" fontId="23" fillId="0" borderId="0" applyFill="0" applyBorder="0" applyProtection="0">
      <alignment horizontal="center"/>
    </xf>
    <xf numFmtId="184" fontId="23" fillId="0" borderId="0" applyFill="0" applyBorder="0" applyProtection="0">
      <alignment horizontal="center"/>
    </xf>
    <xf numFmtId="187" fontId="24" fillId="0" borderId="0" applyFill="0" applyBorder="0" applyProtection="0">
      <alignment horizontal="right"/>
    </xf>
    <xf numFmtId="188" fontId="16" fillId="0" borderId="0" applyFill="0" applyBorder="0" applyProtection="0">
      <alignment horizontal="right"/>
    </xf>
    <xf numFmtId="189" fontId="16" fillId="0" borderId="0" applyFill="0" applyBorder="0" applyProtection="0">
      <alignment horizontal="right"/>
    </xf>
    <xf numFmtId="191" fontId="16" fillId="0" borderId="0" applyFill="0" applyBorder="0" applyProtection="0">
      <alignment horizontal="right"/>
    </xf>
    <xf numFmtId="190" fontId="16" fillId="0" borderId="0" applyFill="0" applyBorder="0" applyProtection="0">
      <alignment horizontal="right"/>
    </xf>
    <xf numFmtId="3" fontId="3" fillId="0" borderId="0"/>
    <xf numFmtId="178" fontId="4" fillId="0" borderId="1" applyAlignment="0" applyProtection="0"/>
    <xf numFmtId="41" fontId="5" fillId="0" borderId="0" applyFont="0" applyFill="0" applyBorder="0" applyAlignment="0" applyProtection="0"/>
    <xf numFmtId="43" fontId="5" fillId="0" borderId="0" applyFont="0" applyFill="0" applyBorder="0" applyAlignment="0" applyProtection="0"/>
    <xf numFmtId="0" fontId="16" fillId="0" borderId="0" applyFont="0" applyFill="0" applyBorder="0" applyAlignment="0" applyProtection="0"/>
    <xf numFmtId="0" fontId="6" fillId="0" borderId="0" applyNumberFormat="0" applyFill="0" applyBorder="0" applyAlignment="0" applyProtection="0">
      <alignment vertical="top"/>
      <protection locked="0"/>
    </xf>
    <xf numFmtId="38" fontId="7" fillId="2" borderId="0" applyNumberFormat="0" applyBorder="0" applyAlignment="0" applyProtection="0"/>
    <xf numFmtId="0" fontId="8" fillId="0" borderId="0" applyNumberFormat="0" applyFill="0" applyBorder="0" applyAlignment="0" applyProtection="0">
      <alignment vertical="top"/>
      <protection locked="0"/>
    </xf>
    <xf numFmtId="10" fontId="7" fillId="3" borderId="2" applyNumberFormat="0" applyBorder="0" applyAlignment="0" applyProtection="0"/>
    <xf numFmtId="0" fontId="10" fillId="0" borderId="0"/>
    <xf numFmtId="181" fontId="9" fillId="0" borderId="0"/>
    <xf numFmtId="10" fontId="5" fillId="0" borderId="0" applyFont="0" applyFill="0" applyBorder="0" applyAlignment="0" applyProtection="0"/>
    <xf numFmtId="3" fontId="11" fillId="0" borderId="0"/>
    <xf numFmtId="9" fontId="9" fillId="0" borderId="0" applyFont="0" applyFill="0" applyBorder="0" applyAlignment="0" applyProtection="0"/>
    <xf numFmtId="0" fontId="9" fillId="0" borderId="0">
      <alignment vertical="center"/>
    </xf>
    <xf numFmtId="0" fontId="9" fillId="0" borderId="0">
      <alignment vertical="center"/>
    </xf>
    <xf numFmtId="0" fontId="16" fillId="0" borderId="0">
      <protection locked="0"/>
    </xf>
    <xf numFmtId="0" fontId="9" fillId="0" borderId="0">
      <alignment vertical="center"/>
    </xf>
    <xf numFmtId="0" fontId="12" fillId="0" borderId="0" applyNumberFormat="0" applyFill="0" applyBorder="0" applyAlignment="0" applyProtection="0">
      <alignment vertical="top"/>
      <protection locked="0"/>
    </xf>
    <xf numFmtId="43" fontId="9" fillId="0" borderId="0" applyFont="0" applyFill="0" applyBorder="0" applyAlignment="0" applyProtection="0"/>
    <xf numFmtId="0" fontId="9" fillId="0" borderId="0" applyFill="0" applyBorder="0"/>
    <xf numFmtId="0" fontId="9" fillId="0" borderId="0"/>
    <xf numFmtId="0" fontId="5" fillId="0" borderId="0"/>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6" fillId="0" borderId="0"/>
    <xf numFmtId="0" fontId="36" fillId="0" borderId="0"/>
    <xf numFmtId="0" fontId="36" fillId="0" borderId="0"/>
    <xf numFmtId="0" fontId="36" fillId="0" borderId="0"/>
    <xf numFmtId="0" fontId="36" fillId="0" borderId="0"/>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5" fillId="0" borderId="0">
      <alignment vertical="top"/>
    </xf>
    <xf numFmtId="0" fontId="36" fillId="0" borderId="0"/>
    <xf numFmtId="0" fontId="36" fillId="0" borderId="0"/>
    <xf numFmtId="0" fontId="36" fillId="0" borderId="0"/>
    <xf numFmtId="0" fontId="36" fillId="0" borderId="0"/>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6" fillId="0" borderId="0"/>
    <xf numFmtId="0" fontId="36" fillId="0" borderId="0"/>
    <xf numFmtId="0" fontId="36" fillId="0" borderId="0"/>
    <xf numFmtId="0" fontId="36" fillId="0" borderId="0"/>
    <xf numFmtId="192" fontId="9" fillId="0" borderId="0" applyFont="0" applyFill="0" applyBorder="0" applyAlignment="0" applyProtection="0"/>
    <xf numFmtId="193" fontId="37" fillId="0" borderId="0" applyFont="0" applyFill="0" applyBorder="0" applyAlignment="0" applyProtection="0"/>
    <xf numFmtId="10" fontId="37" fillId="0" borderId="0" applyFont="0" applyFill="0" applyBorder="0" applyAlignment="0" applyProtection="0"/>
    <xf numFmtId="194" fontId="9" fillId="0" borderId="0" applyFont="0" applyFill="0" applyBorder="0" applyAlignment="0" applyProtection="0"/>
    <xf numFmtId="0" fontId="38" fillId="0" borderId="2">
      <alignment horizontal="center"/>
    </xf>
    <xf numFmtId="0" fontId="39" fillId="0" borderId="0"/>
    <xf numFmtId="0" fontId="39" fillId="0" borderId="13" applyFill="0">
      <alignment horizontal="center"/>
      <protection locked="0"/>
    </xf>
    <xf numFmtId="0" fontId="38" fillId="0" borderId="0" applyFill="0">
      <alignment horizontal="center"/>
      <protection locked="0"/>
    </xf>
    <xf numFmtId="0" fontId="38" fillId="6" borderId="0"/>
    <xf numFmtId="0" fontId="38" fillId="0" borderId="0">
      <protection locked="0"/>
    </xf>
    <xf numFmtId="0" fontId="38" fillId="0" borderId="0"/>
    <xf numFmtId="195" fontId="38" fillId="0" borderId="0"/>
    <xf numFmtId="196" fontId="38" fillId="0" borderId="0"/>
    <xf numFmtId="0" fontId="39" fillId="7" borderId="0">
      <alignment horizontal="right"/>
    </xf>
    <xf numFmtId="0" fontId="38" fillId="0" borderId="0"/>
    <xf numFmtId="0" fontId="40" fillId="8" borderId="0" applyNumberFormat="0" applyBorder="0" applyAlignment="0" applyProtection="0"/>
    <xf numFmtId="0" fontId="41" fillId="9" borderId="0" applyNumberFormat="0" applyBorder="0" applyAlignment="0" applyProtection="0"/>
    <xf numFmtId="0" fontId="41" fillId="9" borderId="0" applyNumberFormat="0" applyBorder="0" applyAlignment="0" applyProtection="0"/>
    <xf numFmtId="0" fontId="40" fillId="10" borderId="0" applyNumberFormat="0" applyBorder="0" applyAlignment="0" applyProtection="0"/>
    <xf numFmtId="0" fontId="40"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1" fillId="12" borderId="0" applyNumberFormat="0" applyBorder="0" applyAlignment="0" applyProtection="0"/>
    <xf numFmtId="0" fontId="41" fillId="15" borderId="0" applyNumberFormat="0" applyBorder="0" applyAlignment="0" applyProtection="0"/>
    <xf numFmtId="0" fontId="40" fillId="13" borderId="0" applyNumberFormat="0" applyBorder="0" applyAlignment="0" applyProtection="0"/>
    <xf numFmtId="0" fontId="40" fillId="8" borderId="0" applyNumberFormat="0" applyBorder="0" applyAlignment="0" applyProtection="0"/>
    <xf numFmtId="0" fontId="41" fillId="9" borderId="0" applyNumberFormat="0" applyBorder="0" applyAlignment="0" applyProtection="0"/>
    <xf numFmtId="0" fontId="41" fillId="13" borderId="0" applyNumberFormat="0" applyBorder="0" applyAlignment="0" applyProtection="0"/>
    <xf numFmtId="0" fontId="40" fillId="13" borderId="0" applyNumberFormat="0" applyBorder="0" applyAlignment="0" applyProtection="0"/>
    <xf numFmtId="0" fontId="40" fillId="16" borderId="0" applyNumberFormat="0" applyBorder="0" applyAlignment="0" applyProtection="0"/>
    <xf numFmtId="0" fontId="41" fillId="17" borderId="0" applyNumberFormat="0" applyBorder="0" applyAlignment="0" applyProtection="0"/>
    <xf numFmtId="0" fontId="41" fillId="9" borderId="0" applyNumberFormat="0" applyBorder="0" applyAlignment="0" applyProtection="0"/>
    <xf numFmtId="0" fontId="40" fillId="10" borderId="0" applyNumberFormat="0" applyBorder="0" applyAlignment="0" applyProtection="0"/>
    <xf numFmtId="0" fontId="40" fillId="18" borderId="0" applyNumberFormat="0" applyBorder="0" applyAlignment="0" applyProtection="0"/>
    <xf numFmtId="0" fontId="41" fillId="12" borderId="0" applyNumberFormat="0" applyBorder="0" applyAlignment="0" applyProtection="0"/>
    <xf numFmtId="0" fontId="41" fillId="19" borderId="0" applyNumberFormat="0" applyBorder="0" applyAlignment="0" applyProtection="0"/>
    <xf numFmtId="0" fontId="40" fillId="19" borderId="0" applyNumberFormat="0" applyBorder="0" applyAlignment="0" applyProtection="0"/>
    <xf numFmtId="0" fontId="42" fillId="0" borderId="0">
      <alignment horizontal="center" wrapText="1"/>
      <protection locked="0"/>
    </xf>
    <xf numFmtId="197" fontId="35" fillId="0" borderId="0" applyFill="0" applyBorder="0" applyAlignment="0"/>
    <xf numFmtId="198" fontId="36" fillId="0" borderId="0" applyFill="0" applyBorder="0" applyAlignment="0"/>
    <xf numFmtId="199" fontId="36" fillId="0" borderId="0" applyFill="0" applyBorder="0" applyAlignment="0"/>
    <xf numFmtId="200" fontId="5" fillId="0" borderId="0" applyFill="0" applyBorder="0" applyAlignment="0"/>
    <xf numFmtId="201" fontId="5" fillId="0" borderId="0" applyFill="0" applyBorder="0" applyAlignment="0"/>
    <xf numFmtId="202" fontId="36" fillId="0" borderId="0" applyFill="0" applyBorder="0" applyAlignment="0"/>
    <xf numFmtId="203" fontId="36" fillId="0" borderId="0" applyFill="0" applyBorder="0" applyAlignment="0"/>
    <xf numFmtId="198" fontId="36" fillId="0" borderId="0" applyFill="0" applyBorder="0" applyAlignment="0"/>
    <xf numFmtId="0" fontId="43" fillId="0" borderId="0"/>
    <xf numFmtId="0" fontId="44" fillId="0" borderId="21" applyNumberFormat="0" applyFill="0" applyProtection="0">
      <alignment horizontal="center"/>
    </xf>
    <xf numFmtId="0" fontId="45" fillId="0" borderId="22">
      <alignment horizontal="center"/>
    </xf>
    <xf numFmtId="204" fontId="5" fillId="0" borderId="0"/>
    <xf numFmtId="204" fontId="5" fillId="0" borderId="0"/>
    <xf numFmtId="204" fontId="5" fillId="0" borderId="0"/>
    <xf numFmtId="204" fontId="5" fillId="0" borderId="0"/>
    <xf numFmtId="204" fontId="5" fillId="0" borderId="0"/>
    <xf numFmtId="204" fontId="5" fillId="0" borderId="0"/>
    <xf numFmtId="204" fontId="5" fillId="0" borderId="0"/>
    <xf numFmtId="204" fontId="5" fillId="0" borderId="0"/>
    <xf numFmtId="205" fontId="9" fillId="0" borderId="0" applyFont="0" applyFill="0" applyBorder="0" applyAlignment="0" applyProtection="0"/>
    <xf numFmtId="202" fontId="36" fillId="0" borderId="0" applyFont="0" applyFill="0" applyBorder="0" applyAlignment="0" applyProtection="0"/>
    <xf numFmtId="206" fontId="16" fillId="0" borderId="0"/>
    <xf numFmtId="37" fontId="37" fillId="0" borderId="0" applyFont="0" applyFill="0" applyBorder="0" applyAlignment="0" applyProtection="0"/>
    <xf numFmtId="198" fontId="37" fillId="0" borderId="0" applyFont="0" applyFill="0" applyBorder="0" applyAlignment="0" applyProtection="0"/>
    <xf numFmtId="39" fontId="37" fillId="0" borderId="0" applyFont="0" applyFill="0" applyBorder="0" applyAlignment="0" applyProtection="0"/>
    <xf numFmtId="0" fontId="46" fillId="0" borderId="0" applyNumberFormat="0" applyAlignment="0">
      <alignment horizontal="left"/>
    </xf>
    <xf numFmtId="0" fontId="10" fillId="0" borderId="0" applyNumberFormat="0" applyAlignment="0"/>
    <xf numFmtId="205" fontId="20" fillId="0" borderId="0" applyFont="0" applyFill="0" applyBorder="0" applyAlignment="0" applyProtection="0"/>
    <xf numFmtId="198" fontId="36" fillId="0" borderId="0" applyFont="0" applyFill="0" applyBorder="0" applyAlignment="0" applyProtection="0"/>
    <xf numFmtId="178" fontId="37" fillId="0" borderId="0" applyFont="0" applyFill="0" applyBorder="0" applyAlignment="0" applyProtection="0"/>
    <xf numFmtId="207" fontId="37" fillId="0" borderId="0" applyFont="0" applyFill="0" applyBorder="0" applyAlignment="0" applyProtection="0"/>
    <xf numFmtId="208" fontId="16" fillId="0" borderId="0"/>
    <xf numFmtId="209" fontId="5" fillId="0" borderId="0">
      <protection locked="0"/>
    </xf>
    <xf numFmtId="14" fontId="35" fillId="0" borderId="0" applyFill="0" applyBorder="0" applyAlignment="0"/>
    <xf numFmtId="209" fontId="5" fillId="0" borderId="0">
      <protection locked="0"/>
    </xf>
    <xf numFmtId="210" fontId="16" fillId="0" borderId="0"/>
    <xf numFmtId="202" fontId="36" fillId="0" borderId="0" applyFill="0" applyBorder="0" applyAlignment="0"/>
    <xf numFmtId="198" fontId="36" fillId="0" borderId="0" applyFill="0" applyBorder="0" applyAlignment="0"/>
    <xf numFmtId="202" fontId="36" fillId="0" borderId="0" applyFill="0" applyBorder="0" applyAlignment="0"/>
    <xf numFmtId="203" fontId="36" fillId="0" borderId="0" applyFill="0" applyBorder="0" applyAlignment="0"/>
    <xf numFmtId="198" fontId="36" fillId="0" borderId="0" applyFill="0" applyBorder="0" applyAlignment="0"/>
    <xf numFmtId="0" fontId="47" fillId="0" borderId="0" applyNumberFormat="0" applyAlignment="0">
      <alignment horizontal="left"/>
    </xf>
    <xf numFmtId="0" fontId="48" fillId="0" borderId="0">
      <alignment horizontal="left"/>
    </xf>
    <xf numFmtId="0" fontId="7" fillId="20" borderId="2"/>
    <xf numFmtId="209" fontId="5" fillId="0" borderId="0">
      <protection locked="0"/>
    </xf>
    <xf numFmtId="209" fontId="5" fillId="0" borderId="0">
      <protection locked="0"/>
    </xf>
    <xf numFmtId="209" fontId="5" fillId="0" borderId="0">
      <protection locked="0"/>
    </xf>
    <xf numFmtId="209" fontId="5" fillId="0" borderId="0">
      <protection locked="0"/>
    </xf>
    <xf numFmtId="209" fontId="5" fillId="0" borderId="0">
      <protection locked="0"/>
    </xf>
    <xf numFmtId="209" fontId="5" fillId="0" borderId="0">
      <protection locked="0"/>
    </xf>
    <xf numFmtId="209" fontId="5" fillId="0" borderId="0">
      <protection locked="0"/>
    </xf>
    <xf numFmtId="209" fontId="5" fillId="0" borderId="0">
      <protection locked="0"/>
    </xf>
    <xf numFmtId="0" fontId="49" fillId="0" borderId="0">
      <alignment horizontal="left"/>
    </xf>
    <xf numFmtId="0" fontId="22" fillId="0" borderId="12" applyNumberFormat="0" applyAlignment="0" applyProtection="0">
      <alignment horizontal="left" vertical="center"/>
    </xf>
    <xf numFmtId="0" fontId="22" fillId="0" borderId="23">
      <alignment horizontal="left" vertical="center"/>
    </xf>
    <xf numFmtId="209" fontId="5" fillId="0" borderId="0">
      <protection locked="0"/>
    </xf>
    <xf numFmtId="209" fontId="5" fillId="0" borderId="0">
      <protection locked="0"/>
    </xf>
    <xf numFmtId="198" fontId="50" fillId="21" borderId="0"/>
    <xf numFmtId="202" fontId="36" fillId="0" borderId="0" applyFill="0" applyBorder="0" applyAlignment="0"/>
    <xf numFmtId="198" fontId="36" fillId="0" borderId="0" applyFill="0" applyBorder="0" applyAlignment="0"/>
    <xf numFmtId="202" fontId="36" fillId="0" borderId="0" applyFill="0" applyBorder="0" applyAlignment="0"/>
    <xf numFmtId="203" fontId="36" fillId="0" borderId="0" applyFill="0" applyBorder="0" applyAlignment="0"/>
    <xf numFmtId="198" fontId="36" fillId="0" borderId="0" applyFill="0" applyBorder="0" applyAlignment="0"/>
    <xf numFmtId="198" fontId="51" fillId="22" borderId="0"/>
    <xf numFmtId="0" fontId="5" fillId="0" borderId="0" applyFont="0" applyFill="0" applyBorder="0" applyAlignment="0" applyProtection="0"/>
    <xf numFmtId="0" fontId="5" fillId="0" borderId="0" applyFont="0" applyFill="0" applyBorder="0" applyAlignment="0" applyProtection="0"/>
    <xf numFmtId="0" fontId="52" fillId="0" borderId="13"/>
    <xf numFmtId="0" fontId="5" fillId="0" borderId="0" applyFont="0" applyFill="0" applyBorder="0" applyAlignment="0" applyProtection="0"/>
    <xf numFmtId="0" fontId="5" fillId="0" borderId="0" applyFont="0" applyFill="0" applyBorder="0" applyAlignment="0" applyProtection="0"/>
    <xf numFmtId="0" fontId="53" fillId="0" borderId="0"/>
    <xf numFmtId="211" fontId="9" fillId="0" borderId="0" applyFont="0" applyFill="0" applyBorder="0" applyAlignment="0" applyProtection="0"/>
    <xf numFmtId="212" fontId="9" fillId="0" borderId="0" applyFont="0" applyFill="0" applyBorder="0" applyAlignment="0" applyProtection="0"/>
    <xf numFmtId="14" fontId="42" fillId="0" borderId="0">
      <alignment horizontal="center" wrapText="1"/>
      <protection locked="0"/>
    </xf>
    <xf numFmtId="201" fontId="5" fillId="0" borderId="0" applyFont="0" applyFill="0" applyBorder="0" applyAlignment="0" applyProtection="0"/>
    <xf numFmtId="213" fontId="5" fillId="0" borderId="0" applyFont="0" applyFill="0" applyBorder="0" applyAlignment="0" applyProtection="0"/>
    <xf numFmtId="9" fontId="36" fillId="0" borderId="0" applyFont="0" applyFill="0" applyBorder="0" applyAlignment="0" applyProtection="0"/>
    <xf numFmtId="13" fontId="5" fillId="0" borderId="0" applyFont="0" applyFill="0" applyProtection="0"/>
    <xf numFmtId="0" fontId="7" fillId="2" borderId="2"/>
    <xf numFmtId="202" fontId="36" fillId="0" borderId="0" applyFill="0" applyBorder="0" applyAlignment="0"/>
    <xf numFmtId="198" fontId="36" fillId="0" borderId="0" applyFill="0" applyBorder="0" applyAlignment="0"/>
    <xf numFmtId="202" fontId="36" fillId="0" borderId="0" applyFill="0" applyBorder="0" applyAlignment="0"/>
    <xf numFmtId="203" fontId="36" fillId="0" borderId="0" applyFill="0" applyBorder="0" applyAlignment="0"/>
    <xf numFmtId="198" fontId="36" fillId="0" borderId="0" applyFill="0" applyBorder="0" applyAlignment="0"/>
    <xf numFmtId="4" fontId="48" fillId="0" borderId="0">
      <alignment horizontal="right"/>
    </xf>
    <xf numFmtId="214" fontId="54" fillId="0" borderId="0"/>
    <xf numFmtId="0" fontId="55" fillId="0" borderId="0" applyNumberFormat="0" applyFont="0" applyFill="0" applyBorder="0" applyAlignment="0" applyProtection="0">
      <alignment horizontal="left"/>
    </xf>
    <xf numFmtId="0" fontId="4" fillId="0" borderId="13">
      <alignment horizontal="center"/>
    </xf>
    <xf numFmtId="4" fontId="56" fillId="0" borderId="0">
      <alignment horizontal="right"/>
    </xf>
    <xf numFmtId="215" fontId="57" fillId="0" borderId="0" applyNumberFormat="0" applyFill="0" applyBorder="0" applyAlignment="0" applyProtection="0">
      <alignment horizontal="left"/>
    </xf>
    <xf numFmtId="41" fontId="16" fillId="0" borderId="0" applyFont="0" applyFill="0" applyBorder="0" applyAlignment="0" applyProtection="0"/>
    <xf numFmtId="4" fontId="58" fillId="23" borderId="24" applyNumberFormat="0" applyProtection="0">
      <alignment vertical="center"/>
    </xf>
    <xf numFmtId="4" fontId="59" fillId="24" borderId="24" applyNumberFormat="0" applyProtection="0">
      <alignment vertical="center"/>
    </xf>
    <xf numFmtId="4" fontId="58" fillId="24" borderId="24" applyNumberFormat="0" applyProtection="0">
      <alignment horizontal="left" vertical="center" indent="1"/>
    </xf>
    <xf numFmtId="0" fontId="58" fillId="24" borderId="24" applyNumberFormat="0" applyProtection="0">
      <alignment horizontal="left" vertical="top" indent="1"/>
    </xf>
    <xf numFmtId="4" fontId="58" fillId="25" borderId="0" applyNumberFormat="0" applyProtection="0">
      <alignment horizontal="left" vertical="center" indent="1"/>
    </xf>
    <xf numFmtId="4" fontId="35" fillId="26" borderId="24" applyNumberFormat="0" applyProtection="0">
      <alignment horizontal="right" vertical="center"/>
    </xf>
    <xf numFmtId="4" fontId="35" fillId="27" borderId="24" applyNumberFormat="0" applyProtection="0">
      <alignment horizontal="right" vertical="center"/>
    </xf>
    <xf numFmtId="4" fontId="35" fillId="28" borderId="24" applyNumberFormat="0" applyProtection="0">
      <alignment horizontal="right" vertical="center"/>
    </xf>
    <xf numFmtId="4" fontId="35" fillId="29" borderId="24" applyNumberFormat="0" applyProtection="0">
      <alignment horizontal="right" vertical="center"/>
    </xf>
    <xf numFmtId="4" fontId="35" fillId="30" borderId="24" applyNumberFormat="0" applyProtection="0">
      <alignment horizontal="right" vertical="center"/>
    </xf>
    <xf numFmtId="4" fontId="35" fillId="31" borderId="24" applyNumberFormat="0" applyProtection="0">
      <alignment horizontal="right" vertical="center"/>
    </xf>
    <xf numFmtId="4" fontId="35" fillId="32" borderId="24" applyNumberFormat="0" applyProtection="0">
      <alignment horizontal="right" vertical="center"/>
    </xf>
    <xf numFmtId="4" fontId="35" fillId="33" borderId="24" applyNumberFormat="0" applyProtection="0">
      <alignment horizontal="right" vertical="center"/>
    </xf>
    <xf numFmtId="4" fontId="35" fillId="34" borderId="24" applyNumberFormat="0" applyProtection="0">
      <alignment horizontal="right" vertical="center"/>
    </xf>
    <xf numFmtId="4" fontId="58" fillId="35" borderId="25" applyNumberFormat="0" applyProtection="0">
      <alignment horizontal="left" vertical="center" indent="1"/>
    </xf>
    <xf numFmtId="4" fontId="35" fillId="36" borderId="0" applyNumberFormat="0" applyProtection="0">
      <alignment horizontal="left" vertical="center" indent="1"/>
    </xf>
    <xf numFmtId="4" fontId="60" fillId="37" borderId="0" applyNumberFormat="0" applyProtection="0">
      <alignment horizontal="left" vertical="center" indent="1"/>
    </xf>
    <xf numFmtId="4" fontId="35" fillId="38" borderId="24" applyNumberFormat="0" applyProtection="0">
      <alignment horizontal="right" vertical="center"/>
    </xf>
    <xf numFmtId="4" fontId="35" fillId="36" borderId="0" applyNumberFormat="0" applyProtection="0">
      <alignment horizontal="left" vertical="center" indent="1"/>
    </xf>
    <xf numFmtId="4" fontId="35" fillId="25" borderId="0" applyNumberFormat="0" applyProtection="0">
      <alignment horizontal="left" vertical="center" indent="1"/>
    </xf>
    <xf numFmtId="0" fontId="5" fillId="37" borderId="24" applyNumberFormat="0" applyProtection="0">
      <alignment horizontal="left" vertical="center" indent="1"/>
    </xf>
    <xf numFmtId="0" fontId="5" fillId="37" borderId="24" applyNumberFormat="0" applyProtection="0">
      <alignment horizontal="left" vertical="top" indent="1"/>
    </xf>
    <xf numFmtId="0" fontId="5" fillId="25" borderId="24" applyNumberFormat="0" applyProtection="0">
      <alignment horizontal="left" vertical="center" indent="1"/>
    </xf>
    <xf numFmtId="0" fontId="5" fillId="25" borderId="24" applyNumberFormat="0" applyProtection="0">
      <alignment horizontal="left" vertical="top" indent="1"/>
    </xf>
    <xf numFmtId="0" fontId="5" fillId="39" borderId="24" applyNumberFormat="0" applyProtection="0">
      <alignment horizontal="left" vertical="center" indent="1"/>
    </xf>
    <xf numFmtId="0" fontId="5" fillId="39" borderId="24" applyNumberFormat="0" applyProtection="0">
      <alignment horizontal="left" vertical="top" indent="1"/>
    </xf>
    <xf numFmtId="0" fontId="5" fillId="40" borderId="24" applyNumberFormat="0" applyProtection="0">
      <alignment horizontal="left" vertical="center" indent="1"/>
    </xf>
    <xf numFmtId="0" fontId="5" fillId="40" borderId="24" applyNumberFormat="0" applyProtection="0">
      <alignment horizontal="left" vertical="top" indent="1"/>
    </xf>
    <xf numFmtId="4" fontId="35" fillId="3" borderId="24" applyNumberFormat="0" applyProtection="0">
      <alignment vertical="center"/>
    </xf>
    <xf numFmtId="4" fontId="61" fillId="3" borderId="24" applyNumberFormat="0" applyProtection="0">
      <alignment vertical="center"/>
    </xf>
    <xf numFmtId="4" fontId="35" fillId="3" borderId="24" applyNumberFormat="0" applyProtection="0">
      <alignment horizontal="left" vertical="center" indent="1"/>
    </xf>
    <xf numFmtId="0" fontId="35" fillId="3" borderId="24" applyNumberFormat="0" applyProtection="0">
      <alignment horizontal="left" vertical="top" indent="1"/>
    </xf>
    <xf numFmtId="4" fontId="35" fillId="36" borderId="24" applyNumberFormat="0" applyProtection="0">
      <alignment horizontal="right" vertical="center"/>
    </xf>
    <xf numFmtId="4" fontId="61" fillId="36" borderId="24" applyNumberFormat="0" applyProtection="0">
      <alignment horizontal="right" vertical="center"/>
    </xf>
    <xf numFmtId="4" fontId="35" fillId="38" borderId="24" applyNumberFormat="0" applyProtection="0">
      <alignment horizontal="left" vertical="center" indent="1"/>
    </xf>
    <xf numFmtId="0" fontId="35" fillId="25" borderId="24" applyNumberFormat="0" applyProtection="0">
      <alignment horizontal="left" vertical="top" indent="1"/>
    </xf>
    <xf numFmtId="4" fontId="62" fillId="21" borderId="0" applyNumberFormat="0" applyProtection="0">
      <alignment horizontal="left" vertical="center" indent="1"/>
    </xf>
    <xf numFmtId="4" fontId="63" fillId="36" borderId="24" applyNumberFormat="0" applyProtection="0">
      <alignment horizontal="right" vertical="center"/>
    </xf>
    <xf numFmtId="0" fontId="64" fillId="0" borderId="0">
      <alignment horizontal="left"/>
    </xf>
    <xf numFmtId="43" fontId="7" fillId="0" borderId="3"/>
    <xf numFmtId="0" fontId="53" fillId="0" borderId="0"/>
    <xf numFmtId="0" fontId="52" fillId="0" borderId="0"/>
    <xf numFmtId="40" fontId="65" fillId="0" borderId="0" applyBorder="0">
      <alignment horizontal="right"/>
    </xf>
    <xf numFmtId="49" fontId="35" fillId="0" borderId="0" applyFill="0" applyBorder="0" applyAlignment="0"/>
    <xf numFmtId="216" fontId="5" fillId="0" borderId="0" applyFill="0" applyBorder="0" applyAlignment="0"/>
    <xf numFmtId="217" fontId="5" fillId="0" borderId="0" applyFill="0" applyBorder="0" applyAlignment="0"/>
    <xf numFmtId="0" fontId="66" fillId="0" borderId="0">
      <alignment horizontal="center"/>
    </xf>
    <xf numFmtId="209" fontId="5" fillId="0" borderId="26">
      <protection locked="0"/>
    </xf>
    <xf numFmtId="218" fontId="5" fillId="0" borderId="0" applyFont="0" applyFill="0" applyBorder="0" applyAlignment="0" applyProtection="0"/>
    <xf numFmtId="219" fontId="5" fillId="0" borderId="0" applyFont="0" applyFill="0" applyBorder="0" applyAlignment="0" applyProtection="0"/>
    <xf numFmtId="220" fontId="9" fillId="0" borderId="0" applyFont="0" applyFill="0" applyBorder="0" applyAlignment="0" applyProtection="0"/>
    <xf numFmtId="221" fontId="9" fillId="0" borderId="0" applyFont="0" applyFill="0" applyBorder="0" applyAlignment="0" applyProtection="0"/>
    <xf numFmtId="9" fontId="67" fillId="0" borderId="0" applyFont="0" applyFill="0" applyBorder="0" applyAlignment="0" applyProtection="0"/>
    <xf numFmtId="0" fontId="57" fillId="0" borderId="0"/>
    <xf numFmtId="0" fontId="28" fillId="0" borderId="0"/>
    <xf numFmtId="176" fontId="57" fillId="0" borderId="0" applyFont="0" applyFill="0" applyBorder="0" applyAlignment="0" applyProtection="0"/>
    <xf numFmtId="177" fontId="57" fillId="0" borderId="0" applyFont="0" applyFill="0" applyBorder="0" applyAlignment="0" applyProtection="0"/>
    <xf numFmtId="41" fontId="5" fillId="0" borderId="0" applyFont="0" applyFill="0" applyBorder="0" applyAlignment="0" applyProtection="0"/>
    <xf numFmtId="9" fontId="57" fillId="0" borderId="0" applyFont="0" applyFill="0" applyBorder="0" applyAlignment="0" applyProtection="0"/>
    <xf numFmtId="9" fontId="9" fillId="0" borderId="0" applyFont="0" applyFill="0" applyBorder="0" applyAlignment="0" applyProtection="0"/>
    <xf numFmtId="9" fontId="41" fillId="0" borderId="0" applyFont="0" applyFill="0" applyBorder="0" applyAlignment="0" applyProtection="0">
      <alignment vertical="center"/>
    </xf>
    <xf numFmtId="0" fontId="68" fillId="0" borderId="0" applyFont="0" applyFill="0" applyBorder="0" applyAlignment="0" applyProtection="0"/>
    <xf numFmtId="0" fontId="68" fillId="0" borderId="0" applyFont="0" applyFill="0" applyBorder="0" applyAlignment="0" applyProtection="0"/>
    <xf numFmtId="4" fontId="69" fillId="0" borderId="0">
      <alignment horizontal="right"/>
    </xf>
    <xf numFmtId="0" fontId="70" fillId="0" borderId="0" applyNumberFormat="0" applyFill="0" applyBorder="0" applyAlignment="0" applyProtection="0"/>
    <xf numFmtId="0" fontId="71" fillId="29"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9" borderId="0" applyNumberFormat="0" applyBorder="0" applyAlignment="0" applyProtection="0">
      <alignment vertical="center"/>
    </xf>
    <xf numFmtId="0" fontId="73" fillId="41" borderId="0" applyNumberFormat="0" applyBorder="0" applyAlignment="0" applyProtection="0"/>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4" fillId="42" borderId="0" applyNumberFormat="0" applyBorder="0" applyAlignment="0" applyProtection="0">
      <alignment vertical="center"/>
    </xf>
    <xf numFmtId="0" fontId="72" fillId="26" borderId="0" applyNumberFormat="0" applyBorder="0" applyAlignment="0" applyProtection="0">
      <alignment vertical="center"/>
    </xf>
    <xf numFmtId="0" fontId="75" fillId="26"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4" fillId="42"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2" fillId="26" borderId="0" applyNumberFormat="0" applyBorder="0" applyAlignment="0" applyProtection="0">
      <alignment vertical="center"/>
    </xf>
    <xf numFmtId="0" fontId="71" fillId="29" borderId="0" applyNumberFormat="0" applyBorder="0" applyAlignment="0" applyProtection="0">
      <alignment vertical="center"/>
    </xf>
    <xf numFmtId="0" fontId="72" fillId="26"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71" fillId="31" borderId="0" applyNumberFormat="0" applyBorder="0" applyAlignment="0" applyProtection="0">
      <alignment vertical="center"/>
    </xf>
    <xf numFmtId="0" fontId="71" fillId="29" borderId="0" applyNumberFormat="0" applyBorder="0" applyAlignment="0" applyProtection="0">
      <alignment vertical="center"/>
    </xf>
    <xf numFmtId="0" fontId="71" fillId="29" borderId="0" applyNumberFormat="0" applyBorder="0" applyAlignment="0" applyProtection="0">
      <alignment vertical="center"/>
    </xf>
    <xf numFmtId="0" fontId="9" fillId="0" borderId="0"/>
    <xf numFmtId="0" fontId="14" fillId="0" borderId="0"/>
    <xf numFmtId="0" fontId="14" fillId="0" borderId="0"/>
    <xf numFmtId="0" fontId="9" fillId="0" borderId="0"/>
    <xf numFmtId="0" fontId="9" fillId="0" borderId="0"/>
    <xf numFmtId="0" fontId="14" fillId="0" borderId="0"/>
    <xf numFmtId="0" fontId="14" fillId="0" borderId="0"/>
    <xf numFmtId="0" fontId="14" fillId="0" borderId="0"/>
    <xf numFmtId="0" fontId="14" fillId="0" borderId="0"/>
    <xf numFmtId="0" fontId="14" fillId="0" borderId="0"/>
    <xf numFmtId="0" fontId="14" fillId="0" borderId="0"/>
    <xf numFmtId="0" fontId="76" fillId="0" borderId="0">
      <alignment vertical="center"/>
    </xf>
    <xf numFmtId="0" fontId="77"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78" fillId="43" borderId="0" applyNumberFormat="0" applyBorder="0" applyAlignment="0" applyProtection="0">
      <alignment vertical="center"/>
    </xf>
    <xf numFmtId="0" fontId="79" fillId="44" borderId="0" applyNumberFormat="0" applyBorder="0" applyAlignment="0" applyProtection="0">
      <alignment vertical="center"/>
    </xf>
    <xf numFmtId="0" fontId="79" fillId="43" borderId="0" applyNumberFormat="0" applyBorder="0" applyAlignment="0" applyProtection="0">
      <alignment vertical="center"/>
    </xf>
    <xf numFmtId="0" fontId="79" fillId="43" borderId="0" applyNumberFormat="0" applyBorder="0" applyAlignment="0" applyProtection="0">
      <alignment vertical="center"/>
    </xf>
    <xf numFmtId="0" fontId="79" fillId="43" borderId="0" applyNumberFormat="0" applyBorder="0" applyAlignment="0" applyProtection="0">
      <alignment vertical="center"/>
    </xf>
    <xf numFmtId="0" fontId="79" fillId="44" borderId="0" applyNumberFormat="0" applyBorder="0" applyAlignment="0" applyProtection="0">
      <alignment vertical="center"/>
    </xf>
    <xf numFmtId="0" fontId="78" fillId="43" borderId="0" applyNumberFormat="0" applyBorder="0" applyAlignment="0" applyProtection="0">
      <alignment vertical="center"/>
    </xf>
    <xf numFmtId="0" fontId="80" fillId="15" borderId="0" applyNumberFormat="0" applyBorder="0" applyAlignment="0" applyProtection="0"/>
    <xf numFmtId="0" fontId="79" fillId="44" borderId="0" applyNumberFormat="0" applyBorder="0" applyAlignment="0" applyProtection="0">
      <alignment vertical="center"/>
    </xf>
    <xf numFmtId="0" fontId="79" fillId="44" borderId="0" applyNumberFormat="0" applyBorder="0" applyAlignment="0" applyProtection="0">
      <alignment vertical="center"/>
    </xf>
    <xf numFmtId="0" fontId="79" fillId="44" borderId="0" applyNumberFormat="0" applyBorder="0" applyAlignment="0" applyProtection="0">
      <alignment vertical="center"/>
    </xf>
    <xf numFmtId="0" fontId="79" fillId="44" borderId="0" applyNumberFormat="0" applyBorder="0" applyAlignment="0" applyProtection="0">
      <alignment vertical="center"/>
    </xf>
    <xf numFmtId="0" fontId="79" fillId="44" borderId="0" applyNumberFormat="0" applyBorder="0" applyAlignment="0" applyProtection="0">
      <alignment vertical="center"/>
    </xf>
    <xf numFmtId="0" fontId="79" fillId="44" borderId="0" applyNumberFormat="0" applyBorder="0" applyAlignment="0" applyProtection="0">
      <alignment vertical="center"/>
    </xf>
    <xf numFmtId="0" fontId="79" fillId="44" borderId="0" applyNumberFormat="0" applyBorder="0" applyAlignment="0" applyProtection="0">
      <alignment vertical="center"/>
    </xf>
    <xf numFmtId="0" fontId="79" fillId="44" borderId="0" applyNumberFormat="0" applyBorder="0" applyAlignment="0" applyProtection="0">
      <alignment vertical="center"/>
    </xf>
    <xf numFmtId="0" fontId="79" fillId="43" borderId="0" applyNumberFormat="0" applyBorder="0" applyAlignment="0" applyProtection="0">
      <alignment vertical="center"/>
    </xf>
    <xf numFmtId="0" fontId="78" fillId="43" borderId="0" applyNumberFormat="0" applyBorder="0" applyAlignment="0" applyProtection="0">
      <alignment vertical="center"/>
    </xf>
    <xf numFmtId="0" fontId="79" fillId="44" borderId="0" applyNumberFormat="0" applyBorder="0" applyAlignment="0" applyProtection="0">
      <alignment vertical="center"/>
    </xf>
    <xf numFmtId="0" fontId="80" fillId="44" borderId="0" applyNumberFormat="0" applyBorder="0" applyAlignment="0" applyProtection="0">
      <alignment vertical="center"/>
    </xf>
    <xf numFmtId="0" fontId="78" fillId="43" borderId="0" applyNumberFormat="0" applyBorder="0" applyAlignment="0" applyProtection="0">
      <alignment vertical="center"/>
    </xf>
    <xf numFmtId="0" fontId="79" fillId="43" borderId="0" applyNumberFormat="0" applyBorder="0" applyAlignment="0" applyProtection="0">
      <alignment vertical="center"/>
    </xf>
    <xf numFmtId="0" fontId="78" fillId="43" borderId="0" applyNumberFormat="0" applyBorder="0" applyAlignment="0" applyProtection="0">
      <alignment vertical="center"/>
    </xf>
    <xf numFmtId="0" fontId="78" fillId="43" borderId="0" applyNumberFormat="0" applyBorder="0" applyAlignment="0" applyProtection="0">
      <alignment vertical="center"/>
    </xf>
    <xf numFmtId="0" fontId="78" fillId="43" borderId="0" applyNumberFormat="0" applyBorder="0" applyAlignment="0" applyProtection="0">
      <alignment vertical="center"/>
    </xf>
    <xf numFmtId="0" fontId="81" fillId="45" borderId="0" applyNumberFormat="0" applyBorder="0" applyAlignment="0" applyProtection="0">
      <alignment vertical="center"/>
    </xf>
    <xf numFmtId="0" fontId="78" fillId="43" borderId="0" applyNumberFormat="0" applyBorder="0" applyAlignment="0" applyProtection="0">
      <alignment vertical="center"/>
    </xf>
    <xf numFmtId="0" fontId="81" fillId="45" borderId="0" applyNumberFormat="0" applyBorder="0" applyAlignment="0" applyProtection="0">
      <alignment vertical="center"/>
    </xf>
    <xf numFmtId="0" fontId="79" fillId="43" borderId="0" applyNumberFormat="0" applyBorder="0" applyAlignment="0" applyProtection="0">
      <alignment vertical="center"/>
    </xf>
    <xf numFmtId="0" fontId="78" fillId="43" borderId="0" applyNumberFormat="0" applyBorder="0" applyAlignment="0" applyProtection="0">
      <alignment vertical="center"/>
    </xf>
    <xf numFmtId="0" fontId="78" fillId="43" borderId="0" applyNumberFormat="0" applyBorder="0" applyAlignment="0" applyProtection="0">
      <alignment vertical="center"/>
    </xf>
    <xf numFmtId="0" fontId="79" fillId="44" borderId="0" applyNumberFormat="0" applyBorder="0" applyAlignment="0" applyProtection="0">
      <alignment vertical="center"/>
    </xf>
    <xf numFmtId="0" fontId="78" fillId="43" borderId="0" applyNumberFormat="0" applyBorder="0" applyAlignment="0" applyProtection="0">
      <alignment vertical="center"/>
    </xf>
    <xf numFmtId="0" fontId="79" fillId="44" borderId="0" applyNumberFormat="0" applyBorder="0" applyAlignment="0" applyProtection="0">
      <alignment vertical="center"/>
    </xf>
    <xf numFmtId="0" fontId="78" fillId="43" borderId="0" applyNumberFormat="0" applyBorder="0" applyAlignment="0" applyProtection="0">
      <alignment vertical="center"/>
    </xf>
    <xf numFmtId="0" fontId="79" fillId="43" borderId="0" applyNumberFormat="0" applyBorder="0" applyAlignment="0" applyProtection="0">
      <alignment vertical="center"/>
    </xf>
    <xf numFmtId="0" fontId="78" fillId="43" borderId="0" applyNumberFormat="0" applyBorder="0" applyAlignment="0" applyProtection="0">
      <alignment vertical="center"/>
    </xf>
    <xf numFmtId="0" fontId="79" fillId="43" borderId="0" applyNumberFormat="0" applyBorder="0" applyAlignment="0" applyProtection="0">
      <alignment vertical="center"/>
    </xf>
    <xf numFmtId="0" fontId="78" fillId="43" borderId="0" applyNumberFormat="0" applyBorder="0" applyAlignment="0" applyProtection="0">
      <alignment vertical="center"/>
    </xf>
    <xf numFmtId="0" fontId="78" fillId="43" borderId="0" applyNumberFormat="0" applyBorder="0" applyAlignment="0" applyProtection="0">
      <alignment vertical="center"/>
    </xf>
    <xf numFmtId="0" fontId="79" fillId="43" borderId="0" applyNumberFormat="0" applyBorder="0" applyAlignment="0" applyProtection="0">
      <alignment vertical="center"/>
    </xf>
    <xf numFmtId="0" fontId="78" fillId="43" borderId="0" applyNumberFormat="0" applyBorder="0" applyAlignment="0" applyProtection="0">
      <alignment vertical="center"/>
    </xf>
    <xf numFmtId="0" fontId="78" fillId="43" borderId="0" applyNumberFormat="0" applyBorder="0" applyAlignment="0" applyProtection="0">
      <alignment vertical="center"/>
    </xf>
    <xf numFmtId="0" fontId="78" fillId="43" borderId="0" applyNumberFormat="0" applyBorder="0" applyAlignment="0" applyProtection="0">
      <alignment vertical="center"/>
    </xf>
    <xf numFmtId="0" fontId="79" fillId="43" borderId="0" applyNumberFormat="0" applyBorder="0" applyAlignment="0" applyProtection="0">
      <alignment vertical="center"/>
    </xf>
    <xf numFmtId="0" fontId="78" fillId="43" borderId="0" applyNumberFormat="0" applyBorder="0" applyAlignment="0" applyProtection="0">
      <alignment vertical="center"/>
    </xf>
    <xf numFmtId="0" fontId="78" fillId="43" borderId="0" applyNumberFormat="0" applyBorder="0" applyAlignment="0" applyProtection="0">
      <alignment vertical="center"/>
    </xf>
    <xf numFmtId="0" fontId="78" fillId="43" borderId="0" applyNumberFormat="0" applyBorder="0" applyAlignment="0" applyProtection="0">
      <alignment vertical="center"/>
    </xf>
    <xf numFmtId="0" fontId="79" fillId="43" borderId="0" applyNumberFormat="0" applyBorder="0" applyAlignment="0" applyProtection="0">
      <alignment vertical="center"/>
    </xf>
    <xf numFmtId="0" fontId="78" fillId="43" borderId="0" applyNumberFormat="0" applyBorder="0" applyAlignment="0" applyProtection="0">
      <alignment vertical="center"/>
    </xf>
    <xf numFmtId="0" fontId="79" fillId="46" borderId="0" applyNumberFormat="0" applyBorder="0" applyAlignment="0" applyProtection="0">
      <alignment vertical="center"/>
    </xf>
    <xf numFmtId="0" fontId="78" fillId="43" borderId="0" applyNumberFormat="0" applyBorder="0" applyAlignment="0" applyProtection="0">
      <alignment vertical="center"/>
    </xf>
    <xf numFmtId="0" fontId="81" fillId="45" borderId="0" applyNumberFormat="0" applyBorder="0" applyAlignment="0" applyProtection="0">
      <alignment vertical="center"/>
    </xf>
    <xf numFmtId="0" fontId="78" fillId="43" borderId="0" applyNumberFormat="0" applyBorder="0" applyAlignment="0" applyProtection="0">
      <alignment vertical="center"/>
    </xf>
    <xf numFmtId="0" fontId="81" fillId="45" borderId="0" applyNumberFormat="0" applyBorder="0" applyAlignment="0" applyProtection="0">
      <alignment vertical="center"/>
    </xf>
    <xf numFmtId="0" fontId="79" fillId="43" borderId="0" applyNumberFormat="0" applyBorder="0" applyAlignment="0" applyProtection="0">
      <alignment vertical="center"/>
    </xf>
    <xf numFmtId="4" fontId="82" fillId="0" borderId="0" applyFont="0" applyFill="0" applyBorder="0" applyAlignment="0" applyProtection="0"/>
    <xf numFmtId="41" fontId="5" fillId="0" borderId="0" applyFont="0" applyFill="0" applyBorder="0" applyAlignment="0" applyProtection="0"/>
    <xf numFmtId="179" fontId="83" fillId="0" borderId="0" applyFont="0" applyFill="0" applyBorder="0" applyAlignment="0" applyProtection="0"/>
    <xf numFmtId="180" fontId="83" fillId="0" borderId="0" applyFont="0" applyFill="0" applyBorder="0" applyAlignment="0" applyProtection="0"/>
    <xf numFmtId="182" fontId="5" fillId="0" borderId="0" applyFont="0" applyFill="0" applyBorder="0" applyAlignment="0" applyProtection="0"/>
    <xf numFmtId="222" fontId="5" fillId="0" borderId="0" applyFont="0" applyFill="0" applyBorder="0" applyAlignment="0" applyProtection="0"/>
    <xf numFmtId="0" fontId="57" fillId="0" borderId="0"/>
    <xf numFmtId="1" fontId="57" fillId="0" borderId="0"/>
    <xf numFmtId="223" fontId="84" fillId="0" borderId="0" applyFont="0" applyFill="0" applyBorder="0" applyAlignment="0" applyProtection="0"/>
    <xf numFmtId="224" fontId="84" fillId="0" borderId="0" applyFont="0" applyFill="0" applyBorder="0" applyAlignment="0" applyProtection="0"/>
    <xf numFmtId="179" fontId="57" fillId="0" borderId="0" applyFont="0" applyFill="0" applyBorder="0" applyAlignment="0" applyProtection="0"/>
    <xf numFmtId="180" fontId="57" fillId="0" borderId="0" applyFont="0" applyFill="0" applyBorder="0" applyAlignment="0" applyProtection="0"/>
    <xf numFmtId="0" fontId="16" fillId="0" borderId="0"/>
    <xf numFmtId="41"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alignment vertical="center"/>
    </xf>
    <xf numFmtId="43" fontId="14" fillId="0" borderId="0" applyFont="0" applyFill="0" applyBorder="0" applyAlignment="0" applyProtection="0"/>
    <xf numFmtId="43" fontId="14" fillId="0" borderId="0" applyFont="0" applyFill="0" applyBorder="0" applyAlignment="0" applyProtection="0"/>
    <xf numFmtId="43" fontId="9" fillId="0" borderId="0" applyFont="0" applyFill="0" applyBorder="0" applyAlignment="0" applyProtection="0"/>
    <xf numFmtId="43" fontId="76" fillId="0" borderId="0" applyFont="0" applyFill="0" applyBorder="0" applyAlignment="0" applyProtection="0">
      <alignment vertical="center"/>
    </xf>
    <xf numFmtId="41" fontId="9" fillId="0" borderId="0" applyFont="0" applyFill="0" applyBorder="0" applyAlignment="0" applyProtection="0"/>
    <xf numFmtId="0" fontId="85" fillId="0" borderId="0"/>
    <xf numFmtId="0" fontId="86" fillId="47" borderId="0" applyNumberFormat="0" applyBorder="0" applyAlignment="0" applyProtection="0"/>
    <xf numFmtId="0" fontId="86" fillId="48" borderId="0" applyNumberFormat="0" applyBorder="0" applyAlignment="0" applyProtection="0"/>
    <xf numFmtId="0" fontId="86" fillId="49" borderId="0" applyNumberFormat="0" applyBorder="0" applyAlignment="0" applyProtection="0"/>
    <xf numFmtId="202" fontId="5" fillId="0" borderId="0" applyFont="0" applyFill="0" applyBorder="0" applyAlignment="0" applyProtection="0"/>
    <xf numFmtId="225" fontId="82" fillId="0" borderId="0" applyFont="0" applyFill="0" applyBorder="0" applyAlignment="0" applyProtection="0"/>
    <xf numFmtId="0" fontId="57" fillId="0" borderId="0"/>
    <xf numFmtId="0" fontId="83" fillId="0" borderId="0"/>
    <xf numFmtId="0" fontId="87" fillId="0" borderId="0"/>
    <xf numFmtId="40" fontId="68" fillId="0" borderId="0" applyFont="0" applyFill="0" applyBorder="0" applyAlignment="0" applyProtection="0"/>
    <xf numFmtId="38" fontId="68" fillId="0" borderId="0" applyFont="0" applyFill="0" applyBorder="0" applyAlignment="0" applyProtection="0"/>
    <xf numFmtId="177" fontId="5" fillId="0" borderId="2" applyNumberFormat="0"/>
    <xf numFmtId="38" fontId="88" fillId="0" borderId="0" applyFont="0" applyFill="0" applyBorder="0" applyAlignment="0" applyProtection="0"/>
    <xf numFmtId="40"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0" fontId="89" fillId="0" borderId="0"/>
    <xf numFmtId="0" fontId="9" fillId="0" borderId="0">
      <alignment vertical="center"/>
      <protection locked="0"/>
    </xf>
    <xf numFmtId="0" fontId="97" fillId="0" borderId="0"/>
    <xf numFmtId="0" fontId="9" fillId="0" borderId="0">
      <protection locked="0"/>
    </xf>
    <xf numFmtId="0" fontId="104" fillId="0" borderId="0">
      <alignment vertical="center"/>
    </xf>
    <xf numFmtId="0" fontId="57" fillId="0" borderId="0"/>
    <xf numFmtId="0" fontId="9" fillId="0" borderId="0">
      <alignment vertical="center"/>
    </xf>
    <xf numFmtId="0" fontId="9" fillId="0" borderId="0">
      <alignment vertical="center"/>
      <protection locked="0"/>
    </xf>
    <xf numFmtId="0" fontId="9" fillId="0" borderId="0">
      <alignment vertical="center"/>
    </xf>
    <xf numFmtId="0" fontId="9" fillId="0" borderId="0" applyFill="0" applyBorder="0"/>
    <xf numFmtId="0" fontId="9" fillId="0" borderId="0">
      <protection locked="0"/>
    </xf>
    <xf numFmtId="0" fontId="57" fillId="0" borderId="0"/>
    <xf numFmtId="0" fontId="2" fillId="0" borderId="0">
      <alignment vertical="center"/>
    </xf>
    <xf numFmtId="9" fontId="2" fillId="0" borderId="0" applyFont="0" applyFill="0" applyBorder="0" applyAlignment="0" applyProtection="0">
      <alignment vertical="center"/>
    </xf>
    <xf numFmtId="0" fontId="5" fillId="0" borderId="0"/>
    <xf numFmtId="0" fontId="9" fillId="0" borderId="0" applyNumberFormat="0" applyFill="0" applyBorder="0" applyAlignment="0" applyProtection="0"/>
    <xf numFmtId="0" fontId="5" fillId="0" borderId="0"/>
    <xf numFmtId="0" fontId="5" fillId="0" borderId="0"/>
    <xf numFmtId="0" fontId="5" fillId="0" borderId="0"/>
    <xf numFmtId="0" fontId="88" fillId="0" borderId="0" applyFont="0" applyFill="0" applyBorder="0" applyAlignment="0" applyProtection="0"/>
    <xf numFmtId="0" fontId="88" fillId="0" borderId="0" applyFont="0" applyFill="0" applyBorder="0" applyAlignment="0" applyProtection="0"/>
    <xf numFmtId="0" fontId="1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9" fontId="16" fillId="0" borderId="0" applyProtection="0">
      <alignment horizontal="left"/>
    </xf>
    <xf numFmtId="0" fontId="35" fillId="0" borderId="0">
      <alignment vertical="top"/>
      <protection locked="0"/>
    </xf>
    <xf numFmtId="0" fontId="35" fillId="0" borderId="0">
      <alignment vertical="top"/>
    </xf>
    <xf numFmtId="0" fontId="5" fillId="0" borderId="0" applyNumberFormat="0" applyFill="0" applyBorder="0" applyAlignment="0">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5" fillId="0" borderId="0" applyNumberFormat="0" applyFill="0" applyBorder="0" applyAlignment="0">
      <protection locked="0"/>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5" fillId="0" borderId="0" applyNumberFormat="0" applyFill="0" applyBorder="0" applyAlignment="0" applyProtection="0"/>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xf>
    <xf numFmtId="0" fontId="57" fillId="0" borderId="0"/>
    <xf numFmtId="0" fontId="35" fillId="0" borderId="0">
      <alignment vertical="top"/>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protection locked="0"/>
    </xf>
    <xf numFmtId="0" fontId="35" fillId="0" borderId="0">
      <alignment vertical="top"/>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xf>
    <xf numFmtId="0" fontId="35" fillId="0" borderId="0">
      <alignment vertical="top"/>
    </xf>
    <xf numFmtId="0" fontId="35" fillId="0" borderId="0">
      <alignment vertical="top"/>
    </xf>
    <xf numFmtId="0" fontId="35" fillId="0" borderId="0">
      <alignment vertical="top"/>
      <protection locked="0"/>
    </xf>
    <xf numFmtId="0" fontId="35" fillId="0" borderId="0">
      <alignment vertical="top"/>
      <protection locked="0"/>
    </xf>
    <xf numFmtId="0" fontId="35" fillId="0" borderId="0">
      <alignment vertical="top"/>
      <protection locked="0"/>
    </xf>
    <xf numFmtId="0" fontId="35" fillId="0" borderId="0">
      <alignment vertical="top"/>
      <protection locked="0"/>
    </xf>
    <xf numFmtId="0" fontId="57" fillId="0" borderId="0"/>
    <xf numFmtId="0" fontId="112" fillId="53" borderId="0" applyNumberFormat="0" applyBorder="0" applyAlignment="0" applyProtection="0"/>
    <xf numFmtId="0" fontId="112" fillId="26" borderId="0" applyNumberFormat="0" applyBorder="0" applyAlignment="0" applyProtection="0"/>
    <xf numFmtId="0" fontId="112" fillId="44" borderId="0" applyNumberFormat="0" applyBorder="0" applyAlignment="0" applyProtection="0"/>
    <xf numFmtId="0" fontId="112" fillId="54" borderId="0" applyNumberFormat="0" applyBorder="0" applyAlignment="0" applyProtection="0"/>
    <xf numFmtId="0" fontId="112" fillId="55" borderId="0" applyNumberFormat="0" applyBorder="0" applyAlignment="0" applyProtection="0"/>
    <xf numFmtId="0" fontId="112" fillId="56" borderId="0" applyNumberFormat="0" applyBorder="0" applyAlignment="0" applyProtection="0"/>
    <xf numFmtId="0" fontId="112" fillId="57" borderId="0" applyNumberFormat="0" applyBorder="0" applyAlignment="0" applyProtection="0"/>
    <xf numFmtId="0" fontId="112" fillId="27" borderId="0" applyNumberFormat="0" applyBorder="0" applyAlignment="0" applyProtection="0"/>
    <xf numFmtId="0" fontId="112" fillId="34" borderId="0" applyNumberFormat="0" applyBorder="0" applyAlignment="0" applyProtection="0"/>
    <xf numFmtId="0" fontId="112" fillId="54" borderId="0" applyNumberFormat="0" applyBorder="0" applyAlignment="0" applyProtection="0"/>
    <xf numFmtId="0" fontId="112" fillId="57" borderId="0" applyNumberFormat="0" applyBorder="0" applyAlignment="0" applyProtection="0"/>
    <xf numFmtId="0" fontId="112" fillId="29" borderId="0" applyNumberFormat="0" applyBorder="0" applyAlignment="0" applyProtection="0"/>
    <xf numFmtId="0" fontId="113" fillId="58" borderId="0" applyNumberFormat="0" applyBorder="0" applyAlignment="0" applyProtection="0"/>
    <xf numFmtId="0" fontId="113" fillId="27" borderId="0" applyNumberFormat="0" applyBorder="0" applyAlignment="0" applyProtection="0"/>
    <xf numFmtId="0" fontId="113" fillId="34" borderId="0" applyNumberFormat="0" applyBorder="0" applyAlignment="0" applyProtection="0"/>
    <xf numFmtId="0" fontId="113" fillId="59" borderId="0" applyNumberFormat="0" applyBorder="0" applyAlignment="0" applyProtection="0"/>
    <xf numFmtId="0" fontId="113" fillId="60" borderId="0" applyNumberFormat="0" applyBorder="0" applyAlignment="0" applyProtection="0"/>
    <xf numFmtId="0" fontId="113" fillId="30" borderId="0" applyNumberFormat="0" applyBorder="0" applyAlignment="0" applyProtection="0"/>
    <xf numFmtId="0" fontId="38" fillId="0" borderId="2">
      <alignment horizontal="center"/>
    </xf>
    <xf numFmtId="0" fontId="38" fillId="0" borderId="2">
      <alignment horizontal="center"/>
    </xf>
    <xf numFmtId="0" fontId="114" fillId="26" borderId="0" applyNumberFormat="0" applyBorder="0" applyAlignment="0" applyProtection="0"/>
    <xf numFmtId="178" fontId="4" fillId="0" borderId="1" applyAlignment="0" applyProtection="0"/>
    <xf numFmtId="178" fontId="4" fillId="0" borderId="1" applyAlignment="0" applyProtection="0"/>
    <xf numFmtId="226" fontId="9" fillId="0" borderId="0" applyFill="0" applyBorder="0" applyAlignment="0"/>
    <xf numFmtId="0" fontId="115" fillId="61" borderId="27" applyNumberFormat="0" applyAlignment="0" applyProtection="0"/>
    <xf numFmtId="0" fontId="116" fillId="62" borderId="28"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0" fontId="55" fillId="0" borderId="0" applyFont="0" applyFill="0" applyBorder="0" applyAlignment="0" applyProtection="0"/>
    <xf numFmtId="227" fontId="9" fillId="0" borderId="0" applyFont="0" applyFill="0" applyBorder="0" applyAlignment="0" applyProtection="0"/>
    <xf numFmtId="15" fontId="55" fillId="0" borderId="0"/>
    <xf numFmtId="0" fontId="117" fillId="0" borderId="0" applyNumberFormat="0" applyFill="0" applyBorder="0" applyAlignment="0" applyProtection="0"/>
    <xf numFmtId="0" fontId="48" fillId="0" borderId="0">
      <alignment horizontal="left"/>
    </xf>
    <xf numFmtId="0" fontId="48" fillId="0" borderId="0">
      <alignment horizontal="left"/>
    </xf>
    <xf numFmtId="0" fontId="7" fillId="20" borderId="2"/>
    <xf numFmtId="0" fontId="7" fillId="20" borderId="2"/>
    <xf numFmtId="0" fontId="7" fillId="20" borderId="2"/>
    <xf numFmtId="0" fontId="7" fillId="20" borderId="2"/>
    <xf numFmtId="0" fontId="7" fillId="20" borderId="2"/>
    <xf numFmtId="0" fontId="7" fillId="20" borderId="2"/>
    <xf numFmtId="0" fontId="118" fillId="0" borderId="0" applyNumberFormat="0" applyFill="0" applyBorder="0" applyAlignment="0" applyProtection="0"/>
    <xf numFmtId="0" fontId="119" fillId="44" borderId="0" applyNumberFormat="0" applyBorder="0" applyAlignment="0" applyProtection="0"/>
    <xf numFmtId="0" fontId="22" fillId="0" borderId="12" applyNumberFormat="0" applyAlignment="0" applyProtection="0">
      <alignment horizontal="left" vertical="center"/>
    </xf>
    <xf numFmtId="0" fontId="22" fillId="0" borderId="12" applyNumberFormat="0" applyAlignment="0" applyProtection="0">
      <alignment horizontal="left" vertical="center"/>
    </xf>
    <xf numFmtId="0" fontId="22" fillId="0" borderId="23">
      <alignment horizontal="left" vertical="center"/>
    </xf>
    <xf numFmtId="0" fontId="22" fillId="0" borderId="23">
      <alignment horizontal="left" vertical="center"/>
    </xf>
    <xf numFmtId="14" fontId="107" fillId="63" borderId="13">
      <alignment horizontal="center" vertical="center" wrapText="1"/>
    </xf>
    <xf numFmtId="0" fontId="120" fillId="0" borderId="29" applyNumberFormat="0" applyFill="0" applyAlignment="0" applyProtection="0"/>
    <xf numFmtId="0" fontId="121" fillId="0" borderId="30" applyNumberFormat="0" applyFill="0" applyAlignment="0" applyProtection="0"/>
    <xf numFmtId="0" fontId="122" fillId="0" borderId="31" applyNumberFormat="0" applyFill="0" applyAlignment="0" applyProtection="0"/>
    <xf numFmtId="0" fontId="122" fillId="0" borderId="0" applyNumberFormat="0" applyFill="0" applyBorder="0" applyAlignment="0" applyProtection="0"/>
    <xf numFmtId="0" fontId="123" fillId="56" borderId="27" applyNumberFormat="0" applyAlignment="0" applyProtection="0"/>
    <xf numFmtId="10" fontId="7" fillId="3" borderId="2" applyNumberFormat="0" applyBorder="0" applyAlignment="0" applyProtection="0"/>
    <xf numFmtId="10" fontId="7" fillId="3" borderId="2" applyNumberFormat="0" applyBorder="0" applyAlignment="0" applyProtection="0"/>
    <xf numFmtId="228" fontId="9" fillId="21" borderId="0"/>
    <xf numFmtId="0" fontId="16" fillId="0" borderId="0" applyNumberFormat="0" applyFont="0" applyFill="0" applyBorder="0" applyProtection="0">
      <alignment horizontal="left" vertical="center"/>
    </xf>
    <xf numFmtId="0" fontId="16" fillId="0" borderId="0" applyNumberFormat="0" applyFont="0" applyFill="0" applyBorder="0" applyProtection="0">
      <alignment horizontal="left" vertical="center"/>
    </xf>
    <xf numFmtId="0" fontId="16" fillId="0" borderId="0" applyNumberFormat="0" applyFont="0" applyFill="0" applyBorder="0" applyProtection="0">
      <alignment horizontal="left" vertical="center"/>
    </xf>
    <xf numFmtId="0" fontId="124" fillId="0" borderId="32" applyNumberFormat="0" applyFill="0" applyAlignment="0" applyProtection="0"/>
    <xf numFmtId="228" fontId="9" fillId="22" borderId="0"/>
    <xf numFmtId="41" fontId="5" fillId="0" borderId="0" applyFont="0" applyFill="0" applyBorder="0" applyAlignment="0" applyProtection="0"/>
    <xf numFmtId="43" fontId="5" fillId="0" borderId="0" applyFont="0" applyFill="0" applyBorder="0" applyAlignment="0" applyProtection="0"/>
    <xf numFmtId="205" fontId="5" fillId="0" borderId="0" applyFont="0" applyFill="0" applyBorder="0" applyAlignment="0" applyProtection="0"/>
    <xf numFmtId="202" fontId="5" fillId="0" borderId="0" applyFont="0" applyFill="0" applyBorder="0" applyAlignment="0" applyProtection="0"/>
    <xf numFmtId="229" fontId="5" fillId="0" borderId="0" applyFont="0" applyFill="0" applyBorder="0" applyAlignment="0" applyProtection="0"/>
    <xf numFmtId="230" fontId="9" fillId="0" borderId="0" applyFont="0" applyFill="0" applyBorder="0" applyAlignment="0" applyProtection="0"/>
    <xf numFmtId="0" fontId="125" fillId="23" borderId="0" applyNumberFormat="0" applyBorder="0" applyAlignment="0" applyProtection="0"/>
    <xf numFmtId="0" fontId="16" fillId="0" borderId="0"/>
    <xf numFmtId="37" fontId="126" fillId="0" borderId="0"/>
    <xf numFmtId="181" fontId="9" fillId="0" borderId="0"/>
    <xf numFmtId="0" fontId="5" fillId="0" borderId="0"/>
    <xf numFmtId="0" fontId="5" fillId="0" borderId="0"/>
    <xf numFmtId="0" fontId="9" fillId="0" borderId="0"/>
    <xf numFmtId="0" fontId="9" fillId="0" borderId="0"/>
    <xf numFmtId="0" fontId="9" fillId="0" borderId="0">
      <alignment vertical="center"/>
    </xf>
    <xf numFmtId="0" fontId="55" fillId="0" borderId="0"/>
    <xf numFmtId="0" fontId="5" fillId="64" borderId="33" applyNumberFormat="0" applyFont="0" applyAlignment="0" applyProtection="0"/>
    <xf numFmtId="0" fontId="127" fillId="61" borderId="34" applyNumberFormat="0" applyAlignment="0" applyProtection="0"/>
    <xf numFmtId="231" fontId="5" fillId="0" borderId="0" applyFont="0" applyFill="0" applyBorder="0" applyAlignment="0" applyProtection="0"/>
    <xf numFmtId="0" fontId="7" fillId="2" borderId="2"/>
    <xf numFmtId="0" fontId="7" fillId="2" borderId="2"/>
    <xf numFmtId="0" fontId="7" fillId="2" borderId="2"/>
    <xf numFmtId="0" fontId="7" fillId="2" borderId="2"/>
    <xf numFmtId="0" fontId="7" fillId="2" borderId="2"/>
    <xf numFmtId="0" fontId="7" fillId="2" borderId="2"/>
    <xf numFmtId="194" fontId="54" fillId="0" borderId="0"/>
    <xf numFmtId="232" fontId="9" fillId="0" borderId="0" applyNumberFormat="0" applyFill="0" applyBorder="0" applyAlignment="0" applyProtection="0">
      <alignment horizontal="left"/>
    </xf>
    <xf numFmtId="0" fontId="128" fillId="65" borderId="0">
      <alignment horizontal="left" vertical="center"/>
    </xf>
    <xf numFmtId="0" fontId="128" fillId="65" borderId="0">
      <alignment horizontal="right" vertical="center"/>
    </xf>
    <xf numFmtId="0" fontId="64" fillId="0" borderId="0">
      <alignment horizontal="left"/>
    </xf>
    <xf numFmtId="0" fontId="64" fillId="0" borderId="0">
      <alignment horizontal="left"/>
    </xf>
    <xf numFmtId="0" fontId="129" fillId="0" borderId="2">
      <alignment horizontal="center"/>
    </xf>
    <xf numFmtId="0" fontId="129" fillId="0" borderId="2">
      <alignment horizontal="center"/>
    </xf>
    <xf numFmtId="0" fontId="129" fillId="0" borderId="2">
      <alignment horizontal="center"/>
    </xf>
    <xf numFmtId="0" fontId="129" fillId="0" borderId="2">
      <alignment horizontal="center"/>
    </xf>
    <xf numFmtId="0" fontId="129" fillId="0" borderId="2">
      <alignment horizontal="center"/>
    </xf>
    <xf numFmtId="0" fontId="129" fillId="0" borderId="2">
      <alignment horizontal="center"/>
    </xf>
    <xf numFmtId="0" fontId="129" fillId="0" borderId="2">
      <alignment horizontal="center"/>
    </xf>
    <xf numFmtId="0" fontId="129" fillId="0" borderId="0">
      <alignment horizontal="center" vertical="center"/>
    </xf>
    <xf numFmtId="0" fontId="129" fillId="0" borderId="0">
      <alignment horizontal="center" vertical="center"/>
    </xf>
    <xf numFmtId="0" fontId="129" fillId="0" borderId="0">
      <alignment horizontal="center" vertical="center"/>
    </xf>
    <xf numFmtId="0" fontId="130" fillId="66" borderId="0" applyNumberFormat="0" applyFill="0">
      <alignment horizontal="left" vertical="center"/>
    </xf>
    <xf numFmtId="0" fontId="130" fillId="66" borderId="0" applyNumberFormat="0" applyFill="0">
      <alignment horizontal="left" vertical="center"/>
    </xf>
    <xf numFmtId="0" fontId="130" fillId="66" borderId="0" applyNumberFormat="0" applyFill="0">
      <alignment horizontal="left" vertical="center"/>
    </xf>
    <xf numFmtId="0" fontId="21" fillId="0" borderId="0" applyFill="0" applyBorder="0" applyProtection="0">
      <alignment horizontal="left" vertical="top"/>
    </xf>
    <xf numFmtId="0" fontId="21" fillId="0" borderId="0" applyFill="0" applyBorder="0" applyProtection="0">
      <alignment horizontal="left" vertical="top"/>
    </xf>
    <xf numFmtId="0" fontId="21" fillId="0" borderId="0" applyFill="0" applyBorder="0" applyProtection="0">
      <alignment horizontal="left" vertical="top"/>
    </xf>
    <xf numFmtId="0" fontId="66" fillId="0" borderId="0">
      <alignment horizontal="center"/>
    </xf>
    <xf numFmtId="0" fontId="66" fillId="0" borderId="0">
      <alignment horizontal="center"/>
    </xf>
    <xf numFmtId="0" fontId="131" fillId="0" borderId="0" applyNumberFormat="0" applyFill="0" applyBorder="0" applyAlignment="0" applyProtection="0"/>
    <xf numFmtId="0" fontId="82" fillId="0" borderId="0" applyNumberFormat="0" applyFont="0" applyFill="0" applyBorder="0" applyProtection="0">
      <alignment horizontal="center" vertical="center" wrapText="1"/>
    </xf>
    <xf numFmtId="0" fontId="82" fillId="0" borderId="0" applyNumberFormat="0" applyFont="0" applyFill="0" applyBorder="0" applyProtection="0">
      <alignment horizontal="center" vertical="center" wrapText="1"/>
    </xf>
    <xf numFmtId="0" fontId="82" fillId="0" borderId="0" applyNumberFormat="0" applyFont="0" applyFill="0" applyBorder="0" applyProtection="0">
      <alignment horizontal="center" vertical="center" wrapText="1"/>
    </xf>
    <xf numFmtId="9" fontId="9" fillId="0" borderId="0" applyFont="0" applyFill="0" applyBorder="0" applyAlignment="0" applyProtection="0">
      <alignment vertical="center"/>
    </xf>
    <xf numFmtId="9" fontId="5" fillId="0" borderId="0" applyFont="0" applyFill="0" applyBorder="0" applyAlignment="0" applyProtection="0"/>
    <xf numFmtId="187" fontId="24" fillId="0" borderId="0" applyFill="0" applyBorder="0" applyProtection="0">
      <alignment horizontal="right"/>
    </xf>
    <xf numFmtId="0" fontId="132" fillId="52" borderId="0" applyNumberFormat="0" applyBorder="0" applyAlignment="0" applyProtection="0">
      <alignment vertical="center"/>
    </xf>
    <xf numFmtId="0" fontId="75" fillId="26" borderId="0" applyNumberFormat="0" applyBorder="0" applyAlignment="0" applyProtection="0">
      <alignment vertical="center"/>
    </xf>
    <xf numFmtId="0" fontId="133" fillId="54" borderId="0" applyNumberFormat="0" applyBorder="0" applyAlignment="0" applyProtection="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2" fillId="0" borderId="0">
      <alignment vertical="center"/>
    </xf>
    <xf numFmtId="0" fontId="9" fillId="0" borderId="0">
      <alignment vertical="center"/>
    </xf>
    <xf numFmtId="0" fontId="9" fillId="0" borderId="0">
      <alignment vertical="center"/>
    </xf>
    <xf numFmtId="0" fontId="9"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9" fillId="0" borderId="0">
      <protection locked="0"/>
    </xf>
    <xf numFmtId="0" fontId="5" fillId="0" borderId="0"/>
    <xf numFmtId="0" fontId="9" fillId="0" borderId="0">
      <alignment vertical="center"/>
      <protection locked="0"/>
    </xf>
    <xf numFmtId="0" fontId="76" fillId="0" borderId="0">
      <alignment vertical="center"/>
    </xf>
    <xf numFmtId="0" fontId="9" fillId="0" borderId="0">
      <alignment vertical="center"/>
      <protection locked="0"/>
    </xf>
    <xf numFmtId="0" fontId="76" fillId="0" borderId="0">
      <alignment vertical="center"/>
    </xf>
    <xf numFmtId="0" fontId="97" fillId="0" borderId="0"/>
    <xf numFmtId="0" fontId="97" fillId="0" borderId="0"/>
    <xf numFmtId="0" fontId="9" fillId="0" borderId="0">
      <alignment vertical="center"/>
    </xf>
    <xf numFmtId="0" fontId="9" fillId="0" borderId="0">
      <alignment vertical="center"/>
    </xf>
    <xf numFmtId="0" fontId="134" fillId="0" borderId="0" applyNumberFormat="0" applyBorder="0" applyProtection="0">
      <alignment vertical="center"/>
    </xf>
    <xf numFmtId="0" fontId="57" fillId="0" borderId="0"/>
    <xf numFmtId="0" fontId="9" fillId="0" borderId="0">
      <protection locked="0"/>
    </xf>
    <xf numFmtId="0" fontId="14" fillId="0" borderId="0"/>
    <xf numFmtId="0" fontId="76" fillId="0" borderId="0">
      <alignment vertical="center"/>
    </xf>
    <xf numFmtId="0" fontId="9" fillId="0" borderId="0">
      <protection locked="0"/>
    </xf>
    <xf numFmtId="0" fontId="76" fillId="0" borderId="0">
      <alignment vertical="center"/>
    </xf>
    <xf numFmtId="0" fontId="9" fillId="0" borderId="0">
      <alignment vertical="center"/>
    </xf>
    <xf numFmtId="0" fontId="9" fillId="0" borderId="0">
      <alignment vertical="center"/>
      <protection locked="0"/>
    </xf>
    <xf numFmtId="0" fontId="9" fillId="0" borderId="0"/>
    <xf numFmtId="0" fontId="9" fillId="0" borderId="0"/>
    <xf numFmtId="0" fontId="9" fillId="0" borderId="0">
      <alignment vertical="center"/>
    </xf>
    <xf numFmtId="0" fontId="9" fillId="0" borderId="0">
      <protection locked="0"/>
    </xf>
    <xf numFmtId="0" fontId="9" fillId="0" borderId="0">
      <alignment vertical="center"/>
    </xf>
    <xf numFmtId="0" fontId="9" fillId="0" borderId="0"/>
    <xf numFmtId="0" fontId="76" fillId="0" borderId="0">
      <alignment vertical="center"/>
    </xf>
    <xf numFmtId="0" fontId="76" fillId="0" borderId="0">
      <alignment vertical="center"/>
    </xf>
    <xf numFmtId="0" fontId="134" fillId="0" borderId="0">
      <alignment vertical="center"/>
    </xf>
    <xf numFmtId="0" fontId="76" fillId="0" borderId="0">
      <alignment vertical="center"/>
    </xf>
    <xf numFmtId="0" fontId="9" fillId="0" borderId="0">
      <alignment vertical="center"/>
      <protection locked="0"/>
    </xf>
    <xf numFmtId="0" fontId="9" fillId="0" borderId="0" applyNumberFormat="0" applyFill="0" applyBorder="0" applyAlignment="0" applyProtection="0"/>
    <xf numFmtId="0" fontId="2" fillId="0" borderId="0">
      <alignment vertical="center"/>
    </xf>
    <xf numFmtId="0" fontId="2" fillId="0" borderId="0">
      <alignment vertical="center"/>
    </xf>
    <xf numFmtId="0" fontId="41" fillId="0"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76" fillId="0" borderId="0">
      <alignment vertical="center"/>
    </xf>
    <xf numFmtId="0" fontId="2" fillId="0" borderId="0">
      <alignment vertical="center"/>
    </xf>
    <xf numFmtId="0" fontId="2" fillId="0" borderId="0">
      <alignment vertical="center"/>
    </xf>
    <xf numFmtId="0" fontId="2" fillId="0" borderId="0">
      <alignment vertical="center"/>
    </xf>
    <xf numFmtId="0" fontId="5" fillId="0" borderId="0"/>
    <xf numFmtId="0" fontId="2" fillId="0" borderId="0">
      <alignment vertical="center"/>
    </xf>
    <xf numFmtId="0" fontId="2" fillId="0" borderId="0">
      <alignment vertical="center"/>
    </xf>
    <xf numFmtId="0" fontId="76" fillId="0" borderId="0">
      <alignment vertical="center"/>
    </xf>
    <xf numFmtId="0" fontId="2" fillId="0" borderId="0">
      <alignment vertical="center"/>
    </xf>
    <xf numFmtId="0" fontId="2" fillId="0" borderId="0">
      <alignment vertical="center"/>
    </xf>
    <xf numFmtId="0" fontId="76" fillId="0" borderId="0">
      <alignment vertical="center"/>
    </xf>
    <xf numFmtId="0" fontId="2" fillId="0" borderId="0">
      <alignment vertical="center"/>
    </xf>
    <xf numFmtId="0" fontId="76" fillId="0" borderId="0">
      <alignment vertical="center"/>
    </xf>
    <xf numFmtId="0" fontId="2"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2" fillId="0" borderId="0">
      <alignment vertical="center"/>
    </xf>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4" fillId="0" borderId="0" applyNumberFormat="0" applyFill="0" applyBorder="0" applyAlignment="0" applyProtection="0"/>
    <xf numFmtId="0" fontId="135" fillId="51" borderId="0" applyNumberFormat="0" applyBorder="0" applyAlignment="0" applyProtection="0">
      <alignment vertical="center"/>
    </xf>
    <xf numFmtId="0" fontId="136" fillId="44" borderId="0" applyNumberFormat="0" applyBorder="0" applyAlignment="0" applyProtection="0">
      <alignment vertical="center"/>
    </xf>
    <xf numFmtId="0" fontId="136" fillId="55" borderId="0" applyNumberFormat="0" applyBorder="0" applyAlignment="0" applyProtection="0">
      <alignment vertical="center"/>
    </xf>
    <xf numFmtId="41" fontId="57" fillId="0" borderId="0" applyFont="0" applyFill="0" applyBorder="0" applyAlignment="0" applyProtection="0"/>
    <xf numFmtId="43" fontId="57" fillId="0" borderId="0" applyFont="0" applyFill="0" applyBorder="0" applyAlignment="0" applyProtection="0"/>
    <xf numFmtId="43" fontId="134" fillId="0" borderId="0" applyFont="0" applyFill="0" applyBorder="0" applyAlignment="0" applyProtection="0">
      <alignment vertical="center"/>
    </xf>
    <xf numFmtId="43" fontId="134" fillId="0" borderId="0" applyFont="0" applyFill="0" applyBorder="0" applyAlignment="0" applyProtection="0">
      <alignment vertical="center"/>
    </xf>
    <xf numFmtId="43" fontId="57" fillId="0" borderId="0" applyFont="0" applyFill="0" applyBorder="0" applyAlignment="0" applyProtection="0"/>
    <xf numFmtId="43" fontId="9" fillId="0" borderId="0" applyFont="0" applyFill="0" applyBorder="0" applyAlignment="0" applyProtection="0"/>
    <xf numFmtId="0" fontId="5" fillId="0" borderId="0" applyFont="0" applyFill="0" applyBorder="0" applyAlignment="0" applyProtection="0"/>
    <xf numFmtId="233" fontId="57" fillId="0" borderId="0" applyFont="0" applyFill="0" applyBorder="0" applyAlignment="0" applyProtection="0"/>
    <xf numFmtId="0" fontId="35" fillId="0" borderId="0">
      <alignment vertical="top"/>
    </xf>
    <xf numFmtId="0" fontId="35" fillId="0" borderId="0">
      <alignment vertical="top"/>
    </xf>
    <xf numFmtId="0" fontId="35" fillId="0" borderId="0">
      <alignment vertical="top"/>
      <protection locked="0"/>
    </xf>
    <xf numFmtId="177" fontId="5" fillId="0" borderId="2" applyNumberFormat="0"/>
    <xf numFmtId="177" fontId="5" fillId="0" borderId="2" applyNumberFormat="0"/>
    <xf numFmtId="0" fontId="9" fillId="0" borderId="0">
      <protection locked="0"/>
    </xf>
    <xf numFmtId="234" fontId="9" fillId="0" borderId="0">
      <protection locked="0"/>
    </xf>
    <xf numFmtId="0" fontId="9" fillId="0" borderId="0">
      <protection locked="0"/>
    </xf>
    <xf numFmtId="234" fontId="1" fillId="0" borderId="0">
      <alignment vertical="center"/>
    </xf>
  </cellStyleXfs>
  <cellXfs count="215">
    <xf numFmtId="0" fontId="0" fillId="0" borderId="0" xfId="0">
      <protection locked="0"/>
    </xf>
    <xf numFmtId="0" fontId="28" fillId="0" borderId="0" xfId="0" applyFont="1" applyAlignment="1">
      <alignment vertical="center"/>
      <protection locked="0"/>
    </xf>
    <xf numFmtId="0" fontId="28" fillId="0" borderId="0" xfId="28" applyFont="1">
      <alignment vertical="center"/>
    </xf>
    <xf numFmtId="0" fontId="28" fillId="0" borderId="0" xfId="0" applyFont="1" applyAlignment="1">
      <alignment vertical="center" wrapText="1"/>
      <protection locked="0"/>
    </xf>
    <xf numFmtId="0" fontId="28" fillId="0" borderId="3" xfId="0" applyFont="1" applyBorder="1" applyAlignment="1">
      <alignment horizontal="left" vertical="center" wrapText="1"/>
      <protection locked="0"/>
    </xf>
    <xf numFmtId="0" fontId="25" fillId="0" borderId="0" xfId="0" applyFont="1" applyAlignment="1">
      <alignment vertical="center" wrapText="1"/>
      <protection locked="0"/>
    </xf>
    <xf numFmtId="0" fontId="25" fillId="0" borderId="0" xfId="0" applyFont="1" applyAlignment="1">
      <alignment horizontal="center" vertical="center" wrapText="1"/>
      <protection locked="0"/>
    </xf>
    <xf numFmtId="0" fontId="25" fillId="0" borderId="0" xfId="0" applyFont="1" applyAlignment="1">
      <alignment horizontal="right" vertical="center" wrapText="1"/>
      <protection locked="0"/>
    </xf>
    <xf numFmtId="0" fontId="28" fillId="0" borderId="0" xfId="27" applyFont="1">
      <protection locked="0"/>
    </xf>
    <xf numFmtId="43" fontId="28" fillId="0" borderId="3" xfId="0" applyNumberFormat="1" applyFont="1" applyBorder="1" applyAlignment="1">
      <alignment horizontal="left" vertical="center" wrapText="1"/>
      <protection locked="0"/>
    </xf>
    <xf numFmtId="43" fontId="33" fillId="0" borderId="3" xfId="0" applyNumberFormat="1" applyFont="1" applyBorder="1" applyAlignment="1">
      <alignment horizontal="right" vertical="center" wrapText="1"/>
      <protection locked="0"/>
    </xf>
    <xf numFmtId="0" fontId="25" fillId="0" borderId="0" xfId="27" applyFont="1">
      <protection locked="0"/>
    </xf>
    <xf numFmtId="0" fontId="30" fillId="0" borderId="8" xfId="0" applyFont="1" applyBorder="1" applyAlignment="1">
      <alignment vertical="center"/>
      <protection locked="0"/>
    </xf>
    <xf numFmtId="0" fontId="28" fillId="0" borderId="8" xfId="27" applyFont="1" applyBorder="1" applyAlignment="1">
      <alignment vertical="center"/>
      <protection locked="0"/>
    </xf>
    <xf numFmtId="0" fontId="28" fillId="0" borderId="0" xfId="27" applyFont="1" applyAlignment="1">
      <alignment vertical="center"/>
      <protection locked="0"/>
    </xf>
    <xf numFmtId="0" fontId="28" fillId="0" borderId="0" xfId="0" applyFont="1" applyAlignment="1">
      <alignment horizontal="justify" vertical="center" wrapText="1"/>
      <protection locked="0"/>
    </xf>
    <xf numFmtId="0" fontId="25" fillId="0" borderId="0" xfId="0" applyFont="1" applyAlignment="1">
      <alignment vertical="center"/>
      <protection locked="0"/>
    </xf>
    <xf numFmtId="0" fontId="28" fillId="0" borderId="8" xfId="0" applyFont="1" applyBorder="1" applyAlignment="1">
      <alignment vertical="center"/>
      <protection locked="0"/>
    </xf>
    <xf numFmtId="0" fontId="26" fillId="0" borderId="0" xfId="0" applyFont="1" applyAlignment="1">
      <alignment vertical="center"/>
      <protection locked="0"/>
    </xf>
    <xf numFmtId="0" fontId="28" fillId="0" borderId="0" xfId="0" applyFont="1" applyAlignment="1">
      <alignment horizontal="center" vertical="center"/>
      <protection locked="0"/>
    </xf>
    <xf numFmtId="43" fontId="25" fillId="0" borderId="0" xfId="30" applyFont="1" applyBorder="1" applyAlignment="1">
      <alignment horizontal="right" vertical="center" wrapText="1"/>
    </xf>
    <xf numFmtId="43" fontId="28" fillId="0" borderId="0" xfId="30" applyFont="1" applyBorder="1" applyAlignment="1">
      <alignment vertical="center"/>
    </xf>
    <xf numFmtId="43" fontId="28" fillId="0" borderId="0" xfId="30" applyFont="1" applyBorder="1" applyAlignment="1">
      <alignment horizontal="right" vertical="center"/>
    </xf>
    <xf numFmtId="0" fontId="17" fillId="0" borderId="0" xfId="0" applyFont="1" applyAlignment="1">
      <alignment vertical="center"/>
      <protection locked="0"/>
    </xf>
    <xf numFmtId="43" fontId="28" fillId="5" borderId="3" xfId="30" applyFont="1" applyFill="1" applyBorder="1" applyAlignment="1">
      <alignment horizontal="right" vertical="center" wrapText="1"/>
    </xf>
    <xf numFmtId="10" fontId="28" fillId="5" borderId="3" xfId="24" applyNumberFormat="1" applyFont="1" applyFill="1" applyBorder="1" applyAlignment="1">
      <alignment horizontal="right" vertical="center" wrapText="1"/>
    </xf>
    <xf numFmtId="0" fontId="28" fillId="0" borderId="8" xfId="0" applyFont="1" applyBorder="1">
      <protection locked="0"/>
    </xf>
    <xf numFmtId="0" fontId="28" fillId="0" borderId="0" xfId="0" applyFont="1">
      <protection locked="0"/>
    </xf>
    <xf numFmtId="43" fontId="28" fillId="0" borderId="3" xfId="30" applyFont="1" applyFill="1" applyBorder="1" applyAlignment="1">
      <alignment horizontal="right" vertical="center" wrapText="1"/>
    </xf>
    <xf numFmtId="0" fontId="25" fillId="0" borderId="8" xfId="0" applyFont="1" applyBorder="1" applyAlignment="1">
      <alignment vertical="center"/>
      <protection locked="0"/>
    </xf>
    <xf numFmtId="43" fontId="28" fillId="0" borderId="0" xfId="31" applyNumberFormat="1" applyFont="1" applyBorder="1" applyAlignment="1">
      <alignment vertical="center"/>
    </xf>
    <xf numFmtId="0" fontId="90" fillId="0" borderId="0" xfId="0" applyFont="1" applyAlignment="1">
      <alignment vertical="center"/>
      <protection locked="0"/>
    </xf>
    <xf numFmtId="14" fontId="28" fillId="0" borderId="0" xfId="0" applyNumberFormat="1" applyFont="1" applyAlignment="1">
      <alignment vertical="center"/>
      <protection locked="0"/>
    </xf>
    <xf numFmtId="0" fontId="28" fillId="0" borderId="0" xfId="429" applyFont="1" applyAlignment="1">
      <alignment vertical="center"/>
    </xf>
    <xf numFmtId="0" fontId="17" fillId="5" borderId="3" xfId="0" applyFont="1" applyFill="1" applyBorder="1" applyAlignment="1">
      <alignment horizontal="center" vertical="center" wrapText="1"/>
      <protection locked="0"/>
    </xf>
    <xf numFmtId="43" fontId="28" fillId="0" borderId="0" xfId="433" applyNumberFormat="1" applyFont="1" applyBorder="1" applyAlignment="1">
      <alignment vertical="center"/>
    </xf>
    <xf numFmtId="43" fontId="28" fillId="0" borderId="0" xfId="433" applyNumberFormat="1" applyFont="1" applyBorder="1" applyAlignment="1">
      <alignment horizontal="left" vertical="center"/>
    </xf>
    <xf numFmtId="0" fontId="28" fillId="0" borderId="0" xfId="435" applyFont="1" applyAlignment="1">
      <alignment vertical="center"/>
    </xf>
    <xf numFmtId="0" fontId="137" fillId="5" borderId="3" xfId="734" applyFont="1" applyFill="1" applyBorder="1" applyAlignment="1" applyProtection="1">
      <alignment horizontal="center" vertical="center" wrapText="1"/>
      <protection locked="0"/>
    </xf>
    <xf numFmtId="43" fontId="25" fillId="0" borderId="8" xfId="433" applyNumberFormat="1" applyFont="1" applyBorder="1" applyAlignment="1">
      <alignment horizontal="left" vertical="center"/>
    </xf>
    <xf numFmtId="43" fontId="28" fillId="0" borderId="8" xfId="433" applyNumberFormat="1" applyFont="1" applyBorder="1" applyAlignment="1">
      <alignment horizontal="left" vertical="center"/>
    </xf>
    <xf numFmtId="43" fontId="94" fillId="0" borderId="8" xfId="327" applyNumberFormat="1" applyFont="1" applyBorder="1" applyAlignment="1" applyProtection="1">
      <alignment horizontal="center" vertical="center"/>
    </xf>
    <xf numFmtId="0" fontId="25" fillId="0" borderId="0" xfId="435" applyFont="1" applyAlignment="1">
      <alignment vertical="center"/>
    </xf>
    <xf numFmtId="9" fontId="29" fillId="0" borderId="0" xfId="24" applyFont="1" applyBorder="1" applyAlignment="1">
      <alignment horizontal="left" vertical="center"/>
    </xf>
    <xf numFmtId="0" fontId="28" fillId="0" borderId="0" xfId="435" applyFont="1" applyAlignment="1">
      <alignment horizontal="left" vertical="center"/>
    </xf>
    <xf numFmtId="10" fontId="29" fillId="0" borderId="0" xfId="24" applyNumberFormat="1" applyFont="1" applyBorder="1" applyAlignment="1">
      <alignment horizontal="left" vertical="center"/>
    </xf>
    <xf numFmtId="0" fontId="139" fillId="0" borderId="0" xfId="0" applyFont="1" applyAlignment="1">
      <alignment vertical="center"/>
      <protection locked="0"/>
    </xf>
    <xf numFmtId="14" fontId="139" fillId="0" borderId="0" xfId="0" applyNumberFormat="1" applyFont="1" applyAlignment="1">
      <alignment vertical="center"/>
      <protection locked="0"/>
    </xf>
    <xf numFmtId="0" fontId="140" fillId="0" borderId="0" xfId="0" applyFont="1" applyAlignment="1">
      <alignment horizontal="left" vertical="center"/>
      <protection locked="0"/>
    </xf>
    <xf numFmtId="0" fontId="139" fillId="0" borderId="0" xfId="0" applyFont="1" applyAlignment="1">
      <alignment horizontal="left" vertical="center"/>
      <protection locked="0"/>
    </xf>
    <xf numFmtId="0" fontId="26" fillId="0" borderId="0" xfId="0" applyFont="1" applyAlignment="1">
      <alignment horizontal="justify" vertical="center"/>
      <protection locked="0"/>
    </xf>
    <xf numFmtId="0" fontId="141" fillId="0" borderId="35" xfId="0" applyFont="1" applyBorder="1" applyAlignment="1">
      <alignment horizontal="justify" vertical="center" wrapText="1"/>
      <protection locked="0"/>
    </xf>
    <xf numFmtId="0" fontId="141" fillId="0" borderId="35" xfId="0" applyFont="1" applyBorder="1" applyAlignment="1">
      <alignment horizontal="right" vertical="center" wrapText="1"/>
      <protection locked="0"/>
    </xf>
    <xf numFmtId="0" fontId="143" fillId="0" borderId="35" xfId="0" applyFont="1" applyBorder="1" applyAlignment="1">
      <alignment horizontal="right" vertical="center" wrapText="1"/>
      <protection locked="0"/>
    </xf>
    <xf numFmtId="0" fontId="32" fillId="0" borderId="0" xfId="0" applyFont="1" applyAlignment="1">
      <alignment horizontal="justify" vertical="center" wrapText="1"/>
      <protection locked="0"/>
    </xf>
    <xf numFmtId="0" fontId="32" fillId="0" borderId="0" xfId="0" applyFont="1" applyAlignment="1">
      <alignment horizontal="right" vertical="center" wrapText="1"/>
      <protection locked="0"/>
    </xf>
    <xf numFmtId="0" fontId="144" fillId="0" borderId="0" xfId="0" applyFont="1" applyAlignment="1">
      <alignment horizontal="justify" vertical="center" wrapText="1"/>
      <protection locked="0"/>
    </xf>
    <xf numFmtId="0" fontId="144" fillId="0" borderId="13" xfId="0" applyFont="1" applyBorder="1" applyAlignment="1">
      <alignment horizontal="justify" vertical="center" wrapText="1"/>
      <protection locked="0"/>
    </xf>
    <xf numFmtId="0" fontId="32" fillId="0" borderId="13" xfId="0" applyFont="1" applyBorder="1" applyAlignment="1">
      <alignment horizontal="right" vertical="center" wrapText="1"/>
      <protection locked="0"/>
    </xf>
    <xf numFmtId="0" fontId="141" fillId="0" borderId="13" xfId="0" applyFont="1" applyBorder="1" applyAlignment="1">
      <alignment horizontal="justify" vertical="center" wrapText="1"/>
      <protection locked="0"/>
    </xf>
    <xf numFmtId="0" fontId="142" fillId="0" borderId="13" xfId="0" applyFont="1" applyBorder="1" applyAlignment="1">
      <alignment horizontal="right" vertical="center" wrapText="1"/>
      <protection locked="0"/>
    </xf>
    <xf numFmtId="0" fontId="147" fillId="0" borderId="0" xfId="0" applyFont="1" applyAlignment="1">
      <alignment horizontal="justify" vertical="center"/>
      <protection locked="0"/>
    </xf>
    <xf numFmtId="0" fontId="149" fillId="0" borderId="0" xfId="0" applyFont="1" applyAlignment="1">
      <alignment horizontal="justify" vertical="center" wrapText="1"/>
      <protection locked="0"/>
    </xf>
    <xf numFmtId="0" fontId="142" fillId="0" borderId="13" xfId="0" applyFont="1" applyBorder="1" applyAlignment="1">
      <alignment horizontal="justify" vertical="center" wrapText="1"/>
      <protection locked="0"/>
    </xf>
    <xf numFmtId="0" fontId="147" fillId="0" borderId="0" xfId="0" applyFont="1" applyAlignment="1">
      <alignment horizontal="left" vertical="center"/>
      <protection locked="0"/>
    </xf>
    <xf numFmtId="43" fontId="31" fillId="5" borderId="3" xfId="0" quotePrefix="1" applyNumberFormat="1" applyFont="1" applyFill="1" applyBorder="1" applyAlignment="1">
      <alignment horizontal="center" vertical="center" wrapText="1"/>
      <protection locked="0"/>
    </xf>
    <xf numFmtId="0" fontId="25" fillId="0" borderId="0" xfId="323" applyFont="1" applyAlignment="1" applyProtection="1">
      <alignment horizontal="left" vertical="center"/>
      <protection locked="0"/>
    </xf>
    <xf numFmtId="43" fontId="25" fillId="5" borderId="3" xfId="30" applyFont="1" applyFill="1" applyBorder="1" applyAlignment="1">
      <alignment horizontal="right" vertical="center" wrapText="1"/>
    </xf>
    <xf numFmtId="43" fontId="25" fillId="0" borderId="37" xfId="433" applyNumberFormat="1" applyFont="1" applyBorder="1" applyAlignment="1">
      <alignment horizontal="left" vertical="center"/>
    </xf>
    <xf numFmtId="234" fontId="99" fillId="0" borderId="0" xfId="793" applyFont="1" applyFill="1" applyAlignment="1" applyProtection="1">
      <alignment horizontal="left" vertical="center"/>
      <protection locked="0"/>
    </xf>
    <xf numFmtId="43" fontId="153" fillId="0" borderId="0" xfId="30" applyFont="1" applyAlignment="1" applyProtection="1">
      <alignment vertical="center"/>
      <protection locked="0"/>
    </xf>
    <xf numFmtId="43" fontId="153" fillId="0" borderId="0" xfId="30" applyFont="1" applyAlignment="1" applyProtection="1">
      <alignment horizontal="left" vertical="center"/>
      <protection locked="0"/>
    </xf>
    <xf numFmtId="0" fontId="154" fillId="0" borderId="0" xfId="29" applyFont="1" applyAlignment="1">
      <alignment vertical="center"/>
      <protection locked="0"/>
    </xf>
    <xf numFmtId="0" fontId="28" fillId="4" borderId="0" xfId="0" applyFont="1" applyFill="1" applyAlignment="1">
      <alignment horizontal="justify" vertical="center" wrapText="1"/>
      <protection locked="0"/>
    </xf>
    <xf numFmtId="0" fontId="157" fillId="0" borderId="0" xfId="0" applyFont="1" applyAlignment="1">
      <alignment horizontal="justify" vertical="center"/>
      <protection locked="0"/>
    </xf>
    <xf numFmtId="0" fontId="28" fillId="0" borderId="39" xfId="0" applyFont="1" applyBorder="1" applyAlignment="1">
      <alignment horizontal="center" vertical="center"/>
      <protection locked="0"/>
    </xf>
    <xf numFmtId="0" fontId="28" fillId="0" borderId="39" xfId="0" applyFont="1" applyBorder="1" applyAlignment="1">
      <alignment horizontal="center" vertical="center" wrapText="1"/>
      <protection locked="0"/>
    </xf>
    <xf numFmtId="0" fontId="155" fillId="0" borderId="39" xfId="29" applyFont="1" applyBorder="1" applyAlignment="1">
      <alignment vertical="center"/>
      <protection locked="0"/>
    </xf>
    <xf numFmtId="0" fontId="28" fillId="0" borderId="39" xfId="0" applyFont="1" applyBorder="1" applyAlignment="1">
      <alignment vertical="center"/>
      <protection locked="0"/>
    </xf>
    <xf numFmtId="0" fontId="28" fillId="0" borderId="39" xfId="0" applyFont="1" applyBorder="1" applyAlignment="1">
      <alignment horizontal="justify" vertical="center" wrapText="1"/>
      <protection locked="0"/>
    </xf>
    <xf numFmtId="0" fontId="28" fillId="0" borderId="0" xfId="431" applyFont="1" applyAlignment="1">
      <alignment vertical="center"/>
      <protection locked="0"/>
    </xf>
    <xf numFmtId="0" fontId="28" fillId="0" borderId="0" xfId="431" applyFont="1">
      <alignment vertical="center"/>
      <protection locked="0"/>
    </xf>
    <xf numFmtId="0" fontId="30" fillId="0" borderId="0" xfId="29" applyFont="1" applyAlignment="1">
      <alignment vertical="center"/>
      <protection locked="0"/>
    </xf>
    <xf numFmtId="0" fontId="28" fillId="0" borderId="0" xfId="431" applyFont="1" applyAlignment="1">
      <alignment horizontal="left" vertical="center"/>
      <protection locked="0"/>
    </xf>
    <xf numFmtId="0" fontId="28" fillId="0" borderId="0" xfId="432" applyFont="1">
      <alignment vertical="center"/>
    </xf>
    <xf numFmtId="0" fontId="28" fillId="0" borderId="0" xfId="431" applyFont="1" applyBorder="1" applyAlignment="1">
      <alignment horizontal="left" vertical="center"/>
      <protection locked="0"/>
    </xf>
    <xf numFmtId="0" fontId="28" fillId="0" borderId="0" xfId="431" applyFont="1" applyBorder="1" applyAlignment="1">
      <alignment vertical="center" wrapText="1"/>
      <protection locked="0"/>
    </xf>
    <xf numFmtId="0" fontId="28" fillId="0" borderId="0" xfId="432" applyFont="1" applyBorder="1">
      <alignment vertical="center"/>
    </xf>
    <xf numFmtId="0" fontId="25" fillId="0" borderId="0" xfId="431" applyFont="1" applyAlignment="1">
      <alignment horizontal="justify" vertical="center"/>
      <protection locked="0"/>
    </xf>
    <xf numFmtId="0" fontId="93" fillId="0" borderId="0" xfId="431" applyFont="1">
      <alignment vertical="center"/>
      <protection locked="0"/>
    </xf>
    <xf numFmtId="0" fontId="25" fillId="0" borderId="0" xfId="432" applyFont="1">
      <alignment vertical="center"/>
    </xf>
    <xf numFmtId="49" fontId="28" fillId="0" borderId="0" xfId="432" applyNumberFormat="1" applyFont="1" applyAlignment="1">
      <alignment horizontal="left" vertical="center"/>
    </xf>
    <xf numFmtId="0" fontId="28" fillId="0" borderId="0" xfId="792" applyFont="1">
      <protection locked="0"/>
    </xf>
    <xf numFmtId="0" fontId="31" fillId="5" borderId="3" xfId="792" applyFont="1" applyFill="1" applyBorder="1" applyAlignment="1" applyProtection="1">
      <alignment horizontal="center" vertical="center" wrapText="1"/>
    </xf>
    <xf numFmtId="0" fontId="25" fillId="5" borderId="3" xfId="734" applyFont="1" applyFill="1" applyBorder="1" applyAlignment="1" applyProtection="1">
      <alignment horizontal="center" vertical="center" wrapText="1"/>
      <protection locked="0"/>
    </xf>
    <xf numFmtId="0" fontId="33" fillId="0" borderId="3" xfId="792" applyFont="1" applyBorder="1" applyAlignment="1" applyProtection="1">
      <alignment vertical="center"/>
    </xf>
    <xf numFmtId="0" fontId="26" fillId="0" borderId="0" xfId="0" applyNumberFormat="1" applyFont="1">
      <protection locked="0"/>
    </xf>
    <xf numFmtId="0" fontId="26" fillId="0" borderId="0" xfId="27" applyNumberFormat="1" applyFont="1">
      <protection locked="0"/>
    </xf>
    <xf numFmtId="0" fontId="26" fillId="0" borderId="0" xfId="0" applyNumberFormat="1" applyFont="1" applyAlignment="1">
      <alignment vertical="center"/>
      <protection locked="0"/>
    </xf>
    <xf numFmtId="0" fontId="26" fillId="0" borderId="0" xfId="26" applyNumberFormat="1" applyFont="1" applyAlignment="1">
      <alignment vertical="center" wrapText="1"/>
    </xf>
    <xf numFmtId="0" fontId="26" fillId="0" borderId="0" xfId="430" applyNumberFormat="1" applyFont="1">
      <alignment vertical="center"/>
    </xf>
    <xf numFmtId="0" fontId="160" fillId="0" borderId="0" xfId="0" applyNumberFormat="1" applyFont="1">
      <protection locked="0"/>
    </xf>
    <xf numFmtId="0" fontId="160" fillId="0" borderId="0" xfId="27" applyNumberFormat="1" applyFont="1">
      <protection locked="0"/>
    </xf>
    <xf numFmtId="0" fontId="160" fillId="0" borderId="0" xfId="0" applyNumberFormat="1" applyFont="1" applyAlignment="1">
      <alignment vertical="center"/>
      <protection locked="0"/>
    </xf>
    <xf numFmtId="0" fontId="160" fillId="0" borderId="0" xfId="26" applyNumberFormat="1" applyFont="1" applyAlignment="1">
      <alignment vertical="center" wrapText="1"/>
    </xf>
    <xf numFmtId="0" fontId="160" fillId="0" borderId="0" xfId="430" applyNumberFormat="1" applyFont="1">
      <alignment vertical="center"/>
    </xf>
    <xf numFmtId="43" fontId="18" fillId="5" borderId="3" xfId="30" applyFont="1" applyFill="1" applyBorder="1" applyAlignment="1">
      <alignment horizontal="right" vertical="center" wrapText="1"/>
    </xf>
    <xf numFmtId="0" fontId="33" fillId="0" borderId="3" xfId="0" applyFont="1" applyBorder="1" applyAlignment="1">
      <alignment horizontal="left" vertical="center" wrapText="1"/>
      <protection locked="0"/>
    </xf>
    <xf numFmtId="43" fontId="28" fillId="0" borderId="3" xfId="30" applyFont="1" applyFill="1" applyBorder="1" applyAlignment="1" applyProtection="1">
      <alignment horizontal="left" vertical="center" wrapText="1"/>
      <protection locked="0"/>
    </xf>
    <xf numFmtId="0" fontId="25" fillId="0" borderId="0" xfId="0" applyFont="1">
      <protection locked="0"/>
    </xf>
    <xf numFmtId="43" fontId="25" fillId="5" borderId="3" xfId="30" applyFont="1" applyFill="1" applyBorder="1" applyAlignment="1">
      <alignment horizontal="left" vertical="center" wrapText="1"/>
    </xf>
    <xf numFmtId="43" fontId="33" fillId="0" borderId="3" xfId="30" applyFont="1" applyBorder="1" applyAlignment="1" applyProtection="1">
      <alignment vertical="center"/>
    </xf>
    <xf numFmtId="49" fontId="33" fillId="0" borderId="3" xfId="792" applyNumberFormat="1" applyFont="1" applyBorder="1" applyAlignment="1" applyProtection="1">
      <alignment horizontal="center" vertical="center"/>
    </xf>
    <xf numFmtId="0" fontId="25" fillId="50" borderId="39" xfId="794" applyFont="1" applyFill="1" applyBorder="1" applyAlignment="1">
      <alignment horizontal="center" vertical="center"/>
      <protection locked="0"/>
    </xf>
    <xf numFmtId="0" fontId="139" fillId="0" borderId="0" xfId="0" applyNumberFormat="1" applyFont="1" applyAlignment="1">
      <alignment horizontal="right" vertical="center"/>
      <protection locked="0"/>
    </xf>
    <xf numFmtId="0" fontId="139" fillId="0" borderId="0" xfId="0" applyNumberFormat="1" applyFont="1" applyAlignment="1">
      <alignment horizontal="left" vertical="center"/>
      <protection locked="0"/>
    </xf>
    <xf numFmtId="235" fontId="19" fillId="0" borderId="0" xfId="762" applyNumberFormat="1" applyFont="1" applyAlignment="1" applyProtection="1">
      <alignment horizontal="left" vertical="center"/>
      <protection locked="0"/>
    </xf>
    <xf numFmtId="0" fontId="162" fillId="0" borderId="0" xfId="0" applyFont="1" applyAlignment="1">
      <alignment horizontal="right" vertical="center" wrapText="1"/>
      <protection locked="0"/>
    </xf>
    <xf numFmtId="0" fontId="151" fillId="0" borderId="0" xfId="0" applyFont="1" applyAlignment="1">
      <alignment vertical="center" wrapText="1"/>
      <protection locked="0"/>
    </xf>
    <xf numFmtId="0" fontId="163" fillId="0" borderId="0" xfId="0" applyFont="1" applyAlignment="1">
      <alignment horizontal="left" vertical="center" wrapText="1"/>
      <protection locked="0"/>
    </xf>
    <xf numFmtId="0" fontId="151" fillId="0" borderId="0" xfId="0" applyFont="1" applyAlignment="1">
      <alignment vertical="center"/>
      <protection locked="0"/>
    </xf>
    <xf numFmtId="0" fontId="151" fillId="0" borderId="0" xfId="0" applyFont="1">
      <protection locked="0"/>
    </xf>
    <xf numFmtId="43" fontId="164" fillId="0" borderId="0" xfId="30" applyFont="1" applyAlignment="1" applyProtection="1">
      <alignment vertical="center"/>
      <protection locked="0"/>
    </xf>
    <xf numFmtId="43" fontId="164" fillId="0" borderId="0" xfId="30" applyFont="1" applyAlignment="1" applyProtection="1">
      <alignment horizontal="left" vertical="center"/>
      <protection locked="0"/>
    </xf>
    <xf numFmtId="234" fontId="98" fillId="0" borderId="36" xfId="793" applyFont="1" applyFill="1" applyBorder="1" applyAlignment="1" applyProtection="1">
      <alignment horizontal="center" vertical="center" wrapText="1"/>
    </xf>
    <xf numFmtId="234" fontId="95" fillId="0" borderId="36" xfId="793" applyFont="1" applyFill="1" applyBorder="1" applyAlignment="1" applyProtection="1">
      <alignment horizontal="center" vertical="center" wrapText="1"/>
    </xf>
    <xf numFmtId="0" fontId="25" fillId="0" borderId="36" xfId="323" applyFont="1" applyFill="1" applyBorder="1" applyAlignment="1" applyProtection="1">
      <alignment horizontal="center" vertical="center" wrapText="1"/>
      <protection locked="0"/>
    </xf>
    <xf numFmtId="0" fontId="28" fillId="0" borderId="36" xfId="323" applyFont="1" applyFill="1" applyBorder="1" applyAlignment="1" applyProtection="1">
      <alignment horizontal="center" vertical="center" wrapText="1"/>
      <protection locked="0"/>
    </xf>
    <xf numFmtId="0" fontId="14" fillId="0" borderId="36" xfId="323" applyFont="1" applyFill="1" applyBorder="1" applyAlignment="1" applyProtection="1">
      <alignment horizontal="left" vertical="center" wrapText="1"/>
      <protection locked="0"/>
    </xf>
    <xf numFmtId="0" fontId="28" fillId="0" borderId="36" xfId="323" applyFont="1" applyFill="1" applyBorder="1" applyAlignment="1" applyProtection="1">
      <alignment horizontal="left" vertical="center" wrapText="1"/>
      <protection locked="0"/>
    </xf>
    <xf numFmtId="0" fontId="28" fillId="0" borderId="36" xfId="32" applyFont="1" applyFill="1" applyBorder="1" applyAlignment="1" applyProtection="1">
      <alignment horizontal="center" vertical="center" wrapText="1"/>
      <protection locked="0"/>
    </xf>
    <xf numFmtId="0" fontId="25" fillId="0" borderId="36" xfId="759" applyFont="1" applyFill="1" applyBorder="1" applyAlignment="1" applyProtection="1">
      <alignment horizontal="center" vertical="center"/>
      <protection locked="0"/>
    </xf>
    <xf numFmtId="49" fontId="28" fillId="0" borderId="36" xfId="30" applyNumberFormat="1" applyFont="1" applyFill="1" applyBorder="1" applyAlignment="1" applyProtection="1">
      <alignment horizontal="center" vertical="center" wrapText="1"/>
      <protection locked="0"/>
    </xf>
    <xf numFmtId="234" fontId="108" fillId="0" borderId="36" xfId="793" applyFont="1" applyFill="1" applyBorder="1" applyAlignment="1" applyProtection="1">
      <alignment horizontal="center" vertical="center" wrapText="1"/>
    </xf>
    <xf numFmtId="0" fontId="108" fillId="0" borderId="36" xfId="323" applyFont="1" applyFill="1" applyBorder="1" applyAlignment="1" applyProtection="1">
      <alignment horizontal="center" vertical="center" wrapText="1"/>
    </xf>
    <xf numFmtId="0" fontId="108" fillId="0" borderId="36" xfId="32" applyFont="1" applyFill="1" applyBorder="1" applyAlignment="1" applyProtection="1">
      <alignment horizontal="center" vertical="center" wrapText="1"/>
    </xf>
    <xf numFmtId="43" fontId="25" fillId="5" borderId="14" xfId="30" applyFont="1" applyFill="1" applyBorder="1" applyAlignment="1">
      <alignment horizontal="right" vertical="center" wrapText="1"/>
    </xf>
    <xf numFmtId="10" fontId="25" fillId="5" borderId="3" xfId="24" applyNumberFormat="1" applyFont="1" applyFill="1" applyBorder="1" applyAlignment="1">
      <alignment horizontal="right" vertical="center" wrapText="1"/>
    </xf>
    <xf numFmtId="43" fontId="17" fillId="5" borderId="3" xfId="30" applyFont="1" applyFill="1" applyBorder="1" applyAlignment="1">
      <alignment horizontal="center" vertical="center"/>
    </xf>
    <xf numFmtId="43" fontId="17" fillId="5" borderId="16" xfId="30" applyFont="1" applyFill="1" applyBorder="1" applyAlignment="1" applyProtection="1">
      <alignment horizontal="center" vertical="center" wrapText="1"/>
      <protection locked="0"/>
    </xf>
    <xf numFmtId="43" fontId="17" fillId="5" borderId="16" xfId="30" applyFont="1" applyFill="1" applyBorder="1" applyAlignment="1" applyProtection="1">
      <alignment horizontal="center" vertical="center"/>
      <protection locked="0"/>
    </xf>
    <xf numFmtId="43" fontId="17" fillId="5" borderId="16" xfId="30" applyFont="1" applyFill="1" applyBorder="1" applyAlignment="1">
      <alignment vertical="center"/>
    </xf>
    <xf numFmtId="43" fontId="14" fillId="50" borderId="16" xfId="30" applyFont="1" applyFill="1" applyBorder="1" applyAlignment="1">
      <alignment vertical="center"/>
    </xf>
    <xf numFmtId="43" fontId="17" fillId="50" borderId="16" xfId="30" applyFont="1" applyFill="1" applyBorder="1" applyAlignment="1">
      <alignment horizontal="center" vertical="center"/>
    </xf>
    <xf numFmtId="43" fontId="17" fillId="50" borderId="15" xfId="30" applyFont="1" applyFill="1" applyBorder="1" applyAlignment="1">
      <alignment horizontal="center" vertical="center"/>
    </xf>
    <xf numFmtId="0" fontId="17" fillId="0" borderId="0" xfId="0" applyFont="1" applyAlignment="1">
      <alignment horizontal="left" vertical="center" wrapText="1"/>
      <protection locked="0"/>
    </xf>
    <xf numFmtId="43" fontId="18" fillId="5" borderId="3" xfId="0" applyNumberFormat="1" applyFont="1" applyFill="1" applyBorder="1" applyAlignment="1">
      <alignment horizontal="center" vertical="center" wrapText="1"/>
      <protection locked="0"/>
    </xf>
    <xf numFmtId="0" fontId="92" fillId="5" borderId="3" xfId="0" applyFont="1" applyFill="1" applyBorder="1" applyAlignment="1">
      <alignment horizontal="center" vertical="center" wrapText="1"/>
      <protection locked="0"/>
    </xf>
    <xf numFmtId="0" fontId="17" fillId="0" borderId="0" xfId="0" applyFont="1">
      <protection locked="0"/>
    </xf>
    <xf numFmtId="0" fontId="102" fillId="0" borderId="0" xfId="0" applyFont="1" applyAlignment="1">
      <alignment vertical="center"/>
      <protection locked="0"/>
    </xf>
    <xf numFmtId="49" fontId="17" fillId="0" borderId="0" xfId="793" applyNumberFormat="1" applyFont="1" applyFill="1" applyAlignment="1" applyProtection="1">
      <alignment horizontal="left" vertical="center"/>
      <protection locked="0"/>
    </xf>
    <xf numFmtId="0" fontId="17" fillId="5" borderId="3" xfId="0" applyFont="1" applyFill="1" applyBorder="1" applyAlignment="1">
      <alignment horizontal="center" vertical="center" wrapText="1"/>
      <protection locked="0"/>
    </xf>
    <xf numFmtId="10" fontId="25" fillId="5" borderId="14" xfId="24" applyNumberFormat="1" applyFont="1" applyFill="1" applyBorder="1" applyAlignment="1">
      <alignment horizontal="right" vertical="center" wrapText="1"/>
    </xf>
    <xf numFmtId="0" fontId="25" fillId="0" borderId="0" xfId="0" applyFont="1" applyFill="1" applyAlignment="1">
      <alignment vertical="center"/>
      <protection locked="0"/>
    </xf>
    <xf numFmtId="0" fontId="28" fillId="0" borderId="0" xfId="0" applyFont="1" applyFill="1" applyAlignment="1">
      <alignment vertical="center"/>
      <protection locked="0"/>
    </xf>
    <xf numFmtId="0" fontId="28" fillId="0" borderId="0" xfId="27" applyFont="1" applyFill="1">
      <protection locked="0"/>
    </xf>
    <xf numFmtId="0" fontId="17" fillId="5" borderId="0" xfId="27" applyFont="1" applyFill="1">
      <protection locked="0"/>
    </xf>
    <xf numFmtId="0" fontId="28" fillId="0" borderId="0" xfId="0" applyFont="1" applyFill="1">
      <protection locked="0"/>
    </xf>
    <xf numFmtId="0" fontId="31" fillId="5" borderId="36" xfId="792" applyFont="1" applyFill="1" applyBorder="1" applyAlignment="1" applyProtection="1">
      <alignment horizontal="center" vertical="center" wrapText="1"/>
    </xf>
    <xf numFmtId="0" fontId="159" fillId="0" borderId="0" xfId="0" applyFont="1" applyAlignment="1">
      <alignment horizontal="center" vertical="center"/>
      <protection locked="0"/>
    </xf>
    <xf numFmtId="234" fontId="101" fillId="0" borderId="0" xfId="795" applyFont="1" applyFill="1" applyAlignment="1">
      <alignment horizontal="left" vertical="center"/>
    </xf>
    <xf numFmtId="0" fontId="25" fillId="67" borderId="36" xfId="792" applyFont="1" applyFill="1" applyBorder="1" applyAlignment="1" applyProtection="1">
      <alignment horizontal="center" vertical="center"/>
      <protection locked="0"/>
    </xf>
    <xf numFmtId="0" fontId="25" fillId="67" borderId="36" xfId="792" applyFont="1" applyFill="1" applyBorder="1" applyAlignment="1" applyProtection="1">
      <alignment horizontal="center" vertical="center" wrapText="1"/>
      <protection locked="0"/>
    </xf>
    <xf numFmtId="49" fontId="28" fillId="0" borderId="36" xfId="32" applyNumberFormat="1" applyFont="1" applyFill="1" applyBorder="1" applyAlignment="1" applyProtection="1">
      <alignment horizontal="center" vertical="center"/>
      <protection locked="0"/>
    </xf>
    <xf numFmtId="43" fontId="108" fillId="0" borderId="36" xfId="30" applyFont="1" applyFill="1" applyBorder="1" applyAlignment="1" applyProtection="1">
      <alignment horizontal="center" vertical="center" wrapText="1"/>
    </xf>
    <xf numFmtId="0" fontId="28" fillId="0" borderId="36" xfId="431" applyFont="1" applyFill="1" applyBorder="1" applyAlignment="1">
      <alignment horizontal="center" vertical="center" wrapText="1"/>
      <protection locked="0"/>
    </xf>
    <xf numFmtId="49" fontId="28" fillId="0" borderId="36" xfId="32" applyNumberFormat="1" applyFont="1" applyFill="1" applyBorder="1" applyAlignment="1" applyProtection="1">
      <alignment horizontal="left" vertical="center" wrapText="1"/>
      <protection locked="0"/>
    </xf>
    <xf numFmtId="0" fontId="91" fillId="0" borderId="36" xfId="323" applyFont="1" applyFill="1" applyBorder="1" applyAlignment="1" applyProtection="1">
      <alignment horizontal="center" vertical="center" wrapText="1"/>
      <protection locked="0"/>
    </xf>
    <xf numFmtId="0" fontId="28" fillId="0" borderId="36" xfId="32" applyFont="1" applyFill="1" applyBorder="1" applyAlignment="1" applyProtection="1">
      <alignment horizontal="left" vertical="center" wrapText="1"/>
      <protection locked="0"/>
    </xf>
    <xf numFmtId="0" fontId="14" fillId="0" borderId="36" xfId="32" applyFont="1" applyFill="1" applyBorder="1" applyAlignment="1" applyProtection="1">
      <alignment horizontal="left" vertical="center" wrapText="1"/>
      <protection locked="0"/>
    </xf>
    <xf numFmtId="0" fontId="27" fillId="0" borderId="0" xfId="0" applyFont="1" applyAlignment="1">
      <alignment horizontal="left" vertical="center" wrapText="1"/>
      <protection locked="0"/>
    </xf>
    <xf numFmtId="0" fontId="26" fillId="0" borderId="0" xfId="0" applyFont="1" applyAlignment="1">
      <alignment horizontal="left" vertical="center" wrapText="1"/>
      <protection locked="0"/>
    </xf>
    <xf numFmtId="0" fontId="25" fillId="67" borderId="36" xfId="792" applyFont="1" applyFill="1" applyBorder="1" applyAlignment="1" applyProtection="1">
      <alignment horizontal="center" vertical="center" wrapText="1"/>
      <protection locked="0"/>
    </xf>
    <xf numFmtId="0" fontId="25" fillId="67" borderId="36" xfId="792" applyFont="1" applyFill="1" applyBorder="1" applyAlignment="1" applyProtection="1">
      <alignment horizontal="center" vertical="center"/>
      <protection locked="0"/>
    </xf>
    <xf numFmtId="49" fontId="25" fillId="67" borderId="36" xfId="32" applyNumberFormat="1" applyFont="1" applyFill="1" applyBorder="1" applyAlignment="1" applyProtection="1">
      <alignment horizontal="center" vertical="center"/>
      <protection locked="0"/>
    </xf>
    <xf numFmtId="0" fontId="17" fillId="5" borderId="36" xfId="324" applyFont="1" applyFill="1" applyBorder="1" applyAlignment="1" applyProtection="1">
      <alignment horizontal="center" vertical="center" wrapText="1"/>
      <protection locked="0"/>
    </xf>
    <xf numFmtId="0" fontId="17" fillId="0" borderId="10" xfId="324" applyFont="1" applyFill="1" applyBorder="1" applyAlignment="1" applyProtection="1">
      <alignment horizontal="left" vertical="center" wrapText="1"/>
      <protection locked="0"/>
    </xf>
    <xf numFmtId="0" fontId="28" fillId="0" borderId="36" xfId="32" applyFont="1" applyBorder="1" applyAlignment="1" applyProtection="1">
      <alignment horizontal="center" vertical="center" wrapText="1"/>
      <protection locked="0"/>
    </xf>
    <xf numFmtId="0" fontId="27" fillId="0" borderId="0" xfId="430" applyNumberFormat="1" applyFont="1" applyAlignment="1">
      <alignment horizontal="center" vertical="center"/>
    </xf>
    <xf numFmtId="0" fontId="158" fillId="0" borderId="0" xfId="430" applyNumberFormat="1" applyFont="1" applyAlignment="1">
      <alignment horizontal="center" vertical="center"/>
    </xf>
    <xf numFmtId="0" fontId="25" fillId="0" borderId="0" xfId="431" applyFont="1" applyAlignment="1">
      <alignment horizontal="left" vertical="center"/>
      <protection locked="0"/>
    </xf>
    <xf numFmtId="0" fontId="25" fillId="5" borderId="36" xfId="32" applyFont="1" applyFill="1" applyBorder="1" applyAlignment="1" applyProtection="1">
      <alignment horizontal="center" vertical="center" wrapText="1"/>
      <protection locked="0"/>
    </xf>
    <xf numFmtId="0" fontId="17" fillId="5" borderId="36" xfId="32" applyFont="1" applyFill="1" applyBorder="1" applyAlignment="1" applyProtection="1">
      <alignment horizontal="center" vertical="center" wrapText="1"/>
      <protection locked="0"/>
    </xf>
    <xf numFmtId="0" fontId="28" fillId="0" borderId="36" xfId="32" applyFont="1" applyBorder="1" applyAlignment="1" applyProtection="1">
      <alignment horizontal="left" vertical="center" wrapText="1"/>
      <protection locked="0"/>
    </xf>
    <xf numFmtId="234" fontId="165" fillId="68" borderId="38" xfId="793" applyFont="1" applyFill="1" applyBorder="1" applyAlignment="1" applyProtection="1">
      <alignment horizontal="left" vertical="center" wrapText="1"/>
      <protection locked="0"/>
    </xf>
    <xf numFmtId="234" fontId="165" fillId="68" borderId="0" xfId="793" applyFont="1" applyFill="1" applyAlignment="1" applyProtection="1">
      <alignment horizontal="left" vertical="center" wrapText="1"/>
      <protection locked="0"/>
    </xf>
    <xf numFmtId="0" fontId="100" fillId="68" borderId="38" xfId="792" applyFont="1" applyFill="1" applyBorder="1" applyAlignment="1" applyProtection="1">
      <alignment horizontal="left" vertical="center" wrapText="1"/>
      <protection locked="0"/>
    </xf>
    <xf numFmtId="0" fontId="100" fillId="68" borderId="0" xfId="792" applyFont="1" applyFill="1" applyAlignment="1" applyProtection="1">
      <alignment horizontal="left" vertical="center" wrapText="1"/>
      <protection locked="0"/>
    </xf>
    <xf numFmtId="0" fontId="27" fillId="0" borderId="0" xfId="26" applyNumberFormat="1" applyFont="1" applyAlignment="1">
      <alignment horizontal="center" vertical="center" wrapText="1"/>
    </xf>
    <xf numFmtId="0" fontId="158" fillId="0" borderId="0" xfId="26" applyNumberFormat="1" applyFont="1" applyAlignment="1">
      <alignment horizontal="center" vertical="center" wrapText="1"/>
    </xf>
    <xf numFmtId="43" fontId="17" fillId="5" borderId="18" xfId="30" applyFont="1" applyFill="1" applyBorder="1" applyAlignment="1" applyProtection="1">
      <alignment horizontal="center" vertical="center" wrapText="1"/>
      <protection locked="0"/>
    </xf>
    <xf numFmtId="43" fontId="17" fillId="5" borderId="19" xfId="30" applyFont="1" applyFill="1" applyBorder="1" applyAlignment="1" applyProtection="1">
      <alignment horizontal="center" vertical="center" wrapText="1"/>
      <protection locked="0"/>
    </xf>
    <xf numFmtId="0" fontId="151" fillId="0" borderId="0" xfId="25" applyFont="1" applyAlignment="1">
      <alignment horizontal="left" vertical="center" wrapText="1"/>
    </xf>
    <xf numFmtId="43" fontId="17" fillId="5" borderId="20" xfId="30" applyFont="1" applyFill="1" applyBorder="1" applyAlignment="1" applyProtection="1">
      <alignment horizontal="center" vertical="center" wrapText="1"/>
      <protection locked="0"/>
    </xf>
    <xf numFmtId="43" fontId="17" fillId="5" borderId="15" xfId="30" applyFont="1" applyFill="1" applyBorder="1" applyAlignment="1">
      <alignment horizontal="center" vertical="center"/>
    </xf>
    <xf numFmtId="43" fontId="17" fillId="5" borderId="17" xfId="30" applyFont="1" applyFill="1" applyBorder="1" applyAlignment="1">
      <alignment horizontal="center" vertical="center"/>
    </xf>
    <xf numFmtId="0" fontId="147" fillId="0" borderId="0" xfId="0" applyFont="1" applyAlignment="1">
      <alignment horizontal="left" vertical="center" wrapText="1"/>
      <protection locked="0"/>
    </xf>
    <xf numFmtId="0" fontId="138" fillId="0" borderId="0" xfId="0" applyNumberFormat="1" applyFont="1" applyAlignment="1" applyProtection="1">
      <alignment horizontal="center" vertical="center"/>
    </xf>
    <xf numFmtId="0" fontId="161" fillId="0" borderId="0" xfId="0" applyNumberFormat="1" applyFont="1" applyAlignment="1" applyProtection="1">
      <alignment horizontal="center" vertical="center"/>
    </xf>
    <xf numFmtId="0" fontId="145" fillId="0" borderId="0" xfId="0" applyFont="1" applyAlignment="1">
      <alignment vertical="center" wrapText="1"/>
      <protection locked="0"/>
    </xf>
    <xf numFmtId="0" fontId="148" fillId="0" borderId="0" xfId="0" applyFont="1" applyAlignment="1">
      <alignment horizontal="left" vertical="center" wrapText="1"/>
      <protection locked="0"/>
    </xf>
    <xf numFmtId="0" fontId="17" fillId="5" borderId="14" xfId="0" applyFont="1" applyFill="1" applyBorder="1" applyAlignment="1">
      <alignment horizontal="center" vertical="center" wrapText="1"/>
      <protection locked="0"/>
    </xf>
    <xf numFmtId="0" fontId="17" fillId="5" borderId="11" xfId="0" applyFont="1" applyFill="1" applyBorder="1" applyAlignment="1">
      <alignment horizontal="center" vertical="center" wrapText="1"/>
      <protection locked="0"/>
    </xf>
    <xf numFmtId="0" fontId="17" fillId="5" borderId="3" xfId="0" applyFont="1" applyFill="1" applyBorder="1" applyAlignment="1">
      <alignment horizontal="center" vertical="center" wrapText="1"/>
      <protection locked="0"/>
    </xf>
    <xf numFmtId="0" fontId="17" fillId="5" borderId="4" xfId="0" applyFont="1" applyFill="1" applyBorder="1" applyAlignment="1">
      <alignment horizontal="center" vertical="center" wrapText="1"/>
      <protection locked="0"/>
    </xf>
    <xf numFmtId="0" fontId="17" fillId="5" borderId="6" xfId="0" applyFont="1" applyFill="1" applyBorder="1" applyAlignment="1">
      <alignment horizontal="center" vertical="center" wrapText="1"/>
      <protection locked="0"/>
    </xf>
    <xf numFmtId="0" fontId="17" fillId="5" borderId="5" xfId="0" applyFont="1" applyFill="1" applyBorder="1" applyAlignment="1">
      <alignment horizontal="center" vertical="center" wrapText="1"/>
      <protection locked="0"/>
    </xf>
    <xf numFmtId="0" fontId="17" fillId="0" borderId="11" xfId="0" applyFont="1" applyBorder="1" applyAlignment="1">
      <alignment horizontal="center" vertical="center" wrapText="1"/>
      <protection locked="0"/>
    </xf>
    <xf numFmtId="0" fontId="17" fillId="5" borderId="7" xfId="0" applyFont="1" applyFill="1" applyBorder="1" applyAlignment="1">
      <alignment horizontal="center" vertical="center" wrapText="1"/>
      <protection locked="0"/>
    </xf>
    <xf numFmtId="0" fontId="17" fillId="5" borderId="9" xfId="0" applyFont="1" applyFill="1" applyBorder="1" applyAlignment="1">
      <alignment horizontal="center" vertical="center" wrapText="1"/>
      <protection locked="0"/>
    </xf>
    <xf numFmtId="0" fontId="17" fillId="0" borderId="5" xfId="0" applyFont="1" applyBorder="1" applyAlignment="1">
      <alignment horizontal="center" vertical="center" wrapText="1"/>
      <protection locked="0"/>
    </xf>
    <xf numFmtId="0" fontId="17" fillId="0" borderId="6" xfId="0" applyFont="1" applyBorder="1" applyAlignment="1">
      <alignment horizontal="center" vertical="center" wrapText="1"/>
      <protection locked="0"/>
    </xf>
    <xf numFmtId="0" fontId="25" fillId="0" borderId="0" xfId="0" applyFont="1" applyFill="1" applyAlignment="1">
      <alignment horizontal="left" vertical="center" wrapText="1"/>
      <protection locked="0"/>
    </xf>
    <xf numFmtId="0" fontId="27" fillId="0" borderId="0" xfId="433" applyNumberFormat="1" applyFont="1" applyBorder="1" applyAlignment="1">
      <alignment horizontal="center" vertical="center"/>
    </xf>
    <xf numFmtId="0" fontId="158" fillId="0" borderId="0" xfId="433" applyNumberFormat="1" applyFont="1" applyBorder="1" applyAlignment="1">
      <alignment horizontal="center" vertical="center"/>
    </xf>
  </cellXfs>
  <cellStyles count="796">
    <cellStyle name="_x000a_mouse.drv=lm" xfId="33"/>
    <cellStyle name="%" xfId="438"/>
    <cellStyle name="% 2" xfId="439"/>
    <cellStyle name="?" xfId="440"/>
    <cellStyle name="? 2" xfId="441"/>
    <cellStyle name="? 3" xfId="442"/>
    <cellStyle name="??" xfId="443"/>
    <cellStyle name="?? [0]" xfId="444"/>
    <cellStyle name="??_0N-HANDLING " xfId="445"/>
    <cellStyle name="?餡_x000c_k" xfId="446"/>
    <cellStyle name="?餡_x000c_k 2" xfId="447"/>
    <cellStyle name="?餡_x000c_k 3" xfId="448"/>
    <cellStyle name="?餡_x000c_k?_x000d_^" xfId="449"/>
    <cellStyle name="?餡_x000c_k?_x000d_^ 2" xfId="450"/>
    <cellStyle name="?餡_x000c_k?_x000d_^ 3" xfId="451"/>
    <cellStyle name="?餡_x000c_k?_x000d_^黇_x0001_??_x0007__x0001__x0001_" xfId="452"/>
    <cellStyle name="?餡_x000c_k?_x000d_^黇_x0001_??_x0007__x0001__x0001_ 2" xfId="453"/>
    <cellStyle name="?餡_x000c_k?_x000d_^黇_x0001_??_x0007__x0001__x0001_ 3" xfId="454"/>
    <cellStyle name="@_text" xfId="1"/>
    <cellStyle name="@_text_子公司附注汇总(房开公司)" xfId="455"/>
    <cellStyle name="_(本部)2006年年报审计PBC表" xfId="456"/>
    <cellStyle name="_07930建造合同" xfId="457"/>
    <cellStyle name="_12月项目部访问及审计-德勤" xfId="458"/>
    <cellStyle name="_2005-08-31审计底稿－李" xfId="459"/>
    <cellStyle name="_2005年工作底稿" xfId="34"/>
    <cellStyle name="_2005年工作底稿_3-2-A1B-银行存款" xfId="35"/>
    <cellStyle name="_2005年工作底稿_3-2-Z17A-固定资产" xfId="36"/>
    <cellStyle name="_2005年工作底稿_Sheet1" xfId="37"/>
    <cellStyle name="_2005审计报表及附注-中国建材股份模板（房屋）" xfId="460"/>
    <cellStyle name="_2005审计报表及附注-中国建材股份模板（房屋） 2" xfId="461"/>
    <cellStyle name="_2005审计报表及附注-中国建材股份模板（房屋） 3" xfId="462"/>
    <cellStyle name="_2006年年报审计PBC表（合并）" xfId="463"/>
    <cellStyle name="_2006年年报审计PBC表-XX" xfId="464"/>
    <cellStyle name="_2006年年报审计PBC表-XXX" xfId="465"/>
    <cellStyle name="_2006年年报审计PBC表-XXX 2" xfId="466"/>
    <cellStyle name="_2006年年报审计PBC表-XXX 3" xfId="467"/>
    <cellStyle name="_2006年年报审计PBC表-福州分公司" xfId="468"/>
    <cellStyle name="_2006年年报审计PBC表-云南分公司" xfId="469"/>
    <cellStyle name="_2006年年报审计填报资料" xfId="470"/>
    <cellStyle name="_2006年年报审计填报资料 2" xfId="471"/>
    <cellStyle name="_2006年年报审计填报资料 3" xfId="472"/>
    <cellStyle name="_2007调整分录-鲁佳" xfId="473"/>
    <cellStyle name="_3-2-A22-无形资产" xfId="38"/>
    <cellStyle name="_3-2-A4-应收账款" xfId="39"/>
    <cellStyle name="_A17固定资产" xfId="40"/>
    <cellStyle name="_A23无形资产" xfId="41"/>
    <cellStyle name="_A3应收票据" xfId="42"/>
    <cellStyle name="_A6应收账款" xfId="43"/>
    <cellStyle name="_A6应收账款_3-2-A1B-银行存款" xfId="44"/>
    <cellStyle name="_A6应收账款_3-2-Z17A-固定资产" xfId="45"/>
    <cellStyle name="_A6应收账款_Sheet1" xfId="46"/>
    <cellStyle name="_B10其他未交款" xfId="47"/>
    <cellStyle name="_B13预收账款2005" xfId="48"/>
    <cellStyle name="_B6应付工资" xfId="49"/>
    <cellStyle name="_B7应付福利费" xfId="50"/>
    <cellStyle name="_B9应交税金2005" xfId="51"/>
    <cellStyle name="_Book1" xfId="474"/>
    <cellStyle name="_Book1 2" xfId="475"/>
    <cellStyle name="_Book1 3" xfId="476"/>
    <cellStyle name="_CREC(Huo" xfId="477"/>
    <cellStyle name="_D11营业外支出" xfId="52"/>
    <cellStyle name="_D12所得税2005" xfId="53"/>
    <cellStyle name="_D1主营业务收入" xfId="54"/>
    <cellStyle name="_D3主营业务税金及附加" xfId="55"/>
    <cellStyle name="_D4其他业务利润" xfId="56"/>
    <cellStyle name="_ET_STYLE_NoName_00_" xfId="478"/>
    <cellStyle name="_ET_STYLE_NoName_00__2007调整分录-鲁佳" xfId="479"/>
    <cellStyle name="_ET_STYLE_NoName_00__股份本部" xfId="480"/>
    <cellStyle name="_ET_STYLE_NoName_00__股份本部_1" xfId="481"/>
    <cellStyle name="_ET_STYLE_NoName_00__股份本部_3" xfId="482"/>
    <cellStyle name="_ET_STYLE_NoName_00__股份本部_6_股份本部_2" xfId="483"/>
    <cellStyle name="_ET_STYLE_NoName_00__股份本部_7_股份本部_3" xfId="484"/>
    <cellStyle name="_J1000-存货-ZHHG" xfId="485"/>
    <cellStyle name="_PBC审核提示" xfId="486"/>
    <cellStyle name="_PBC审核提示 2" xfId="487"/>
    <cellStyle name="_PBC审核提示 3" xfId="488"/>
    <cellStyle name="_Sheet1" xfId="57"/>
    <cellStyle name="_宝丽华房地产20051231" xfId="489"/>
    <cellStyle name="_宝丽华房地产20051231 2" xfId="490"/>
    <cellStyle name="_宝丽华房地产20051231 3" xfId="491"/>
    <cellStyle name="_保证金-企业填写部分" xfId="492"/>
    <cellStyle name="_保证金-企业填写部分 2" xfId="493"/>
    <cellStyle name="_保证金-企业填写部分 3" xfId="494"/>
    <cellStyle name="_北新房屋2004年审-刘" xfId="495"/>
    <cellStyle name="_北新房屋2004年审-刘 2" xfId="496"/>
    <cellStyle name="_北新房屋2004年审-刘 3" xfId="497"/>
    <cellStyle name="_北新股份2005年审工作底稿" xfId="498"/>
    <cellStyle name="_北新股份2005年审工作底稿 2" xfId="499"/>
    <cellStyle name="_北新股份2005年审工作底稿 3" xfId="500"/>
    <cellStyle name="_北新建材关连交易基础表051230（10－12月版）更新稿" xfId="501"/>
    <cellStyle name="_北新建材关连交易基础表051230（10－12月版）更新稿 2" xfId="502"/>
    <cellStyle name="_北新建材关连交易基础表051230（10－12月版）更新稿 3" xfId="503"/>
    <cellStyle name="_北新建材-会计报表附注模版" xfId="504"/>
    <cellStyle name="_北新建材-会计报表附注模版 2" xfId="505"/>
    <cellStyle name="_北新建材-会计报表附注模版 3" xfId="506"/>
    <cellStyle name="_北新龙之星2004年审工作底稿" xfId="507"/>
    <cellStyle name="_北新龙之星2004年审工作底稿 2" xfId="508"/>
    <cellStyle name="_北新龙之星2004年审工作底稿 3" xfId="509"/>
    <cellStyle name="_北新物流2005底稿-刘" xfId="510"/>
    <cellStyle name="_北新物流2005底稿-刘 2" xfId="511"/>
    <cellStyle name="_北新物流2005底稿-刘 3" xfId="512"/>
    <cellStyle name="_北新置换memo" xfId="513"/>
    <cellStyle name="_北新置换memo 2" xfId="514"/>
    <cellStyle name="_北新置换memo 3" xfId="515"/>
    <cellStyle name="_本部其他应收应付年审底稿--鲁佳pb" xfId="516"/>
    <cellStyle name="_存货结转测试" xfId="517"/>
    <cellStyle name="_存货结转测试 2" xfId="518"/>
    <cellStyle name="_存货结转测试 3" xfId="519"/>
    <cellStyle name="_存货数量与明细05.12" xfId="520"/>
    <cellStyle name="_存货数量与明细05.12 2" xfId="521"/>
    <cellStyle name="_存货数量与明细05.12 3" xfId="522"/>
    <cellStyle name="_动力厂2004年审工作底稿-刘" xfId="523"/>
    <cellStyle name="_动力厂2004年审工作底稿-刘 2" xfId="524"/>
    <cellStyle name="_动力厂2004年审工作底稿-刘 3" xfId="525"/>
    <cellStyle name="_分工" xfId="526"/>
    <cellStyle name="_分工 2" xfId="527"/>
    <cellStyle name="_分工 3" xfId="528"/>
    <cellStyle name="_封面" xfId="58"/>
    <cellStyle name="_工程施工项目现场审计提示" xfId="529"/>
    <cellStyle name="_工程施工项目现场审计提示 2" xfId="530"/>
    <cellStyle name="_工程施工项目现场审计提示 3" xfId="531"/>
    <cellStyle name="_公司填表" xfId="59"/>
    <cellStyle name="_公司填表-2005蔡" xfId="60"/>
    <cellStyle name="_公司填表-2005李志刚" xfId="61"/>
    <cellStyle name="_公司填表2005-吴" xfId="62"/>
    <cellStyle name="_公司填表2005-吴_3-2-A1B-银行存款" xfId="63"/>
    <cellStyle name="_公司填表2005-吴_3-2-Z17A-固定资产" xfId="64"/>
    <cellStyle name="_公司填表2005-吴_Sheet1" xfId="65"/>
    <cellStyle name="_公司填表2005-修改" xfId="66"/>
    <cellStyle name="_公司填表2005-修改_3-2-A1B-银行存款" xfId="67"/>
    <cellStyle name="_公司填表2005-修改_3-2-Z17A-固定资产" xfId="68"/>
    <cellStyle name="_公司填表2005-修改_Sheet1" xfId="69"/>
    <cellStyle name="_公司填表2005-修改后" xfId="70"/>
    <cellStyle name="_公司填表2005-修改后_3-2-A1B-银行存款" xfId="71"/>
    <cellStyle name="_公司填表2005-修改后_3-2-Z17A-固定资产" xfId="72"/>
    <cellStyle name="_公司填表2005-修改后_Sheet1" xfId="73"/>
    <cellStyle name="_公司填表-2005杨" xfId="74"/>
    <cellStyle name="_关联交易" xfId="532"/>
    <cellStyle name="_关联交易 2" xfId="533"/>
    <cellStyle name="_关联交易 3" xfId="534"/>
    <cellStyle name="_关联交易、往来统计表" xfId="535"/>
    <cellStyle name="_关联交易、往来统计表 2" xfId="536"/>
    <cellStyle name="_关联交易、往来统计表 3" xfId="537"/>
    <cellStyle name="_合并报表审计调整模板(CREC)" xfId="538"/>
    <cellStyle name="_合并公司2006年度科目明细表(定稿)" xfId="539"/>
    <cellStyle name="_建造合同-宜万指（正式版）" xfId="540"/>
    <cellStyle name="_建造合同-宜万指（正式版） 2" xfId="541"/>
    <cellStyle name="_建造合同-宜万指（正式版） 3" xfId="542"/>
    <cellStyle name="_科目核对表" xfId="543"/>
    <cellStyle name="_科目核对表 2" xfId="544"/>
    <cellStyle name="_科目核对表 3" xfId="545"/>
    <cellStyle name="_刘青分工填列信息统计" xfId="546"/>
    <cellStyle name="_刘青分工－子公司审计模板-电务" xfId="547"/>
    <cellStyle name="_刘青分工－子公司审计模板－铁达本部" xfId="548"/>
    <cellStyle name="_母PL" xfId="549"/>
    <cellStyle name="_母PL 2" xfId="550"/>
    <cellStyle name="_母PL 3" xfId="551"/>
    <cellStyle name="_母公司底稿-鲁佳" xfId="552"/>
    <cellStyle name="_年审筹资循环资料清单" xfId="553"/>
    <cellStyle name="_凭证抽查-05年" xfId="75"/>
    <cellStyle name="_人员分工备忘录" xfId="554"/>
    <cellStyle name="_人员分工备忘录 2" xfId="555"/>
    <cellStyle name="_人员分工备忘录 3" xfId="556"/>
    <cellStyle name="_审计底稿-轩" xfId="557"/>
    <cellStyle name="_审计所需资料清单－子公司" xfId="558"/>
    <cellStyle name="_审计所需资料清单－子公司 2" xfId="559"/>
    <cellStyle name="_审计所需资料清单－子公司 3" xfId="560"/>
    <cellStyle name="_审计提示模版" xfId="561"/>
    <cellStyle name="_审计提示模版-母公司部分" xfId="562"/>
    <cellStyle name="_铁鸿源－刘青分工－子公司审计模板" xfId="563"/>
    <cellStyle name="_兴华审计成本" xfId="564"/>
    <cellStyle name="_岩土长投--急0121报王占学" xfId="565"/>
    <cellStyle name="_一公司建造合同前5名" xfId="566"/>
    <cellStyle name="_一公司建造合同前5名 2" xfId="567"/>
    <cellStyle name="_一公司建造合同前5名 3" xfId="568"/>
    <cellStyle name="_一公司－刘丰收" xfId="569"/>
    <cellStyle name="_一公司－刘丰收 2" xfId="570"/>
    <cellStyle name="_一公司－刘丰收 3" xfId="571"/>
    <cellStyle name="_银行询证函统计－大表" xfId="572"/>
    <cellStyle name="_应收账款账龄--04、05" xfId="76"/>
    <cellStyle name="_长期借款－江阴" xfId="573"/>
    <cellStyle name="_长期借款－江阴 2" xfId="574"/>
    <cellStyle name="_长期借款－江阴 3" xfId="575"/>
    <cellStyle name="_子公司筹资循环－刘青" xfId="576"/>
    <cellStyle name="_子公司审计提示模版-Liufs" xfId="577"/>
    <cellStyle name="_子公司审计提示模版-Liufs 2" xfId="578"/>
    <cellStyle name="_子公司审计提示模版-Liufs 3" xfId="579"/>
    <cellStyle name="_子公司填表" xfId="77"/>
    <cellStyle name="{Comma [0]}" xfId="2"/>
    <cellStyle name="{Comma}" xfId="3"/>
    <cellStyle name="{Date}" xfId="4"/>
    <cellStyle name="{Month}" xfId="5"/>
    <cellStyle name="{Percent}" xfId="6"/>
    <cellStyle name="{Thousand [0]}" xfId="7"/>
    <cellStyle name="{Thousand}" xfId="8"/>
    <cellStyle name="{Z'0000(1 dec)}" xfId="9"/>
    <cellStyle name="{Z'0000(4 dec)}" xfId="10"/>
    <cellStyle name="0%" xfId="78"/>
    <cellStyle name="0,0_x000d__x000a_NA_x000d__x000a_" xfId="580"/>
    <cellStyle name="0.0%" xfId="79"/>
    <cellStyle name="0.00%" xfId="80"/>
    <cellStyle name="00" xfId="81"/>
    <cellStyle name="20% - Accent1" xfId="581"/>
    <cellStyle name="20% - Accent2" xfId="582"/>
    <cellStyle name="20% - Accent3" xfId="583"/>
    <cellStyle name="20% - Accent4" xfId="584"/>
    <cellStyle name="20% - Accent5" xfId="585"/>
    <cellStyle name="20% - Accent6" xfId="586"/>
    <cellStyle name="40% - Accent1" xfId="587"/>
    <cellStyle name="40% - Accent2" xfId="588"/>
    <cellStyle name="40% - Accent3" xfId="589"/>
    <cellStyle name="40% - Accent4" xfId="590"/>
    <cellStyle name="40% - Accent5" xfId="591"/>
    <cellStyle name="40% - Accent6" xfId="592"/>
    <cellStyle name="60% - Accent1" xfId="593"/>
    <cellStyle name="60% - Accent2" xfId="594"/>
    <cellStyle name="60% - Accent3" xfId="595"/>
    <cellStyle name="60% - Accent4" xfId="596"/>
    <cellStyle name="60% - Accent5" xfId="597"/>
    <cellStyle name="60% - Accent6" xfId="598"/>
    <cellStyle name="AA FRAME" xfId="82"/>
    <cellStyle name="AA FRAME 2" xfId="599"/>
    <cellStyle name="AA FRAME 2 2" xfId="600"/>
    <cellStyle name="AA HEADING" xfId="83"/>
    <cellStyle name="AA INITIALS" xfId="84"/>
    <cellStyle name="AA INPUT" xfId="85"/>
    <cellStyle name="AA LOCK" xfId="86"/>
    <cellStyle name="AA MGR NAME" xfId="87"/>
    <cellStyle name="AA NORMAL" xfId="88"/>
    <cellStyle name="AA NUMBER" xfId="89"/>
    <cellStyle name="AA NUMBER2" xfId="90"/>
    <cellStyle name="AA QUESTION" xfId="91"/>
    <cellStyle name="AA SHADE" xfId="92"/>
    <cellStyle name="Accent1" xfId="93"/>
    <cellStyle name="Accent1 - 20%" xfId="94"/>
    <cellStyle name="Accent1 - 40%" xfId="95"/>
    <cellStyle name="Accent1 - 60%" xfId="96"/>
    <cellStyle name="Accent2" xfId="97"/>
    <cellStyle name="Accent2 - 20%" xfId="98"/>
    <cellStyle name="Accent2 - 40%" xfId="99"/>
    <cellStyle name="Accent2 - 60%" xfId="100"/>
    <cellStyle name="Accent3" xfId="101"/>
    <cellStyle name="Accent3 - 20%" xfId="102"/>
    <cellStyle name="Accent3 - 40%" xfId="103"/>
    <cellStyle name="Accent3 - 60%" xfId="104"/>
    <cellStyle name="Accent4" xfId="105"/>
    <cellStyle name="Accent4 - 20%" xfId="106"/>
    <cellStyle name="Accent4 - 40%" xfId="107"/>
    <cellStyle name="Accent4 - 60%" xfId="108"/>
    <cellStyle name="Accent5" xfId="109"/>
    <cellStyle name="Accent5 - 20%" xfId="110"/>
    <cellStyle name="Accent5 - 40%" xfId="111"/>
    <cellStyle name="Accent5 - 60%" xfId="112"/>
    <cellStyle name="Accent6" xfId="113"/>
    <cellStyle name="Accent6 - 20%" xfId="114"/>
    <cellStyle name="Accent6 - 40%" xfId="115"/>
    <cellStyle name="Accent6 - 60%" xfId="116"/>
    <cellStyle name="args.style" xfId="117"/>
    <cellStyle name="Bad" xfId="601"/>
    <cellStyle name="Black" xfId="11"/>
    <cellStyle name="Border" xfId="12"/>
    <cellStyle name="Border 2" xfId="602"/>
    <cellStyle name="Border 2 2" xfId="603"/>
    <cellStyle name="Calc Currency (0)" xfId="118"/>
    <cellStyle name="Calc Currency (0) 2" xfId="604"/>
    <cellStyle name="Calc Currency (2)" xfId="119"/>
    <cellStyle name="Calc Percent (0)" xfId="120"/>
    <cellStyle name="Calc Percent (1)" xfId="121"/>
    <cellStyle name="Calc Percent (2)" xfId="122"/>
    <cellStyle name="Calc Units (0)" xfId="123"/>
    <cellStyle name="Calc Units (1)" xfId="124"/>
    <cellStyle name="Calc Units (2)" xfId="125"/>
    <cellStyle name="Calculation" xfId="605"/>
    <cellStyle name="category" xfId="126"/>
    <cellStyle name="Check Cell" xfId="606"/>
    <cellStyle name="Col Heads" xfId="127"/>
    <cellStyle name="Column_Title" xfId="128"/>
    <cellStyle name="Comma  - Style1" xfId="129"/>
    <cellStyle name="Comma  - Style2" xfId="130"/>
    <cellStyle name="Comma  - Style3" xfId="131"/>
    <cellStyle name="Comma  - Style4" xfId="132"/>
    <cellStyle name="Comma  - Style5" xfId="133"/>
    <cellStyle name="Comma  - Style6" xfId="134"/>
    <cellStyle name="Comma  - Style7" xfId="135"/>
    <cellStyle name="Comma  - Style8" xfId="136"/>
    <cellStyle name="Comma [0]" xfId="137"/>
    <cellStyle name="Comma [00]" xfId="138"/>
    <cellStyle name="Comma 28" xfId="607"/>
    <cellStyle name="Comma 28 2" xfId="608"/>
    <cellStyle name="comma zerodec" xfId="139"/>
    <cellStyle name="Comma,0" xfId="140"/>
    <cellStyle name="Comma,1" xfId="141"/>
    <cellStyle name="Comma,2" xfId="142"/>
    <cellStyle name="Comma_ rislugp" xfId="609"/>
    <cellStyle name="Copied" xfId="143"/>
    <cellStyle name="COST1" xfId="144"/>
    <cellStyle name="Currency [0]" xfId="145"/>
    <cellStyle name="Currency [00]" xfId="146"/>
    <cellStyle name="Currency,0" xfId="147"/>
    <cellStyle name="Currency,2" xfId="148"/>
    <cellStyle name="Currency_ rislugp" xfId="610"/>
    <cellStyle name="Currency1" xfId="149"/>
    <cellStyle name="Date" xfId="150"/>
    <cellStyle name="Date 2" xfId="611"/>
    <cellStyle name="Date Short" xfId="151"/>
    <cellStyle name="Date_ A1-货币资金审定表" xfId="152"/>
    <cellStyle name="Dezimal [0]_laroux" xfId="13"/>
    <cellStyle name="Dezimal_laroux" xfId="14"/>
    <cellStyle name="Dollar (zero dec)" xfId="153"/>
    <cellStyle name="E&amp;Y House" xfId="612"/>
    <cellStyle name="Enter Currency (0)" xfId="154"/>
    <cellStyle name="Enter Currency (2)" xfId="155"/>
    <cellStyle name="Enter Units (0)" xfId="156"/>
    <cellStyle name="Enter Units (1)" xfId="157"/>
    <cellStyle name="Enter Units (2)" xfId="158"/>
    <cellStyle name="Entered" xfId="159"/>
    <cellStyle name="entry" xfId="160"/>
    <cellStyle name="entry 2" xfId="613"/>
    <cellStyle name="entry 3" xfId="614"/>
    <cellStyle name="entry box" xfId="161"/>
    <cellStyle name="entry box 2" xfId="615"/>
    <cellStyle name="entry box 2 2" xfId="616"/>
    <cellStyle name="entry box 2 2 2" xfId="617"/>
    <cellStyle name="entry box 3" xfId="618"/>
    <cellStyle name="entry box 4" xfId="619"/>
    <cellStyle name="entry box 4 2" xfId="620"/>
    <cellStyle name="Euro" xfId="15"/>
    <cellStyle name="Explanatory Text" xfId="621"/>
    <cellStyle name="F2" xfId="162"/>
    <cellStyle name="F3" xfId="163"/>
    <cellStyle name="F4" xfId="164"/>
    <cellStyle name="F5" xfId="165"/>
    <cellStyle name="F6" xfId="166"/>
    <cellStyle name="F7" xfId="167"/>
    <cellStyle name="F8" xfId="168"/>
    <cellStyle name="Fixed" xfId="169"/>
    <cellStyle name="Followed Hyperlink_AheadBehind.xls Chart 23" xfId="16"/>
    <cellStyle name="Good" xfId="622"/>
    <cellStyle name="Grey" xfId="17"/>
    <cellStyle name="HEADER" xfId="170"/>
    <cellStyle name="Header1" xfId="171"/>
    <cellStyle name="Header1 2" xfId="623"/>
    <cellStyle name="Header1 3" xfId="624"/>
    <cellStyle name="Header2" xfId="172"/>
    <cellStyle name="Header2 2" xfId="625"/>
    <cellStyle name="Header2 3" xfId="626"/>
    <cellStyle name="Heading" xfId="627"/>
    <cellStyle name="Heading 1" xfId="628"/>
    <cellStyle name="Heading 2" xfId="629"/>
    <cellStyle name="Heading 3" xfId="630"/>
    <cellStyle name="Heading 4" xfId="631"/>
    <cellStyle name="Heading1" xfId="173"/>
    <cellStyle name="Heading2" xfId="174"/>
    <cellStyle name="Hyperlink_AheadBehind.xls Chart 23" xfId="18"/>
    <cellStyle name="Input" xfId="632"/>
    <cellStyle name="Input [yellow]" xfId="19"/>
    <cellStyle name="Input [yellow] 2" xfId="633"/>
    <cellStyle name="Input [yellow] 2 2" xfId="634"/>
    <cellStyle name="Input Cells" xfId="175"/>
    <cellStyle name="Input Cells 2" xfId="635"/>
    <cellStyle name="left" xfId="636"/>
    <cellStyle name="left 2" xfId="637"/>
    <cellStyle name="left 3" xfId="638"/>
    <cellStyle name="Link Currency (0)" xfId="176"/>
    <cellStyle name="Link Currency (2)" xfId="177"/>
    <cellStyle name="Link Units (0)" xfId="178"/>
    <cellStyle name="Link Units (1)" xfId="179"/>
    <cellStyle name="Link Units (2)" xfId="180"/>
    <cellStyle name="Linked Cell" xfId="639"/>
    <cellStyle name="Linked Cells" xfId="181"/>
    <cellStyle name="Linked Cells 2" xfId="640"/>
    <cellStyle name="Millares [0]_laroux" xfId="641"/>
    <cellStyle name="Millares_laroux" xfId="642"/>
    <cellStyle name="Milliers [0]_!!!GO" xfId="182"/>
    <cellStyle name="Milliers_!!!GO" xfId="183"/>
    <cellStyle name="Model" xfId="184"/>
    <cellStyle name="Moneda [0]_laroux" xfId="643"/>
    <cellStyle name="Moneda_laroux" xfId="644"/>
    <cellStyle name="Monétaire [0]_!!!GO" xfId="185"/>
    <cellStyle name="Monétaire_!!!GO" xfId="186"/>
    <cellStyle name="Mon閠aire [0]_laroux" xfId="645"/>
    <cellStyle name="Mon閠aire_laroux" xfId="646"/>
    <cellStyle name="Neutral" xfId="647"/>
    <cellStyle name="New Times Roman" xfId="648"/>
    <cellStyle name="no dec" xfId="649"/>
    <cellStyle name="Non défini" xfId="20"/>
    <cellStyle name="Normal - Style1" xfId="21"/>
    <cellStyle name="Normal - Style1 2" xfId="650"/>
    <cellStyle name="Normal 2" xfId="651"/>
    <cellStyle name="Normal 2 2" xfId="652"/>
    <cellStyle name="Normal 21" xfId="653"/>
    <cellStyle name="Normal 21 2" xfId="654"/>
    <cellStyle name="Normal 3 2" xfId="655"/>
    <cellStyle name="Normal_ rislugp" xfId="656"/>
    <cellStyle name="Normalny_Arkusz1" xfId="187"/>
    <cellStyle name="Note" xfId="657"/>
    <cellStyle name="Œ…‹æØ‚è [0.00]_Region Orders (2)" xfId="188"/>
    <cellStyle name="Œ…‹æØ‚è_Region Orders (2)" xfId="189"/>
    <cellStyle name="Output" xfId="658"/>
    <cellStyle name="per.style" xfId="190"/>
    <cellStyle name="Percent (0)" xfId="659"/>
    <cellStyle name="Percent [0]" xfId="191"/>
    <cellStyle name="Percent [00]" xfId="192"/>
    <cellStyle name="Percent [2]" xfId="22"/>
    <cellStyle name="Percent_!!!GO" xfId="193"/>
    <cellStyle name="Pourcentage_pldt" xfId="194"/>
    <cellStyle name="Prefilled" xfId="195"/>
    <cellStyle name="Prefilled 2" xfId="660"/>
    <cellStyle name="Prefilled 2 2" xfId="661"/>
    <cellStyle name="Prefilled 2 2 2" xfId="662"/>
    <cellStyle name="Prefilled 3" xfId="663"/>
    <cellStyle name="Prefilled 4" xfId="664"/>
    <cellStyle name="Prefilled 4 2" xfId="665"/>
    <cellStyle name="PrePop Currency (0)" xfId="196"/>
    <cellStyle name="PrePop Currency (2)" xfId="197"/>
    <cellStyle name="PrePop Units (0)" xfId="198"/>
    <cellStyle name="PrePop Units (1)" xfId="199"/>
    <cellStyle name="PrePop Units (2)" xfId="200"/>
    <cellStyle name="price" xfId="201"/>
    <cellStyle name="pricing" xfId="202"/>
    <cellStyle name="pricing 2" xfId="666"/>
    <cellStyle name="PSChar" xfId="203"/>
    <cellStyle name="PSHeading" xfId="204"/>
    <cellStyle name="Red" xfId="23"/>
    <cellStyle name="revised" xfId="205"/>
    <cellStyle name="RevList" xfId="206"/>
    <cellStyle name="RevList 2" xfId="667"/>
    <cellStyle name="row_def_array" xfId="207"/>
    <cellStyle name="S4" xfId="668"/>
    <cellStyle name="S5" xfId="669"/>
    <cellStyle name="SAPBEXaggData" xfId="208"/>
    <cellStyle name="SAPBEXaggDataEmph" xfId="209"/>
    <cellStyle name="SAPBEXaggItem" xfId="210"/>
    <cellStyle name="SAPBEXaggItemX" xfId="211"/>
    <cellStyle name="SAPBEXchaText" xfId="212"/>
    <cellStyle name="SAPBEXexcBad7" xfId="213"/>
    <cellStyle name="SAPBEXexcBad8" xfId="214"/>
    <cellStyle name="SAPBEXexcBad9" xfId="215"/>
    <cellStyle name="SAPBEXexcCritical4" xfId="216"/>
    <cellStyle name="SAPBEXexcCritical5" xfId="217"/>
    <cellStyle name="SAPBEXexcCritical6" xfId="218"/>
    <cellStyle name="SAPBEXexcGood1" xfId="219"/>
    <cellStyle name="SAPBEXexcGood2" xfId="220"/>
    <cellStyle name="SAPBEXexcGood3" xfId="221"/>
    <cellStyle name="SAPBEXfilterDrill" xfId="222"/>
    <cellStyle name="SAPBEXfilterItem" xfId="223"/>
    <cellStyle name="SAPBEXfilterText" xfId="224"/>
    <cellStyle name="SAPBEXformats" xfId="225"/>
    <cellStyle name="SAPBEXheaderItem" xfId="226"/>
    <cellStyle name="SAPBEXheaderText" xfId="227"/>
    <cellStyle name="SAPBEXHLevel0" xfId="228"/>
    <cellStyle name="SAPBEXHLevel0X" xfId="229"/>
    <cellStyle name="SAPBEXHLevel1" xfId="230"/>
    <cellStyle name="SAPBEXHLevel1X" xfId="231"/>
    <cellStyle name="SAPBEXHLevel2" xfId="232"/>
    <cellStyle name="SAPBEXHLevel2X" xfId="233"/>
    <cellStyle name="SAPBEXHLevel3" xfId="234"/>
    <cellStyle name="SAPBEXHLevel3X" xfId="235"/>
    <cellStyle name="SAPBEXresData" xfId="236"/>
    <cellStyle name="SAPBEXresDataEmph" xfId="237"/>
    <cellStyle name="SAPBEXresItem" xfId="238"/>
    <cellStyle name="SAPBEXresItemX" xfId="239"/>
    <cellStyle name="SAPBEXstdData" xfId="240"/>
    <cellStyle name="SAPBEXstdDataEmph" xfId="241"/>
    <cellStyle name="SAPBEXstdItem" xfId="242"/>
    <cellStyle name="SAPBEXstdItemX" xfId="243"/>
    <cellStyle name="SAPBEXtitle" xfId="244"/>
    <cellStyle name="SAPBEXundefined" xfId="245"/>
    <cellStyle name="section" xfId="246"/>
    <cellStyle name="section 2" xfId="670"/>
    <cellStyle name="section 3" xfId="671"/>
    <cellStyle name="SOR" xfId="247"/>
    <cellStyle name="Standard_AREAS" xfId="248"/>
    <cellStyle name="style" xfId="672"/>
    <cellStyle name="style 2" xfId="673"/>
    <cellStyle name="style 2 2" xfId="674"/>
    <cellStyle name="style 2 2 2" xfId="675"/>
    <cellStyle name="style 3" xfId="676"/>
    <cellStyle name="style 4" xfId="677"/>
    <cellStyle name="style 4 2" xfId="678"/>
    <cellStyle name="style1" xfId="679"/>
    <cellStyle name="style1 2" xfId="680"/>
    <cellStyle name="style1 3" xfId="681"/>
    <cellStyle name="style2" xfId="682"/>
    <cellStyle name="style2 2" xfId="683"/>
    <cellStyle name="style2 3" xfId="684"/>
    <cellStyle name="subhead" xfId="249"/>
    <cellStyle name="Subtotal" xfId="250"/>
    <cellStyle name="Text Indent A" xfId="251"/>
    <cellStyle name="Text Indent B" xfId="252"/>
    <cellStyle name="Text Indent C" xfId="253"/>
    <cellStyle name="Tickmark" xfId="685"/>
    <cellStyle name="Tickmark 2" xfId="686"/>
    <cellStyle name="Tickmark 3" xfId="687"/>
    <cellStyle name="title" xfId="254"/>
    <cellStyle name="title 2" xfId="688"/>
    <cellStyle name="title 3" xfId="689"/>
    <cellStyle name="Total" xfId="255"/>
    <cellStyle name="Tusental (0)_pldt" xfId="256"/>
    <cellStyle name="Tusental_pldt" xfId="257"/>
    <cellStyle name="Valuta (0)_pldt" xfId="258"/>
    <cellStyle name="Valuta_pldt" xfId="259"/>
    <cellStyle name="Warning Text" xfId="690"/>
    <cellStyle name="wrap" xfId="691"/>
    <cellStyle name="wrap 2" xfId="692"/>
    <cellStyle name="wrap 3" xfId="693"/>
    <cellStyle name="パーセント_laroux" xfId="260"/>
    <cellStyle name="_PLDT" xfId="261"/>
    <cellStyle name="_laroux" xfId="262"/>
    <cellStyle name="だ[0]_PLDT" xfId="263"/>
    <cellStyle name="だ_PLDT" xfId="264"/>
    <cellStyle name="だ[0]_Total (2)" xfId="265"/>
    <cellStyle name="だ_laroux" xfId="266"/>
    <cellStyle name="百分比" xfId="24" builtinId="5"/>
    <cellStyle name="百分比 2" xfId="267"/>
    <cellStyle name="百分比 2 2" xfId="694"/>
    <cellStyle name="百分比 2 3" xfId="695"/>
    <cellStyle name="百分比 3" xfId="268"/>
    <cellStyle name="百分比 4" xfId="696"/>
    <cellStyle name="百分比 5" xfId="437"/>
    <cellStyle name="捠壿 [0.00]_PRODUCT DETAIL Q1" xfId="269"/>
    <cellStyle name="捠壿_PRODUCT DETAIL Q1" xfId="270"/>
    <cellStyle name="標準_１１月価格表" xfId="271"/>
    <cellStyle name="表标题" xfId="272"/>
    <cellStyle name="差_10存货" xfId="273"/>
    <cellStyle name="差_19-无形资产（空白模板）" xfId="274"/>
    <cellStyle name="差_2-交易性金融资产（空白模板）" xfId="275"/>
    <cellStyle name="差_2应收账款" xfId="276"/>
    <cellStyle name="差_3-2 进一步审计程序-采购与付款循环" xfId="277"/>
    <cellStyle name="差_3-3 进一步审计程序-存货与生产循环" xfId="278"/>
    <cellStyle name="差_37-长期借款（空白模板）" xfId="279"/>
    <cellStyle name="差_49-营业收入（空白模板）" xfId="280"/>
    <cellStyle name="差_4-应收账款（空白模板）" xfId="281"/>
    <cellStyle name="差_50-营业成本（空白模板）" xfId="282"/>
    <cellStyle name="差_51-营业税金及附加（空白模板）" xfId="283"/>
    <cellStyle name="差_54-财务费用（空白模板）" xfId="284"/>
    <cellStyle name="差_55-资产减值损失（空白模板）" xfId="285"/>
    <cellStyle name="差_9管理费用" xfId="286"/>
    <cellStyle name="差_Book2" xfId="287"/>
    <cellStyle name="差_dxn底稿目录" xfId="288"/>
    <cellStyle name="差_Sheet1" xfId="289"/>
    <cellStyle name="差_StartUp" xfId="697"/>
    <cellStyle name="差_T1000-主营业务收入-LJCH" xfId="698"/>
    <cellStyle name="差_Z14-长期应收款（函证汇总表样本）" xfId="290"/>
    <cellStyle name="差_ZA0货币资金审定表 " xfId="291"/>
    <cellStyle name="差_财务费用" xfId="292"/>
    <cellStyle name="差_程序表模版" xfId="293"/>
    <cellStyle name="差_存货" xfId="294"/>
    <cellStyle name="差_大信底稿目录" xfId="295"/>
    <cellStyle name="差_底稿设置宏" xfId="296"/>
    <cellStyle name="差_管理费用" xfId="297"/>
    <cellStyle name="差_货币资金" xfId="298"/>
    <cellStyle name="差_货币资金 天职" xfId="299"/>
    <cellStyle name="差_货币资金 岳华" xfId="300"/>
    <cellStyle name="差_其他应付款" xfId="301"/>
    <cellStyle name="差_其他应付款—YH" xfId="302"/>
    <cellStyle name="差_未分配利润" xfId="303"/>
    <cellStyle name="差_无形资产" xfId="304"/>
    <cellStyle name="差_应付账款" xfId="306"/>
    <cellStyle name="差_应付职工薪酬" xfId="307"/>
    <cellStyle name="差_应收账款" xfId="308"/>
    <cellStyle name="差_盈余公积" xfId="305"/>
    <cellStyle name="差_长期应付款" xfId="309"/>
    <cellStyle name="差_账项明细表" xfId="310"/>
    <cellStyle name="差_资本公积" xfId="311"/>
    <cellStyle name="差_资产负债标准底稿" xfId="312"/>
    <cellStyle name="差_资产负债类底稿模版" xfId="313"/>
    <cellStyle name="差_子公司附注汇总(房开公司)" xfId="699"/>
    <cellStyle name="常规" xfId="0" builtinId="0"/>
    <cellStyle name="常规 10" xfId="700"/>
    <cellStyle name="常规 10 2" xfId="701"/>
    <cellStyle name="常规 10 3" xfId="702"/>
    <cellStyle name="常规 10 4" xfId="703"/>
    <cellStyle name="常规 10 5" xfId="436"/>
    <cellStyle name="常规 11" xfId="704"/>
    <cellStyle name="常规 11 2" xfId="705"/>
    <cellStyle name="常规 11 3" xfId="706"/>
    <cellStyle name="常规 11 4" xfId="707"/>
    <cellStyle name="常规 11 5" xfId="795"/>
    <cellStyle name="常规 12 2" xfId="708"/>
    <cellStyle name="常规 12 3" xfId="709"/>
    <cellStyle name="常规 12 4" xfId="710"/>
    <cellStyle name="常规 13 2" xfId="711"/>
    <cellStyle name="常规 13 3" xfId="712"/>
    <cellStyle name="常规 13 4" xfId="713"/>
    <cellStyle name="常规 2" xfId="314"/>
    <cellStyle name="常规 2 10" xfId="714"/>
    <cellStyle name="常规 2 2" xfId="315"/>
    <cellStyle name="常规 2 2 2" xfId="316"/>
    <cellStyle name="常规 2 2 2 2" xfId="715"/>
    <cellStyle name="常规 2 2 3" xfId="425"/>
    <cellStyle name="常规 2 2 3 2" xfId="716"/>
    <cellStyle name="常规 2 2 4" xfId="717"/>
    <cellStyle name="常规 2 2 5" xfId="718"/>
    <cellStyle name="常规 2 3" xfId="317"/>
    <cellStyle name="常规 2 3 2" xfId="719"/>
    <cellStyle name="常规 2 3 3" xfId="720"/>
    <cellStyle name="常规 2 4" xfId="426"/>
    <cellStyle name="常规 2 4 2" xfId="721"/>
    <cellStyle name="常规 2 5" xfId="722"/>
    <cellStyle name="常规 2 6" xfId="723"/>
    <cellStyle name="常规 2 7" xfId="724"/>
    <cellStyle name="常规 2 8" xfId="427"/>
    <cellStyle name="常规 2 9" xfId="725"/>
    <cellStyle name="常规 2_10存货" xfId="318"/>
    <cellStyle name="常规 3" xfId="319"/>
    <cellStyle name="常规 3 2" xfId="320"/>
    <cellStyle name="常规 3 2 2" xfId="434"/>
    <cellStyle name="常规 3 2 3" xfId="726"/>
    <cellStyle name="常规 3 2 4" xfId="727"/>
    <cellStyle name="常规 3 3" xfId="728"/>
    <cellStyle name="常规 3 3 2" xfId="729"/>
    <cellStyle name="常规 3 3 3" xfId="730"/>
    <cellStyle name="常规 3 4" xfId="731"/>
    <cellStyle name="常规 3 4 2" xfId="732"/>
    <cellStyle name="常规 3_10存货" xfId="321"/>
    <cellStyle name="常规 4" xfId="322"/>
    <cellStyle name="常规 4 2" xfId="733"/>
    <cellStyle name="常规 4 2 2" xfId="734"/>
    <cellStyle name="常规 4 3" xfId="735"/>
    <cellStyle name="常规 4 3 2" xfId="736"/>
    <cellStyle name="常规 4 4" xfId="737"/>
    <cellStyle name="常规 4 5" xfId="738"/>
    <cellStyle name="常规 5" xfId="323"/>
    <cellStyle name="常规 5 2" xfId="739"/>
    <cellStyle name="常规 5 3" xfId="740"/>
    <cellStyle name="常规 5 3 2" xfId="741"/>
    <cellStyle name="常规 5 4" xfId="742"/>
    <cellStyle name="常规 5 5" xfId="743"/>
    <cellStyle name="常规 6" xfId="32"/>
    <cellStyle name="常规 6 2" xfId="428"/>
    <cellStyle name="常规 6 2 2" xfId="744"/>
    <cellStyle name="常规 6 2 3" xfId="745"/>
    <cellStyle name="常规 6 2 4" xfId="746"/>
    <cellStyle name="常规 6 3" xfId="747"/>
    <cellStyle name="常规 6 3 2" xfId="748"/>
    <cellStyle name="常规 6 3 2 2" xfId="749"/>
    <cellStyle name="常规 6 3 3" xfId="750"/>
    <cellStyle name="常规 6 3 4" xfId="751"/>
    <cellStyle name="常规 6 4" xfId="752"/>
    <cellStyle name="常规 6 4 2" xfId="753"/>
    <cellStyle name="常规 6 4 3" xfId="754"/>
    <cellStyle name="常规 6 5" xfId="755"/>
    <cellStyle name="常规 6 5 2" xfId="756"/>
    <cellStyle name="常规 6 6" xfId="757"/>
    <cellStyle name="常规 6 7" xfId="758"/>
    <cellStyle name="常规 7" xfId="324"/>
    <cellStyle name="常规 7 2" xfId="759"/>
    <cellStyle name="常规 7 2 2" xfId="760"/>
    <cellStyle name="常规 7 2 3" xfId="761"/>
    <cellStyle name="常规 7 3" xfId="762"/>
    <cellStyle name="常规 7 3 2" xfId="763"/>
    <cellStyle name="常规 7 4" xfId="764"/>
    <cellStyle name="常规 7 5" xfId="765"/>
    <cellStyle name="常规 7 6" xfId="792"/>
    <cellStyle name="常规 7 7" xfId="793"/>
    <cellStyle name="常规 8" xfId="325"/>
    <cellStyle name="常规 8 2" xfId="766"/>
    <cellStyle name="常规 8 3" xfId="767"/>
    <cellStyle name="常规 8 4" xfId="768"/>
    <cellStyle name="常规 9" xfId="431"/>
    <cellStyle name="常规 9 2" xfId="769"/>
    <cellStyle name="常规 9 3" xfId="770"/>
    <cellStyle name="常规 9 4" xfId="771"/>
    <cellStyle name="常规 9 5" xfId="772"/>
    <cellStyle name="常规_2-1项目审定表－模板" xfId="25"/>
    <cellStyle name="常规_Book1" xfId="26"/>
    <cellStyle name="常规_Book1 2" xfId="430"/>
    <cellStyle name="常规_c-资产类" xfId="429"/>
    <cellStyle name="常规_c-资产类 2" xfId="435"/>
    <cellStyle name="常规_sheet" xfId="27"/>
    <cellStyle name="常规_通用表" xfId="794"/>
    <cellStyle name="常规_新审定表" xfId="31"/>
    <cellStyle name="常规_新审定表 2" xfId="433"/>
    <cellStyle name="常规_制造费用" xfId="28"/>
    <cellStyle name="常规_制造费用 2" xfId="432"/>
    <cellStyle name="超级链接_A4应收账款" xfId="326"/>
    <cellStyle name="超链接" xfId="29" builtinId="8"/>
    <cellStyle name="超链接 2" xfId="327"/>
    <cellStyle name="超链接 2 2" xfId="773"/>
    <cellStyle name="超链接 2 3" xfId="774"/>
    <cellStyle name="超链接 3" xfId="328"/>
    <cellStyle name="分级显示行_1_4附件二凯旋评估表" xfId="775"/>
    <cellStyle name="好_10存货" xfId="329"/>
    <cellStyle name="好_19-无形资产（空白模板）" xfId="330"/>
    <cellStyle name="好_1财务费用" xfId="331"/>
    <cellStyle name="好_1营业收入" xfId="332"/>
    <cellStyle name="好_1资产减值损失" xfId="333"/>
    <cellStyle name="好_2-交易性金融资产（空白模板）" xfId="334"/>
    <cellStyle name="好_2应收账款" xfId="335"/>
    <cellStyle name="好_3-2 进一步审计程序-采购与付款循环" xfId="336"/>
    <cellStyle name="好_3-3 进一步审计程序-存货与生产循环" xfId="337"/>
    <cellStyle name="好_37-长期借款（空白模板）" xfId="338"/>
    <cellStyle name="好_49-营业收入（空白模板）" xfId="339"/>
    <cellStyle name="好_4-应收账款（空白模板）" xfId="340"/>
    <cellStyle name="好_50-营业成本（空白模板）" xfId="341"/>
    <cellStyle name="好_51-营业税金及附加（空白模板）" xfId="342"/>
    <cellStyle name="好_54-财务费用（空白模板）" xfId="343"/>
    <cellStyle name="好_55-资产减值损失（空白模板）" xfId="344"/>
    <cellStyle name="好_9管理费用" xfId="345"/>
    <cellStyle name="好_Book2" xfId="346"/>
    <cellStyle name="好_Sheet1" xfId="347"/>
    <cellStyle name="好_StartUp" xfId="776"/>
    <cellStyle name="好_T1000-主营业务收入" xfId="777"/>
    <cellStyle name="好_Z14-长期应收款（函证汇总表样本）" xfId="348"/>
    <cellStyle name="好_ZA0货币资金审定表 " xfId="349"/>
    <cellStyle name="好_财务费用" xfId="350"/>
    <cellStyle name="好_程序表模版" xfId="351"/>
    <cellStyle name="好_存货" xfId="352"/>
    <cellStyle name="好_存货 - 复制" xfId="353"/>
    <cellStyle name="好_大信底稿目录" xfId="354"/>
    <cellStyle name="好_底稿设置宏" xfId="355"/>
    <cellStyle name="好_底稿设置宏_大信底稿目录" xfId="356"/>
    <cellStyle name="好_管理费用" xfId="357"/>
    <cellStyle name="好_货币资金" xfId="358"/>
    <cellStyle name="好_货币资金 天职" xfId="359"/>
    <cellStyle name="好_货币资金 岳华" xfId="360"/>
    <cellStyle name="好_其他应付款" xfId="361"/>
    <cellStyle name="好_其他应付款—YH" xfId="362"/>
    <cellStyle name="好_其他应收款" xfId="363"/>
    <cellStyle name="好_实收资本(股本)" xfId="364"/>
    <cellStyle name="好_未分配利润" xfId="365"/>
    <cellStyle name="好_无形资产" xfId="366"/>
    <cellStyle name="好_银行函证结果汇总表" xfId="367"/>
    <cellStyle name="好_应付债券" xfId="370"/>
    <cellStyle name="好_应付账款" xfId="371"/>
    <cellStyle name="好_应付职工薪酬" xfId="372"/>
    <cellStyle name="好_应收利息" xfId="373"/>
    <cellStyle name="好_应收账款" xfId="374"/>
    <cellStyle name="好_盈余公积" xfId="368"/>
    <cellStyle name="好_营业收入" xfId="369"/>
    <cellStyle name="好_预收款项" xfId="375"/>
    <cellStyle name="好_长期借款—TZ" xfId="376"/>
    <cellStyle name="好_长期应付款" xfId="377"/>
    <cellStyle name="好_账项明细表" xfId="378"/>
    <cellStyle name="好_资本公积" xfId="379"/>
    <cellStyle name="好_资产负债标准底稿" xfId="380"/>
    <cellStyle name="好_资产负债标准底稿_大信底稿目录" xfId="381"/>
    <cellStyle name="好_资产负债类底稿模版" xfId="382"/>
    <cellStyle name="好_资产负债类底稿模版_大信底稿目录" xfId="383"/>
    <cellStyle name="好_资产减值损失" xfId="384"/>
    <cellStyle name="好_子公司附注汇总(房开公司)" xfId="778"/>
    <cellStyle name="桁区切り [0.00]_１１月価格表" xfId="385"/>
    <cellStyle name="桁区切り_１１月価格表" xfId="386"/>
    <cellStyle name="貨幣 [0]_SGV" xfId="387"/>
    <cellStyle name="貨幣_SGV" xfId="388"/>
    <cellStyle name="霓付 [0]_1202" xfId="389"/>
    <cellStyle name="霓付_1202" xfId="390"/>
    <cellStyle name="妞" xfId="391"/>
    <cellStyle name="欧" xfId="392"/>
    <cellStyle name="烹拳 [0]_1202" xfId="393"/>
    <cellStyle name="烹拳_1202" xfId="394"/>
    <cellStyle name="砯刽 [0]_PLDT" xfId="395"/>
    <cellStyle name="砯刽_PLDT" xfId="396"/>
    <cellStyle name="普通_ 白土" xfId="397"/>
    <cellStyle name="千分位[0]_ 白土" xfId="398"/>
    <cellStyle name="千分位_ 白土" xfId="399"/>
    <cellStyle name="千位[0]_ 应交税金审定表" xfId="779"/>
    <cellStyle name="千位_ 应交税金审定表" xfId="780"/>
    <cellStyle name="千位分隔" xfId="30" builtinId="3"/>
    <cellStyle name="千位分隔 2" xfId="400"/>
    <cellStyle name="千位分隔 2 2" xfId="401"/>
    <cellStyle name="千位分隔 2 3" xfId="402"/>
    <cellStyle name="千位分隔 2 4" xfId="781"/>
    <cellStyle name="千位分隔 2 4 2" xfId="782"/>
    <cellStyle name="千位分隔 2 5" xfId="783"/>
    <cellStyle name="千位分隔 3" xfId="403"/>
    <cellStyle name="千位分隔 3 2" xfId="404"/>
    <cellStyle name="千位分隔 3 3" xfId="784"/>
    <cellStyle name="千位分隔 3 4" xfId="785"/>
    <cellStyle name="千位分隔 4" xfId="405"/>
    <cellStyle name="千位分隔 5" xfId="406"/>
    <cellStyle name="千位分隔[0] 2" xfId="407"/>
    <cellStyle name="千位分隔[0] 2 2" xfId="786"/>
    <cellStyle name="钎霖_(沥焊何巩)岿喊牢盔拌裙" xfId="408"/>
    <cellStyle name="强调 1" xfId="409"/>
    <cellStyle name="强调 2" xfId="410"/>
    <cellStyle name="强调 3" xfId="411"/>
    <cellStyle name="通貨 [0.00]_１１月価格表" xfId="412"/>
    <cellStyle name="通貨_１１月価格表" xfId="413"/>
    <cellStyle name="样式 1" xfId="414"/>
    <cellStyle name="样式 1 2" xfId="787"/>
    <cellStyle name="样式 1 3" xfId="788"/>
    <cellStyle name="样式 1 4" xfId="789"/>
    <cellStyle name="一般_SGV" xfId="415"/>
    <cellStyle name="昗弨_BOOKSHIP" xfId="416"/>
    <cellStyle name="寘嬫愗傝 [0.00]_PRODUCT DETAIL Q1" xfId="417"/>
    <cellStyle name="寘嬫愗傝_PRODUCT DETAIL Q1" xfId="418"/>
    <cellStyle name="资产" xfId="419"/>
    <cellStyle name="资产 2" xfId="790"/>
    <cellStyle name="资产 2 2" xfId="791"/>
    <cellStyle name="콤마 [0]_BOILER-CO1" xfId="420"/>
    <cellStyle name="콤마_BOILER-CO1" xfId="421"/>
    <cellStyle name="통화 [0]_BOILER-CO1" xfId="422"/>
    <cellStyle name="통화_BOILER-CO1" xfId="423"/>
    <cellStyle name="표준_0N-HANDLING " xfId="424"/>
  </cellStyles>
  <dxfs count="0"/>
  <tableStyles count="0" defaultTableStyle="TableStyleMedium9" defaultPivotStyle="PivotStyleLight16"/>
  <colors>
    <mruColors>
      <color rgb="FF0000E1"/>
      <color rgb="FF1C1CA4"/>
      <color rgb="FF0E22B2"/>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RowHeight="19.95" customHeight="1"/>
  <cols>
    <col min="1" max="1" width="77.5" style="1" customWidth="1"/>
    <col min="2" max="2" width="2" style="1" customWidth="1"/>
    <col min="3" max="3" width="2.09765625" style="1" customWidth="1"/>
    <col min="4" max="4" width="6.09765625" style="1" customWidth="1"/>
    <col min="5" max="5" width="33.5" style="1" customWidth="1"/>
    <col min="6" max="6" width="6.59765625" style="19" bestFit="1" customWidth="1"/>
    <col min="7" max="16384" width="8.796875" style="1"/>
  </cols>
  <sheetData>
    <row r="1" spans="1:8" ht="19.95" customHeight="1">
      <c r="A1" s="16" t="s">
        <v>80</v>
      </c>
    </row>
    <row r="2" spans="1:8" ht="19.95" customHeight="1">
      <c r="A2" s="73" t="s">
        <v>81</v>
      </c>
      <c r="B2" s="15"/>
      <c r="C2" s="15"/>
      <c r="D2" s="113" t="s">
        <v>20</v>
      </c>
      <c r="E2" s="113" t="s">
        <v>76</v>
      </c>
      <c r="F2" s="113" t="s">
        <v>19</v>
      </c>
      <c r="G2" s="113" t="s">
        <v>119</v>
      </c>
      <c r="H2" s="15"/>
    </row>
    <row r="3" spans="1:8" ht="19.95" customHeight="1">
      <c r="A3" s="73" t="s">
        <v>243</v>
      </c>
      <c r="B3" s="15"/>
      <c r="C3" s="15"/>
      <c r="D3" s="76">
        <v>1</v>
      </c>
      <c r="E3" s="77" t="s">
        <v>82</v>
      </c>
      <c r="F3" s="75" t="s">
        <v>73</v>
      </c>
      <c r="G3" s="79"/>
      <c r="H3" s="15"/>
    </row>
    <row r="4" spans="1:8" ht="19.95" customHeight="1">
      <c r="A4" s="73" t="s">
        <v>83</v>
      </c>
      <c r="D4" s="75">
        <f>D3+1</f>
        <v>2</v>
      </c>
      <c r="E4" s="77" t="s">
        <v>84</v>
      </c>
      <c r="F4" s="75" t="s">
        <v>74</v>
      </c>
      <c r="G4" s="79"/>
      <c r="H4" s="15"/>
    </row>
    <row r="5" spans="1:8" ht="19.95" customHeight="1">
      <c r="A5" s="73" t="s">
        <v>72</v>
      </c>
      <c r="D5" s="75">
        <f>D4+1</f>
        <v>3</v>
      </c>
      <c r="E5" s="77" t="s">
        <v>66</v>
      </c>
      <c r="F5" s="75"/>
      <c r="G5" s="78" t="s">
        <v>70</v>
      </c>
    </row>
    <row r="6" spans="1:8" ht="19.95" customHeight="1">
      <c r="A6" s="73" t="s">
        <v>69</v>
      </c>
      <c r="D6" s="75">
        <f t="shared" ref="D6:D9" si="0">D5+1</f>
        <v>4</v>
      </c>
      <c r="E6" s="77" t="s">
        <v>67</v>
      </c>
      <c r="F6" s="75"/>
      <c r="G6" s="78" t="s">
        <v>70</v>
      </c>
    </row>
    <row r="7" spans="1:8" ht="19.95" customHeight="1">
      <c r="A7" s="73" t="s">
        <v>71</v>
      </c>
      <c r="D7" s="75">
        <f t="shared" si="0"/>
        <v>5</v>
      </c>
      <c r="E7" s="77" t="s">
        <v>77</v>
      </c>
      <c r="F7" s="75" t="s">
        <v>75</v>
      </c>
      <c r="G7" s="78"/>
    </row>
    <row r="8" spans="1:8" ht="19.95" customHeight="1">
      <c r="A8" s="74"/>
      <c r="D8" s="75">
        <f t="shared" si="0"/>
        <v>6</v>
      </c>
      <c r="E8" s="77" t="s">
        <v>78</v>
      </c>
      <c r="F8" s="75" t="s">
        <v>62</v>
      </c>
      <c r="G8" s="78"/>
    </row>
    <row r="9" spans="1:8" ht="19.95" customHeight="1">
      <c r="A9" s="159" t="s">
        <v>244</v>
      </c>
      <c r="D9" s="75">
        <f t="shared" si="0"/>
        <v>7</v>
      </c>
      <c r="E9" s="77" t="s">
        <v>79</v>
      </c>
      <c r="F9" s="75" t="s">
        <v>64</v>
      </c>
      <c r="G9" s="78"/>
    </row>
    <row r="10" spans="1:8" ht="19.95" customHeight="1">
      <c r="A10" s="170" t="s">
        <v>245</v>
      </c>
    </row>
    <row r="11" spans="1:8" ht="19.95" customHeight="1">
      <c r="A11" s="170"/>
    </row>
    <row r="12" spans="1:8" ht="19.95" customHeight="1">
      <c r="A12" s="170"/>
    </row>
    <row r="13" spans="1:8" ht="19.95" customHeight="1">
      <c r="A13" s="170"/>
    </row>
    <row r="14" spans="1:8" ht="19.95" customHeight="1">
      <c r="A14" s="170" t="s">
        <v>246</v>
      </c>
    </row>
    <row r="15" spans="1:8" ht="19.95" customHeight="1">
      <c r="A15" s="170"/>
    </row>
    <row r="16" spans="1:8" ht="19.95" customHeight="1">
      <c r="A16" s="170"/>
    </row>
    <row r="17" spans="1:1" ht="19.95" customHeight="1">
      <c r="A17" s="171" t="s">
        <v>247</v>
      </c>
    </row>
    <row r="18" spans="1:1" ht="19.95" customHeight="1">
      <c r="A18" s="171"/>
    </row>
    <row r="19" spans="1:1" ht="19.95" customHeight="1">
      <c r="A19" s="171"/>
    </row>
  </sheetData>
  <mergeCells count="3">
    <mergeCell ref="A10:A13"/>
    <mergeCell ref="A14:A16"/>
    <mergeCell ref="A17:A19"/>
  </mergeCells>
  <phoneticPr fontId="13" type="noConversion"/>
  <hyperlinks>
    <hyperlink ref="E3" location="'租赁负债实质性程序表H9A'!A1" display="租赁负债实质性程序表H9A"/>
    <hyperlink ref="E4" location="'审定表H9-1'!A1" display="审定表H9-1"/>
    <hyperlink ref="E5" location="'附注披露信息（上市公司）'!A1" display="附注披露信息（上市公司）"/>
    <hyperlink ref="E6" location="'附注披露信息（国企）'!A1" display="附注披露信息（国企）"/>
    <hyperlink ref="E7" location="'租赁负债明细表H9-2'!A1" display="租赁负债明细表H9-2"/>
    <hyperlink ref="E8" location="'未确认融资费用明细表H9-3'!A1" display="未确认融资费用明细表H9-3"/>
    <hyperlink ref="E9" location="'调整分录汇总H9-4'!A1" display="调整分录汇总H9-4"/>
  </hyperlinks>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30"/>
  <sheetViews>
    <sheetView view="pageBreakPreview" zoomScaleNormal="100" zoomScaleSheetLayoutView="100" workbookViewId="0">
      <selection sqref="A1:I1"/>
    </sheetView>
  </sheetViews>
  <sheetFormatPr defaultColWidth="9" defaultRowHeight="19.95" customHeight="1"/>
  <cols>
    <col min="1" max="1" width="4.5" style="91" customWidth="1"/>
    <col min="2" max="2" width="65" style="84" customWidth="1"/>
    <col min="3" max="3" width="12.19921875" style="84" customWidth="1"/>
    <col min="4" max="4" width="5.3984375" style="84" customWidth="1"/>
    <col min="5" max="5" width="6.796875" style="84" customWidth="1"/>
    <col min="6" max="6" width="6.296875" style="84" customWidth="1"/>
    <col min="7" max="7" width="7.5" style="84" customWidth="1"/>
    <col min="8" max="8" width="5.3984375" style="84" customWidth="1"/>
    <col min="9" max="9" width="7.69921875" style="84" customWidth="1"/>
    <col min="10" max="10" width="52.19921875" style="84" customWidth="1"/>
    <col min="11" max="16384" width="9" style="84"/>
  </cols>
  <sheetData>
    <row r="1" spans="1:10" s="100" customFormat="1" ht="19.95" customHeight="1">
      <c r="A1" s="178" t="s">
        <v>122</v>
      </c>
      <c r="B1" s="178"/>
      <c r="C1" s="178"/>
      <c r="D1" s="178"/>
      <c r="E1" s="178"/>
      <c r="F1" s="178"/>
      <c r="G1" s="178"/>
      <c r="H1" s="178"/>
      <c r="I1" s="178"/>
    </row>
    <row r="2" spans="1:10" s="105" customFormat="1" ht="19.95" customHeight="1">
      <c r="A2" s="179" t="s">
        <v>126</v>
      </c>
      <c r="B2" s="179"/>
      <c r="C2" s="179"/>
      <c r="D2" s="179"/>
      <c r="E2" s="179"/>
      <c r="F2" s="179"/>
      <c r="G2" s="179"/>
      <c r="H2" s="179"/>
      <c r="I2" s="179"/>
    </row>
    <row r="3" spans="1:10" s="81" customFormat="1" ht="19.95" customHeight="1">
      <c r="A3" s="80" t="str">
        <f>底稿目录!A2</f>
        <v>被审计单位：</v>
      </c>
      <c r="B3" s="80"/>
      <c r="C3" s="81" t="str">
        <f>底稿目录!A4</f>
        <v>编制人：</v>
      </c>
      <c r="E3" s="81" t="str">
        <f>底稿目录!A6</f>
        <v>编制日期：</v>
      </c>
      <c r="H3" s="114" t="s">
        <v>129</v>
      </c>
      <c r="I3" s="82" t="s">
        <v>59</v>
      </c>
    </row>
    <row r="4" spans="1:10" s="81" customFormat="1" ht="19.95" customHeight="1">
      <c r="A4" s="80" t="str">
        <f>底稿目录!A3</f>
        <v>截止日：202X年12月31日</v>
      </c>
      <c r="B4" s="80"/>
      <c r="C4" s="81" t="str">
        <f>底稿目录!A5</f>
        <v>复核人：</v>
      </c>
      <c r="E4" s="81" t="str">
        <f>底稿目录!A7</f>
        <v>复核日期：</v>
      </c>
      <c r="H4" s="114" t="s">
        <v>130</v>
      </c>
      <c r="I4" s="83"/>
    </row>
    <row r="5" spans="1:10" ht="19.95" customHeight="1">
      <c r="A5" s="180" t="s">
        <v>94</v>
      </c>
      <c r="B5" s="180"/>
    </row>
    <row r="6" spans="1:10" ht="19.95" customHeight="1">
      <c r="A6" s="85" t="s">
        <v>89</v>
      </c>
      <c r="B6" s="86"/>
      <c r="C6" s="86"/>
      <c r="D6" s="87"/>
      <c r="E6" s="87"/>
      <c r="F6" s="87"/>
      <c r="G6" s="87"/>
      <c r="H6" s="87"/>
      <c r="I6" s="87"/>
    </row>
    <row r="7" spans="1:10" s="81" customFormat="1" ht="19.95" customHeight="1">
      <c r="A7" s="150" t="s">
        <v>234</v>
      </c>
      <c r="B7" s="66"/>
      <c r="C7" s="66"/>
      <c r="D7" s="84"/>
      <c r="E7" s="84"/>
      <c r="F7" s="84"/>
      <c r="G7" s="84"/>
      <c r="H7" s="84"/>
      <c r="I7" s="84"/>
      <c r="J7" s="84"/>
    </row>
    <row r="8" spans="1:10" s="81" customFormat="1" ht="19.95" customHeight="1">
      <c r="A8" s="182" t="s">
        <v>239</v>
      </c>
      <c r="B8" s="182"/>
      <c r="C8" s="182"/>
      <c r="D8" s="182"/>
      <c r="E8" s="182"/>
      <c r="F8" s="182"/>
      <c r="G8" s="181" t="s">
        <v>24</v>
      </c>
      <c r="H8" s="181"/>
      <c r="I8" s="181"/>
      <c r="J8" s="84"/>
    </row>
    <row r="9" spans="1:10" s="81" customFormat="1" ht="19.95" customHeight="1">
      <c r="A9" s="183" t="s">
        <v>97</v>
      </c>
      <c r="B9" s="183"/>
      <c r="C9" s="183"/>
      <c r="D9" s="183"/>
      <c r="E9" s="183"/>
      <c r="F9" s="183"/>
      <c r="G9" s="177" t="s">
        <v>25</v>
      </c>
      <c r="H9" s="177"/>
      <c r="I9" s="177"/>
      <c r="J9" s="84"/>
    </row>
    <row r="10" spans="1:10" s="81" customFormat="1" ht="19.95" customHeight="1">
      <c r="A10" s="183" t="s">
        <v>240</v>
      </c>
      <c r="B10" s="183"/>
      <c r="C10" s="183"/>
      <c r="D10" s="183"/>
      <c r="E10" s="183"/>
      <c r="F10" s="183"/>
      <c r="G10" s="177" t="s">
        <v>236</v>
      </c>
      <c r="H10" s="177"/>
      <c r="I10" s="177"/>
      <c r="J10" s="84"/>
    </row>
    <row r="11" spans="1:10" s="81" customFormat="1" ht="19.95" customHeight="1">
      <c r="A11" s="183" t="s">
        <v>241</v>
      </c>
      <c r="B11" s="183"/>
      <c r="C11" s="183"/>
      <c r="D11" s="183"/>
      <c r="E11" s="183"/>
      <c r="F11" s="183"/>
      <c r="G11" s="177" t="s">
        <v>237</v>
      </c>
      <c r="H11" s="177"/>
      <c r="I11" s="177"/>
      <c r="J11" s="84"/>
    </row>
    <row r="12" spans="1:10" s="81" customFormat="1" ht="19.95" customHeight="1">
      <c r="A12" s="183" t="s">
        <v>242</v>
      </c>
      <c r="B12" s="183"/>
      <c r="C12" s="183"/>
      <c r="D12" s="183"/>
      <c r="E12" s="183"/>
      <c r="F12" s="183"/>
      <c r="G12" s="177" t="s">
        <v>146</v>
      </c>
      <c r="H12" s="177"/>
      <c r="I12" s="177"/>
      <c r="J12" s="84"/>
    </row>
    <row r="13" spans="1:10" s="81" customFormat="1" ht="19.95" customHeight="1">
      <c r="A13" s="183" t="s">
        <v>90</v>
      </c>
      <c r="B13" s="183"/>
      <c r="C13" s="183"/>
      <c r="D13" s="183"/>
      <c r="E13" s="183"/>
      <c r="F13" s="183"/>
      <c r="G13" s="177" t="s">
        <v>238</v>
      </c>
      <c r="H13" s="177"/>
      <c r="I13" s="177"/>
      <c r="J13" s="84"/>
    </row>
    <row r="14" spans="1:10" s="81" customFormat="1" ht="19.95" customHeight="1">
      <c r="A14" s="176" t="s">
        <v>235</v>
      </c>
      <c r="B14" s="176"/>
      <c r="C14" s="88"/>
      <c r="D14" s="84"/>
      <c r="E14" s="84"/>
      <c r="F14" s="84"/>
      <c r="G14" s="84"/>
      <c r="H14" s="84"/>
      <c r="I14" s="84"/>
      <c r="J14" s="84"/>
    </row>
    <row r="15" spans="1:10" s="81" customFormat="1" ht="19.95" customHeight="1">
      <c r="A15" s="174" t="s">
        <v>20</v>
      </c>
      <c r="B15" s="175" t="s">
        <v>249</v>
      </c>
      <c r="C15" s="172" t="s">
        <v>26</v>
      </c>
      <c r="D15" s="173" t="s">
        <v>91</v>
      </c>
      <c r="E15" s="173"/>
      <c r="F15" s="173"/>
      <c r="G15" s="173"/>
      <c r="H15" s="173"/>
      <c r="I15" s="172" t="s">
        <v>98</v>
      </c>
      <c r="J15" s="89"/>
    </row>
    <row r="16" spans="1:10" s="81" customFormat="1" ht="34.799999999999997" customHeight="1">
      <c r="A16" s="174"/>
      <c r="B16" s="175"/>
      <c r="C16" s="172"/>
      <c r="D16" s="161" t="s">
        <v>53</v>
      </c>
      <c r="E16" s="161" t="s">
        <v>99</v>
      </c>
      <c r="F16" s="162" t="s">
        <v>100</v>
      </c>
      <c r="G16" s="162" t="s">
        <v>101</v>
      </c>
      <c r="H16" s="162" t="s">
        <v>54</v>
      </c>
      <c r="I16" s="172"/>
      <c r="J16" s="160" t="s">
        <v>248</v>
      </c>
    </row>
    <row r="17" spans="1:12" s="81" customFormat="1" ht="30" customHeight="1">
      <c r="A17" s="163" t="s">
        <v>135</v>
      </c>
      <c r="B17" s="128" t="s">
        <v>147</v>
      </c>
      <c r="C17" s="164" t="s">
        <v>163</v>
      </c>
      <c r="D17" s="124" t="s">
        <v>85</v>
      </c>
      <c r="E17" s="124" t="s">
        <v>148</v>
      </c>
      <c r="F17" s="124"/>
      <c r="G17" s="125" t="s">
        <v>149</v>
      </c>
      <c r="H17" s="127"/>
      <c r="I17" s="165" t="s">
        <v>230</v>
      </c>
    </row>
    <row r="18" spans="1:12" s="81" customFormat="1" ht="52.2" customHeight="1">
      <c r="A18" s="163" t="s">
        <v>27</v>
      </c>
      <c r="B18" s="166" t="s">
        <v>86</v>
      </c>
      <c r="C18" s="164" t="s">
        <v>163</v>
      </c>
      <c r="D18" s="127"/>
      <c r="E18" s="127" t="s">
        <v>92</v>
      </c>
      <c r="F18" s="127"/>
      <c r="G18" s="127" t="s">
        <v>55</v>
      </c>
      <c r="H18" s="127"/>
      <c r="I18" s="167" t="s">
        <v>231</v>
      </c>
      <c r="J18" s="186" t="s">
        <v>95</v>
      </c>
      <c r="K18" s="187"/>
      <c r="L18" s="187"/>
    </row>
    <row r="19" spans="1:12" s="81" customFormat="1" ht="47.4" customHeight="1">
      <c r="A19" s="163" t="s">
        <v>17</v>
      </c>
      <c r="B19" s="166" t="s">
        <v>150</v>
      </c>
      <c r="C19" s="164" t="s">
        <v>162</v>
      </c>
      <c r="D19" s="126" t="s">
        <v>151</v>
      </c>
      <c r="E19" s="127" t="s">
        <v>152</v>
      </c>
      <c r="F19" s="127" t="s">
        <v>152</v>
      </c>
      <c r="G19" s="127" t="s">
        <v>152</v>
      </c>
      <c r="H19" s="127"/>
      <c r="I19" s="165"/>
      <c r="J19" s="184" t="s">
        <v>164</v>
      </c>
      <c r="K19" s="185"/>
      <c r="L19" s="185"/>
    </row>
    <row r="20" spans="1:12" s="81" customFormat="1" ht="40.200000000000003" customHeight="1">
      <c r="A20" s="163" t="s">
        <v>136</v>
      </c>
      <c r="B20" s="128" t="s">
        <v>153</v>
      </c>
      <c r="C20" s="134" t="s">
        <v>161</v>
      </c>
      <c r="D20" s="127" t="s">
        <v>87</v>
      </c>
      <c r="E20" s="127" t="s">
        <v>87</v>
      </c>
      <c r="F20" s="127"/>
      <c r="G20" s="126" t="s">
        <v>96</v>
      </c>
      <c r="H20" s="127"/>
      <c r="I20" s="130" t="s">
        <v>232</v>
      </c>
    </row>
    <row r="21" spans="1:12" s="81" customFormat="1" ht="137.4" customHeight="1">
      <c r="A21" s="163" t="s">
        <v>137</v>
      </c>
      <c r="B21" s="129" t="s">
        <v>229</v>
      </c>
      <c r="C21" s="135" t="s">
        <v>163</v>
      </c>
      <c r="D21" s="126" t="s">
        <v>154</v>
      </c>
      <c r="E21" s="127" t="s">
        <v>155</v>
      </c>
      <c r="F21" s="127" t="s">
        <v>155</v>
      </c>
      <c r="G21" s="126" t="s">
        <v>154</v>
      </c>
      <c r="H21" s="127"/>
      <c r="I21" s="130" t="s">
        <v>156</v>
      </c>
    </row>
    <row r="22" spans="1:12" s="81" customFormat="1" ht="36.6" customHeight="1">
      <c r="A22" s="163" t="s">
        <v>138</v>
      </c>
      <c r="B22" s="168" t="s">
        <v>93</v>
      </c>
      <c r="C22" s="135" t="s">
        <v>161</v>
      </c>
      <c r="D22" s="131" t="s">
        <v>96</v>
      </c>
      <c r="E22" s="127" t="s">
        <v>155</v>
      </c>
      <c r="F22" s="127" t="s">
        <v>155</v>
      </c>
      <c r="G22" s="131" t="s">
        <v>157</v>
      </c>
      <c r="H22" s="127" t="s">
        <v>155</v>
      </c>
      <c r="I22" s="130" t="s">
        <v>158</v>
      </c>
      <c r="J22" s="69"/>
    </row>
    <row r="23" spans="1:12" s="81" customFormat="1" ht="42.6" customHeight="1">
      <c r="A23" s="163" t="s">
        <v>139</v>
      </c>
      <c r="B23" s="169" t="s">
        <v>233</v>
      </c>
      <c r="C23" s="133" t="s">
        <v>160</v>
      </c>
      <c r="D23" s="127" t="s">
        <v>87</v>
      </c>
      <c r="E23" s="126" t="s">
        <v>96</v>
      </c>
      <c r="F23" s="127" t="s">
        <v>152</v>
      </c>
      <c r="G23" s="127" t="s">
        <v>87</v>
      </c>
      <c r="H23" s="127"/>
      <c r="I23" s="130" t="s">
        <v>228</v>
      </c>
      <c r="J23" s="69"/>
    </row>
    <row r="24" spans="1:12" s="81" customFormat="1" ht="31.8" customHeight="1">
      <c r="A24" s="163" t="s">
        <v>140</v>
      </c>
      <c r="B24" s="168" t="s">
        <v>88</v>
      </c>
      <c r="C24" s="133" t="s">
        <v>160</v>
      </c>
      <c r="D24" s="127"/>
      <c r="E24" s="127"/>
      <c r="F24" s="127"/>
      <c r="G24" s="127"/>
      <c r="H24" s="127"/>
      <c r="I24" s="165"/>
    </row>
    <row r="25" spans="1:12" s="90" customFormat="1" ht="27.6">
      <c r="A25" s="163" t="s">
        <v>141</v>
      </c>
      <c r="B25" s="169" t="s">
        <v>159</v>
      </c>
      <c r="C25" s="164" t="s">
        <v>161</v>
      </c>
      <c r="D25" s="127"/>
      <c r="E25" s="127"/>
      <c r="F25" s="127"/>
      <c r="G25" s="127"/>
      <c r="H25" s="127" t="s">
        <v>55</v>
      </c>
      <c r="I25" s="132" t="s">
        <v>102</v>
      </c>
    </row>
    <row r="30" spans="1:12" s="91" customFormat="1" ht="19.95" customHeight="1">
      <c r="B30" s="84"/>
      <c r="C30" s="84"/>
      <c r="D30" s="84"/>
      <c r="E30" s="84"/>
      <c r="F30" s="84"/>
      <c r="G30" s="84"/>
      <c r="H30" s="84"/>
      <c r="I30" s="84"/>
    </row>
  </sheetData>
  <mergeCells count="23">
    <mergeCell ref="J19:L19"/>
    <mergeCell ref="J18:L18"/>
    <mergeCell ref="G11:I11"/>
    <mergeCell ref="G12:I12"/>
    <mergeCell ref="G13:I13"/>
    <mergeCell ref="A14:B14"/>
    <mergeCell ref="G10:I10"/>
    <mergeCell ref="A1:I1"/>
    <mergeCell ref="A2:I2"/>
    <mergeCell ref="A5:B5"/>
    <mergeCell ref="G8:I8"/>
    <mergeCell ref="G9:I9"/>
    <mergeCell ref="A8:F8"/>
    <mergeCell ref="A9:F9"/>
    <mergeCell ref="A10:F10"/>
    <mergeCell ref="A11:F11"/>
    <mergeCell ref="A12:F12"/>
    <mergeCell ref="A13:F13"/>
    <mergeCell ref="C15:C16"/>
    <mergeCell ref="D15:H15"/>
    <mergeCell ref="I15:I16"/>
    <mergeCell ref="A15:A16"/>
    <mergeCell ref="B15:B16"/>
  </mergeCells>
  <phoneticPr fontId="13" type="noConversion"/>
  <hyperlinks>
    <hyperlink ref="I3" location="底稿目录!A1" display="H9A"/>
  </hyperlinks>
  <printOptions horizontalCentered="1"/>
  <pageMargins left="0.70866141732283472" right="0.70866141732283472" top="0.74803149606299213" bottom="0.74803149606299213" header="0.31496062992125984" footer="0.31496062992125984"/>
  <pageSetup paperSize="9" scale="67"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34"/>
  <sheetViews>
    <sheetView view="pageBreakPreview" zoomScaleSheetLayoutView="100" workbookViewId="0">
      <selection sqref="A1:M1"/>
    </sheetView>
  </sheetViews>
  <sheetFormatPr defaultColWidth="9" defaultRowHeight="19.95" customHeight="1"/>
  <cols>
    <col min="1" max="1" width="24.19921875" style="3" customWidth="1"/>
    <col min="2" max="4" width="10.296875" style="3" customWidth="1"/>
    <col min="5" max="5" width="11.796875" style="3" customWidth="1"/>
    <col min="6" max="9" width="10.296875" style="3" customWidth="1"/>
    <col min="10" max="10" width="12.09765625" style="3" customWidth="1"/>
    <col min="11" max="12" width="10.296875" style="3" customWidth="1"/>
    <col min="13" max="13" width="7.5" style="3" customWidth="1"/>
    <col min="14" max="16384" width="9" style="3"/>
  </cols>
  <sheetData>
    <row r="1" spans="1:13" s="99" customFormat="1" ht="19.95" customHeight="1">
      <c r="A1" s="188" t="s">
        <v>120</v>
      </c>
      <c r="B1" s="188"/>
      <c r="C1" s="188"/>
      <c r="D1" s="188"/>
      <c r="E1" s="188"/>
      <c r="F1" s="188"/>
      <c r="G1" s="188"/>
      <c r="H1" s="188"/>
      <c r="I1" s="188"/>
      <c r="J1" s="188"/>
      <c r="K1" s="188"/>
      <c r="L1" s="188"/>
      <c r="M1" s="188"/>
    </row>
    <row r="2" spans="1:13" s="104" customFormat="1" ht="19.95" customHeight="1">
      <c r="A2" s="189" t="s">
        <v>125</v>
      </c>
      <c r="B2" s="189"/>
      <c r="C2" s="189"/>
      <c r="D2" s="189"/>
      <c r="E2" s="189"/>
      <c r="F2" s="189"/>
      <c r="G2" s="189"/>
      <c r="H2" s="189"/>
      <c r="I2" s="189"/>
      <c r="J2" s="189"/>
      <c r="K2" s="189"/>
      <c r="L2" s="189"/>
      <c r="M2" s="189"/>
    </row>
    <row r="3" spans="1:13" ht="19.95" customHeight="1">
      <c r="A3" s="1" t="str">
        <f>底稿目录!A2</f>
        <v>被审计单位：</v>
      </c>
      <c r="B3" s="1"/>
      <c r="C3" s="2"/>
      <c r="D3" s="1" t="str">
        <f>底稿目录!A4</f>
        <v>编制人：</v>
      </c>
      <c r="E3" s="1"/>
      <c r="F3" s="1"/>
      <c r="G3" s="1"/>
      <c r="H3" s="32" t="str">
        <f>底稿目录!A6</f>
        <v>编制日期：</v>
      </c>
      <c r="I3" s="1"/>
      <c r="J3" s="1"/>
      <c r="L3" s="114" t="s">
        <v>131</v>
      </c>
      <c r="M3" s="82" t="s">
        <v>60</v>
      </c>
    </row>
    <row r="4" spans="1:13" ht="19.95" customHeight="1">
      <c r="A4" s="1" t="str">
        <f>底稿目录!A3</f>
        <v>截止日：202X年12月31日</v>
      </c>
      <c r="B4" s="1"/>
      <c r="C4" s="2"/>
      <c r="D4" s="1" t="str">
        <f>底稿目录!A5</f>
        <v>复核人：</v>
      </c>
      <c r="E4" s="1"/>
      <c r="F4" s="1"/>
      <c r="G4" s="1"/>
      <c r="H4" s="32" t="str">
        <f>底稿目录!A7</f>
        <v>复核日期：</v>
      </c>
      <c r="I4" s="1"/>
      <c r="J4" s="1"/>
      <c r="L4" s="114" t="s">
        <v>132</v>
      </c>
      <c r="M4" s="83"/>
    </row>
    <row r="5" spans="1:13" ht="30" customHeight="1">
      <c r="A5" s="194" t="s">
        <v>167</v>
      </c>
      <c r="B5" s="190" t="s">
        <v>168</v>
      </c>
      <c r="C5" s="193"/>
      <c r="D5" s="193"/>
      <c r="E5" s="193"/>
      <c r="F5" s="191"/>
      <c r="G5" s="190" t="s">
        <v>169</v>
      </c>
      <c r="H5" s="193"/>
      <c r="I5" s="193"/>
      <c r="J5" s="193"/>
      <c r="K5" s="191"/>
      <c r="L5" s="190" t="s">
        <v>186</v>
      </c>
      <c r="M5" s="191"/>
    </row>
    <row r="6" spans="1:13" ht="32.4" customHeight="1">
      <c r="A6" s="195"/>
      <c r="B6" s="139" t="s">
        <v>170</v>
      </c>
      <c r="C6" s="139" t="s">
        <v>171</v>
      </c>
      <c r="D6" s="139" t="s">
        <v>172</v>
      </c>
      <c r="E6" s="139" t="s">
        <v>173</v>
      </c>
      <c r="F6" s="139" t="s">
        <v>174</v>
      </c>
      <c r="G6" s="139" t="s">
        <v>170</v>
      </c>
      <c r="H6" s="139" t="s">
        <v>171</v>
      </c>
      <c r="I6" s="139" t="s">
        <v>175</v>
      </c>
      <c r="J6" s="139" t="s">
        <v>173</v>
      </c>
      <c r="K6" s="139" t="s">
        <v>174</v>
      </c>
      <c r="L6" s="140" t="s">
        <v>176</v>
      </c>
      <c r="M6" s="139" t="s">
        <v>177</v>
      </c>
    </row>
    <row r="7" spans="1:13" ht="19.95" customHeight="1">
      <c r="A7" s="141" t="s">
        <v>178</v>
      </c>
      <c r="B7" s="24"/>
      <c r="C7" s="24"/>
      <c r="D7" s="24"/>
      <c r="E7" s="24"/>
      <c r="F7" s="24"/>
      <c r="G7" s="24"/>
      <c r="H7" s="24"/>
      <c r="I7" s="24"/>
      <c r="J7" s="24"/>
      <c r="K7" s="24"/>
      <c r="L7" s="24"/>
      <c r="M7" s="25"/>
    </row>
    <row r="8" spans="1:13" ht="19.95" customHeight="1">
      <c r="A8" s="142" t="s">
        <v>179</v>
      </c>
      <c r="B8" s="28"/>
      <c r="C8" s="28"/>
      <c r="D8" s="24">
        <f>B8+C8</f>
        <v>0</v>
      </c>
      <c r="E8" s="28"/>
      <c r="F8" s="24">
        <f>D8-E8</f>
        <v>0</v>
      </c>
      <c r="G8" s="28"/>
      <c r="H8" s="28"/>
      <c r="I8" s="24">
        <f>G8+H8</f>
        <v>0</v>
      </c>
      <c r="J8" s="28"/>
      <c r="K8" s="24">
        <f>I8-J8</f>
        <v>0</v>
      </c>
      <c r="L8" s="24">
        <f>K8-F8</f>
        <v>0</v>
      </c>
      <c r="M8" s="137">
        <f>IF(AND(F8=0,L8=0),0,IF(AND(F8=0,L8&gt;0),1,L8/F8))</f>
        <v>0</v>
      </c>
    </row>
    <row r="9" spans="1:13" ht="19.95" customHeight="1">
      <c r="A9" s="142" t="s">
        <v>180</v>
      </c>
      <c r="B9" s="28"/>
      <c r="C9" s="28"/>
      <c r="D9" s="24">
        <f t="shared" ref="D9:D10" si="0">B9+C9</f>
        <v>0</v>
      </c>
      <c r="E9" s="28"/>
      <c r="F9" s="24">
        <f t="shared" ref="F9:F10" si="1">D9-E9</f>
        <v>0</v>
      </c>
      <c r="G9" s="28"/>
      <c r="H9" s="28"/>
      <c r="I9" s="24">
        <f t="shared" ref="I9:I10" si="2">G9+H9</f>
        <v>0</v>
      </c>
      <c r="J9" s="28"/>
      <c r="K9" s="24">
        <f t="shared" ref="K9:K10" si="3">I9-J9</f>
        <v>0</v>
      </c>
      <c r="L9" s="24">
        <f>K9-F9</f>
        <v>0</v>
      </c>
      <c r="M9" s="137">
        <f>IF(AND(F9=0,L9=0),0,IF(AND(F9=0,L9&gt;0),1,L9/F9))</f>
        <v>0</v>
      </c>
    </row>
    <row r="10" spans="1:13" ht="19.95" customHeight="1">
      <c r="A10" s="142" t="s">
        <v>23</v>
      </c>
      <c r="B10" s="28"/>
      <c r="C10" s="28"/>
      <c r="D10" s="24">
        <f t="shared" si="0"/>
        <v>0</v>
      </c>
      <c r="E10" s="28"/>
      <c r="F10" s="24">
        <f t="shared" si="1"/>
        <v>0</v>
      </c>
      <c r="G10" s="28"/>
      <c r="H10" s="28"/>
      <c r="I10" s="24">
        <f t="shared" si="2"/>
        <v>0</v>
      </c>
      <c r="J10" s="28"/>
      <c r="K10" s="24">
        <f t="shared" si="3"/>
        <v>0</v>
      </c>
      <c r="L10" s="24">
        <f>K10-F10</f>
        <v>0</v>
      </c>
      <c r="M10" s="137">
        <f>IF(AND(F10=0,L10=0),0,IF(AND(F10=0,L10&gt;0),1,L10/F10))</f>
        <v>0</v>
      </c>
    </row>
    <row r="11" spans="1:13" s="5" customFormat="1" ht="19.95" customHeight="1">
      <c r="A11" s="143" t="s">
        <v>181</v>
      </c>
      <c r="B11" s="67">
        <f>SUM(B8:B10)</f>
        <v>0</v>
      </c>
      <c r="C11" s="67">
        <f t="shared" ref="C11:H11" si="4">SUM(C8:C10)</f>
        <v>0</v>
      </c>
      <c r="D11" s="67">
        <f t="shared" si="4"/>
        <v>0</v>
      </c>
      <c r="E11" s="67">
        <f>SUM(E8:E10)</f>
        <v>0</v>
      </c>
      <c r="F11" s="67">
        <f>SUM(F8:F10)</f>
        <v>0</v>
      </c>
      <c r="G11" s="67">
        <f t="shared" si="4"/>
        <v>0</v>
      </c>
      <c r="H11" s="67">
        <f t="shared" si="4"/>
        <v>0</v>
      </c>
      <c r="I11" s="67">
        <f>SUM(I8:I10)</f>
        <v>0</v>
      </c>
      <c r="J11" s="67">
        <f>SUM(J8:J10)</f>
        <v>0</v>
      </c>
      <c r="K11" s="67">
        <f>SUM(K8:K10)</f>
        <v>0</v>
      </c>
      <c r="L11" s="67">
        <f>K11-F11</f>
        <v>0</v>
      </c>
      <c r="M11" s="137">
        <f>IF(AND(F11=0,L11=0),0,IF(AND(F11=0,L11&gt;0),1,L11/F11))</f>
        <v>0</v>
      </c>
    </row>
    <row r="12" spans="1:13" ht="19.95" customHeight="1">
      <c r="A12" s="141" t="s">
        <v>182</v>
      </c>
      <c r="B12" s="24"/>
      <c r="C12" s="24"/>
      <c r="D12" s="24"/>
      <c r="E12" s="24"/>
      <c r="F12" s="24"/>
      <c r="G12" s="24"/>
      <c r="H12" s="24"/>
      <c r="I12" s="24"/>
      <c r="J12" s="24"/>
      <c r="K12" s="24"/>
      <c r="L12" s="24"/>
      <c r="M12" s="25"/>
    </row>
    <row r="13" spans="1:13" ht="19.95" customHeight="1">
      <c r="A13" s="142" t="s">
        <v>179</v>
      </c>
      <c r="B13" s="28"/>
      <c r="C13" s="28"/>
      <c r="D13" s="24">
        <f t="shared" ref="D13:D15" si="5">B13+C13</f>
        <v>0</v>
      </c>
      <c r="E13" s="28"/>
      <c r="F13" s="24">
        <f>D13-E13</f>
        <v>0</v>
      </c>
      <c r="G13" s="28"/>
      <c r="H13" s="28"/>
      <c r="I13" s="24">
        <f t="shared" ref="I13:I15" si="6">G13+H13</f>
        <v>0</v>
      </c>
      <c r="J13" s="28"/>
      <c r="K13" s="24">
        <f>I13-J13</f>
        <v>0</v>
      </c>
      <c r="L13" s="24">
        <f>K13-F13</f>
        <v>0</v>
      </c>
      <c r="M13" s="137">
        <f>IF(AND(F13=0,L13=0),0,IF(AND(F13=0,L13&gt;0),1,L13/F13))</f>
        <v>0</v>
      </c>
    </row>
    <row r="14" spans="1:13" ht="19.95" customHeight="1">
      <c r="A14" s="142" t="s">
        <v>180</v>
      </c>
      <c r="B14" s="28"/>
      <c r="C14" s="28"/>
      <c r="D14" s="24">
        <f t="shared" si="5"/>
        <v>0</v>
      </c>
      <c r="E14" s="28"/>
      <c r="F14" s="24">
        <f t="shared" ref="F14:F15" si="7">D14-E14</f>
        <v>0</v>
      </c>
      <c r="G14" s="28"/>
      <c r="H14" s="28"/>
      <c r="I14" s="24">
        <f t="shared" si="6"/>
        <v>0</v>
      </c>
      <c r="J14" s="28"/>
      <c r="K14" s="24">
        <f t="shared" ref="K14:K15" si="8">I14-J14</f>
        <v>0</v>
      </c>
      <c r="L14" s="24">
        <f>K14-F14</f>
        <v>0</v>
      </c>
      <c r="M14" s="137">
        <f>IF(AND(F14=0,L14=0),0,IF(AND(F14=0,L14&gt;0),1,L14/F14))</f>
        <v>0</v>
      </c>
    </row>
    <row r="15" spans="1:13" ht="19.95" customHeight="1">
      <c r="A15" s="142" t="s">
        <v>23</v>
      </c>
      <c r="B15" s="28"/>
      <c r="C15" s="28"/>
      <c r="D15" s="24">
        <f t="shared" si="5"/>
        <v>0</v>
      </c>
      <c r="E15" s="28"/>
      <c r="F15" s="24">
        <f t="shared" si="7"/>
        <v>0</v>
      </c>
      <c r="G15" s="28"/>
      <c r="H15" s="28"/>
      <c r="I15" s="24">
        <f t="shared" si="6"/>
        <v>0</v>
      </c>
      <c r="J15" s="28"/>
      <c r="K15" s="24">
        <f t="shared" si="8"/>
        <v>0</v>
      </c>
      <c r="L15" s="24">
        <f>K15-F15</f>
        <v>0</v>
      </c>
      <c r="M15" s="137">
        <f>IF(AND(F15=0,L15=0),0,IF(AND(F15=0,L15&gt;0),1,L15/F15))</f>
        <v>0</v>
      </c>
    </row>
    <row r="16" spans="1:13" s="5" customFormat="1" ht="19.95" customHeight="1">
      <c r="A16" s="143" t="s">
        <v>181</v>
      </c>
      <c r="B16" s="67">
        <f>SUM(B13:B15)</f>
        <v>0</v>
      </c>
      <c r="C16" s="67">
        <f t="shared" ref="C16:K16" si="9">SUM(C13:C15)</f>
        <v>0</v>
      </c>
      <c r="D16" s="67">
        <f t="shared" si="9"/>
        <v>0</v>
      </c>
      <c r="E16" s="67">
        <f t="shared" si="9"/>
        <v>0</v>
      </c>
      <c r="F16" s="67">
        <f t="shared" si="9"/>
        <v>0</v>
      </c>
      <c r="G16" s="67">
        <f t="shared" si="9"/>
        <v>0</v>
      </c>
      <c r="H16" s="67">
        <f t="shared" si="9"/>
        <v>0</v>
      </c>
      <c r="I16" s="67">
        <f t="shared" si="9"/>
        <v>0</v>
      </c>
      <c r="J16" s="67">
        <f t="shared" si="9"/>
        <v>0</v>
      </c>
      <c r="K16" s="67">
        <f t="shared" si="9"/>
        <v>0</v>
      </c>
      <c r="L16" s="67">
        <f>K16-F16</f>
        <v>0</v>
      </c>
      <c r="M16" s="137">
        <f>IF(AND(F16=0,L16=0),0,IF(AND(F16=0,L16&gt;0),1,L16/F16))</f>
        <v>0</v>
      </c>
    </row>
    <row r="17" spans="1:13" ht="19.95" customHeight="1">
      <c r="A17" s="141" t="s">
        <v>183</v>
      </c>
      <c r="B17" s="24"/>
      <c r="C17" s="24"/>
      <c r="D17" s="24"/>
      <c r="E17" s="24"/>
      <c r="F17" s="24"/>
      <c r="G17" s="24"/>
      <c r="H17" s="24"/>
      <c r="I17" s="24"/>
      <c r="J17" s="24"/>
      <c r="K17" s="24"/>
      <c r="L17" s="24"/>
      <c r="M17" s="25"/>
    </row>
    <row r="18" spans="1:13" ht="19.95" customHeight="1">
      <c r="A18" s="142" t="s">
        <v>179</v>
      </c>
      <c r="B18" s="24">
        <f>B8-B13</f>
        <v>0</v>
      </c>
      <c r="C18" s="24">
        <f t="shared" ref="C18" si="10">C8-C13</f>
        <v>0</v>
      </c>
      <c r="D18" s="24">
        <f>D8-D13</f>
        <v>0</v>
      </c>
      <c r="E18" s="24">
        <f t="shared" ref="E18" si="11">E8-E13</f>
        <v>0</v>
      </c>
      <c r="F18" s="24">
        <f>F8-F13</f>
        <v>0</v>
      </c>
      <c r="G18" s="24">
        <f t="shared" ref="G18:H18" si="12">G8-G13</f>
        <v>0</v>
      </c>
      <c r="H18" s="24">
        <f t="shared" si="12"/>
        <v>0</v>
      </c>
      <c r="I18" s="24">
        <f>I8-I13</f>
        <v>0</v>
      </c>
      <c r="J18" s="24">
        <f t="shared" ref="J18" si="13">J8-J13</f>
        <v>0</v>
      </c>
      <c r="K18" s="24">
        <f>K8-K13</f>
        <v>0</v>
      </c>
      <c r="L18" s="24">
        <f>K18-F18</f>
        <v>0</v>
      </c>
      <c r="M18" s="137">
        <f>IF(AND(F18=0,L18=0),0,IF(AND(F18=0,L18&gt;0),1,L18/F18))</f>
        <v>0</v>
      </c>
    </row>
    <row r="19" spans="1:13" ht="19.95" customHeight="1">
      <c r="A19" s="142" t="s">
        <v>180</v>
      </c>
      <c r="B19" s="24">
        <f>B9-B14</f>
        <v>0</v>
      </c>
      <c r="C19" s="24">
        <f t="shared" ref="C19" si="14">C9-C14</f>
        <v>0</v>
      </c>
      <c r="D19" s="24">
        <f t="shared" ref="D19:I20" si="15">D9-D14</f>
        <v>0</v>
      </c>
      <c r="E19" s="24">
        <f t="shared" ref="E19:F19" si="16">E9-E14</f>
        <v>0</v>
      </c>
      <c r="F19" s="24">
        <f t="shared" si="16"/>
        <v>0</v>
      </c>
      <c r="G19" s="24">
        <f t="shared" si="15"/>
        <v>0</v>
      </c>
      <c r="H19" s="24">
        <f t="shared" si="15"/>
        <v>0</v>
      </c>
      <c r="I19" s="24">
        <f t="shared" si="15"/>
        <v>0</v>
      </c>
      <c r="J19" s="24">
        <f t="shared" ref="J19" si="17">J9-J14</f>
        <v>0</v>
      </c>
      <c r="K19" s="24">
        <f>K9-K14</f>
        <v>0</v>
      </c>
      <c r="L19" s="24">
        <f>K19-F19</f>
        <v>0</v>
      </c>
      <c r="M19" s="137">
        <f>IF(AND(F19=0,L19=0),0,IF(AND(F19=0,L19&gt;0),1,L19/F19))</f>
        <v>0</v>
      </c>
    </row>
    <row r="20" spans="1:13" ht="19.95" customHeight="1">
      <c r="A20" s="142" t="s">
        <v>23</v>
      </c>
      <c r="B20" s="24">
        <f>B10-B15</f>
        <v>0</v>
      </c>
      <c r="C20" s="24">
        <f t="shared" ref="C20" si="18">C10-C15</f>
        <v>0</v>
      </c>
      <c r="D20" s="24">
        <f t="shared" si="15"/>
        <v>0</v>
      </c>
      <c r="E20" s="24">
        <f t="shared" ref="E20:F20" si="19">E10-E15</f>
        <v>0</v>
      </c>
      <c r="F20" s="24">
        <f t="shared" si="19"/>
        <v>0</v>
      </c>
      <c r="G20" s="24">
        <f t="shared" si="15"/>
        <v>0</v>
      </c>
      <c r="H20" s="24">
        <f t="shared" si="15"/>
        <v>0</v>
      </c>
      <c r="I20" s="24">
        <f t="shared" si="15"/>
        <v>0</v>
      </c>
      <c r="J20" s="24">
        <f t="shared" ref="J20" si="20">J10-J15</f>
        <v>0</v>
      </c>
      <c r="K20" s="24">
        <f>K10-K15</f>
        <v>0</v>
      </c>
      <c r="L20" s="24">
        <f>K20-F20</f>
        <v>0</v>
      </c>
      <c r="M20" s="137">
        <f>IF(AND(F20=0,L20=0),0,IF(AND(F20=0,L20&gt;0),1,L20/F20))</f>
        <v>0</v>
      </c>
    </row>
    <row r="21" spans="1:13" s="5" customFormat="1" ht="19.95" customHeight="1">
      <c r="A21" s="144" t="s">
        <v>181</v>
      </c>
      <c r="B21" s="136">
        <f>SUM(B18:B20)</f>
        <v>0</v>
      </c>
      <c r="C21" s="136">
        <f>SUM(C18:C20)</f>
        <v>0</v>
      </c>
      <c r="D21" s="136">
        <f>SUM(D18:D20)</f>
        <v>0</v>
      </c>
      <c r="E21" s="136">
        <f>SUM(E18:E20)</f>
        <v>0</v>
      </c>
      <c r="F21" s="136">
        <f>SUM(F18:F20)</f>
        <v>0</v>
      </c>
      <c r="G21" s="136">
        <f t="shared" ref="G21:H21" si="21">SUM(G18:G20)</f>
        <v>0</v>
      </c>
      <c r="H21" s="136">
        <f t="shared" si="21"/>
        <v>0</v>
      </c>
      <c r="I21" s="136">
        <f>SUM(I18:I20)</f>
        <v>0</v>
      </c>
      <c r="J21" s="136">
        <f t="shared" ref="J21" si="22">SUM(J18:J20)</f>
        <v>0</v>
      </c>
      <c r="K21" s="136">
        <f>SUM(K18:K20)</f>
        <v>0</v>
      </c>
      <c r="L21" s="136">
        <f>K21-F21</f>
        <v>0</v>
      </c>
      <c r="M21" s="152">
        <f>IF(AND(F21=0,L21=0),0,IF(AND(F21=0,L21&gt;0),1,L21/F21))</f>
        <v>0</v>
      </c>
    </row>
    <row r="22" spans="1:13" s="5" customFormat="1" ht="19.95" customHeight="1">
      <c r="A22" s="138" t="s">
        <v>165</v>
      </c>
      <c r="B22" s="67"/>
      <c r="C22" s="67"/>
      <c r="D22" s="67"/>
      <c r="E22" s="67"/>
      <c r="F22" s="28"/>
      <c r="G22" s="67"/>
      <c r="H22" s="67"/>
      <c r="I22" s="67"/>
      <c r="J22" s="67"/>
      <c r="K22" s="28"/>
      <c r="L22" s="67"/>
      <c r="M22" s="137"/>
    </row>
    <row r="23" spans="1:13" s="5" customFormat="1" ht="19.95" customHeight="1">
      <c r="A23" s="138" t="s">
        <v>166</v>
      </c>
      <c r="B23" s="67"/>
      <c r="C23" s="67"/>
      <c r="D23" s="67"/>
      <c r="E23" s="67"/>
      <c r="F23" s="67">
        <f>F21-F22</f>
        <v>0</v>
      </c>
      <c r="G23" s="67"/>
      <c r="H23" s="67"/>
      <c r="I23" s="67"/>
      <c r="J23" s="67"/>
      <c r="K23" s="67">
        <f>K21-K22</f>
        <v>0</v>
      </c>
      <c r="L23" s="67"/>
      <c r="M23" s="137"/>
    </row>
    <row r="24" spans="1:13" s="5" customFormat="1" ht="19.95" customHeight="1">
      <c r="A24" s="145" t="s">
        <v>184</v>
      </c>
      <c r="B24" s="20"/>
      <c r="C24" s="21"/>
      <c r="D24" s="21"/>
      <c r="E24" s="21"/>
      <c r="F24" s="21"/>
      <c r="G24" s="21"/>
      <c r="H24" s="21"/>
      <c r="I24" s="23" t="s">
        <v>185</v>
      </c>
      <c r="J24" s="22"/>
      <c r="K24" s="22"/>
      <c r="L24" s="21"/>
    </row>
    <row r="25" spans="1:13" s="5" customFormat="1" ht="19.95" customHeight="1">
      <c r="A25" s="33" t="s">
        <v>103</v>
      </c>
      <c r="B25" s="33"/>
      <c r="C25" s="30"/>
      <c r="D25" s="21"/>
      <c r="E25" s="21"/>
      <c r="F25" s="21"/>
      <c r="G25" s="21"/>
      <c r="H25" s="21"/>
      <c r="I25" s="22"/>
      <c r="J25" s="22"/>
      <c r="K25" s="22"/>
      <c r="L25" s="21"/>
    </row>
    <row r="26" spans="1:13" s="5" customFormat="1" ht="19.95" customHeight="1">
      <c r="A26" s="33" t="s">
        <v>104</v>
      </c>
      <c r="B26" s="33"/>
      <c r="C26" s="33"/>
      <c r="D26" s="21"/>
      <c r="E26" s="21"/>
      <c r="F26" s="21"/>
      <c r="G26" s="21"/>
      <c r="H26" s="21"/>
      <c r="I26" s="22"/>
      <c r="J26" s="22"/>
      <c r="K26" s="22"/>
      <c r="L26" s="21"/>
    </row>
    <row r="27" spans="1:13" s="5" customFormat="1" ht="19.95" customHeight="1">
      <c r="A27" s="33"/>
      <c r="B27" s="33"/>
      <c r="C27" s="33"/>
      <c r="D27" s="21"/>
      <c r="E27" s="21"/>
      <c r="F27" s="21"/>
      <c r="G27" s="21"/>
      <c r="H27" s="21"/>
      <c r="I27" s="22"/>
      <c r="J27" s="22"/>
      <c r="K27" s="22"/>
      <c r="L27" s="21"/>
    </row>
    <row r="28" spans="1:13" s="5" customFormat="1" ht="19.95" customHeight="1">
      <c r="A28" s="6"/>
      <c r="B28" s="7"/>
      <c r="C28" s="7"/>
      <c r="D28" s="7"/>
      <c r="E28" s="7"/>
      <c r="F28" s="7"/>
      <c r="G28" s="7"/>
      <c r="H28" s="7"/>
      <c r="I28" s="7"/>
      <c r="J28" s="7"/>
      <c r="K28" s="7"/>
      <c r="L28" s="7"/>
    </row>
    <row r="29" spans="1:13" s="5" customFormat="1" ht="19.95" customHeight="1">
      <c r="A29" s="6"/>
      <c r="B29" s="7"/>
      <c r="C29" s="7"/>
      <c r="D29" s="7"/>
      <c r="E29" s="7"/>
      <c r="F29" s="7"/>
      <c r="G29" s="7"/>
      <c r="H29" s="7"/>
      <c r="I29" s="7"/>
      <c r="J29" s="7"/>
      <c r="K29" s="7"/>
      <c r="L29" s="7"/>
    </row>
    <row r="30" spans="1:13" s="5" customFormat="1" ht="19.95" customHeight="1">
      <c r="A30" s="119"/>
      <c r="B30" s="117"/>
      <c r="C30" s="117"/>
      <c r="D30" s="117"/>
      <c r="E30" s="117"/>
      <c r="F30" s="117"/>
      <c r="G30" s="117"/>
      <c r="H30" s="117"/>
      <c r="I30" s="117"/>
      <c r="J30" s="117"/>
      <c r="K30" s="117"/>
      <c r="L30" s="117"/>
    </row>
    <row r="31" spans="1:13" ht="19.95" customHeight="1">
      <c r="A31" s="192"/>
      <c r="B31" s="192"/>
      <c r="C31" s="192"/>
      <c r="D31" s="192"/>
      <c r="E31" s="192"/>
      <c r="F31" s="192"/>
      <c r="G31" s="192"/>
      <c r="H31" s="192"/>
      <c r="I31" s="192"/>
      <c r="J31" s="192"/>
      <c r="K31" s="192"/>
      <c r="L31" s="192"/>
    </row>
    <row r="32" spans="1:13" ht="97.8" customHeight="1">
      <c r="A32" s="192"/>
      <c r="B32" s="192"/>
      <c r="C32" s="192"/>
      <c r="D32" s="192"/>
      <c r="E32" s="192"/>
      <c r="F32" s="192"/>
      <c r="G32" s="192"/>
      <c r="H32" s="192"/>
      <c r="I32" s="192"/>
      <c r="J32" s="192"/>
      <c r="K32" s="192"/>
      <c r="L32" s="192"/>
    </row>
    <row r="33" spans="1:12" ht="40.200000000000003" customHeight="1">
      <c r="A33" s="192"/>
      <c r="B33" s="192"/>
      <c r="C33" s="192"/>
      <c r="D33" s="192"/>
      <c r="E33" s="192"/>
      <c r="F33" s="192"/>
      <c r="G33" s="192"/>
      <c r="H33" s="192"/>
      <c r="I33" s="192"/>
      <c r="J33" s="192"/>
      <c r="K33" s="192"/>
      <c r="L33" s="192"/>
    </row>
    <row r="34" spans="1:12" ht="19.95" customHeight="1">
      <c r="A34" s="118"/>
      <c r="B34" s="118"/>
      <c r="C34" s="118"/>
      <c r="D34" s="118"/>
      <c r="E34" s="118"/>
      <c r="F34" s="118"/>
      <c r="G34" s="118"/>
      <c r="H34" s="118"/>
      <c r="I34" s="118"/>
      <c r="J34" s="118"/>
      <c r="K34" s="118"/>
      <c r="L34" s="118"/>
    </row>
  </sheetData>
  <mergeCells count="9">
    <mergeCell ref="A1:M1"/>
    <mergeCell ref="A2:M2"/>
    <mergeCell ref="L5:M5"/>
    <mergeCell ref="A31:L31"/>
    <mergeCell ref="A33:L33"/>
    <mergeCell ref="A32:L32"/>
    <mergeCell ref="B5:F5"/>
    <mergeCell ref="G5:K5"/>
    <mergeCell ref="A5:A6"/>
  </mergeCells>
  <phoneticPr fontId="13" type="noConversion"/>
  <hyperlinks>
    <hyperlink ref="M3" location="底稿目录!A1" display="H9A"/>
  </hyperlinks>
  <printOptions horizontalCentered="1"/>
  <pageMargins left="0.43307086614173229" right="0.35433070866141736" top="0.55118110236220474" bottom="0.23622047244094491" header="0.51181102362204722" footer="0.31496062992125984"/>
  <pageSetup paperSize="9" scale="75"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F18"/>
  <sheetViews>
    <sheetView view="pageBreakPreview" zoomScaleSheetLayoutView="100" workbookViewId="0">
      <selection sqref="A1:E1"/>
    </sheetView>
  </sheetViews>
  <sheetFormatPr defaultColWidth="9" defaultRowHeight="15.6"/>
  <cols>
    <col min="1" max="1" width="27.8984375" style="31" customWidth="1"/>
    <col min="2" max="2" width="13" style="18" customWidth="1"/>
    <col min="3" max="3" width="15" style="18" customWidth="1"/>
    <col min="4" max="4" width="13.5" style="18" customWidth="1"/>
    <col min="5" max="5" width="14.19921875" style="18" customWidth="1"/>
    <col min="6" max="16384" width="9" style="18"/>
  </cols>
  <sheetData>
    <row r="1" spans="1:6" s="98" customFormat="1" ht="20.100000000000001" customHeight="1">
      <c r="A1" s="197" t="s">
        <v>29</v>
      </c>
      <c r="B1" s="197"/>
      <c r="C1" s="197"/>
      <c r="D1" s="197"/>
      <c r="E1" s="197"/>
    </row>
    <row r="2" spans="1:6" s="103" customFormat="1" ht="20.100000000000001" customHeight="1">
      <c r="A2" s="198" t="s">
        <v>30</v>
      </c>
      <c r="B2" s="198"/>
      <c r="C2" s="198"/>
      <c r="D2" s="198"/>
      <c r="E2" s="198"/>
    </row>
    <row r="3" spans="1:6" s="1" customFormat="1" ht="20.100000000000001" customHeight="1">
      <c r="A3" s="49" t="str">
        <f>底稿目录!A2</f>
        <v>被审计单位：</v>
      </c>
      <c r="B3" s="46" t="str">
        <f>底稿目录!A4</f>
        <v>编制人：</v>
      </c>
      <c r="C3" s="47" t="str">
        <f>底稿目录!A6</f>
        <v>编制日期：</v>
      </c>
      <c r="D3" s="115" t="s">
        <v>133</v>
      </c>
      <c r="E3" s="46"/>
    </row>
    <row r="4" spans="1:6" s="1" customFormat="1" ht="20.100000000000001" customHeight="1">
      <c r="A4" s="49" t="str">
        <f>底稿目录!A3</f>
        <v>截止日：202X年12月31日</v>
      </c>
      <c r="B4" s="46" t="str">
        <f>底稿目录!A5</f>
        <v>复核人：</v>
      </c>
      <c r="C4" s="47" t="str">
        <f>底稿目录!A7</f>
        <v>复核日期：</v>
      </c>
      <c r="D4" s="115" t="s">
        <v>134</v>
      </c>
      <c r="E4" s="46"/>
    </row>
    <row r="5" spans="1:6" s="1" customFormat="1" ht="20.100000000000001" customHeight="1">
      <c r="A5" s="48"/>
      <c r="B5" s="46"/>
      <c r="C5" s="47"/>
      <c r="D5" s="46"/>
      <c r="E5" s="46"/>
      <c r="F5" s="72" t="s">
        <v>68</v>
      </c>
    </row>
    <row r="6" spans="1:6" ht="16.8" thickBot="1">
      <c r="A6" s="50" t="s">
        <v>32</v>
      </c>
    </row>
    <row r="7" spans="1:6" ht="16.2" thickBot="1">
      <c r="A7" s="51" t="s">
        <v>33</v>
      </c>
      <c r="B7" s="52" t="s">
        <v>34</v>
      </c>
      <c r="C7" s="53" t="s">
        <v>31</v>
      </c>
    </row>
    <row r="8" spans="1:6">
      <c r="A8" s="54"/>
      <c r="B8" s="55"/>
      <c r="C8" s="55"/>
    </row>
    <row r="9" spans="1:6">
      <c r="A9" s="54"/>
      <c r="B9" s="55"/>
      <c r="C9" s="55"/>
    </row>
    <row r="10" spans="1:6">
      <c r="A10" s="54"/>
      <c r="B10" s="55"/>
      <c r="C10" s="55"/>
    </row>
    <row r="11" spans="1:6">
      <c r="A11" s="56" t="s">
        <v>35</v>
      </c>
      <c r="B11" s="55" t="s">
        <v>36</v>
      </c>
      <c r="C11" s="55"/>
    </row>
    <row r="12" spans="1:6" ht="16.2" thickBot="1">
      <c r="A12" s="57" t="s">
        <v>37</v>
      </c>
      <c r="B12" s="58"/>
      <c r="C12" s="58"/>
    </row>
    <row r="13" spans="1:6" ht="16.2" thickBot="1">
      <c r="A13" s="59" t="s">
        <v>38</v>
      </c>
      <c r="B13" s="60" t="s">
        <v>36</v>
      </c>
      <c r="C13" s="60"/>
    </row>
    <row r="14" spans="1:6" ht="36" customHeight="1">
      <c r="A14" s="199" t="s">
        <v>39</v>
      </c>
      <c r="B14" s="199"/>
      <c r="C14" s="199"/>
      <c r="D14" s="199"/>
      <c r="E14" s="199"/>
    </row>
    <row r="15" spans="1:6">
      <c r="A15" s="61" t="s">
        <v>40</v>
      </c>
    </row>
    <row r="16" spans="1:6" ht="52.8" customHeight="1">
      <c r="A16" s="196" t="s">
        <v>41</v>
      </c>
      <c r="B16" s="196"/>
      <c r="C16" s="196"/>
      <c r="D16" s="196"/>
      <c r="E16" s="196"/>
    </row>
    <row r="17" spans="1:5" ht="42" customHeight="1">
      <c r="A17" s="196" t="s">
        <v>42</v>
      </c>
      <c r="B17" s="196"/>
      <c r="C17" s="196"/>
      <c r="D17" s="196"/>
      <c r="E17" s="196"/>
    </row>
    <row r="18" spans="1:5" ht="49.8" customHeight="1">
      <c r="A18" s="196" t="s">
        <v>43</v>
      </c>
      <c r="B18" s="196"/>
      <c r="C18" s="196"/>
      <c r="D18" s="196"/>
      <c r="E18" s="196"/>
    </row>
  </sheetData>
  <mergeCells count="6">
    <mergeCell ref="A17:E17"/>
    <mergeCell ref="A18:E18"/>
    <mergeCell ref="A1:E1"/>
    <mergeCell ref="A2:E2"/>
    <mergeCell ref="A14:E14"/>
    <mergeCell ref="A16:E16"/>
  </mergeCells>
  <phoneticPr fontId="13" type="noConversion"/>
  <hyperlinks>
    <hyperlink ref="F5" location="底稿目录!A1" display="H9A"/>
  </hyperlinks>
  <pageMargins left="0.70866141732283472" right="0.70866141732283472" top="0.74803149606299213" bottom="0.74803149606299213" header="0.31496062992125984" footer="0.31496062992125984"/>
  <pageSetup paperSize="9" scale="98" fitToHeight="0" orientation="portrait"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F16"/>
  <sheetViews>
    <sheetView view="pageBreakPreview" zoomScaleSheetLayoutView="100" workbookViewId="0">
      <selection sqref="A1:E1"/>
    </sheetView>
  </sheetViews>
  <sheetFormatPr defaultColWidth="9" defaultRowHeight="15.6"/>
  <cols>
    <col min="1" max="1" width="34.8984375" style="31" customWidth="1"/>
    <col min="2" max="2" width="13" style="18" customWidth="1"/>
    <col min="3" max="3" width="17.09765625" style="18" customWidth="1"/>
    <col min="4" max="4" width="13.5" style="18" customWidth="1"/>
    <col min="5" max="16384" width="9" style="18"/>
  </cols>
  <sheetData>
    <row r="1" spans="1:6" s="98" customFormat="1" ht="20.100000000000001" customHeight="1">
      <c r="A1" s="197" t="s">
        <v>29</v>
      </c>
      <c r="B1" s="197"/>
      <c r="C1" s="197"/>
      <c r="D1" s="197"/>
      <c r="E1" s="197"/>
    </row>
    <row r="2" spans="1:6" s="103" customFormat="1" ht="20.100000000000001" customHeight="1">
      <c r="A2" s="198" t="s">
        <v>30</v>
      </c>
      <c r="B2" s="198"/>
      <c r="C2" s="198"/>
      <c r="D2" s="198"/>
      <c r="E2" s="198"/>
    </row>
    <row r="3" spans="1:6" s="1" customFormat="1" ht="20.100000000000001" customHeight="1">
      <c r="A3" s="49" t="str">
        <f>底稿目录!A2</f>
        <v>被审计单位：</v>
      </c>
      <c r="B3" s="46" t="str">
        <f>底稿目录!A4</f>
        <v>编制人：</v>
      </c>
      <c r="C3" s="47" t="str">
        <f>底稿目录!A6</f>
        <v>编制日期：</v>
      </c>
      <c r="D3" s="115" t="s">
        <v>133</v>
      </c>
      <c r="E3" s="46"/>
    </row>
    <row r="4" spans="1:6" s="1" customFormat="1" ht="20.100000000000001" customHeight="1">
      <c r="A4" s="49" t="str">
        <f>底稿目录!A3</f>
        <v>截止日：202X年12月31日</v>
      </c>
      <c r="B4" s="46" t="str">
        <f>底稿目录!A5</f>
        <v>复核人：</v>
      </c>
      <c r="C4" s="47" t="str">
        <f>底稿目录!A7</f>
        <v>复核日期：</v>
      </c>
      <c r="D4" s="115" t="s">
        <v>134</v>
      </c>
      <c r="E4" s="46"/>
    </row>
    <row r="5" spans="1:6" s="1" customFormat="1" ht="20.100000000000001" customHeight="1">
      <c r="A5" s="48"/>
      <c r="B5" s="46"/>
      <c r="C5" s="47"/>
      <c r="D5" s="46"/>
      <c r="E5" s="46"/>
      <c r="F5" s="72" t="s">
        <v>68</v>
      </c>
    </row>
    <row r="6" spans="1:6" ht="16.2" thickBot="1">
      <c r="A6" s="18" t="s">
        <v>44</v>
      </c>
      <c r="B6" s="46"/>
      <c r="C6" s="46"/>
      <c r="D6" s="46"/>
      <c r="E6" s="46"/>
    </row>
    <row r="7" spans="1:6" ht="16.2" thickBot="1">
      <c r="A7" s="51" t="s">
        <v>33</v>
      </c>
      <c r="B7" s="53" t="s">
        <v>34</v>
      </c>
      <c r="C7" s="53" t="s">
        <v>45</v>
      </c>
      <c r="D7" s="46"/>
      <c r="E7" s="46"/>
    </row>
    <row r="8" spans="1:6">
      <c r="A8" s="62" t="s">
        <v>46</v>
      </c>
      <c r="B8" s="55"/>
      <c r="C8" s="55"/>
      <c r="D8" s="46"/>
      <c r="E8" s="46"/>
    </row>
    <row r="9" spans="1:6">
      <c r="A9" s="62" t="s">
        <v>47</v>
      </c>
      <c r="B9" s="55"/>
      <c r="C9" s="55"/>
    </row>
    <row r="10" spans="1:6">
      <c r="A10" s="62" t="s">
        <v>48</v>
      </c>
      <c r="B10" s="55"/>
      <c r="C10" s="55"/>
    </row>
    <row r="11" spans="1:6" ht="16.2" thickBot="1">
      <c r="A11" s="63" t="s">
        <v>28</v>
      </c>
      <c r="B11" s="58"/>
      <c r="C11" s="58"/>
    </row>
    <row r="12" spans="1:6" ht="16.2" thickBot="1">
      <c r="A12" s="59" t="s">
        <v>49</v>
      </c>
      <c r="B12" s="60"/>
      <c r="C12" s="60"/>
    </row>
    <row r="13" spans="1:6">
      <c r="A13" s="64" t="s">
        <v>40</v>
      </c>
    </row>
    <row r="14" spans="1:6" ht="54.6" customHeight="1">
      <c r="A14" s="200" t="s">
        <v>50</v>
      </c>
      <c r="B14" s="200"/>
      <c r="C14" s="200"/>
      <c r="D14" s="200"/>
    </row>
    <row r="15" spans="1:6" ht="41.4" customHeight="1">
      <c r="A15" s="200" t="s">
        <v>51</v>
      </c>
      <c r="B15" s="200"/>
      <c r="C15" s="200"/>
      <c r="D15" s="200"/>
    </row>
    <row r="16" spans="1:6" ht="52.2" customHeight="1">
      <c r="A16" s="200" t="s">
        <v>52</v>
      </c>
      <c r="B16" s="200"/>
      <c r="C16" s="200"/>
      <c r="D16" s="200"/>
    </row>
  </sheetData>
  <mergeCells count="5">
    <mergeCell ref="A16:D16"/>
    <mergeCell ref="A1:E1"/>
    <mergeCell ref="A2:E2"/>
    <mergeCell ref="A14:D14"/>
    <mergeCell ref="A15:D15"/>
  </mergeCells>
  <phoneticPr fontId="13" type="noConversion"/>
  <hyperlinks>
    <hyperlink ref="F5" location="底稿目录!A1" display="H9A"/>
  </hyperlinks>
  <pageMargins left="0.70866141732283472" right="0.70866141732283472" top="0.74803149606299213" bottom="0.74803149606299213" header="0.31496062992125984" footer="0.31496062992125984"/>
  <pageSetup paperSize="9" scale="93" fitToHeight="0"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V26"/>
  <sheetViews>
    <sheetView view="pageBreakPreview" zoomScaleSheetLayoutView="100" workbookViewId="0">
      <selection sqref="A1:V1"/>
    </sheetView>
  </sheetViews>
  <sheetFormatPr defaultColWidth="7" defaultRowHeight="19.95" customHeight="1"/>
  <cols>
    <col min="1" max="1" width="16.19921875" style="8" customWidth="1"/>
    <col min="2" max="2" width="11.8984375" style="8" customWidth="1"/>
    <col min="3" max="4" width="8.5" style="8" customWidth="1"/>
    <col min="5" max="6" width="10.8984375" style="8" customWidth="1"/>
    <col min="7" max="8" width="9" style="8" customWidth="1"/>
    <col min="9" max="12" width="10.8984375" style="8" customWidth="1"/>
    <col min="13" max="13" width="10" style="8" customWidth="1"/>
    <col min="14" max="14" width="10.8984375" style="8" customWidth="1"/>
    <col min="15" max="15" width="8.09765625" style="8" customWidth="1"/>
    <col min="16" max="16" width="9.296875" style="8" customWidth="1"/>
    <col min="17" max="17" width="8.09765625" style="8" customWidth="1"/>
    <col min="18" max="18" width="9" style="8" customWidth="1"/>
    <col min="19" max="19" width="10.296875" style="8" customWidth="1"/>
    <col min="20" max="20" width="7.8984375" style="8" customWidth="1"/>
    <col min="21" max="21" width="8" style="8" customWidth="1"/>
    <col min="22" max="22" width="7.69921875" style="8" customWidth="1"/>
    <col min="23" max="23" width="10.5" style="8" customWidth="1"/>
    <col min="24" max="16384" width="7" style="8"/>
  </cols>
  <sheetData>
    <row r="1" spans="1:22" s="97" customFormat="1" ht="19.95" customHeight="1">
      <c r="A1" s="188" t="s">
        <v>121</v>
      </c>
      <c r="B1" s="188"/>
      <c r="C1" s="188"/>
      <c r="D1" s="188"/>
      <c r="E1" s="188"/>
      <c r="F1" s="188"/>
      <c r="G1" s="188"/>
      <c r="H1" s="188"/>
      <c r="I1" s="188"/>
      <c r="J1" s="188"/>
      <c r="K1" s="188"/>
      <c r="L1" s="188"/>
      <c r="M1" s="188"/>
      <c r="N1" s="188"/>
      <c r="O1" s="188"/>
      <c r="P1" s="188"/>
      <c r="Q1" s="188"/>
      <c r="R1" s="188"/>
      <c r="S1" s="188"/>
      <c r="T1" s="188"/>
      <c r="U1" s="188"/>
      <c r="V1" s="188"/>
    </row>
    <row r="2" spans="1:22" s="102" customFormat="1" ht="19.95" customHeight="1">
      <c r="A2" s="189" t="s">
        <v>124</v>
      </c>
      <c r="B2" s="189"/>
      <c r="C2" s="189"/>
      <c r="D2" s="189"/>
      <c r="E2" s="189"/>
      <c r="F2" s="189"/>
      <c r="G2" s="189"/>
      <c r="H2" s="189"/>
      <c r="I2" s="189"/>
      <c r="J2" s="189"/>
      <c r="K2" s="189"/>
      <c r="L2" s="189"/>
      <c r="M2" s="189"/>
      <c r="N2" s="189"/>
      <c r="O2" s="189"/>
      <c r="P2" s="189"/>
      <c r="Q2" s="189"/>
      <c r="R2" s="189"/>
      <c r="S2" s="189"/>
      <c r="T2" s="189"/>
      <c r="U2" s="189"/>
      <c r="V2" s="189"/>
    </row>
    <row r="3" spans="1:22" ht="19.95" customHeight="1">
      <c r="A3" s="1" t="str">
        <f>底稿目录!A2</f>
        <v>被审计单位：</v>
      </c>
      <c r="B3" s="1"/>
      <c r="C3" s="1"/>
      <c r="D3" s="1"/>
      <c r="F3" s="1" t="str">
        <f>底稿目录!A4</f>
        <v>编制人：</v>
      </c>
      <c r="G3" s="1"/>
      <c r="H3" s="1"/>
      <c r="I3" s="1"/>
      <c r="J3" s="1"/>
      <c r="K3" s="1"/>
      <c r="L3" s="1"/>
      <c r="M3" s="32" t="str">
        <f>底稿目录!A6</f>
        <v>编制日期：</v>
      </c>
      <c r="O3" s="1"/>
      <c r="S3" s="1"/>
      <c r="T3" s="1"/>
      <c r="U3" s="114" t="s">
        <v>131</v>
      </c>
      <c r="V3" s="82" t="s">
        <v>61</v>
      </c>
    </row>
    <row r="4" spans="1:22" ht="19.95" customHeight="1">
      <c r="A4" s="1" t="str">
        <f>底稿目录!A3</f>
        <v>截止日：202X年12月31日</v>
      </c>
      <c r="B4" s="1"/>
      <c r="C4" s="1"/>
      <c r="D4" s="1"/>
      <c r="F4" s="1" t="str">
        <f>底稿目录!A5</f>
        <v>复核人：</v>
      </c>
      <c r="G4" s="1"/>
      <c r="H4" s="1"/>
      <c r="I4" s="1"/>
      <c r="J4" s="1"/>
      <c r="K4" s="1"/>
      <c r="L4" s="1"/>
      <c r="M4" s="32" t="str">
        <f>底稿目录!A7</f>
        <v>复核日期：</v>
      </c>
      <c r="O4" s="1"/>
      <c r="S4" s="1"/>
      <c r="T4" s="1"/>
      <c r="U4" s="114" t="s">
        <v>132</v>
      </c>
      <c r="V4" s="83"/>
    </row>
    <row r="5" spans="1:22" s="155" customFormat="1" ht="19.95" customHeight="1">
      <c r="A5" s="153" t="s">
        <v>56</v>
      </c>
      <c r="B5" s="154"/>
      <c r="C5" s="154"/>
      <c r="D5" s="154"/>
      <c r="F5" s="154"/>
      <c r="G5" s="154"/>
      <c r="H5" s="154"/>
      <c r="I5" s="154"/>
      <c r="J5" s="154"/>
      <c r="K5" s="154"/>
      <c r="L5" s="154"/>
      <c r="M5" s="154"/>
      <c r="N5" s="154"/>
      <c r="O5" s="154"/>
      <c r="R5" s="154"/>
      <c r="S5" s="154"/>
      <c r="T5" s="154"/>
      <c r="U5" s="154"/>
    </row>
    <row r="6" spans="1:22" s="155" customFormat="1" ht="19.95" customHeight="1">
      <c r="A6" s="153" t="s">
        <v>105</v>
      </c>
      <c r="B6" s="154"/>
      <c r="C6" s="154"/>
      <c r="D6" s="154"/>
      <c r="F6" s="154"/>
      <c r="G6" s="154"/>
      <c r="H6" s="154"/>
      <c r="I6" s="154"/>
      <c r="J6" s="154"/>
      <c r="K6" s="154"/>
      <c r="L6" s="154"/>
      <c r="M6" s="154"/>
      <c r="N6" s="154"/>
      <c r="O6" s="154"/>
      <c r="R6" s="154"/>
      <c r="S6" s="154"/>
      <c r="T6" s="154"/>
      <c r="U6" s="154"/>
    </row>
    <row r="7" spans="1:22" s="156" customFormat="1" ht="19.95" customHeight="1">
      <c r="A7" s="203" t="s">
        <v>203</v>
      </c>
      <c r="B7" s="201" t="s">
        <v>207</v>
      </c>
      <c r="C7" s="204" t="s">
        <v>208</v>
      </c>
      <c r="D7" s="206"/>
      <c r="E7" s="205"/>
      <c r="F7" s="201" t="s">
        <v>209</v>
      </c>
      <c r="G7" s="204" t="s">
        <v>191</v>
      </c>
      <c r="H7" s="205"/>
      <c r="I7" s="204" t="s">
        <v>210</v>
      </c>
      <c r="J7" s="206"/>
      <c r="K7" s="206"/>
      <c r="L7" s="205"/>
      <c r="M7" s="201" t="s">
        <v>193</v>
      </c>
      <c r="N7" s="201" t="s">
        <v>201</v>
      </c>
      <c r="O7" s="204" t="s">
        <v>211</v>
      </c>
      <c r="P7" s="206"/>
      <c r="Q7" s="206"/>
      <c r="R7" s="205"/>
      <c r="S7" s="201" t="s">
        <v>202</v>
      </c>
      <c r="T7" s="201" t="s">
        <v>212</v>
      </c>
      <c r="U7" s="203" t="s">
        <v>204</v>
      </c>
      <c r="V7" s="203" t="s">
        <v>194</v>
      </c>
    </row>
    <row r="8" spans="1:22" s="156" customFormat="1" ht="19.95" customHeight="1">
      <c r="A8" s="203"/>
      <c r="B8" s="202"/>
      <c r="C8" s="151" t="s">
        <v>213</v>
      </c>
      <c r="D8" s="151" t="s">
        <v>198</v>
      </c>
      <c r="E8" s="151" t="s">
        <v>199</v>
      </c>
      <c r="F8" s="202"/>
      <c r="G8" s="146" t="s">
        <v>196</v>
      </c>
      <c r="H8" s="146" t="s">
        <v>197</v>
      </c>
      <c r="I8" s="151" t="s">
        <v>207</v>
      </c>
      <c r="J8" s="151" t="s">
        <v>213</v>
      </c>
      <c r="K8" s="151" t="s">
        <v>198</v>
      </c>
      <c r="L8" s="151" t="s">
        <v>195</v>
      </c>
      <c r="M8" s="202"/>
      <c r="N8" s="202"/>
      <c r="O8" s="147" t="s">
        <v>188</v>
      </c>
      <c r="P8" s="147" t="s">
        <v>189</v>
      </c>
      <c r="Q8" s="147" t="s">
        <v>190</v>
      </c>
      <c r="R8" s="147" t="s">
        <v>206</v>
      </c>
      <c r="S8" s="202"/>
      <c r="T8" s="202"/>
      <c r="U8" s="203"/>
      <c r="V8" s="203"/>
    </row>
    <row r="9" spans="1:22" ht="19.95" customHeight="1">
      <c r="A9" s="107"/>
      <c r="B9" s="9"/>
      <c r="C9" s="9"/>
      <c r="D9" s="9"/>
      <c r="E9" s="24">
        <f>B9-C9+D9</f>
        <v>0</v>
      </c>
      <c r="F9" s="10"/>
      <c r="G9" s="10"/>
      <c r="H9" s="10"/>
      <c r="I9" s="24">
        <f>B9+F9</f>
        <v>0</v>
      </c>
      <c r="J9" s="24">
        <f>C9+G9</f>
        <v>0</v>
      </c>
      <c r="K9" s="24">
        <f>D9+H9</f>
        <v>0</v>
      </c>
      <c r="L9" s="24">
        <f>I9-J9+K9</f>
        <v>0</v>
      </c>
      <c r="M9" s="28"/>
      <c r="N9" s="24">
        <f>L9-M9</f>
        <v>0</v>
      </c>
      <c r="O9" s="9"/>
      <c r="P9" s="9"/>
      <c r="Q9" s="9"/>
      <c r="R9" s="9"/>
      <c r="S9" s="9"/>
      <c r="T9" s="4"/>
      <c r="U9" s="4"/>
      <c r="V9" s="4"/>
    </row>
    <row r="10" spans="1:22" ht="19.95" customHeight="1">
      <c r="A10" s="107"/>
      <c r="B10" s="9"/>
      <c r="C10" s="9"/>
      <c r="D10" s="9"/>
      <c r="E10" s="24">
        <f t="shared" ref="E10:E13" si="0">B10-C10+D10</f>
        <v>0</v>
      </c>
      <c r="F10" s="10"/>
      <c r="G10" s="10"/>
      <c r="H10" s="10"/>
      <c r="I10" s="24">
        <f t="shared" ref="I10:I13" si="1">B10+F10</f>
        <v>0</v>
      </c>
      <c r="J10" s="24">
        <f t="shared" ref="J10:J13" si="2">C10+G10</f>
        <v>0</v>
      </c>
      <c r="K10" s="24">
        <f t="shared" ref="K10:K13" si="3">D10+H10</f>
        <v>0</v>
      </c>
      <c r="L10" s="24">
        <f t="shared" ref="L10:L13" si="4">I10-J10+K10</f>
        <v>0</v>
      </c>
      <c r="M10" s="28"/>
      <c r="N10" s="24">
        <f>L10-M10</f>
        <v>0</v>
      </c>
      <c r="O10" s="9"/>
      <c r="P10" s="9"/>
      <c r="Q10" s="9"/>
      <c r="R10" s="9"/>
      <c r="S10" s="9"/>
      <c r="T10" s="4"/>
      <c r="U10" s="4"/>
      <c r="V10" s="4"/>
    </row>
    <row r="11" spans="1:22" ht="19.95" customHeight="1">
      <c r="A11" s="107"/>
      <c r="B11" s="9"/>
      <c r="C11" s="9"/>
      <c r="D11" s="9"/>
      <c r="E11" s="24">
        <f t="shared" si="0"/>
        <v>0</v>
      </c>
      <c r="F11" s="10"/>
      <c r="G11" s="10"/>
      <c r="H11" s="10"/>
      <c r="I11" s="24">
        <f t="shared" si="1"/>
        <v>0</v>
      </c>
      <c r="J11" s="24">
        <f t="shared" si="2"/>
        <v>0</v>
      </c>
      <c r="K11" s="24">
        <f t="shared" si="3"/>
        <v>0</v>
      </c>
      <c r="L11" s="24">
        <f t="shared" si="4"/>
        <v>0</v>
      </c>
      <c r="M11" s="28"/>
      <c r="N11" s="24">
        <f>L11-M11</f>
        <v>0</v>
      </c>
      <c r="O11" s="9"/>
      <c r="P11" s="9"/>
      <c r="Q11" s="9"/>
      <c r="R11" s="9"/>
      <c r="S11" s="9"/>
      <c r="T11" s="4"/>
      <c r="U11" s="4"/>
      <c r="V11" s="4"/>
    </row>
    <row r="12" spans="1:22" ht="19.95" customHeight="1">
      <c r="A12" s="107"/>
      <c r="B12" s="9"/>
      <c r="C12" s="9"/>
      <c r="D12" s="9"/>
      <c r="E12" s="24">
        <f t="shared" si="0"/>
        <v>0</v>
      </c>
      <c r="F12" s="10"/>
      <c r="G12" s="10"/>
      <c r="H12" s="10"/>
      <c r="I12" s="24">
        <f t="shared" si="1"/>
        <v>0</v>
      </c>
      <c r="J12" s="24">
        <f t="shared" si="2"/>
        <v>0</v>
      </c>
      <c r="K12" s="24">
        <f t="shared" si="3"/>
        <v>0</v>
      </c>
      <c r="L12" s="24">
        <f t="shared" si="4"/>
        <v>0</v>
      </c>
      <c r="M12" s="28"/>
      <c r="N12" s="24">
        <f>L12-M12</f>
        <v>0</v>
      </c>
      <c r="O12" s="9"/>
      <c r="P12" s="9"/>
      <c r="Q12" s="9"/>
      <c r="R12" s="9"/>
      <c r="S12" s="9"/>
      <c r="T12" s="4"/>
      <c r="U12" s="4"/>
      <c r="V12" s="4"/>
    </row>
    <row r="13" spans="1:22" ht="19.95" customHeight="1">
      <c r="A13" s="107"/>
      <c r="B13" s="9"/>
      <c r="C13" s="9"/>
      <c r="D13" s="9"/>
      <c r="E13" s="24">
        <f t="shared" si="0"/>
        <v>0</v>
      </c>
      <c r="F13" s="10"/>
      <c r="G13" s="10"/>
      <c r="H13" s="10"/>
      <c r="I13" s="24">
        <f t="shared" si="1"/>
        <v>0</v>
      </c>
      <c r="J13" s="24">
        <f t="shared" si="2"/>
        <v>0</v>
      </c>
      <c r="K13" s="24">
        <f t="shared" si="3"/>
        <v>0</v>
      </c>
      <c r="L13" s="24">
        <f t="shared" si="4"/>
        <v>0</v>
      </c>
      <c r="M13" s="28"/>
      <c r="N13" s="24">
        <f>L13-M13</f>
        <v>0</v>
      </c>
      <c r="O13" s="9"/>
      <c r="P13" s="9"/>
      <c r="Q13" s="9"/>
      <c r="R13" s="9"/>
      <c r="S13" s="9"/>
      <c r="T13" s="4"/>
      <c r="U13" s="4"/>
      <c r="V13" s="4"/>
    </row>
    <row r="14" spans="1:22" s="11" customFormat="1" ht="19.95" customHeight="1">
      <c r="A14" s="106" t="s">
        <v>128</v>
      </c>
      <c r="B14" s="67">
        <f>SUM(B9:B13)</f>
        <v>0</v>
      </c>
      <c r="C14" s="67">
        <f t="shared" ref="C14:L14" si="5">SUM(C9:C13)</f>
        <v>0</v>
      </c>
      <c r="D14" s="67">
        <f t="shared" si="5"/>
        <v>0</v>
      </c>
      <c r="E14" s="67">
        <f t="shared" si="5"/>
        <v>0</v>
      </c>
      <c r="F14" s="67">
        <f t="shared" si="5"/>
        <v>0</v>
      </c>
      <c r="G14" s="67">
        <f t="shared" si="5"/>
        <v>0</v>
      </c>
      <c r="H14" s="67">
        <f t="shared" si="5"/>
        <v>0</v>
      </c>
      <c r="I14" s="67">
        <f t="shared" si="5"/>
        <v>0</v>
      </c>
      <c r="J14" s="67">
        <f t="shared" si="5"/>
        <v>0</v>
      </c>
      <c r="K14" s="67">
        <f t="shared" si="5"/>
        <v>0</v>
      </c>
      <c r="L14" s="67">
        <f t="shared" si="5"/>
        <v>0</v>
      </c>
      <c r="M14" s="67">
        <f t="shared" ref="M14:N14" si="6">SUM(M9:M13)</f>
        <v>0</v>
      </c>
      <c r="N14" s="67">
        <f t="shared" si="6"/>
        <v>0</v>
      </c>
      <c r="O14" s="67">
        <f t="shared" ref="O14:R14" si="7">SUM(O9:O13)</f>
        <v>0</v>
      </c>
      <c r="P14" s="67">
        <f t="shared" si="7"/>
        <v>0</v>
      </c>
      <c r="Q14" s="67">
        <f t="shared" si="7"/>
        <v>0</v>
      </c>
      <c r="R14" s="67">
        <f t="shared" si="7"/>
        <v>0</v>
      </c>
      <c r="S14" s="65" t="s">
        <v>18</v>
      </c>
      <c r="T14" s="65" t="s">
        <v>18</v>
      </c>
      <c r="U14" s="67">
        <f>SUM(U9:U13)</f>
        <v>0</v>
      </c>
      <c r="V14" s="65" t="s">
        <v>18</v>
      </c>
    </row>
    <row r="15" spans="1:22" ht="19.95" customHeight="1">
      <c r="A15" s="29" t="s">
        <v>106</v>
      </c>
      <c r="B15" s="12"/>
      <c r="C15" s="12"/>
      <c r="D15" s="12"/>
      <c r="E15" s="12"/>
      <c r="F15" s="12"/>
      <c r="G15" s="12"/>
      <c r="H15" s="12"/>
      <c r="I15" s="16" t="s">
        <v>107</v>
      </c>
      <c r="J15" s="12"/>
      <c r="K15" s="12"/>
      <c r="L15" s="12"/>
      <c r="M15" s="12"/>
      <c r="N15" s="12"/>
      <c r="O15" s="13"/>
      <c r="P15" s="13"/>
      <c r="Q15" s="13"/>
      <c r="R15" s="13"/>
      <c r="S15" s="13"/>
      <c r="T15" s="12"/>
      <c r="U15" s="13"/>
      <c r="V15" s="13"/>
    </row>
    <row r="16" spans="1:22" ht="19.95" customHeight="1">
      <c r="A16" s="149" t="s">
        <v>214</v>
      </c>
      <c r="B16" s="1"/>
      <c r="C16" s="1"/>
      <c r="D16" s="1"/>
      <c r="E16" s="1"/>
      <c r="F16" s="1"/>
      <c r="G16" s="1"/>
      <c r="H16" s="1"/>
      <c r="I16" s="1"/>
      <c r="J16" s="1"/>
      <c r="K16" s="1"/>
      <c r="L16" s="1"/>
      <c r="M16" s="1"/>
      <c r="N16" s="1"/>
      <c r="O16" s="14"/>
      <c r="P16" s="14"/>
      <c r="Q16" s="14"/>
      <c r="R16" s="14"/>
      <c r="S16" s="14"/>
      <c r="T16" s="1"/>
      <c r="U16" s="14"/>
      <c r="V16" s="14"/>
    </row>
    <row r="17" spans="1:22" ht="19.95" customHeight="1">
      <c r="A17" s="1"/>
      <c r="B17" s="1"/>
      <c r="C17" s="1"/>
      <c r="D17" s="1"/>
      <c r="E17" s="1"/>
      <c r="F17" s="1"/>
      <c r="G17" s="1"/>
      <c r="H17" s="1"/>
      <c r="I17" s="1"/>
      <c r="J17" s="1"/>
      <c r="K17" s="1"/>
      <c r="L17" s="1"/>
      <c r="M17" s="1"/>
      <c r="N17" s="1"/>
      <c r="O17" s="14"/>
      <c r="P17" s="14"/>
      <c r="Q17" s="14"/>
      <c r="R17" s="14"/>
      <c r="S17" s="14"/>
      <c r="T17" s="1"/>
      <c r="U17" s="14"/>
      <c r="V17" s="14"/>
    </row>
    <row r="18" spans="1:22" ht="19.95" customHeight="1">
      <c r="A18" s="16"/>
      <c r="B18" s="1"/>
      <c r="C18" s="1"/>
      <c r="D18" s="1"/>
      <c r="E18" s="1"/>
      <c r="F18" s="1"/>
      <c r="G18" s="1"/>
      <c r="H18" s="1"/>
      <c r="I18" s="1"/>
      <c r="J18" s="1"/>
      <c r="K18" s="1"/>
      <c r="L18" s="1"/>
      <c r="M18" s="1"/>
      <c r="N18" s="1"/>
      <c r="O18" s="14"/>
      <c r="P18" s="14"/>
      <c r="Q18" s="14"/>
      <c r="R18" s="14"/>
      <c r="S18" s="14"/>
      <c r="T18" s="1"/>
      <c r="U18" s="14"/>
      <c r="V18" s="14"/>
    </row>
    <row r="19" spans="1:22" ht="19.95" customHeight="1">
      <c r="A19" s="120" t="s">
        <v>143</v>
      </c>
      <c r="B19" s="1"/>
      <c r="C19" s="1"/>
      <c r="D19" s="1"/>
      <c r="E19" s="1"/>
      <c r="F19" s="1"/>
      <c r="G19" s="1"/>
      <c r="H19" s="1"/>
      <c r="I19" s="1"/>
      <c r="J19" s="1"/>
      <c r="K19" s="1"/>
      <c r="L19" s="1"/>
      <c r="M19" s="1"/>
      <c r="N19" s="1"/>
      <c r="T19" s="1"/>
    </row>
    <row r="20" spans="1:22" ht="19.95" customHeight="1">
      <c r="A20" s="70" t="s">
        <v>57</v>
      </c>
      <c r="B20" s="1"/>
      <c r="C20" s="1"/>
      <c r="D20" s="1"/>
      <c r="E20" s="1"/>
      <c r="F20" s="1"/>
      <c r="G20" s="1"/>
      <c r="H20" s="1"/>
      <c r="I20" s="1"/>
      <c r="J20" s="1"/>
      <c r="K20" s="1"/>
      <c r="L20" s="1"/>
      <c r="M20" s="1"/>
      <c r="N20" s="1"/>
      <c r="T20" s="1"/>
    </row>
    <row r="21" spans="1:22" ht="19.95" customHeight="1">
      <c r="A21" s="71" t="s">
        <v>58</v>
      </c>
    </row>
    <row r="22" spans="1:22" ht="19.95" customHeight="1">
      <c r="B22" s="1"/>
      <c r="C22" s="1"/>
      <c r="D22" s="1"/>
      <c r="E22" s="1"/>
      <c r="F22" s="1"/>
      <c r="G22" s="1"/>
      <c r="H22" s="1"/>
      <c r="I22" s="1"/>
      <c r="J22" s="1"/>
      <c r="K22" s="1"/>
      <c r="L22" s="1"/>
      <c r="M22" s="1"/>
      <c r="N22" s="1"/>
      <c r="T22" s="1"/>
    </row>
    <row r="23" spans="1:22" ht="19.95" customHeight="1">
      <c r="B23" s="1"/>
      <c r="C23" s="1"/>
      <c r="D23" s="1"/>
      <c r="E23" s="1"/>
      <c r="F23" s="1"/>
      <c r="G23" s="1"/>
      <c r="H23" s="1"/>
      <c r="I23" s="1"/>
      <c r="J23" s="1"/>
      <c r="K23" s="1"/>
      <c r="L23" s="1"/>
      <c r="M23" s="1"/>
      <c r="N23" s="1"/>
      <c r="T23" s="1"/>
    </row>
    <row r="24" spans="1:22" ht="19.95" customHeight="1">
      <c r="B24" s="1"/>
      <c r="C24" s="1"/>
      <c r="D24" s="1"/>
      <c r="E24" s="1"/>
      <c r="F24" s="1"/>
      <c r="G24" s="1"/>
      <c r="H24" s="1"/>
      <c r="I24" s="1"/>
      <c r="J24" s="1"/>
      <c r="K24" s="1"/>
      <c r="L24" s="1"/>
      <c r="M24" s="1"/>
      <c r="N24" s="1"/>
      <c r="T24" s="1"/>
    </row>
    <row r="25" spans="1:22" ht="19.95" customHeight="1">
      <c r="B25" s="1"/>
      <c r="C25" s="1"/>
      <c r="D25" s="1"/>
      <c r="E25" s="1"/>
      <c r="F25" s="1"/>
      <c r="G25" s="1"/>
      <c r="H25" s="1"/>
      <c r="I25" s="1"/>
      <c r="J25" s="1"/>
      <c r="K25" s="1"/>
      <c r="L25" s="1"/>
      <c r="M25" s="1"/>
      <c r="N25" s="1"/>
      <c r="T25" s="1"/>
    </row>
    <row r="26" spans="1:22" ht="19.95" customHeight="1">
      <c r="B26" s="1"/>
      <c r="C26" s="1"/>
      <c r="D26" s="1"/>
      <c r="E26" s="1"/>
      <c r="F26" s="1"/>
      <c r="G26" s="1"/>
      <c r="H26" s="1"/>
      <c r="I26" s="1"/>
      <c r="J26" s="1"/>
      <c r="K26" s="1"/>
      <c r="L26" s="1"/>
      <c r="M26" s="1"/>
      <c r="N26" s="1"/>
      <c r="T26" s="1"/>
    </row>
  </sheetData>
  <mergeCells count="15">
    <mergeCell ref="A1:V1"/>
    <mergeCell ref="A2:V2"/>
    <mergeCell ref="M7:M8"/>
    <mergeCell ref="U7:U8"/>
    <mergeCell ref="V7:V8"/>
    <mergeCell ref="T7:T8"/>
    <mergeCell ref="S7:S8"/>
    <mergeCell ref="G7:H7"/>
    <mergeCell ref="I7:L7"/>
    <mergeCell ref="O7:R7"/>
    <mergeCell ref="C7:E7"/>
    <mergeCell ref="B7:B8"/>
    <mergeCell ref="N7:N8"/>
    <mergeCell ref="A7:A8"/>
    <mergeCell ref="F7:F8"/>
  </mergeCells>
  <phoneticPr fontId="16" type="noConversion"/>
  <dataValidations count="1">
    <dataValidation type="list" allowBlank="1" showInputMessage="1" showErrorMessage="1" sqref="S9:S13">
      <formula1>"关联方（合并范围内),关联方（合并范围外）,非关联方"</formula1>
    </dataValidation>
  </dataValidations>
  <hyperlinks>
    <hyperlink ref="V3" location="底稿目录!A1" display="H9A"/>
  </hyperlinks>
  <printOptions horizontalCentered="1"/>
  <pageMargins left="0.39370078740157483" right="0.31496062992125984" top="0.47244094488188981" bottom="0.43307086614173229" header="0.39370078740157483" footer="0.27559055118110237"/>
  <pageSetup paperSize="9" scale="60" fitToHeight="5" orientation="landscape" blackAndWhite="1" cellComments="asDisplayed"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U27"/>
  <sheetViews>
    <sheetView view="pageBreakPreview" zoomScaleSheetLayoutView="100" workbookViewId="0">
      <selection sqref="A1:U1"/>
    </sheetView>
  </sheetViews>
  <sheetFormatPr defaultColWidth="9" defaultRowHeight="19.95" customHeight="1"/>
  <cols>
    <col min="1" max="1" width="17" style="27" customWidth="1"/>
    <col min="2" max="13" width="9" style="27"/>
    <col min="14" max="14" width="11.5" style="27" customWidth="1"/>
    <col min="15" max="19" width="9" style="27"/>
    <col min="20" max="20" width="10.09765625" style="27" customWidth="1"/>
    <col min="21" max="16384" width="9" style="27"/>
  </cols>
  <sheetData>
    <row r="1" spans="1:21" s="96" customFormat="1" ht="19.95" customHeight="1">
      <c r="A1" s="188" t="s">
        <v>120</v>
      </c>
      <c r="B1" s="188"/>
      <c r="C1" s="188"/>
      <c r="D1" s="188"/>
      <c r="E1" s="188"/>
      <c r="F1" s="188"/>
      <c r="G1" s="188"/>
      <c r="H1" s="188"/>
      <c r="I1" s="188"/>
      <c r="J1" s="188"/>
      <c r="K1" s="188"/>
      <c r="L1" s="188"/>
      <c r="M1" s="188"/>
      <c r="N1" s="188"/>
      <c r="O1" s="188"/>
      <c r="P1" s="188"/>
      <c r="Q1" s="188"/>
      <c r="R1" s="188"/>
      <c r="S1" s="188"/>
      <c r="T1" s="188"/>
      <c r="U1" s="188"/>
    </row>
    <row r="2" spans="1:21" s="101" customFormat="1" ht="19.95" customHeight="1">
      <c r="A2" s="189" t="s">
        <v>123</v>
      </c>
      <c r="B2" s="189"/>
      <c r="C2" s="189"/>
      <c r="D2" s="189"/>
      <c r="E2" s="189"/>
      <c r="F2" s="189"/>
      <c r="G2" s="189"/>
      <c r="H2" s="189"/>
      <c r="I2" s="189"/>
      <c r="J2" s="189"/>
      <c r="K2" s="189"/>
      <c r="L2" s="189"/>
      <c r="M2" s="189"/>
      <c r="N2" s="189"/>
      <c r="O2" s="189"/>
      <c r="P2" s="189"/>
      <c r="Q2" s="189"/>
      <c r="R2" s="189"/>
      <c r="S2" s="189"/>
      <c r="T2" s="189"/>
      <c r="U2" s="189"/>
    </row>
    <row r="3" spans="1:21" ht="19.95" customHeight="1">
      <c r="A3" s="1" t="str">
        <f>底稿目录!A2</f>
        <v>被审计单位：</v>
      </c>
      <c r="B3" s="1"/>
      <c r="C3" s="1"/>
      <c r="D3" s="1"/>
      <c r="E3" s="8"/>
      <c r="G3" s="1" t="str">
        <f>底稿目录!A4</f>
        <v>编制人：</v>
      </c>
      <c r="H3" s="1"/>
      <c r="I3" s="1"/>
      <c r="J3" s="1"/>
      <c r="K3" s="1"/>
      <c r="L3" s="1"/>
      <c r="M3" s="32" t="str">
        <f>底稿目录!A6</f>
        <v>编制日期：</v>
      </c>
      <c r="N3" s="1"/>
      <c r="P3" s="32"/>
      <c r="Q3" s="8"/>
      <c r="R3" s="8"/>
      <c r="T3" s="114" t="s">
        <v>131</v>
      </c>
      <c r="U3" s="82" t="s">
        <v>63</v>
      </c>
    </row>
    <row r="4" spans="1:21" ht="19.95" customHeight="1">
      <c r="A4" s="1" t="str">
        <f>底稿目录!A3</f>
        <v>截止日：202X年12月31日</v>
      </c>
      <c r="B4" s="1"/>
      <c r="C4" s="1"/>
      <c r="D4" s="1"/>
      <c r="E4" s="8"/>
      <c r="G4" s="1" t="str">
        <f>底稿目录!A5</f>
        <v>复核人：</v>
      </c>
      <c r="H4" s="1"/>
      <c r="I4" s="1"/>
      <c r="J4" s="1"/>
      <c r="K4" s="1"/>
      <c r="L4" s="1"/>
      <c r="M4" s="32" t="str">
        <f>底稿目录!A7</f>
        <v>复核日期：</v>
      </c>
      <c r="N4" s="1"/>
      <c r="P4" s="32"/>
      <c r="Q4" s="8"/>
      <c r="R4" s="8"/>
      <c r="T4" s="114" t="s">
        <v>132</v>
      </c>
      <c r="U4" s="83"/>
    </row>
    <row r="5" spans="1:21" s="157" customFormat="1" ht="33" customHeight="1">
      <c r="A5" s="212" t="s">
        <v>109</v>
      </c>
      <c r="B5" s="212"/>
      <c r="C5" s="212"/>
      <c r="D5" s="212"/>
      <c r="E5" s="212"/>
      <c r="F5" s="212"/>
      <c r="G5" s="212"/>
      <c r="H5" s="212"/>
      <c r="I5" s="212"/>
      <c r="J5" s="212"/>
      <c r="K5" s="212"/>
      <c r="L5" s="212"/>
      <c r="M5" s="212"/>
      <c r="N5" s="212"/>
      <c r="O5" s="212"/>
      <c r="P5" s="212"/>
      <c r="Q5" s="212"/>
      <c r="R5" s="212"/>
      <c r="S5" s="212"/>
      <c r="T5" s="212"/>
      <c r="U5" s="212"/>
    </row>
    <row r="6" spans="1:21" s="157" customFormat="1" ht="19.95" customHeight="1">
      <c r="A6" s="153" t="s">
        <v>110</v>
      </c>
      <c r="B6" s="154"/>
      <c r="C6" s="154"/>
      <c r="D6" s="154"/>
      <c r="E6" s="155"/>
      <c r="F6" s="154"/>
      <c r="G6" s="154"/>
      <c r="H6" s="154"/>
      <c r="I6" s="154"/>
      <c r="J6" s="154"/>
      <c r="K6" s="154"/>
      <c r="L6" s="154"/>
      <c r="M6" s="154"/>
      <c r="N6" s="154"/>
      <c r="O6" s="154"/>
      <c r="P6" s="154"/>
      <c r="Q6" s="155"/>
      <c r="R6" s="155"/>
      <c r="S6" s="154"/>
      <c r="T6" s="154"/>
      <c r="U6" s="155"/>
    </row>
    <row r="7" spans="1:21" s="148" customFormat="1" ht="19.95" customHeight="1">
      <c r="A7" s="203" t="s">
        <v>187</v>
      </c>
      <c r="B7" s="201" t="s">
        <v>219</v>
      </c>
      <c r="C7" s="204" t="s">
        <v>220</v>
      </c>
      <c r="D7" s="210"/>
      <c r="E7" s="211"/>
      <c r="F7" s="208" t="s">
        <v>216</v>
      </c>
      <c r="G7" s="209"/>
      <c r="H7" s="204" t="s">
        <v>217</v>
      </c>
      <c r="I7" s="205"/>
      <c r="J7" s="204" t="s">
        <v>192</v>
      </c>
      <c r="K7" s="206"/>
      <c r="L7" s="206"/>
      <c r="M7" s="205"/>
      <c r="N7" s="201" t="s">
        <v>221</v>
      </c>
      <c r="O7" s="201" t="s">
        <v>218</v>
      </c>
      <c r="P7" s="204" t="s">
        <v>215</v>
      </c>
      <c r="Q7" s="206"/>
      <c r="R7" s="206"/>
      <c r="S7" s="205"/>
      <c r="T7" s="201" t="s">
        <v>222</v>
      </c>
      <c r="U7" s="203" t="s">
        <v>194</v>
      </c>
    </row>
    <row r="8" spans="1:21" s="148" customFormat="1" ht="19.95" customHeight="1">
      <c r="A8" s="203"/>
      <c r="B8" s="207"/>
      <c r="C8" s="34" t="s">
        <v>223</v>
      </c>
      <c r="D8" s="34" t="s">
        <v>205</v>
      </c>
      <c r="E8" s="34" t="s">
        <v>224</v>
      </c>
      <c r="F8" s="146" t="s">
        <v>196</v>
      </c>
      <c r="G8" s="146" t="s">
        <v>197</v>
      </c>
      <c r="H8" s="146" t="s">
        <v>196</v>
      </c>
      <c r="I8" s="146" t="s">
        <v>197</v>
      </c>
      <c r="J8" s="34" t="s">
        <v>225</v>
      </c>
      <c r="K8" s="34" t="s">
        <v>226</v>
      </c>
      <c r="L8" s="34" t="s">
        <v>227</v>
      </c>
      <c r="M8" s="34" t="s">
        <v>195</v>
      </c>
      <c r="N8" s="202"/>
      <c r="O8" s="207"/>
      <c r="P8" s="147" t="s">
        <v>188</v>
      </c>
      <c r="Q8" s="147" t="s">
        <v>189</v>
      </c>
      <c r="R8" s="147" t="s">
        <v>190</v>
      </c>
      <c r="S8" s="147" t="s">
        <v>200</v>
      </c>
      <c r="T8" s="202"/>
      <c r="U8" s="203"/>
    </row>
    <row r="9" spans="1:21" ht="22.2" customHeight="1">
      <c r="A9" s="108">
        <f>'租赁负债明细表H9-2'!A9</f>
        <v>0</v>
      </c>
      <c r="B9" s="9"/>
      <c r="C9" s="9"/>
      <c r="D9" s="9"/>
      <c r="E9" s="24">
        <f>B9+C9-D9</f>
        <v>0</v>
      </c>
      <c r="F9" s="10"/>
      <c r="G9" s="10"/>
      <c r="H9" s="10"/>
      <c r="I9" s="10"/>
      <c r="J9" s="24">
        <f>B9</f>
        <v>0</v>
      </c>
      <c r="K9" s="24">
        <f>C9+F9+H9</f>
        <v>0</v>
      </c>
      <c r="L9" s="24">
        <f>D9+G9+I9</f>
        <v>0</v>
      </c>
      <c r="M9" s="24">
        <f>J9+K9-L9</f>
        <v>0</v>
      </c>
      <c r="N9" s="28"/>
      <c r="O9" s="24">
        <f>M9-N9</f>
        <v>0</v>
      </c>
      <c r="P9" s="28"/>
      <c r="Q9" s="28"/>
      <c r="R9" s="28"/>
      <c r="S9" s="28"/>
      <c r="T9" s="9"/>
      <c r="U9" s="4"/>
    </row>
    <row r="10" spans="1:21" ht="19.95" customHeight="1">
      <c r="A10" s="108">
        <f>'租赁负债明细表H9-2'!A10</f>
        <v>0</v>
      </c>
      <c r="B10" s="9"/>
      <c r="C10" s="9"/>
      <c r="D10" s="9"/>
      <c r="E10" s="24"/>
      <c r="F10" s="10"/>
      <c r="G10" s="10"/>
      <c r="H10" s="10"/>
      <c r="I10" s="10"/>
      <c r="J10" s="24">
        <f t="shared" ref="J10:J13" si="0">B10</f>
        <v>0</v>
      </c>
      <c r="K10" s="24">
        <f t="shared" ref="K10:L13" si="1">C10+F10+H10</f>
        <v>0</v>
      </c>
      <c r="L10" s="24">
        <f t="shared" si="1"/>
        <v>0</v>
      </c>
      <c r="M10" s="24">
        <f t="shared" ref="M10:M13" si="2">J10+K10-L10</f>
        <v>0</v>
      </c>
      <c r="N10" s="28"/>
      <c r="O10" s="24">
        <f>M10-N10</f>
        <v>0</v>
      </c>
      <c r="P10" s="28"/>
      <c r="Q10" s="28"/>
      <c r="R10" s="28"/>
      <c r="S10" s="28"/>
      <c r="T10" s="9"/>
      <c r="U10" s="4"/>
    </row>
    <row r="11" spans="1:21" ht="19.95" customHeight="1">
      <c r="A11" s="108">
        <f>'租赁负债明细表H9-2'!A11</f>
        <v>0</v>
      </c>
      <c r="B11" s="9"/>
      <c r="C11" s="9"/>
      <c r="D11" s="9"/>
      <c r="E11" s="24"/>
      <c r="F11" s="10"/>
      <c r="G11" s="10"/>
      <c r="H11" s="10"/>
      <c r="I11" s="10"/>
      <c r="J11" s="24">
        <f t="shared" si="0"/>
        <v>0</v>
      </c>
      <c r="K11" s="24">
        <f t="shared" si="1"/>
        <v>0</v>
      </c>
      <c r="L11" s="24">
        <f t="shared" si="1"/>
        <v>0</v>
      </c>
      <c r="M11" s="24">
        <f t="shared" si="2"/>
        <v>0</v>
      </c>
      <c r="N11" s="28"/>
      <c r="O11" s="24">
        <f>M11-N11</f>
        <v>0</v>
      </c>
      <c r="P11" s="28"/>
      <c r="Q11" s="28"/>
      <c r="R11" s="28"/>
      <c r="S11" s="28"/>
      <c r="T11" s="9"/>
      <c r="U11" s="4"/>
    </row>
    <row r="12" spans="1:21" ht="19.95" customHeight="1">
      <c r="A12" s="108">
        <f>'租赁负债明细表H9-2'!A12</f>
        <v>0</v>
      </c>
      <c r="B12" s="9"/>
      <c r="C12" s="9"/>
      <c r="D12" s="9"/>
      <c r="E12" s="24"/>
      <c r="F12" s="10"/>
      <c r="G12" s="10"/>
      <c r="H12" s="10"/>
      <c r="I12" s="10"/>
      <c r="J12" s="24">
        <f t="shared" si="0"/>
        <v>0</v>
      </c>
      <c r="K12" s="24">
        <f t="shared" si="1"/>
        <v>0</v>
      </c>
      <c r="L12" s="24">
        <f t="shared" si="1"/>
        <v>0</v>
      </c>
      <c r="M12" s="24">
        <f t="shared" si="2"/>
        <v>0</v>
      </c>
      <c r="N12" s="28"/>
      <c r="O12" s="24">
        <f>M12-N12</f>
        <v>0</v>
      </c>
      <c r="P12" s="28"/>
      <c r="Q12" s="28"/>
      <c r="R12" s="28"/>
      <c r="S12" s="28"/>
      <c r="T12" s="9"/>
      <c r="U12" s="4"/>
    </row>
    <row r="13" spans="1:21" ht="19.95" customHeight="1">
      <c r="A13" s="108">
        <f>'租赁负债明细表H9-2'!A13</f>
        <v>0</v>
      </c>
      <c r="B13" s="9"/>
      <c r="C13" s="9"/>
      <c r="D13" s="9"/>
      <c r="E13" s="24"/>
      <c r="F13" s="10"/>
      <c r="G13" s="10"/>
      <c r="H13" s="10"/>
      <c r="I13" s="10"/>
      <c r="J13" s="24">
        <f t="shared" si="0"/>
        <v>0</v>
      </c>
      <c r="K13" s="24">
        <f t="shared" si="1"/>
        <v>0</v>
      </c>
      <c r="L13" s="24">
        <f t="shared" si="1"/>
        <v>0</v>
      </c>
      <c r="M13" s="24">
        <f t="shared" si="2"/>
        <v>0</v>
      </c>
      <c r="N13" s="28"/>
      <c r="O13" s="24">
        <f>M13-N13</f>
        <v>0</v>
      </c>
      <c r="P13" s="28"/>
      <c r="Q13" s="28"/>
      <c r="R13" s="28"/>
      <c r="S13" s="28"/>
      <c r="T13" s="9"/>
      <c r="U13" s="4"/>
    </row>
    <row r="14" spans="1:21" s="109" customFormat="1" ht="19.95" customHeight="1">
      <c r="A14" s="110" t="s">
        <v>108</v>
      </c>
      <c r="B14" s="67">
        <f>SUM(B9:B13)</f>
        <v>0</v>
      </c>
      <c r="C14" s="67">
        <f t="shared" ref="C14:S14" si="3">SUM(C9:C13)</f>
        <v>0</v>
      </c>
      <c r="D14" s="67">
        <f t="shared" si="3"/>
        <v>0</v>
      </c>
      <c r="E14" s="67">
        <f t="shared" si="3"/>
        <v>0</v>
      </c>
      <c r="F14" s="67">
        <f t="shared" si="3"/>
        <v>0</v>
      </c>
      <c r="G14" s="67">
        <f t="shared" si="3"/>
        <v>0</v>
      </c>
      <c r="H14" s="67">
        <f t="shared" si="3"/>
        <v>0</v>
      </c>
      <c r="I14" s="67">
        <f t="shared" si="3"/>
        <v>0</v>
      </c>
      <c r="J14" s="67">
        <f t="shared" si="3"/>
        <v>0</v>
      </c>
      <c r="K14" s="67">
        <f t="shared" si="3"/>
        <v>0</v>
      </c>
      <c r="L14" s="67">
        <f t="shared" si="3"/>
        <v>0</v>
      </c>
      <c r="M14" s="67">
        <f t="shared" si="3"/>
        <v>0</v>
      </c>
      <c r="N14" s="67">
        <f t="shared" si="3"/>
        <v>0</v>
      </c>
      <c r="O14" s="67">
        <f t="shared" si="3"/>
        <v>0</v>
      </c>
      <c r="P14" s="67">
        <f>SUM(P9:P13)</f>
        <v>0</v>
      </c>
      <c r="Q14" s="67">
        <f t="shared" si="3"/>
        <v>0</v>
      </c>
      <c r="R14" s="67">
        <f t="shared" si="3"/>
        <v>0</v>
      </c>
      <c r="S14" s="67">
        <f t="shared" si="3"/>
        <v>0</v>
      </c>
      <c r="T14" s="67"/>
      <c r="U14" s="67"/>
    </row>
    <row r="15" spans="1:21" ht="19.95" customHeight="1">
      <c r="A15" s="29" t="s">
        <v>21</v>
      </c>
      <c r="B15" s="17"/>
      <c r="C15" s="17"/>
      <c r="D15" s="17"/>
      <c r="E15" s="17"/>
      <c r="F15" s="26"/>
      <c r="G15" s="26"/>
      <c r="H15" s="26"/>
      <c r="I15" s="26"/>
      <c r="J15" s="26"/>
      <c r="K15" s="26"/>
      <c r="L15" s="26"/>
      <c r="M15" s="26"/>
      <c r="N15" s="26"/>
      <c r="O15" s="26"/>
      <c r="P15" s="26"/>
      <c r="Q15" s="26"/>
      <c r="R15" s="26"/>
      <c r="S15" s="26"/>
      <c r="T15" s="26"/>
      <c r="U15" s="26"/>
    </row>
    <row r="16" spans="1:21" ht="19.95" customHeight="1">
      <c r="A16" s="149" t="s">
        <v>214</v>
      </c>
      <c r="B16" s="1"/>
      <c r="C16" s="1"/>
      <c r="D16" s="1"/>
      <c r="E16" s="1"/>
    </row>
    <row r="17" spans="1:5" ht="19.95" customHeight="1">
      <c r="A17" s="16"/>
      <c r="B17" s="1"/>
      <c r="C17" s="1"/>
      <c r="D17" s="1"/>
      <c r="E17" s="1"/>
    </row>
    <row r="18" spans="1:5" ht="19.95" customHeight="1">
      <c r="A18" s="1"/>
      <c r="B18" s="1"/>
      <c r="C18" s="1"/>
      <c r="D18" s="1"/>
      <c r="E18" s="1"/>
    </row>
    <row r="19" spans="1:5" ht="19.95" customHeight="1">
      <c r="A19" s="16" t="s">
        <v>22</v>
      </c>
      <c r="B19" s="1"/>
      <c r="C19" s="1"/>
      <c r="D19" s="1"/>
      <c r="E19" s="1"/>
    </row>
    <row r="23" spans="1:5" ht="19.95" customHeight="1">
      <c r="A23" s="121" t="s">
        <v>144</v>
      </c>
    </row>
    <row r="24" spans="1:5" ht="19.95" customHeight="1">
      <c r="A24" s="122" t="s">
        <v>57</v>
      </c>
    </row>
    <row r="25" spans="1:5" ht="19.95" customHeight="1">
      <c r="A25" s="123" t="s">
        <v>58</v>
      </c>
    </row>
    <row r="26" spans="1:5" ht="19.95" customHeight="1">
      <c r="A26" s="121" t="s">
        <v>145</v>
      </c>
    </row>
    <row r="27" spans="1:5" ht="19.95" customHeight="1">
      <c r="A27" s="121"/>
    </row>
  </sheetData>
  <mergeCells count="14">
    <mergeCell ref="O7:O8"/>
    <mergeCell ref="U7:U8"/>
    <mergeCell ref="T7:T8"/>
    <mergeCell ref="A1:U1"/>
    <mergeCell ref="A2:U2"/>
    <mergeCell ref="A7:A8"/>
    <mergeCell ref="F7:G7"/>
    <mergeCell ref="H7:I7"/>
    <mergeCell ref="J7:M7"/>
    <mergeCell ref="N7:N8"/>
    <mergeCell ref="P7:S7"/>
    <mergeCell ref="C7:E7"/>
    <mergeCell ref="B7:B8"/>
    <mergeCell ref="A5:U5"/>
  </mergeCells>
  <phoneticPr fontId="13" type="noConversion"/>
  <dataValidations count="1">
    <dataValidation type="list" allowBlank="1" showInputMessage="1" showErrorMessage="1" sqref="T9:T13">
      <formula1>"关联方（合并范围内),关联方（合并范围外）,非关联方"</formula1>
    </dataValidation>
  </dataValidations>
  <hyperlinks>
    <hyperlink ref="U3" location="底稿目录!A1" display="H9A"/>
  </hyperlinks>
  <pageMargins left="0.70866141732283472" right="0.70866141732283472" top="0.74803149606299213" bottom="0.74803149606299213" header="0.31496062992125984" footer="0.31496062992125984"/>
  <pageSetup paperSize="9" scale="61" fitToHeight="0"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J23"/>
  <sheetViews>
    <sheetView view="pageBreakPreview" zoomScaleNormal="100" zoomScaleSheetLayoutView="100" workbookViewId="0">
      <selection activeCell="J3" sqref="J3"/>
    </sheetView>
  </sheetViews>
  <sheetFormatPr defaultColWidth="9" defaultRowHeight="19.95" customHeight="1"/>
  <cols>
    <col min="1" max="1" width="20.69921875" style="92" customWidth="1"/>
    <col min="2" max="2" width="15.796875" style="92" customWidth="1"/>
    <col min="3" max="3" width="13.19921875" style="92" customWidth="1"/>
    <col min="4" max="4" width="13.8984375" style="92" customWidth="1"/>
    <col min="5" max="5" width="11.19921875" style="92" customWidth="1"/>
    <col min="6" max="6" width="10.59765625" style="92" customWidth="1"/>
    <col min="7" max="7" width="10.296875" style="92" customWidth="1"/>
    <col min="8" max="8" width="11.09765625" style="92" customWidth="1"/>
    <col min="9" max="16384" width="9" style="92"/>
  </cols>
  <sheetData>
    <row r="1" spans="1:10" ht="19.95" customHeight="1">
      <c r="A1" s="213" t="s">
        <v>120</v>
      </c>
      <c r="B1" s="213"/>
      <c r="C1" s="213"/>
      <c r="D1" s="213"/>
      <c r="E1" s="213"/>
      <c r="F1" s="213"/>
      <c r="G1" s="213"/>
      <c r="H1" s="213"/>
      <c r="I1" s="213"/>
      <c r="J1" s="213"/>
    </row>
    <row r="2" spans="1:10" ht="19.95" customHeight="1">
      <c r="A2" s="214" t="s">
        <v>127</v>
      </c>
      <c r="B2" s="214"/>
      <c r="C2" s="214"/>
      <c r="D2" s="214"/>
      <c r="E2" s="214"/>
      <c r="F2" s="214"/>
      <c r="G2" s="214"/>
      <c r="H2" s="214"/>
      <c r="I2" s="214"/>
      <c r="J2" s="214"/>
    </row>
    <row r="3" spans="1:10" ht="19.95" customHeight="1">
      <c r="A3" s="35" t="str">
        <f>底稿目录!A2</f>
        <v>被审计单位：</v>
      </c>
      <c r="B3" s="35"/>
      <c r="C3" s="35"/>
      <c r="D3" s="35" t="str">
        <f>底稿目录!A4</f>
        <v>编制人：</v>
      </c>
      <c r="E3" s="35"/>
      <c r="F3" s="36"/>
      <c r="G3" s="35" t="str">
        <f>底稿目录!A6</f>
        <v>编制日期：</v>
      </c>
      <c r="H3" s="35"/>
      <c r="I3" s="114" t="s">
        <v>131</v>
      </c>
      <c r="J3" s="82" t="s">
        <v>65</v>
      </c>
    </row>
    <row r="4" spans="1:10" ht="19.95" customHeight="1">
      <c r="A4" s="35" t="str">
        <f>底稿目录!A3</f>
        <v>截止日：202X年12月31日</v>
      </c>
      <c r="B4" s="35"/>
      <c r="C4" s="35"/>
      <c r="D4" s="35" t="str">
        <f>底稿目录!A5</f>
        <v>复核人：</v>
      </c>
      <c r="E4" s="35"/>
      <c r="F4" s="36"/>
      <c r="G4" s="35" t="str">
        <f>底稿目录!A7</f>
        <v>复核日期：</v>
      </c>
      <c r="H4" s="35"/>
      <c r="I4" s="114" t="s">
        <v>132</v>
      </c>
      <c r="J4" s="83"/>
    </row>
    <row r="5" spans="1:10" ht="27.6">
      <c r="A5" s="93" t="s">
        <v>111</v>
      </c>
      <c r="B5" s="93" t="s">
        <v>112</v>
      </c>
      <c r="C5" s="158" t="s">
        <v>113</v>
      </c>
      <c r="D5" s="94" t="s">
        <v>114</v>
      </c>
      <c r="E5" s="94" t="s">
        <v>115</v>
      </c>
      <c r="F5" s="38" t="s">
        <v>16</v>
      </c>
      <c r="G5" s="94" t="s">
        <v>116</v>
      </c>
      <c r="H5" s="94" t="s">
        <v>117</v>
      </c>
      <c r="I5" s="94" t="s">
        <v>118</v>
      </c>
      <c r="J5" s="94" t="s">
        <v>119</v>
      </c>
    </row>
    <row r="6" spans="1:10" ht="19.95" customHeight="1">
      <c r="A6" s="95"/>
      <c r="B6" s="95"/>
      <c r="C6" s="95"/>
      <c r="D6" s="95"/>
      <c r="E6" s="95"/>
      <c r="F6" s="95"/>
      <c r="G6" s="111"/>
      <c r="H6" s="111"/>
      <c r="I6" s="112"/>
      <c r="J6" s="95"/>
    </row>
    <row r="7" spans="1:10" ht="19.95" customHeight="1">
      <c r="A7" s="95"/>
      <c r="B7" s="95"/>
      <c r="C7" s="95"/>
      <c r="D7" s="95"/>
      <c r="E7" s="95"/>
      <c r="F7" s="95"/>
      <c r="G7" s="111"/>
      <c r="H7" s="111"/>
      <c r="I7" s="112"/>
      <c r="J7" s="95"/>
    </row>
    <row r="8" spans="1:10" ht="19.95" customHeight="1">
      <c r="A8" s="95"/>
      <c r="B8" s="95"/>
      <c r="C8" s="95"/>
      <c r="D8" s="95"/>
      <c r="E8" s="95"/>
      <c r="F8" s="95"/>
      <c r="G8" s="111"/>
      <c r="H8" s="111"/>
      <c r="I8" s="112"/>
      <c r="J8" s="95"/>
    </row>
    <row r="9" spans="1:10" ht="19.95" customHeight="1">
      <c r="A9" s="95"/>
      <c r="B9" s="95"/>
      <c r="C9" s="95"/>
      <c r="D9" s="95"/>
      <c r="E9" s="95"/>
      <c r="F9" s="95"/>
      <c r="G9" s="111"/>
      <c r="H9" s="111"/>
      <c r="I9" s="112"/>
      <c r="J9" s="95"/>
    </row>
    <row r="10" spans="1:10" ht="19.95" customHeight="1">
      <c r="A10" s="95"/>
      <c r="B10" s="95"/>
      <c r="C10" s="95"/>
      <c r="D10" s="95"/>
      <c r="E10" s="95"/>
      <c r="F10" s="95"/>
      <c r="G10" s="111"/>
      <c r="H10" s="111"/>
      <c r="I10" s="112"/>
      <c r="J10" s="95"/>
    </row>
    <row r="11" spans="1:10" ht="19.95" customHeight="1">
      <c r="A11" s="95"/>
      <c r="B11" s="95"/>
      <c r="C11" s="95"/>
      <c r="D11" s="95"/>
      <c r="E11" s="95"/>
      <c r="F11" s="95"/>
      <c r="G11" s="111"/>
      <c r="H11" s="111"/>
      <c r="I11" s="112"/>
      <c r="J11" s="95"/>
    </row>
    <row r="12" spans="1:10" ht="19.95" customHeight="1">
      <c r="A12" s="95"/>
      <c r="B12" s="95"/>
      <c r="C12" s="95"/>
      <c r="D12" s="95"/>
      <c r="E12" s="95"/>
      <c r="F12" s="95"/>
      <c r="G12" s="111"/>
      <c r="H12" s="111"/>
      <c r="I12" s="112"/>
      <c r="J12" s="95"/>
    </row>
    <row r="13" spans="1:10" ht="19.95" customHeight="1">
      <c r="A13" s="95"/>
      <c r="B13" s="95"/>
      <c r="C13" s="95"/>
      <c r="D13" s="95"/>
      <c r="E13" s="95"/>
      <c r="F13" s="95"/>
      <c r="G13" s="111"/>
      <c r="H13" s="111"/>
      <c r="I13" s="112"/>
      <c r="J13" s="95"/>
    </row>
    <row r="14" spans="1:10" ht="19.95" customHeight="1">
      <c r="A14" s="95"/>
      <c r="B14" s="95"/>
      <c r="C14" s="95"/>
      <c r="D14" s="95"/>
      <c r="E14" s="95"/>
      <c r="F14" s="95"/>
      <c r="G14" s="111"/>
      <c r="H14" s="111"/>
      <c r="I14" s="112"/>
      <c r="J14" s="95"/>
    </row>
    <row r="15" spans="1:10" ht="19.95" customHeight="1">
      <c r="A15" s="95"/>
      <c r="B15" s="95"/>
      <c r="C15" s="95"/>
      <c r="D15" s="95"/>
      <c r="E15" s="95"/>
      <c r="F15" s="95"/>
      <c r="G15" s="111"/>
      <c r="H15" s="111"/>
      <c r="I15" s="112"/>
      <c r="J15" s="95"/>
    </row>
    <row r="16" spans="1:10" ht="19.95" customHeight="1">
      <c r="A16" s="95"/>
      <c r="B16" s="95"/>
      <c r="C16" s="95"/>
      <c r="D16" s="95"/>
      <c r="E16" s="95"/>
      <c r="F16" s="95"/>
      <c r="G16" s="111"/>
      <c r="H16" s="111"/>
      <c r="I16" s="112"/>
      <c r="J16" s="95"/>
    </row>
    <row r="17" spans="1:10" ht="19.95" customHeight="1">
      <c r="A17" s="95"/>
      <c r="B17" s="95"/>
      <c r="C17" s="95"/>
      <c r="D17" s="95"/>
      <c r="E17" s="95"/>
      <c r="F17" s="95"/>
      <c r="G17" s="111"/>
      <c r="H17" s="111"/>
      <c r="I17" s="112"/>
      <c r="J17" s="95"/>
    </row>
    <row r="18" spans="1:10" ht="19.95" customHeight="1">
      <c r="A18" s="95"/>
      <c r="B18" s="95"/>
      <c r="C18" s="95"/>
      <c r="D18" s="95"/>
      <c r="E18" s="95"/>
      <c r="F18" s="95"/>
      <c r="G18" s="111"/>
      <c r="H18" s="111"/>
      <c r="I18" s="112"/>
      <c r="J18" s="95"/>
    </row>
    <row r="19" spans="1:10" ht="19.95" customHeight="1">
      <c r="A19" s="95"/>
      <c r="B19" s="95"/>
      <c r="C19" s="95"/>
      <c r="D19" s="95"/>
      <c r="E19" s="95"/>
      <c r="F19" s="95"/>
      <c r="G19" s="111"/>
      <c r="H19" s="111"/>
      <c r="I19" s="112"/>
      <c r="J19" s="95"/>
    </row>
    <row r="20" spans="1:10" ht="19.95" customHeight="1">
      <c r="A20" s="95"/>
      <c r="B20" s="95"/>
      <c r="C20" s="95"/>
      <c r="D20" s="95"/>
      <c r="E20" s="95"/>
      <c r="F20" s="95"/>
      <c r="G20" s="111"/>
      <c r="H20" s="111"/>
      <c r="I20" s="112"/>
      <c r="J20" s="95"/>
    </row>
    <row r="21" spans="1:10" ht="19.95" customHeight="1">
      <c r="A21" s="39"/>
      <c r="B21" s="39"/>
      <c r="C21" s="68"/>
      <c r="D21" s="40"/>
      <c r="E21" s="40"/>
      <c r="F21" s="40"/>
      <c r="G21" s="41"/>
      <c r="H21" s="41"/>
      <c r="I21" s="40"/>
      <c r="J21" s="42"/>
    </row>
    <row r="22" spans="1:10" ht="19.95" customHeight="1">
      <c r="A22" s="37"/>
      <c r="B22" s="37"/>
      <c r="C22" s="37"/>
      <c r="D22" s="37"/>
      <c r="E22" s="43"/>
      <c r="F22" s="44"/>
      <c r="G22" s="45"/>
      <c r="H22" s="45"/>
      <c r="I22" s="45"/>
      <c r="J22" s="45"/>
    </row>
    <row r="23" spans="1:10" ht="19.95" customHeight="1">
      <c r="A23" s="116" t="s">
        <v>142</v>
      </c>
      <c r="B23" s="42"/>
      <c r="C23" s="42"/>
      <c r="D23" s="37"/>
      <c r="E23" s="37"/>
      <c r="F23" s="37"/>
      <c r="G23" s="37"/>
      <c r="H23" s="37"/>
      <c r="I23" s="37"/>
      <c r="J23" s="37"/>
    </row>
  </sheetData>
  <mergeCells count="2">
    <mergeCell ref="A1:J1"/>
    <mergeCell ref="A2:J2"/>
  </mergeCells>
  <phoneticPr fontId="13" type="noConversion"/>
  <dataValidations count="1">
    <dataValidation type="list" allowBlank="1" showInputMessage="1" showErrorMessage="1" sqref="B6:B20">
      <formula1>"账项调整,报表调整,其他"</formula1>
    </dataValidation>
  </dataValidations>
  <hyperlinks>
    <hyperlink ref="J3" location="底稿目录!A1" display="H9A"/>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7</vt:i4>
      </vt:variant>
    </vt:vector>
  </HeadingPairs>
  <TitlesOfParts>
    <vt:vector size="16" baseType="lpstr">
      <vt:lpstr>底稿目录</vt:lpstr>
      <vt:lpstr>租赁负债实质性程序表H9A</vt:lpstr>
      <vt:lpstr>审定表H9-1</vt:lpstr>
      <vt:lpstr>附注披露信息（上市公司）</vt:lpstr>
      <vt:lpstr>附注披露信息（国企）</vt:lpstr>
      <vt:lpstr>租赁负债明细表H9-2</vt:lpstr>
      <vt:lpstr>未确认融资费用明细表H9-3</vt:lpstr>
      <vt:lpstr>调整分录汇总H9-4</vt:lpstr>
      <vt:lpstr>GT_Custom</vt:lpstr>
      <vt:lpstr>'调整分录汇总H9-4'!Print_Area</vt:lpstr>
      <vt:lpstr>'附注披露信息（国企）'!Print_Area</vt:lpstr>
      <vt:lpstr>'附注披露信息（上市公司）'!Print_Area</vt:lpstr>
      <vt:lpstr>'审定表H9-1'!Print_Area</vt:lpstr>
      <vt:lpstr>'未确认融资费用明细表H9-3'!Print_Area</vt:lpstr>
      <vt:lpstr>'租赁负债明细表H9-2'!Print_Area</vt:lpstr>
      <vt:lpstr>租赁负债实质性程序表H9A!Print_Area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2025-10-21T06:01:46Z</cp:lastPrinted>
  <dcterms:created xsi:type="dcterms:W3CDTF">2007-05-20T08:51:05Z</dcterms:created>
  <dcterms:modified xsi:type="dcterms:W3CDTF">2025-11-05T06:34:17Z</dcterms:modified>
</cp:coreProperties>
</file>