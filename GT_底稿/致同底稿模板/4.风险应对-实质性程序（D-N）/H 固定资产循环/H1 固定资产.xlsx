
<file path=[Content_Types].xml><?xml version="1.0" encoding="utf-8"?>
<Types xmlns="http://schemas.openxmlformats.org/package/2006/content-types">
  <Default Extension="bin" ContentType="application/vnd.openxmlformats-officedocument.spreadsheetml.printerSettings"/>
  <Default Extension="wmf" ContentType="image/x-wmf"/>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Objects="none" updateLinks="always"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120" yWindow="-120" windowWidth="20736" windowHeight="11160" tabRatio="893"/>
  </bookViews>
  <sheets>
    <sheet name="底稿目录" sheetId="18" r:id="rId1"/>
    <sheet name="固定资产审计程序表H1A" sheetId="39" r:id="rId2"/>
    <sheet name="审定表H1-1" sheetId="1" r:id="rId3"/>
    <sheet name="附注披露信息（上市公司）" sheetId="2" r:id="rId4"/>
    <sheet name="附注披露信息（国有企业）" sheetId="3" r:id="rId5"/>
    <sheet name="明细表H1-2" sheetId="4" r:id="rId6"/>
    <sheet name="调整分录汇总H1-3" sheetId="38" r:id="rId7"/>
    <sheet name="闲置检查表H1-4" sheetId="6" r:id="rId8"/>
    <sheet name="会计政策估计检查表H1-5" sheetId="30" r:id="rId9"/>
    <sheet name="分析表H1-6" sheetId="8" r:id="rId10"/>
    <sheet name="增加检查表H1-7" sheetId="9" r:id="rId11"/>
    <sheet name="减少检查表H1-8" sheetId="10" r:id="rId12"/>
    <sheet name="监盘计划H1-9" sheetId="33" r:id="rId13"/>
    <sheet name="盘点检查表H1-10" sheetId="15" r:id="rId14"/>
    <sheet name="监盘小结H1-11" sheetId="34" r:id="rId15"/>
    <sheet name="折旧测算表（不含减值）-直线法H1-12" sheetId="11" r:id="rId16"/>
    <sheet name="折旧测算表（含减值）H1-12" sheetId="12" r:id="rId17"/>
    <sheet name="折旧测算表（多次减值）H1-12" sheetId="35" r:id="rId18"/>
    <sheet name="折旧分配分析表H1-13" sheetId="31" r:id="rId19"/>
    <sheet name="减值测算表H1-14" sheetId="27" r:id="rId20"/>
    <sheet name="可收回金额测试表H1-15" sheetId="13" r:id="rId21"/>
    <sheet name="房屋建筑物权属检查表H1-16" sheetId="22" r:id="rId22"/>
    <sheet name="运输设备权属检查表H1-17" sheetId="23" r:id="rId23"/>
    <sheet name="关联交易检查表H1-18" sheetId="25" r:id="rId24"/>
    <sheet name="经营租出固定资产检查表H1-19" sheetId="26" r:id="rId25"/>
    <sheet name="融资租出固定资产检查表H1-20" sheetId="32" r:id="rId26"/>
  </sheets>
  <definedNames>
    <definedName name="_xlnm._FilterDatabase" localSheetId="1">固定资产审计程序表H1A!$A$16:$M$38</definedName>
    <definedName name="_xlnm.Print_Area" localSheetId="6">'调整分录汇总H1-3'!$A$1:$J$23</definedName>
    <definedName name="_xlnm.Print_Area" localSheetId="21">'房屋建筑物权属检查表H1-16'!$A$1:$V$27</definedName>
    <definedName name="_xlnm.Print_Area" localSheetId="9">'分析表H1-6'!$A$1:$F$25</definedName>
    <definedName name="_xlnm.Print_Area" localSheetId="4">'附注披露信息（国有企业）'!$A$1:$F$78</definedName>
    <definedName name="_xlnm.Print_Area" localSheetId="3">'附注披露信息（上市公司）'!$A$1:$G$94</definedName>
    <definedName name="_xlnm.Print_Area" localSheetId="1">固定资产审计程序表H1A!$A$1:$J$38</definedName>
    <definedName name="_xlnm.Print_Area" localSheetId="23">'关联交易检查表H1-18'!$A$1:$O$34</definedName>
    <definedName name="_xlnm.Print_Area" localSheetId="8">'会计政策估计检查表H1-5'!$A$1:$K$36</definedName>
    <definedName name="_xlnm.Print_Area" localSheetId="12">'监盘计划H1-9'!$A$1:$I$56</definedName>
    <definedName name="_xlnm.Print_Area" localSheetId="14">'监盘小结H1-11'!$A$1:$I$123</definedName>
    <definedName name="_xlnm.Print_Area" localSheetId="11">'减少检查表H1-8'!$A$1:$Z$37</definedName>
    <definedName name="_xlnm.Print_Area" localSheetId="19">'减值测算表H1-14'!$A$1:$M$34</definedName>
    <definedName name="_xlnm.Print_Area" localSheetId="24">'经营租出固定资产检查表H1-19'!$A$1:$V$24</definedName>
    <definedName name="_xlnm.Print_Area" localSheetId="20">'可收回金额测试表H1-15'!$A$1:$O$33</definedName>
    <definedName name="_xlnm.Print_Area" localSheetId="5">'明细表H1-2'!$A$1:$BB$45</definedName>
    <definedName name="_xlnm.Print_Area" localSheetId="13">'盘点检查表H1-10'!$A$1:$M$53</definedName>
    <definedName name="_xlnm.Print_Area" localSheetId="25">'融资租出固定资产检查表H1-20'!$A$1:$L$55</definedName>
    <definedName name="_xlnm.Print_Area" localSheetId="2">'审定表H1-1'!$A$1:$I$58</definedName>
    <definedName name="_xlnm.Print_Area" localSheetId="7">'闲置检查表H1-4'!$A$1:$J$29</definedName>
    <definedName name="_xlnm.Print_Area" localSheetId="22">'运输设备权属检查表H1-17'!$A$1:$R$24</definedName>
    <definedName name="_xlnm.Print_Area" localSheetId="10">'增加检查表H1-7'!$A$1:$W$40</definedName>
    <definedName name="_xlnm.Print_Area" localSheetId="15">'折旧测算表（不含减值）-直线法H1-12'!$A$1:$S$41</definedName>
    <definedName name="_xlnm.Print_Area" localSheetId="17">'折旧测算表（多次减值）H1-12'!$A$1:$AA$41</definedName>
    <definedName name="_xlnm.Print_Area" localSheetId="16">'折旧测算表（含减值）H1-12'!$A$1:$Y$41</definedName>
    <definedName name="_xlnm.Print_Area" localSheetId="18">'折旧分配分析表H1-13'!$A$1:$J$19</definedName>
    <definedName name="_xlnm.Print_Titles" localSheetId="1">固定资产审计程序表H1A!$15:$16</definedName>
    <definedName name="_xlnm.Print_Titles" localSheetId="5">'明细表H1-2'!$A:$C,'明细表H1-2'!$1:$8</definedName>
    <definedName name="_xlnm.Print_Titles" localSheetId="7">'闲置检查表H1-4'!$12:$12</definedName>
    <definedName name="_xlnm.Print_Titles" localSheetId="15">'折旧测算表（不含减值）-直线法H1-12'!$7:$8</definedName>
    <definedName name="_xlnm.Print_Titles" localSheetId="17">'折旧测算表（多次减值）H1-12'!$7:$8</definedName>
    <definedName name="_xlnm.Print_Titles" localSheetId="16">'折旧测算表（含减值）H1-12'!$7:$8</definedName>
  </definedNames>
  <calcPr calcId="162913"/>
</workbook>
</file>

<file path=xl/calcChain.xml><?xml version="1.0" encoding="utf-8"?>
<calcChain xmlns="http://schemas.openxmlformats.org/spreadsheetml/2006/main">
  <c r="L17" i="10" l="1"/>
  <c r="O17" i="10"/>
  <c r="L18" i="10"/>
  <c r="O18" i="10"/>
  <c r="L19" i="10"/>
  <c r="O19" i="10" s="1"/>
  <c r="L20" i="10"/>
  <c r="O20" i="10"/>
  <c r="L21" i="10"/>
  <c r="O21" i="10"/>
  <c r="L22" i="10"/>
  <c r="O22" i="10"/>
  <c r="L18" i="9"/>
  <c r="L19" i="9"/>
  <c r="L20" i="9"/>
  <c r="L21" i="9"/>
  <c r="L22" i="9"/>
  <c r="L23" i="9"/>
  <c r="L24" i="9"/>
  <c r="L25" i="9"/>
  <c r="G47" i="15" l="1"/>
  <c r="G29" i="15"/>
  <c r="T32" i="9" l="1"/>
  <c r="Q32" i="9"/>
  <c r="G3" i="6" l="1"/>
  <c r="E4" i="6"/>
  <c r="G3" i="38"/>
  <c r="D4" i="38"/>
  <c r="AT3" i="4"/>
  <c r="AN4" i="4"/>
  <c r="Z3" i="4"/>
  <c r="V4" i="4"/>
  <c r="L3" i="4"/>
  <c r="H4" i="4"/>
  <c r="G3" i="1"/>
  <c r="D4" i="1"/>
  <c r="E3" i="39"/>
  <c r="C4" i="39"/>
  <c r="E19" i="8"/>
  <c r="I45" i="15" l="1"/>
  <c r="H45" i="15"/>
  <c r="F45" i="15"/>
  <c r="I27" i="15"/>
  <c r="H27" i="15"/>
  <c r="F27" i="15"/>
  <c r="L17" i="15" l="1"/>
  <c r="K17" i="15"/>
  <c r="J17" i="15"/>
  <c r="E40" i="32" l="1"/>
  <c r="C42" i="33"/>
  <c r="E42" i="33"/>
  <c r="F42" i="33"/>
  <c r="G42" i="33"/>
  <c r="H42" i="33"/>
  <c r="I42" i="33"/>
  <c r="B42" i="33"/>
  <c r="D42" i="33"/>
  <c r="E16" i="8"/>
  <c r="V13" i="4" l="1"/>
  <c r="G45" i="15"/>
  <c r="L44" i="15"/>
  <c r="K44" i="15"/>
  <c r="J44" i="15"/>
  <c r="L43" i="15"/>
  <c r="K43" i="15"/>
  <c r="J43" i="15"/>
  <c r="L42" i="15"/>
  <c r="K42" i="15"/>
  <c r="J42" i="15"/>
  <c r="L41" i="15"/>
  <c r="K41" i="15"/>
  <c r="J41" i="15"/>
  <c r="L40" i="15"/>
  <c r="K40" i="15"/>
  <c r="J40" i="15"/>
  <c r="L39" i="15"/>
  <c r="K39" i="15"/>
  <c r="J39" i="15"/>
  <c r="L38" i="15"/>
  <c r="K38" i="15"/>
  <c r="J38" i="15"/>
  <c r="L37" i="15"/>
  <c r="K37" i="15"/>
  <c r="J37" i="15"/>
  <c r="L36" i="15"/>
  <c r="K36" i="15"/>
  <c r="J36" i="15"/>
  <c r="L35" i="15"/>
  <c r="K35" i="15"/>
  <c r="J35" i="15"/>
  <c r="L34" i="15"/>
  <c r="K34" i="15"/>
  <c r="J34" i="15"/>
  <c r="G27" i="15"/>
  <c r="L26" i="15"/>
  <c r="K26" i="15"/>
  <c r="J26" i="15"/>
  <c r="L25" i="15"/>
  <c r="K25" i="15"/>
  <c r="J25" i="15"/>
  <c r="L24" i="15"/>
  <c r="K24" i="15"/>
  <c r="J24" i="15"/>
  <c r="L23" i="15"/>
  <c r="K23" i="15"/>
  <c r="J23" i="15"/>
  <c r="L22" i="15"/>
  <c r="K22" i="15"/>
  <c r="J22" i="15"/>
  <c r="L21" i="15"/>
  <c r="K21" i="15"/>
  <c r="J21" i="15"/>
  <c r="L20" i="15"/>
  <c r="K20" i="15"/>
  <c r="J20" i="15"/>
  <c r="L19" i="15"/>
  <c r="K19" i="15"/>
  <c r="J19" i="15"/>
  <c r="L18" i="15"/>
  <c r="K18" i="15"/>
  <c r="J18" i="15"/>
  <c r="L27" i="15" l="1"/>
  <c r="J45" i="15"/>
  <c r="K27" i="15"/>
  <c r="K45" i="15"/>
  <c r="J27" i="15"/>
  <c r="L45" i="15"/>
  <c r="C17" i="22"/>
  <c r="D17" i="22"/>
  <c r="E17" i="22"/>
  <c r="F10" i="22"/>
  <c r="F11" i="22"/>
  <c r="F12" i="22"/>
  <c r="F13" i="22"/>
  <c r="F14" i="22"/>
  <c r="F15" i="22"/>
  <c r="F16" i="22"/>
  <c r="F9" i="22"/>
  <c r="F17" i="22" l="1"/>
  <c r="S9" i="26"/>
  <c r="I50" i="33"/>
  <c r="L9" i="12" l="1"/>
  <c r="M9" i="12" l="1"/>
  <c r="N9" i="12" l="1"/>
  <c r="O9" i="12" s="1"/>
  <c r="R9" i="12"/>
  <c r="H22" i="25"/>
  <c r="H23" i="25"/>
  <c r="H24" i="25"/>
  <c r="H25" i="25"/>
  <c r="H26" i="25"/>
  <c r="H21" i="25"/>
  <c r="E4" i="39" l="1"/>
  <c r="A4" i="39"/>
  <c r="C3" i="39"/>
  <c r="A3" i="39"/>
  <c r="U9" i="26" l="1"/>
  <c r="F9" i="23"/>
  <c r="M10" i="13"/>
  <c r="N10" i="13" s="1"/>
  <c r="B13" i="13"/>
  <c r="H10" i="27"/>
  <c r="I10" i="27" s="1"/>
  <c r="K10" i="27" s="1"/>
  <c r="E22" i="27"/>
  <c r="I8" i="31"/>
  <c r="C13" i="31"/>
  <c r="L28" i="12"/>
  <c r="M28" i="12" s="1"/>
  <c r="L27" i="12"/>
  <c r="M27" i="12" s="1"/>
  <c r="L26" i="12"/>
  <c r="M26" i="12" s="1"/>
  <c r="L25" i="12"/>
  <c r="M25" i="12" s="1"/>
  <c r="L9" i="11"/>
  <c r="N9" i="11" s="1"/>
  <c r="K9" i="11"/>
  <c r="I28" i="10"/>
  <c r="L13" i="10"/>
  <c r="O13" i="10" s="1"/>
  <c r="K32" i="9"/>
  <c r="J32" i="9"/>
  <c r="I32" i="9"/>
  <c r="L16" i="9"/>
  <c r="E11" i="8"/>
  <c r="M9" i="11" l="1"/>
  <c r="G20" i="6"/>
  <c r="D24" i="6"/>
  <c r="G13" i="6"/>
  <c r="D17" i="6"/>
  <c r="AU13" i="4" l="1"/>
  <c r="AS13" i="4"/>
  <c r="AR13" i="4"/>
  <c r="AQ13" i="4"/>
  <c r="AK13" i="4"/>
  <c r="AD13" i="4"/>
  <c r="AC13" i="4"/>
  <c r="AB13" i="4"/>
  <c r="O13" i="4"/>
  <c r="N32" i="4"/>
  <c r="M13" i="4"/>
  <c r="AN33" i="4"/>
  <c r="AP33" i="4"/>
  <c r="AO33" i="4"/>
  <c r="AM33" i="4"/>
  <c r="AL33" i="4"/>
  <c r="AJ33" i="4"/>
  <c r="AI33" i="4"/>
  <c r="AH33" i="4"/>
  <c r="AG33" i="4"/>
  <c r="AF33" i="4"/>
  <c r="AA33" i="4"/>
  <c r="Y33" i="4"/>
  <c r="D33" i="4"/>
  <c r="I32" i="4"/>
  <c r="I13" i="4"/>
  <c r="AW13" i="4" l="1"/>
  <c r="AE13" i="4"/>
  <c r="AV13" i="4"/>
  <c r="AT13" i="4"/>
  <c r="G9" i="12" s="1"/>
  <c r="G4" i="1"/>
  <c r="F4" i="2"/>
  <c r="C4" i="2"/>
  <c r="B4" i="3"/>
  <c r="D4" i="3"/>
  <c r="AT4" i="4"/>
  <c r="Z4" i="4"/>
  <c r="V3" i="4"/>
  <c r="Q4" i="4"/>
  <c r="Q3" i="4"/>
  <c r="L4" i="4"/>
  <c r="G4" i="6"/>
  <c r="G4" i="38"/>
  <c r="D3" i="38"/>
  <c r="A4" i="38"/>
  <c r="A3" i="38"/>
  <c r="D4" i="8"/>
  <c r="D3" i="8"/>
  <c r="H4" i="30"/>
  <c r="H3" i="30"/>
  <c r="N4" i="9"/>
  <c r="F4" i="9"/>
  <c r="N3" i="9"/>
  <c r="O4" i="10"/>
  <c r="F4" i="10"/>
  <c r="O3" i="10"/>
  <c r="F4" i="33"/>
  <c r="F3" i="33"/>
  <c r="I4" i="15"/>
  <c r="I3" i="15"/>
  <c r="F4" i="34"/>
  <c r="F3" i="34"/>
  <c r="M4" i="11"/>
  <c r="M3" i="11"/>
  <c r="R3" i="12"/>
  <c r="R4" i="12"/>
  <c r="T4" i="35"/>
  <c r="T3" i="35"/>
  <c r="G4" i="31"/>
  <c r="G3" i="31"/>
  <c r="I4" i="27"/>
  <c r="I3" i="27"/>
  <c r="I4" i="13"/>
  <c r="I3" i="13"/>
  <c r="O4" i="22"/>
  <c r="O3" i="22"/>
  <c r="M4" i="23"/>
  <c r="M3" i="23"/>
  <c r="J4" i="25"/>
  <c r="J3" i="25"/>
  <c r="N3" i="26"/>
  <c r="N4" i="26"/>
  <c r="J3" i="32"/>
  <c r="J4" i="32"/>
  <c r="F9" i="12" l="1"/>
  <c r="F9" i="11"/>
  <c r="AR14" i="4"/>
  <c r="AS14" i="4"/>
  <c r="AR15" i="4"/>
  <c r="AS15" i="4"/>
  <c r="AR16" i="4"/>
  <c r="AS16" i="4"/>
  <c r="AR17" i="4"/>
  <c r="AS17" i="4"/>
  <c r="AR18" i="4"/>
  <c r="AS18" i="4"/>
  <c r="AR19" i="4"/>
  <c r="AS19" i="4"/>
  <c r="AR20" i="4"/>
  <c r="AS20" i="4"/>
  <c r="AR21" i="4"/>
  <c r="AS21" i="4"/>
  <c r="AR22" i="4"/>
  <c r="AS22" i="4"/>
  <c r="AR23" i="4"/>
  <c r="AS23" i="4"/>
  <c r="AR24" i="4"/>
  <c r="AS24" i="4"/>
  <c r="AR25" i="4"/>
  <c r="AS25" i="4"/>
  <c r="AR26" i="4"/>
  <c r="AS26" i="4"/>
  <c r="AR27" i="4"/>
  <c r="AS27" i="4"/>
  <c r="AR28" i="4"/>
  <c r="AS28" i="4"/>
  <c r="AR29" i="4"/>
  <c r="AS29" i="4"/>
  <c r="AR30" i="4"/>
  <c r="AS30" i="4"/>
  <c r="AR31" i="4"/>
  <c r="AS31" i="4"/>
  <c r="AR32" i="4"/>
  <c r="AS32" i="4"/>
  <c r="AC14" i="4"/>
  <c r="AD14" i="4"/>
  <c r="AC15" i="4"/>
  <c r="AD15" i="4"/>
  <c r="AC16" i="4"/>
  <c r="AD16" i="4"/>
  <c r="AC17" i="4"/>
  <c r="AD17" i="4"/>
  <c r="AC18" i="4"/>
  <c r="AD18" i="4"/>
  <c r="AC19" i="4"/>
  <c r="AD19" i="4"/>
  <c r="AC20" i="4"/>
  <c r="AD20" i="4"/>
  <c r="AC21" i="4"/>
  <c r="AD21" i="4"/>
  <c r="AC22" i="4"/>
  <c r="AD22" i="4"/>
  <c r="AC23" i="4"/>
  <c r="AD23" i="4"/>
  <c r="AC24" i="4"/>
  <c r="AD24" i="4"/>
  <c r="AC25" i="4"/>
  <c r="AD25" i="4"/>
  <c r="AC26" i="4"/>
  <c r="AD26" i="4"/>
  <c r="AC27" i="4"/>
  <c r="AD27" i="4"/>
  <c r="AC28" i="4"/>
  <c r="AD28" i="4"/>
  <c r="AC29" i="4"/>
  <c r="AD29" i="4"/>
  <c r="AC30" i="4"/>
  <c r="AD30" i="4"/>
  <c r="AC31" i="4"/>
  <c r="AD31" i="4"/>
  <c r="AC32" i="4"/>
  <c r="AD32" i="4"/>
  <c r="AC33" i="4" l="1"/>
  <c r="AS33" i="4"/>
  <c r="AR33" i="4"/>
  <c r="AD33" i="4"/>
  <c r="A8" i="1"/>
  <c r="A25" i="27" l="1"/>
  <c r="A26" i="27"/>
  <c r="A27" i="27"/>
  <c r="A28" i="27"/>
  <c r="A24" i="27"/>
  <c r="F25" i="27" l="1"/>
  <c r="G25" i="27"/>
  <c r="E25" i="27"/>
  <c r="J25" i="27"/>
  <c r="F28" i="27"/>
  <c r="J28" i="27"/>
  <c r="E28" i="27"/>
  <c r="G28" i="27"/>
  <c r="J27" i="27"/>
  <c r="E27" i="27"/>
  <c r="G27" i="27"/>
  <c r="F27" i="27"/>
  <c r="G24" i="27"/>
  <c r="E24" i="27"/>
  <c r="J24" i="27"/>
  <c r="F24" i="27"/>
  <c r="E26" i="27"/>
  <c r="G26" i="27"/>
  <c r="J26" i="27"/>
  <c r="F26" i="27"/>
  <c r="O29" i="35"/>
  <c r="A30" i="35"/>
  <c r="A28" i="35" l="1"/>
  <c r="B28" i="35"/>
  <c r="C28" i="35"/>
  <c r="B9" i="35"/>
  <c r="C9" i="35"/>
  <c r="B10" i="35"/>
  <c r="C10" i="35"/>
  <c r="B11" i="35"/>
  <c r="C11" i="35"/>
  <c r="B12" i="35"/>
  <c r="C12" i="35"/>
  <c r="B13" i="35"/>
  <c r="C13" i="35"/>
  <c r="B14" i="35"/>
  <c r="C14" i="35"/>
  <c r="B15" i="35"/>
  <c r="C15" i="35"/>
  <c r="B16" i="35"/>
  <c r="C16" i="35"/>
  <c r="B17" i="35"/>
  <c r="C17" i="35"/>
  <c r="B18" i="35"/>
  <c r="C18" i="35"/>
  <c r="B19" i="35"/>
  <c r="C19" i="35"/>
  <c r="B20" i="35"/>
  <c r="C20" i="35"/>
  <c r="B21" i="35"/>
  <c r="C21" i="35"/>
  <c r="B22" i="35"/>
  <c r="C22" i="35"/>
  <c r="B23" i="35"/>
  <c r="C23" i="35"/>
  <c r="B24" i="35"/>
  <c r="C24" i="35"/>
  <c r="B25" i="35"/>
  <c r="C25" i="35"/>
  <c r="B26" i="35"/>
  <c r="C26" i="35"/>
  <c r="B27" i="35"/>
  <c r="C27" i="35"/>
  <c r="A10" i="35"/>
  <c r="A11" i="35"/>
  <c r="A12" i="35"/>
  <c r="A13" i="35"/>
  <c r="A14" i="35"/>
  <c r="A15" i="35"/>
  <c r="A16" i="35"/>
  <c r="A17" i="35"/>
  <c r="A18" i="35"/>
  <c r="A19" i="35"/>
  <c r="A20" i="35"/>
  <c r="A21" i="35"/>
  <c r="A22" i="35"/>
  <c r="A23" i="35"/>
  <c r="A24" i="35"/>
  <c r="A25" i="35"/>
  <c r="A26" i="35"/>
  <c r="A27" i="35"/>
  <c r="A9" i="35"/>
  <c r="A10" i="12" l="1"/>
  <c r="B10" i="12"/>
  <c r="C10" i="12"/>
  <c r="A11" i="12"/>
  <c r="B11" i="12"/>
  <c r="C11" i="12"/>
  <c r="A12" i="12"/>
  <c r="B12" i="12"/>
  <c r="C12" i="12"/>
  <c r="A13" i="12"/>
  <c r="B13" i="12"/>
  <c r="C13" i="12"/>
  <c r="A14" i="12"/>
  <c r="B14" i="12"/>
  <c r="C14" i="12"/>
  <c r="A15" i="12"/>
  <c r="B15" i="12"/>
  <c r="C15" i="12"/>
  <c r="A16" i="12"/>
  <c r="B16" i="12"/>
  <c r="C16" i="12"/>
  <c r="A17" i="12"/>
  <c r="B17" i="12"/>
  <c r="C17" i="12"/>
  <c r="A18" i="12"/>
  <c r="B18" i="12"/>
  <c r="C18" i="12"/>
  <c r="A19" i="12"/>
  <c r="B19" i="12"/>
  <c r="C19" i="12"/>
  <c r="A20" i="12"/>
  <c r="B20" i="12"/>
  <c r="C20" i="12"/>
  <c r="A21" i="12"/>
  <c r="B21" i="12"/>
  <c r="C21" i="12"/>
  <c r="A22" i="12"/>
  <c r="B22" i="12"/>
  <c r="C22" i="12"/>
  <c r="A23" i="12"/>
  <c r="B23" i="12"/>
  <c r="C23" i="12"/>
  <c r="A24" i="12"/>
  <c r="B24" i="12"/>
  <c r="C24" i="12"/>
  <c r="A25" i="12"/>
  <c r="B25" i="12"/>
  <c r="C25" i="12"/>
  <c r="A26" i="12"/>
  <c r="B26" i="12"/>
  <c r="C26" i="12"/>
  <c r="A27" i="12"/>
  <c r="B27" i="12"/>
  <c r="C27" i="12"/>
  <c r="A28" i="12"/>
  <c r="B28" i="12"/>
  <c r="C28" i="12"/>
  <c r="A29" i="12"/>
  <c r="A30" i="12"/>
  <c r="B9" i="12"/>
  <c r="C9" i="12"/>
  <c r="A9" i="12"/>
  <c r="I22" i="4"/>
  <c r="A10" i="11" l="1"/>
  <c r="B10" i="11"/>
  <c r="C10" i="11"/>
  <c r="A11" i="11"/>
  <c r="B11" i="11"/>
  <c r="C11" i="11"/>
  <c r="A12" i="11"/>
  <c r="B12" i="11"/>
  <c r="C12" i="11"/>
  <c r="A13" i="11"/>
  <c r="B13" i="11"/>
  <c r="C13" i="11"/>
  <c r="A14" i="11"/>
  <c r="B14" i="11"/>
  <c r="C14" i="11"/>
  <c r="A15" i="11"/>
  <c r="B15" i="11"/>
  <c r="C15" i="11"/>
  <c r="A16" i="11"/>
  <c r="B16" i="11"/>
  <c r="C16" i="11"/>
  <c r="A17" i="11"/>
  <c r="B17" i="11"/>
  <c r="C17" i="11"/>
  <c r="A18" i="11"/>
  <c r="B18" i="11"/>
  <c r="C18" i="11"/>
  <c r="A19" i="11"/>
  <c r="B19" i="11"/>
  <c r="C19" i="11"/>
  <c r="A20" i="11"/>
  <c r="B20" i="11"/>
  <c r="C20" i="11"/>
  <c r="A21" i="11"/>
  <c r="B21" i="11"/>
  <c r="C21" i="11"/>
  <c r="A22" i="11"/>
  <c r="B22" i="11"/>
  <c r="C22" i="11"/>
  <c r="A23" i="11"/>
  <c r="B23" i="11"/>
  <c r="C23" i="11"/>
  <c r="A24" i="11"/>
  <c r="B24" i="11"/>
  <c r="C24" i="11"/>
  <c r="A25" i="11"/>
  <c r="B25" i="11"/>
  <c r="C25" i="11"/>
  <c r="A26" i="11"/>
  <c r="B26" i="11"/>
  <c r="C26" i="11"/>
  <c r="A27" i="11"/>
  <c r="B27" i="11"/>
  <c r="C27" i="11"/>
  <c r="A28" i="11"/>
  <c r="B28" i="11"/>
  <c r="C28" i="11"/>
  <c r="A29" i="11"/>
  <c r="A30" i="11"/>
  <c r="A9" i="11"/>
  <c r="C9" i="11"/>
  <c r="B9" i="11"/>
  <c r="A36" i="4"/>
  <c r="A37" i="4"/>
  <c r="A38" i="4"/>
  <c r="A39" i="4"/>
  <c r="A35" i="4"/>
  <c r="D35" i="4" l="1"/>
  <c r="B8" i="1" s="1"/>
  <c r="AP35" i="4"/>
  <c r="E35" i="4"/>
  <c r="AN35" i="4"/>
  <c r="AN39" i="4"/>
  <c r="AP39" i="4"/>
  <c r="AN38" i="4"/>
  <c r="AP38" i="4"/>
  <c r="AN37" i="4"/>
  <c r="AP37" i="4"/>
  <c r="AN36" i="4"/>
  <c r="AP36" i="4"/>
  <c r="A35" i="11"/>
  <c r="AA39" i="4"/>
  <c r="Z39" i="4"/>
  <c r="Y39" i="4"/>
  <c r="Y36" i="4"/>
  <c r="AA36" i="4"/>
  <c r="Z36" i="4"/>
  <c r="A34" i="11"/>
  <c r="Z38" i="4"/>
  <c r="AA38" i="4"/>
  <c r="Y38" i="4"/>
  <c r="Z35" i="4"/>
  <c r="Y35" i="4"/>
  <c r="AA35" i="4"/>
  <c r="A33" i="11"/>
  <c r="Y37" i="4"/>
  <c r="Z37" i="4"/>
  <c r="AA37" i="4"/>
  <c r="A31" i="11"/>
  <c r="A35" i="12"/>
  <c r="A35" i="35"/>
  <c r="A32" i="35"/>
  <c r="A32" i="12"/>
  <c r="A31" i="35"/>
  <c r="A31" i="12"/>
  <c r="A34" i="35"/>
  <c r="A34" i="12"/>
  <c r="E37" i="4"/>
  <c r="A33" i="35"/>
  <c r="A33" i="12"/>
  <c r="A32" i="11"/>
  <c r="S35" i="4"/>
  <c r="R36" i="4"/>
  <c r="J35" i="4"/>
  <c r="G36" i="4"/>
  <c r="AO35" i="4"/>
  <c r="AJ36" i="4"/>
  <c r="AG35" i="4"/>
  <c r="AL35" i="4"/>
  <c r="X35" i="4"/>
  <c r="R35" i="4"/>
  <c r="AH37" i="4"/>
  <c r="AI36" i="4"/>
  <c r="W36" i="4"/>
  <c r="Q36" i="4"/>
  <c r="B16" i="1" s="1"/>
  <c r="E36" i="4"/>
  <c r="AF35" i="4"/>
  <c r="B22" i="1" s="1"/>
  <c r="D36" i="4"/>
  <c r="B9" i="1" s="1"/>
  <c r="AJ35" i="4"/>
  <c r="W35" i="4"/>
  <c r="L35" i="4"/>
  <c r="G35" i="4"/>
  <c r="X37" i="4"/>
  <c r="AO36" i="4"/>
  <c r="AG36" i="4"/>
  <c r="U36" i="4"/>
  <c r="K36" i="4"/>
  <c r="AL37" i="4"/>
  <c r="L37" i="4"/>
  <c r="AH35" i="4"/>
  <c r="T35" i="4"/>
  <c r="K35" i="4"/>
  <c r="T37" i="4"/>
  <c r="AM36" i="4"/>
  <c r="AF36" i="4"/>
  <c r="B23" i="1" s="1"/>
  <c r="S36" i="4"/>
  <c r="J36" i="4"/>
  <c r="D38" i="4"/>
  <c r="B11" i="1" s="1"/>
  <c r="AJ38" i="4"/>
  <c r="R38" i="4"/>
  <c r="J38" i="4"/>
  <c r="D37" i="4"/>
  <c r="B10" i="1" s="1"/>
  <c r="S39" i="4"/>
  <c r="K39" i="4"/>
  <c r="AM38" i="4"/>
  <c r="U38" i="4"/>
  <c r="S37" i="4"/>
  <c r="K37" i="4"/>
  <c r="G37" i="4"/>
  <c r="AL39" i="4"/>
  <c r="X39" i="4"/>
  <c r="L39" i="4"/>
  <c r="AF38" i="4"/>
  <c r="B25" i="1" s="1"/>
  <c r="AG39" i="4"/>
  <c r="W39" i="4"/>
  <c r="G39" i="4"/>
  <c r="AI38" i="4"/>
  <c r="Q38" i="4"/>
  <c r="B18" i="1" s="1"/>
  <c r="E38" i="4"/>
  <c r="AG37" i="4"/>
  <c r="W37" i="4"/>
  <c r="AM35" i="4"/>
  <c r="AI35" i="4"/>
  <c r="U35" i="4"/>
  <c r="Q35" i="4"/>
  <c r="B15" i="1" s="1"/>
  <c r="AO39" i="4"/>
  <c r="AJ39" i="4"/>
  <c r="AF39" i="4"/>
  <c r="B26" i="1" s="1"/>
  <c r="R39" i="4"/>
  <c r="J39" i="4"/>
  <c r="AL38" i="4"/>
  <c r="AH38" i="4"/>
  <c r="X38" i="4"/>
  <c r="T38" i="4"/>
  <c r="L38" i="4"/>
  <c r="AO37" i="4"/>
  <c r="AJ37" i="4"/>
  <c r="AF37" i="4"/>
  <c r="B24" i="1" s="1"/>
  <c r="R37" i="4"/>
  <c r="J37" i="4"/>
  <c r="AL36" i="4"/>
  <c r="AH36" i="4"/>
  <c r="X36" i="4"/>
  <c r="T36" i="4"/>
  <c r="L36" i="4"/>
  <c r="AM39" i="4"/>
  <c r="AI39" i="4"/>
  <c r="U39" i="4"/>
  <c r="Q39" i="4"/>
  <c r="B19" i="1" s="1"/>
  <c r="E39" i="4"/>
  <c r="AG38" i="4"/>
  <c r="W38" i="4"/>
  <c r="S38" i="4"/>
  <c r="K38" i="4"/>
  <c r="G38" i="4"/>
  <c r="AM37" i="4"/>
  <c r="AI37" i="4"/>
  <c r="U37" i="4"/>
  <c r="Q37" i="4"/>
  <c r="B17" i="1" s="1"/>
  <c r="D39" i="4"/>
  <c r="B12" i="1" s="1"/>
  <c r="AH39" i="4"/>
  <c r="T39" i="4"/>
  <c r="AO38" i="4"/>
  <c r="A30" i="1"/>
  <c r="A31" i="1"/>
  <c r="A32" i="1"/>
  <c r="A33" i="1"/>
  <c r="A29" i="1"/>
  <c r="A23" i="1"/>
  <c r="A24" i="1"/>
  <c r="A25" i="1"/>
  <c r="A26" i="1"/>
  <c r="A22" i="1"/>
  <c r="A16" i="1"/>
  <c r="A17" i="1"/>
  <c r="A18" i="1"/>
  <c r="A19" i="1"/>
  <c r="A15" i="1"/>
  <c r="A9" i="1"/>
  <c r="A10" i="1"/>
  <c r="A11" i="1"/>
  <c r="A12" i="1"/>
  <c r="E33" i="4"/>
  <c r="G33" i="4"/>
  <c r="J33" i="4"/>
  <c r="K33" i="4"/>
  <c r="L33" i="4"/>
  <c r="Q33" i="4"/>
  <c r="R33" i="4"/>
  <c r="S33" i="4"/>
  <c r="T33" i="4"/>
  <c r="U33" i="4"/>
  <c r="W33" i="4"/>
  <c r="X33" i="4"/>
  <c r="Z33" i="4"/>
  <c r="F17" i="1" l="1"/>
  <c r="F18" i="1"/>
  <c r="F16" i="1"/>
  <c r="B29" i="1"/>
  <c r="B13" i="1"/>
  <c r="B33" i="1"/>
  <c r="F24" i="1"/>
  <c r="F15" i="1"/>
  <c r="F26" i="1"/>
  <c r="F23" i="1"/>
  <c r="B20" i="1"/>
  <c r="B27" i="1"/>
  <c r="F22" i="1"/>
  <c r="F25" i="1"/>
  <c r="F19" i="1"/>
  <c r="F8" i="1"/>
  <c r="C8" i="1"/>
  <c r="D8" i="1" s="1"/>
  <c r="C24" i="1"/>
  <c r="C15" i="1"/>
  <c r="D15" i="1" s="1"/>
  <c r="C22" i="1"/>
  <c r="D22" i="1" s="1"/>
  <c r="F10" i="1"/>
  <c r="C10" i="1"/>
  <c r="C12" i="1"/>
  <c r="F12" i="1"/>
  <c r="C11" i="1"/>
  <c r="F11" i="1"/>
  <c r="F9" i="1"/>
  <c r="C9" i="1"/>
  <c r="C19" i="1"/>
  <c r="C16" i="1"/>
  <c r="C18" i="1"/>
  <c r="C23" i="1"/>
  <c r="C25" i="1"/>
  <c r="C17" i="1"/>
  <c r="C26" i="1"/>
  <c r="AN3" i="4" l="1"/>
  <c r="AF3" i="4"/>
  <c r="AF4" i="4"/>
  <c r="AQ32" i="4"/>
  <c r="AQ31" i="4"/>
  <c r="AQ30" i="4"/>
  <c r="AQ29" i="4"/>
  <c r="AQ28" i="4"/>
  <c r="AQ27" i="4"/>
  <c r="AQ26" i="4"/>
  <c r="AQ25" i="4"/>
  <c r="AQ24" i="4"/>
  <c r="AQ23" i="4"/>
  <c r="AQ22" i="4"/>
  <c r="AQ21" i="4"/>
  <c r="AQ20" i="4"/>
  <c r="AQ19" i="4"/>
  <c r="AQ18" i="4"/>
  <c r="AQ17" i="4"/>
  <c r="AQ14" i="4"/>
  <c r="AQ15" i="4"/>
  <c r="AQ16" i="4"/>
  <c r="AB14" i="4"/>
  <c r="AB32" i="4"/>
  <c r="AB31" i="4"/>
  <c r="AB30" i="4"/>
  <c r="AB29" i="4"/>
  <c r="AB28" i="4"/>
  <c r="AB27" i="4"/>
  <c r="AB26" i="4"/>
  <c r="AB25" i="4"/>
  <c r="AB24" i="4"/>
  <c r="AB23" i="4"/>
  <c r="AB22" i="4"/>
  <c r="AB21" i="4"/>
  <c r="AB20" i="4"/>
  <c r="AB19" i="4"/>
  <c r="AB18" i="4"/>
  <c r="AB17" i="4"/>
  <c r="AB16" i="4"/>
  <c r="AB15" i="4"/>
  <c r="F11" i="35" s="1"/>
  <c r="N13" i="4"/>
  <c r="O32" i="4"/>
  <c r="M32" i="4"/>
  <c r="O31" i="4"/>
  <c r="N31" i="4"/>
  <c r="M31" i="4"/>
  <c r="O30" i="4"/>
  <c r="N30" i="4"/>
  <c r="M30" i="4"/>
  <c r="O29" i="4"/>
  <c r="N29" i="4"/>
  <c r="M29" i="4"/>
  <c r="O28" i="4"/>
  <c r="N28" i="4"/>
  <c r="M28" i="4"/>
  <c r="O27" i="4"/>
  <c r="N27" i="4"/>
  <c r="M27" i="4"/>
  <c r="O26" i="4"/>
  <c r="N26" i="4"/>
  <c r="M26" i="4"/>
  <c r="O25" i="4"/>
  <c r="N25" i="4"/>
  <c r="M25" i="4"/>
  <c r="O24" i="4"/>
  <c r="N24" i="4"/>
  <c r="M24" i="4"/>
  <c r="O23" i="4"/>
  <c r="N23" i="4"/>
  <c r="M23" i="4"/>
  <c r="O22" i="4"/>
  <c r="N22" i="4"/>
  <c r="M22" i="4"/>
  <c r="O21" i="4"/>
  <c r="N21" i="4"/>
  <c r="M21" i="4"/>
  <c r="O20" i="4"/>
  <c r="N20" i="4"/>
  <c r="M20" i="4"/>
  <c r="O19" i="4"/>
  <c r="N19" i="4"/>
  <c r="M19" i="4"/>
  <c r="O18" i="4"/>
  <c r="N18" i="4"/>
  <c r="M18" i="4"/>
  <c r="O17" i="4"/>
  <c r="N17" i="4"/>
  <c r="M17" i="4"/>
  <c r="O16" i="4"/>
  <c r="N16" i="4"/>
  <c r="M16" i="4"/>
  <c r="O15" i="4"/>
  <c r="N15" i="4"/>
  <c r="M15" i="4"/>
  <c r="O14" i="4"/>
  <c r="N14" i="4"/>
  <c r="M14" i="4"/>
  <c r="AQ33" i="4" l="1"/>
  <c r="AB33" i="4"/>
  <c r="F15" i="35"/>
  <c r="F19" i="35"/>
  <c r="F23" i="35"/>
  <c r="F27" i="35"/>
  <c r="H12" i="35"/>
  <c r="H14" i="35"/>
  <c r="H18" i="35"/>
  <c r="H22" i="35"/>
  <c r="H26" i="35"/>
  <c r="F12" i="35"/>
  <c r="F16" i="35"/>
  <c r="F20" i="35"/>
  <c r="F24" i="35"/>
  <c r="F28" i="35"/>
  <c r="H11" i="35"/>
  <c r="H15" i="35"/>
  <c r="H19" i="35"/>
  <c r="H23" i="35"/>
  <c r="H27" i="35"/>
  <c r="F13" i="35"/>
  <c r="F17" i="35"/>
  <c r="F21" i="35"/>
  <c r="F25" i="35"/>
  <c r="F10" i="35"/>
  <c r="H10" i="35"/>
  <c r="H16" i="35"/>
  <c r="H20" i="35"/>
  <c r="H24" i="35"/>
  <c r="H28" i="35"/>
  <c r="F9" i="35"/>
  <c r="F14" i="35"/>
  <c r="F18" i="35"/>
  <c r="F22" i="35"/>
  <c r="F26" i="35"/>
  <c r="H9" i="35"/>
  <c r="H13" i="35"/>
  <c r="H17" i="35"/>
  <c r="H21" i="35"/>
  <c r="H25" i="35"/>
  <c r="P22" i="4"/>
  <c r="M36" i="4"/>
  <c r="M38" i="4"/>
  <c r="M35" i="4"/>
  <c r="M39" i="4"/>
  <c r="M37" i="4"/>
  <c r="AC36" i="4"/>
  <c r="AC35" i="4"/>
  <c r="AC37" i="4"/>
  <c r="AC39" i="4"/>
  <c r="AC38" i="4"/>
  <c r="AR35" i="4"/>
  <c r="AR37" i="4"/>
  <c r="AR39" i="4"/>
  <c r="AR38" i="4"/>
  <c r="AR36" i="4"/>
  <c r="N36" i="4"/>
  <c r="N35" i="4"/>
  <c r="N39" i="4"/>
  <c r="N37" i="4"/>
  <c r="N38" i="4"/>
  <c r="AD37" i="4"/>
  <c r="AD35" i="4"/>
  <c r="AD38" i="4"/>
  <c r="AD36" i="4"/>
  <c r="AD39" i="4"/>
  <c r="AS36" i="4"/>
  <c r="AS39" i="4"/>
  <c r="AS37" i="4"/>
  <c r="AS35" i="4"/>
  <c r="AS38" i="4"/>
  <c r="O35" i="4"/>
  <c r="O36" i="4"/>
  <c r="O39" i="4"/>
  <c r="O38" i="4"/>
  <c r="O37" i="4"/>
  <c r="AB35" i="4"/>
  <c r="AB36" i="4"/>
  <c r="AB37" i="4"/>
  <c r="AB38" i="4"/>
  <c r="AB39" i="4"/>
  <c r="AQ36" i="4"/>
  <c r="AQ35" i="4"/>
  <c r="AQ37" i="4"/>
  <c r="AQ39" i="4"/>
  <c r="AQ38" i="4"/>
  <c r="N33" i="4"/>
  <c r="M33" i="4"/>
  <c r="O33" i="4"/>
  <c r="P13" i="4"/>
  <c r="AX13" i="4" l="1"/>
  <c r="E9" i="11"/>
  <c r="O9" i="11" s="1"/>
  <c r="R9" i="11" s="1"/>
  <c r="S9" i="11" s="1"/>
  <c r="E9" i="35"/>
  <c r="E9" i="12"/>
  <c r="E18" i="35"/>
  <c r="E18" i="11"/>
  <c r="E18" i="12"/>
  <c r="F34" i="35"/>
  <c r="F32" i="35"/>
  <c r="F31" i="35"/>
  <c r="F35" i="35"/>
  <c r="F33" i="35"/>
  <c r="H34" i="35"/>
  <c r="H31" i="35"/>
  <c r="H35" i="35"/>
  <c r="H33" i="35"/>
  <c r="H32" i="35"/>
  <c r="F29" i="35"/>
  <c r="H29" i="35"/>
  <c r="S9" i="12" l="1"/>
  <c r="T9" i="12" s="1"/>
  <c r="U9" i="12" s="1"/>
  <c r="W9" i="12" s="1"/>
  <c r="O24" i="35"/>
  <c r="N24" i="35"/>
  <c r="O19" i="35"/>
  <c r="N19" i="35"/>
  <c r="N14" i="35"/>
  <c r="N13" i="35"/>
  <c r="O13" i="35" s="1"/>
  <c r="N15" i="35"/>
  <c r="O15" i="35"/>
  <c r="R15" i="35" s="1"/>
  <c r="T15" i="35"/>
  <c r="N16" i="35"/>
  <c r="O16" i="35"/>
  <c r="R16" i="35" s="1"/>
  <c r="N17" i="35"/>
  <c r="O17" i="35"/>
  <c r="R17" i="35" s="1"/>
  <c r="N18" i="35"/>
  <c r="O18" i="35"/>
  <c r="R18" i="35" s="1"/>
  <c r="N20" i="35"/>
  <c r="O20" i="35"/>
  <c r="R20" i="35" s="1"/>
  <c r="N21" i="35"/>
  <c r="Q21" i="35" s="1"/>
  <c r="O21" i="35"/>
  <c r="R21" i="35" s="1"/>
  <c r="T21" i="35"/>
  <c r="N22" i="35"/>
  <c r="O22" i="35"/>
  <c r="R22" i="35" s="1"/>
  <c r="T22" i="35"/>
  <c r="N23" i="35"/>
  <c r="O23" i="35"/>
  <c r="R23" i="35" s="1"/>
  <c r="T23" i="35"/>
  <c r="N25" i="35"/>
  <c r="O25" i="35"/>
  <c r="R25" i="35" s="1"/>
  <c r="T25" i="35"/>
  <c r="N26" i="35"/>
  <c r="O26" i="35"/>
  <c r="R26" i="35" s="1"/>
  <c r="N27" i="35"/>
  <c r="O27" i="35"/>
  <c r="R27" i="35" s="1"/>
  <c r="N28" i="35"/>
  <c r="O28" i="35"/>
  <c r="R28" i="35" s="1"/>
  <c r="AU14" i="4"/>
  <c r="AU15" i="4"/>
  <c r="N12" i="35"/>
  <c r="N11" i="35"/>
  <c r="N10" i="35"/>
  <c r="N9" i="35"/>
  <c r="A4" i="35"/>
  <c r="G4" i="35"/>
  <c r="G3" i="35"/>
  <c r="A3" i="35"/>
  <c r="T27" i="35" l="1"/>
  <c r="S27" i="35" s="1"/>
  <c r="T17" i="35"/>
  <c r="T20" i="35"/>
  <c r="T26" i="35"/>
  <c r="T16" i="35"/>
  <c r="R19" i="35"/>
  <c r="T19" i="35"/>
  <c r="T28" i="35"/>
  <c r="S28" i="35" s="1"/>
  <c r="T18" i="35"/>
  <c r="R24" i="35"/>
  <c r="T24" i="35"/>
  <c r="O14" i="35"/>
  <c r="R14" i="35" s="1"/>
  <c r="U14" i="35"/>
  <c r="P19" i="35"/>
  <c r="U19" i="35" s="1"/>
  <c r="Q19" i="35"/>
  <c r="P24" i="35"/>
  <c r="U24" i="35" s="1"/>
  <c r="Q24" i="35"/>
  <c r="P14" i="35"/>
  <c r="Q14" i="35"/>
  <c r="T14" i="35"/>
  <c r="R13" i="35"/>
  <c r="T13" i="35"/>
  <c r="O9" i="35"/>
  <c r="P20" i="35"/>
  <c r="U20" i="35" s="1"/>
  <c r="P27" i="35"/>
  <c r="U27" i="35" s="1"/>
  <c r="P22" i="35"/>
  <c r="U22" i="35" s="1"/>
  <c r="P21" i="35"/>
  <c r="U21" i="35" s="1"/>
  <c r="S17" i="35"/>
  <c r="U16" i="35"/>
  <c r="P16" i="35"/>
  <c r="P25" i="35"/>
  <c r="U25" i="35" s="1"/>
  <c r="P18" i="35"/>
  <c r="U18" i="35" s="1"/>
  <c r="P13" i="35"/>
  <c r="U13" i="35" s="1"/>
  <c r="U26" i="35"/>
  <c r="P26" i="35"/>
  <c r="S16" i="35"/>
  <c r="P15" i="35"/>
  <c r="U15" i="35" s="1"/>
  <c r="P28" i="35"/>
  <c r="U28" i="35" s="1"/>
  <c r="U23" i="35"/>
  <c r="P23" i="35"/>
  <c r="S20" i="35"/>
  <c r="U17" i="35"/>
  <c r="P17" i="35"/>
  <c r="O10" i="35"/>
  <c r="Q10" i="35" s="1"/>
  <c r="S26" i="35"/>
  <c r="Q25" i="35"/>
  <c r="Q23" i="35"/>
  <c r="Q15" i="35"/>
  <c r="Q13" i="35"/>
  <c r="O11" i="35"/>
  <c r="P11" i="35" s="1"/>
  <c r="O12" i="35"/>
  <c r="R12" i="35" s="1"/>
  <c r="Q27" i="35"/>
  <c r="S25" i="35"/>
  <c r="S23" i="35"/>
  <c r="S18" i="35"/>
  <c r="Q17" i="35"/>
  <c r="S15" i="35"/>
  <c r="S22" i="35"/>
  <c r="S21" i="35"/>
  <c r="Q28" i="35"/>
  <c r="Q26" i="35"/>
  <c r="Q22" i="35"/>
  <c r="Q20" i="35"/>
  <c r="Q18" i="35"/>
  <c r="Q16" i="35"/>
  <c r="S19" i="35" l="1"/>
  <c r="V19" i="35" s="1"/>
  <c r="S24" i="35"/>
  <c r="V24" i="35" s="1"/>
  <c r="R9" i="35"/>
  <c r="S9" i="35" s="1"/>
  <c r="T9" i="35"/>
  <c r="Q9" i="35"/>
  <c r="P9" i="35"/>
  <c r="U9" i="35" s="1"/>
  <c r="S13" i="35"/>
  <c r="S14" i="35"/>
  <c r="V14" i="35" s="1"/>
  <c r="T12" i="35"/>
  <c r="S12" i="35" s="1"/>
  <c r="Q12" i="35"/>
  <c r="P12" i="35"/>
  <c r="U12" i="35" s="1"/>
  <c r="Q11" i="35"/>
  <c r="R11" i="35"/>
  <c r="R10" i="35"/>
  <c r="P10" i="35"/>
  <c r="V32" i="4"/>
  <c r="V31" i="4"/>
  <c r="V30" i="4"/>
  <c r="V29" i="4"/>
  <c r="V28" i="4"/>
  <c r="V27" i="4"/>
  <c r="V26" i="4"/>
  <c r="V25" i="4"/>
  <c r="V24" i="4"/>
  <c r="V23" i="4"/>
  <c r="V22" i="4"/>
  <c r="V21" i="4"/>
  <c r="V20" i="4"/>
  <c r="V19" i="4"/>
  <c r="V18" i="4"/>
  <c r="V17" i="4"/>
  <c r="V14" i="4"/>
  <c r="V15" i="4"/>
  <c r="V16" i="4"/>
  <c r="AK32" i="4"/>
  <c r="AK31" i="4"/>
  <c r="AK30" i="4"/>
  <c r="AK29" i="4"/>
  <c r="AK28" i="4"/>
  <c r="AK27" i="4"/>
  <c r="AK26" i="4"/>
  <c r="AK25" i="4"/>
  <c r="AK24" i="4"/>
  <c r="AK23" i="4"/>
  <c r="AK22" i="4"/>
  <c r="AK21" i="4"/>
  <c r="AK20" i="4"/>
  <c r="AK19" i="4"/>
  <c r="AK18" i="4"/>
  <c r="AK17" i="4"/>
  <c r="AK14" i="4"/>
  <c r="AK15" i="4"/>
  <c r="AK16" i="4"/>
  <c r="V9" i="35" l="1"/>
  <c r="AK33" i="4"/>
  <c r="AK35" i="4"/>
  <c r="E22" i="1" s="1"/>
  <c r="G22" i="1" s="1"/>
  <c r="H22" i="1" s="1"/>
  <c r="I22" i="1" s="1"/>
  <c r="AK36" i="4"/>
  <c r="E23" i="1" s="1"/>
  <c r="AK39" i="4"/>
  <c r="E26" i="1" s="1"/>
  <c r="AK38" i="4"/>
  <c r="E25" i="1" s="1"/>
  <c r="AK37" i="4"/>
  <c r="E24" i="1" s="1"/>
  <c r="V36" i="4"/>
  <c r="E16" i="1" s="1"/>
  <c r="V35" i="4"/>
  <c r="E15" i="1" s="1"/>
  <c r="G15" i="1" s="1"/>
  <c r="H15" i="1" s="1"/>
  <c r="I15" i="1" s="1"/>
  <c r="V39" i="4"/>
  <c r="E19" i="1" s="1"/>
  <c r="V37" i="4"/>
  <c r="E17" i="1" s="1"/>
  <c r="V38" i="4"/>
  <c r="E18" i="1" s="1"/>
  <c r="V33" i="4"/>
  <c r="T10" i="35"/>
  <c r="S10" i="35" s="1"/>
  <c r="T11" i="35"/>
  <c r="S11" i="35" s="1"/>
  <c r="E15" i="8" l="1"/>
  <c r="E12" i="8"/>
  <c r="E13" i="8"/>
  <c r="E17" i="8"/>
  <c r="E18" i="8"/>
  <c r="E14" i="8"/>
  <c r="G23" i="6"/>
  <c r="G22" i="6"/>
  <c r="G21" i="6"/>
  <c r="G14" i="6"/>
  <c r="G15" i="6"/>
  <c r="G16" i="6"/>
  <c r="G17" i="6" l="1"/>
  <c r="F4" i="27"/>
  <c r="F3" i="27"/>
  <c r="A4" i="27"/>
  <c r="A3" i="27"/>
  <c r="D4" i="31"/>
  <c r="D3" i="31"/>
  <c r="A4" i="31"/>
  <c r="A3" i="31"/>
  <c r="E4" i="30"/>
  <c r="E3" i="30"/>
  <c r="A4" i="30"/>
  <c r="A3" i="30"/>
  <c r="A4" i="34" l="1"/>
  <c r="D4" i="34"/>
  <c r="D3" i="34"/>
  <c r="A3" i="34"/>
  <c r="A4" i="33" l="1"/>
  <c r="D4" i="33"/>
  <c r="D3" i="33"/>
  <c r="A3" i="33"/>
  <c r="J28" i="10" l="1"/>
  <c r="K28" i="10"/>
  <c r="L17" i="9"/>
  <c r="L26" i="9"/>
  <c r="L27" i="9"/>
  <c r="L28" i="9"/>
  <c r="L29" i="9"/>
  <c r="L30" i="9"/>
  <c r="L31" i="9"/>
  <c r="L32" i="9" l="1"/>
  <c r="J22" i="27"/>
  <c r="B45" i="32" l="1"/>
  <c r="B44" i="32"/>
  <c r="B43" i="32"/>
  <c r="B42" i="32"/>
  <c r="B41" i="32"/>
  <c r="B34" i="32"/>
  <c r="B33" i="32"/>
  <c r="B29" i="32"/>
  <c r="C25" i="32"/>
  <c r="D25" i="32"/>
  <c r="E25" i="32"/>
  <c r="F25" i="32"/>
  <c r="G25" i="32"/>
  <c r="H25" i="32"/>
  <c r="I25" i="32"/>
  <c r="B25" i="32"/>
  <c r="B35" i="32" l="1"/>
  <c r="B36" i="32" s="1"/>
  <c r="B26" i="32"/>
  <c r="B47" i="32"/>
  <c r="C41" i="32"/>
  <c r="D41" i="32" s="1"/>
  <c r="E41" i="32" s="1"/>
  <c r="I22" i="32"/>
  <c r="H22" i="32"/>
  <c r="G22" i="32"/>
  <c r="F22" i="32"/>
  <c r="E22" i="32"/>
  <c r="D22" i="32"/>
  <c r="C22" i="32"/>
  <c r="B22" i="32"/>
  <c r="A4" i="32"/>
  <c r="E4" i="32"/>
  <c r="E3" i="32"/>
  <c r="A3" i="32"/>
  <c r="D17" i="23"/>
  <c r="E17" i="23"/>
  <c r="C17" i="23"/>
  <c r="H11" i="27"/>
  <c r="H12" i="27"/>
  <c r="I12" i="27" s="1"/>
  <c r="K12" i="27" s="1"/>
  <c r="H13" i="27"/>
  <c r="I13" i="27" s="1"/>
  <c r="K13" i="27" s="1"/>
  <c r="H14" i="27"/>
  <c r="I14" i="27" s="1"/>
  <c r="K14" i="27" s="1"/>
  <c r="H15" i="27"/>
  <c r="I15" i="27" s="1"/>
  <c r="K15" i="27" s="1"/>
  <c r="H16" i="27"/>
  <c r="I16" i="27" s="1"/>
  <c r="K16" i="27" s="1"/>
  <c r="H17" i="27"/>
  <c r="I17" i="27" s="1"/>
  <c r="K17" i="27" s="1"/>
  <c r="H18" i="27"/>
  <c r="I18" i="27" s="1"/>
  <c r="K18" i="27" s="1"/>
  <c r="H19" i="27"/>
  <c r="I19" i="27" s="1"/>
  <c r="K19" i="27" s="1"/>
  <c r="H20" i="27"/>
  <c r="I20" i="27" s="1"/>
  <c r="K20" i="27" s="1"/>
  <c r="H21" i="27"/>
  <c r="I21" i="27" s="1"/>
  <c r="K21" i="27" s="1"/>
  <c r="H13" i="31"/>
  <c r="G13" i="31"/>
  <c r="F13" i="31"/>
  <c r="E13" i="31"/>
  <c r="D13" i="31"/>
  <c r="I12" i="31"/>
  <c r="I11" i="31"/>
  <c r="I10" i="31"/>
  <c r="I9" i="31"/>
  <c r="H27" i="27" l="1"/>
  <c r="H24" i="27"/>
  <c r="H25" i="27"/>
  <c r="H26" i="27"/>
  <c r="H28" i="27"/>
  <c r="I11" i="27"/>
  <c r="B23" i="32"/>
  <c r="C42" i="32"/>
  <c r="D42" i="32" s="1"/>
  <c r="E42" i="32" s="1"/>
  <c r="I13" i="31"/>
  <c r="K11" i="27" l="1"/>
  <c r="I28" i="27"/>
  <c r="I24" i="27"/>
  <c r="I25" i="27"/>
  <c r="I27" i="27"/>
  <c r="I26" i="27"/>
  <c r="I22" i="27"/>
  <c r="K22" i="27"/>
  <c r="C43" i="32"/>
  <c r="D43" i="32" s="1"/>
  <c r="E43" i="32" s="1"/>
  <c r="K25" i="27" l="1"/>
  <c r="K24" i="27"/>
  <c r="K27" i="27"/>
  <c r="K28" i="27"/>
  <c r="K26" i="27"/>
  <c r="C44" i="32"/>
  <c r="D44" i="32" s="1"/>
  <c r="E44" i="32" s="1"/>
  <c r="C45" i="32" l="1"/>
  <c r="D45" i="32" s="1"/>
  <c r="E45" i="32" s="1"/>
  <c r="D46" i="32" l="1"/>
  <c r="C46" i="32" s="1"/>
  <c r="E46" i="32" l="1"/>
  <c r="N25" i="12" l="1"/>
  <c r="O25" i="12" s="1"/>
  <c r="P25" i="12"/>
  <c r="R25" i="12"/>
  <c r="S25" i="12"/>
  <c r="N26" i="12"/>
  <c r="O26" i="12" s="1"/>
  <c r="P26" i="12"/>
  <c r="R26" i="12"/>
  <c r="S26" i="12"/>
  <c r="N27" i="12"/>
  <c r="O27" i="12" s="1"/>
  <c r="P27" i="12"/>
  <c r="R27" i="12"/>
  <c r="S27" i="12"/>
  <c r="N28" i="12"/>
  <c r="O28" i="12" s="1"/>
  <c r="P28" i="12"/>
  <c r="R28" i="12"/>
  <c r="S28" i="12"/>
  <c r="K10" i="11"/>
  <c r="L10" i="11"/>
  <c r="N10" i="11" s="1"/>
  <c r="K11" i="11"/>
  <c r="O11" i="11" s="1"/>
  <c r="L11" i="11"/>
  <c r="N11" i="11" s="1"/>
  <c r="K12" i="11"/>
  <c r="O12" i="11" s="1"/>
  <c r="L12" i="11"/>
  <c r="N12" i="11" s="1"/>
  <c r="K13" i="11"/>
  <c r="O13" i="11" s="1"/>
  <c r="L13" i="11"/>
  <c r="N13" i="11" s="1"/>
  <c r="K14" i="11"/>
  <c r="O14" i="11" s="1"/>
  <c r="L14" i="11"/>
  <c r="N14" i="11" s="1"/>
  <c r="K15" i="11"/>
  <c r="O15" i="11" s="1"/>
  <c r="Q15" i="11" s="1"/>
  <c r="L15" i="11"/>
  <c r="N15" i="11" s="1"/>
  <c r="K16" i="11"/>
  <c r="O16" i="11" s="1"/>
  <c r="Q16" i="11" s="1"/>
  <c r="L16" i="11"/>
  <c r="N16" i="11" s="1"/>
  <c r="K17" i="11"/>
  <c r="O17" i="11" s="1"/>
  <c r="L17" i="11"/>
  <c r="N17" i="11" s="1"/>
  <c r="K18" i="11"/>
  <c r="O18" i="11" s="1"/>
  <c r="L18" i="11"/>
  <c r="N18" i="11" s="1"/>
  <c r="K19" i="11"/>
  <c r="O19" i="11" s="1"/>
  <c r="Q19" i="11" s="1"/>
  <c r="L19" i="11"/>
  <c r="N19" i="11" s="1"/>
  <c r="K20" i="11"/>
  <c r="O20" i="11" s="1"/>
  <c r="L20" i="11"/>
  <c r="N20" i="11" s="1"/>
  <c r="K21" i="11"/>
  <c r="O21" i="11" s="1"/>
  <c r="L21" i="11"/>
  <c r="N21" i="11" s="1"/>
  <c r="K22" i="11"/>
  <c r="O22" i="11" s="1"/>
  <c r="Q22" i="11" s="1"/>
  <c r="L22" i="11"/>
  <c r="N22" i="11" s="1"/>
  <c r="K23" i="11"/>
  <c r="O23" i="11" s="1"/>
  <c r="Q23" i="11" s="1"/>
  <c r="L23" i="11"/>
  <c r="N23" i="11" s="1"/>
  <c r="K24" i="11"/>
  <c r="O24" i="11" s="1"/>
  <c r="Q24" i="11" s="1"/>
  <c r="L24" i="11"/>
  <c r="N24" i="11" s="1"/>
  <c r="K25" i="11"/>
  <c r="O25" i="11" s="1"/>
  <c r="L25" i="11"/>
  <c r="N25" i="11" s="1"/>
  <c r="K26" i="11"/>
  <c r="O26" i="11" s="1"/>
  <c r="L26" i="11"/>
  <c r="N26" i="11" s="1"/>
  <c r="K27" i="11"/>
  <c r="O27" i="11" s="1"/>
  <c r="Q27" i="11" s="1"/>
  <c r="L27" i="11"/>
  <c r="N27" i="11" s="1"/>
  <c r="K28" i="11"/>
  <c r="O28" i="11" s="1"/>
  <c r="Q28" i="11" s="1"/>
  <c r="L28" i="11"/>
  <c r="N28" i="11" s="1"/>
  <c r="M28" i="10"/>
  <c r="N28" i="10"/>
  <c r="L14" i="10"/>
  <c r="O14" i="10" s="1"/>
  <c r="L15" i="10"/>
  <c r="O15" i="10" s="1"/>
  <c r="L16" i="10"/>
  <c r="O16" i="10" s="1"/>
  <c r="L23" i="10"/>
  <c r="O23" i="10" s="1"/>
  <c r="L24" i="10"/>
  <c r="O24" i="10" s="1"/>
  <c r="L25" i="10"/>
  <c r="O25" i="10" s="1"/>
  <c r="L26" i="10"/>
  <c r="O26" i="10" s="1"/>
  <c r="L27" i="10"/>
  <c r="O27" i="10" s="1"/>
  <c r="M21" i="11" l="1"/>
  <c r="R21" i="11" s="1"/>
  <c r="M13" i="11"/>
  <c r="M25" i="11"/>
  <c r="R25" i="11" s="1"/>
  <c r="M28" i="11"/>
  <c r="R28" i="11" s="1"/>
  <c r="M24" i="11"/>
  <c r="R24" i="11" s="1"/>
  <c r="P24" i="11"/>
  <c r="M20" i="11"/>
  <c r="R20" i="11" s="1"/>
  <c r="M16" i="11"/>
  <c r="R16" i="11" s="1"/>
  <c r="M12" i="11"/>
  <c r="R12" i="11" s="1"/>
  <c r="P12" i="11"/>
  <c r="M17" i="11"/>
  <c r="R17" i="11" s="1"/>
  <c r="P17" i="11"/>
  <c r="M26" i="11"/>
  <c r="R26" i="11" s="1"/>
  <c r="M22" i="11"/>
  <c r="R22" i="11" s="1"/>
  <c r="M18" i="11"/>
  <c r="R18" i="11" s="1"/>
  <c r="P18" i="11"/>
  <c r="M14" i="11"/>
  <c r="R14" i="11" s="1"/>
  <c r="M10" i="11"/>
  <c r="M23" i="11"/>
  <c r="R23" i="11" s="1"/>
  <c r="P11" i="11"/>
  <c r="M15" i="11"/>
  <c r="R15" i="11" s="1"/>
  <c r="M27" i="11"/>
  <c r="R27" i="11" s="1"/>
  <c r="P26" i="11"/>
  <c r="M19" i="11"/>
  <c r="R19" i="11" s="1"/>
  <c r="P25" i="11"/>
  <c r="P27" i="11"/>
  <c r="M11" i="11"/>
  <c r="R11" i="11" s="1"/>
  <c r="P14" i="11"/>
  <c r="P22" i="11"/>
  <c r="P21" i="11"/>
  <c r="P13" i="11"/>
  <c r="T27" i="12"/>
  <c r="T26" i="12"/>
  <c r="Q27" i="12"/>
  <c r="Q26" i="12"/>
  <c r="P19" i="11"/>
  <c r="Q14" i="11"/>
  <c r="Q11" i="11"/>
  <c r="Q26" i="11"/>
  <c r="P23" i="11"/>
  <c r="Q18" i="11"/>
  <c r="P15" i="11"/>
  <c r="Q25" i="12"/>
  <c r="Q28" i="12"/>
  <c r="T28" i="12"/>
  <c r="T25" i="12"/>
  <c r="Q20" i="11"/>
  <c r="Q21" i="11"/>
  <c r="Q12" i="11"/>
  <c r="R13" i="11"/>
  <c r="P28" i="11"/>
  <c r="Q25" i="11"/>
  <c r="P20" i="11"/>
  <c r="Q17" i="11"/>
  <c r="P16" i="11"/>
  <c r="Q13" i="11"/>
  <c r="N9" i="26" l="1"/>
  <c r="O9" i="26" s="1"/>
  <c r="Q9" i="26" s="1"/>
  <c r="O10" i="26"/>
  <c r="Q10" i="26" s="1"/>
  <c r="O11" i="26"/>
  <c r="Q11" i="26" s="1"/>
  <c r="O12" i="26"/>
  <c r="Q12" i="26" s="1"/>
  <c r="O13" i="26"/>
  <c r="Q13" i="26" s="1"/>
  <c r="O14" i="26"/>
  <c r="Q14" i="26" s="1"/>
  <c r="O15" i="26"/>
  <c r="Q15" i="26" s="1"/>
  <c r="O16" i="26"/>
  <c r="Q16" i="26" s="1"/>
  <c r="AU32" i="4" l="1"/>
  <c r="AW32" i="4"/>
  <c r="AU31" i="4"/>
  <c r="I31" i="4"/>
  <c r="AW31" i="4" s="1"/>
  <c r="AU30" i="4"/>
  <c r="I30" i="4"/>
  <c r="AU29" i="4"/>
  <c r="I29" i="4"/>
  <c r="AW29" i="4" s="1"/>
  <c r="AU28" i="4"/>
  <c r="V28" i="35"/>
  <c r="I28" i="4"/>
  <c r="AW28" i="4" s="1"/>
  <c r="AU27" i="4"/>
  <c r="V27" i="35"/>
  <c r="I27" i="4"/>
  <c r="AW27" i="4" s="1"/>
  <c r="AU26" i="4"/>
  <c r="V26" i="35"/>
  <c r="I26" i="4"/>
  <c r="AW26" i="4" s="1"/>
  <c r="AU25" i="4"/>
  <c r="V25" i="35"/>
  <c r="I25" i="4"/>
  <c r="AW25" i="4" s="1"/>
  <c r="AU24" i="4"/>
  <c r="V23" i="35"/>
  <c r="I24" i="4"/>
  <c r="AW24" i="4" s="1"/>
  <c r="AU23" i="4"/>
  <c r="V22" i="35"/>
  <c r="I23" i="4"/>
  <c r="AW23" i="4" s="1"/>
  <c r="AU22" i="4"/>
  <c r="V21" i="35"/>
  <c r="AU21" i="4"/>
  <c r="V20" i="35"/>
  <c r="I21" i="4"/>
  <c r="AW21" i="4" s="1"/>
  <c r="AU20" i="4"/>
  <c r="V18" i="35"/>
  <c r="I20" i="4"/>
  <c r="AW20" i="4" s="1"/>
  <c r="AU19" i="4"/>
  <c r="V17" i="35"/>
  <c r="I19" i="4"/>
  <c r="AW19" i="4" s="1"/>
  <c r="AU18" i="4"/>
  <c r="V16" i="35"/>
  <c r="I18" i="4"/>
  <c r="AW18" i="4" s="1"/>
  <c r="AU17" i="4"/>
  <c r="V15" i="35"/>
  <c r="I17" i="4"/>
  <c r="AU16" i="4"/>
  <c r="I16" i="4"/>
  <c r="AW16" i="4" s="1"/>
  <c r="I15" i="4"/>
  <c r="AW15" i="4" s="1"/>
  <c r="I14" i="4"/>
  <c r="AU33" i="4" l="1"/>
  <c r="AU35" i="4"/>
  <c r="AU39" i="4"/>
  <c r="AU36" i="4"/>
  <c r="AU37" i="4"/>
  <c r="AU38" i="4"/>
  <c r="I36" i="4"/>
  <c r="E9" i="1" s="1"/>
  <c r="I38" i="4"/>
  <c r="E11" i="1" s="1"/>
  <c r="I37" i="4"/>
  <c r="E10" i="1" s="1"/>
  <c r="I39" i="4"/>
  <c r="E12" i="1" s="1"/>
  <c r="I35" i="4"/>
  <c r="E8" i="1" s="1"/>
  <c r="G8" i="1" s="1"/>
  <c r="H8" i="1" s="1"/>
  <c r="I8" i="1" s="1"/>
  <c r="AW14" i="4"/>
  <c r="I33" i="4"/>
  <c r="V13" i="35"/>
  <c r="U10" i="35"/>
  <c r="AV22" i="4"/>
  <c r="AV18" i="4"/>
  <c r="AV15" i="4"/>
  <c r="AE29" i="4"/>
  <c r="AT30" i="4"/>
  <c r="AE31" i="4"/>
  <c r="AE32" i="4"/>
  <c r="AT19" i="4"/>
  <c r="AT20" i="4"/>
  <c r="AT24" i="4"/>
  <c r="AT18" i="4"/>
  <c r="AE19" i="4"/>
  <c r="AV30" i="4"/>
  <c r="AT15" i="4"/>
  <c r="AE18" i="4"/>
  <c r="AV26" i="4"/>
  <c r="AT28" i="4"/>
  <c r="AT32" i="4"/>
  <c r="AE16" i="4"/>
  <c r="D16" i="1"/>
  <c r="AV20" i="4"/>
  <c r="G24" i="1"/>
  <c r="D24" i="1"/>
  <c r="AE21" i="4"/>
  <c r="AT22" i="4"/>
  <c r="AE23" i="4"/>
  <c r="AT23" i="4"/>
  <c r="AV24" i="4"/>
  <c r="D25" i="1"/>
  <c r="G25" i="1"/>
  <c r="AE25" i="4"/>
  <c r="AT26" i="4"/>
  <c r="AE27" i="4"/>
  <c r="AT27" i="4"/>
  <c r="AV28" i="4"/>
  <c r="D26" i="1"/>
  <c r="G26" i="1"/>
  <c r="AT31" i="4"/>
  <c r="AV32" i="4"/>
  <c r="O10" i="11"/>
  <c r="O29" i="11" s="1"/>
  <c r="AT14" i="4"/>
  <c r="G10" i="12" s="1"/>
  <c r="P19" i="4"/>
  <c r="AE20" i="4"/>
  <c r="D17" i="1"/>
  <c r="AT21" i="4"/>
  <c r="AE24" i="4"/>
  <c r="D18" i="1"/>
  <c r="AE28" i="4"/>
  <c r="D19" i="1"/>
  <c r="AT29" i="4"/>
  <c r="P15" i="4"/>
  <c r="AT16" i="4"/>
  <c r="D23" i="1"/>
  <c r="P23" i="4"/>
  <c r="AE26" i="4"/>
  <c r="P27" i="4"/>
  <c r="P31" i="4"/>
  <c r="P17" i="4"/>
  <c r="G9" i="35"/>
  <c r="AV14" i="4"/>
  <c r="P14" i="4"/>
  <c r="AE15" i="4"/>
  <c r="AV16" i="4"/>
  <c r="P16" i="4"/>
  <c r="AT17" i="4"/>
  <c r="AW17" i="4"/>
  <c r="I9" i="35"/>
  <c r="AE14" i="4"/>
  <c r="AE17" i="4"/>
  <c r="AV17" i="4"/>
  <c r="AV19" i="4"/>
  <c r="P21" i="4"/>
  <c r="AV21" i="4"/>
  <c r="AE22" i="4"/>
  <c r="AW22" i="4"/>
  <c r="AT25" i="4"/>
  <c r="AV27" i="4"/>
  <c r="P29" i="4"/>
  <c r="AV29" i="4"/>
  <c r="AE30" i="4"/>
  <c r="AW30" i="4"/>
  <c r="P18" i="4"/>
  <c r="P24" i="4"/>
  <c r="P26" i="4"/>
  <c r="P32" i="4"/>
  <c r="AV23" i="4"/>
  <c r="P25" i="4"/>
  <c r="AV25" i="4"/>
  <c r="AV31" i="4"/>
  <c r="P20" i="4"/>
  <c r="P28" i="4"/>
  <c r="P30" i="4"/>
  <c r="F22" i="27"/>
  <c r="G22" i="27"/>
  <c r="H22" i="27"/>
  <c r="S10" i="26"/>
  <c r="U10" i="26" s="1"/>
  <c r="S11" i="26"/>
  <c r="U11" i="26" s="1"/>
  <c r="S12" i="26"/>
  <c r="U12" i="26" s="1"/>
  <c r="S13" i="26"/>
  <c r="U13" i="26" s="1"/>
  <c r="S14" i="26"/>
  <c r="U14" i="26" s="1"/>
  <c r="S15" i="26"/>
  <c r="U15" i="26" s="1"/>
  <c r="S16" i="26"/>
  <c r="U16" i="26" s="1"/>
  <c r="A4" i="26"/>
  <c r="G4" i="26"/>
  <c r="G3" i="26"/>
  <c r="A3" i="26"/>
  <c r="A4" i="25"/>
  <c r="F4" i="25"/>
  <c r="F3" i="25"/>
  <c r="A3" i="25"/>
  <c r="F17" i="23"/>
  <c r="F16" i="23"/>
  <c r="F15" i="23"/>
  <c r="F14" i="23"/>
  <c r="F13" i="23"/>
  <c r="F12" i="23"/>
  <c r="F11" i="23"/>
  <c r="F10" i="23"/>
  <c r="A4" i="23"/>
  <c r="G4" i="23"/>
  <c r="G3" i="23"/>
  <c r="A3" i="23"/>
  <c r="A4" i="22"/>
  <c r="J4" i="22"/>
  <c r="J3" i="22"/>
  <c r="A3" i="22"/>
  <c r="E24" i="6"/>
  <c r="F24" i="6"/>
  <c r="E17" i="6"/>
  <c r="F17" i="6"/>
  <c r="E4" i="15"/>
  <c r="A4" i="15"/>
  <c r="E3" i="15"/>
  <c r="A3" i="15"/>
  <c r="A4" i="13"/>
  <c r="E4" i="13"/>
  <c r="E3" i="13"/>
  <c r="A3" i="13"/>
  <c r="A4" i="12"/>
  <c r="G4" i="12"/>
  <c r="G3" i="12"/>
  <c r="A3" i="12"/>
  <c r="A4" i="11"/>
  <c r="G4" i="11"/>
  <c r="G3" i="11"/>
  <c r="A3" i="11"/>
  <c r="A4" i="10"/>
  <c r="F3" i="10"/>
  <c r="A3" i="10"/>
  <c r="A4" i="9"/>
  <c r="F3" i="9"/>
  <c r="A3" i="9"/>
  <c r="A4" i="8"/>
  <c r="C4" i="8"/>
  <c r="C3" i="8"/>
  <c r="A3" i="8"/>
  <c r="A4" i="6"/>
  <c r="E3" i="6"/>
  <c r="A3" i="6"/>
  <c r="A4" i="4"/>
  <c r="H3" i="4"/>
  <c r="A3" i="4"/>
  <c r="A4" i="3"/>
  <c r="D3" i="3"/>
  <c r="B3" i="3"/>
  <c r="A3" i="3"/>
  <c r="A4" i="2"/>
  <c r="F3" i="2"/>
  <c r="C3" i="2"/>
  <c r="A3" i="2"/>
  <c r="D3" i="1"/>
  <c r="A4" i="1"/>
  <c r="A3" i="1"/>
  <c r="D6" i="18"/>
  <c r="D7" i="18" s="1"/>
  <c r="D8" i="18" s="1"/>
  <c r="D9" i="18" s="1"/>
  <c r="D10" i="18" s="1"/>
  <c r="D11" i="18" s="1"/>
  <c r="D12" i="18" s="1"/>
  <c r="D13" i="18" s="1"/>
  <c r="D14" i="18" s="1"/>
  <c r="D15" i="18" s="1"/>
  <c r="D16" i="18" s="1"/>
  <c r="D17" i="18" s="1"/>
  <c r="D18" i="18" s="1"/>
  <c r="D19" i="18" s="1"/>
  <c r="D20" i="18" s="1"/>
  <c r="D21" i="18" s="1"/>
  <c r="D22" i="18" s="1"/>
  <c r="D23" i="18" s="1"/>
  <c r="D24" i="18" s="1"/>
  <c r="D25" i="18" s="1"/>
  <c r="D26" i="18" s="1"/>
  <c r="D27" i="18" s="1"/>
  <c r="D28" i="18" s="1"/>
  <c r="I24" i="13"/>
  <c r="J24" i="13" s="1"/>
  <c r="G19" i="13"/>
  <c r="L13" i="13"/>
  <c r="K13" i="13"/>
  <c r="J13" i="13"/>
  <c r="I13" i="13"/>
  <c r="H13" i="13"/>
  <c r="F13" i="13"/>
  <c r="D13" i="13"/>
  <c r="M12" i="13"/>
  <c r="N12" i="13" s="1"/>
  <c r="M11" i="13"/>
  <c r="N11" i="13" s="1"/>
  <c r="L24" i="12"/>
  <c r="M24" i="12" s="1"/>
  <c r="L23" i="12"/>
  <c r="M23" i="12" s="1"/>
  <c r="L22" i="12"/>
  <c r="M22" i="12" s="1"/>
  <c r="L21" i="12"/>
  <c r="M21" i="12" s="1"/>
  <c r="L20" i="12"/>
  <c r="M20" i="12" s="1"/>
  <c r="L19" i="12"/>
  <c r="M19" i="12" s="1"/>
  <c r="L18" i="12"/>
  <c r="M18" i="12" s="1"/>
  <c r="L17" i="12"/>
  <c r="M17" i="12" s="1"/>
  <c r="L16" i="12"/>
  <c r="M16" i="12" s="1"/>
  <c r="L15" i="12"/>
  <c r="M15" i="12" s="1"/>
  <c r="L14" i="12"/>
  <c r="M14" i="12" s="1"/>
  <c r="L13" i="12"/>
  <c r="M13" i="12" s="1"/>
  <c r="L12" i="12"/>
  <c r="M12" i="12" s="1"/>
  <c r="L11" i="12"/>
  <c r="M11" i="12" s="1"/>
  <c r="L10" i="12"/>
  <c r="M10" i="12" s="1"/>
  <c r="P9" i="12"/>
  <c r="G24" i="6"/>
  <c r="P13" i="12" l="1"/>
  <c r="R13" i="12"/>
  <c r="P17" i="12"/>
  <c r="R17" i="12"/>
  <c r="P21" i="12"/>
  <c r="R21" i="12"/>
  <c r="P14" i="12"/>
  <c r="R14" i="12"/>
  <c r="P18" i="12"/>
  <c r="R18" i="12"/>
  <c r="P22" i="12"/>
  <c r="R22" i="12"/>
  <c r="P15" i="12"/>
  <c r="Q15" i="12" s="1"/>
  <c r="R15" i="12"/>
  <c r="P23" i="12"/>
  <c r="R23" i="12"/>
  <c r="P19" i="12"/>
  <c r="R19" i="12"/>
  <c r="P12" i="12"/>
  <c r="R12" i="12"/>
  <c r="P16" i="12"/>
  <c r="Q16" i="12" s="1"/>
  <c r="R16" i="12"/>
  <c r="P20" i="12"/>
  <c r="R20" i="12"/>
  <c r="P24" i="12"/>
  <c r="Q24" i="12" s="1"/>
  <c r="R24" i="12"/>
  <c r="E17" i="12"/>
  <c r="E17" i="11"/>
  <c r="E17" i="35"/>
  <c r="I16" i="35"/>
  <c r="G16" i="12"/>
  <c r="E21" i="11"/>
  <c r="E21" i="35"/>
  <c r="E21" i="12"/>
  <c r="E23" i="12"/>
  <c r="E23" i="11"/>
  <c r="E23" i="35"/>
  <c r="G24" i="35"/>
  <c r="F24" i="11"/>
  <c r="S24" i="11" s="1"/>
  <c r="F24" i="12"/>
  <c r="I22" i="35"/>
  <c r="G22" i="12"/>
  <c r="G17" i="35"/>
  <c r="F17" i="11"/>
  <c r="S17" i="11" s="1"/>
  <c r="F17" i="12"/>
  <c r="I15" i="35"/>
  <c r="G15" i="12"/>
  <c r="E27" i="35"/>
  <c r="E27" i="12"/>
  <c r="E27" i="11"/>
  <c r="E25" i="12"/>
  <c r="E25" i="11"/>
  <c r="E25" i="35"/>
  <c r="G11" i="35"/>
  <c r="F11" i="12"/>
  <c r="F11" i="11"/>
  <c r="S11" i="11" s="1"/>
  <c r="G22" i="35"/>
  <c r="F22" i="12"/>
  <c r="F22" i="11"/>
  <c r="S22" i="11" s="1"/>
  <c r="G21" i="35"/>
  <c r="F21" i="12"/>
  <c r="F21" i="11"/>
  <c r="S21" i="11" s="1"/>
  <c r="G14" i="35"/>
  <c r="F14" i="11"/>
  <c r="S14" i="11" s="1"/>
  <c r="F14" i="12"/>
  <c r="G28" i="35"/>
  <c r="F28" i="12"/>
  <c r="F28" i="11"/>
  <c r="S28" i="11" s="1"/>
  <c r="E12" i="11"/>
  <c r="E12" i="35"/>
  <c r="E12" i="12"/>
  <c r="I24" i="35"/>
  <c r="G24" i="12"/>
  <c r="E28" i="11"/>
  <c r="E28" i="12"/>
  <c r="E28" i="35"/>
  <c r="G13" i="35"/>
  <c r="F13" i="12"/>
  <c r="F13" i="11"/>
  <c r="S13" i="11" s="1"/>
  <c r="E10" i="35"/>
  <c r="E10" i="12"/>
  <c r="E10" i="11"/>
  <c r="E19" i="35"/>
  <c r="E19" i="12"/>
  <c r="E19" i="11"/>
  <c r="G20" i="35"/>
  <c r="F20" i="11"/>
  <c r="S20" i="11" s="1"/>
  <c r="F20" i="12"/>
  <c r="I27" i="35"/>
  <c r="G27" i="12"/>
  <c r="I11" i="35"/>
  <c r="G11" i="12"/>
  <c r="G27" i="35"/>
  <c r="F27" i="12"/>
  <c r="F27" i="11"/>
  <c r="S27" i="11" s="1"/>
  <c r="E26" i="35"/>
  <c r="W26" i="35" s="1"/>
  <c r="E26" i="12"/>
  <c r="E26" i="11"/>
  <c r="E22" i="12"/>
  <c r="E22" i="11"/>
  <c r="E22" i="35"/>
  <c r="I21" i="35"/>
  <c r="G21" i="12"/>
  <c r="F10" i="12"/>
  <c r="F10" i="11"/>
  <c r="I17" i="35"/>
  <c r="G17" i="12"/>
  <c r="I26" i="35"/>
  <c r="G26" i="12"/>
  <c r="G23" i="35"/>
  <c r="F23" i="12"/>
  <c r="F23" i="11"/>
  <c r="S23" i="11" s="1"/>
  <c r="E24" i="12"/>
  <c r="E24" i="11"/>
  <c r="E24" i="35"/>
  <c r="E20" i="11"/>
  <c r="E20" i="35"/>
  <c r="E20" i="12"/>
  <c r="I12" i="35"/>
  <c r="G12" i="12"/>
  <c r="G15" i="35"/>
  <c r="F15" i="12"/>
  <c r="F15" i="11"/>
  <c r="S15" i="11" s="1"/>
  <c r="G25" i="35"/>
  <c r="F25" i="11"/>
  <c r="S25" i="11" s="1"/>
  <c r="F25" i="12"/>
  <c r="E16" i="12"/>
  <c r="E16" i="11"/>
  <c r="E16" i="35"/>
  <c r="E14" i="12"/>
  <c r="E14" i="35"/>
  <c r="E14" i="11"/>
  <c r="E13" i="11"/>
  <c r="E13" i="35"/>
  <c r="E13" i="12"/>
  <c r="E11" i="35"/>
  <c r="E11" i="12"/>
  <c r="E11" i="11"/>
  <c r="G16" i="35"/>
  <c r="F16" i="11"/>
  <c r="S16" i="11" s="1"/>
  <c r="F16" i="12"/>
  <c r="I19" i="35"/>
  <c r="W19" i="35" s="1"/>
  <c r="Y19" i="35" s="1"/>
  <c r="G19" i="12"/>
  <c r="G12" i="35"/>
  <c r="F12" i="12"/>
  <c r="F12" i="11"/>
  <c r="S12" i="11" s="1"/>
  <c r="I14" i="35"/>
  <c r="W14" i="35" s="1"/>
  <c r="Y14" i="35" s="1"/>
  <c r="G14" i="12"/>
  <c r="G26" i="35"/>
  <c r="F26" i="12"/>
  <c r="F26" i="11"/>
  <c r="S26" i="11" s="1"/>
  <c r="I18" i="35"/>
  <c r="W18" i="35" s="1"/>
  <c r="G18" i="12"/>
  <c r="G18" i="35"/>
  <c r="F18" i="12"/>
  <c r="F18" i="11"/>
  <c r="S18" i="11" s="1"/>
  <c r="I13" i="35"/>
  <c r="G13" i="12"/>
  <c r="I25" i="35"/>
  <c r="G25" i="12"/>
  <c r="E15" i="12"/>
  <c r="E15" i="11"/>
  <c r="E15" i="35"/>
  <c r="I23" i="35"/>
  <c r="G23" i="12"/>
  <c r="G19" i="35"/>
  <c r="F19" i="12"/>
  <c r="F19" i="11"/>
  <c r="S19" i="11" s="1"/>
  <c r="I28" i="35"/>
  <c r="G28" i="12"/>
  <c r="I20" i="35"/>
  <c r="G20" i="12"/>
  <c r="AW33" i="4"/>
  <c r="I10" i="35"/>
  <c r="AT33" i="4"/>
  <c r="V10" i="35"/>
  <c r="G10" i="35"/>
  <c r="AE33" i="4"/>
  <c r="W9" i="35"/>
  <c r="AV33" i="4"/>
  <c r="P35" i="4"/>
  <c r="AE36" i="4"/>
  <c r="AE35" i="4"/>
  <c r="AE38" i="4"/>
  <c r="AE39" i="4"/>
  <c r="AE37" i="4"/>
  <c r="AT36" i="4"/>
  <c r="AT35" i="4"/>
  <c r="AT38" i="4"/>
  <c r="AT37" i="4"/>
  <c r="AT39" i="4"/>
  <c r="AW37" i="4"/>
  <c r="AW36" i="4"/>
  <c r="AW38" i="4"/>
  <c r="AW35" i="4"/>
  <c r="AW39" i="4"/>
  <c r="P36" i="4"/>
  <c r="P37" i="4"/>
  <c r="P39" i="4"/>
  <c r="P38" i="4"/>
  <c r="AV37" i="4"/>
  <c r="AV35" i="4"/>
  <c r="AV38" i="4"/>
  <c r="AV36" i="4"/>
  <c r="AV39" i="4"/>
  <c r="U11" i="35"/>
  <c r="V11" i="35" s="1"/>
  <c r="P33" i="4"/>
  <c r="G17" i="1"/>
  <c r="G9" i="1"/>
  <c r="D9" i="1"/>
  <c r="D11" i="1"/>
  <c r="D10" i="1"/>
  <c r="D31" i="1" s="1"/>
  <c r="G19" i="1"/>
  <c r="H19" i="1" s="1"/>
  <c r="D12" i="1"/>
  <c r="G23" i="1"/>
  <c r="Q10" i="11"/>
  <c r="P10" i="11"/>
  <c r="R10" i="11"/>
  <c r="W22" i="35"/>
  <c r="P10" i="12"/>
  <c r="R10" i="12"/>
  <c r="P11" i="12"/>
  <c r="R11" i="12"/>
  <c r="V12" i="35"/>
  <c r="I29" i="10"/>
  <c r="I30" i="10" s="1"/>
  <c r="C31" i="1"/>
  <c r="AX27" i="4"/>
  <c r="C27" i="1"/>
  <c r="F27" i="1"/>
  <c r="E27" i="1"/>
  <c r="F29" i="1"/>
  <c r="F31" i="1"/>
  <c r="Q9" i="12"/>
  <c r="AX15" i="4"/>
  <c r="F33" i="1"/>
  <c r="C33" i="1"/>
  <c r="F32" i="1"/>
  <c r="F20" i="1"/>
  <c r="AX18" i="4"/>
  <c r="N10" i="12"/>
  <c r="O10" i="12" s="1"/>
  <c r="S10" i="12"/>
  <c r="N12" i="12"/>
  <c r="O12" i="12" s="1"/>
  <c r="S12" i="12"/>
  <c r="N14" i="12"/>
  <c r="O14" i="12" s="1"/>
  <c r="S14" i="12"/>
  <c r="S16" i="12"/>
  <c r="N16" i="12"/>
  <c r="O16" i="12" s="1"/>
  <c r="S18" i="12"/>
  <c r="N18" i="12"/>
  <c r="O18" i="12" s="1"/>
  <c r="S20" i="12"/>
  <c r="N20" i="12"/>
  <c r="O20" i="12" s="1"/>
  <c r="S22" i="12"/>
  <c r="N22" i="12"/>
  <c r="O22" i="12" s="1"/>
  <c r="S24" i="12"/>
  <c r="N24" i="12"/>
  <c r="O24" i="12" s="1"/>
  <c r="K24" i="13"/>
  <c r="B20" i="13" s="1"/>
  <c r="B21" i="13" s="1"/>
  <c r="AX22" i="4"/>
  <c r="AX24" i="4"/>
  <c r="AX23" i="4"/>
  <c r="I33" i="9"/>
  <c r="I34" i="9" s="1"/>
  <c r="C32" i="1"/>
  <c r="AX19" i="4"/>
  <c r="F13" i="1"/>
  <c r="AX20" i="4"/>
  <c r="AX26" i="4"/>
  <c r="F30" i="1"/>
  <c r="B32" i="1"/>
  <c r="C29" i="1"/>
  <c r="C20" i="1"/>
  <c r="N11" i="12"/>
  <c r="O11" i="12" s="1"/>
  <c r="S11" i="12"/>
  <c r="N13" i="12"/>
  <c r="O13" i="12" s="1"/>
  <c r="S13" i="12"/>
  <c r="N15" i="12"/>
  <c r="O15" i="12" s="1"/>
  <c r="S15" i="12"/>
  <c r="S17" i="12"/>
  <c r="N17" i="12"/>
  <c r="O17" i="12" s="1"/>
  <c r="N19" i="12"/>
  <c r="O19" i="12" s="1"/>
  <c r="S19" i="12"/>
  <c r="S21" i="12"/>
  <c r="N21" i="12"/>
  <c r="O21" i="12" s="1"/>
  <c r="S23" i="12"/>
  <c r="N23" i="12"/>
  <c r="O23" i="12" s="1"/>
  <c r="AX28" i="4"/>
  <c r="AX32" i="4"/>
  <c r="AX16" i="4"/>
  <c r="AX31" i="4"/>
  <c r="B30" i="1"/>
  <c r="C30" i="1"/>
  <c r="C13" i="1"/>
  <c r="B31" i="1"/>
  <c r="L28" i="10"/>
  <c r="O28" i="10"/>
  <c r="G18" i="1"/>
  <c r="M13" i="13"/>
  <c r="N13" i="13"/>
  <c r="AX14" i="4"/>
  <c r="AX21" i="4"/>
  <c r="AX17" i="4"/>
  <c r="AX25" i="4"/>
  <c r="AX29" i="4"/>
  <c r="AX30" i="4"/>
  <c r="Q21" i="12" l="1"/>
  <c r="Q12" i="12"/>
  <c r="Q22" i="12"/>
  <c r="Q19" i="12"/>
  <c r="Q18" i="12"/>
  <c r="Q17" i="12"/>
  <c r="W28" i="35"/>
  <c r="Y28" i="35" s="1"/>
  <c r="W13" i="35"/>
  <c r="X13" i="35" s="1"/>
  <c r="Z13" i="35" s="1"/>
  <c r="AA13" i="35" s="1"/>
  <c r="W15" i="35"/>
  <c r="X15" i="35" s="1"/>
  <c r="W16" i="35"/>
  <c r="Y16" i="35" s="1"/>
  <c r="V31" i="35"/>
  <c r="V33" i="35"/>
  <c r="V35" i="35"/>
  <c r="V34" i="35"/>
  <c r="V32" i="35"/>
  <c r="W21" i="35"/>
  <c r="X21" i="35" s="1"/>
  <c r="Z21" i="35" s="1"/>
  <c r="AA21" i="35" s="1"/>
  <c r="W24" i="35"/>
  <c r="U32" i="35"/>
  <c r="U34" i="35"/>
  <c r="U33" i="35"/>
  <c r="W20" i="35"/>
  <c r="X20" i="35" s="1"/>
  <c r="W25" i="35"/>
  <c r="X25" i="35" s="1"/>
  <c r="Z25" i="35" s="1"/>
  <c r="U35" i="35"/>
  <c r="U31" i="35"/>
  <c r="X14" i="35"/>
  <c r="Z14" i="35" s="1"/>
  <c r="AA14" i="35" s="1"/>
  <c r="W23" i="35"/>
  <c r="Y23" i="35" s="1"/>
  <c r="X19" i="35"/>
  <c r="Z19" i="35" s="1"/>
  <c r="AA19" i="35" s="1"/>
  <c r="Q20" i="12"/>
  <c r="Q23" i="12"/>
  <c r="Q14" i="12"/>
  <c r="Q13" i="12"/>
  <c r="I33" i="35"/>
  <c r="W27" i="35"/>
  <c r="X27" i="35" s="1"/>
  <c r="Z27" i="35" s="1"/>
  <c r="AA27" i="35" s="1"/>
  <c r="G32" i="12"/>
  <c r="G31" i="12"/>
  <c r="G33" i="12"/>
  <c r="E29" i="11"/>
  <c r="E35" i="11"/>
  <c r="E34" i="11"/>
  <c r="E31" i="11"/>
  <c r="E32" i="11"/>
  <c r="E33" i="11"/>
  <c r="G31" i="35"/>
  <c r="G35" i="12"/>
  <c r="S10" i="11"/>
  <c r="F31" i="11"/>
  <c r="F32" i="11"/>
  <c r="F34" i="11"/>
  <c r="F29" i="11"/>
  <c r="F35" i="11"/>
  <c r="F33" i="11"/>
  <c r="E31" i="12"/>
  <c r="E29" i="12"/>
  <c r="E32" i="12"/>
  <c r="E35" i="12"/>
  <c r="E33" i="12"/>
  <c r="E34" i="12"/>
  <c r="G34" i="12"/>
  <c r="F29" i="12"/>
  <c r="F35" i="12"/>
  <c r="F32" i="12"/>
  <c r="F33" i="12"/>
  <c r="F31" i="12"/>
  <c r="F34" i="12"/>
  <c r="E35" i="35"/>
  <c r="E32" i="35"/>
  <c r="E29" i="35"/>
  <c r="E34" i="35"/>
  <c r="E33" i="35"/>
  <c r="E31" i="35"/>
  <c r="I34" i="35"/>
  <c r="W17" i="35"/>
  <c r="Y17" i="35" s="1"/>
  <c r="I29" i="35"/>
  <c r="I32" i="35"/>
  <c r="I31" i="35"/>
  <c r="I35" i="35"/>
  <c r="G29" i="12"/>
  <c r="V9" i="12"/>
  <c r="X9" i="12"/>
  <c r="Y9" i="12" s="1"/>
  <c r="G35" i="35"/>
  <c r="Y9" i="35"/>
  <c r="X9" i="35"/>
  <c r="U29" i="35"/>
  <c r="B34" i="1"/>
  <c r="G33" i="35"/>
  <c r="G32" i="35"/>
  <c r="G29" i="35"/>
  <c r="G34" i="35"/>
  <c r="AX33" i="4"/>
  <c r="S29" i="12"/>
  <c r="AX35" i="4"/>
  <c r="AX36" i="4"/>
  <c r="AX38" i="4"/>
  <c r="AX39" i="4"/>
  <c r="AX37" i="4"/>
  <c r="U26" i="12"/>
  <c r="W26" i="12" s="1"/>
  <c r="D29" i="1"/>
  <c r="G11" i="1"/>
  <c r="G10" i="1"/>
  <c r="G12" i="1"/>
  <c r="G16" i="1"/>
  <c r="H16" i="1" s="1"/>
  <c r="I16" i="1" s="1"/>
  <c r="Y15" i="35"/>
  <c r="H17" i="1"/>
  <c r="I17" i="1" s="1"/>
  <c r="U27" i="12"/>
  <c r="W27" i="12" s="1"/>
  <c r="U28" i="12"/>
  <c r="W28" i="12" s="1"/>
  <c r="X23" i="35"/>
  <c r="Z23" i="35" s="1"/>
  <c r="AA23" i="35" s="1"/>
  <c r="Y26" i="35"/>
  <c r="X26" i="35"/>
  <c r="Z26" i="35" s="1"/>
  <c r="AA26" i="35" s="1"/>
  <c r="W12" i="35"/>
  <c r="X12" i="35" s="1"/>
  <c r="Y22" i="35"/>
  <c r="X22" i="35"/>
  <c r="Z22" i="35" s="1"/>
  <c r="AA22" i="35" s="1"/>
  <c r="Q10" i="12"/>
  <c r="Z15" i="35"/>
  <c r="Y18" i="35"/>
  <c r="X18" i="35"/>
  <c r="Z18" i="35" s="1"/>
  <c r="AA18" i="35" s="1"/>
  <c r="W11" i="35"/>
  <c r="Y11" i="35" s="1"/>
  <c r="W10" i="35"/>
  <c r="Y10" i="35" s="1"/>
  <c r="Q11" i="12"/>
  <c r="V29" i="35"/>
  <c r="D13" i="1"/>
  <c r="H24" i="1"/>
  <c r="I24" i="1" s="1"/>
  <c r="D32" i="1"/>
  <c r="D33" i="1"/>
  <c r="H18" i="1"/>
  <c r="I18" i="1" s="1"/>
  <c r="I19" i="1"/>
  <c r="F20" i="13"/>
  <c r="F21" i="13" s="1"/>
  <c r="C34" i="1"/>
  <c r="F34" i="1"/>
  <c r="C20" i="13"/>
  <c r="C21" i="13" s="1"/>
  <c r="E20" i="13"/>
  <c r="E21" i="13" s="1"/>
  <c r="D20" i="13"/>
  <c r="D21" i="13" s="1"/>
  <c r="E33" i="1"/>
  <c r="G33" i="1" s="1"/>
  <c r="E31" i="1"/>
  <c r="G31" i="1" s="1"/>
  <c r="H26" i="1"/>
  <c r="I26" i="1" s="1"/>
  <c r="T19" i="12"/>
  <c r="T11" i="12"/>
  <c r="U11" i="12" s="1"/>
  <c r="W11" i="12" s="1"/>
  <c r="T20" i="12"/>
  <c r="U20" i="12" s="1"/>
  <c r="W20" i="12" s="1"/>
  <c r="T16" i="12"/>
  <c r="U16" i="12" s="1"/>
  <c r="W16" i="12" s="1"/>
  <c r="E13" i="1"/>
  <c r="T23" i="12"/>
  <c r="U23" i="12" s="1"/>
  <c r="W23" i="12" s="1"/>
  <c r="D20" i="1"/>
  <c r="H23" i="1"/>
  <c r="I23" i="1" s="1"/>
  <c r="U25" i="12"/>
  <c r="G20" i="13"/>
  <c r="G21" i="13" s="1"/>
  <c r="T14" i="12"/>
  <c r="T10" i="12"/>
  <c r="U10" i="12" s="1"/>
  <c r="W10" i="12" s="1"/>
  <c r="T15" i="12"/>
  <c r="U15" i="12" s="1"/>
  <c r="W15" i="12" s="1"/>
  <c r="D27" i="1"/>
  <c r="H9" i="1"/>
  <c r="I9" i="1" s="1"/>
  <c r="H25" i="1"/>
  <c r="I25" i="1" s="1"/>
  <c r="T13" i="12"/>
  <c r="U13" i="12" s="1"/>
  <c r="W13" i="12" s="1"/>
  <c r="T22" i="12"/>
  <c r="U22" i="12" s="1"/>
  <c r="W22" i="12" s="1"/>
  <c r="T18" i="12"/>
  <c r="U18" i="12" s="1"/>
  <c r="W18" i="12" s="1"/>
  <c r="T24" i="12"/>
  <c r="T21" i="12"/>
  <c r="U21" i="12" s="1"/>
  <c r="W21" i="12" s="1"/>
  <c r="T17" i="12"/>
  <c r="U17" i="12" s="1"/>
  <c r="W17" i="12" s="1"/>
  <c r="T12" i="12"/>
  <c r="U12" i="12" s="1"/>
  <c r="W12" i="12" s="1"/>
  <c r="D30" i="1"/>
  <c r="E30" i="1"/>
  <c r="G30" i="1" s="1"/>
  <c r="E32" i="1"/>
  <c r="G32" i="1" s="1"/>
  <c r="E20" i="1"/>
  <c r="E29" i="1"/>
  <c r="G29" i="1" s="1"/>
  <c r="Y13" i="35" l="1"/>
  <c r="Y21" i="35"/>
  <c r="X28" i="35"/>
  <c r="Z28" i="35" s="1"/>
  <c r="AA28" i="35" s="1"/>
  <c r="X16" i="35"/>
  <c r="Z16" i="35" s="1"/>
  <c r="AA16" i="35" s="1"/>
  <c r="S31" i="11"/>
  <c r="S32" i="11"/>
  <c r="Y20" i="35"/>
  <c r="Y25" i="35"/>
  <c r="W32" i="35"/>
  <c r="W31" i="35"/>
  <c r="X24" i="35"/>
  <c r="Z24" i="35" s="1"/>
  <c r="AA24" i="35" s="1"/>
  <c r="Y24" i="35"/>
  <c r="W34" i="35"/>
  <c r="Z9" i="35"/>
  <c r="W33" i="35"/>
  <c r="W35" i="35"/>
  <c r="N21" i="13"/>
  <c r="N24" i="13" s="1"/>
  <c r="B28" i="13" s="1"/>
  <c r="Y27" i="35"/>
  <c r="X17" i="35"/>
  <c r="Z17" i="35" s="1"/>
  <c r="AA17" i="35" s="1"/>
  <c r="H29" i="1"/>
  <c r="I29" i="1" s="1"/>
  <c r="V26" i="12"/>
  <c r="X26" i="12"/>
  <c r="Y26" i="12" s="1"/>
  <c r="R29" i="11"/>
  <c r="T29" i="12"/>
  <c r="V27" i="12"/>
  <c r="V28" i="12"/>
  <c r="X28" i="12"/>
  <c r="Y28" i="12" s="1"/>
  <c r="G20" i="1"/>
  <c r="X27" i="12"/>
  <c r="Y27" i="12" s="1"/>
  <c r="P9" i="11"/>
  <c r="P29" i="11" s="1"/>
  <c r="Q9" i="11"/>
  <c r="Q29" i="11" s="1"/>
  <c r="Z20" i="35"/>
  <c r="AA25" i="35"/>
  <c r="AA15" i="35"/>
  <c r="X10" i="35"/>
  <c r="Z10" i="35" s="1"/>
  <c r="AA10" i="35" s="1"/>
  <c r="V11" i="12"/>
  <c r="X11" i="35"/>
  <c r="Z11" i="35" s="1"/>
  <c r="AA11" i="35" s="1"/>
  <c r="V10" i="12"/>
  <c r="X11" i="12"/>
  <c r="Y11" i="12" s="1"/>
  <c r="X10" i="12"/>
  <c r="Y10" i="12" s="1"/>
  <c r="Z12" i="35"/>
  <c r="Y12" i="35"/>
  <c r="W29" i="35"/>
  <c r="H30" i="1"/>
  <c r="I30" i="1" s="1"/>
  <c r="X21" i="12"/>
  <c r="Y21" i="12" s="1"/>
  <c r="V17" i="12"/>
  <c r="X18" i="12"/>
  <c r="Y18" i="12" s="1"/>
  <c r="X17" i="12"/>
  <c r="Y17" i="12" s="1"/>
  <c r="V18" i="12"/>
  <c r="V12" i="12"/>
  <c r="V20" i="12"/>
  <c r="X12" i="12"/>
  <c r="Y12" i="12" s="1"/>
  <c r="U24" i="12"/>
  <c r="X13" i="12"/>
  <c r="Y13" i="12" s="1"/>
  <c r="V15" i="12"/>
  <c r="W25" i="12"/>
  <c r="V25" i="12"/>
  <c r="X25" i="12"/>
  <c r="Y25" i="12" s="1"/>
  <c r="G27" i="1"/>
  <c r="H27" i="1" s="1"/>
  <c r="I27" i="1" s="1"/>
  <c r="X23" i="12"/>
  <c r="Y23" i="12" s="1"/>
  <c r="X20" i="12"/>
  <c r="Y20" i="12" s="1"/>
  <c r="H32" i="1"/>
  <c r="I32" i="1" s="1"/>
  <c r="H11" i="1"/>
  <c r="I11" i="1" s="1"/>
  <c r="U14" i="12"/>
  <c r="G13" i="1"/>
  <c r="V21" i="12"/>
  <c r="X22" i="12"/>
  <c r="Y22" i="12" s="1"/>
  <c r="V13" i="12"/>
  <c r="X15" i="12"/>
  <c r="Y15" i="12" s="1"/>
  <c r="V23" i="12"/>
  <c r="V16" i="12"/>
  <c r="U19" i="12"/>
  <c r="V22" i="12"/>
  <c r="H33" i="1"/>
  <c r="I33" i="1" s="1"/>
  <c r="H12" i="1"/>
  <c r="I12" i="1" s="1"/>
  <c r="H31" i="1"/>
  <c r="I31" i="1" s="1"/>
  <c r="H10" i="1"/>
  <c r="I10" i="1" s="1"/>
  <c r="X16" i="12"/>
  <c r="Y16" i="12" s="1"/>
  <c r="D34" i="1"/>
  <c r="E34" i="1"/>
  <c r="Y35" i="35" l="1"/>
  <c r="Y34" i="35"/>
  <c r="X34" i="35"/>
  <c r="Y31" i="35"/>
  <c r="X32" i="35"/>
  <c r="Y33" i="35"/>
  <c r="AA9" i="35"/>
  <c r="Z34" i="35"/>
  <c r="Z35" i="35"/>
  <c r="Z32" i="35"/>
  <c r="Z31" i="35"/>
  <c r="Z33" i="35"/>
  <c r="Y32" i="35"/>
  <c r="X31" i="35"/>
  <c r="X35" i="35"/>
  <c r="X33" i="35"/>
  <c r="S29" i="11"/>
  <c r="S35" i="11"/>
  <c r="S34" i="11"/>
  <c r="S33" i="11"/>
  <c r="H20" i="1"/>
  <c r="I20" i="1" s="1"/>
  <c r="H13" i="1"/>
  <c r="I13" i="1" s="1"/>
  <c r="Y29" i="35"/>
  <c r="U29" i="12"/>
  <c r="C51" i="1"/>
  <c r="C53" i="1" s="1"/>
  <c r="C55" i="1" s="1"/>
  <c r="AA20" i="35"/>
  <c r="X29" i="35"/>
  <c r="AA12" i="35"/>
  <c r="G34" i="1"/>
  <c r="B51" i="1" s="1"/>
  <c r="W24" i="12"/>
  <c r="V24" i="12"/>
  <c r="X24" i="12"/>
  <c r="Y24" i="12" s="1"/>
  <c r="W19" i="12"/>
  <c r="X19" i="12"/>
  <c r="Y19" i="12" s="1"/>
  <c r="V19" i="12"/>
  <c r="W14" i="12"/>
  <c r="V14" i="12"/>
  <c r="X14" i="12"/>
  <c r="Y14" i="12" s="1"/>
  <c r="AA32" i="35" l="1"/>
  <c r="AA31" i="35"/>
  <c r="AA35" i="35"/>
  <c r="AA33" i="35"/>
  <c r="AA34" i="35"/>
  <c r="Z29" i="35"/>
  <c r="W29" i="12"/>
  <c r="AA29" i="35"/>
  <c r="X29" i="12"/>
  <c r="V29" i="12"/>
  <c r="H34" i="1"/>
  <c r="I34" i="1" s="1"/>
  <c r="B53" i="1"/>
  <c r="B55" i="1" s="1"/>
  <c r="Y29" i="12" l="1"/>
  <c r="Y32" i="12"/>
  <c r="Y35" i="12"/>
  <c r="Y31" i="12"/>
  <c r="Y34" i="12"/>
  <c r="Y33" i="12"/>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<sst xmlns="http://schemas.openxmlformats.org/spreadsheetml/2006/main" count="1800" uniqueCount="1290">
  <si>
    <t>致同会计师事务所</t>
  </si>
  <si>
    <t>机器设备</t>
  </si>
  <si>
    <t>运输设备</t>
  </si>
  <si>
    <t>附注披露信息（上市公司）</t>
    <phoneticPr fontId="10" type="noConversion"/>
  </si>
  <si>
    <t>附注披露信息（国有企业）</t>
    <phoneticPr fontId="10" type="noConversion"/>
  </si>
  <si>
    <t>电子设备</t>
  </si>
  <si>
    <t>备注</t>
  </si>
  <si>
    <t>累计折旧</t>
  </si>
  <si>
    <t>期末余额</t>
  </si>
  <si>
    <t>账面价值</t>
  </si>
  <si>
    <t>减值准备</t>
  </si>
  <si>
    <t>…</t>
  </si>
  <si>
    <t>房屋及建筑物</t>
  </si>
  <si>
    <r>
      <rPr>
        <b/>
        <sz val="10"/>
        <rFont val="宋体"/>
        <family val="3"/>
        <charset val="134"/>
      </rPr>
      <t>项目名称</t>
    </r>
  </si>
  <si>
    <r>
      <rPr>
        <b/>
        <sz val="10"/>
        <rFont val="宋体"/>
        <family val="3"/>
        <charset val="134"/>
      </rPr>
      <t>备注</t>
    </r>
    <phoneticPr fontId="10" type="noConversion"/>
  </si>
  <si>
    <r>
      <rPr>
        <b/>
        <sz val="10"/>
        <rFont val="宋体"/>
        <family val="3"/>
        <charset val="134"/>
      </rPr>
      <t>销售协议价格</t>
    </r>
    <phoneticPr fontId="10" type="noConversion"/>
  </si>
  <si>
    <r>
      <rPr>
        <b/>
        <sz val="10"/>
        <rFont val="宋体"/>
        <family val="3"/>
        <charset val="134"/>
      </rPr>
      <t>说明</t>
    </r>
    <phoneticPr fontId="10" type="noConversion"/>
  </si>
  <si>
    <r>
      <rPr>
        <b/>
        <sz val="10"/>
        <rFont val="宋体"/>
        <family val="3"/>
        <charset val="134"/>
      </rPr>
      <t>直接费用</t>
    </r>
    <phoneticPr fontId="10" type="noConversion"/>
  </si>
  <si>
    <r>
      <rPr>
        <b/>
        <sz val="10"/>
        <rFont val="宋体"/>
        <family val="3"/>
        <charset val="134"/>
      </rPr>
      <t>其他费用</t>
    </r>
    <phoneticPr fontId="10" type="noConversion"/>
  </si>
  <si>
    <r>
      <rPr>
        <b/>
        <sz val="10"/>
        <rFont val="宋体"/>
        <family val="3"/>
        <charset val="134"/>
      </rPr>
      <t>审计说明：</t>
    </r>
    <phoneticPr fontId="10" type="noConversion"/>
  </si>
  <si>
    <r>
      <rPr>
        <b/>
        <sz val="10"/>
        <rFont val="宋体"/>
        <family val="3"/>
        <charset val="134"/>
      </rPr>
      <t>（二）资产预计未来现金流量的现值</t>
    </r>
    <phoneticPr fontId="10" type="noConversion"/>
  </si>
  <si>
    <r>
      <rPr>
        <b/>
        <sz val="10"/>
        <rFont val="宋体"/>
        <family val="3"/>
        <charset val="134"/>
      </rPr>
      <t>预计未来现金流量</t>
    </r>
    <phoneticPr fontId="10" type="noConversion"/>
  </si>
  <si>
    <r>
      <rPr>
        <b/>
        <sz val="10"/>
        <rFont val="宋体"/>
        <family val="3"/>
        <charset val="134"/>
      </rPr>
      <t>预算或者预测期</t>
    </r>
    <phoneticPr fontId="10" type="noConversion"/>
  </si>
  <si>
    <r>
      <rPr>
        <b/>
        <sz val="10"/>
        <rFont val="宋体"/>
        <family val="3"/>
        <charset val="134"/>
      </rPr>
      <t>以后年度</t>
    </r>
    <phoneticPr fontId="10" type="noConversion"/>
  </si>
  <si>
    <r>
      <rPr>
        <sz val="10"/>
        <rFont val="宋体"/>
        <family val="3"/>
        <charset val="134"/>
      </rPr>
      <t>行业的长期平均增长率</t>
    </r>
    <phoneticPr fontId="10" type="noConversion"/>
  </si>
  <si>
    <r>
      <rPr>
        <sz val="10"/>
        <rFont val="宋体"/>
        <family val="3"/>
        <charset val="134"/>
      </rPr>
      <t>市场长期平均增长率</t>
    </r>
    <phoneticPr fontId="10" type="noConversion"/>
  </si>
  <si>
    <r>
      <rPr>
        <sz val="10"/>
        <rFont val="宋体"/>
        <family val="3"/>
        <charset val="134"/>
      </rPr>
      <t>所在国家或地区的长期平均增长率</t>
    </r>
    <phoneticPr fontId="10" type="noConversion"/>
  </si>
  <si>
    <r>
      <rPr>
        <b/>
        <sz val="10"/>
        <rFont val="宋体"/>
        <family val="3"/>
        <charset val="134"/>
      </rPr>
      <t>增长率确定依据</t>
    </r>
    <phoneticPr fontId="10" type="noConversion"/>
  </si>
  <si>
    <r>
      <rPr>
        <b/>
        <sz val="10"/>
        <rFont val="宋体"/>
        <family val="3"/>
        <charset val="134"/>
      </rPr>
      <t>预计未来现金流量的现值</t>
    </r>
    <phoneticPr fontId="10" type="noConversion"/>
  </si>
  <si>
    <r>
      <rPr>
        <b/>
        <sz val="10"/>
        <rFont val="宋体"/>
        <family val="3"/>
        <charset val="134"/>
      </rPr>
      <t>第二年</t>
    </r>
    <phoneticPr fontId="10" type="noConversion"/>
  </si>
  <si>
    <r>
      <rPr>
        <b/>
        <sz val="10"/>
        <rFont val="宋体"/>
        <family val="3"/>
        <charset val="134"/>
      </rPr>
      <t>第三年</t>
    </r>
    <phoneticPr fontId="10" type="noConversion"/>
  </si>
  <si>
    <r>
      <rPr>
        <b/>
        <sz val="10"/>
        <rFont val="宋体"/>
        <family val="3"/>
        <charset val="134"/>
      </rPr>
      <t>第四年</t>
    </r>
    <phoneticPr fontId="10" type="noConversion"/>
  </si>
  <si>
    <r>
      <rPr>
        <b/>
        <sz val="10"/>
        <rFont val="宋体"/>
        <family val="3"/>
        <charset val="134"/>
      </rPr>
      <t>基数</t>
    </r>
    <phoneticPr fontId="10" type="noConversion"/>
  </si>
  <si>
    <r>
      <rPr>
        <sz val="10"/>
        <rFont val="宋体"/>
        <family val="3"/>
        <charset val="134"/>
      </rPr>
      <t>现金净流量（税前）</t>
    </r>
    <phoneticPr fontId="10" type="noConversion"/>
  </si>
  <si>
    <r>
      <rPr>
        <sz val="10"/>
        <rFont val="宋体"/>
        <family val="3"/>
        <charset val="134"/>
      </rPr>
      <t>折现系数</t>
    </r>
    <phoneticPr fontId="10" type="noConversion"/>
  </si>
  <si>
    <r>
      <rPr>
        <sz val="10"/>
        <rFont val="宋体"/>
        <family val="3"/>
        <charset val="134"/>
      </rPr>
      <t>现值</t>
    </r>
    <phoneticPr fontId="10" type="noConversion"/>
  </si>
  <si>
    <r>
      <rPr>
        <b/>
        <sz val="10"/>
        <rFont val="宋体"/>
        <family val="3"/>
        <charset val="134"/>
      </rPr>
      <t>折现率</t>
    </r>
    <phoneticPr fontId="10" type="noConversion"/>
  </si>
  <si>
    <r>
      <rPr>
        <b/>
        <sz val="10"/>
        <rFont val="宋体"/>
        <family val="3"/>
        <charset val="134"/>
      </rPr>
      <t>所得税率</t>
    </r>
    <phoneticPr fontId="10" type="noConversion"/>
  </si>
  <si>
    <r>
      <rPr>
        <b/>
        <sz val="10"/>
        <rFont val="宋体"/>
        <family val="3"/>
        <charset val="134"/>
      </rPr>
      <t xml:space="preserve">债务总额
</t>
    </r>
    <r>
      <rPr>
        <b/>
        <sz val="10"/>
        <rFont val="Arial Narrow"/>
        <family val="2"/>
      </rPr>
      <t>D</t>
    </r>
    <phoneticPr fontId="10" type="noConversion"/>
  </si>
  <si>
    <r>
      <rPr>
        <b/>
        <sz val="10"/>
        <rFont val="宋体"/>
        <family val="3"/>
        <charset val="134"/>
      </rPr>
      <t xml:space="preserve">资本总额
</t>
    </r>
    <r>
      <rPr>
        <b/>
        <sz val="10"/>
        <rFont val="Arial Narrow"/>
        <family val="2"/>
      </rPr>
      <t>E</t>
    </r>
    <phoneticPr fontId="10" type="noConversion"/>
  </si>
  <si>
    <r>
      <t>β</t>
    </r>
    <r>
      <rPr>
        <b/>
        <sz val="10"/>
        <rFont val="宋体"/>
        <family val="3"/>
        <charset val="134"/>
      </rPr>
      <t>系数</t>
    </r>
    <phoneticPr fontId="10" type="noConversion"/>
  </si>
  <si>
    <r>
      <rPr>
        <b/>
        <sz val="10"/>
        <rFont val="宋体"/>
        <family val="3"/>
        <charset val="134"/>
      </rPr>
      <t>资本成本</t>
    </r>
    <r>
      <rPr>
        <b/>
        <sz val="10"/>
        <rFont val="Arial Narrow"/>
        <family val="2"/>
      </rPr>
      <t>Ke</t>
    </r>
    <phoneticPr fontId="10" type="noConversion"/>
  </si>
  <si>
    <r>
      <t>WACC
(</t>
    </r>
    <r>
      <rPr>
        <b/>
        <sz val="10"/>
        <rFont val="宋体"/>
        <family val="3"/>
        <charset val="134"/>
      </rPr>
      <t>税后</t>
    </r>
    <r>
      <rPr>
        <b/>
        <sz val="10"/>
        <rFont val="Arial Narrow"/>
        <family val="2"/>
      </rPr>
      <t>)</t>
    </r>
    <phoneticPr fontId="10" type="noConversion"/>
  </si>
  <si>
    <r>
      <rPr>
        <b/>
        <sz val="10"/>
        <rFont val="宋体"/>
        <family val="3"/>
        <charset val="134"/>
      </rPr>
      <t>税后折税前调整说明</t>
    </r>
    <phoneticPr fontId="10" type="noConversion"/>
  </si>
  <si>
    <r>
      <rPr>
        <b/>
        <sz val="10"/>
        <rFont val="宋体"/>
        <family val="3"/>
        <charset val="134"/>
      </rPr>
      <t>可收回金额</t>
    </r>
    <phoneticPr fontId="10" type="noConversion"/>
  </si>
  <si>
    <r>
      <rPr>
        <b/>
        <sz val="10"/>
        <rFont val="宋体"/>
        <family val="3"/>
        <charset val="134"/>
      </rPr>
      <t>适用税率</t>
    </r>
    <phoneticPr fontId="10" type="noConversion"/>
  </si>
  <si>
    <r>
      <rPr>
        <b/>
        <sz val="10"/>
        <rFont val="宋体"/>
        <family val="3"/>
        <charset val="134"/>
      </rPr>
      <t>税率调整</t>
    </r>
    <phoneticPr fontId="10" type="noConversion"/>
  </si>
  <si>
    <r>
      <rPr>
        <b/>
        <sz val="10"/>
        <rFont val="宋体"/>
        <family val="3"/>
        <charset val="134"/>
      </rPr>
      <t>调整说明</t>
    </r>
    <phoneticPr fontId="10" type="noConversion"/>
  </si>
  <si>
    <r>
      <rPr>
        <sz val="10"/>
        <rFont val="宋体"/>
        <family val="3"/>
        <charset val="134"/>
      </rPr>
      <t>加权平均资金成本</t>
    </r>
    <phoneticPr fontId="10" type="noConversion"/>
  </si>
  <si>
    <r>
      <rPr>
        <b/>
        <sz val="10"/>
        <rFont val="宋体"/>
        <family val="3"/>
        <charset val="134"/>
      </rPr>
      <t>（三）可收回金额</t>
    </r>
    <phoneticPr fontId="10" type="noConversion"/>
  </si>
  <si>
    <r>
      <rPr>
        <sz val="10"/>
        <rFont val="宋体"/>
        <family val="3"/>
        <charset val="134"/>
      </rPr>
      <t>资产的公允价值减去处置费用后的净额与资产预计未来现金流量的现值两者之间较高者</t>
    </r>
    <phoneticPr fontId="10" type="noConversion"/>
  </si>
  <si>
    <r>
      <t>1</t>
    </r>
    <r>
      <rPr>
        <sz val="10"/>
        <color indexed="12"/>
        <rFont val="宋体"/>
        <family val="3"/>
        <charset val="134"/>
      </rPr>
      <t>、可收回金额应当根据资产的公允价值减去处置费用后的净额与资产预计未来现金流量的现值两者之间较高者确定。</t>
    </r>
    <phoneticPr fontId="10" type="noConversion"/>
  </si>
  <si>
    <r>
      <t>2</t>
    </r>
    <r>
      <rPr>
        <sz val="10"/>
        <color indexed="12"/>
        <rFont val="宋体"/>
        <family val="3"/>
        <charset val="134"/>
      </rPr>
      <t>、资产的公允价值减去处置费用后的净额，应当根据公平交易中销售协议价格减去可直接归属于该资产处置费用的金额确定。不存在销售协议但存在资产活跃市场的，</t>
    </r>
    <phoneticPr fontId="10" type="noConversion"/>
  </si>
  <si>
    <r>
      <rPr>
        <sz val="10"/>
        <color indexed="12"/>
        <rFont val="宋体"/>
        <family val="3"/>
        <charset val="134"/>
      </rPr>
      <t>应当按照该资产的市场价格减去处置费用后的金额确定。资产的市场价格通常应当根据资产的买方出价确定。在不存在销售协议和资产活跃市场的情况下，应当</t>
    </r>
    <phoneticPr fontId="10" type="noConversion"/>
  </si>
  <si>
    <r>
      <rPr>
        <sz val="10"/>
        <color indexed="12"/>
        <rFont val="宋体"/>
        <family val="3"/>
        <charset val="134"/>
      </rPr>
      <t>以可获取的最佳信息为基础，估计资产的公允价值减去处置费用后的净额，该净额可以参考同行业类似资产的最近交易价格或者结果进行估计。企业按照上述规定</t>
    </r>
    <phoneticPr fontId="10" type="noConversion"/>
  </si>
  <si>
    <r>
      <rPr>
        <sz val="10"/>
        <color indexed="12"/>
        <rFont val="宋体"/>
        <family val="3"/>
        <charset val="134"/>
      </rPr>
      <t>仍然无法可靠估计资产的公允价值减去处置费用后的净额的，应当以该资产预计未来现金流量的现值作为其可收回金额。</t>
    </r>
    <phoneticPr fontId="10" type="noConversion"/>
  </si>
  <si>
    <r>
      <t>3</t>
    </r>
    <r>
      <rPr>
        <sz val="10"/>
        <color indexed="12"/>
        <rFont val="宋体"/>
        <family val="3"/>
        <charset val="134"/>
      </rPr>
      <t>、处置费用包括与资产处置有关的法律费用、相关税费、搬运费以及为使资产达到可销售状态所发生的直接费用等。</t>
    </r>
    <phoneticPr fontId="10" type="noConversion"/>
  </si>
  <si>
    <r>
      <t>4</t>
    </r>
    <r>
      <rPr>
        <sz val="10"/>
        <color indexed="12"/>
        <rFont val="宋体"/>
        <family val="3"/>
        <charset val="134"/>
      </rPr>
      <t>、资产预计未来现金流量的现值，应当按照资产在持续使用过程中和最终处置时所产生的预计未来现金流量，选择恰当的折现率对其进行折现后的金额加以确定。</t>
    </r>
    <phoneticPr fontId="10" type="noConversion"/>
  </si>
  <si>
    <r>
      <t>5</t>
    </r>
    <r>
      <rPr>
        <sz val="10"/>
        <color indexed="12"/>
        <rFont val="宋体"/>
        <family val="3"/>
        <charset val="134"/>
      </rPr>
      <t>、预计资产的未来现金流量，应当以经企业管理层批准的最近财务预算或者预测数据，以及该预算或者预测期之后年份稳定的或者递减的增长率为基础。</t>
    </r>
    <phoneticPr fontId="10" type="noConversion"/>
  </si>
  <si>
    <r>
      <rPr>
        <sz val="10"/>
        <color indexed="12"/>
        <rFont val="宋体"/>
        <family val="3"/>
        <charset val="134"/>
      </rPr>
      <t>预计的资产未来现金流量应当包括下列各项：</t>
    </r>
    <phoneticPr fontId="10" type="noConversion"/>
  </si>
  <si>
    <r>
      <rPr>
        <sz val="10"/>
        <color indexed="12"/>
        <rFont val="宋体"/>
        <family val="3"/>
        <charset val="134"/>
      </rPr>
      <t>　　（一）资产持续使用过程中预计产生的现金流入。</t>
    </r>
    <phoneticPr fontId="10" type="noConversion"/>
  </si>
  <si>
    <r>
      <rPr>
        <sz val="10"/>
        <color indexed="12"/>
        <rFont val="宋体"/>
        <family val="3"/>
        <charset val="134"/>
      </rPr>
      <t>　　（二）为实现资产持续使用过程中产生的现金流入所必需的预计现金流出（包括为使资产达到预定可使用状态所发生的现金流出）。该现金流出应当是可直接归属</t>
    </r>
    <phoneticPr fontId="10" type="noConversion"/>
  </si>
  <si>
    <r>
      <rPr>
        <sz val="10"/>
        <color indexed="12"/>
        <rFont val="宋体"/>
        <family val="3"/>
        <charset val="134"/>
      </rPr>
      <t>于或者可通过合理和一致的基础分配到资产中的现金流出。</t>
    </r>
    <phoneticPr fontId="10" type="noConversion"/>
  </si>
  <si>
    <r>
      <rPr>
        <sz val="10"/>
        <color indexed="12"/>
        <rFont val="宋体"/>
        <family val="3"/>
        <charset val="134"/>
      </rPr>
      <t>　　（三）资产使用寿命结束时，处置资产所收到或者支付的净现金流量。该现金流量应当是在公平交易中，熟悉情况的交易双方自愿进行交易时，企业预期可从资产的</t>
    </r>
    <phoneticPr fontId="10" type="noConversion"/>
  </si>
  <si>
    <r>
      <rPr>
        <sz val="10"/>
        <color indexed="12"/>
        <rFont val="宋体"/>
        <family val="3"/>
        <charset val="134"/>
      </rPr>
      <t>处置中获取或者支付的、减去预计处置费用后的金额。</t>
    </r>
    <phoneticPr fontId="10" type="noConversion"/>
  </si>
  <si>
    <r>
      <rPr>
        <sz val="10"/>
        <rFont val="宋体"/>
        <family val="3"/>
        <charset val="134"/>
      </rPr>
      <t>建立在预算或者预测基础上的预计现金流量最多涵盖</t>
    </r>
    <r>
      <rPr>
        <sz val="10"/>
        <rFont val="Arial Narrow"/>
        <family val="2"/>
      </rPr>
      <t>5</t>
    </r>
    <r>
      <rPr>
        <sz val="10"/>
        <rFont val="宋体"/>
        <family val="3"/>
        <charset val="134"/>
      </rPr>
      <t>年（涵盖更长的期间需证明合理性）。</t>
    </r>
    <phoneticPr fontId="14" type="noConversion"/>
  </si>
  <si>
    <r>
      <t>6</t>
    </r>
    <r>
      <rPr>
        <sz val="10"/>
        <color indexed="12"/>
        <rFont val="宋体"/>
        <family val="3"/>
        <charset val="134"/>
      </rPr>
      <t>、折现率是反映当前市场货币时间价值和资产特定风险的税前利率。该折现率是企业在购置或者投资资产时所要求的必要报酬率。</t>
    </r>
    <phoneticPr fontId="10" type="noConversion"/>
  </si>
  <si>
    <r>
      <rPr>
        <sz val="10"/>
        <color indexed="12"/>
        <rFont val="宋体"/>
        <family val="3"/>
        <charset val="134"/>
      </rPr>
      <t>折现率的确定通常应当以该资产的市场利率为依据。无法从市场获得的，可以使用替代利率估计折现率。</t>
    </r>
    <phoneticPr fontId="10" type="noConversion"/>
  </si>
  <si>
    <r>
      <rPr>
        <sz val="10"/>
        <color indexed="12"/>
        <rFont val="宋体"/>
        <family val="3"/>
        <charset val="134"/>
      </rPr>
      <t>加权平均资金成本（税后）</t>
    </r>
    <r>
      <rPr>
        <sz val="10"/>
        <color indexed="12"/>
        <rFont val="Arial Narrow"/>
        <family val="2"/>
      </rPr>
      <t>:</t>
    </r>
    <phoneticPr fontId="10" type="noConversion"/>
  </si>
  <si>
    <r>
      <rPr>
        <sz val="10"/>
        <rFont val="宋体"/>
        <family val="3"/>
        <charset val="134"/>
      </rPr>
      <t>折现率应当反映与内含在预计现金流量中的假设相一致的假设</t>
    </r>
    <phoneticPr fontId="10" type="noConversion"/>
  </si>
  <si>
    <r>
      <rPr>
        <sz val="10"/>
        <rFont val="宋体"/>
        <family val="3"/>
        <charset val="134"/>
      </rPr>
      <t>折现率的口径应与现金流的口径一致，即现金流若为税后则相应折现率取税后。</t>
    </r>
    <phoneticPr fontId="10" type="noConversion"/>
  </si>
  <si>
    <r>
      <rPr>
        <b/>
        <sz val="10"/>
        <rFont val="宋体"/>
        <family val="3"/>
        <charset val="134"/>
      </rPr>
      <t>债务总额（</t>
    </r>
    <r>
      <rPr>
        <b/>
        <sz val="10"/>
        <rFont val="Arial Narrow"/>
        <family val="2"/>
      </rPr>
      <t>D</t>
    </r>
    <r>
      <rPr>
        <b/>
        <sz val="10"/>
        <rFont val="宋体"/>
        <family val="3"/>
        <charset val="134"/>
      </rPr>
      <t>）</t>
    </r>
    <phoneticPr fontId="10" type="noConversion"/>
  </si>
  <si>
    <r>
      <t>Capital Employed</t>
    </r>
    <r>
      <rPr>
        <sz val="10"/>
        <rFont val="宋体"/>
        <family val="3"/>
        <charset val="134"/>
      </rPr>
      <t>（</t>
    </r>
    <r>
      <rPr>
        <sz val="10"/>
        <rFont val="Arial Narrow"/>
        <family val="2"/>
      </rPr>
      <t>CE</t>
    </r>
    <r>
      <rPr>
        <sz val="10"/>
        <rFont val="宋体"/>
        <family val="3"/>
        <charset val="134"/>
      </rPr>
      <t>）中债权人享有的部分，指有息债务总额，一般指长期占用的有息负债；</t>
    </r>
    <phoneticPr fontId="10" type="noConversion"/>
  </si>
  <si>
    <r>
      <rPr>
        <sz val="10"/>
        <rFont val="宋体"/>
        <family val="3"/>
        <charset val="134"/>
      </rPr>
      <t>如果企业的长期资产有一部分是由短期负债支撑的，可以用短期借款</t>
    </r>
    <r>
      <rPr>
        <sz val="10"/>
        <rFont val="Arial Narrow"/>
        <family val="2"/>
      </rPr>
      <t>+</t>
    </r>
    <r>
      <rPr>
        <sz val="10"/>
        <rFont val="宋体"/>
        <family val="3"/>
        <charset val="134"/>
      </rPr>
      <t>长期借款。</t>
    </r>
    <phoneticPr fontId="10" type="noConversion"/>
  </si>
  <si>
    <r>
      <rPr>
        <sz val="10"/>
        <rFont val="宋体"/>
        <family val="3"/>
        <charset val="134"/>
      </rPr>
      <t>严格来说，计算</t>
    </r>
    <r>
      <rPr>
        <sz val="10"/>
        <rFont val="Arial Narrow"/>
        <family val="2"/>
      </rPr>
      <t>WACC</t>
    </r>
    <r>
      <rPr>
        <sz val="10"/>
        <rFont val="宋体"/>
        <family val="3"/>
        <charset val="134"/>
      </rPr>
      <t>应使用债务总额的市场价值；一般认为负债的市场价值和账面价值相同。</t>
    </r>
    <phoneticPr fontId="10" type="noConversion"/>
  </si>
  <si>
    <r>
      <rPr>
        <b/>
        <sz val="10"/>
        <rFont val="宋体"/>
        <family val="3"/>
        <charset val="134"/>
      </rPr>
      <t>资本总额（</t>
    </r>
    <r>
      <rPr>
        <b/>
        <sz val="10"/>
        <rFont val="Arial Narrow"/>
        <family val="2"/>
      </rPr>
      <t>E</t>
    </r>
    <r>
      <rPr>
        <b/>
        <sz val="10"/>
        <rFont val="宋体"/>
        <family val="3"/>
        <charset val="134"/>
      </rPr>
      <t>）</t>
    </r>
    <phoneticPr fontId="10" type="noConversion"/>
  </si>
  <si>
    <r>
      <t>Capital Employed</t>
    </r>
    <r>
      <rPr>
        <sz val="10"/>
        <rFont val="宋体"/>
        <family val="3"/>
        <charset val="134"/>
      </rPr>
      <t>（</t>
    </r>
    <r>
      <rPr>
        <sz val="10"/>
        <rFont val="Arial Narrow"/>
        <family val="2"/>
      </rPr>
      <t>CE</t>
    </r>
    <r>
      <rPr>
        <sz val="10"/>
        <rFont val="宋体"/>
        <family val="3"/>
        <charset val="134"/>
      </rPr>
      <t>）中股东投入的部分，包含股本、股本溢价及留存收益。</t>
    </r>
    <phoneticPr fontId="10" type="noConversion"/>
  </si>
  <si>
    <r>
      <rPr>
        <sz val="10"/>
        <rFont val="宋体"/>
        <family val="3"/>
        <charset val="134"/>
      </rPr>
      <t>严格来说，计算</t>
    </r>
    <r>
      <rPr>
        <sz val="10"/>
        <rFont val="Arial Narrow"/>
        <family val="2"/>
      </rPr>
      <t>WACC</t>
    </r>
    <r>
      <rPr>
        <sz val="10"/>
        <rFont val="宋体"/>
        <family val="3"/>
        <charset val="134"/>
      </rPr>
      <t>应使用资本总额的市场价值；一般认为资本的市场价值就是股票市值。</t>
    </r>
    <phoneticPr fontId="10" type="noConversion"/>
  </si>
  <si>
    <r>
      <rPr>
        <b/>
        <sz val="10"/>
        <rFont val="宋体"/>
        <family val="3"/>
        <charset val="134"/>
      </rPr>
      <t>税前债务成本（</t>
    </r>
    <r>
      <rPr>
        <b/>
        <sz val="10"/>
        <rFont val="Arial Narrow"/>
        <family val="2"/>
      </rPr>
      <t>Kd</t>
    </r>
    <r>
      <rPr>
        <b/>
        <sz val="10"/>
        <rFont val="宋体"/>
        <family val="3"/>
        <charset val="134"/>
      </rPr>
      <t>）</t>
    </r>
    <phoneticPr fontId="10" type="noConversion"/>
  </si>
  <si>
    <r>
      <rPr>
        <sz val="10"/>
        <rFont val="宋体"/>
        <family val="3"/>
        <charset val="134"/>
      </rPr>
      <t>应当是未来的增量资金的边际成本，不是已经筹集资金的历史成本。</t>
    </r>
    <phoneticPr fontId="10" type="noConversion"/>
  </si>
  <si>
    <r>
      <rPr>
        <sz val="10"/>
        <rFont val="宋体"/>
        <family val="3"/>
        <charset val="134"/>
      </rPr>
      <t>实务中可以选择企业或可比企业发行的长期债券的到期收益率（将债券在预期存续期间内的未来现金流量，折现为该债券当前市价所使用的利率）。</t>
    </r>
    <phoneticPr fontId="10" type="noConversion"/>
  </si>
  <si>
    <r>
      <rPr>
        <sz val="10"/>
        <rFont val="宋体"/>
        <family val="3"/>
        <charset val="134"/>
      </rPr>
      <t>若企业没有上市的债券，也找不到合适的可比公司，则可以使用增量借款利率或企业最近一次借款的利率。</t>
    </r>
    <phoneticPr fontId="10" type="noConversion"/>
  </si>
  <si>
    <r>
      <rPr>
        <b/>
        <sz val="10"/>
        <rFont val="宋体"/>
        <family val="3"/>
        <charset val="134"/>
      </rPr>
      <t>无风险报酬率</t>
    </r>
    <r>
      <rPr>
        <b/>
        <sz val="10"/>
        <rFont val="Arial Narrow"/>
        <family val="2"/>
      </rPr>
      <t>Rf</t>
    </r>
    <phoneticPr fontId="10" type="noConversion"/>
  </si>
  <si>
    <r>
      <rPr>
        <sz val="10"/>
        <rFont val="宋体"/>
        <family val="3"/>
        <charset val="134"/>
      </rPr>
      <t>通常可选择上市交易的政府长期债券的</t>
    </r>
    <r>
      <rPr>
        <b/>
        <sz val="10"/>
        <rFont val="宋体"/>
        <family val="3"/>
        <charset val="134"/>
      </rPr>
      <t>到期收益率</t>
    </r>
    <r>
      <rPr>
        <sz val="10"/>
        <rFont val="宋体"/>
        <family val="3"/>
        <charset val="134"/>
      </rPr>
      <t>（</t>
    </r>
    <r>
      <rPr>
        <sz val="10"/>
        <rFont val="Arial Narrow"/>
        <family val="2"/>
      </rPr>
      <t>10</t>
    </r>
    <r>
      <rPr>
        <sz val="10"/>
        <rFont val="宋体"/>
        <family val="3"/>
        <charset val="134"/>
      </rPr>
      <t>年期财政部债券名义利率）。</t>
    </r>
    <phoneticPr fontId="10" type="noConversion"/>
  </si>
  <si>
    <t>……</t>
  </si>
  <si>
    <t>一、账面原值：</t>
  </si>
  <si>
    <t>二、累计折旧</t>
  </si>
  <si>
    <t>三、减值准备</t>
  </si>
  <si>
    <t>四、账面价值</t>
  </si>
  <si>
    <t>账面原值</t>
  </si>
  <si>
    <t>可无限量添加行</t>
  </si>
  <si>
    <t>（披露期末未办妥产权证书的固定资产账面价值及原因。）</t>
  </si>
  <si>
    <t>未办妥产权证书原因</t>
  </si>
  <si>
    <t>本期增加</t>
  </si>
  <si>
    <t>本期减少</t>
  </si>
  <si>
    <t>一、账面原值合计</t>
  </si>
  <si>
    <t>二、累计折旧合计</t>
  </si>
  <si>
    <t>三、固定资产账面净值合计</t>
  </si>
  <si>
    <t>四、固定资产减值准备合计</t>
  </si>
  <si>
    <t>五、固定资产账面价值合计</t>
  </si>
  <si>
    <t>2</t>
    <phoneticPr fontId="10" type="noConversion"/>
  </si>
  <si>
    <t>…</t>
    <phoneticPr fontId="10" type="noConversion"/>
  </si>
  <si>
    <r>
      <rPr>
        <b/>
        <sz val="10"/>
        <color indexed="8"/>
        <rFont val="宋体"/>
        <family val="3"/>
        <charset val="134"/>
      </rPr>
      <t>项目</t>
    </r>
  </si>
  <si>
    <r>
      <rPr>
        <b/>
        <sz val="10"/>
        <color indexed="8"/>
        <rFont val="宋体"/>
        <family val="3"/>
        <charset val="134"/>
      </rPr>
      <t>本期增加</t>
    </r>
  </si>
  <si>
    <r>
      <rPr>
        <b/>
        <sz val="10"/>
        <color indexed="8"/>
        <rFont val="宋体"/>
        <family val="3"/>
        <charset val="134"/>
      </rPr>
      <t>其他增加</t>
    </r>
  </si>
  <si>
    <t>3</t>
  </si>
  <si>
    <t>4</t>
  </si>
  <si>
    <t xml:space="preserve"> %</t>
  </si>
  <si>
    <r>
      <rPr>
        <b/>
        <sz val="10"/>
        <rFont val="宋体"/>
        <family val="3"/>
        <charset val="134"/>
      </rPr>
      <t>一、资产负债表日：</t>
    </r>
    <r>
      <rPr>
        <b/>
        <u/>
        <sz val="10"/>
        <rFont val="Arial Narrow"/>
        <family val="2"/>
      </rPr>
      <t xml:space="preserve">                            </t>
    </r>
  </si>
  <si>
    <r>
      <rPr>
        <b/>
        <sz val="10"/>
        <rFont val="宋体"/>
        <family val="3"/>
        <charset val="134"/>
      </rPr>
      <t>三、了解资产管理情况</t>
    </r>
  </si>
  <si>
    <r>
      <rPr>
        <b/>
        <sz val="10"/>
        <rFont val="宋体"/>
        <family val="3"/>
        <charset val="134"/>
      </rPr>
      <t>三、参与盘点人员：</t>
    </r>
  </si>
  <si>
    <r>
      <t>2</t>
    </r>
    <r>
      <rPr>
        <b/>
        <sz val="10"/>
        <rFont val="宋体"/>
        <family val="3"/>
        <charset val="134"/>
      </rPr>
      <t>．</t>
    </r>
    <r>
      <rPr>
        <b/>
        <sz val="10"/>
        <rFont val="Arial Narrow"/>
        <family val="2"/>
      </rPr>
      <t xml:space="preserve"> </t>
    </r>
    <r>
      <rPr>
        <b/>
        <sz val="10"/>
        <rFont val="宋体"/>
        <family val="3"/>
        <charset val="134"/>
      </rPr>
      <t>审计人员：</t>
    </r>
    <r>
      <rPr>
        <b/>
        <u/>
        <sz val="10"/>
        <rFont val="Arial Narrow"/>
        <family val="2"/>
      </rPr>
      <t xml:space="preserve">                                                           </t>
    </r>
  </si>
  <si>
    <r>
      <t>1</t>
    </r>
    <r>
      <rPr>
        <sz val="10"/>
        <rFont val="宋体"/>
        <family val="3"/>
        <charset val="134"/>
      </rPr>
      <t>．资产现场观察说明：</t>
    </r>
    <r>
      <rPr>
        <u/>
        <sz val="10"/>
        <rFont val="Arial Narrow"/>
        <family val="2"/>
      </rPr>
      <t xml:space="preserve">                                                   </t>
    </r>
  </si>
  <si>
    <r>
      <t>2</t>
    </r>
    <r>
      <rPr>
        <sz val="10"/>
        <rFont val="宋体"/>
        <family val="3"/>
        <charset val="134"/>
      </rPr>
      <t>．盘点前检查程序：</t>
    </r>
  </si>
  <si>
    <r>
      <rPr>
        <sz val="10"/>
        <rFont val="宋体"/>
        <family val="3"/>
        <charset val="134"/>
      </rPr>
      <t>（一）企业实际盘点人员</t>
    </r>
  </si>
  <si>
    <r>
      <rPr>
        <sz val="10"/>
        <rFont val="宋体"/>
        <family val="3"/>
        <charset val="134"/>
      </rPr>
      <t>岗位：</t>
    </r>
    <r>
      <rPr>
        <sz val="10"/>
        <rFont val="Arial Narrow"/>
        <family val="2"/>
      </rPr>
      <t xml:space="preserve">               </t>
    </r>
  </si>
  <si>
    <r>
      <rPr>
        <sz val="10"/>
        <rFont val="宋体"/>
        <family val="3"/>
        <charset val="134"/>
      </rPr>
      <t>组，其中：</t>
    </r>
  </si>
  <si>
    <r>
      <t xml:space="preserve"> </t>
    </r>
    <r>
      <rPr>
        <sz val="10"/>
        <rFont val="宋体"/>
        <family val="3"/>
        <charset val="134"/>
      </rPr>
      <t>记录</t>
    </r>
  </si>
  <si>
    <r>
      <rPr>
        <sz val="10"/>
        <rFont val="宋体"/>
        <family val="3"/>
        <charset val="134"/>
      </rPr>
      <t>（二）特殊情况说明：</t>
    </r>
  </si>
  <si>
    <r>
      <rPr>
        <sz val="10"/>
        <rFont val="宋体"/>
        <family val="3"/>
        <charset val="134"/>
      </rPr>
      <t>（一）抽盘样本确定方法</t>
    </r>
  </si>
  <si>
    <r>
      <t>1</t>
    </r>
    <r>
      <rPr>
        <sz val="10"/>
        <rFont val="宋体"/>
        <family val="3"/>
        <charset val="134"/>
      </rPr>
      <t>．从会计明细账中抽取的方法</t>
    </r>
  </si>
  <si>
    <r>
      <t>2</t>
    </r>
    <r>
      <rPr>
        <sz val="10"/>
        <rFont val="宋体"/>
        <family val="3"/>
        <charset val="134"/>
      </rPr>
      <t>．从实物资产中抽取样本的方法</t>
    </r>
  </si>
  <si>
    <r>
      <rPr>
        <sz val="10"/>
        <rFont val="宋体"/>
        <family val="3"/>
        <charset val="134"/>
      </rPr>
      <t>（二）盘点方法：</t>
    </r>
  </si>
  <si>
    <r>
      <rPr>
        <sz val="10"/>
        <rFont val="宋体"/>
        <family val="3"/>
        <charset val="134"/>
      </rPr>
      <t>负责监盘的固定资产类别：</t>
    </r>
  </si>
  <si>
    <r>
      <rPr>
        <sz val="10"/>
        <rFont val="宋体"/>
        <family val="3"/>
        <charset val="134"/>
      </rPr>
      <t>记录</t>
    </r>
  </si>
  <si>
    <r>
      <t xml:space="preserve">   </t>
    </r>
    <r>
      <rPr>
        <sz val="10"/>
        <rFont val="宋体"/>
        <family val="3"/>
        <charset val="134"/>
      </rPr>
      <t>第三组：</t>
    </r>
    <r>
      <rPr>
        <u/>
        <sz val="10"/>
        <rFont val="Arial Narrow"/>
        <family val="2"/>
      </rPr>
      <t xml:space="preserve">               </t>
    </r>
    <r>
      <rPr>
        <sz val="10"/>
        <rFont val="Arial Narrow"/>
        <family val="2"/>
      </rPr>
      <t xml:space="preserve">  </t>
    </r>
    <phoneticPr fontId="10" type="noConversion"/>
  </si>
  <si>
    <r>
      <t xml:space="preserve">3. </t>
    </r>
    <r>
      <rPr>
        <sz val="10"/>
        <rFont val="宋体"/>
        <family val="3"/>
        <charset val="134"/>
      </rPr>
      <t>固定资产是否停止流动</t>
    </r>
    <r>
      <rPr>
        <u/>
        <sz val="10"/>
        <rFont val="Arial Narrow"/>
        <family val="2"/>
      </rPr>
      <t xml:space="preserve">                                     </t>
    </r>
  </si>
  <si>
    <r>
      <t>4</t>
    </r>
    <r>
      <rPr>
        <sz val="10"/>
        <rFont val="宋体"/>
        <family val="3"/>
        <charset val="134"/>
      </rPr>
      <t>．监盘中特殊情况说明：</t>
    </r>
  </si>
  <si>
    <r>
      <rPr>
        <sz val="10"/>
        <rFont val="宋体"/>
        <family val="3"/>
        <charset val="134"/>
      </rPr>
      <t>外，自始至终未离开现场</t>
    </r>
    <r>
      <rPr>
        <sz val="10"/>
        <rFont val="Arial Narrow"/>
        <family val="2"/>
      </rPr>
      <t xml:space="preserve">  </t>
    </r>
    <r>
      <rPr>
        <sz val="10"/>
        <rFont val="宋体"/>
        <family val="3"/>
        <charset val="134"/>
      </rPr>
      <t>是（</t>
    </r>
    <r>
      <rPr>
        <sz val="10"/>
        <rFont val="Arial Narrow"/>
        <family val="2"/>
      </rPr>
      <t xml:space="preserve">   </t>
    </r>
    <r>
      <rPr>
        <sz val="10"/>
        <rFont val="宋体"/>
        <family val="3"/>
        <charset val="134"/>
      </rPr>
      <t>）</t>
    </r>
    <r>
      <rPr>
        <sz val="10"/>
        <rFont val="Arial Narrow"/>
        <family val="2"/>
      </rPr>
      <t xml:space="preserve"> </t>
    </r>
    <r>
      <rPr>
        <sz val="10"/>
        <rFont val="宋体"/>
        <family val="3"/>
        <charset val="134"/>
      </rPr>
      <t>否（</t>
    </r>
    <r>
      <rPr>
        <sz val="10"/>
        <rFont val="Arial Narrow"/>
        <family val="2"/>
      </rPr>
      <t xml:space="preserve">   </t>
    </r>
    <r>
      <rPr>
        <sz val="10"/>
        <rFont val="宋体"/>
        <family val="3"/>
        <charset val="134"/>
      </rPr>
      <t>）。</t>
    </r>
  </si>
  <si>
    <r>
      <rPr>
        <sz val="10"/>
        <rFont val="宋体"/>
        <family val="3"/>
        <charset val="134"/>
      </rPr>
      <t>底稿索引：</t>
    </r>
    <phoneticPr fontId="10" type="noConversion"/>
  </si>
  <si>
    <r>
      <t>1</t>
    </r>
    <r>
      <rPr>
        <sz val="10"/>
        <rFont val="宋体"/>
        <family val="3"/>
        <charset val="134"/>
      </rPr>
      <t>．房屋建筑物盘点说明：</t>
    </r>
  </si>
  <si>
    <r>
      <rPr>
        <sz val="10"/>
        <rFont val="宋体"/>
        <family val="3"/>
        <charset val="134"/>
      </rPr>
      <t>（</t>
    </r>
    <r>
      <rPr>
        <sz val="10"/>
        <rFont val="Arial Narrow"/>
        <family val="2"/>
      </rPr>
      <t>1</t>
    </r>
    <r>
      <rPr>
        <sz val="10"/>
        <rFont val="宋体"/>
        <family val="3"/>
        <charset val="134"/>
      </rPr>
      <t>）房产证上记载的房屋栋号与会计账簿记载的资产名称是否能对应：</t>
    </r>
  </si>
  <si>
    <r>
      <rPr>
        <sz val="10"/>
        <rFont val="宋体"/>
        <family val="3"/>
        <charset val="134"/>
      </rPr>
      <t>房屋土地使用权审核工作底稿检查记录索引：</t>
    </r>
    <phoneticPr fontId="10" type="noConversion"/>
  </si>
  <si>
    <r>
      <rPr>
        <sz val="10"/>
        <rFont val="宋体"/>
        <family val="3"/>
        <charset val="134"/>
      </rPr>
      <t>（</t>
    </r>
    <r>
      <rPr>
        <sz val="10"/>
        <rFont val="Arial Narrow"/>
        <family val="2"/>
      </rPr>
      <t>2</t>
    </r>
    <r>
      <rPr>
        <sz val="10"/>
        <rFont val="宋体"/>
        <family val="3"/>
        <charset val="134"/>
      </rPr>
      <t>）房产证上记载的房屋数量与会计账簿记载的数量是否一致：</t>
    </r>
  </si>
  <si>
    <r>
      <t xml:space="preserve">     </t>
    </r>
    <r>
      <rPr>
        <sz val="10"/>
        <rFont val="宋体"/>
        <family val="3"/>
        <charset val="134"/>
      </rPr>
      <t>检查记录索引：（</t>
    </r>
    <r>
      <rPr>
        <sz val="10"/>
        <rFont val="Arial Narrow"/>
        <family val="2"/>
      </rPr>
      <t xml:space="preserve">               </t>
    </r>
    <r>
      <rPr>
        <sz val="10"/>
        <rFont val="宋体"/>
        <family val="3"/>
        <charset val="134"/>
      </rPr>
      <t>）</t>
    </r>
    <r>
      <rPr>
        <b/>
        <sz val="10"/>
        <color indexed="12"/>
        <rFont val="宋体"/>
        <family val="3"/>
        <charset val="134"/>
      </rPr>
      <t>（提示：如无法核对的，应当说明情况）</t>
    </r>
    <phoneticPr fontId="10" type="noConversion"/>
  </si>
  <si>
    <r>
      <rPr>
        <sz val="10"/>
        <rFont val="宋体"/>
        <family val="3"/>
        <charset val="134"/>
      </rPr>
      <t>（</t>
    </r>
    <r>
      <rPr>
        <sz val="10"/>
        <rFont val="Arial Narrow"/>
        <family val="2"/>
      </rPr>
      <t>3</t>
    </r>
    <r>
      <rPr>
        <sz val="10"/>
        <rFont val="宋体"/>
        <family val="3"/>
        <charset val="134"/>
      </rPr>
      <t>）抽查房产证上记载的房屋面积与会计账簿记载的面积是否一致：</t>
    </r>
  </si>
  <si>
    <r>
      <rPr>
        <sz val="10"/>
        <rFont val="宋体"/>
        <family val="3"/>
        <charset val="134"/>
      </rPr>
      <t>（</t>
    </r>
    <r>
      <rPr>
        <sz val="10"/>
        <rFont val="Arial Narrow"/>
        <family val="2"/>
      </rPr>
      <t>5</t>
    </r>
    <r>
      <rPr>
        <sz val="10"/>
        <rFont val="宋体"/>
        <family val="3"/>
        <charset val="134"/>
      </rPr>
      <t>）其他情况：</t>
    </r>
    <r>
      <rPr>
        <u/>
        <sz val="10"/>
        <rFont val="Arial Narrow"/>
        <family val="2"/>
      </rPr>
      <t xml:space="preserve">                                                           </t>
    </r>
  </si>
  <si>
    <r>
      <t>2</t>
    </r>
    <r>
      <rPr>
        <sz val="10"/>
        <rFont val="宋体"/>
        <family val="3"/>
        <charset val="134"/>
      </rPr>
      <t>．机器设备盘点说明：</t>
    </r>
  </si>
  <si>
    <r>
      <rPr>
        <sz val="10"/>
        <rFont val="宋体"/>
        <family val="3"/>
        <charset val="134"/>
      </rPr>
      <t>（</t>
    </r>
    <r>
      <rPr>
        <sz val="10"/>
        <rFont val="Arial Narrow"/>
        <family val="2"/>
      </rPr>
      <t>1</t>
    </r>
    <r>
      <rPr>
        <sz val="10"/>
        <rFont val="宋体"/>
        <family val="3"/>
        <charset val="134"/>
      </rPr>
      <t>）相同类型的设备是否具有可供识别的管理标识，并能清晰区分：</t>
    </r>
    <r>
      <rPr>
        <sz val="10"/>
        <rFont val="Arial Narrow"/>
        <family val="2"/>
      </rPr>
      <t xml:space="preserve"> </t>
    </r>
  </si>
  <si>
    <r>
      <rPr>
        <sz val="10"/>
        <rFont val="宋体"/>
        <family val="3"/>
        <charset val="134"/>
      </rPr>
      <t>检查记录索引：</t>
    </r>
  </si>
  <si>
    <r>
      <rPr>
        <sz val="10"/>
        <rFont val="宋体"/>
        <family val="3"/>
        <charset val="134"/>
      </rPr>
      <t>（</t>
    </r>
    <r>
      <rPr>
        <sz val="10"/>
        <rFont val="Arial Narrow"/>
        <family val="2"/>
      </rPr>
      <t>3</t>
    </r>
    <r>
      <rPr>
        <sz val="10"/>
        <rFont val="宋体"/>
        <family val="3"/>
        <charset val="134"/>
      </rPr>
      <t>）是否存在不需用的设备：</t>
    </r>
    <r>
      <rPr>
        <sz val="10"/>
        <rFont val="Arial Narrow"/>
        <family val="2"/>
      </rPr>
      <t xml:space="preserve">     </t>
    </r>
  </si>
  <si>
    <r>
      <rPr>
        <sz val="10"/>
        <rFont val="宋体"/>
        <family val="3"/>
        <charset val="134"/>
      </rPr>
      <t>（</t>
    </r>
    <r>
      <rPr>
        <sz val="10"/>
        <rFont val="Arial Narrow"/>
        <family val="2"/>
      </rPr>
      <t>4</t>
    </r>
    <r>
      <rPr>
        <sz val="10"/>
        <rFont val="宋体"/>
        <family val="3"/>
        <charset val="134"/>
      </rPr>
      <t>）是否存在实际已报废、毁损而会计账簿仍记载的设备：</t>
    </r>
    <r>
      <rPr>
        <u/>
        <sz val="10"/>
        <rFont val="Arial Narrow"/>
        <family val="2"/>
      </rPr>
      <t xml:space="preserve">                  </t>
    </r>
  </si>
  <si>
    <r>
      <rPr>
        <sz val="10"/>
        <rFont val="宋体"/>
        <family val="3"/>
        <charset val="134"/>
      </rPr>
      <t>（</t>
    </r>
    <r>
      <rPr>
        <sz val="10"/>
        <rFont val="Arial Narrow"/>
        <family val="2"/>
      </rPr>
      <t>5</t>
    </r>
    <r>
      <rPr>
        <sz val="10"/>
        <rFont val="宋体"/>
        <family val="3"/>
        <charset val="134"/>
      </rPr>
      <t>）是否存在实际已使用而会计账簿未记载的设备：</t>
    </r>
    <r>
      <rPr>
        <u/>
        <sz val="10"/>
        <rFont val="Arial Narrow"/>
        <family val="2"/>
      </rPr>
      <t xml:space="preserve">                        </t>
    </r>
  </si>
  <si>
    <r>
      <rPr>
        <sz val="10"/>
        <rFont val="宋体"/>
        <family val="3"/>
        <charset val="134"/>
      </rPr>
      <t>（</t>
    </r>
    <r>
      <rPr>
        <sz val="10"/>
        <rFont val="Arial Narrow"/>
        <family val="2"/>
      </rPr>
      <t>6</t>
    </r>
    <r>
      <rPr>
        <sz val="10"/>
        <rFont val="宋体"/>
        <family val="3"/>
        <charset val="134"/>
      </rPr>
      <t>）对主要设备是否获取或编制设备位置简图并能按图核对：</t>
    </r>
    <r>
      <rPr>
        <u/>
        <sz val="10"/>
        <rFont val="Arial Narrow"/>
        <family val="2"/>
      </rPr>
      <t xml:space="preserve">                </t>
    </r>
  </si>
  <si>
    <r>
      <rPr>
        <sz val="10"/>
        <rFont val="宋体"/>
        <family val="3"/>
        <charset val="134"/>
      </rPr>
      <t>（</t>
    </r>
    <r>
      <rPr>
        <sz val="10"/>
        <rFont val="Arial Narrow"/>
        <family val="2"/>
      </rPr>
      <t>7</t>
    </r>
    <r>
      <rPr>
        <sz val="10"/>
        <rFont val="宋体"/>
        <family val="3"/>
        <charset val="134"/>
      </rPr>
      <t>）对设备管道是否获取或编制走向图并能按图核对：</t>
    </r>
    <r>
      <rPr>
        <u/>
        <sz val="10"/>
        <rFont val="Arial Narrow"/>
        <family val="2"/>
      </rPr>
      <t xml:space="preserve">                      </t>
    </r>
  </si>
  <si>
    <r>
      <rPr>
        <sz val="10"/>
        <rFont val="宋体"/>
        <family val="3"/>
        <charset val="134"/>
      </rPr>
      <t>（</t>
    </r>
    <r>
      <rPr>
        <sz val="10"/>
        <rFont val="Arial Narrow"/>
        <family val="2"/>
      </rPr>
      <t>8</t>
    </r>
    <r>
      <rPr>
        <sz val="10"/>
        <rFont val="宋体"/>
        <family val="3"/>
        <charset val="134"/>
      </rPr>
      <t>）对电力设备（如大型变电设备）是否检查其权属状况：</t>
    </r>
    <r>
      <rPr>
        <u/>
        <sz val="10"/>
        <rFont val="Arial Narrow"/>
        <family val="2"/>
      </rPr>
      <t xml:space="preserve">                  </t>
    </r>
  </si>
  <si>
    <r>
      <t>3</t>
    </r>
    <r>
      <rPr>
        <sz val="10"/>
        <rFont val="宋体"/>
        <family val="3"/>
        <charset val="134"/>
      </rPr>
      <t>．运输设备盘点说明：</t>
    </r>
  </si>
  <si>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是否存在不需用的设备：</t>
    </r>
    <r>
      <rPr>
        <u/>
        <sz val="10"/>
        <rFont val="Arial Narrow"/>
        <family val="2"/>
      </rPr>
      <t xml:space="preserve">                                             </t>
    </r>
  </si>
  <si>
    <r>
      <rPr>
        <sz val="10"/>
        <rFont val="宋体"/>
        <family val="3"/>
        <charset val="134"/>
      </rPr>
      <t>（</t>
    </r>
    <r>
      <rPr>
        <sz val="10"/>
        <rFont val="Arial Narrow"/>
        <family val="2"/>
      </rPr>
      <t>5</t>
    </r>
    <r>
      <rPr>
        <sz val="10"/>
        <rFont val="宋体"/>
        <family val="3"/>
        <charset val="134"/>
      </rPr>
      <t>）</t>
    </r>
    <r>
      <rPr>
        <sz val="10"/>
        <rFont val="Arial Narrow"/>
        <family val="2"/>
      </rPr>
      <t xml:space="preserve"> </t>
    </r>
    <r>
      <rPr>
        <sz val="10"/>
        <rFont val="宋体"/>
        <family val="3"/>
        <charset val="134"/>
      </rPr>
      <t>是否存在实际已报废、毁损而会计账簿仍记载的设备：</t>
    </r>
    <r>
      <rPr>
        <u/>
        <sz val="10"/>
        <rFont val="Arial Narrow"/>
        <family val="2"/>
      </rPr>
      <t xml:space="preserve">                   </t>
    </r>
  </si>
  <si>
    <r>
      <rPr>
        <sz val="10"/>
        <rFont val="宋体"/>
        <family val="3"/>
        <charset val="134"/>
      </rPr>
      <t>（</t>
    </r>
    <r>
      <rPr>
        <sz val="10"/>
        <rFont val="Arial Narrow"/>
        <family val="2"/>
      </rPr>
      <t>6</t>
    </r>
    <r>
      <rPr>
        <sz val="10"/>
        <rFont val="宋体"/>
        <family val="3"/>
        <charset val="134"/>
      </rPr>
      <t>）</t>
    </r>
    <r>
      <rPr>
        <sz val="10"/>
        <rFont val="Arial Narrow"/>
        <family val="2"/>
      </rPr>
      <t xml:space="preserve"> </t>
    </r>
    <r>
      <rPr>
        <sz val="10"/>
        <rFont val="宋体"/>
        <family val="3"/>
        <charset val="134"/>
      </rPr>
      <t>是否存在实际已使用而会计账簿未记载的设备：</t>
    </r>
    <r>
      <rPr>
        <u/>
        <sz val="10"/>
        <rFont val="Arial Narrow"/>
        <family val="2"/>
      </rPr>
      <t xml:space="preserve">                         </t>
    </r>
  </si>
  <si>
    <r>
      <rPr>
        <sz val="10"/>
        <rFont val="宋体"/>
        <family val="3"/>
        <charset val="134"/>
      </rPr>
      <t>（</t>
    </r>
    <r>
      <rPr>
        <sz val="10"/>
        <rFont val="Arial Narrow"/>
        <family val="2"/>
      </rPr>
      <t>1</t>
    </r>
    <r>
      <rPr>
        <sz val="10"/>
        <rFont val="宋体"/>
        <family val="3"/>
        <charset val="134"/>
      </rPr>
      <t>）</t>
    </r>
    <r>
      <rPr>
        <sz val="10"/>
        <rFont val="Arial Narrow"/>
        <family val="2"/>
      </rPr>
      <t xml:space="preserve"> </t>
    </r>
    <r>
      <rPr>
        <sz val="10"/>
        <rFont val="宋体"/>
        <family val="3"/>
        <charset val="134"/>
      </rPr>
      <t>相同类型的设备是否具有可供识别的管理标识，并能清晰区分：</t>
    </r>
    <r>
      <rPr>
        <u/>
        <sz val="10"/>
        <rFont val="Arial Narrow"/>
        <family val="2"/>
      </rPr>
      <t xml:space="preserve">            </t>
    </r>
  </si>
  <si>
    <r>
      <rPr>
        <sz val="10"/>
        <rFont val="宋体"/>
        <family val="3"/>
        <charset val="134"/>
      </rPr>
      <t>（</t>
    </r>
    <r>
      <rPr>
        <sz val="10"/>
        <rFont val="Arial Narrow"/>
        <family val="2"/>
      </rPr>
      <t>2</t>
    </r>
    <r>
      <rPr>
        <sz val="10"/>
        <rFont val="宋体"/>
        <family val="3"/>
        <charset val="134"/>
      </rPr>
      <t>）</t>
    </r>
    <r>
      <rPr>
        <sz val="10"/>
        <rFont val="Arial Narrow"/>
        <family val="2"/>
      </rPr>
      <t xml:space="preserve"> </t>
    </r>
    <r>
      <rPr>
        <sz val="10"/>
        <rFont val="宋体"/>
        <family val="3"/>
        <charset val="134"/>
      </rPr>
      <t>各型号设备数量是否与会计账簿记载的数量一致：</t>
    </r>
    <r>
      <rPr>
        <u/>
        <sz val="10"/>
        <rFont val="Arial Narrow"/>
        <family val="2"/>
      </rPr>
      <t xml:space="preserve">                        </t>
    </r>
  </si>
  <si>
    <r>
      <rPr>
        <sz val="10"/>
        <rFont val="宋体"/>
        <family val="3"/>
        <charset val="134"/>
      </rPr>
      <t>（</t>
    </r>
    <r>
      <rPr>
        <sz val="10"/>
        <rFont val="Arial Narrow"/>
        <family val="2"/>
      </rPr>
      <t>3</t>
    </r>
    <r>
      <rPr>
        <sz val="10"/>
        <rFont val="宋体"/>
        <family val="3"/>
        <charset val="134"/>
      </rPr>
      <t>）</t>
    </r>
    <r>
      <rPr>
        <sz val="10"/>
        <rFont val="Arial Narrow"/>
        <family val="2"/>
      </rPr>
      <t xml:space="preserve"> </t>
    </r>
    <r>
      <rPr>
        <sz val="10"/>
        <rFont val="宋体"/>
        <family val="3"/>
        <charset val="134"/>
      </rPr>
      <t>对相同型号的设备会计账簿仅记载合计数的，是否按设备分别记录其存放地：</t>
    </r>
  </si>
  <si>
    <r>
      <rPr>
        <sz val="10"/>
        <rFont val="宋体"/>
        <family val="3"/>
        <charset val="134"/>
      </rPr>
      <t>（</t>
    </r>
    <r>
      <rPr>
        <sz val="10"/>
        <rFont val="Arial Narrow"/>
        <family val="2"/>
      </rPr>
      <t>4</t>
    </r>
    <r>
      <rPr>
        <sz val="10"/>
        <rFont val="宋体"/>
        <family val="3"/>
        <charset val="134"/>
      </rPr>
      <t>）是否存在不需用的设备：</t>
    </r>
    <r>
      <rPr>
        <u/>
        <sz val="10"/>
        <rFont val="Arial Narrow"/>
        <family val="2"/>
      </rPr>
      <t xml:space="preserve">                                              </t>
    </r>
  </si>
  <si>
    <r>
      <rPr>
        <sz val="10"/>
        <rFont val="宋体"/>
        <family val="3"/>
        <charset val="134"/>
      </rPr>
      <t>（</t>
    </r>
    <r>
      <rPr>
        <sz val="10"/>
        <rFont val="Arial Narrow"/>
        <family val="2"/>
      </rPr>
      <t>5</t>
    </r>
    <r>
      <rPr>
        <sz val="10"/>
        <rFont val="宋体"/>
        <family val="3"/>
        <charset val="134"/>
      </rPr>
      <t>）是否存在实际已报废、毁损而会计账簿仍记载的设备：</t>
    </r>
    <r>
      <rPr>
        <u/>
        <sz val="10"/>
        <rFont val="Arial Narrow"/>
        <family val="2"/>
      </rPr>
      <t xml:space="preserve">                    </t>
    </r>
  </si>
  <si>
    <r>
      <rPr>
        <sz val="10"/>
        <rFont val="宋体"/>
        <family val="3"/>
        <charset val="134"/>
      </rPr>
      <t>（</t>
    </r>
    <r>
      <rPr>
        <sz val="10"/>
        <rFont val="Arial Narrow"/>
        <family val="2"/>
      </rPr>
      <t>6</t>
    </r>
    <r>
      <rPr>
        <sz val="10"/>
        <rFont val="宋体"/>
        <family val="3"/>
        <charset val="134"/>
      </rPr>
      <t>）是否存在实际已使用而会计账簿未记载的设备：</t>
    </r>
    <r>
      <rPr>
        <u/>
        <sz val="10"/>
        <rFont val="Arial Narrow"/>
        <family val="2"/>
      </rPr>
      <t xml:space="preserve">                          </t>
    </r>
  </si>
  <si>
    <r>
      <rPr>
        <sz val="10"/>
        <rFont val="宋体"/>
        <family val="3"/>
        <charset val="134"/>
      </rPr>
      <t>复盘底稿记录索引：</t>
    </r>
    <phoneticPr fontId="10" type="noConversion"/>
  </si>
  <si>
    <r>
      <t>2</t>
    </r>
    <r>
      <rPr>
        <sz val="10"/>
        <rFont val="宋体"/>
        <family val="3"/>
        <charset val="134"/>
      </rPr>
      <t>、复盘统计：</t>
    </r>
  </si>
  <si>
    <r>
      <t xml:space="preserve">    </t>
    </r>
    <r>
      <rPr>
        <sz val="10"/>
        <rFont val="宋体"/>
        <family val="3"/>
        <charset val="134"/>
      </rPr>
      <t>倒退至资产负债表日是否存在尚未购入且未入账的资产：</t>
    </r>
    <r>
      <rPr>
        <u/>
        <sz val="10"/>
        <rFont val="Arial Narrow"/>
        <family val="2"/>
      </rPr>
      <t xml:space="preserve">                </t>
    </r>
  </si>
  <si>
    <r>
      <t xml:space="preserve">    </t>
    </r>
    <r>
      <rPr>
        <sz val="10"/>
        <rFont val="宋体"/>
        <family val="3"/>
        <charset val="134"/>
      </rPr>
      <t>倒退至资产负债表日分析是否存在已报废与处置的资产：</t>
    </r>
    <r>
      <rPr>
        <u/>
        <sz val="10"/>
        <rFont val="Arial Narrow"/>
        <family val="2"/>
      </rPr>
      <t xml:space="preserve">               </t>
    </r>
  </si>
  <si>
    <r>
      <t>3</t>
    </r>
    <r>
      <rPr>
        <sz val="10"/>
        <rFont val="宋体"/>
        <family val="3"/>
        <charset val="134"/>
      </rPr>
      <t>、计算复盘正确率：</t>
    </r>
  </si>
  <si>
    <r>
      <rPr>
        <sz val="10"/>
        <rFont val="宋体"/>
        <family val="3"/>
        <charset val="134"/>
      </rPr>
      <t>盘点结束后的工作记录</t>
    </r>
  </si>
  <si>
    <r>
      <t xml:space="preserve"> 1</t>
    </r>
    <r>
      <rPr>
        <sz val="10"/>
        <rFont val="宋体"/>
        <family val="3"/>
        <charset val="134"/>
      </rPr>
      <t>、对盘点工作的评价：</t>
    </r>
  </si>
  <si>
    <r>
      <t xml:space="preserve">    </t>
    </r>
    <r>
      <rPr>
        <sz val="10"/>
        <rFont val="宋体"/>
        <family val="3"/>
        <charset val="134"/>
      </rPr>
      <t>设备管理人员对设备保管业务的熟悉程度：</t>
    </r>
    <r>
      <rPr>
        <u/>
        <sz val="10"/>
        <rFont val="Arial Narrow"/>
        <family val="2"/>
      </rPr>
      <t xml:space="preserve">                           </t>
    </r>
  </si>
  <si>
    <r>
      <t xml:space="preserve">    </t>
    </r>
    <r>
      <rPr>
        <sz val="10"/>
        <rFont val="宋体"/>
        <family val="3"/>
        <charset val="134"/>
      </rPr>
      <t>设备管理人员对盘点工作与复盘工作的负责态度：</t>
    </r>
    <r>
      <rPr>
        <u/>
        <sz val="10"/>
        <rFont val="Arial Narrow"/>
        <family val="2"/>
      </rPr>
      <t xml:space="preserve">                     </t>
    </r>
  </si>
  <si>
    <r>
      <t xml:space="preserve">    </t>
    </r>
    <r>
      <rPr>
        <sz val="10"/>
        <rFont val="宋体"/>
        <family val="3"/>
        <charset val="134"/>
      </rPr>
      <t>对审计人员索取的资料配合程度：</t>
    </r>
    <r>
      <rPr>
        <u/>
        <sz val="10"/>
        <rFont val="Arial Narrow"/>
        <family val="2"/>
      </rPr>
      <t xml:space="preserve">                                   </t>
    </r>
  </si>
  <si>
    <r>
      <t xml:space="preserve"> 2</t>
    </r>
    <r>
      <rPr>
        <sz val="10"/>
        <rFont val="宋体"/>
        <family val="3"/>
        <charset val="134"/>
      </rPr>
      <t>、索取由设备人员编制的〈盘点差异说明〉，并请其加盖公章：</t>
    </r>
    <r>
      <rPr>
        <u/>
        <sz val="10"/>
        <rFont val="Arial Narrow"/>
        <family val="2"/>
      </rPr>
      <t xml:space="preserve">            </t>
    </r>
  </si>
  <si>
    <r>
      <t xml:space="preserve"> 3</t>
    </r>
    <r>
      <rPr>
        <sz val="10"/>
        <rFont val="宋体"/>
        <family val="3"/>
        <charset val="134"/>
      </rPr>
      <t>、请被审计单位的人员在〈设备复盘抽查情况表〉上签字：</t>
    </r>
    <r>
      <rPr>
        <u/>
        <sz val="10"/>
        <rFont val="Arial Narrow"/>
        <family val="2"/>
      </rPr>
      <t xml:space="preserve">               </t>
    </r>
  </si>
  <si>
    <r>
      <rPr>
        <b/>
        <sz val="10"/>
        <rFont val="宋体"/>
        <family val="3"/>
        <charset val="134"/>
      </rPr>
      <t>四、实际盘点前的检查程序：</t>
    </r>
  </si>
  <si>
    <r>
      <t xml:space="preserve"> </t>
    </r>
    <r>
      <rPr>
        <b/>
        <sz val="10"/>
        <rFont val="宋体"/>
        <family val="3"/>
        <charset val="134"/>
      </rPr>
      <t>五、实际盘点时间：</t>
    </r>
  </si>
  <si>
    <r>
      <t xml:space="preserve"> </t>
    </r>
    <r>
      <rPr>
        <b/>
        <sz val="10"/>
        <rFont val="宋体"/>
        <family val="3"/>
        <charset val="134"/>
      </rPr>
      <t>六、企业实际盘点情况说明</t>
    </r>
  </si>
  <si>
    <r>
      <rPr>
        <b/>
        <sz val="10"/>
        <rFont val="宋体"/>
        <family val="3"/>
        <charset val="134"/>
      </rPr>
      <t>七、审计人员复盘记录：</t>
    </r>
  </si>
  <si>
    <r>
      <rPr>
        <b/>
        <sz val="10"/>
        <rFont val="宋体"/>
        <family val="3"/>
        <charset val="134"/>
      </rPr>
      <t>八、盘点中异常情况说明：</t>
    </r>
  </si>
  <si>
    <r>
      <rPr>
        <b/>
        <sz val="10"/>
        <rFont val="宋体"/>
        <family val="3"/>
        <charset val="134"/>
      </rPr>
      <t>九、复盘记录：</t>
    </r>
    <r>
      <rPr>
        <b/>
        <sz val="10"/>
        <color indexed="12"/>
        <rFont val="宋体"/>
        <family val="3"/>
        <charset val="134"/>
      </rPr>
      <t>（提示：应按照审计准则规定确定复盘的样本）</t>
    </r>
  </si>
  <si>
    <r>
      <rPr>
        <b/>
        <sz val="10"/>
        <rFont val="宋体"/>
        <family val="3"/>
        <charset val="134"/>
      </rPr>
      <t>十、盘点结束工作说明：</t>
    </r>
  </si>
  <si>
    <r>
      <rPr>
        <b/>
        <sz val="10"/>
        <rFont val="宋体"/>
        <family val="3"/>
        <charset val="134"/>
      </rPr>
      <t>序号</t>
    </r>
    <phoneticPr fontId="10" type="noConversion"/>
  </si>
  <si>
    <t>①固定资产情况</t>
    <phoneticPr fontId="10" type="noConversion"/>
  </si>
  <si>
    <r>
      <rPr>
        <sz val="10"/>
        <rFont val="宋体"/>
        <family val="3"/>
        <charset val="134"/>
      </rPr>
      <t>存在</t>
    </r>
    <phoneticPr fontId="10" type="noConversion"/>
  </si>
  <si>
    <r>
      <rPr>
        <sz val="10"/>
        <rFont val="宋体"/>
        <family val="3"/>
        <charset val="134"/>
      </rPr>
      <t>完整性</t>
    </r>
    <phoneticPr fontId="10" type="noConversion"/>
  </si>
  <si>
    <r>
      <rPr>
        <sz val="10"/>
        <rFont val="宋体"/>
        <family val="3"/>
        <charset val="134"/>
      </rPr>
      <t>√</t>
    </r>
    <phoneticPr fontId="10" type="noConversion"/>
  </si>
  <si>
    <r>
      <rPr>
        <b/>
        <sz val="10"/>
        <rFont val="宋体"/>
        <family val="3"/>
        <charset val="134"/>
      </rPr>
      <t>程序分类</t>
    </r>
    <phoneticPr fontId="10" type="noConversion"/>
  </si>
  <si>
    <r>
      <rPr>
        <sz val="10"/>
        <color theme="1"/>
        <rFont val="宋体"/>
        <family val="3"/>
        <charset val="134"/>
      </rPr>
      <t>常规★</t>
    </r>
    <phoneticPr fontId="5" type="noConversion"/>
  </si>
  <si>
    <t>2</t>
  </si>
  <si>
    <t>5</t>
  </si>
  <si>
    <t>6</t>
  </si>
  <si>
    <t>7</t>
  </si>
  <si>
    <t>……</t>
    <phoneticPr fontId="10" type="noConversion"/>
  </si>
  <si>
    <t>（提示：对于冲减无形资产或其他资产账面价值的政府补助，在无形资产或其他资产的科目附注中比照上述要求进行披露。）</t>
  </si>
  <si>
    <t>（1）固定资产</t>
    <phoneticPr fontId="10" type="noConversion"/>
  </si>
  <si>
    <t>（1）固定资产情况</t>
  </si>
  <si>
    <r>
      <t>15</t>
    </r>
    <r>
      <rPr>
        <b/>
        <sz val="10"/>
        <rFont val="宋体"/>
        <family val="3"/>
        <charset val="134"/>
        <scheme val="minor"/>
      </rPr>
      <t>、固定资产</t>
    </r>
    <phoneticPr fontId="10" type="noConversion"/>
  </si>
  <si>
    <t>H1-2</t>
  </si>
  <si>
    <t>H1-3</t>
  </si>
  <si>
    <t>H1-4</t>
  </si>
  <si>
    <t>H1-5</t>
  </si>
  <si>
    <t>H1-6</t>
  </si>
  <si>
    <t>H1-7</t>
  </si>
  <si>
    <t>H1-8</t>
  </si>
  <si>
    <t>H1-9</t>
  </si>
  <si>
    <t>H1-10</t>
  </si>
  <si>
    <t>H1-11</t>
  </si>
  <si>
    <t>H1-12</t>
  </si>
  <si>
    <t>H1-13</t>
  </si>
  <si>
    <r>
      <t>项</t>
    </r>
    <r>
      <rPr>
        <b/>
        <sz val="10.5"/>
        <rFont val="Arial Narrow"/>
        <family val="2"/>
      </rPr>
      <t xml:space="preserve">  </t>
    </r>
    <r>
      <rPr>
        <b/>
        <sz val="10.5"/>
        <rFont val="仿宋_GB2312"/>
        <family val="3"/>
        <charset val="134"/>
      </rPr>
      <t>目</t>
    </r>
  </si>
  <si>
    <t>上年年末余额</t>
  </si>
  <si>
    <t>固定资产</t>
  </si>
  <si>
    <t>固定资产清理</t>
  </si>
  <si>
    <r>
      <t>合</t>
    </r>
    <r>
      <rPr>
        <b/>
        <sz val="10.5"/>
        <rFont val="Arial Narrow"/>
        <family val="2"/>
      </rPr>
      <t xml:space="preserve">  </t>
    </r>
    <r>
      <rPr>
        <b/>
        <sz val="10.5"/>
        <rFont val="仿宋_GB2312"/>
        <family val="3"/>
        <charset val="134"/>
      </rPr>
      <t>计</t>
    </r>
  </si>
  <si>
    <t>X.XX</t>
  </si>
  <si>
    <r>
      <t>项</t>
    </r>
    <r>
      <rPr>
        <b/>
        <sz val="10.5"/>
        <color rgb="FF000000"/>
        <rFont val="Arial Narrow"/>
        <family val="2"/>
      </rPr>
      <t xml:space="preserve">  </t>
    </r>
    <r>
      <rPr>
        <b/>
        <sz val="10.5"/>
        <color rgb="FF000000"/>
        <rFont val="仿宋_GB2312"/>
        <family val="3"/>
        <charset val="134"/>
      </rPr>
      <t>目</t>
    </r>
  </si>
  <si>
    <r>
      <t>合</t>
    </r>
    <r>
      <rPr>
        <b/>
        <sz val="10.5"/>
        <color rgb="FF000000"/>
        <rFont val="Arial Narrow"/>
        <family val="2"/>
      </rPr>
      <t xml:space="preserve">  </t>
    </r>
    <r>
      <rPr>
        <b/>
        <sz val="10.5"/>
        <color rgb="FF000000"/>
        <rFont val="仿宋_GB2312"/>
        <family val="3"/>
        <charset val="134"/>
      </rPr>
      <t>计</t>
    </r>
  </si>
  <si>
    <r>
      <t xml:space="preserve">    1.</t>
    </r>
    <r>
      <rPr>
        <sz val="10.5"/>
        <color rgb="FF000000"/>
        <rFont val="仿宋_GB2312"/>
        <family val="3"/>
        <charset val="134"/>
      </rPr>
      <t>期初余额</t>
    </r>
  </si>
  <si>
    <r>
      <t xml:space="preserve">    2.</t>
    </r>
    <r>
      <rPr>
        <sz val="10.5"/>
        <color rgb="FF000000"/>
        <rFont val="仿宋_GB2312"/>
        <family val="3"/>
        <charset val="134"/>
      </rPr>
      <t>本期增加金额</t>
    </r>
  </si>
  <si>
    <r>
      <t xml:space="preserve">    </t>
    </r>
    <r>
      <rPr>
        <sz val="10.5"/>
        <color rgb="FF000000"/>
        <rFont val="仿宋_GB2312"/>
        <family val="3"/>
        <charset val="134"/>
      </rPr>
      <t>（</t>
    </r>
    <r>
      <rPr>
        <sz val="10.5"/>
        <color rgb="FF000000"/>
        <rFont val="Arial Narrow"/>
        <family val="2"/>
      </rPr>
      <t>1</t>
    </r>
    <r>
      <rPr>
        <sz val="10.5"/>
        <color rgb="FF000000"/>
        <rFont val="仿宋_GB2312"/>
        <family val="3"/>
        <charset val="134"/>
      </rPr>
      <t>）购置</t>
    </r>
  </si>
  <si>
    <r>
      <t xml:space="preserve">    </t>
    </r>
    <r>
      <rPr>
        <sz val="10.5"/>
        <color rgb="FF000000"/>
        <rFont val="仿宋_GB2312"/>
        <family val="3"/>
        <charset val="134"/>
      </rPr>
      <t>（</t>
    </r>
    <r>
      <rPr>
        <sz val="10.5"/>
        <color rgb="FF000000"/>
        <rFont val="Arial Narrow"/>
        <family val="2"/>
      </rPr>
      <t>2</t>
    </r>
    <r>
      <rPr>
        <sz val="10.5"/>
        <color rgb="FF000000"/>
        <rFont val="仿宋_GB2312"/>
        <family val="3"/>
        <charset val="134"/>
      </rPr>
      <t>）在建工程转入</t>
    </r>
  </si>
  <si>
    <r>
      <t xml:space="preserve">    </t>
    </r>
    <r>
      <rPr>
        <sz val="10.5"/>
        <color rgb="FF000000"/>
        <rFont val="仿宋_GB2312"/>
        <family val="3"/>
        <charset val="134"/>
      </rPr>
      <t>（</t>
    </r>
    <r>
      <rPr>
        <sz val="10.5"/>
        <color rgb="FF000000"/>
        <rFont val="Arial Narrow"/>
        <family val="2"/>
      </rPr>
      <t>3</t>
    </r>
    <r>
      <rPr>
        <sz val="10.5"/>
        <color rgb="FF000000"/>
        <rFont val="仿宋_GB2312"/>
        <family val="3"/>
        <charset val="134"/>
      </rPr>
      <t>）企业合并增加</t>
    </r>
  </si>
  <si>
    <r>
      <t xml:space="preserve">    </t>
    </r>
    <r>
      <rPr>
        <sz val="10.5"/>
        <color rgb="FF000000"/>
        <rFont val="仿宋_GB2312"/>
        <family val="3"/>
        <charset val="134"/>
      </rPr>
      <t>……</t>
    </r>
  </si>
  <si>
    <r>
      <t xml:space="preserve">    3.</t>
    </r>
    <r>
      <rPr>
        <sz val="10.5"/>
        <color rgb="FF000000"/>
        <rFont val="仿宋_GB2312"/>
        <family val="3"/>
        <charset val="134"/>
      </rPr>
      <t>本期减少金额</t>
    </r>
  </si>
  <si>
    <r>
      <t xml:space="preserve">    </t>
    </r>
    <r>
      <rPr>
        <sz val="10.5"/>
        <color rgb="FF000000"/>
        <rFont val="仿宋_GB2312"/>
        <family val="3"/>
        <charset val="134"/>
      </rPr>
      <t>（</t>
    </r>
    <r>
      <rPr>
        <sz val="10.5"/>
        <color rgb="FF000000"/>
        <rFont val="Arial Narrow"/>
        <family val="2"/>
      </rPr>
      <t>1</t>
    </r>
    <r>
      <rPr>
        <sz val="10.5"/>
        <color rgb="FF000000"/>
        <rFont val="仿宋_GB2312"/>
        <family val="3"/>
        <charset val="134"/>
      </rPr>
      <t>）处置或报废</t>
    </r>
  </si>
  <si>
    <r>
      <t xml:space="preserve">    </t>
    </r>
    <r>
      <rPr>
        <sz val="10.5"/>
        <color rgb="FF000000"/>
        <rFont val="仿宋_GB2312"/>
        <family val="3"/>
        <charset val="134"/>
      </rPr>
      <t>（</t>
    </r>
    <r>
      <rPr>
        <sz val="10.5"/>
        <color rgb="FF000000"/>
        <rFont val="Arial Narrow"/>
        <family val="2"/>
      </rPr>
      <t>2</t>
    </r>
    <r>
      <rPr>
        <sz val="10.5"/>
        <color rgb="FF000000"/>
        <rFont val="仿宋_GB2312"/>
        <family val="3"/>
        <charset val="134"/>
      </rPr>
      <t>）其他减少</t>
    </r>
  </si>
  <si>
    <r>
      <t xml:space="preserve">    4.</t>
    </r>
    <r>
      <rPr>
        <sz val="10.5"/>
        <color rgb="FF000000"/>
        <rFont val="仿宋_GB2312"/>
        <family val="3"/>
        <charset val="134"/>
      </rPr>
      <t>期末余额</t>
    </r>
  </si>
  <si>
    <r>
      <t xml:space="preserve">    </t>
    </r>
    <r>
      <rPr>
        <sz val="10.5"/>
        <color rgb="FF000000"/>
        <rFont val="仿宋_GB2312"/>
        <family val="3"/>
        <charset val="134"/>
      </rPr>
      <t>（</t>
    </r>
    <r>
      <rPr>
        <sz val="10.5"/>
        <color rgb="FF000000"/>
        <rFont val="Arial Narrow"/>
        <family val="2"/>
      </rPr>
      <t>1</t>
    </r>
    <r>
      <rPr>
        <sz val="10.5"/>
        <color rgb="FF000000"/>
        <rFont val="仿宋_GB2312"/>
        <family val="3"/>
        <charset val="134"/>
      </rPr>
      <t>）计提</t>
    </r>
  </si>
  <si>
    <r>
      <t xml:space="preserve">    </t>
    </r>
    <r>
      <rPr>
        <sz val="10.5"/>
        <color rgb="FF000000"/>
        <rFont val="仿宋_GB2312"/>
        <family val="3"/>
        <charset val="134"/>
      </rPr>
      <t>（</t>
    </r>
    <r>
      <rPr>
        <sz val="10.5"/>
        <color rgb="FF000000"/>
        <rFont val="Arial Narrow"/>
        <family val="2"/>
      </rPr>
      <t>2</t>
    </r>
    <r>
      <rPr>
        <sz val="10.5"/>
        <color rgb="FF000000"/>
        <rFont val="仿宋_GB2312"/>
        <family val="3"/>
        <charset val="134"/>
      </rPr>
      <t>）其他增加</t>
    </r>
  </si>
  <si>
    <r>
      <t xml:space="preserve">    1.</t>
    </r>
    <r>
      <rPr>
        <sz val="10.5"/>
        <color rgb="FF000000"/>
        <rFont val="仿宋_GB2312"/>
        <family val="3"/>
        <charset val="134"/>
      </rPr>
      <t>期末账面价值</t>
    </r>
  </si>
  <si>
    <r>
      <t xml:space="preserve">    2.</t>
    </r>
    <r>
      <rPr>
        <sz val="10.5"/>
        <color rgb="FF000000"/>
        <rFont val="仿宋_GB2312"/>
        <family val="3"/>
        <charset val="134"/>
      </rPr>
      <t>期初账面价值</t>
    </r>
  </si>
  <si>
    <r>
      <t>【</t>
    </r>
    <r>
      <rPr>
        <sz val="12"/>
        <color rgb="FF0000FF"/>
        <rFont val="Arial Narrow"/>
        <family val="2"/>
      </rPr>
      <t>1</t>
    </r>
    <r>
      <rPr>
        <sz val="12"/>
        <color rgb="FF0000FF"/>
        <rFont val="仿宋_GB2312"/>
        <family val="3"/>
        <charset val="134"/>
      </rPr>
      <t>、长期资产本期进行减值测试的，应披露可收回金额的具体确定方法。可收回金额按公允价值减去处置费用后的净额确定的，应披露公允价值和处置费用的确定方式、</t>
    </r>
    <r>
      <rPr>
        <b/>
        <sz val="12"/>
        <color rgb="FF0000FF"/>
        <rFont val="仿宋_GB2312"/>
        <family val="3"/>
        <charset val="134"/>
      </rPr>
      <t>关键参数及其确定依据</t>
    </r>
    <r>
      <rPr>
        <sz val="12"/>
        <color rgb="FF0000FF"/>
        <rFont val="仿宋_GB2312"/>
        <family val="3"/>
        <charset val="134"/>
      </rPr>
      <t>。可收回金额按预计未来现金流量的现值确定的，应披露预测期的年限、预测期及稳定期的</t>
    </r>
    <r>
      <rPr>
        <b/>
        <sz val="12"/>
        <color rgb="FF0000FF"/>
        <rFont val="仿宋_GB2312"/>
        <family val="3"/>
        <charset val="134"/>
      </rPr>
      <t>关键参数及其确定依据</t>
    </r>
    <r>
      <rPr>
        <sz val="12"/>
        <color rgb="FF0000FF"/>
        <rFont val="仿宋_GB2312"/>
        <family val="3"/>
        <charset val="134"/>
      </rPr>
      <t>。前述信息与以前年度减值测试采用的信息或外部信息明显不一致的，或公司以前年度减值测试采用信息与当年实际情况明显不一致的，应披露差异原因。（</t>
    </r>
    <r>
      <rPr>
        <sz val="12"/>
        <color rgb="FF0000FF"/>
        <rFont val="Arial Narrow"/>
        <family val="2"/>
      </rPr>
      <t>15</t>
    </r>
    <r>
      <rPr>
        <sz val="12"/>
        <color rgb="FF0000FF"/>
        <rFont val="仿宋_GB2312"/>
        <family val="3"/>
        <charset val="134"/>
      </rPr>
      <t>号文第十九条（十九）；</t>
    </r>
  </si>
  <si>
    <r>
      <t>注意：</t>
    </r>
    <r>
      <rPr>
        <sz val="12"/>
        <color rgb="FF0000FF"/>
        <rFont val="Arial Narrow"/>
        <family val="2"/>
      </rPr>
      <t>1</t>
    </r>
    <r>
      <rPr>
        <sz val="12"/>
        <color rgb="FF0000FF"/>
        <rFont val="仿宋_GB2312"/>
        <family val="3"/>
        <charset val="134"/>
      </rPr>
      <t>、本年执行减值测试的，即使未计提减值，也要参照上述要求披露。</t>
    </r>
    <r>
      <rPr>
        <sz val="12"/>
        <color rgb="FF0000FF"/>
        <rFont val="Arial Narrow"/>
        <family val="2"/>
      </rPr>
      <t>2</t>
    </r>
    <r>
      <rPr>
        <sz val="12"/>
        <color rgb="FF0000FF"/>
        <rFont val="仿宋_GB2312"/>
        <family val="3"/>
        <charset val="134"/>
      </rPr>
      <t>、估计可收回金额时通常不应使用重置成本法。</t>
    </r>
  </si>
  <si>
    <r>
      <t>2</t>
    </r>
    <r>
      <rPr>
        <sz val="12"/>
        <color rgb="FF0000FF"/>
        <rFont val="仿宋_GB2312"/>
        <family val="3"/>
        <charset val="134"/>
      </rPr>
      <t>、说明抵押、担保的固定资产情况。</t>
    </r>
  </si>
  <si>
    <r>
      <t>3</t>
    </r>
    <r>
      <rPr>
        <sz val="12"/>
        <color rgb="FF0000FF"/>
        <rFont val="仿宋_GB2312"/>
        <family val="3"/>
        <charset val="134"/>
      </rPr>
      <t>、本期发生以明显高于账面价值的价格出售固定资产交易的，应详细说明交易作价的基础和依据，如：估值模型、重要参数的选取依据和估值过程，以及必要的敏感性分析。】</t>
    </r>
  </si>
  <si>
    <r>
      <t>【提示：在</t>
    </r>
    <r>
      <rPr>
        <sz val="12"/>
        <color rgb="FF0000FF"/>
        <rFont val="Arial Narrow"/>
        <family val="2"/>
      </rPr>
      <t>“</t>
    </r>
    <r>
      <rPr>
        <b/>
        <sz val="12"/>
        <color rgb="FF0000FF"/>
        <rFont val="仿宋_GB2312"/>
        <family val="3"/>
        <charset val="134"/>
      </rPr>
      <t>其他减少</t>
    </r>
    <r>
      <rPr>
        <sz val="12"/>
        <color rgb="FF0000FF"/>
        <rFont val="Arial Narrow"/>
        <family val="2"/>
      </rPr>
      <t>”</t>
    </r>
    <r>
      <rPr>
        <sz val="12"/>
        <color rgb="FF0000FF"/>
        <rFont val="仿宋_GB2312"/>
        <family val="3"/>
        <charset val="134"/>
      </rPr>
      <t>中列示本期收到的政府补助冲减固定资产账面价值的金额。对于冲减无形资产或其他资产账面价值的政府补助，比照披露。】</t>
    </r>
  </si>
  <si>
    <t>【提示：非同一控制下企业合并中取得被购买方的资产、负债等应按购买日公允价值计量，因此新并购固定资产的增加应以净额列示。</t>
  </si>
  <si>
    <t>新并购无形资产或其他资产的增加，相关科目附注比照上述要求进行列示。】</t>
  </si>
  <si>
    <t>②暂时闲置的固定资产情况</t>
    <phoneticPr fontId="10" type="noConversion"/>
  </si>
  <si>
    <t>③通过经营租赁租出的固定资产</t>
    <phoneticPr fontId="10" type="noConversion"/>
  </si>
  <si>
    <t>④未办妥产权证书的固定资产情况</t>
    <phoneticPr fontId="10" type="noConversion"/>
  </si>
  <si>
    <r>
      <rPr>
        <sz val="12"/>
        <rFont val="仿宋_GB2312"/>
        <family val="3"/>
        <charset val="134"/>
      </rPr>
      <t>⑤本期冲减固定资产账面价值的政府补助金额为</t>
    </r>
    <r>
      <rPr>
        <sz val="12"/>
        <rFont val="Arial Narrow"/>
        <family val="2"/>
      </rPr>
      <t>XXX</t>
    </r>
    <r>
      <rPr>
        <sz val="12"/>
        <rFont val="仿宋_GB2312"/>
        <family val="3"/>
        <charset val="134"/>
      </rPr>
      <t>元，具体情况见</t>
    </r>
    <r>
      <rPr>
        <sz val="12"/>
        <color rgb="FFFF0000"/>
        <rFont val="仿宋_GB2312"/>
        <family val="3"/>
        <charset val="134"/>
      </rPr>
      <t>附注八、政府补助</t>
    </r>
    <r>
      <rPr>
        <sz val="12"/>
        <rFont val="仿宋_GB2312"/>
        <family val="3"/>
        <charset val="134"/>
      </rPr>
      <t>。</t>
    </r>
    <phoneticPr fontId="10" type="noConversion"/>
  </si>
  <si>
    <t>转入清理的原因</t>
  </si>
  <si>
    <r>
      <rPr>
        <sz val="12"/>
        <rFont val="宋体"/>
        <family val="3"/>
        <charset val="134"/>
      </rPr>
      <t>（</t>
    </r>
    <r>
      <rPr>
        <sz val="12"/>
        <rFont val="Arial Narrow"/>
        <family val="2"/>
      </rPr>
      <t>2</t>
    </r>
    <r>
      <rPr>
        <sz val="12"/>
        <rFont val="宋体"/>
        <family val="3"/>
        <charset val="134"/>
      </rPr>
      <t>）</t>
    </r>
    <r>
      <rPr>
        <sz val="12"/>
        <rFont val="仿宋_GB2312"/>
        <family val="3"/>
        <charset val="134"/>
      </rPr>
      <t>固定资产清理</t>
    </r>
    <phoneticPr fontId="10" type="noConversion"/>
  </si>
  <si>
    <r>
      <t>（说明转入固定资产清理起始时间已超过</t>
    </r>
    <r>
      <rPr>
        <sz val="12"/>
        <color rgb="FF0000FF"/>
        <rFont val="Arial Narrow"/>
        <family val="2"/>
      </rPr>
      <t>1</t>
    </r>
    <r>
      <rPr>
        <sz val="12"/>
        <color rgb="FF0000FF"/>
        <rFont val="仿宋_GB2312"/>
        <family val="3"/>
        <charset val="134"/>
      </rPr>
      <t>年的固定资产清理进展情况）</t>
    </r>
  </si>
  <si>
    <t>期末账面价值</t>
  </si>
  <si>
    <r>
      <t>期初</t>
    </r>
    <r>
      <rPr>
        <b/>
        <sz val="10.5"/>
        <rFont val="仿宋_GB2312"/>
        <family val="3"/>
        <charset val="134"/>
      </rPr>
      <t>账面价值</t>
    </r>
  </si>
  <si>
    <r>
      <t xml:space="preserve">①  </t>
    </r>
    <r>
      <rPr>
        <sz val="12"/>
        <rFont val="仿宋_GB2312"/>
        <family val="3"/>
        <charset val="134"/>
      </rPr>
      <t>固定资产情况</t>
    </r>
  </si>
  <si>
    <t>期初余额</t>
  </si>
  <si>
    <t>XX</t>
  </si>
  <si>
    <t>其中：土地资产</t>
  </si>
  <si>
    <r>
      <t xml:space="preserve">      </t>
    </r>
    <r>
      <rPr>
        <sz val="10.5"/>
        <color rgb="FF000000"/>
        <rFont val="仿宋_GB2312"/>
        <family val="3"/>
        <charset val="134"/>
      </rPr>
      <t>房屋、建筑物</t>
    </r>
  </si>
  <si>
    <r>
      <t xml:space="preserve">      </t>
    </r>
    <r>
      <rPr>
        <sz val="10.5"/>
        <color rgb="FF000000"/>
        <rFont val="仿宋_GB2312"/>
        <family val="3"/>
        <charset val="134"/>
      </rPr>
      <t>机器设备</t>
    </r>
  </si>
  <si>
    <r>
      <t xml:space="preserve">      </t>
    </r>
    <r>
      <rPr>
        <sz val="10.5"/>
        <color rgb="FF000000"/>
        <rFont val="仿宋_GB2312"/>
        <family val="3"/>
        <charset val="134"/>
      </rPr>
      <t>运输工具</t>
    </r>
  </si>
  <si>
    <r>
      <t xml:space="preserve">      </t>
    </r>
    <r>
      <rPr>
        <sz val="10.5"/>
        <color rgb="FF000000"/>
        <rFont val="仿宋_GB2312"/>
        <family val="3"/>
        <charset val="134"/>
      </rPr>
      <t>电子设备</t>
    </r>
  </si>
  <si>
    <r>
      <t xml:space="preserve">      </t>
    </r>
    <r>
      <rPr>
        <sz val="10.5"/>
        <color rgb="FF000000"/>
        <rFont val="仿宋_GB2312"/>
        <family val="3"/>
        <charset val="134"/>
      </rPr>
      <t>办公设备</t>
    </r>
  </si>
  <si>
    <r>
      <t xml:space="preserve">      </t>
    </r>
    <r>
      <rPr>
        <sz val="10.5"/>
        <color rgb="FF000000"/>
        <rFont val="仿宋_GB2312"/>
        <family val="3"/>
        <charset val="134"/>
      </rPr>
      <t>酒店业家具</t>
    </r>
  </si>
  <si>
    <r>
      <t xml:space="preserve">      </t>
    </r>
    <r>
      <rPr>
        <sz val="10.5"/>
        <color rgb="FF000000"/>
        <rFont val="仿宋_GB2312"/>
        <family val="3"/>
        <charset val="134"/>
      </rPr>
      <t>其他</t>
    </r>
  </si>
  <si>
    <t>—</t>
  </si>
  <si>
    <t>--</t>
  </si>
  <si>
    <r>
      <t xml:space="preserve">②  </t>
    </r>
    <r>
      <rPr>
        <sz val="12"/>
        <rFont val="仿宋_GB2312"/>
        <family val="3"/>
        <charset val="134"/>
      </rPr>
      <t>暂时闲置的固定资产情况</t>
    </r>
  </si>
  <si>
    <r>
      <t xml:space="preserve">③  </t>
    </r>
    <r>
      <rPr>
        <sz val="12"/>
        <rFont val="仿宋_GB2312"/>
        <family val="3"/>
        <charset val="134"/>
      </rPr>
      <t>未办妥产权证书的固定资产情况</t>
    </r>
  </si>
  <si>
    <t>期初账面价值</t>
  </si>
  <si>
    <r>
      <t>注：说明转入固定资产清理起始时间已超过</t>
    </r>
    <r>
      <rPr>
        <sz val="12"/>
        <color rgb="FF0000FF"/>
        <rFont val="Arial Narrow"/>
        <family val="2"/>
      </rPr>
      <t>1</t>
    </r>
    <r>
      <rPr>
        <sz val="12"/>
        <color rgb="FF0000FF"/>
        <rFont val="仿宋_GB2312"/>
        <family val="3"/>
        <charset val="134"/>
      </rPr>
      <t>年的固定资产清理进展情况。</t>
    </r>
  </si>
  <si>
    <r>
      <t>2024</t>
    </r>
    <r>
      <rPr>
        <b/>
        <sz val="10"/>
        <rFont val="宋体"/>
        <family val="3"/>
        <charset val="134"/>
      </rPr>
      <t>年</t>
    </r>
    <phoneticPr fontId="10" type="noConversion"/>
  </si>
  <si>
    <t>……</t>
    <phoneticPr fontId="10" type="noConversion"/>
  </si>
  <si>
    <r>
      <t xml:space="preserve">B. </t>
    </r>
    <r>
      <rPr>
        <sz val="10"/>
        <rFont val="宋体"/>
        <family val="3"/>
        <charset val="134"/>
      </rPr>
      <t>所有应记录的固定资产均已记录，所有应当包括在财务报表中的相关披露均已包括</t>
    </r>
    <phoneticPr fontId="10" type="noConversion"/>
  </si>
  <si>
    <r>
      <t xml:space="preserve">E. </t>
    </r>
    <r>
      <rPr>
        <sz val="10"/>
        <rFont val="宋体"/>
        <family val="3"/>
        <charset val="134"/>
      </rPr>
      <t>固定资产已被恰当地汇总或分解且表述清楚，相关披露在按照企业会计准则的编制基础下是相关的、可理解的</t>
    </r>
    <phoneticPr fontId="10" type="noConversion"/>
  </si>
  <si>
    <r>
      <rPr>
        <sz val="10"/>
        <color theme="1"/>
        <rFont val="宋体"/>
        <family val="3"/>
        <charset val="134"/>
      </rPr>
      <t>备选</t>
    </r>
    <phoneticPr fontId="10" type="noConversion"/>
  </si>
  <si>
    <t>特定样本：</t>
    <phoneticPr fontId="10" type="noConversion"/>
  </si>
  <si>
    <t>抽样方法：</t>
    <phoneticPr fontId="10" type="noConversion"/>
  </si>
  <si>
    <t>抽样过程：</t>
    <phoneticPr fontId="10" type="noConversion"/>
  </si>
  <si>
    <r>
      <rPr>
        <b/>
        <sz val="10"/>
        <rFont val="宋体"/>
        <family val="3"/>
        <charset val="134"/>
      </rPr>
      <t>√</t>
    </r>
    <phoneticPr fontId="10" type="noConversion"/>
  </si>
  <si>
    <r>
      <t>3.</t>
    </r>
    <r>
      <rPr>
        <sz val="10"/>
        <rFont val="宋体"/>
        <family val="3"/>
        <charset val="134"/>
      </rPr>
      <t>固定资产以恰当的金额包括在财务报表中，与之相关的计价或分摊调整已恰当记录，相关披露已得到恰当计量和描述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10" type="noConversion"/>
  </si>
  <si>
    <r>
      <rPr>
        <sz val="10"/>
        <rFont val="宋体"/>
        <family val="3"/>
        <charset val="134"/>
      </rPr>
      <t>取得固定资产维修和保养的明细（如有），考虑执行以下程序：详细检查单个重大的固定资产，并复核相关支持性的文件，确定计入费用的项目是否合理。</t>
    </r>
    <r>
      <rPr>
        <sz val="10"/>
        <rFont val="Arial Narrow"/>
        <family val="2"/>
      </rPr>
      <t xml:space="preserve"> </t>
    </r>
    <phoneticPr fontId="10" type="noConversion"/>
  </si>
  <si>
    <t>测试总体：</t>
    <phoneticPr fontId="10" type="noConversion"/>
  </si>
  <si>
    <t>确定的抽样样本量：</t>
    <phoneticPr fontId="10" type="noConversion"/>
  </si>
  <si>
    <t>XX金额以上（大额）、关联方/关联交易形成的款项、XX异常款项全部测试，共XX笔；</t>
    <phoneticPr fontId="10" type="noConversion"/>
  </si>
  <si>
    <t>抽样总体：</t>
    <phoneticPr fontId="10" type="noConversion"/>
  </si>
  <si>
    <t>测试总体扣除特定样本以外的样本，共XX笔、金额XX</t>
    <phoneticPr fontId="10" type="noConversion"/>
  </si>
  <si>
    <t>抽取XX笔</t>
    <phoneticPr fontId="10" type="noConversion"/>
  </si>
  <si>
    <t>（如果使用了样本计算器计算样本量，样本量计算过程见&lt;XX&gt;底稿）</t>
    <phoneticPr fontId="10" type="noConversion"/>
  </si>
  <si>
    <t>使用IDEA（XX抽样工具）选择XX数量、金额XX的样本进行测试，抽样工具中的样本选择过程和结果见&lt;XX&gt;底稿</t>
    <phoneticPr fontId="10" type="noConversion"/>
  </si>
  <si>
    <t>H1A</t>
    <phoneticPr fontId="10" type="noConversion"/>
  </si>
  <si>
    <t>H1-1</t>
    <phoneticPr fontId="10" type="noConversion"/>
  </si>
  <si>
    <t>H1-3</t>
    <phoneticPr fontId="10" type="noConversion"/>
  </si>
  <si>
    <t>H1-4</t>
    <phoneticPr fontId="10" type="noConversion"/>
  </si>
  <si>
    <t>H1-5</t>
    <phoneticPr fontId="10" type="noConversion"/>
  </si>
  <si>
    <t>H1-6</t>
    <phoneticPr fontId="10" type="noConversion"/>
  </si>
  <si>
    <t>H1-7</t>
    <phoneticPr fontId="10" type="noConversion"/>
  </si>
  <si>
    <t>H1-8</t>
    <phoneticPr fontId="10" type="noConversion"/>
  </si>
  <si>
    <t>H1-9</t>
    <phoneticPr fontId="10" type="noConversion"/>
  </si>
  <si>
    <t>H1-10</t>
    <phoneticPr fontId="10" type="noConversion"/>
  </si>
  <si>
    <t>H1-11</t>
    <phoneticPr fontId="10" type="noConversion"/>
  </si>
  <si>
    <t>H1-12</t>
    <phoneticPr fontId="14" type="noConversion"/>
  </si>
  <si>
    <t>H1-13</t>
    <phoneticPr fontId="14" type="noConversion"/>
  </si>
  <si>
    <t>H1-14</t>
  </si>
  <si>
    <t>H1-15</t>
  </si>
  <si>
    <t>H1-16</t>
  </si>
  <si>
    <t>H1-16</t>
    <phoneticPr fontId="14" type="noConversion"/>
  </si>
  <si>
    <t>H1-17</t>
  </si>
  <si>
    <t>H1-18</t>
  </si>
  <si>
    <t>H1-19</t>
  </si>
  <si>
    <t>H1-19</t>
    <phoneticPr fontId="14" type="noConversion"/>
  </si>
  <si>
    <t>H1-20</t>
  </si>
  <si>
    <t>H1-1</t>
    <phoneticPr fontId="10" type="noConversion"/>
  </si>
  <si>
    <t>H1-2</t>
    <phoneticPr fontId="10" type="noConversion"/>
  </si>
  <si>
    <r>
      <rPr>
        <b/>
        <sz val="10"/>
        <rFont val="宋体"/>
        <family val="3"/>
        <charset val="134"/>
      </rPr>
      <t>底稿开列时，可先在以下单元格填写有关内容，以便其他底稿引用有关数据：</t>
    </r>
    <phoneticPr fontId="10" type="noConversion"/>
  </si>
  <si>
    <r>
      <rPr>
        <b/>
        <sz val="10"/>
        <rFont val="宋体"/>
        <family val="3"/>
        <charset val="134"/>
      </rPr>
      <t>内容</t>
    </r>
  </si>
  <si>
    <r>
      <rPr>
        <b/>
        <sz val="10"/>
        <rFont val="宋体"/>
        <family val="3"/>
        <charset val="134"/>
      </rPr>
      <t>索引号</t>
    </r>
    <phoneticPr fontId="10" type="noConversion"/>
  </si>
  <si>
    <r>
      <rPr>
        <sz val="10"/>
        <rFont val="宋体"/>
        <family val="3"/>
        <charset val="134"/>
      </rPr>
      <t>无需打印</t>
    </r>
    <phoneticPr fontId="10" type="noConversion"/>
  </si>
  <si>
    <r>
      <rPr>
        <b/>
        <sz val="10"/>
        <color rgb="FF000000"/>
        <rFont val="宋体"/>
        <family val="3"/>
        <charset val="134"/>
      </rPr>
      <t>固定资产类别设置（以下内容请根据实际情况修改）：</t>
    </r>
    <phoneticPr fontId="10" type="noConversion"/>
  </si>
  <si>
    <r>
      <rPr>
        <sz val="10"/>
        <color rgb="FF000000"/>
        <rFont val="宋体"/>
        <family val="3"/>
        <charset val="134"/>
      </rPr>
      <t>房屋及建筑物</t>
    </r>
    <phoneticPr fontId="10" type="noConversion"/>
  </si>
  <si>
    <r>
      <rPr>
        <sz val="10"/>
        <color rgb="FF000000"/>
        <rFont val="宋体"/>
        <family val="3"/>
        <charset val="134"/>
      </rPr>
      <t>机器设备</t>
    </r>
    <phoneticPr fontId="10" type="noConversion"/>
  </si>
  <si>
    <r>
      <rPr>
        <sz val="10"/>
        <color rgb="FF000000"/>
        <rFont val="宋体"/>
        <family val="3"/>
        <charset val="134"/>
      </rPr>
      <t>运输设备</t>
    </r>
    <phoneticPr fontId="10" type="noConversion"/>
  </si>
  <si>
    <r>
      <rPr>
        <sz val="10"/>
        <color rgb="FF000000"/>
        <rFont val="宋体"/>
        <family val="3"/>
        <charset val="134"/>
      </rPr>
      <t>办公设备</t>
    </r>
    <phoneticPr fontId="10" type="noConversion"/>
  </si>
  <si>
    <r>
      <rPr>
        <sz val="10"/>
        <color rgb="FF000000"/>
        <rFont val="宋体"/>
        <family val="3"/>
        <charset val="134"/>
      </rPr>
      <t>其他设备</t>
    </r>
    <phoneticPr fontId="10" type="noConversion"/>
  </si>
  <si>
    <t>H1-14</t>
    <phoneticPr fontId="14" type="noConversion"/>
  </si>
  <si>
    <t>H1-15</t>
    <phoneticPr fontId="14" type="noConversion"/>
  </si>
  <si>
    <t>H1-17</t>
    <phoneticPr fontId="14" type="noConversion"/>
  </si>
  <si>
    <t>H1-18</t>
    <phoneticPr fontId="14" type="noConversion"/>
  </si>
  <si>
    <t>H1-20</t>
    <phoneticPr fontId="14" type="noConversion"/>
  </si>
  <si>
    <r>
      <rPr>
        <sz val="10"/>
        <rFont val="宋体"/>
        <family val="3"/>
        <charset val="134"/>
      </rPr>
      <t>备选</t>
    </r>
  </si>
  <si>
    <r>
      <rPr>
        <b/>
        <sz val="10"/>
        <rFont val="宋体"/>
        <family val="3"/>
        <charset val="134"/>
      </rPr>
      <t>财务报表的认定</t>
    </r>
    <phoneticPr fontId="10" type="noConversion"/>
  </si>
  <si>
    <r>
      <rPr>
        <b/>
        <sz val="10"/>
        <rFont val="宋体"/>
        <family val="3"/>
        <charset val="134"/>
      </rPr>
      <t>底稿索引号</t>
    </r>
    <phoneticPr fontId="10" type="noConversion"/>
  </si>
  <si>
    <r>
      <rPr>
        <b/>
        <sz val="10"/>
        <rFont val="宋体"/>
        <family val="3"/>
        <charset val="134"/>
      </rPr>
      <t>权利和
义务</t>
    </r>
    <phoneticPr fontId="10" type="noConversion"/>
  </si>
  <si>
    <r>
      <rPr>
        <sz val="10"/>
        <color theme="1"/>
        <rFont val="宋体"/>
        <family val="3"/>
        <charset val="134"/>
      </rPr>
      <t>√</t>
    </r>
    <phoneticPr fontId="10" type="noConversion"/>
  </si>
  <si>
    <r>
      <rPr>
        <b/>
        <sz val="10"/>
        <color theme="1"/>
        <rFont val="宋体"/>
        <family val="3"/>
        <charset val="134"/>
      </rPr>
      <t>√</t>
    </r>
    <phoneticPr fontId="10"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</si>
  <si>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</si>
  <si>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r>
      <rPr>
        <sz val="10"/>
        <rFont val="宋体"/>
        <family val="3"/>
        <charset val="134"/>
      </rPr>
      <t>√</t>
    </r>
    <phoneticPr fontId="10" type="noConversion"/>
  </si>
  <si>
    <r>
      <rPr>
        <b/>
        <sz val="10"/>
        <rFont val="宋体"/>
        <family val="3"/>
        <charset val="134"/>
      </rPr>
      <t>√</t>
    </r>
    <phoneticPr fontId="10" type="noConversion"/>
  </si>
  <si>
    <r>
      <rPr>
        <sz val="10"/>
        <rFont val="宋体"/>
        <family val="3"/>
        <charset val="134"/>
      </rPr>
      <t>√</t>
    </r>
    <phoneticPr fontId="10" type="noConversion"/>
  </si>
  <si>
    <r>
      <rPr>
        <sz val="10"/>
        <color theme="1"/>
        <rFont val="宋体"/>
        <family val="3"/>
        <charset val="134"/>
      </rPr>
      <t>常规★</t>
    </r>
  </si>
  <si>
    <r>
      <rPr>
        <sz val="10"/>
        <rFont val="宋体"/>
        <family val="3"/>
        <charset val="134"/>
      </rPr>
      <t>√</t>
    </r>
    <phoneticPr fontId="10" type="noConversion"/>
  </si>
  <si>
    <r>
      <rPr>
        <sz val="10"/>
        <rFont val="宋体"/>
        <family val="3"/>
        <charset val="134"/>
      </rPr>
      <t>常规★</t>
    </r>
  </si>
  <si>
    <r>
      <rPr>
        <sz val="10"/>
        <rFont val="宋体"/>
        <family val="3"/>
        <charset val="134"/>
      </rPr>
      <t>√</t>
    </r>
    <phoneticPr fontId="10" type="noConversion"/>
  </si>
  <si>
    <r>
      <rPr>
        <sz val="10"/>
        <rFont val="宋体"/>
        <family val="3"/>
        <charset val="134"/>
      </rPr>
      <t>固定资产、累计折旧、减值准备</t>
    </r>
    <phoneticPr fontId="5" type="noConversion"/>
  </si>
  <si>
    <r>
      <rPr>
        <b/>
        <sz val="10"/>
        <rFont val="宋体"/>
        <family val="3"/>
        <charset val="134"/>
      </rPr>
      <t>财务报表的认定</t>
    </r>
    <phoneticPr fontId="10" type="noConversion"/>
  </si>
  <si>
    <r>
      <rPr>
        <b/>
        <sz val="10"/>
        <rFont val="宋体"/>
        <family val="3"/>
        <charset val="134"/>
      </rPr>
      <t>完整性</t>
    </r>
    <phoneticPr fontId="10" type="noConversion"/>
  </si>
  <si>
    <r>
      <rPr>
        <b/>
        <sz val="10"/>
        <rFont val="宋体"/>
        <family val="3"/>
        <charset val="134"/>
      </rPr>
      <t>列报</t>
    </r>
    <phoneticPr fontId="10"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</si>
  <si>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5" type="noConversion"/>
  </si>
  <si>
    <r>
      <rPr>
        <sz val="10"/>
        <color theme="1"/>
        <rFont val="宋体"/>
        <family val="3"/>
        <charset val="134"/>
      </rPr>
      <t>备选</t>
    </r>
    <phoneticPr fontId="10" type="noConversion"/>
  </si>
  <si>
    <r>
      <rPr>
        <sz val="10"/>
        <rFont val="宋体"/>
        <family val="3"/>
        <charset val="134"/>
      </rPr>
      <t>针对长期资产租赁（经营租出固定资产），考虑执行下列程序：
（</t>
    </r>
    <r>
      <rPr>
        <sz val="10"/>
        <rFont val="Arial Narrow"/>
        <family val="2"/>
      </rPr>
      <t>1</t>
    </r>
    <r>
      <rPr>
        <sz val="10"/>
        <rFont val="宋体"/>
        <family val="3"/>
        <charset val="134"/>
      </rPr>
      <t>）获取或编制资产租赁明细表，获取租赁合同</t>
    </r>
    <r>
      <rPr>
        <sz val="10"/>
        <rFont val="Arial Narrow"/>
        <family val="2"/>
      </rPr>
      <t>/</t>
    </r>
    <r>
      <rPr>
        <sz val="10"/>
        <rFont val="宋体"/>
        <family val="3"/>
        <charset val="134"/>
      </rPr>
      <t>协议，核对重要条款，检查租赁分类是否正确。
（</t>
    </r>
    <r>
      <rPr>
        <sz val="10"/>
        <rFont val="Arial Narrow"/>
        <family val="2"/>
      </rPr>
      <t>2</t>
    </r>
    <r>
      <rPr>
        <sz val="10"/>
        <rFont val="宋体"/>
        <family val="3"/>
        <charset val="134"/>
      </rPr>
      <t>）根据租赁合同</t>
    </r>
    <r>
      <rPr>
        <sz val="10"/>
        <rFont val="Arial Narrow"/>
        <family val="2"/>
      </rPr>
      <t>/</t>
    </r>
    <r>
      <rPr>
        <sz val="10"/>
        <rFont val="宋体"/>
        <family val="3"/>
        <charset val="134"/>
      </rPr>
      <t>协议等文件，检查初始直接费用、或有租金确认是否合理，会计处理是否正确，重新计算租金收入并与利润表其他业务收入进行核对。</t>
    </r>
    <phoneticPr fontId="10" type="noConversion"/>
  </si>
  <si>
    <r>
      <t>A 1-1/</t>
    </r>
    <r>
      <rPr>
        <sz val="10"/>
        <color rgb="FFFF0000"/>
        <rFont val="Arial Narrow"/>
        <family val="2"/>
      </rPr>
      <t>A1-15 /A1-16</t>
    </r>
    <phoneticPr fontId="10" type="noConversion"/>
  </si>
  <si>
    <r>
      <rPr>
        <b/>
        <sz val="10"/>
        <rFont val="宋体"/>
        <family val="3"/>
        <charset val="134"/>
      </rPr>
      <t>一、本账户涉及的科目</t>
    </r>
    <phoneticPr fontId="10" type="noConversion"/>
  </si>
  <si>
    <r>
      <t xml:space="preserve">D. </t>
    </r>
    <r>
      <rPr>
        <sz val="10"/>
        <rFont val="宋体"/>
        <family val="3"/>
        <charset val="134"/>
      </rPr>
      <t>固定资产以恰当的金额包括在财务报表中，与之相关的计价或分摊调整已恰当记录，相关披露已得到恰当计量和描述</t>
    </r>
    <r>
      <rPr>
        <sz val="10"/>
        <rFont val="Arial Narrow"/>
        <family val="2"/>
      </rPr>
      <t xml:space="preserve"> </t>
    </r>
    <phoneticPr fontId="10" type="noConversion"/>
  </si>
  <si>
    <r>
      <rPr>
        <b/>
        <sz val="10"/>
        <rFont val="宋体"/>
        <family val="3"/>
        <charset val="134"/>
      </rPr>
      <t>序号</t>
    </r>
    <phoneticPr fontId="10" type="noConversion"/>
  </si>
  <si>
    <r>
      <rPr>
        <b/>
        <sz val="10"/>
        <rFont val="宋体"/>
        <family val="3"/>
        <charset val="134"/>
      </rPr>
      <t>存在</t>
    </r>
    <phoneticPr fontId="10" type="noConversion"/>
  </si>
  <si>
    <r>
      <rPr>
        <b/>
        <sz val="10"/>
        <rFont val="宋体"/>
        <family val="3"/>
        <charset val="134"/>
      </rPr>
      <t>准确性、计价和分摊</t>
    </r>
    <phoneticPr fontId="10" type="noConversion"/>
  </si>
  <si>
    <r>
      <rPr>
        <sz val="10"/>
        <color theme="1"/>
        <rFont val="宋体"/>
        <family val="3"/>
        <charset val="134"/>
      </rPr>
      <t>备选</t>
    </r>
    <phoneticPr fontId="10"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</si>
  <si>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5" type="noConversion"/>
  </si>
  <si>
    <r>
      <rPr>
        <b/>
        <sz val="10"/>
        <rFont val="宋体"/>
        <family val="3"/>
        <charset val="134"/>
      </rPr>
      <t>√</t>
    </r>
    <phoneticPr fontId="10" type="noConversion"/>
  </si>
  <si>
    <r>
      <rPr>
        <b/>
        <sz val="10"/>
        <rFont val="宋体"/>
        <family val="3"/>
        <charset val="134"/>
      </rPr>
      <t>期初数</t>
    </r>
    <phoneticPr fontId="10" type="noConversion"/>
  </si>
  <si>
    <r>
      <rPr>
        <b/>
        <sz val="10"/>
        <rFont val="宋体"/>
        <family val="3"/>
        <charset val="134"/>
      </rPr>
      <t>审定数</t>
    </r>
    <phoneticPr fontId="10" type="noConversion"/>
  </si>
  <si>
    <r>
      <rPr>
        <b/>
        <sz val="10"/>
        <color indexed="8"/>
        <rFont val="宋体"/>
        <family val="3"/>
        <charset val="134"/>
      </rPr>
      <t>合计</t>
    </r>
    <phoneticPr fontId="10" type="noConversion"/>
  </si>
  <si>
    <r>
      <rPr>
        <sz val="10"/>
        <rFont val="宋体"/>
        <family val="3"/>
        <charset val="134"/>
      </rPr>
      <t>（</t>
    </r>
    <r>
      <rPr>
        <sz val="10"/>
        <rFont val="Arial Narrow"/>
        <family val="2"/>
      </rPr>
      <t>1</t>
    </r>
    <r>
      <rPr>
        <sz val="10"/>
        <rFont val="宋体"/>
        <family val="3"/>
        <charset val="134"/>
      </rPr>
      <t>）固定资产期末净值较期初净值增加（负数为减少）：</t>
    </r>
    <phoneticPr fontId="10" type="noConversion"/>
  </si>
  <si>
    <r>
      <rPr>
        <sz val="10"/>
        <rFont val="宋体"/>
        <family val="3"/>
        <charset val="134"/>
      </rPr>
      <t>固定资产净值审定数</t>
    </r>
    <phoneticPr fontId="14" type="noConversion"/>
  </si>
  <si>
    <r>
      <rPr>
        <sz val="10"/>
        <rFont val="宋体"/>
        <family val="3"/>
        <charset val="134"/>
      </rPr>
      <t>固定资产与固定资产清理合计数</t>
    </r>
    <phoneticPr fontId="14" type="noConversion"/>
  </si>
  <si>
    <r>
      <rPr>
        <b/>
        <sz val="10"/>
        <color indexed="8"/>
        <rFont val="宋体"/>
        <family val="3"/>
        <charset val="134"/>
      </rPr>
      <t>本期审定数与上期
审定数的比较</t>
    </r>
    <phoneticPr fontId="10" type="noConversion"/>
  </si>
  <si>
    <r>
      <rPr>
        <b/>
        <sz val="10"/>
        <rFont val="宋体"/>
        <family val="3"/>
        <charset val="134"/>
      </rPr>
      <t>账项调整</t>
    </r>
    <phoneticPr fontId="10" type="noConversion"/>
  </si>
  <si>
    <r>
      <rPr>
        <b/>
        <sz val="10"/>
        <rFont val="宋体"/>
        <family val="3"/>
        <charset val="134"/>
      </rPr>
      <t>未审数</t>
    </r>
    <phoneticPr fontId="10" type="noConversion"/>
  </si>
  <si>
    <r>
      <rPr>
        <b/>
        <sz val="10"/>
        <rFont val="宋体"/>
        <family val="3"/>
        <charset val="134"/>
      </rPr>
      <t>变动额</t>
    </r>
    <phoneticPr fontId="10" type="noConversion"/>
  </si>
  <si>
    <r>
      <rPr>
        <b/>
        <sz val="10"/>
        <color indexed="8"/>
        <rFont val="宋体"/>
        <family val="3"/>
        <charset val="134"/>
      </rPr>
      <t>二、累计折旧</t>
    </r>
    <phoneticPr fontId="10" type="noConversion"/>
  </si>
  <si>
    <r>
      <rPr>
        <b/>
        <sz val="10"/>
        <color indexed="8"/>
        <rFont val="宋体"/>
        <family val="3"/>
        <charset val="134"/>
      </rPr>
      <t>三、减值准备</t>
    </r>
    <phoneticPr fontId="10" type="noConversion"/>
  </si>
  <si>
    <r>
      <rPr>
        <sz val="10"/>
        <rFont val="宋体"/>
        <family val="3"/>
        <charset val="134"/>
      </rPr>
      <t>（</t>
    </r>
    <r>
      <rPr>
        <sz val="10"/>
        <rFont val="Arial Narrow"/>
        <family val="2"/>
      </rPr>
      <t>3</t>
    </r>
    <r>
      <rPr>
        <sz val="10"/>
        <rFont val="宋体"/>
        <family val="3"/>
        <charset val="134"/>
      </rPr>
      <t>）抵押、担保情况说明：</t>
    </r>
    <phoneticPr fontId="10" type="noConversion"/>
  </si>
  <si>
    <r>
      <t>2</t>
    </r>
    <r>
      <rPr>
        <b/>
        <sz val="10"/>
        <rFont val="宋体"/>
        <family val="3"/>
        <charset val="134"/>
      </rPr>
      <t>、审计结论：</t>
    </r>
    <phoneticPr fontId="10" type="noConversion"/>
  </si>
  <si>
    <r>
      <rPr>
        <b/>
        <sz val="10"/>
        <color indexed="8"/>
        <rFont val="宋体"/>
        <family val="3"/>
        <charset val="134"/>
      </rPr>
      <t>一、审计目标</t>
    </r>
    <r>
      <rPr>
        <b/>
        <sz val="10"/>
        <color indexed="8"/>
        <rFont val="Arial Narrow"/>
        <family val="2"/>
      </rPr>
      <t>:</t>
    </r>
    <phoneticPr fontId="14" type="noConversion"/>
  </si>
  <si>
    <r>
      <rPr>
        <b/>
        <sz val="10"/>
        <rFont val="宋体"/>
        <family val="3"/>
        <charset val="134"/>
      </rPr>
      <t>固定资产类别</t>
    </r>
    <phoneticPr fontId="10" type="noConversion"/>
  </si>
  <si>
    <r>
      <rPr>
        <b/>
        <sz val="10"/>
        <color indexed="8"/>
        <rFont val="宋体"/>
        <family val="3"/>
        <charset val="134"/>
      </rPr>
      <t>未审数</t>
    </r>
    <phoneticPr fontId="49" type="noConversion"/>
  </si>
  <si>
    <r>
      <rPr>
        <b/>
        <sz val="10"/>
        <color indexed="8"/>
        <rFont val="宋体"/>
        <family val="3"/>
        <charset val="134"/>
      </rPr>
      <t>未审数</t>
    </r>
    <phoneticPr fontId="49" type="noConversion"/>
  </si>
  <si>
    <r>
      <rPr>
        <b/>
        <sz val="10"/>
        <color indexed="8"/>
        <rFont val="宋体"/>
        <family val="3"/>
        <charset val="134"/>
      </rPr>
      <t>账项调整</t>
    </r>
    <phoneticPr fontId="49" type="noConversion"/>
  </si>
  <si>
    <r>
      <rPr>
        <b/>
        <sz val="10"/>
        <color indexed="8"/>
        <rFont val="宋体"/>
        <family val="3"/>
        <charset val="134"/>
      </rPr>
      <t>审定数</t>
    </r>
    <phoneticPr fontId="49" type="noConversion"/>
  </si>
  <si>
    <r>
      <rPr>
        <b/>
        <sz val="10"/>
        <color indexed="8"/>
        <rFont val="宋体"/>
        <family val="3"/>
        <charset val="134"/>
      </rPr>
      <t>本期增加</t>
    </r>
    <phoneticPr fontId="10" type="noConversion"/>
  </si>
  <si>
    <r>
      <rPr>
        <b/>
        <sz val="10"/>
        <color indexed="8"/>
        <rFont val="宋体"/>
        <family val="3"/>
        <charset val="134"/>
      </rPr>
      <t>本期减少</t>
    </r>
    <phoneticPr fontId="10" type="noConversion"/>
  </si>
  <si>
    <r>
      <rPr>
        <b/>
        <sz val="10"/>
        <color indexed="8"/>
        <rFont val="宋体"/>
        <family val="3"/>
        <charset val="134"/>
      </rPr>
      <t>本期减少</t>
    </r>
    <phoneticPr fontId="49" type="noConversion"/>
  </si>
  <si>
    <r>
      <rPr>
        <b/>
        <sz val="10"/>
        <color indexed="8"/>
        <rFont val="宋体"/>
        <family val="3"/>
        <charset val="134"/>
      </rPr>
      <t>本期减少</t>
    </r>
    <phoneticPr fontId="49" type="noConversion"/>
  </si>
  <si>
    <r>
      <rPr>
        <b/>
        <sz val="10"/>
        <color indexed="8"/>
        <rFont val="宋体"/>
        <family val="3"/>
        <charset val="134"/>
      </rPr>
      <t>审定净值</t>
    </r>
    <phoneticPr fontId="49" type="noConversion"/>
  </si>
  <si>
    <r>
      <rPr>
        <b/>
        <sz val="10"/>
        <color indexed="8"/>
        <rFont val="宋体"/>
        <family val="3"/>
        <charset val="134"/>
      </rPr>
      <t>金额</t>
    </r>
    <phoneticPr fontId="10" type="noConversion"/>
  </si>
  <si>
    <r>
      <rPr>
        <b/>
        <sz val="10"/>
        <color indexed="8"/>
        <rFont val="宋体"/>
        <family val="3"/>
        <charset val="134"/>
      </rPr>
      <t>本期计提</t>
    </r>
    <phoneticPr fontId="10" type="noConversion"/>
  </si>
  <si>
    <r>
      <rPr>
        <b/>
        <sz val="10"/>
        <color indexed="8"/>
        <rFont val="宋体"/>
        <family val="3"/>
        <charset val="134"/>
      </rPr>
      <t>处置</t>
    </r>
    <phoneticPr fontId="49" type="noConversion"/>
  </si>
  <si>
    <r>
      <rPr>
        <b/>
        <sz val="10"/>
        <color indexed="8"/>
        <rFont val="宋体"/>
        <family val="3"/>
        <charset val="134"/>
      </rPr>
      <t>其他减少</t>
    </r>
    <phoneticPr fontId="49" type="noConversion"/>
  </si>
  <si>
    <r>
      <rPr>
        <b/>
        <sz val="10"/>
        <color rgb="FF000000"/>
        <rFont val="宋体"/>
        <family val="3"/>
        <charset val="134"/>
      </rPr>
      <t>其中：</t>
    </r>
    <phoneticPr fontId="49" type="noConversion"/>
  </si>
  <si>
    <r>
      <rPr>
        <b/>
        <sz val="10"/>
        <rFont val="宋体"/>
        <family val="3"/>
        <charset val="134"/>
      </rPr>
      <t>四、审计结论</t>
    </r>
    <phoneticPr fontId="10" type="noConversion"/>
  </si>
  <si>
    <r>
      <rPr>
        <b/>
        <sz val="10"/>
        <color indexed="8"/>
        <rFont val="宋体"/>
        <family val="3"/>
        <charset val="134"/>
      </rPr>
      <t>一、审计目标</t>
    </r>
    <r>
      <rPr>
        <b/>
        <sz val="10"/>
        <color indexed="8"/>
        <rFont val="Arial Narrow"/>
        <family val="2"/>
      </rPr>
      <t>:</t>
    </r>
    <phoneticPr fontId="14" type="noConversion"/>
  </si>
  <si>
    <r>
      <t>1.</t>
    </r>
    <r>
      <rPr>
        <sz val="10"/>
        <rFont val="宋体"/>
        <family val="3"/>
        <charset val="134"/>
      </rPr>
      <t>资产负债表中记录的固定资产是存在的，且已记录于恰当的账户；</t>
    </r>
    <r>
      <rPr>
        <sz val="10"/>
        <rFont val="Arial Narrow"/>
        <family val="2"/>
      </rPr>
      <t>2.</t>
    </r>
    <r>
      <rPr>
        <sz val="10"/>
        <rFont val="宋体"/>
        <family val="3"/>
        <charset val="134"/>
      </rPr>
      <t>所有应记录的固定资产均已记录，所有应当包括在财务报表中的相关披露均已包括；</t>
    </r>
    <phoneticPr fontId="10" type="noConversion"/>
  </si>
  <si>
    <r>
      <rPr>
        <b/>
        <sz val="10"/>
        <rFont val="宋体"/>
        <family val="3"/>
        <charset val="134"/>
      </rPr>
      <t>二、审计过程：</t>
    </r>
    <phoneticPr fontId="10" type="noConversion"/>
  </si>
  <si>
    <r>
      <rPr>
        <b/>
        <sz val="10"/>
        <rFont val="宋体"/>
        <family val="3"/>
        <charset val="134"/>
      </rPr>
      <t>固定资产类别</t>
    </r>
    <phoneticPr fontId="10" type="noConversion"/>
  </si>
  <si>
    <r>
      <rPr>
        <b/>
        <sz val="10"/>
        <color indexed="8"/>
        <rFont val="宋体"/>
        <family val="3"/>
        <charset val="134"/>
      </rPr>
      <t>累计折旧</t>
    </r>
    <phoneticPr fontId="49" type="noConversion"/>
  </si>
  <si>
    <r>
      <rPr>
        <b/>
        <sz val="10"/>
        <color indexed="8"/>
        <rFont val="宋体"/>
        <family val="3"/>
        <charset val="134"/>
      </rPr>
      <t>期初净值</t>
    </r>
    <phoneticPr fontId="49" type="noConversion"/>
  </si>
  <si>
    <r>
      <rPr>
        <b/>
        <sz val="10"/>
        <color indexed="8"/>
        <rFont val="宋体"/>
        <family val="3"/>
        <charset val="134"/>
      </rPr>
      <t>期初数</t>
    </r>
    <phoneticPr fontId="10" type="noConversion"/>
  </si>
  <si>
    <r>
      <rPr>
        <b/>
        <sz val="10"/>
        <color indexed="8"/>
        <rFont val="宋体"/>
        <family val="3"/>
        <charset val="134"/>
      </rPr>
      <t>期末数</t>
    </r>
    <phoneticPr fontId="10" type="noConversion"/>
  </si>
  <si>
    <r>
      <rPr>
        <b/>
        <sz val="10"/>
        <color indexed="8"/>
        <rFont val="宋体"/>
        <family val="3"/>
        <charset val="134"/>
      </rPr>
      <t>本期增加</t>
    </r>
    <phoneticPr fontId="10" type="noConversion"/>
  </si>
  <si>
    <r>
      <rPr>
        <b/>
        <sz val="10"/>
        <color indexed="8"/>
        <rFont val="宋体"/>
        <family val="3"/>
        <charset val="134"/>
      </rPr>
      <t>本期减少</t>
    </r>
    <phoneticPr fontId="10" type="noConversion"/>
  </si>
  <si>
    <r>
      <rPr>
        <b/>
        <sz val="10"/>
        <color indexed="8"/>
        <rFont val="宋体"/>
        <family val="3"/>
        <charset val="134"/>
      </rPr>
      <t>未审净值</t>
    </r>
    <phoneticPr fontId="49" type="noConversion"/>
  </si>
  <si>
    <r>
      <rPr>
        <b/>
        <sz val="10"/>
        <rFont val="宋体"/>
        <family val="3"/>
        <charset val="134"/>
      </rPr>
      <t>四、审计结论</t>
    </r>
    <phoneticPr fontId="10" type="noConversion"/>
  </si>
  <si>
    <r>
      <t>3.</t>
    </r>
    <r>
      <rPr>
        <sz val="10"/>
        <rFont val="宋体"/>
        <family val="3"/>
        <charset val="134"/>
      </rPr>
      <t>固定资产以恰当的金额包括在财务报表中，与之相关的计价或分摊调整已恰当记录，相关披露已得到恰当计量和描述</t>
    </r>
    <r>
      <rPr>
        <sz val="10"/>
        <rFont val="Arial Narrow"/>
        <family val="2"/>
      </rPr>
      <t xml:space="preserve"> </t>
    </r>
    <phoneticPr fontId="10" type="noConversion"/>
  </si>
  <si>
    <r>
      <rPr>
        <b/>
        <sz val="10"/>
        <rFont val="宋体"/>
        <family val="3"/>
        <charset val="134"/>
      </rPr>
      <t>固定资产编号</t>
    </r>
  </si>
  <si>
    <r>
      <rPr>
        <b/>
        <sz val="10"/>
        <rFont val="宋体"/>
        <family val="3"/>
        <charset val="134"/>
      </rPr>
      <t>固定资产名称</t>
    </r>
    <phoneticPr fontId="10" type="noConversion"/>
  </si>
  <si>
    <r>
      <rPr>
        <b/>
        <sz val="10"/>
        <color indexed="8"/>
        <rFont val="宋体"/>
        <family val="3"/>
        <charset val="134"/>
      </rPr>
      <t>固定资产原值</t>
    </r>
    <phoneticPr fontId="49" type="noConversion"/>
  </si>
  <si>
    <r>
      <rPr>
        <b/>
        <sz val="10"/>
        <color indexed="8"/>
        <rFont val="宋体"/>
        <family val="3"/>
        <charset val="134"/>
      </rPr>
      <t>减值准备</t>
    </r>
    <phoneticPr fontId="49" type="noConversion"/>
  </si>
  <si>
    <r>
      <rPr>
        <b/>
        <sz val="10"/>
        <color indexed="8"/>
        <rFont val="宋体"/>
        <family val="3"/>
        <charset val="134"/>
      </rPr>
      <t>期末净值</t>
    </r>
    <phoneticPr fontId="49" type="noConversion"/>
  </si>
  <si>
    <r>
      <rPr>
        <b/>
        <sz val="10"/>
        <color indexed="8"/>
        <rFont val="宋体"/>
        <family val="3"/>
        <charset val="134"/>
      </rPr>
      <t>期初调整</t>
    </r>
    <phoneticPr fontId="49" type="noConversion"/>
  </si>
  <si>
    <r>
      <rPr>
        <b/>
        <sz val="10"/>
        <color indexed="8"/>
        <rFont val="宋体"/>
        <family val="3"/>
        <charset val="134"/>
      </rPr>
      <t>账项调整</t>
    </r>
    <phoneticPr fontId="49" type="noConversion"/>
  </si>
  <si>
    <r>
      <rPr>
        <b/>
        <sz val="10"/>
        <color indexed="8"/>
        <rFont val="宋体"/>
        <family val="3"/>
        <charset val="134"/>
      </rPr>
      <t>审定数</t>
    </r>
    <phoneticPr fontId="49" type="noConversion"/>
  </si>
  <si>
    <r>
      <rPr>
        <b/>
        <sz val="10"/>
        <color indexed="8"/>
        <rFont val="宋体"/>
        <family val="3"/>
        <charset val="134"/>
      </rPr>
      <t>期初调整</t>
    </r>
    <phoneticPr fontId="49" type="noConversion"/>
  </si>
  <si>
    <r>
      <rPr>
        <b/>
        <sz val="10"/>
        <color indexed="8"/>
        <rFont val="宋体"/>
        <family val="3"/>
        <charset val="134"/>
      </rPr>
      <t>期初数</t>
    </r>
    <phoneticPr fontId="10" type="noConversion"/>
  </si>
  <si>
    <r>
      <rPr>
        <b/>
        <sz val="10"/>
        <color indexed="8"/>
        <rFont val="宋体"/>
        <family val="3"/>
        <charset val="134"/>
      </rPr>
      <t>本期增加</t>
    </r>
    <phoneticPr fontId="10" type="noConversion"/>
  </si>
  <si>
    <r>
      <rPr>
        <b/>
        <sz val="10"/>
        <color indexed="8"/>
        <rFont val="宋体"/>
        <family val="3"/>
        <charset val="134"/>
      </rPr>
      <t>本期减少</t>
    </r>
    <phoneticPr fontId="49" type="noConversion"/>
  </si>
  <si>
    <r>
      <rPr>
        <b/>
        <sz val="10"/>
        <color indexed="8"/>
        <rFont val="宋体"/>
        <family val="3"/>
        <charset val="134"/>
      </rPr>
      <t>期末数</t>
    </r>
    <phoneticPr fontId="49" type="noConversion"/>
  </si>
  <si>
    <r>
      <rPr>
        <b/>
        <sz val="10"/>
        <color indexed="8"/>
        <rFont val="宋体"/>
        <family val="3"/>
        <charset val="134"/>
      </rPr>
      <t>期初数</t>
    </r>
    <phoneticPr fontId="10" type="noConversion"/>
  </si>
  <si>
    <r>
      <rPr>
        <b/>
        <sz val="10"/>
        <color indexed="8"/>
        <rFont val="宋体"/>
        <family val="3"/>
        <charset val="134"/>
      </rPr>
      <t>期末数</t>
    </r>
    <phoneticPr fontId="10" type="noConversion"/>
  </si>
  <si>
    <r>
      <rPr>
        <b/>
        <sz val="10"/>
        <color indexed="8"/>
        <rFont val="宋体"/>
        <family val="3"/>
        <charset val="134"/>
      </rPr>
      <t>期末数</t>
    </r>
    <phoneticPr fontId="10" type="noConversion"/>
  </si>
  <si>
    <r>
      <rPr>
        <b/>
        <sz val="10"/>
        <color indexed="8"/>
        <rFont val="宋体"/>
        <family val="3"/>
        <charset val="134"/>
      </rPr>
      <t>未审净值</t>
    </r>
    <phoneticPr fontId="49" type="noConversion"/>
  </si>
  <si>
    <r>
      <rPr>
        <b/>
        <sz val="10"/>
        <color indexed="8"/>
        <rFont val="宋体"/>
        <family val="3"/>
        <charset val="134"/>
      </rPr>
      <t>金额</t>
    </r>
    <phoneticPr fontId="10" type="noConversion"/>
  </si>
  <si>
    <r>
      <rPr>
        <b/>
        <sz val="10"/>
        <color indexed="8"/>
        <rFont val="宋体"/>
        <family val="3"/>
        <charset val="134"/>
      </rPr>
      <t>处置</t>
    </r>
    <phoneticPr fontId="49" type="noConversion"/>
  </si>
  <si>
    <r>
      <rPr>
        <b/>
        <sz val="10"/>
        <color indexed="8"/>
        <rFont val="宋体"/>
        <family val="3"/>
        <charset val="134"/>
      </rPr>
      <t>其他减少</t>
    </r>
    <phoneticPr fontId="49" type="noConversion"/>
  </si>
  <si>
    <r>
      <rPr>
        <b/>
        <sz val="10"/>
        <color indexed="8"/>
        <rFont val="宋体"/>
        <family val="3"/>
        <charset val="134"/>
      </rPr>
      <t>本期计提</t>
    </r>
    <phoneticPr fontId="49" type="noConversion"/>
  </si>
  <si>
    <r>
      <rPr>
        <b/>
        <sz val="10"/>
        <rFont val="宋体"/>
        <family val="3"/>
        <charset val="134"/>
      </rPr>
      <t>合计</t>
    </r>
  </si>
  <si>
    <r>
      <rPr>
        <b/>
        <sz val="10"/>
        <rFont val="宋体"/>
        <family val="3"/>
        <charset val="134"/>
      </rPr>
      <t>三、审计说明：</t>
    </r>
    <phoneticPr fontId="10"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</si>
  <si>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10" type="noConversion"/>
  </si>
  <si>
    <r>
      <rPr>
        <b/>
        <sz val="10"/>
        <color indexed="8"/>
        <rFont val="宋体"/>
        <family val="3"/>
        <charset val="134"/>
      </rPr>
      <t>调整事项说明</t>
    </r>
    <phoneticPr fontId="10" type="noConversion"/>
  </si>
  <si>
    <r>
      <rPr>
        <b/>
        <sz val="10"/>
        <color indexed="8"/>
        <rFont val="宋体"/>
        <family val="3"/>
        <charset val="134"/>
      </rPr>
      <t>报表项目</t>
    </r>
    <phoneticPr fontId="10" type="noConversion"/>
  </si>
  <si>
    <r>
      <rPr>
        <b/>
        <sz val="10"/>
        <rFont val="宋体"/>
        <family val="3"/>
        <charset val="134"/>
      </rPr>
      <t>科目名称</t>
    </r>
    <phoneticPr fontId="10" type="noConversion"/>
  </si>
  <si>
    <r>
      <rPr>
        <b/>
        <sz val="10"/>
        <rFont val="宋体"/>
        <family val="3"/>
        <charset val="134"/>
      </rPr>
      <t>附注项目</t>
    </r>
    <phoneticPr fontId="10" type="noConversion"/>
  </si>
  <si>
    <r>
      <rPr>
        <b/>
        <sz val="10"/>
        <rFont val="宋体"/>
        <family val="3"/>
        <charset val="134"/>
      </rPr>
      <t>序号</t>
    </r>
  </si>
  <si>
    <r>
      <rPr>
        <b/>
        <sz val="10"/>
        <rFont val="宋体"/>
        <family val="3"/>
        <charset val="134"/>
      </rPr>
      <t>固定资产名称</t>
    </r>
    <phoneticPr fontId="10" type="noConversion"/>
  </si>
  <si>
    <r>
      <rPr>
        <b/>
        <sz val="10"/>
        <rFont val="宋体"/>
        <family val="3"/>
        <charset val="134"/>
      </rPr>
      <t>固定资产原值</t>
    </r>
    <phoneticPr fontId="10" type="noConversion"/>
  </si>
  <si>
    <r>
      <rPr>
        <b/>
        <sz val="10"/>
        <rFont val="宋体"/>
        <family val="3"/>
        <charset val="134"/>
      </rPr>
      <t>累计折旧</t>
    </r>
    <phoneticPr fontId="10" type="noConversion"/>
  </si>
  <si>
    <r>
      <rPr>
        <b/>
        <sz val="10"/>
        <rFont val="宋体"/>
        <family val="3"/>
        <charset val="134"/>
      </rPr>
      <t>减值准备</t>
    </r>
    <phoneticPr fontId="10" type="noConversion"/>
  </si>
  <si>
    <r>
      <rPr>
        <b/>
        <sz val="10"/>
        <rFont val="宋体"/>
        <family val="3"/>
        <charset val="134"/>
      </rPr>
      <t>固定资产净值</t>
    </r>
    <phoneticPr fontId="10" type="noConversion"/>
  </si>
  <si>
    <r>
      <rPr>
        <b/>
        <sz val="10"/>
        <rFont val="宋体"/>
        <family val="3"/>
        <charset val="134"/>
      </rPr>
      <t>起止时间</t>
    </r>
  </si>
  <si>
    <r>
      <rPr>
        <b/>
        <sz val="10"/>
        <rFont val="宋体"/>
        <family val="3"/>
        <charset val="134"/>
      </rPr>
      <t>状况</t>
    </r>
  </si>
  <si>
    <r>
      <rPr>
        <b/>
        <sz val="10"/>
        <rFont val="宋体"/>
        <family val="3"/>
        <charset val="134"/>
      </rPr>
      <t>备注</t>
    </r>
  </si>
  <si>
    <r>
      <rPr>
        <b/>
        <sz val="10"/>
        <rFont val="宋体"/>
        <family val="3"/>
        <charset val="134"/>
      </rPr>
      <t>合计</t>
    </r>
    <phoneticPr fontId="10" type="noConversion"/>
  </si>
  <si>
    <r>
      <rPr>
        <b/>
        <sz val="10"/>
        <rFont val="宋体"/>
        <family val="3"/>
        <charset val="134"/>
      </rPr>
      <t>三、审计说明：</t>
    </r>
    <phoneticPr fontId="10" type="noConversion"/>
  </si>
  <si>
    <r>
      <rPr>
        <b/>
        <sz val="10"/>
        <rFont val="宋体"/>
        <family val="3"/>
        <charset val="134"/>
      </rPr>
      <t>四、审计结论：</t>
    </r>
    <phoneticPr fontId="10" type="noConversion"/>
  </si>
  <si>
    <r>
      <rPr>
        <b/>
        <sz val="10"/>
        <rFont val="宋体"/>
        <family val="3"/>
        <charset val="134"/>
      </rPr>
      <t>减值准备</t>
    </r>
    <phoneticPr fontId="10" type="noConversion"/>
  </si>
  <si>
    <r>
      <rPr>
        <b/>
        <sz val="10"/>
        <rFont val="宋体"/>
        <family val="3"/>
        <charset val="134"/>
      </rPr>
      <t>二、审计过程：</t>
    </r>
    <phoneticPr fontId="10" type="noConversion"/>
  </si>
  <si>
    <r>
      <rPr>
        <b/>
        <sz val="10"/>
        <rFont val="宋体"/>
        <family val="3"/>
        <charset val="134"/>
      </rPr>
      <t>①未使用固定资产：</t>
    </r>
    <phoneticPr fontId="37" type="noConversion"/>
  </si>
  <si>
    <r>
      <rPr>
        <b/>
        <sz val="10"/>
        <rFont val="宋体"/>
        <family val="3"/>
        <charset val="134"/>
      </rPr>
      <t>固定资产类别</t>
    </r>
    <phoneticPr fontId="10" type="noConversion"/>
  </si>
  <si>
    <r>
      <rPr>
        <b/>
        <sz val="10"/>
        <rFont val="宋体"/>
        <family val="3"/>
        <charset val="134"/>
      </rPr>
      <t>固定资产名称</t>
    </r>
    <phoneticPr fontId="10" type="noConversion"/>
  </si>
  <si>
    <r>
      <rPr>
        <b/>
        <sz val="10"/>
        <rFont val="宋体"/>
        <family val="3"/>
        <charset val="134"/>
      </rPr>
      <t>累计折旧</t>
    </r>
    <phoneticPr fontId="10" type="noConversion"/>
  </si>
  <si>
    <r>
      <rPr>
        <b/>
        <sz val="10"/>
        <rFont val="宋体"/>
        <family val="3"/>
        <charset val="134"/>
      </rPr>
      <t>固定资产净值</t>
    </r>
    <phoneticPr fontId="10" type="noConversion"/>
  </si>
  <si>
    <r>
      <rPr>
        <b/>
        <sz val="10"/>
        <rFont val="宋体"/>
        <family val="3"/>
        <charset val="134"/>
      </rPr>
      <t>②不需用固定资产：</t>
    </r>
    <phoneticPr fontId="37" type="noConversion"/>
  </si>
  <si>
    <r>
      <rPr>
        <b/>
        <sz val="10"/>
        <rFont val="宋体"/>
        <family val="3"/>
        <charset val="134"/>
      </rPr>
      <t>四、审计结论：</t>
    </r>
    <phoneticPr fontId="10" type="noConversion"/>
  </si>
  <si>
    <r>
      <rPr>
        <sz val="10"/>
        <color rgb="FFFF0000"/>
        <rFont val="宋体"/>
        <family val="3"/>
        <charset val="134"/>
      </rPr>
      <t>运输设备</t>
    </r>
  </si>
  <si>
    <r>
      <rPr>
        <b/>
        <sz val="10"/>
        <color indexed="8"/>
        <rFont val="宋体"/>
        <family val="3"/>
        <charset val="134"/>
      </rPr>
      <t>类别</t>
    </r>
  </si>
  <si>
    <r>
      <rPr>
        <b/>
        <sz val="10"/>
        <rFont val="宋体"/>
        <family val="3"/>
        <charset val="134"/>
      </rPr>
      <t>二、审计过程：</t>
    </r>
    <phoneticPr fontId="10" type="noConversion"/>
  </si>
  <si>
    <r>
      <rPr>
        <b/>
        <sz val="10"/>
        <rFont val="宋体"/>
        <family val="3"/>
        <charset val="134"/>
      </rPr>
      <t>被审计单位的固定资产折旧政策：</t>
    </r>
  </si>
  <si>
    <r>
      <rPr>
        <b/>
        <sz val="10"/>
        <color indexed="8"/>
        <rFont val="宋体"/>
        <family val="3"/>
        <charset val="134"/>
      </rPr>
      <t>折旧年限</t>
    </r>
    <phoneticPr fontId="10" type="noConversion"/>
  </si>
  <si>
    <r>
      <rPr>
        <b/>
        <sz val="10"/>
        <color indexed="8"/>
        <rFont val="宋体"/>
        <family val="3"/>
        <charset val="134"/>
      </rPr>
      <t>是否与相关资产所包含的经济利益预期实现方式相一致</t>
    </r>
  </si>
  <si>
    <r>
      <rPr>
        <sz val="10"/>
        <color rgb="FFFF0000"/>
        <rFont val="宋体"/>
        <family val="3"/>
        <charset val="134"/>
      </rPr>
      <t>房屋及建筑物</t>
    </r>
  </si>
  <si>
    <r>
      <rPr>
        <sz val="10"/>
        <color rgb="FFFF0000"/>
        <rFont val="宋体"/>
        <family val="3"/>
        <charset val="134"/>
      </rPr>
      <t>机器设备</t>
    </r>
  </si>
  <si>
    <r>
      <rPr>
        <sz val="10"/>
        <color rgb="FFFF0000"/>
        <rFont val="宋体"/>
        <family val="3"/>
        <charset val="134"/>
      </rPr>
      <t>办公设备</t>
    </r>
  </si>
  <si>
    <r>
      <rPr>
        <sz val="10"/>
        <color rgb="FFFF0000"/>
        <rFont val="宋体"/>
        <family val="3"/>
        <charset val="134"/>
      </rPr>
      <t>其他设备</t>
    </r>
  </si>
  <si>
    <r>
      <rPr>
        <b/>
        <sz val="10"/>
        <color indexed="8"/>
        <rFont val="宋体"/>
        <family val="3"/>
        <charset val="134"/>
      </rPr>
      <t>序号</t>
    </r>
    <phoneticPr fontId="10" type="noConversion"/>
  </si>
  <si>
    <r>
      <rPr>
        <b/>
        <sz val="10"/>
        <color indexed="8"/>
        <rFont val="宋体"/>
        <family val="3"/>
        <charset val="134"/>
      </rPr>
      <t>折旧年限</t>
    </r>
    <phoneticPr fontId="10" type="noConversion"/>
  </si>
  <si>
    <r>
      <rPr>
        <b/>
        <sz val="10"/>
        <color indexed="8"/>
        <rFont val="宋体"/>
        <family val="3"/>
        <charset val="134"/>
      </rPr>
      <t>残值率</t>
    </r>
    <phoneticPr fontId="10" type="noConversion"/>
  </si>
  <si>
    <r>
      <rPr>
        <b/>
        <sz val="10"/>
        <color indexed="8"/>
        <rFont val="宋体"/>
        <family val="3"/>
        <charset val="134"/>
      </rPr>
      <t>折旧方法</t>
    </r>
    <phoneticPr fontId="10" type="noConversion"/>
  </si>
  <si>
    <r>
      <rPr>
        <b/>
        <sz val="10"/>
        <color indexed="8"/>
        <rFont val="宋体"/>
        <family val="3"/>
        <charset val="134"/>
      </rPr>
      <t>残值率</t>
    </r>
    <phoneticPr fontId="10" type="noConversion"/>
  </si>
  <si>
    <r>
      <rPr>
        <b/>
        <sz val="10"/>
        <color indexed="8"/>
        <rFont val="宋体"/>
        <family val="3"/>
        <charset val="134"/>
      </rPr>
      <t>使用寿命</t>
    </r>
  </si>
  <si>
    <r>
      <rPr>
        <b/>
        <sz val="10"/>
        <color indexed="8"/>
        <rFont val="宋体"/>
        <family val="3"/>
        <charset val="134"/>
      </rPr>
      <t>摊销方法</t>
    </r>
  </si>
  <si>
    <r>
      <rPr>
        <b/>
        <sz val="10"/>
        <color indexed="8"/>
        <rFont val="宋体"/>
        <family val="3"/>
        <charset val="134"/>
      </rPr>
      <t>一、审计目标：</t>
    </r>
    <phoneticPr fontId="14" type="noConversion"/>
  </si>
  <si>
    <r>
      <rPr>
        <b/>
        <sz val="10"/>
        <rFont val="宋体"/>
        <family val="3"/>
        <charset val="134"/>
      </rPr>
      <t>二、审计过程：</t>
    </r>
    <phoneticPr fontId="10" type="noConversion"/>
  </si>
  <si>
    <r>
      <rPr>
        <b/>
        <sz val="10"/>
        <color indexed="8"/>
        <rFont val="宋体"/>
        <family val="3"/>
        <charset val="134"/>
      </rPr>
      <t>与同行业公司相比，会计政策是否合理</t>
    </r>
    <phoneticPr fontId="10" type="noConversion"/>
  </si>
  <si>
    <r>
      <rPr>
        <b/>
        <sz val="10"/>
        <color indexed="8"/>
        <rFont val="宋体"/>
        <family val="3"/>
        <charset val="134"/>
      </rPr>
      <t>备注</t>
    </r>
    <phoneticPr fontId="10" type="noConversion"/>
  </si>
  <si>
    <r>
      <rPr>
        <b/>
        <sz val="10"/>
        <rFont val="宋体"/>
        <family val="3"/>
        <charset val="134"/>
      </rPr>
      <t>同行业其他公司的固定资产折旧政策</t>
    </r>
    <phoneticPr fontId="10" type="noConversion"/>
  </si>
  <si>
    <r>
      <rPr>
        <b/>
        <sz val="10"/>
        <color indexed="8"/>
        <rFont val="宋体"/>
        <family val="3"/>
        <charset val="134"/>
      </rPr>
      <t>折旧方法</t>
    </r>
    <phoneticPr fontId="10" type="noConversion"/>
  </si>
  <si>
    <r>
      <rPr>
        <b/>
        <sz val="10"/>
        <color indexed="8"/>
        <rFont val="宋体"/>
        <family val="3"/>
        <charset val="134"/>
      </rPr>
      <t>折旧年限</t>
    </r>
    <phoneticPr fontId="10" type="noConversion"/>
  </si>
  <si>
    <r>
      <rPr>
        <b/>
        <sz val="10"/>
        <rFont val="宋体"/>
        <family val="3"/>
        <charset val="134"/>
      </rPr>
      <t>如本期存在会计估计变更，原会计估计如下：</t>
    </r>
    <phoneticPr fontId="10" type="noConversion"/>
  </si>
  <si>
    <r>
      <rPr>
        <b/>
        <sz val="10"/>
        <color indexed="8"/>
        <rFont val="宋体"/>
        <family val="3"/>
        <charset val="134"/>
      </rPr>
      <t>同行业公司</t>
    </r>
    <r>
      <rPr>
        <b/>
        <sz val="10"/>
        <color indexed="8"/>
        <rFont val="Arial Narrow"/>
        <family val="2"/>
      </rPr>
      <t>2</t>
    </r>
    <phoneticPr fontId="10" type="noConversion"/>
  </si>
  <si>
    <r>
      <rPr>
        <b/>
        <sz val="10"/>
        <color indexed="8"/>
        <rFont val="宋体"/>
        <family val="3"/>
        <charset val="134"/>
      </rPr>
      <t>序号</t>
    </r>
    <phoneticPr fontId="10" type="noConversion"/>
  </si>
  <si>
    <r>
      <rPr>
        <b/>
        <sz val="10"/>
        <color indexed="8"/>
        <rFont val="宋体"/>
        <family val="3"/>
        <charset val="134"/>
      </rPr>
      <t>是否符合实际经营情况和会计准则的要求</t>
    </r>
    <phoneticPr fontId="10" type="noConversion"/>
  </si>
  <si>
    <r>
      <rPr>
        <b/>
        <sz val="10"/>
        <color indexed="8"/>
        <rFont val="宋体"/>
        <family val="3"/>
        <charset val="134"/>
      </rPr>
      <t>是否存在会计政策</t>
    </r>
    <r>
      <rPr>
        <b/>
        <sz val="10"/>
        <color indexed="8"/>
        <rFont val="Arial Narrow"/>
        <family val="2"/>
      </rPr>
      <t>/</t>
    </r>
    <r>
      <rPr>
        <b/>
        <sz val="10"/>
        <color indexed="8"/>
        <rFont val="宋体"/>
        <family val="3"/>
        <charset val="134"/>
      </rPr>
      <t>会计估计变更</t>
    </r>
    <phoneticPr fontId="10" type="noConversion"/>
  </si>
  <si>
    <r>
      <rPr>
        <b/>
        <sz val="10"/>
        <color indexed="8"/>
        <rFont val="宋体"/>
        <family val="3"/>
        <charset val="134"/>
      </rPr>
      <t>会计政策</t>
    </r>
    <r>
      <rPr>
        <b/>
        <sz val="10"/>
        <color indexed="8"/>
        <rFont val="Arial Narrow"/>
        <family val="2"/>
      </rPr>
      <t>/</t>
    </r>
    <r>
      <rPr>
        <b/>
        <sz val="10"/>
        <color indexed="8"/>
        <rFont val="宋体"/>
        <family val="3"/>
        <charset val="134"/>
      </rPr>
      <t>会计估计变更是否合理</t>
    </r>
    <phoneticPr fontId="10" type="noConversion"/>
  </si>
  <si>
    <r>
      <rPr>
        <b/>
        <sz val="10"/>
        <color indexed="8"/>
        <rFont val="宋体"/>
        <family val="3"/>
        <charset val="134"/>
      </rPr>
      <t>同行业公司</t>
    </r>
    <r>
      <rPr>
        <b/>
        <sz val="10"/>
        <color indexed="8"/>
        <rFont val="Arial Narrow"/>
        <family val="2"/>
      </rPr>
      <t>1</t>
    </r>
    <phoneticPr fontId="10" type="noConversion"/>
  </si>
  <si>
    <r>
      <rPr>
        <b/>
        <sz val="10"/>
        <color indexed="8"/>
        <rFont val="宋体"/>
        <family val="3"/>
        <charset val="134"/>
      </rPr>
      <t>同行业公司</t>
    </r>
    <r>
      <rPr>
        <b/>
        <sz val="10"/>
        <color indexed="8"/>
        <rFont val="Arial Narrow"/>
        <family val="2"/>
      </rPr>
      <t>3</t>
    </r>
    <phoneticPr fontId="10" type="noConversion"/>
  </si>
  <si>
    <r>
      <rPr>
        <b/>
        <sz val="10"/>
        <color indexed="8"/>
        <rFont val="宋体"/>
        <family val="3"/>
        <charset val="134"/>
      </rPr>
      <t>折旧年限</t>
    </r>
    <phoneticPr fontId="10" type="noConversion"/>
  </si>
  <si>
    <r>
      <rPr>
        <b/>
        <sz val="10"/>
        <color indexed="8"/>
        <rFont val="宋体"/>
        <family val="3"/>
        <charset val="134"/>
      </rPr>
      <t>序号</t>
    </r>
    <phoneticPr fontId="10" type="noConversion"/>
  </si>
  <si>
    <r>
      <rPr>
        <b/>
        <sz val="10"/>
        <rFont val="宋体"/>
        <family val="3"/>
        <charset val="134"/>
      </rPr>
      <t>三、审计说明：</t>
    </r>
    <phoneticPr fontId="10" type="noConversion"/>
  </si>
  <si>
    <r>
      <rPr>
        <b/>
        <sz val="10"/>
        <rFont val="宋体"/>
        <family val="3"/>
        <charset val="134"/>
      </rPr>
      <t>四、审计结论：</t>
    </r>
    <phoneticPr fontId="10" type="noConversion"/>
  </si>
  <si>
    <r>
      <rPr>
        <b/>
        <sz val="10"/>
        <color indexed="8"/>
        <rFont val="宋体"/>
        <family val="3"/>
        <charset val="134"/>
      </rPr>
      <t>一、审计目标：</t>
    </r>
    <r>
      <rPr>
        <sz val="10"/>
        <color indexed="8"/>
        <rFont val="Arial Narrow"/>
        <family val="2"/>
      </rPr>
      <t/>
    </r>
    <phoneticPr fontId="14" type="noConversion"/>
  </si>
  <si>
    <r>
      <t>3.</t>
    </r>
    <r>
      <rPr>
        <sz val="10"/>
        <color indexed="8"/>
        <rFont val="宋体"/>
        <family val="3"/>
        <charset val="134"/>
      </rPr>
      <t>固定资产以恰当的金额包括在财务报表中，与之相关的计价或分摊调整已恰当记录，相关披露已得到恰当计量和描述</t>
    </r>
    <r>
      <rPr>
        <sz val="10"/>
        <color indexed="8"/>
        <rFont val="Arial Narrow"/>
        <family val="2"/>
      </rPr>
      <t xml:space="preserve"> </t>
    </r>
    <r>
      <rPr>
        <sz val="10"/>
        <color indexed="8"/>
        <rFont val="宋体"/>
        <family val="3"/>
        <charset val="134"/>
      </rPr>
      <t>。</t>
    </r>
    <phoneticPr fontId="10" type="noConversion"/>
  </si>
  <si>
    <r>
      <rPr>
        <b/>
        <sz val="10"/>
        <color indexed="8"/>
        <rFont val="宋体"/>
        <family val="3"/>
        <charset val="134"/>
      </rPr>
      <t>二、审计过程：</t>
    </r>
    <phoneticPr fontId="14" type="noConversion"/>
  </si>
  <si>
    <r>
      <rPr>
        <b/>
        <sz val="10"/>
        <rFont val="宋体"/>
        <family val="3"/>
        <charset val="134"/>
      </rPr>
      <t>序号</t>
    </r>
    <phoneticPr fontId="10" type="noConversion"/>
  </si>
  <si>
    <r>
      <rPr>
        <b/>
        <sz val="10"/>
        <rFont val="宋体"/>
        <family val="3"/>
        <charset val="134"/>
      </rPr>
      <t>比例</t>
    </r>
  </si>
  <si>
    <r>
      <t>2025</t>
    </r>
    <r>
      <rPr>
        <b/>
        <sz val="10"/>
        <rFont val="宋体"/>
        <family val="3"/>
        <charset val="134"/>
      </rPr>
      <t>年</t>
    </r>
    <phoneticPr fontId="10" type="noConversion"/>
  </si>
  <si>
    <r>
      <rPr>
        <b/>
        <sz val="10"/>
        <rFont val="宋体"/>
        <family val="3"/>
        <charset val="134"/>
      </rPr>
      <t>变动</t>
    </r>
    <phoneticPr fontId="10" type="noConversion"/>
  </si>
  <si>
    <r>
      <rPr>
        <b/>
        <sz val="10"/>
        <rFont val="宋体"/>
        <family val="3"/>
        <charset val="134"/>
      </rPr>
      <t>变动原因及合理性解释</t>
    </r>
    <phoneticPr fontId="10" type="noConversion"/>
  </si>
  <si>
    <r>
      <rPr>
        <sz val="10"/>
        <rFont val="宋体"/>
        <family val="3"/>
        <charset val="134"/>
      </rPr>
      <t>固定资产净值</t>
    </r>
    <r>
      <rPr>
        <sz val="10"/>
        <rFont val="Arial Narrow"/>
        <family val="2"/>
      </rPr>
      <t>÷</t>
    </r>
    <r>
      <rPr>
        <sz val="10"/>
        <rFont val="宋体"/>
        <family val="3"/>
        <charset val="134"/>
      </rPr>
      <t>资产总额</t>
    </r>
    <phoneticPr fontId="10" type="noConversion"/>
  </si>
  <si>
    <r>
      <rPr>
        <sz val="10"/>
        <rFont val="宋体"/>
        <family val="3"/>
        <charset val="134"/>
      </rPr>
      <t>本期计提折旧额</t>
    </r>
    <r>
      <rPr>
        <sz val="10"/>
        <rFont val="Arial Narrow"/>
        <family val="2"/>
      </rPr>
      <t>÷</t>
    </r>
    <r>
      <rPr>
        <sz val="10"/>
        <rFont val="宋体"/>
        <family val="3"/>
        <charset val="134"/>
      </rPr>
      <t>固定资产原值</t>
    </r>
    <phoneticPr fontId="10" type="noConversion"/>
  </si>
  <si>
    <r>
      <rPr>
        <sz val="10"/>
        <rFont val="宋体"/>
        <family val="3"/>
        <charset val="134"/>
      </rPr>
      <t>累计计提折旧额</t>
    </r>
    <r>
      <rPr>
        <sz val="10"/>
        <rFont val="Arial Narrow"/>
        <family val="2"/>
      </rPr>
      <t>÷</t>
    </r>
    <r>
      <rPr>
        <sz val="10"/>
        <rFont val="宋体"/>
        <family val="3"/>
        <charset val="134"/>
      </rPr>
      <t>固定资产原值</t>
    </r>
    <phoneticPr fontId="10" type="noConversion"/>
  </si>
  <si>
    <r>
      <rPr>
        <sz val="10"/>
        <rFont val="宋体"/>
        <family val="3"/>
        <charset val="134"/>
      </rPr>
      <t>固定资产减值准备余额</t>
    </r>
    <r>
      <rPr>
        <sz val="10"/>
        <rFont val="Arial Narrow"/>
        <family val="2"/>
      </rPr>
      <t>÷</t>
    </r>
    <r>
      <rPr>
        <sz val="10"/>
        <rFont val="宋体"/>
        <family val="3"/>
        <charset val="134"/>
      </rPr>
      <t>固定资产原值</t>
    </r>
    <phoneticPr fontId="10" type="noConversion"/>
  </si>
  <si>
    <r>
      <rPr>
        <sz val="10"/>
        <rFont val="宋体"/>
        <family val="3"/>
        <charset val="134"/>
      </rPr>
      <t>固定资产原值</t>
    </r>
    <r>
      <rPr>
        <sz val="10"/>
        <rFont val="Arial Narrow"/>
        <family val="2"/>
      </rPr>
      <t>÷</t>
    </r>
    <r>
      <rPr>
        <sz val="10"/>
        <rFont val="宋体"/>
        <family val="3"/>
        <charset val="134"/>
      </rPr>
      <t>本期产品产量</t>
    </r>
    <phoneticPr fontId="10" type="noConversion"/>
  </si>
  <si>
    <r>
      <rPr>
        <sz val="10"/>
        <rFont val="宋体"/>
        <family val="3"/>
        <charset val="134"/>
      </rPr>
      <t>租赁资产原值</t>
    </r>
    <r>
      <rPr>
        <sz val="10"/>
        <rFont val="Arial Narrow"/>
        <family val="2"/>
      </rPr>
      <t>÷</t>
    </r>
    <r>
      <rPr>
        <sz val="10"/>
        <rFont val="宋体"/>
        <family val="3"/>
        <charset val="134"/>
      </rPr>
      <t>固定资产原值</t>
    </r>
    <phoneticPr fontId="10" type="noConversion"/>
  </si>
  <si>
    <r>
      <rPr>
        <sz val="10"/>
        <rFont val="宋体"/>
        <family val="3"/>
        <charset val="134"/>
      </rPr>
      <t>出租租金收入</t>
    </r>
    <r>
      <rPr>
        <sz val="10"/>
        <rFont val="Arial Narrow"/>
        <family val="2"/>
      </rPr>
      <t>÷</t>
    </r>
    <r>
      <rPr>
        <sz val="10"/>
        <rFont val="宋体"/>
        <family val="3"/>
        <charset val="134"/>
      </rPr>
      <t>固定资产原值</t>
    </r>
    <phoneticPr fontId="10" type="noConversion"/>
  </si>
  <si>
    <r>
      <rPr>
        <sz val="10"/>
        <rFont val="宋体"/>
        <family val="3"/>
        <charset val="134"/>
      </rPr>
      <t>维修费用</t>
    </r>
    <r>
      <rPr>
        <sz val="10"/>
        <rFont val="Arial Narrow"/>
        <family val="2"/>
      </rPr>
      <t>÷</t>
    </r>
    <r>
      <rPr>
        <sz val="10"/>
        <rFont val="宋体"/>
        <family val="3"/>
        <charset val="134"/>
      </rPr>
      <t>固定资产原值</t>
    </r>
    <phoneticPr fontId="10" type="noConversion"/>
  </si>
  <si>
    <r>
      <rPr>
        <b/>
        <sz val="10"/>
        <rFont val="宋体"/>
        <family val="3"/>
        <charset val="134"/>
      </rPr>
      <t>三、审计说明：</t>
    </r>
    <phoneticPr fontId="10" type="noConversion"/>
  </si>
  <si>
    <r>
      <rPr>
        <b/>
        <sz val="10"/>
        <rFont val="宋体"/>
        <family val="3"/>
        <charset val="134"/>
      </rPr>
      <t>四、审计结论：</t>
    </r>
    <phoneticPr fontId="10" type="noConversion"/>
  </si>
  <si>
    <r>
      <t>1</t>
    </r>
    <r>
      <rPr>
        <sz val="10"/>
        <color indexed="12"/>
        <rFont val="宋体"/>
        <family val="3"/>
        <charset val="134"/>
      </rPr>
      <t>、分析固定资产的构成及其增减变动情况、增减变动原因，与在建工程、现金流量表、生产能力等相关信息交叉复核，检查固定资产相关金额的合理性和准确性；</t>
    </r>
    <phoneticPr fontId="10" type="noConversion"/>
  </si>
  <si>
    <r>
      <t>2</t>
    </r>
    <r>
      <rPr>
        <sz val="10"/>
        <color indexed="12"/>
        <rFont val="宋体"/>
        <family val="3"/>
        <charset val="134"/>
      </rPr>
      <t>、分析本期末固定资产减值准备数额占期末固定资产原价的比率，并与期初数比较。</t>
    </r>
    <phoneticPr fontId="10" type="noConversion"/>
  </si>
  <si>
    <r>
      <rPr>
        <b/>
        <sz val="10"/>
        <rFont val="宋体"/>
        <family val="3"/>
        <charset val="134"/>
      </rPr>
      <t>二、样本选取标准与规模：</t>
    </r>
    <phoneticPr fontId="37" type="noConversion"/>
  </si>
  <si>
    <r>
      <rPr>
        <sz val="10"/>
        <rFont val="宋体"/>
        <family val="3"/>
        <charset val="134"/>
      </rPr>
      <t>抽样总体：</t>
    </r>
    <phoneticPr fontId="10" type="noConversion"/>
  </si>
  <si>
    <r>
      <rPr>
        <sz val="10"/>
        <rFont val="宋体"/>
        <family val="3"/>
        <charset val="134"/>
      </rPr>
      <t>抽样方法：</t>
    </r>
    <phoneticPr fontId="10" type="noConversion"/>
  </si>
  <si>
    <r>
      <rPr>
        <b/>
        <sz val="10"/>
        <rFont val="宋体"/>
        <family val="3"/>
        <charset val="134"/>
      </rPr>
      <t>固定资产名称</t>
    </r>
    <phoneticPr fontId="10" type="noConversion"/>
  </si>
  <si>
    <r>
      <rPr>
        <b/>
        <sz val="10"/>
        <rFont val="宋体"/>
        <family val="3"/>
        <charset val="134"/>
      </rPr>
      <t>增加日期</t>
    </r>
    <phoneticPr fontId="10" type="noConversion"/>
  </si>
  <si>
    <r>
      <rPr>
        <b/>
        <sz val="10"/>
        <rFont val="宋体"/>
        <family val="3"/>
        <charset val="134"/>
      </rPr>
      <t>增加情况</t>
    </r>
    <phoneticPr fontId="10" type="noConversion"/>
  </si>
  <si>
    <r>
      <rPr>
        <b/>
        <sz val="10"/>
        <rFont val="宋体"/>
        <family val="3"/>
        <charset val="134"/>
      </rPr>
      <t>验收单</t>
    </r>
    <phoneticPr fontId="10" type="noConversion"/>
  </si>
  <si>
    <r>
      <rPr>
        <b/>
        <sz val="10"/>
        <rFont val="宋体"/>
        <family val="3"/>
        <charset val="134"/>
      </rPr>
      <t>是否异常</t>
    </r>
    <phoneticPr fontId="10" type="noConversion"/>
  </si>
  <si>
    <r>
      <rPr>
        <b/>
        <sz val="10"/>
        <rFont val="宋体"/>
        <family val="3"/>
        <charset val="134"/>
      </rPr>
      <t>累计折旧</t>
    </r>
  </si>
  <si>
    <r>
      <rPr>
        <b/>
        <sz val="10"/>
        <rFont val="宋体"/>
        <family val="3"/>
        <charset val="134"/>
      </rPr>
      <t>净值</t>
    </r>
    <phoneticPr fontId="10" type="noConversion"/>
  </si>
  <si>
    <r>
      <rPr>
        <b/>
        <sz val="10"/>
        <rFont val="宋体"/>
        <family val="3"/>
        <charset val="134"/>
      </rPr>
      <t>日期</t>
    </r>
    <r>
      <rPr>
        <b/>
        <sz val="10"/>
        <rFont val="Arial Narrow"/>
        <family val="2"/>
      </rPr>
      <t>/</t>
    </r>
    <r>
      <rPr>
        <b/>
        <sz val="10"/>
        <rFont val="宋体"/>
        <family val="3"/>
        <charset val="134"/>
      </rPr>
      <t>编号</t>
    </r>
  </si>
  <si>
    <r>
      <rPr>
        <b/>
        <sz val="10"/>
        <rFont val="宋体"/>
        <family val="3"/>
        <charset val="134"/>
      </rPr>
      <t>金额</t>
    </r>
  </si>
  <si>
    <r>
      <rPr>
        <b/>
        <sz val="10"/>
        <rFont val="宋体"/>
        <family val="3"/>
        <charset val="134"/>
      </rPr>
      <t>本期新增固定资产合计</t>
    </r>
    <phoneticPr fontId="10" type="noConversion"/>
  </si>
  <si>
    <r>
      <t>1</t>
    </r>
    <r>
      <rPr>
        <sz val="10"/>
        <color indexed="12"/>
        <rFont val="宋体"/>
        <family val="3"/>
        <charset val="134"/>
      </rPr>
      <t>、本表用于汇总本年度增加固定资产的测试情况。</t>
    </r>
    <phoneticPr fontId="10" type="noConversion"/>
  </si>
  <si>
    <r>
      <t>2</t>
    </r>
    <r>
      <rPr>
        <sz val="10"/>
        <color indexed="12"/>
        <rFont val="宋体"/>
        <family val="3"/>
        <charset val="134"/>
      </rPr>
      <t>、对于外购固定资产，检查购货合同、发票、保险单、发运凭证等文件，抽查测试其计价是否正确，会计处理是否正确；如果购买固定资产的价款超过正常信用条件延期支付，</t>
    </r>
    <phoneticPr fontId="10" type="noConversion"/>
  </si>
  <si>
    <r>
      <rPr>
        <sz val="10"/>
        <color indexed="12"/>
        <rFont val="宋体"/>
        <family val="3"/>
        <charset val="134"/>
      </rPr>
      <t>检查实质上是否具有融资性质，固定资产的成本是否以购买价款的现值为基础确定。</t>
    </r>
    <phoneticPr fontId="10" type="noConversion"/>
  </si>
  <si>
    <r>
      <rPr>
        <sz val="10"/>
        <color indexed="12"/>
        <rFont val="宋体"/>
        <family val="3"/>
        <charset val="134"/>
      </rPr>
      <t>达到预定可使用状态但尚未办理竣工决算的固定资产，检查其是否已经暂估入账，并按规定计提折旧；检查资本性支出与收益性支出的划分是否恰当；竣工决算完成后，</t>
    </r>
    <phoneticPr fontId="10" type="noConversion"/>
  </si>
  <si>
    <r>
      <rPr>
        <sz val="10"/>
        <color indexed="12"/>
        <rFont val="宋体"/>
        <family val="3"/>
        <charset val="134"/>
      </rPr>
      <t>是否及时调整。</t>
    </r>
    <phoneticPr fontId="10" type="noConversion"/>
  </si>
  <si>
    <r>
      <t>4</t>
    </r>
    <r>
      <rPr>
        <sz val="10"/>
        <color indexed="12"/>
        <rFont val="宋体"/>
        <family val="3"/>
        <charset val="134"/>
      </rPr>
      <t>、对于更新改造增加的固定资产，检查增加的固定资产原值是否真实，是否符合资本化条件，增计金额是否超过了该项固定资产的可收回金额；重新确定的剩余折旧年限是否恰当。</t>
    </r>
    <phoneticPr fontId="10" type="noConversion"/>
  </si>
  <si>
    <r>
      <t>6</t>
    </r>
    <r>
      <rPr>
        <sz val="10"/>
        <color indexed="12"/>
        <rFont val="宋体"/>
        <family val="3"/>
        <charset val="134"/>
      </rPr>
      <t>、对于融资租入的固定资产，请见本循环融资租入的相关程序。</t>
    </r>
    <phoneticPr fontId="10" type="noConversion"/>
  </si>
  <si>
    <r>
      <rPr>
        <b/>
        <sz val="10"/>
        <rFont val="宋体"/>
        <family val="3"/>
        <charset val="134"/>
      </rPr>
      <t>二、样本选取标准与规模：</t>
    </r>
    <phoneticPr fontId="37" type="noConversion"/>
  </si>
  <si>
    <r>
      <rPr>
        <sz val="10"/>
        <rFont val="宋体"/>
        <family val="3"/>
        <charset val="134"/>
      </rPr>
      <t>抽样过程：</t>
    </r>
    <phoneticPr fontId="10" type="noConversion"/>
  </si>
  <si>
    <r>
      <rPr>
        <b/>
        <sz val="10"/>
        <rFont val="宋体"/>
        <family val="3"/>
        <charset val="134"/>
      </rPr>
      <t>三、测试过程：</t>
    </r>
    <phoneticPr fontId="37" type="noConversion"/>
  </si>
  <si>
    <r>
      <rPr>
        <b/>
        <sz val="10"/>
        <rFont val="宋体"/>
        <family val="3"/>
        <charset val="134"/>
      </rPr>
      <t>序号</t>
    </r>
    <phoneticPr fontId="10" type="noConversion"/>
  </si>
  <si>
    <r>
      <rPr>
        <b/>
        <sz val="10"/>
        <rFont val="宋体"/>
        <family val="3"/>
        <charset val="134"/>
      </rPr>
      <t>固定资产编号</t>
    </r>
    <phoneticPr fontId="10" type="noConversion"/>
  </si>
  <si>
    <r>
      <rPr>
        <b/>
        <sz val="10"/>
        <rFont val="宋体"/>
        <family val="3"/>
        <charset val="134"/>
      </rPr>
      <t>增加方式</t>
    </r>
    <phoneticPr fontId="10" type="noConversion"/>
  </si>
  <si>
    <r>
      <rPr>
        <b/>
        <sz val="10"/>
        <rFont val="宋体"/>
        <family val="3"/>
        <charset val="134"/>
      </rPr>
      <t>入账凭证号</t>
    </r>
    <phoneticPr fontId="10" type="noConversion"/>
  </si>
  <si>
    <r>
      <rPr>
        <b/>
        <sz val="10"/>
        <rFont val="宋体"/>
        <family val="3"/>
        <charset val="134"/>
      </rPr>
      <t>对方科目</t>
    </r>
    <phoneticPr fontId="10" type="noConversion"/>
  </si>
  <si>
    <r>
      <rPr>
        <b/>
        <sz val="10"/>
        <rFont val="宋体"/>
        <family val="3"/>
        <charset val="134"/>
      </rPr>
      <t>合同</t>
    </r>
    <r>
      <rPr>
        <b/>
        <sz val="10"/>
        <rFont val="Arial Narrow"/>
        <family val="2"/>
      </rPr>
      <t>/</t>
    </r>
    <r>
      <rPr>
        <b/>
        <sz val="10"/>
        <rFont val="宋体"/>
        <family val="3"/>
        <charset val="134"/>
      </rPr>
      <t>协议</t>
    </r>
    <r>
      <rPr>
        <b/>
        <sz val="10"/>
        <rFont val="Arial Narrow"/>
        <family val="2"/>
      </rPr>
      <t>/</t>
    </r>
    <r>
      <rPr>
        <b/>
        <sz val="10"/>
        <rFont val="宋体"/>
        <family val="3"/>
        <charset val="134"/>
      </rPr>
      <t>订单</t>
    </r>
    <phoneticPr fontId="10" type="noConversion"/>
  </si>
  <si>
    <r>
      <rPr>
        <b/>
        <sz val="10"/>
        <rFont val="宋体"/>
        <family val="3"/>
        <charset val="134"/>
      </rPr>
      <t>采购发票</t>
    </r>
    <phoneticPr fontId="10" type="noConversion"/>
  </si>
  <si>
    <r>
      <rPr>
        <b/>
        <sz val="10"/>
        <rFont val="宋体"/>
        <family val="3"/>
        <charset val="134"/>
      </rPr>
      <t>索引号</t>
    </r>
    <phoneticPr fontId="10" type="noConversion"/>
  </si>
  <si>
    <r>
      <rPr>
        <b/>
        <sz val="10"/>
        <rFont val="宋体"/>
        <family val="3"/>
        <charset val="134"/>
      </rPr>
      <t>是否异常</t>
    </r>
    <phoneticPr fontId="10" type="noConversion"/>
  </si>
  <si>
    <r>
      <rPr>
        <b/>
        <sz val="10"/>
        <rFont val="宋体"/>
        <family val="3"/>
        <charset val="134"/>
      </rPr>
      <t>原值</t>
    </r>
    <phoneticPr fontId="10" type="noConversion"/>
  </si>
  <si>
    <r>
      <rPr>
        <b/>
        <sz val="10"/>
        <rFont val="宋体"/>
        <family val="3"/>
        <charset val="134"/>
      </rPr>
      <t>减值准备</t>
    </r>
    <phoneticPr fontId="10" type="noConversion"/>
  </si>
  <si>
    <r>
      <rPr>
        <b/>
        <sz val="10"/>
        <rFont val="宋体"/>
        <family val="3"/>
        <charset val="134"/>
      </rPr>
      <t>净值</t>
    </r>
    <phoneticPr fontId="10" type="noConversion"/>
  </si>
  <si>
    <r>
      <rPr>
        <b/>
        <sz val="10"/>
        <rFont val="宋体"/>
        <family val="3"/>
        <charset val="134"/>
      </rPr>
      <t>单据编号</t>
    </r>
    <phoneticPr fontId="10" type="noConversion"/>
  </si>
  <si>
    <r>
      <rPr>
        <b/>
        <sz val="10"/>
        <rFont val="宋体"/>
        <family val="3"/>
        <charset val="134"/>
      </rPr>
      <t>验收日期</t>
    </r>
    <phoneticPr fontId="10" type="noConversion"/>
  </si>
  <si>
    <r>
      <rPr>
        <b/>
        <sz val="10"/>
        <rFont val="宋体"/>
        <family val="3"/>
        <charset val="134"/>
      </rPr>
      <t>日期</t>
    </r>
    <r>
      <rPr>
        <b/>
        <sz val="10"/>
        <rFont val="Arial Narrow"/>
        <family val="2"/>
      </rPr>
      <t>/</t>
    </r>
    <r>
      <rPr>
        <b/>
        <sz val="10"/>
        <rFont val="宋体"/>
        <family val="3"/>
        <charset val="134"/>
      </rPr>
      <t>编号</t>
    </r>
    <phoneticPr fontId="10" type="noConversion"/>
  </si>
  <si>
    <r>
      <rPr>
        <b/>
        <sz val="10"/>
        <rFont val="宋体"/>
        <family val="3"/>
        <charset val="134"/>
      </rPr>
      <t>对手方名称</t>
    </r>
    <phoneticPr fontId="10" type="noConversion"/>
  </si>
  <si>
    <r>
      <rPr>
        <b/>
        <sz val="10"/>
        <rFont val="宋体"/>
        <family val="3"/>
        <charset val="134"/>
      </rPr>
      <t>金额</t>
    </r>
    <phoneticPr fontId="10" type="noConversion"/>
  </si>
  <si>
    <r>
      <rPr>
        <b/>
        <sz val="10"/>
        <rFont val="宋体"/>
        <family val="3"/>
        <charset val="134"/>
      </rPr>
      <t>四、审计说明：</t>
    </r>
    <phoneticPr fontId="37" type="noConversion"/>
  </si>
  <si>
    <r>
      <rPr>
        <b/>
        <sz val="10"/>
        <rFont val="宋体"/>
        <family val="3"/>
        <charset val="134"/>
      </rPr>
      <t>五、审计结论：</t>
    </r>
    <phoneticPr fontId="10" type="noConversion"/>
  </si>
  <si>
    <r>
      <t>3</t>
    </r>
    <r>
      <rPr>
        <sz val="10"/>
        <color indexed="12"/>
        <rFont val="宋体"/>
        <family val="3"/>
        <charset val="134"/>
      </rPr>
      <t>、对于在建工程转入的固定资产，应检查竣工决算、验收和移交报告是否正确，与在建工程相关的记录是否核对相符，借款费用资本化金额是否恰当；对已经在用或已经</t>
    </r>
    <phoneticPr fontId="10" type="noConversion"/>
  </si>
  <si>
    <r>
      <t>5</t>
    </r>
    <r>
      <rPr>
        <sz val="10"/>
        <color indexed="12"/>
        <rFont val="宋体"/>
        <family val="3"/>
        <charset val="134"/>
      </rPr>
      <t>、对于盘盈的固定资产、生产性生物资产，检查固定资产计价及确认的损益是否符合会计准则及相关规定。</t>
    </r>
    <phoneticPr fontId="10" type="noConversion"/>
  </si>
  <si>
    <r>
      <t>8</t>
    </r>
    <r>
      <rPr>
        <sz val="10"/>
        <color indexed="12"/>
        <rFont val="宋体"/>
        <family val="3"/>
        <charset val="134"/>
      </rPr>
      <t>、对于因清产核资、资产评估调增有关长期资产价值的，检查有关清产核资报告、资产评估报告、国有资产管理等部门的确认文件、验资报告等，检查会计处理是否正确。</t>
    </r>
    <phoneticPr fontId="10" type="noConversion"/>
  </si>
  <si>
    <r>
      <t>9</t>
    </r>
    <r>
      <rPr>
        <sz val="10"/>
        <color indexed="12"/>
        <rFont val="宋体"/>
        <family val="3"/>
        <charset val="134"/>
      </rPr>
      <t>、取得新增固定资产权属证明</t>
    </r>
    <r>
      <rPr>
        <sz val="10"/>
        <color indexed="12"/>
        <rFont val="Arial Narrow"/>
        <family val="2"/>
      </rPr>
      <t>—</t>
    </r>
    <r>
      <rPr>
        <sz val="10"/>
        <color indexed="12"/>
        <rFont val="宋体"/>
        <family val="3"/>
        <charset val="134"/>
      </rPr>
      <t>房产证、车辆行驶证</t>
    </r>
    <r>
      <rPr>
        <sz val="10"/>
        <color indexed="12"/>
        <rFont val="Arial Narrow"/>
        <family val="2"/>
      </rPr>
      <t>etc</t>
    </r>
    <r>
      <rPr>
        <sz val="10"/>
        <color indexed="12"/>
        <rFont val="宋体"/>
        <family val="3"/>
        <charset val="134"/>
      </rPr>
      <t>；关注保险情况。</t>
    </r>
    <phoneticPr fontId="10" type="noConversion"/>
  </si>
  <si>
    <r>
      <rPr>
        <sz val="10"/>
        <rFont val="宋体"/>
        <family val="3"/>
        <charset val="134"/>
      </rPr>
      <t>特定样本：</t>
    </r>
    <phoneticPr fontId="10" type="noConversion"/>
  </si>
  <si>
    <r>
      <rPr>
        <b/>
        <sz val="10"/>
        <rFont val="宋体"/>
        <family val="3"/>
        <charset val="134"/>
      </rPr>
      <t>固定资产类别</t>
    </r>
    <phoneticPr fontId="10" type="noConversion"/>
  </si>
  <si>
    <r>
      <rPr>
        <b/>
        <sz val="10"/>
        <rFont val="宋体"/>
        <family val="3"/>
        <charset val="134"/>
      </rPr>
      <t>固定资产编号</t>
    </r>
    <phoneticPr fontId="10" type="noConversion"/>
  </si>
  <si>
    <r>
      <rPr>
        <b/>
        <sz val="10"/>
        <rFont val="宋体"/>
        <family val="3"/>
        <charset val="134"/>
      </rPr>
      <t>减少方式</t>
    </r>
    <phoneticPr fontId="10" type="noConversion"/>
  </si>
  <si>
    <r>
      <rPr>
        <b/>
        <sz val="10"/>
        <rFont val="宋体"/>
        <family val="3"/>
        <charset val="134"/>
      </rPr>
      <t>减少日期</t>
    </r>
    <phoneticPr fontId="10" type="noConversion"/>
  </si>
  <si>
    <r>
      <rPr>
        <b/>
        <sz val="10"/>
        <rFont val="宋体"/>
        <family val="3"/>
        <charset val="134"/>
      </rPr>
      <t>凭证号</t>
    </r>
    <phoneticPr fontId="10" type="noConversion"/>
  </si>
  <si>
    <r>
      <rPr>
        <b/>
        <sz val="10"/>
        <rFont val="宋体"/>
        <family val="3"/>
        <charset val="134"/>
      </rPr>
      <t>减少情况</t>
    </r>
    <phoneticPr fontId="10" type="noConversion"/>
  </si>
  <si>
    <r>
      <rPr>
        <b/>
        <sz val="10"/>
        <rFont val="宋体"/>
        <family val="3"/>
        <charset val="134"/>
      </rPr>
      <t>审批单</t>
    </r>
    <phoneticPr fontId="10" type="noConversion"/>
  </si>
  <si>
    <r>
      <rPr>
        <b/>
        <sz val="10"/>
        <rFont val="宋体"/>
        <family val="3"/>
        <charset val="134"/>
      </rPr>
      <t>转入清理的固定资产</t>
    </r>
    <phoneticPr fontId="10" type="noConversion"/>
  </si>
  <si>
    <r>
      <rPr>
        <b/>
        <sz val="10"/>
        <rFont val="宋体"/>
        <family val="3"/>
        <charset val="134"/>
      </rPr>
      <t>清理净收入</t>
    </r>
    <phoneticPr fontId="10" type="noConversion"/>
  </si>
  <si>
    <r>
      <rPr>
        <b/>
        <sz val="10"/>
        <rFont val="宋体"/>
        <family val="3"/>
        <charset val="134"/>
      </rPr>
      <t>清理净损益</t>
    </r>
    <phoneticPr fontId="10" type="noConversion"/>
  </si>
  <si>
    <r>
      <rPr>
        <b/>
        <sz val="10"/>
        <rFont val="宋体"/>
        <family val="3"/>
        <charset val="134"/>
      </rPr>
      <t>清理费用</t>
    </r>
    <phoneticPr fontId="10" type="noConversion"/>
  </si>
  <si>
    <r>
      <rPr>
        <b/>
        <sz val="10"/>
        <rFont val="宋体"/>
        <family val="3"/>
        <charset val="134"/>
      </rPr>
      <t>清理收入</t>
    </r>
    <phoneticPr fontId="10" type="noConversion"/>
  </si>
  <si>
    <r>
      <t>1</t>
    </r>
    <r>
      <rPr>
        <sz val="10"/>
        <color indexed="12"/>
        <rFont val="宋体"/>
        <family val="3"/>
        <charset val="134"/>
      </rPr>
      <t>、本表用于汇总本年度减少固定资产的测试情况。</t>
    </r>
    <phoneticPr fontId="10" type="noConversion"/>
  </si>
  <si>
    <r>
      <t>2</t>
    </r>
    <r>
      <rPr>
        <sz val="10"/>
        <color indexed="12"/>
        <rFont val="宋体"/>
        <family val="3"/>
        <charset val="134"/>
      </rPr>
      <t>、检查当年减少的固定资产的销账情况，减少的固定资产产生的损益是否及时记入营业外收支科目，账务处理是否与减少固定资产的授权批准文件一致。</t>
    </r>
    <phoneticPr fontId="10" type="noConversion"/>
  </si>
  <si>
    <r>
      <rPr>
        <b/>
        <sz val="10"/>
        <rFont val="宋体"/>
        <family val="3"/>
        <charset val="134"/>
      </rPr>
      <t>仓库（或场所）</t>
    </r>
  </si>
  <si>
    <r>
      <rPr>
        <b/>
        <sz val="10"/>
        <rFont val="宋体"/>
        <family val="3"/>
        <charset val="134"/>
      </rPr>
      <t>（二）企业定期盘点内部控制制度与执行情况：</t>
    </r>
  </si>
  <si>
    <r>
      <rPr>
        <sz val="10"/>
        <rFont val="宋体"/>
        <family val="3"/>
        <charset val="134"/>
      </rPr>
      <t>负责人：</t>
    </r>
    <r>
      <rPr>
        <sz val="10"/>
        <rFont val="Arial Narrow"/>
        <family val="2"/>
      </rPr>
      <t xml:space="preserve">               </t>
    </r>
  </si>
  <si>
    <r>
      <rPr>
        <sz val="10"/>
        <color indexed="12"/>
        <rFont val="宋体"/>
        <family val="3"/>
        <charset val="134"/>
      </rPr>
      <t>（提示：如制度规定与实际执行不一致的，应按制度规定与实际负责的部门分别填写）</t>
    </r>
    <phoneticPr fontId="10" type="noConversion"/>
  </si>
  <si>
    <r>
      <t>2</t>
    </r>
    <r>
      <rPr>
        <sz val="10"/>
        <rFont val="宋体"/>
        <family val="3"/>
        <charset val="134"/>
      </rPr>
      <t>．企业实际盘点情况：</t>
    </r>
  </si>
  <si>
    <r>
      <rPr>
        <sz val="10"/>
        <rFont val="宋体"/>
        <family val="3"/>
        <charset val="134"/>
      </rPr>
      <t>（</t>
    </r>
    <r>
      <rPr>
        <sz val="10"/>
        <rFont val="Arial Narrow"/>
        <family val="2"/>
      </rPr>
      <t>1</t>
    </r>
    <r>
      <rPr>
        <sz val="10"/>
        <rFont val="宋体"/>
        <family val="3"/>
        <charset val="134"/>
      </rPr>
      <t>）盘点计划安排：</t>
    </r>
    <r>
      <rPr>
        <u/>
        <sz val="10"/>
        <rFont val="Arial Narrow"/>
        <family val="2"/>
      </rPr>
      <t xml:space="preserve">                                                      </t>
    </r>
  </si>
  <si>
    <r>
      <rPr>
        <sz val="10"/>
        <rFont val="宋体"/>
        <family val="3"/>
        <charset val="134"/>
      </rPr>
      <t>（</t>
    </r>
    <r>
      <rPr>
        <sz val="10"/>
        <rFont val="Arial Narrow"/>
        <family val="2"/>
      </rPr>
      <t>2</t>
    </r>
    <r>
      <rPr>
        <sz val="10"/>
        <rFont val="宋体"/>
        <family val="3"/>
        <charset val="134"/>
      </rPr>
      <t>）盘点会议情况：</t>
    </r>
    <r>
      <rPr>
        <u/>
        <sz val="10"/>
        <rFont val="Arial Narrow"/>
        <family val="2"/>
      </rPr>
      <t xml:space="preserve">                                                      </t>
    </r>
  </si>
  <si>
    <r>
      <rPr>
        <sz val="10"/>
        <rFont val="宋体"/>
        <family val="3"/>
        <charset val="134"/>
      </rPr>
      <t>（</t>
    </r>
    <r>
      <rPr>
        <sz val="10"/>
        <rFont val="Arial Narrow"/>
        <family val="2"/>
      </rPr>
      <t>4</t>
    </r>
    <r>
      <rPr>
        <sz val="10"/>
        <rFont val="宋体"/>
        <family val="3"/>
        <charset val="134"/>
      </rPr>
      <t>）对企业盘点计划的评价：</t>
    </r>
  </si>
  <si>
    <r>
      <rPr>
        <b/>
        <sz val="10"/>
        <rFont val="宋体"/>
        <family val="3"/>
        <charset val="134"/>
      </rPr>
      <t>（三）查阅以前年度工作底稿记录：</t>
    </r>
  </si>
  <si>
    <r>
      <rPr>
        <sz val="10"/>
        <rFont val="宋体"/>
        <family val="3"/>
        <charset val="134"/>
      </rPr>
      <t>实施监盘的人员：</t>
    </r>
    <r>
      <rPr>
        <sz val="10"/>
        <rFont val="Arial Narrow"/>
        <family val="2"/>
      </rPr>
      <t xml:space="preserve">                </t>
    </r>
  </si>
  <si>
    <r>
      <t xml:space="preserve"> 2</t>
    </r>
    <r>
      <rPr>
        <sz val="10"/>
        <rFont val="宋体"/>
        <family val="3"/>
        <charset val="134"/>
      </rPr>
      <t>．抽盘的固定资产范围：</t>
    </r>
    <r>
      <rPr>
        <sz val="10"/>
        <rFont val="Arial Narrow"/>
        <family val="2"/>
      </rPr>
      <t xml:space="preserve">                                  </t>
    </r>
  </si>
  <si>
    <r>
      <rPr>
        <sz val="10"/>
        <rFont val="宋体"/>
        <family val="3"/>
        <charset val="134"/>
      </rPr>
      <t>抽盘比例：</t>
    </r>
    <r>
      <rPr>
        <sz val="10"/>
        <rFont val="Arial Narrow"/>
        <family val="2"/>
      </rPr>
      <t xml:space="preserve">         </t>
    </r>
  </si>
  <si>
    <r>
      <t xml:space="preserve"> 3</t>
    </r>
    <r>
      <rPr>
        <sz val="10"/>
        <rFont val="宋体"/>
        <family val="3"/>
        <charset val="134"/>
      </rPr>
      <t>．实施监盘中发现的问题与存在的不足：</t>
    </r>
    <r>
      <rPr>
        <u/>
        <sz val="10"/>
        <rFont val="Arial Narrow"/>
        <family val="2"/>
      </rPr>
      <t xml:space="preserve">                                   </t>
    </r>
  </si>
  <si>
    <r>
      <rPr>
        <b/>
        <sz val="10"/>
        <rFont val="宋体"/>
        <family val="3"/>
        <charset val="134"/>
      </rPr>
      <t>四、盘点计划安排：</t>
    </r>
    <phoneticPr fontId="10" type="noConversion"/>
  </si>
  <si>
    <r>
      <rPr>
        <sz val="10"/>
        <rFont val="宋体"/>
        <family val="3"/>
        <charset val="134"/>
      </rPr>
      <t>（一）预计监盘时间：</t>
    </r>
    <r>
      <rPr>
        <u/>
        <sz val="10"/>
        <rFont val="Arial Narrow"/>
        <family val="2"/>
      </rPr>
      <t xml:space="preserve">                    </t>
    </r>
  </si>
  <si>
    <r>
      <rPr>
        <sz val="10"/>
        <rFont val="宋体"/>
        <family val="3"/>
        <charset val="134"/>
      </rPr>
      <t>监盘程序负责人：</t>
    </r>
    <r>
      <rPr>
        <sz val="10"/>
        <rFont val="Arial Narrow"/>
        <family val="2"/>
      </rPr>
      <t xml:space="preserve">          </t>
    </r>
  </si>
  <si>
    <r>
      <rPr>
        <b/>
        <sz val="10"/>
        <rFont val="宋体"/>
        <family val="3"/>
        <charset val="134"/>
      </rPr>
      <t>期末余额</t>
    </r>
  </si>
  <si>
    <r>
      <rPr>
        <b/>
        <sz val="10"/>
        <rFont val="宋体"/>
        <family val="3"/>
        <charset val="134"/>
      </rPr>
      <t>账面净值</t>
    </r>
  </si>
  <si>
    <r>
      <rPr>
        <b/>
        <sz val="10"/>
        <rFont val="宋体"/>
        <family val="3"/>
        <charset val="134"/>
      </rPr>
      <t>计量单位</t>
    </r>
  </si>
  <si>
    <r>
      <rPr>
        <sz val="10"/>
        <rFont val="宋体"/>
        <family val="3"/>
        <charset val="134"/>
      </rPr>
      <t>（四）拟实施的盘点方法：</t>
    </r>
  </si>
  <si>
    <r>
      <rPr>
        <sz val="10"/>
        <rFont val="宋体"/>
        <family val="3"/>
        <charset val="134"/>
      </rPr>
      <t>（五）就监盘计划与管理层沟通事项</t>
    </r>
  </si>
  <si>
    <r>
      <t xml:space="preserve">  3</t>
    </r>
    <r>
      <rPr>
        <sz val="10"/>
        <rFont val="宋体"/>
        <family val="3"/>
        <charset val="134"/>
      </rPr>
      <t>．审计小组参与人员：</t>
    </r>
    <r>
      <rPr>
        <u/>
        <sz val="10"/>
        <rFont val="Arial Narrow"/>
        <family val="2"/>
      </rPr>
      <t xml:space="preserve">                                                   </t>
    </r>
  </si>
  <si>
    <r>
      <rPr>
        <sz val="10"/>
        <rFont val="宋体"/>
        <family val="3"/>
        <charset val="134"/>
      </rPr>
      <t>（六）针对被审计单位具体情况，需要向管理层提出的监盘的特殊要求：</t>
    </r>
  </si>
  <si>
    <r>
      <rPr>
        <sz val="10"/>
        <rFont val="宋体"/>
        <family val="3"/>
        <charset val="134"/>
      </rPr>
      <t>（七）预计监盘中抽取样本的方法与数量</t>
    </r>
  </si>
  <si>
    <r>
      <rPr>
        <sz val="10"/>
        <rFont val="宋体"/>
        <family val="3"/>
        <charset val="134"/>
      </rPr>
      <t>预计选取数量：</t>
    </r>
    <r>
      <rPr>
        <sz val="10"/>
        <rFont val="Arial Narrow"/>
        <family val="2"/>
      </rPr>
      <t xml:space="preserve">            </t>
    </r>
  </si>
  <si>
    <r>
      <rPr>
        <sz val="10"/>
        <rFont val="宋体"/>
        <family val="3"/>
        <charset val="134"/>
      </rPr>
      <t>（八）实际监盘时点至资产负债表日的推算方法：</t>
    </r>
  </si>
  <si>
    <r>
      <t xml:space="preserve">  1</t>
    </r>
    <r>
      <rPr>
        <sz val="10"/>
        <rFont val="宋体"/>
        <family val="3"/>
        <charset val="134"/>
      </rPr>
      <t>．推断方法说明：</t>
    </r>
    <r>
      <rPr>
        <sz val="10"/>
        <rFont val="Arial Narrow"/>
        <family val="2"/>
      </rPr>
      <t xml:space="preserve">                                                      </t>
    </r>
  </si>
  <si>
    <r>
      <t xml:space="preserve">  2</t>
    </r>
    <r>
      <rPr>
        <sz val="10"/>
        <rFont val="宋体"/>
        <family val="3"/>
        <charset val="134"/>
      </rPr>
      <t>．预计拟要求的盘点复盘比例：</t>
    </r>
    <r>
      <rPr>
        <sz val="10"/>
        <rFont val="Arial Narrow"/>
        <family val="2"/>
      </rPr>
      <t xml:space="preserve">               </t>
    </r>
  </si>
  <si>
    <r>
      <rPr>
        <b/>
        <sz val="10"/>
        <rFont val="宋体"/>
        <family val="3"/>
        <charset val="134"/>
      </rPr>
      <t>一、确定的固定资产存在性认定可能存在重大错报的风险程度：</t>
    </r>
    <phoneticPr fontId="10" type="noConversion"/>
  </si>
  <si>
    <r>
      <rPr>
        <b/>
        <sz val="10"/>
        <rFont val="宋体"/>
        <family val="3"/>
        <charset val="134"/>
      </rPr>
      <t>二、了解被审计单位固定资产期末状况与管理规定：</t>
    </r>
    <phoneticPr fontId="10" type="noConversion"/>
  </si>
  <si>
    <r>
      <rPr>
        <b/>
        <sz val="10"/>
        <rFont val="宋体"/>
        <family val="3"/>
        <charset val="134"/>
      </rPr>
      <t>（一）固定资产的期末状况：</t>
    </r>
    <phoneticPr fontId="10" type="noConversion"/>
  </si>
  <si>
    <r>
      <t xml:space="preserve">  1</t>
    </r>
    <r>
      <rPr>
        <sz val="10"/>
        <rFont val="宋体"/>
        <family val="3"/>
        <charset val="134"/>
      </rPr>
      <t>．期末资产状况：</t>
    </r>
    <r>
      <rPr>
        <sz val="10"/>
        <color rgb="FF0000FF"/>
        <rFont val="宋体"/>
        <family val="3"/>
        <charset val="134"/>
      </rPr>
      <t>截至期末，闲置的资产包括</t>
    </r>
    <r>
      <rPr>
        <sz val="10"/>
        <color rgb="FF0000FF"/>
        <rFont val="Arial Narrow"/>
        <family val="2"/>
      </rPr>
      <t>……………</t>
    </r>
    <r>
      <rPr>
        <sz val="10"/>
        <color rgb="FF0000FF"/>
        <rFont val="宋体"/>
        <family val="3"/>
        <charset val="134"/>
      </rPr>
      <t>，对应的金额</t>
    </r>
    <r>
      <rPr>
        <u/>
        <sz val="10"/>
        <color rgb="FF0000FF"/>
        <rFont val="Arial Narrow"/>
        <family val="2"/>
      </rPr>
      <t xml:space="preserve"> …………</t>
    </r>
    <r>
      <rPr>
        <sz val="10"/>
        <color rgb="FF0000FF"/>
        <rFont val="Arial Narrow"/>
        <family val="2"/>
      </rPr>
      <t xml:space="preserve"> </t>
    </r>
    <phoneticPr fontId="10" type="noConversion"/>
  </si>
  <si>
    <r>
      <t xml:space="preserve">  2</t>
    </r>
    <r>
      <rPr>
        <sz val="10"/>
        <rFont val="宋体"/>
        <family val="3"/>
        <charset val="134"/>
      </rPr>
      <t>．资产存放地点：</t>
    </r>
    <phoneticPr fontId="10" type="noConversion"/>
  </si>
  <si>
    <r>
      <rPr>
        <b/>
        <sz val="10"/>
        <rFont val="宋体"/>
        <family val="3"/>
        <charset val="134"/>
      </rPr>
      <t>类</t>
    </r>
    <r>
      <rPr>
        <b/>
        <sz val="10"/>
        <rFont val="Arial Narrow"/>
        <family val="2"/>
      </rPr>
      <t xml:space="preserve">   </t>
    </r>
    <r>
      <rPr>
        <b/>
        <sz val="10"/>
        <rFont val="宋体"/>
        <family val="3"/>
        <charset val="134"/>
      </rPr>
      <t>别</t>
    </r>
    <phoneticPr fontId="10" type="noConversion"/>
  </si>
  <si>
    <r>
      <rPr>
        <b/>
        <sz val="10"/>
        <rFont val="宋体"/>
        <family val="3"/>
        <charset val="134"/>
      </rPr>
      <t>地点</t>
    </r>
    <phoneticPr fontId="10" type="noConversion"/>
  </si>
  <si>
    <r>
      <t>1</t>
    </r>
    <r>
      <rPr>
        <sz val="10"/>
        <rFont val="宋体"/>
        <family val="3"/>
        <charset val="134"/>
      </rPr>
      <t>．制度名称：</t>
    </r>
    <r>
      <rPr>
        <b/>
        <sz val="10"/>
        <color indexed="12"/>
        <rFont val="宋体"/>
        <family val="3"/>
        <charset val="134"/>
      </rPr>
      <t>（提示：按企业内部控制制度名称填写</t>
    </r>
    <r>
      <rPr>
        <b/>
        <sz val="10"/>
        <rFont val="宋体"/>
        <family val="3"/>
        <charset val="134"/>
      </rPr>
      <t>）</t>
    </r>
    <r>
      <rPr>
        <b/>
        <sz val="10"/>
        <rFont val="Arial Narrow"/>
        <family val="2"/>
      </rPr>
      <t xml:space="preserve">   </t>
    </r>
    <r>
      <rPr>
        <sz val="10"/>
        <rFont val="宋体"/>
        <family val="3"/>
        <charset val="134"/>
      </rPr>
      <t>索引号：（</t>
    </r>
    <r>
      <rPr>
        <sz val="10"/>
        <rFont val="Arial Narrow"/>
        <family val="2"/>
      </rPr>
      <t xml:space="preserve">                </t>
    </r>
    <r>
      <rPr>
        <sz val="10"/>
        <rFont val="宋体"/>
        <family val="3"/>
        <charset val="134"/>
      </rPr>
      <t>）</t>
    </r>
    <phoneticPr fontId="10" type="noConversion"/>
  </si>
  <si>
    <r>
      <rPr>
        <sz val="10"/>
        <rFont val="宋体"/>
        <family val="3"/>
        <charset val="134"/>
      </rPr>
      <t>（</t>
    </r>
    <r>
      <rPr>
        <sz val="10"/>
        <rFont val="Arial Narrow"/>
        <family val="2"/>
      </rPr>
      <t>1</t>
    </r>
    <r>
      <rPr>
        <sz val="10"/>
        <rFont val="宋体"/>
        <family val="3"/>
        <charset val="134"/>
      </rPr>
      <t>）规定盘点的时间与次数：</t>
    </r>
    <r>
      <rPr>
        <u/>
        <sz val="10"/>
        <rFont val="Arial Narrow"/>
        <family val="2"/>
      </rPr>
      <t xml:space="preserve">                                   </t>
    </r>
    <phoneticPr fontId="10" type="noConversion"/>
  </si>
  <si>
    <r>
      <rPr>
        <sz val="10"/>
        <rFont val="宋体"/>
        <family val="3"/>
        <charset val="134"/>
      </rPr>
      <t>（</t>
    </r>
    <r>
      <rPr>
        <sz val="10"/>
        <rFont val="Arial Narrow"/>
        <family val="2"/>
      </rPr>
      <t>2</t>
    </r>
    <r>
      <rPr>
        <sz val="10"/>
        <rFont val="宋体"/>
        <family val="3"/>
        <charset val="134"/>
      </rPr>
      <t>）负责盘点的部门：</t>
    </r>
    <r>
      <rPr>
        <u/>
        <sz val="10"/>
        <rFont val="Arial Narrow"/>
        <family val="2"/>
      </rPr>
      <t xml:space="preserve">                 </t>
    </r>
    <r>
      <rPr>
        <sz val="10"/>
        <rFont val="Arial Narrow"/>
        <family val="2"/>
      </rPr>
      <t xml:space="preserve"> </t>
    </r>
    <phoneticPr fontId="10" type="noConversion"/>
  </si>
  <si>
    <r>
      <rPr>
        <sz val="10"/>
        <rFont val="宋体"/>
        <family val="3"/>
        <charset val="134"/>
      </rPr>
      <t>（</t>
    </r>
    <r>
      <rPr>
        <sz val="10"/>
        <rFont val="Arial Narrow"/>
        <family val="2"/>
      </rPr>
      <t>3</t>
    </r>
    <r>
      <rPr>
        <sz val="10"/>
        <rFont val="宋体"/>
        <family val="3"/>
        <charset val="134"/>
      </rPr>
      <t>）预计安排的盘点人员数量：</t>
    </r>
    <r>
      <rPr>
        <u/>
        <sz val="10"/>
        <rFont val="Arial Narrow"/>
        <family val="2"/>
      </rPr>
      <t xml:space="preserve">                      </t>
    </r>
    <r>
      <rPr>
        <sz val="10"/>
        <rFont val="Arial Narrow"/>
        <family val="2"/>
      </rPr>
      <t xml:space="preserve">   </t>
    </r>
    <phoneticPr fontId="10" type="noConversion"/>
  </si>
  <si>
    <r>
      <t xml:space="preserve"> 1</t>
    </r>
    <r>
      <rPr>
        <sz val="10"/>
        <rFont val="宋体"/>
        <family val="3"/>
        <charset val="134"/>
      </rPr>
      <t>．上一年度监盘时间：</t>
    </r>
    <r>
      <rPr>
        <u/>
        <sz val="10"/>
        <rFont val="Arial Narrow"/>
        <family val="2"/>
      </rPr>
      <t xml:space="preserve">                  </t>
    </r>
    <r>
      <rPr>
        <sz val="10"/>
        <rFont val="Arial Narrow"/>
        <family val="2"/>
      </rPr>
      <t xml:space="preserve"> </t>
    </r>
    <phoneticPr fontId="10" type="noConversion"/>
  </si>
  <si>
    <r>
      <rPr>
        <sz val="10"/>
        <color indexed="12"/>
        <rFont val="宋体"/>
        <family val="3"/>
        <charset val="134"/>
      </rPr>
      <t>（提示：上年度如是本所实施监盘的，应当查阅上一年度工作底稿；如不是本所实施审计的，应当在与前任会计师实施沟通程序中安排本项沟通内容。）</t>
    </r>
    <phoneticPr fontId="10" type="noConversion"/>
  </si>
  <si>
    <r>
      <rPr>
        <b/>
        <sz val="10"/>
        <rFont val="宋体"/>
        <family val="3"/>
        <charset val="134"/>
      </rPr>
      <t>三、评估审计人员的专业胜任能力：</t>
    </r>
    <phoneticPr fontId="10" type="noConversion"/>
  </si>
  <si>
    <r>
      <rPr>
        <sz val="10"/>
        <color indexed="12"/>
        <rFont val="宋体"/>
        <family val="3"/>
        <charset val="134"/>
      </rPr>
      <t>提示：针对特殊类型的存货，应当评估审计人员是否具备专业胜任能力</t>
    </r>
    <phoneticPr fontId="10" type="noConversion"/>
  </si>
  <si>
    <r>
      <rPr>
        <sz val="10"/>
        <rFont val="宋体"/>
        <family val="3"/>
        <charset val="134"/>
      </rPr>
      <t>（二）预计安排监盘人员数量：</t>
    </r>
    <r>
      <rPr>
        <u/>
        <sz val="10"/>
        <rFont val="Arial Narrow"/>
        <family val="2"/>
      </rPr>
      <t xml:space="preserve">              </t>
    </r>
    <r>
      <rPr>
        <sz val="10"/>
        <rFont val="Arial Narrow"/>
        <family val="2"/>
      </rPr>
      <t xml:space="preserve">    </t>
    </r>
    <phoneticPr fontId="10" type="noConversion"/>
  </si>
  <si>
    <r>
      <rPr>
        <sz val="10"/>
        <rFont val="宋体"/>
        <family val="3"/>
        <charset val="134"/>
      </rPr>
      <t>（三）预计监盘的固定资产范围：</t>
    </r>
    <phoneticPr fontId="10" type="noConversion"/>
  </si>
  <si>
    <r>
      <t>1.</t>
    </r>
    <r>
      <rPr>
        <sz val="10"/>
        <rFont val="宋体"/>
        <family val="3"/>
        <charset val="134"/>
      </rPr>
      <t>类别范围</t>
    </r>
    <phoneticPr fontId="10" type="noConversion"/>
  </si>
  <si>
    <r>
      <rPr>
        <b/>
        <sz val="10"/>
        <rFont val="宋体"/>
        <family val="3"/>
        <charset val="134"/>
      </rPr>
      <t>类别</t>
    </r>
    <phoneticPr fontId="10" type="noConversion"/>
  </si>
  <si>
    <r>
      <rPr>
        <b/>
        <sz val="10"/>
        <rFont val="宋体"/>
        <family val="3"/>
        <charset val="134"/>
      </rPr>
      <t>减值准备</t>
    </r>
    <phoneticPr fontId="10" type="noConversion"/>
  </si>
  <si>
    <r>
      <rPr>
        <b/>
        <sz val="10"/>
        <rFont val="宋体"/>
        <family val="3"/>
        <charset val="134"/>
      </rPr>
      <t>数量</t>
    </r>
    <phoneticPr fontId="10" type="noConversion"/>
  </si>
  <si>
    <r>
      <rPr>
        <b/>
        <sz val="10"/>
        <rFont val="宋体"/>
        <family val="3"/>
        <charset val="134"/>
      </rPr>
      <t>计划监盘数量</t>
    </r>
    <phoneticPr fontId="10" type="noConversion"/>
  </si>
  <si>
    <r>
      <rPr>
        <b/>
        <sz val="10"/>
        <rFont val="宋体"/>
        <family val="3"/>
        <charset val="134"/>
      </rPr>
      <t>计划监盘金额</t>
    </r>
    <phoneticPr fontId="10" type="noConversion"/>
  </si>
  <si>
    <r>
      <rPr>
        <b/>
        <sz val="10"/>
        <rFont val="宋体"/>
        <family val="3"/>
        <charset val="134"/>
      </rPr>
      <t>监盘比例</t>
    </r>
    <phoneticPr fontId="10" type="noConversion"/>
  </si>
  <si>
    <r>
      <t>2</t>
    </r>
    <r>
      <rPr>
        <sz val="10"/>
        <rFont val="宋体"/>
        <family val="3"/>
        <charset val="134"/>
      </rPr>
      <t>．地点范围：</t>
    </r>
    <r>
      <rPr>
        <u/>
        <sz val="10"/>
        <rFont val="Arial Narrow"/>
        <family val="2"/>
      </rPr>
      <t xml:space="preserve">                                                           </t>
    </r>
    <phoneticPr fontId="10" type="noConversion"/>
  </si>
  <si>
    <r>
      <t xml:space="preserve">  1</t>
    </r>
    <r>
      <rPr>
        <sz val="10"/>
        <rFont val="宋体"/>
        <family val="3"/>
        <charset val="134"/>
      </rPr>
      <t>．时间：</t>
    </r>
    <r>
      <rPr>
        <u/>
        <sz val="10"/>
        <rFont val="Arial Narrow"/>
        <family val="2"/>
      </rPr>
      <t xml:space="preserve">                 </t>
    </r>
    <r>
      <rPr>
        <sz val="10"/>
        <rFont val="Arial Narrow"/>
        <family val="2"/>
      </rPr>
      <t xml:space="preserve">       </t>
    </r>
    <phoneticPr fontId="10" type="noConversion"/>
  </si>
  <si>
    <r>
      <t xml:space="preserve"> 2.</t>
    </r>
    <r>
      <rPr>
        <sz val="10"/>
        <rFont val="宋体"/>
        <family val="3"/>
        <charset val="134"/>
      </rPr>
      <t>管理层人员：</t>
    </r>
    <r>
      <rPr>
        <sz val="10"/>
        <rFont val="Arial Narrow"/>
        <family val="2"/>
      </rPr>
      <t xml:space="preserve">                       </t>
    </r>
    <phoneticPr fontId="10" type="noConversion"/>
  </si>
  <si>
    <r>
      <t xml:space="preserve">  1</t>
    </r>
    <r>
      <rPr>
        <sz val="10"/>
        <rFont val="宋体"/>
        <family val="3"/>
        <charset val="134"/>
      </rPr>
      <t>．从会计明细账簿中选取样本的方法：</t>
    </r>
    <r>
      <rPr>
        <u/>
        <sz val="10"/>
        <rFont val="Arial Narrow"/>
        <family val="2"/>
      </rPr>
      <t xml:space="preserve">          </t>
    </r>
    <r>
      <rPr>
        <sz val="10.5"/>
        <rFont val="仿宋_GB2312"/>
        <family val="3"/>
        <charset val="134"/>
      </rPr>
      <t/>
    </r>
    <phoneticPr fontId="10" type="noConversion"/>
  </si>
  <si>
    <r>
      <t xml:space="preserve">  2</t>
    </r>
    <r>
      <rPr>
        <sz val="10"/>
        <rFont val="宋体"/>
        <family val="3"/>
        <charset val="134"/>
      </rPr>
      <t>．从实际固定资产中选取样本的方法：</t>
    </r>
    <r>
      <rPr>
        <u/>
        <sz val="10"/>
        <rFont val="Arial Narrow"/>
        <family val="2"/>
      </rPr>
      <t xml:space="preserve">          </t>
    </r>
    <r>
      <rPr>
        <sz val="10.5"/>
        <rFont val="仿宋_GB2312"/>
        <family val="3"/>
        <charset val="134"/>
      </rPr>
      <t/>
    </r>
    <phoneticPr fontId="10" type="noConversion"/>
  </si>
  <si>
    <r>
      <rPr>
        <b/>
        <sz val="10"/>
        <rFont val="宋体"/>
        <family val="3"/>
        <charset val="134"/>
      </rPr>
      <t>固定资产名称</t>
    </r>
    <r>
      <rPr>
        <b/>
        <sz val="10"/>
        <rFont val="Arial Narrow"/>
        <family val="2"/>
      </rPr>
      <t>/</t>
    </r>
    <r>
      <rPr>
        <b/>
        <sz val="10"/>
        <rFont val="宋体"/>
        <family val="3"/>
        <charset val="134"/>
      </rPr>
      <t>类别</t>
    </r>
    <phoneticPr fontId="10" type="noConversion"/>
  </si>
  <si>
    <r>
      <rPr>
        <b/>
        <sz val="10"/>
        <rFont val="宋体"/>
        <family val="3"/>
        <charset val="134"/>
      </rPr>
      <t>资产编号</t>
    </r>
    <phoneticPr fontId="10" type="noConversion"/>
  </si>
  <si>
    <r>
      <rPr>
        <b/>
        <sz val="10"/>
        <rFont val="宋体"/>
        <family val="3"/>
        <charset val="134"/>
      </rPr>
      <t>规格</t>
    </r>
    <phoneticPr fontId="10" type="noConversion"/>
  </si>
  <si>
    <r>
      <rPr>
        <b/>
        <sz val="10"/>
        <rFont val="宋体"/>
        <family val="3"/>
        <charset val="134"/>
      </rPr>
      <t>单位</t>
    </r>
    <phoneticPr fontId="10" type="noConversion"/>
  </si>
  <si>
    <r>
      <rPr>
        <b/>
        <sz val="10"/>
        <rFont val="宋体"/>
        <family val="3"/>
        <charset val="134"/>
      </rPr>
      <t>单价</t>
    </r>
    <phoneticPr fontId="10" type="noConversion"/>
  </si>
  <si>
    <r>
      <rPr>
        <b/>
        <sz val="10"/>
        <rFont val="宋体"/>
        <family val="3"/>
        <charset val="134"/>
      </rPr>
      <t>盘点前财务账面记录</t>
    </r>
  </si>
  <si>
    <r>
      <rPr>
        <b/>
        <sz val="10"/>
        <rFont val="宋体"/>
        <family val="3"/>
        <charset val="134"/>
      </rPr>
      <t>差异</t>
    </r>
    <phoneticPr fontId="10" type="noConversion"/>
  </si>
  <si>
    <r>
      <rPr>
        <b/>
        <sz val="10"/>
        <rFont val="宋体"/>
        <family val="3"/>
        <charset val="134"/>
      </rPr>
      <t>数量</t>
    </r>
  </si>
  <si>
    <r>
      <rPr>
        <b/>
        <sz val="10"/>
        <rFont val="宋体"/>
        <family val="3"/>
        <charset val="134"/>
      </rPr>
      <t>期末固定资产原值合计：</t>
    </r>
    <phoneticPr fontId="10" type="noConversion"/>
  </si>
  <si>
    <r>
      <rPr>
        <b/>
        <sz val="10"/>
        <rFont val="宋体"/>
        <family val="3"/>
        <charset val="134"/>
      </rPr>
      <t>抽取样本占期末原值合计的比例：（</t>
    </r>
    <r>
      <rPr>
        <b/>
        <sz val="10"/>
        <rFont val="Arial Narrow"/>
        <family val="2"/>
      </rPr>
      <t>%</t>
    </r>
    <r>
      <rPr>
        <b/>
        <sz val="10"/>
        <rFont val="宋体"/>
        <family val="3"/>
        <charset val="134"/>
      </rPr>
      <t>）</t>
    </r>
    <phoneticPr fontId="10" type="noConversion"/>
  </si>
  <si>
    <r>
      <rPr>
        <b/>
        <sz val="10"/>
        <rFont val="宋体"/>
        <family val="3"/>
        <charset val="134"/>
      </rPr>
      <t>四、审计说明：</t>
    </r>
    <phoneticPr fontId="10" type="noConversion"/>
  </si>
  <si>
    <r>
      <t>2</t>
    </r>
    <r>
      <rPr>
        <sz val="10"/>
        <color indexed="12"/>
        <rFont val="宋体"/>
        <family val="3"/>
        <charset val="134"/>
      </rPr>
      <t>、财务账面记录与资产管理管理部门账面记录应一致，若存在差异应调整一致。</t>
    </r>
    <phoneticPr fontId="10" type="noConversion"/>
  </si>
  <si>
    <r>
      <t>3</t>
    </r>
    <r>
      <rPr>
        <sz val="10"/>
        <color indexed="12"/>
        <rFont val="宋体"/>
        <family val="3"/>
        <charset val="134"/>
      </rPr>
      <t>、财务账面记录与实际盘点记录的差异构成盘盈</t>
    </r>
    <r>
      <rPr>
        <sz val="10"/>
        <color indexed="12"/>
        <rFont val="Arial Narrow"/>
        <family val="2"/>
      </rPr>
      <t>/</t>
    </r>
    <r>
      <rPr>
        <sz val="10"/>
        <color indexed="12"/>
        <rFont val="宋体"/>
        <family val="3"/>
        <charset val="134"/>
      </rPr>
      <t>盘亏，应根据具体原因分析处理。应说明企业的处理结果。</t>
    </r>
  </si>
  <si>
    <r>
      <t>5</t>
    </r>
    <r>
      <rPr>
        <sz val="10"/>
        <color indexed="12"/>
        <rFont val="宋体"/>
        <family val="3"/>
        <charset val="134"/>
      </rPr>
      <t>、盘点时应关注资产的品质状况（影响减值准备的计提）。</t>
    </r>
    <phoneticPr fontId="10" type="noConversion"/>
  </si>
  <si>
    <r>
      <rPr>
        <b/>
        <sz val="10"/>
        <rFont val="宋体"/>
        <family val="3"/>
        <charset val="134"/>
      </rPr>
      <t>一、审计目标：</t>
    </r>
    <phoneticPr fontId="37" type="noConversion"/>
  </si>
  <si>
    <r>
      <rPr>
        <sz val="10"/>
        <rFont val="宋体"/>
        <family val="3"/>
        <charset val="134"/>
      </rPr>
      <t>测试总体：</t>
    </r>
    <phoneticPr fontId="10"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</si>
  <si>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0" type="noConversion"/>
  </si>
  <si>
    <r>
      <rPr>
        <sz val="10"/>
        <rFont val="宋体"/>
        <family val="3"/>
        <charset val="134"/>
      </rPr>
      <t>确定的抽样样本量：</t>
    </r>
    <phoneticPr fontId="10"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</si>
  <si>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0"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</si>
  <si>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0"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</si>
  <si>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0" type="noConversion"/>
  </si>
  <si>
    <r>
      <rPr>
        <b/>
        <sz val="10"/>
        <rFont val="宋体"/>
        <family val="3"/>
        <charset val="134"/>
      </rPr>
      <t>三、审计过程：</t>
    </r>
    <phoneticPr fontId="37" type="noConversion"/>
  </si>
  <si>
    <r>
      <rPr>
        <sz val="10"/>
        <rFont val="宋体"/>
        <family val="3"/>
        <charset val="134"/>
      </rPr>
      <t>盘点时间：</t>
    </r>
    <r>
      <rPr>
        <sz val="10"/>
        <rFont val="Arial Narrow"/>
        <family val="2"/>
      </rPr>
      <t>__________________</t>
    </r>
    <phoneticPr fontId="10" type="noConversion"/>
  </si>
  <si>
    <r>
      <rPr>
        <b/>
        <sz val="10"/>
        <rFont val="宋体"/>
        <family val="3"/>
        <charset val="134"/>
      </rPr>
      <t>企业盘点记录数量</t>
    </r>
    <phoneticPr fontId="10" type="noConversion"/>
  </si>
  <si>
    <r>
      <rPr>
        <b/>
        <sz val="10"/>
        <rFont val="宋体"/>
        <family val="3"/>
        <charset val="134"/>
      </rPr>
      <t>抽盘数量</t>
    </r>
    <phoneticPr fontId="10" type="noConversion"/>
  </si>
  <si>
    <r>
      <rPr>
        <b/>
        <sz val="10"/>
        <rFont val="宋体"/>
        <family val="3"/>
        <charset val="134"/>
      </rPr>
      <t>抽盘与账面差异（</t>
    </r>
    <r>
      <rPr>
        <b/>
        <sz val="10"/>
        <rFont val="Arial Narrow"/>
        <family val="2"/>
      </rPr>
      <t>+</t>
    </r>
    <r>
      <rPr>
        <b/>
        <sz val="10"/>
        <rFont val="宋体"/>
        <family val="3"/>
        <charset val="134"/>
      </rPr>
      <t>盈</t>
    </r>
    <r>
      <rPr>
        <b/>
        <sz val="10"/>
        <rFont val="Arial Narrow"/>
        <family val="2"/>
      </rPr>
      <t>-</t>
    </r>
    <r>
      <rPr>
        <b/>
        <sz val="10"/>
        <rFont val="宋体"/>
        <family val="3"/>
        <charset val="134"/>
      </rPr>
      <t>亏）</t>
    </r>
    <phoneticPr fontId="10" type="noConversion"/>
  </si>
  <si>
    <r>
      <rPr>
        <b/>
        <sz val="10"/>
        <rFont val="宋体"/>
        <family val="3"/>
        <charset val="134"/>
      </rPr>
      <t>抽盘与企业盘点差异</t>
    </r>
    <phoneticPr fontId="10" type="noConversion"/>
  </si>
  <si>
    <r>
      <rPr>
        <b/>
        <sz val="10"/>
        <rFont val="宋体"/>
        <family val="3"/>
        <charset val="134"/>
      </rPr>
      <t>企业盘点与账面差异</t>
    </r>
    <phoneticPr fontId="10" type="noConversion"/>
  </si>
  <si>
    <r>
      <rPr>
        <b/>
        <sz val="10"/>
        <rFont val="宋体"/>
        <family val="3"/>
        <charset val="134"/>
      </rPr>
      <t>单位</t>
    </r>
    <phoneticPr fontId="10" type="noConversion"/>
  </si>
  <si>
    <r>
      <rPr>
        <b/>
        <sz val="10"/>
        <rFont val="宋体"/>
        <family val="3"/>
        <charset val="134"/>
      </rPr>
      <t>企业盘点记录数量</t>
    </r>
    <phoneticPr fontId="10" type="noConversion"/>
  </si>
  <si>
    <r>
      <rPr>
        <b/>
        <sz val="10"/>
        <rFont val="宋体"/>
        <family val="3"/>
        <charset val="134"/>
      </rPr>
      <t>抽盘与企业盘点差异</t>
    </r>
    <phoneticPr fontId="10" type="noConversion"/>
  </si>
  <si>
    <r>
      <t>1</t>
    </r>
    <r>
      <rPr>
        <sz val="10"/>
        <color indexed="12"/>
        <rFont val="宋体"/>
        <family val="3"/>
        <charset val="134"/>
      </rPr>
      <t>、本表可作为固定资产盘点汇总表或盘点明细表或固定资产抽盘表。</t>
    </r>
    <phoneticPr fontId="10" type="noConversion"/>
  </si>
  <si>
    <r>
      <t>4</t>
    </r>
    <r>
      <rPr>
        <sz val="10"/>
        <color indexed="12"/>
        <rFont val="宋体"/>
        <family val="3"/>
        <charset val="134"/>
      </rPr>
      <t>、盘点时，应关注易移动的</t>
    </r>
    <r>
      <rPr>
        <sz val="10"/>
        <color indexed="12"/>
        <rFont val="Arial Narrow"/>
        <family val="2"/>
      </rPr>
      <t>“</t>
    </r>
    <r>
      <rPr>
        <sz val="10"/>
        <color indexed="12"/>
        <rFont val="宋体"/>
        <family val="3"/>
        <charset val="134"/>
      </rPr>
      <t>存量资产</t>
    </r>
    <r>
      <rPr>
        <sz val="10"/>
        <color indexed="12"/>
        <rFont val="Arial Narrow"/>
        <family val="2"/>
      </rPr>
      <t>”</t>
    </r>
    <r>
      <rPr>
        <sz val="10"/>
        <color indexed="12"/>
        <rFont val="宋体"/>
        <family val="3"/>
        <charset val="134"/>
      </rPr>
      <t>及可能发生减值的</t>
    </r>
    <r>
      <rPr>
        <sz val="10"/>
        <color indexed="12"/>
        <rFont val="Arial Narrow"/>
        <family val="2"/>
      </rPr>
      <t>“</t>
    </r>
    <r>
      <rPr>
        <sz val="10"/>
        <color indexed="12"/>
        <rFont val="宋体"/>
        <family val="3"/>
        <charset val="134"/>
      </rPr>
      <t>存量资产</t>
    </r>
    <r>
      <rPr>
        <sz val="10"/>
        <color indexed="12"/>
        <rFont val="Arial Narrow"/>
        <family val="2"/>
      </rPr>
      <t>”</t>
    </r>
    <r>
      <rPr>
        <sz val="10"/>
        <color indexed="12"/>
        <rFont val="宋体"/>
        <family val="3"/>
        <charset val="134"/>
      </rPr>
      <t>；</t>
    </r>
    <phoneticPr fontId="10" type="noConversion"/>
  </si>
  <si>
    <r>
      <rPr>
        <b/>
        <sz val="10"/>
        <rFont val="宋体"/>
        <family val="3"/>
        <charset val="134"/>
      </rPr>
      <t>二、主要资产存放情况（房屋建筑物及主要机器设备）：</t>
    </r>
    <phoneticPr fontId="10" type="noConversion"/>
  </si>
  <si>
    <r>
      <rPr>
        <sz val="10"/>
        <color indexed="12"/>
        <rFont val="宋体"/>
        <family val="3"/>
        <charset val="134"/>
      </rPr>
      <t>提示：房屋建筑物地点请核对房产证记载的地点，有多处房产的，请逐一说明</t>
    </r>
    <phoneticPr fontId="10" type="noConversion"/>
  </si>
  <si>
    <r>
      <rPr>
        <b/>
        <sz val="10"/>
        <rFont val="宋体"/>
        <family val="3"/>
        <charset val="134"/>
      </rPr>
      <t>序号</t>
    </r>
    <phoneticPr fontId="10" type="noConversion"/>
  </si>
  <si>
    <r>
      <rPr>
        <b/>
        <sz val="10"/>
        <rFont val="宋体"/>
        <family val="3"/>
        <charset val="134"/>
      </rPr>
      <t>资产类别</t>
    </r>
    <phoneticPr fontId="10" type="noConversion"/>
  </si>
  <si>
    <r>
      <rPr>
        <b/>
        <sz val="10"/>
        <rFont val="宋体"/>
        <family val="3"/>
        <charset val="134"/>
      </rPr>
      <t>资产名称</t>
    </r>
    <phoneticPr fontId="10" type="noConversion"/>
  </si>
  <si>
    <r>
      <rPr>
        <b/>
        <sz val="10"/>
        <rFont val="宋体"/>
        <family val="3"/>
        <charset val="134"/>
      </rPr>
      <t>存放地点</t>
    </r>
    <phoneticPr fontId="10" type="noConversion"/>
  </si>
  <si>
    <r>
      <rPr>
        <b/>
        <sz val="10"/>
        <rFont val="宋体"/>
        <family val="3"/>
        <charset val="134"/>
      </rPr>
      <t>项目</t>
    </r>
    <phoneticPr fontId="10" type="noConversion"/>
  </si>
  <si>
    <r>
      <rPr>
        <sz val="10"/>
        <rFont val="宋体"/>
        <family val="3"/>
        <charset val="134"/>
      </rPr>
      <t>资产管理部门：</t>
    </r>
    <phoneticPr fontId="10" type="noConversion"/>
  </si>
  <si>
    <r>
      <rPr>
        <sz val="10"/>
        <rFont val="宋体"/>
        <family val="3"/>
        <charset val="134"/>
      </rPr>
      <t>管理人员：</t>
    </r>
    <phoneticPr fontId="10" type="noConversion"/>
  </si>
  <si>
    <r>
      <rPr>
        <sz val="10"/>
        <rFont val="宋体"/>
        <family val="3"/>
        <charset val="134"/>
      </rPr>
      <t>资产是否具有管理标识：</t>
    </r>
    <phoneticPr fontId="10" type="noConversion"/>
  </si>
  <si>
    <r>
      <rPr>
        <sz val="10"/>
        <rFont val="宋体"/>
        <family val="3"/>
        <charset val="134"/>
      </rPr>
      <t>资产是否具有定期保养制度：</t>
    </r>
    <phoneticPr fontId="10" type="noConversion"/>
  </si>
  <si>
    <r>
      <rPr>
        <sz val="10"/>
        <rFont val="宋体"/>
        <family val="3"/>
        <charset val="134"/>
      </rPr>
      <t>大修理周期时间：</t>
    </r>
    <phoneticPr fontId="10" type="noConversion"/>
  </si>
  <si>
    <r>
      <rPr>
        <sz val="10"/>
        <rFont val="宋体"/>
        <family val="3"/>
        <charset val="134"/>
      </rPr>
      <t>资产明细账（卡）是否完整：</t>
    </r>
    <phoneticPr fontId="10" type="noConversion"/>
  </si>
  <si>
    <r>
      <rPr>
        <sz val="10"/>
        <rFont val="宋体"/>
        <family val="3"/>
        <charset val="134"/>
      </rPr>
      <t>资产明细账（卡）的各项记录是否完整：</t>
    </r>
    <phoneticPr fontId="10" type="noConversion"/>
  </si>
  <si>
    <r>
      <t>1</t>
    </r>
    <r>
      <rPr>
        <b/>
        <sz val="10"/>
        <rFont val="宋体"/>
        <family val="3"/>
        <charset val="134"/>
      </rPr>
      <t>．</t>
    </r>
    <r>
      <rPr>
        <b/>
        <sz val="10"/>
        <rFont val="Arial Narrow"/>
        <family val="2"/>
      </rPr>
      <t xml:space="preserve"> </t>
    </r>
    <r>
      <rPr>
        <b/>
        <sz val="10"/>
        <rFont val="宋体"/>
        <family val="3"/>
        <charset val="134"/>
      </rPr>
      <t>被审计单位的人员：</t>
    </r>
    <r>
      <rPr>
        <b/>
        <sz val="10"/>
        <rFont val="Arial Narrow"/>
        <family val="2"/>
      </rPr>
      <t xml:space="preserve">      </t>
    </r>
    <phoneticPr fontId="10" type="noConversion"/>
  </si>
  <si>
    <r>
      <rPr>
        <b/>
        <sz val="10"/>
        <rFont val="宋体"/>
        <family val="3"/>
        <charset val="134"/>
      </rPr>
      <t>盘点人员所属部门</t>
    </r>
    <phoneticPr fontId="10" type="noConversion"/>
  </si>
  <si>
    <r>
      <rPr>
        <b/>
        <sz val="10"/>
        <rFont val="宋体"/>
        <family val="3"/>
        <charset val="134"/>
      </rPr>
      <t>人员数量</t>
    </r>
    <phoneticPr fontId="10" type="noConversion"/>
  </si>
  <si>
    <r>
      <rPr>
        <b/>
        <sz val="10"/>
        <rFont val="宋体"/>
        <family val="3"/>
        <charset val="134"/>
      </rPr>
      <t>人员名称</t>
    </r>
    <phoneticPr fontId="10" type="noConversion"/>
  </si>
  <si>
    <r>
      <rPr>
        <b/>
        <sz val="10"/>
        <rFont val="宋体"/>
        <family val="3"/>
        <charset val="134"/>
      </rPr>
      <t>所负责的部分</t>
    </r>
    <phoneticPr fontId="10" type="noConversion"/>
  </si>
  <si>
    <r>
      <rPr>
        <sz val="10"/>
        <rFont val="宋体"/>
        <family val="3"/>
        <charset val="134"/>
      </rPr>
      <t>（</t>
    </r>
    <r>
      <rPr>
        <sz val="10"/>
        <rFont val="Arial Narrow"/>
        <family val="2"/>
      </rPr>
      <t>1</t>
    </r>
    <r>
      <rPr>
        <sz val="10"/>
        <rFont val="宋体"/>
        <family val="3"/>
        <charset val="134"/>
      </rPr>
      <t>）资产明细账（卡）</t>
    </r>
    <r>
      <rPr>
        <sz val="10"/>
        <rFont val="Arial Narrow"/>
        <family val="2"/>
      </rPr>
      <t xml:space="preserve"> </t>
    </r>
    <r>
      <rPr>
        <sz val="10"/>
        <rFont val="宋体"/>
        <family val="3"/>
        <charset val="134"/>
      </rPr>
      <t>是否获取：</t>
    </r>
    <r>
      <rPr>
        <sz val="10"/>
        <rFont val="Arial Narrow"/>
        <family val="2"/>
      </rPr>
      <t xml:space="preserve">   </t>
    </r>
    <r>
      <rPr>
        <u/>
        <sz val="10"/>
        <rFont val="Arial Narrow"/>
        <family val="2"/>
      </rPr>
      <t xml:space="preserve">            </t>
    </r>
    <r>
      <rPr>
        <sz val="10"/>
        <rFont val="宋体"/>
        <family val="3"/>
        <charset val="134"/>
      </rPr>
      <t/>
    </r>
    <phoneticPr fontId="10" type="noConversion"/>
  </si>
  <si>
    <r>
      <t xml:space="preserve"> </t>
    </r>
    <r>
      <rPr>
        <sz val="10"/>
        <rFont val="宋体"/>
        <family val="3"/>
        <charset val="134"/>
      </rPr>
      <t>索引：</t>
    </r>
    <phoneticPr fontId="10" type="noConversion"/>
  </si>
  <si>
    <r>
      <rPr>
        <sz val="10"/>
        <rFont val="宋体"/>
        <family val="3"/>
        <charset val="134"/>
      </rPr>
      <t>（</t>
    </r>
    <r>
      <rPr>
        <sz val="10"/>
        <rFont val="Arial Narrow"/>
        <family val="2"/>
      </rPr>
      <t>2</t>
    </r>
    <r>
      <rPr>
        <sz val="10"/>
        <rFont val="宋体"/>
        <family val="3"/>
        <charset val="134"/>
      </rPr>
      <t>）固定资产管理制度</t>
    </r>
    <r>
      <rPr>
        <sz val="10"/>
        <rFont val="Arial Narrow"/>
        <family val="2"/>
      </rPr>
      <t xml:space="preserve"> </t>
    </r>
    <r>
      <rPr>
        <sz val="10"/>
        <rFont val="宋体"/>
        <family val="3"/>
        <charset val="134"/>
      </rPr>
      <t>是否获取：</t>
    </r>
    <phoneticPr fontId="10" type="noConversion"/>
  </si>
  <si>
    <r>
      <rPr>
        <sz val="10"/>
        <rFont val="宋体"/>
        <family val="3"/>
        <charset val="134"/>
      </rPr>
      <t>（</t>
    </r>
    <r>
      <rPr>
        <sz val="10"/>
        <rFont val="Arial Narrow"/>
        <family val="2"/>
      </rPr>
      <t>3</t>
    </r>
    <r>
      <rPr>
        <sz val="10"/>
        <rFont val="宋体"/>
        <family val="3"/>
        <charset val="134"/>
      </rPr>
      <t>）固定资产维修制度是否获取：</t>
    </r>
    <phoneticPr fontId="10" type="noConversion"/>
  </si>
  <si>
    <r>
      <t xml:space="preserve"> </t>
    </r>
    <r>
      <rPr>
        <sz val="10"/>
        <rFont val="宋体"/>
        <family val="3"/>
        <charset val="134"/>
      </rPr>
      <t>索引：</t>
    </r>
    <phoneticPr fontId="10" type="noConversion"/>
  </si>
  <si>
    <r>
      <rPr>
        <sz val="10"/>
        <rFont val="宋体"/>
        <family val="3"/>
        <charset val="134"/>
      </rPr>
      <t>（</t>
    </r>
    <r>
      <rPr>
        <sz val="10"/>
        <rFont val="Arial Narrow"/>
        <family val="2"/>
      </rPr>
      <t>4</t>
    </r>
    <r>
      <rPr>
        <sz val="10"/>
        <rFont val="宋体"/>
        <family val="3"/>
        <charset val="134"/>
      </rPr>
      <t>）获取或编制资产位置简图：</t>
    </r>
    <r>
      <rPr>
        <u/>
        <sz val="10"/>
        <rFont val="宋体"/>
        <family val="3"/>
        <charset val="134"/>
      </rPr>
      <t/>
    </r>
    <phoneticPr fontId="10" type="noConversion"/>
  </si>
  <si>
    <r>
      <rPr>
        <sz val="10"/>
        <rFont val="宋体"/>
        <family val="3"/>
        <charset val="134"/>
      </rPr>
      <t>实际监盘（盘点）日：</t>
    </r>
    <r>
      <rPr>
        <u/>
        <sz val="10"/>
        <rFont val="宋体"/>
        <family val="3"/>
        <charset val="134"/>
      </rPr>
      <t/>
    </r>
    <phoneticPr fontId="10" type="noConversion"/>
  </si>
  <si>
    <r>
      <rPr>
        <sz val="10"/>
        <rFont val="宋体"/>
        <family val="3"/>
        <charset val="134"/>
      </rPr>
      <t>开始时间：</t>
    </r>
    <phoneticPr fontId="10" type="noConversion"/>
  </si>
  <si>
    <r>
      <rPr>
        <sz val="10"/>
        <rFont val="宋体"/>
        <family val="3"/>
        <charset val="134"/>
      </rPr>
      <t>结束时间：</t>
    </r>
    <r>
      <rPr>
        <sz val="10"/>
        <rFont val="Arial Narrow"/>
        <family val="2"/>
      </rPr>
      <t xml:space="preserve"> </t>
    </r>
    <phoneticPr fontId="10" type="noConversion"/>
  </si>
  <si>
    <r>
      <rPr>
        <sz val="10"/>
        <rFont val="宋体"/>
        <family val="3"/>
        <charset val="134"/>
      </rPr>
      <t>部门：</t>
    </r>
    <r>
      <rPr>
        <sz val="10"/>
        <rFont val="Arial Narrow"/>
        <family val="2"/>
      </rPr>
      <t xml:space="preserve"> </t>
    </r>
    <r>
      <rPr>
        <u/>
        <sz val="10"/>
        <rFont val="Arial Narrow"/>
        <family val="2"/>
      </rPr>
      <t xml:space="preserve">          </t>
    </r>
    <r>
      <rPr>
        <sz val="10"/>
        <rFont val="Arial Narrow"/>
        <family val="2"/>
      </rPr>
      <t xml:space="preserve">   </t>
    </r>
    <phoneticPr fontId="10" type="noConversion"/>
  </si>
  <si>
    <r>
      <rPr>
        <sz val="10"/>
        <rFont val="宋体"/>
        <family val="3"/>
        <charset val="134"/>
      </rPr>
      <t>姓名：</t>
    </r>
    <r>
      <rPr>
        <sz val="10"/>
        <rFont val="Arial Narrow"/>
        <family val="2"/>
      </rPr>
      <t xml:space="preserve">            </t>
    </r>
    <phoneticPr fontId="10" type="noConversion"/>
  </si>
  <si>
    <r>
      <rPr>
        <sz val="10"/>
        <rFont val="宋体"/>
        <family val="3"/>
        <charset val="134"/>
      </rPr>
      <t>部门：</t>
    </r>
    <r>
      <rPr>
        <sz val="10"/>
        <rFont val="Arial Narrow"/>
        <family val="2"/>
      </rPr>
      <t xml:space="preserve"> </t>
    </r>
    <r>
      <rPr>
        <u/>
        <sz val="10"/>
        <rFont val="Arial Narrow"/>
        <family val="2"/>
      </rPr>
      <t xml:space="preserve">          </t>
    </r>
    <r>
      <rPr>
        <sz val="10"/>
        <rFont val="Arial Narrow"/>
        <family val="2"/>
      </rPr>
      <t xml:space="preserve">   </t>
    </r>
    <phoneticPr fontId="10" type="noConversion"/>
  </si>
  <si>
    <r>
      <rPr>
        <sz val="10"/>
        <rFont val="宋体"/>
        <family val="3"/>
        <charset val="134"/>
      </rPr>
      <t>姓名：</t>
    </r>
    <r>
      <rPr>
        <sz val="10"/>
        <rFont val="Arial Narrow"/>
        <family val="2"/>
      </rPr>
      <t xml:space="preserve">            </t>
    </r>
    <phoneticPr fontId="10" type="noConversion"/>
  </si>
  <si>
    <r>
      <rPr>
        <sz val="10"/>
        <rFont val="宋体"/>
        <family val="3"/>
        <charset val="134"/>
      </rPr>
      <t>姓名：</t>
    </r>
    <r>
      <rPr>
        <sz val="10"/>
        <rFont val="Arial Narrow"/>
        <family val="2"/>
      </rPr>
      <t xml:space="preserve">            </t>
    </r>
    <phoneticPr fontId="10" type="noConversion"/>
  </si>
  <si>
    <r>
      <t xml:space="preserve"> </t>
    </r>
    <r>
      <rPr>
        <sz val="10"/>
        <rFont val="宋体"/>
        <family val="3"/>
        <charset val="134"/>
      </rPr>
      <t>盘点人员共分</t>
    </r>
    <r>
      <rPr>
        <sz val="10"/>
        <rFont val="Arial Narrow"/>
        <family val="2"/>
      </rPr>
      <t xml:space="preserve"> </t>
    </r>
    <r>
      <rPr>
        <u/>
        <sz val="10"/>
        <rFont val="Arial Narrow"/>
        <family val="2"/>
      </rPr>
      <t xml:space="preserve">          </t>
    </r>
    <phoneticPr fontId="10" type="noConversion"/>
  </si>
  <si>
    <r>
      <rPr>
        <sz val="10"/>
        <rFont val="宋体"/>
        <family val="3"/>
        <charset val="134"/>
      </rPr>
      <t>第一组：</t>
    </r>
    <r>
      <rPr>
        <u/>
        <sz val="10"/>
        <rFont val="Arial Narrow"/>
        <family val="2"/>
      </rPr>
      <t xml:space="preserve">             </t>
    </r>
    <r>
      <rPr>
        <sz val="10"/>
        <rFont val="宋体"/>
        <family val="3"/>
        <charset val="134"/>
      </rPr>
      <t/>
    </r>
    <phoneticPr fontId="10" type="noConversion"/>
  </si>
  <si>
    <r>
      <rPr>
        <sz val="10"/>
        <rFont val="宋体"/>
        <family val="3"/>
        <charset val="134"/>
      </rPr>
      <t>点数并报出型号、规格，</t>
    </r>
    <r>
      <rPr>
        <sz val="10"/>
        <rFont val="Arial Narrow"/>
        <family val="2"/>
      </rPr>
      <t xml:space="preserve">                 </t>
    </r>
    <phoneticPr fontId="10" type="noConversion"/>
  </si>
  <si>
    <r>
      <rPr>
        <sz val="10"/>
        <rFont val="宋体"/>
        <family val="3"/>
        <charset val="134"/>
      </rPr>
      <t>第二组：</t>
    </r>
    <r>
      <rPr>
        <u/>
        <sz val="10"/>
        <rFont val="宋体"/>
        <family val="3"/>
        <charset val="134"/>
      </rPr>
      <t/>
    </r>
    <phoneticPr fontId="10" type="noConversion"/>
  </si>
  <si>
    <r>
      <rPr>
        <sz val="10"/>
        <rFont val="宋体"/>
        <family val="3"/>
        <charset val="134"/>
      </rPr>
      <t>点数并报出型号、规格，</t>
    </r>
    <r>
      <rPr>
        <sz val="10"/>
        <rFont val="Arial Narrow"/>
        <family val="2"/>
      </rPr>
      <t xml:space="preserve">                 </t>
    </r>
    <phoneticPr fontId="10" type="noConversion"/>
  </si>
  <si>
    <r>
      <rPr>
        <sz val="10"/>
        <rFont val="宋体"/>
        <family val="3"/>
        <charset val="134"/>
      </rPr>
      <t>第三组：</t>
    </r>
    <r>
      <rPr>
        <u/>
        <sz val="10"/>
        <rFont val="宋体"/>
        <family val="3"/>
        <charset val="134"/>
      </rPr>
      <t/>
    </r>
    <phoneticPr fontId="10" type="noConversion"/>
  </si>
  <si>
    <r>
      <t>1</t>
    </r>
    <r>
      <rPr>
        <sz val="10"/>
        <rFont val="宋体"/>
        <family val="3"/>
        <charset val="134"/>
      </rPr>
      <t>．盘点人员共分</t>
    </r>
    <r>
      <rPr>
        <sz val="10"/>
        <rFont val="Arial Narrow"/>
        <family val="2"/>
      </rPr>
      <t xml:space="preserve"> </t>
    </r>
    <r>
      <rPr>
        <u/>
        <sz val="10"/>
        <rFont val="Arial Narrow"/>
        <family val="2"/>
      </rPr>
      <t xml:space="preserve">          </t>
    </r>
    <phoneticPr fontId="10" type="noConversion"/>
  </si>
  <si>
    <r>
      <t>2</t>
    </r>
    <r>
      <rPr>
        <sz val="10"/>
        <rFont val="宋体"/>
        <family val="3"/>
        <charset val="134"/>
      </rPr>
      <t>．第一组：</t>
    </r>
    <r>
      <rPr>
        <u/>
        <sz val="10"/>
        <rFont val="Arial Narrow"/>
        <family val="2"/>
      </rPr>
      <t xml:space="preserve">               </t>
    </r>
    <r>
      <rPr>
        <sz val="10"/>
        <rFont val="Arial Narrow"/>
        <family val="2"/>
      </rPr>
      <t xml:space="preserve">  </t>
    </r>
    <r>
      <rPr>
        <u/>
        <sz val="10"/>
        <rFont val="Arial Narrow"/>
        <family val="2"/>
      </rPr>
      <t xml:space="preserve">                 </t>
    </r>
    <phoneticPr fontId="10" type="noConversion"/>
  </si>
  <si>
    <r>
      <rPr>
        <sz val="10"/>
        <rFont val="宋体"/>
        <family val="3"/>
        <charset val="134"/>
      </rPr>
      <t>点数并报出型号、规格，</t>
    </r>
    <r>
      <rPr>
        <sz val="10"/>
        <rFont val="Arial Narrow"/>
        <family val="2"/>
      </rPr>
      <t xml:space="preserve">   </t>
    </r>
    <r>
      <rPr>
        <u/>
        <sz val="10"/>
        <rFont val="Arial Narrow"/>
        <family val="2"/>
      </rPr>
      <t xml:space="preserve">              </t>
    </r>
    <r>
      <rPr>
        <sz val="10"/>
        <rFont val="Arial Narrow"/>
        <family val="2"/>
      </rPr>
      <t xml:space="preserve"> </t>
    </r>
    <phoneticPr fontId="10" type="noConversion"/>
  </si>
  <si>
    <r>
      <t xml:space="preserve">   </t>
    </r>
    <r>
      <rPr>
        <sz val="10"/>
        <rFont val="宋体"/>
        <family val="3"/>
        <charset val="134"/>
      </rPr>
      <t>第二组：</t>
    </r>
    <r>
      <rPr>
        <u/>
        <sz val="10"/>
        <rFont val="Arial Narrow"/>
        <family val="2"/>
      </rPr>
      <t xml:space="preserve">               </t>
    </r>
    <r>
      <rPr>
        <sz val="10"/>
        <rFont val="Arial Narrow"/>
        <family val="2"/>
      </rPr>
      <t xml:space="preserve">  </t>
    </r>
    <phoneticPr fontId="10" type="noConversion"/>
  </si>
  <si>
    <r>
      <rPr>
        <sz val="10"/>
        <rFont val="宋体"/>
        <family val="3"/>
        <charset val="134"/>
      </rPr>
      <t>点数并报出型号、规格，</t>
    </r>
    <r>
      <rPr>
        <sz val="10"/>
        <rFont val="Arial Narrow"/>
        <family val="2"/>
      </rPr>
      <t xml:space="preserve">   </t>
    </r>
    <r>
      <rPr>
        <u/>
        <sz val="10"/>
        <rFont val="Arial Narrow"/>
        <family val="2"/>
      </rPr>
      <t xml:space="preserve">              </t>
    </r>
    <r>
      <rPr>
        <sz val="10"/>
        <rFont val="Arial Narrow"/>
        <family val="2"/>
      </rPr>
      <t xml:space="preserve"> </t>
    </r>
    <phoneticPr fontId="10" type="noConversion"/>
  </si>
  <si>
    <r>
      <rPr>
        <sz val="10"/>
        <rFont val="宋体"/>
        <family val="3"/>
        <charset val="134"/>
      </rPr>
      <t>上述人员在盘点过程中，除</t>
    </r>
    <r>
      <rPr>
        <u/>
        <sz val="10"/>
        <rFont val="Arial Narrow"/>
        <family val="2"/>
      </rPr>
      <t xml:space="preserve">        </t>
    </r>
    <phoneticPr fontId="10" type="noConversion"/>
  </si>
  <si>
    <r>
      <rPr>
        <sz val="10"/>
        <rFont val="宋体"/>
        <family val="3"/>
        <charset val="134"/>
      </rPr>
      <t>（三）审计人员实际抽盘情况</t>
    </r>
    <r>
      <rPr>
        <sz val="10"/>
        <rFont val="Arial Narrow"/>
        <family val="2"/>
      </rPr>
      <t xml:space="preserve">                              </t>
    </r>
    <r>
      <rPr>
        <u/>
        <sz val="10"/>
        <rFont val="Arial Narrow"/>
        <family val="2"/>
      </rPr>
      <t xml:space="preserve">         </t>
    </r>
    <phoneticPr fontId="10" type="noConversion"/>
  </si>
  <si>
    <r>
      <t xml:space="preserve">     </t>
    </r>
    <r>
      <rPr>
        <sz val="10"/>
        <rFont val="宋体"/>
        <family val="3"/>
        <charset val="134"/>
      </rPr>
      <t>检查记录索引：（</t>
    </r>
    <r>
      <rPr>
        <sz val="10"/>
        <rFont val="Arial Narrow"/>
        <family val="2"/>
      </rPr>
      <t xml:space="preserve">               </t>
    </r>
    <r>
      <rPr>
        <sz val="10"/>
        <rFont val="宋体"/>
        <family val="3"/>
        <charset val="134"/>
      </rPr>
      <t>）</t>
    </r>
    <r>
      <rPr>
        <b/>
        <sz val="10"/>
        <color indexed="12"/>
        <rFont val="宋体"/>
        <family val="3"/>
        <charset val="134"/>
      </rPr>
      <t>（提示：如无法核对的，应当说明情况）</t>
    </r>
    <phoneticPr fontId="10" type="noConversion"/>
  </si>
  <si>
    <r>
      <rPr>
        <sz val="10"/>
        <rFont val="宋体"/>
        <family val="3"/>
        <charset val="134"/>
      </rPr>
      <t>（</t>
    </r>
    <r>
      <rPr>
        <sz val="10"/>
        <rFont val="Arial Narrow"/>
        <family val="2"/>
      </rPr>
      <t>4</t>
    </r>
    <r>
      <rPr>
        <sz val="10"/>
        <rFont val="宋体"/>
        <family val="3"/>
        <charset val="134"/>
      </rPr>
      <t>）是否存在有证无房或有房无证的情况：</t>
    </r>
    <phoneticPr fontId="10" type="noConversion"/>
  </si>
  <si>
    <r>
      <t xml:space="preserve">     </t>
    </r>
    <r>
      <rPr>
        <sz val="10"/>
        <rFont val="宋体"/>
        <family val="3"/>
        <charset val="134"/>
      </rPr>
      <t>管理标识编号规则：</t>
    </r>
    <r>
      <rPr>
        <u/>
        <sz val="10"/>
        <rFont val="Arial Narrow"/>
        <family val="2"/>
      </rPr>
      <t xml:space="preserve">                </t>
    </r>
    <r>
      <rPr>
        <sz val="10"/>
        <rFont val="Arial Narrow"/>
        <family val="2"/>
      </rPr>
      <t xml:space="preserve">  </t>
    </r>
    <phoneticPr fontId="10" type="noConversion"/>
  </si>
  <si>
    <r>
      <rPr>
        <sz val="10"/>
        <rFont val="宋体"/>
        <family val="3"/>
        <charset val="134"/>
      </rPr>
      <t>（</t>
    </r>
    <r>
      <rPr>
        <sz val="10"/>
        <rFont val="Arial Narrow"/>
        <family val="2"/>
      </rPr>
      <t>2</t>
    </r>
    <r>
      <rPr>
        <sz val="10"/>
        <rFont val="宋体"/>
        <family val="3"/>
        <charset val="134"/>
      </rPr>
      <t>）各型号设备数量是否与会计账簿记载的数量一致：</t>
    </r>
    <phoneticPr fontId="10" type="noConversion"/>
  </si>
  <si>
    <r>
      <rPr>
        <sz val="10"/>
        <rFont val="宋体"/>
        <family val="3"/>
        <charset val="134"/>
      </rPr>
      <t>（</t>
    </r>
    <r>
      <rPr>
        <sz val="10"/>
        <rFont val="Arial Narrow"/>
        <family val="2"/>
      </rPr>
      <t>1</t>
    </r>
    <r>
      <rPr>
        <sz val="10"/>
        <rFont val="宋体"/>
        <family val="3"/>
        <charset val="134"/>
      </rPr>
      <t>）</t>
    </r>
    <r>
      <rPr>
        <sz val="10"/>
        <rFont val="Arial Narrow"/>
        <family val="2"/>
      </rPr>
      <t xml:space="preserve"> </t>
    </r>
    <r>
      <rPr>
        <sz val="10"/>
        <rFont val="宋体"/>
        <family val="3"/>
        <charset val="134"/>
      </rPr>
      <t>是否在现场核对设备所有权证与设备情况：检查记录索引：</t>
    </r>
    <phoneticPr fontId="10" type="noConversion"/>
  </si>
  <si>
    <r>
      <rPr>
        <sz val="10"/>
        <rFont val="宋体"/>
        <family val="3"/>
        <charset val="134"/>
      </rPr>
      <t>（</t>
    </r>
    <r>
      <rPr>
        <sz val="10"/>
        <rFont val="Arial Narrow"/>
        <family val="2"/>
      </rPr>
      <t>2</t>
    </r>
    <r>
      <rPr>
        <sz val="10"/>
        <rFont val="宋体"/>
        <family val="3"/>
        <charset val="134"/>
      </rPr>
      <t>）</t>
    </r>
    <r>
      <rPr>
        <sz val="10"/>
        <rFont val="Arial Narrow"/>
        <family val="2"/>
      </rPr>
      <t xml:space="preserve"> </t>
    </r>
    <r>
      <rPr>
        <sz val="10"/>
        <rFont val="宋体"/>
        <family val="3"/>
        <charset val="134"/>
      </rPr>
      <t>是否按检查设备所有权证予以证实资产的存在性：检查记录索引：</t>
    </r>
    <phoneticPr fontId="10" type="noConversion"/>
  </si>
  <si>
    <r>
      <rPr>
        <sz val="10"/>
        <rFont val="宋体"/>
        <family val="3"/>
        <charset val="134"/>
      </rPr>
      <t>（</t>
    </r>
    <r>
      <rPr>
        <sz val="10"/>
        <rFont val="Arial Narrow"/>
        <family val="2"/>
      </rPr>
      <t>3</t>
    </r>
    <r>
      <rPr>
        <sz val="10"/>
        <rFont val="宋体"/>
        <family val="3"/>
        <charset val="134"/>
      </rPr>
      <t>）</t>
    </r>
    <r>
      <rPr>
        <sz val="10"/>
        <rFont val="Arial Narrow"/>
        <family val="2"/>
      </rPr>
      <t xml:space="preserve"> </t>
    </r>
    <r>
      <rPr>
        <sz val="10"/>
        <rFont val="宋体"/>
        <family val="3"/>
        <charset val="134"/>
      </rPr>
      <t>对处于工作途中的设备确认其存在性的方法说明：检查记录索引：</t>
    </r>
    <phoneticPr fontId="10" type="noConversion"/>
  </si>
  <si>
    <r>
      <t>4</t>
    </r>
    <r>
      <rPr>
        <sz val="10"/>
        <rFont val="宋体"/>
        <family val="3"/>
        <charset val="134"/>
      </rPr>
      <t>．</t>
    </r>
    <r>
      <rPr>
        <sz val="10"/>
        <rFont val="Arial Narrow"/>
        <family val="2"/>
      </rPr>
      <t xml:space="preserve"> </t>
    </r>
    <r>
      <rPr>
        <sz val="10"/>
        <rFont val="宋体"/>
        <family val="3"/>
        <charset val="134"/>
      </rPr>
      <t>办公设备及其他盘点说明：</t>
    </r>
    <phoneticPr fontId="10" type="noConversion"/>
  </si>
  <si>
    <r>
      <t>1</t>
    </r>
    <r>
      <rPr>
        <sz val="10"/>
        <rFont val="宋体"/>
        <family val="3"/>
        <charset val="134"/>
      </rPr>
      <t>、复盘人员：</t>
    </r>
    <r>
      <rPr>
        <u/>
        <sz val="10"/>
        <rFont val="Arial Narrow"/>
        <family val="2"/>
      </rPr>
      <t xml:space="preserve">                        </t>
    </r>
    <r>
      <rPr>
        <sz val="10"/>
        <rFont val="Arial Narrow"/>
        <family val="2"/>
      </rPr>
      <t xml:space="preserve">   </t>
    </r>
    <phoneticPr fontId="10" type="noConversion"/>
  </si>
  <si>
    <r>
      <rPr>
        <sz val="10"/>
        <rFont val="宋体"/>
        <family val="3"/>
        <charset val="134"/>
      </rPr>
      <t>设备共有</t>
    </r>
    <r>
      <rPr>
        <u/>
        <sz val="10"/>
        <rFont val="Arial Narrow"/>
        <family val="2"/>
      </rPr>
      <t xml:space="preserve">      </t>
    </r>
    <r>
      <rPr>
        <sz val="10"/>
        <rFont val="宋体"/>
        <family val="3"/>
        <charset val="134"/>
      </rPr>
      <t/>
    </r>
    <phoneticPr fontId="10" type="noConversion"/>
  </si>
  <si>
    <r>
      <rPr>
        <sz val="10"/>
        <rFont val="宋体"/>
        <family val="3"/>
        <charset val="134"/>
      </rPr>
      <t>台（套），实施复盘共：</t>
    </r>
    <r>
      <rPr>
        <sz val="10"/>
        <rFont val="Arial Narrow"/>
        <family val="2"/>
      </rPr>
      <t xml:space="preserve">        </t>
    </r>
    <phoneticPr fontId="10" type="noConversion"/>
  </si>
  <si>
    <r>
      <rPr>
        <sz val="10"/>
        <rFont val="宋体"/>
        <family val="3"/>
        <charset val="134"/>
      </rPr>
      <t>台（套），占</t>
    </r>
    <phoneticPr fontId="10" type="noConversion"/>
  </si>
  <si>
    <r>
      <t xml:space="preserve">     </t>
    </r>
    <r>
      <rPr>
        <sz val="10"/>
        <rFont val="宋体"/>
        <family val="3"/>
        <charset val="134"/>
      </rPr>
      <t>固定资产账面余额：</t>
    </r>
    <r>
      <rPr>
        <u/>
        <sz val="10"/>
        <rFont val="Arial Narrow"/>
        <family val="2"/>
      </rPr>
      <t xml:space="preserve">            </t>
    </r>
    <r>
      <rPr>
        <sz val="10"/>
        <rFont val="宋体"/>
        <family val="3"/>
        <charset val="134"/>
      </rPr>
      <t/>
    </r>
    <phoneticPr fontId="10" type="noConversion"/>
  </si>
  <si>
    <r>
      <rPr>
        <sz val="10"/>
        <rFont val="宋体"/>
        <family val="3"/>
        <charset val="134"/>
      </rPr>
      <t>元，实施复盘：</t>
    </r>
    <r>
      <rPr>
        <sz val="10"/>
        <rFont val="Arial Narrow"/>
        <family val="2"/>
      </rPr>
      <t xml:space="preserve">          </t>
    </r>
    <phoneticPr fontId="10" type="noConversion"/>
  </si>
  <si>
    <r>
      <rPr>
        <sz val="10"/>
        <rFont val="宋体"/>
        <family val="3"/>
        <charset val="134"/>
      </rPr>
      <t>元，占</t>
    </r>
    <r>
      <rPr>
        <sz val="10"/>
        <rFont val="Arial Narrow"/>
        <family val="2"/>
      </rPr>
      <t xml:space="preserve">       </t>
    </r>
    <phoneticPr fontId="10" type="noConversion"/>
  </si>
  <si>
    <r>
      <t xml:space="preserve">    </t>
    </r>
    <r>
      <rPr>
        <sz val="10"/>
        <rFont val="宋体"/>
        <family val="3"/>
        <charset val="134"/>
      </rPr>
      <t>本次复盘的资产余额合计占资产负债表日的固定资产余额</t>
    </r>
    <r>
      <rPr>
        <u/>
        <sz val="10"/>
        <rFont val="Arial Narrow"/>
        <family val="2"/>
      </rPr>
      <t xml:space="preserve">         </t>
    </r>
    <phoneticPr fontId="10" type="noConversion"/>
  </si>
  <si>
    <r>
      <t xml:space="preserve">     </t>
    </r>
    <r>
      <rPr>
        <sz val="10"/>
        <rFont val="宋体"/>
        <family val="3"/>
        <charset val="134"/>
      </rPr>
      <t>复盘</t>
    </r>
    <r>
      <rPr>
        <sz val="10"/>
        <rFont val="Arial Narrow"/>
        <family val="2"/>
      </rPr>
      <t xml:space="preserve"> </t>
    </r>
    <r>
      <rPr>
        <u/>
        <sz val="10"/>
        <rFont val="Arial Narrow"/>
        <family val="2"/>
      </rPr>
      <t xml:space="preserve">        </t>
    </r>
    <r>
      <rPr>
        <sz val="10"/>
        <rFont val="宋体"/>
        <family val="3"/>
        <charset val="134"/>
      </rPr>
      <t/>
    </r>
    <phoneticPr fontId="10" type="noConversion"/>
  </si>
  <si>
    <r>
      <rPr>
        <sz val="10"/>
        <rFont val="宋体"/>
        <family val="3"/>
        <charset val="134"/>
      </rPr>
      <t>台（套），</t>
    </r>
    <r>
      <rPr>
        <sz val="10"/>
        <rFont val="Arial Narrow"/>
        <family val="2"/>
      </rPr>
      <t xml:space="preserve"> </t>
    </r>
    <r>
      <rPr>
        <sz val="10"/>
        <rFont val="宋体"/>
        <family val="3"/>
        <charset val="134"/>
      </rPr>
      <t>其中复盘正确的共</t>
    </r>
    <r>
      <rPr>
        <sz val="10"/>
        <rFont val="Arial Narrow"/>
        <family val="2"/>
      </rPr>
      <t xml:space="preserve">           </t>
    </r>
    <phoneticPr fontId="10" type="noConversion"/>
  </si>
  <si>
    <r>
      <t xml:space="preserve"> </t>
    </r>
    <r>
      <rPr>
        <sz val="10"/>
        <rFont val="宋体"/>
        <family val="3"/>
        <charset val="134"/>
      </rPr>
      <t>种，占</t>
    </r>
    <r>
      <rPr>
        <sz val="10"/>
        <rFont val="Arial Narrow"/>
        <family val="2"/>
      </rPr>
      <t xml:space="preserve">       </t>
    </r>
    <phoneticPr fontId="10" type="noConversion"/>
  </si>
  <si>
    <r>
      <t xml:space="preserve">     </t>
    </r>
    <r>
      <rPr>
        <sz val="10"/>
        <rFont val="宋体"/>
        <family val="3"/>
        <charset val="134"/>
      </rPr>
      <t>复盘金额</t>
    </r>
    <r>
      <rPr>
        <u/>
        <sz val="10"/>
        <rFont val="Arial Narrow"/>
        <family val="2"/>
      </rPr>
      <t xml:space="preserve">        </t>
    </r>
    <r>
      <rPr>
        <sz val="10"/>
        <rFont val="宋体"/>
        <family val="3"/>
        <charset val="134"/>
      </rPr>
      <t/>
    </r>
    <phoneticPr fontId="10" type="noConversion"/>
  </si>
  <si>
    <r>
      <rPr>
        <sz val="10"/>
        <rFont val="宋体"/>
        <family val="3"/>
        <charset val="134"/>
      </rPr>
      <t>元，</t>
    </r>
    <r>
      <rPr>
        <sz val="10"/>
        <rFont val="Arial Narrow"/>
        <family val="2"/>
      </rPr>
      <t xml:space="preserve"> </t>
    </r>
    <r>
      <rPr>
        <sz val="10"/>
        <rFont val="宋体"/>
        <family val="3"/>
        <charset val="134"/>
      </rPr>
      <t>其中复盘正确的共</t>
    </r>
    <r>
      <rPr>
        <sz val="10"/>
        <rFont val="Arial Narrow"/>
        <family val="2"/>
      </rPr>
      <t xml:space="preserve">            </t>
    </r>
    <phoneticPr fontId="10" type="noConversion"/>
  </si>
  <si>
    <r>
      <rPr>
        <sz val="10"/>
        <rFont val="宋体"/>
        <family val="3"/>
        <charset val="134"/>
      </rPr>
      <t>元，占</t>
    </r>
    <r>
      <rPr>
        <sz val="10"/>
        <rFont val="Arial Narrow"/>
        <family val="2"/>
      </rPr>
      <t xml:space="preserve">        </t>
    </r>
    <phoneticPr fontId="10" type="noConversion"/>
  </si>
  <si>
    <r>
      <rPr>
        <sz val="10"/>
        <rFont val="宋体"/>
        <family val="3"/>
        <charset val="134"/>
      </rPr>
      <t>监盘人员签字：</t>
    </r>
    <r>
      <rPr>
        <sz val="10"/>
        <rFont val="Arial Narrow"/>
        <family val="2"/>
      </rPr>
      <t xml:space="preserve"> </t>
    </r>
    <r>
      <rPr>
        <u/>
        <sz val="10"/>
        <rFont val="Arial Narrow"/>
        <family val="2"/>
      </rPr>
      <t xml:space="preserve">                     </t>
    </r>
    <phoneticPr fontId="10" type="noConversion"/>
  </si>
  <si>
    <r>
      <rPr>
        <sz val="10"/>
        <rFont val="宋体"/>
        <family val="3"/>
        <charset val="134"/>
      </rPr>
      <t>复核人员签字：</t>
    </r>
    <r>
      <rPr>
        <sz val="10"/>
        <rFont val="Arial Narrow"/>
        <family val="2"/>
      </rPr>
      <t xml:space="preserve"> </t>
    </r>
    <r>
      <rPr>
        <u/>
        <sz val="10"/>
        <rFont val="Arial Narrow"/>
        <family val="2"/>
      </rPr>
      <t xml:space="preserve">                     </t>
    </r>
    <phoneticPr fontId="10" type="noConversion"/>
  </si>
  <si>
    <r>
      <rPr>
        <b/>
        <sz val="10"/>
        <color indexed="8"/>
        <rFont val="宋体"/>
        <family val="3"/>
        <charset val="134"/>
      </rPr>
      <t>一、审计目标：</t>
    </r>
    <r>
      <rPr>
        <sz val="10"/>
        <color indexed="8"/>
        <rFont val="宋体"/>
        <family val="3"/>
        <charset val="134"/>
      </rPr>
      <t>固定资产以恰当的金额包括在财务报表中，与之相关的计价或分摊调整已恰当记录，相关披露已得到恰当计量和描述。</t>
    </r>
    <phoneticPr fontId="14" type="noConversion"/>
  </si>
  <si>
    <r>
      <rPr>
        <sz val="10"/>
        <rFont val="宋体"/>
        <family val="3"/>
        <charset val="134"/>
      </rPr>
      <t>折旧期初：</t>
    </r>
    <phoneticPr fontId="10" type="noConversion"/>
  </si>
  <si>
    <r>
      <rPr>
        <sz val="10"/>
        <rFont val="宋体"/>
        <family val="3"/>
        <charset val="134"/>
      </rPr>
      <t>折旧期末：</t>
    </r>
    <phoneticPr fontId="10" type="noConversion"/>
  </si>
  <si>
    <r>
      <rPr>
        <sz val="10"/>
        <color indexed="12"/>
        <rFont val="宋体"/>
        <family val="3"/>
        <charset val="134"/>
      </rPr>
      <t>各列顺序请根据需要进行调整，行数请根据需要增加。</t>
    </r>
    <r>
      <rPr>
        <sz val="10"/>
        <color indexed="53"/>
        <rFont val="宋体"/>
        <family val="3"/>
        <charset val="134"/>
      </rPr>
      <t>非公式列输入数据时请使用</t>
    </r>
    <r>
      <rPr>
        <sz val="10"/>
        <color indexed="53"/>
        <rFont val="Arial Narrow"/>
        <family val="2"/>
      </rPr>
      <t>“</t>
    </r>
    <r>
      <rPr>
        <sz val="10"/>
        <color indexed="53"/>
        <rFont val="宋体"/>
        <family val="3"/>
        <charset val="134"/>
      </rPr>
      <t>选择性粘贴</t>
    </r>
    <r>
      <rPr>
        <sz val="10"/>
        <color indexed="53"/>
        <rFont val="Arial Narrow"/>
        <family val="2"/>
      </rPr>
      <t>-</t>
    </r>
    <r>
      <rPr>
        <sz val="10"/>
        <color indexed="53"/>
        <rFont val="宋体"/>
        <family val="3"/>
        <charset val="134"/>
      </rPr>
      <t>数值</t>
    </r>
    <r>
      <rPr>
        <sz val="10"/>
        <color indexed="53"/>
        <rFont val="Arial Narrow"/>
        <family val="2"/>
      </rPr>
      <t>”</t>
    </r>
    <r>
      <rPr>
        <sz val="10"/>
        <color indexed="12"/>
        <rFont val="宋体"/>
        <family val="3"/>
        <charset val="134"/>
      </rPr>
      <t>。</t>
    </r>
    <phoneticPr fontId="10" type="noConversion"/>
  </si>
  <si>
    <r>
      <rPr>
        <b/>
        <sz val="10"/>
        <rFont val="宋体"/>
        <family val="3"/>
        <charset val="134"/>
      </rPr>
      <t>使用年限</t>
    </r>
  </si>
  <si>
    <r>
      <rPr>
        <b/>
        <sz val="10"/>
        <rFont val="宋体"/>
        <family val="3"/>
        <charset val="134"/>
      </rPr>
      <t>使用月限</t>
    </r>
    <phoneticPr fontId="10" type="noConversion"/>
  </si>
  <si>
    <r>
      <rPr>
        <sz val="10"/>
        <color rgb="FF0000FF"/>
        <rFont val="宋体"/>
        <family val="3"/>
        <charset val="134"/>
      </rPr>
      <t>需单独考虑本期固定资产减少对累计折旧的影响</t>
    </r>
    <phoneticPr fontId="14" type="noConversion"/>
  </si>
  <si>
    <r>
      <rPr>
        <b/>
        <sz val="10"/>
        <color indexed="12"/>
        <rFont val="宋体"/>
        <family val="3"/>
        <charset val="134"/>
      </rPr>
      <t>《企业所得税法实施条例》</t>
    </r>
    <phoneticPr fontId="10" type="noConversion"/>
  </si>
  <si>
    <r>
      <rPr>
        <sz val="10"/>
        <color indexed="12"/>
        <rFont val="宋体"/>
        <family val="3"/>
        <charset val="134"/>
      </rPr>
      <t>第五十九条　固定资产按照直线法计算的折旧，准予扣除。</t>
    </r>
    <phoneticPr fontId="10" type="noConversion"/>
  </si>
  <si>
    <r>
      <rPr>
        <sz val="10"/>
        <color indexed="12"/>
        <rFont val="宋体"/>
        <family val="3"/>
        <charset val="134"/>
      </rPr>
      <t>企业应当自固定资产投入使用月份的次月起计算折旧；停止使用的固定资产，应当自停止使用月份的次月起停止计算折旧。</t>
    </r>
  </si>
  <si>
    <r>
      <rPr>
        <sz val="10"/>
        <color indexed="12"/>
        <rFont val="宋体"/>
        <family val="3"/>
        <charset val="134"/>
      </rPr>
      <t>　　企业应当根据固定资产的性质和使用情况，合理确定固定资产的预计净残值。固定资产的预计净残值一经确定，不得变更。</t>
    </r>
  </si>
  <si>
    <r>
      <rPr>
        <sz val="10"/>
        <color indexed="12"/>
        <rFont val="宋体"/>
        <family val="3"/>
        <charset val="134"/>
      </rPr>
      <t>第六十条　除国务院财政、税务主管部门另有规定外，固定资产计算折旧的最低年限如下：</t>
    </r>
  </si>
  <si>
    <r>
      <rPr>
        <sz val="10"/>
        <color indexed="12"/>
        <rFont val="宋体"/>
        <family val="3"/>
        <charset val="134"/>
      </rPr>
      <t>　　（一）房屋、建筑物，为</t>
    </r>
    <r>
      <rPr>
        <sz val="10"/>
        <color indexed="12"/>
        <rFont val="Arial Narrow"/>
        <family val="2"/>
      </rPr>
      <t>20</t>
    </r>
    <r>
      <rPr>
        <sz val="10"/>
        <color indexed="12"/>
        <rFont val="宋体"/>
        <family val="3"/>
        <charset val="134"/>
      </rPr>
      <t>年；</t>
    </r>
  </si>
  <si>
    <r>
      <rPr>
        <sz val="10"/>
        <color indexed="12"/>
        <rFont val="宋体"/>
        <family val="3"/>
        <charset val="134"/>
      </rPr>
      <t>　　（二）飞机、火车、轮船、机器、机械和其他生产设备，为</t>
    </r>
    <r>
      <rPr>
        <sz val="10"/>
        <color indexed="12"/>
        <rFont val="Arial Narrow"/>
        <family val="2"/>
      </rPr>
      <t>10</t>
    </r>
    <r>
      <rPr>
        <sz val="10"/>
        <color indexed="12"/>
        <rFont val="宋体"/>
        <family val="3"/>
        <charset val="134"/>
      </rPr>
      <t>年；</t>
    </r>
  </si>
  <si>
    <r>
      <rPr>
        <sz val="10"/>
        <color indexed="12"/>
        <rFont val="宋体"/>
        <family val="3"/>
        <charset val="134"/>
      </rPr>
      <t>　　（三）与生产经营活动有关的器具、工具、家具等，为</t>
    </r>
    <r>
      <rPr>
        <sz val="10"/>
        <color indexed="12"/>
        <rFont val="Arial Narrow"/>
        <family val="2"/>
      </rPr>
      <t>5</t>
    </r>
    <r>
      <rPr>
        <sz val="10"/>
        <color indexed="12"/>
        <rFont val="宋体"/>
        <family val="3"/>
        <charset val="134"/>
      </rPr>
      <t>年；</t>
    </r>
  </si>
  <si>
    <r>
      <rPr>
        <sz val="10"/>
        <color indexed="12"/>
        <rFont val="宋体"/>
        <family val="3"/>
        <charset val="134"/>
      </rPr>
      <t>　　（四）飞机、火车、轮船以外的运输工具，为</t>
    </r>
    <r>
      <rPr>
        <sz val="10"/>
        <color indexed="12"/>
        <rFont val="Arial Narrow"/>
        <family val="2"/>
      </rPr>
      <t>4</t>
    </r>
    <r>
      <rPr>
        <sz val="10"/>
        <color indexed="12"/>
        <rFont val="宋体"/>
        <family val="3"/>
        <charset val="134"/>
      </rPr>
      <t>年；</t>
    </r>
  </si>
  <si>
    <r>
      <rPr>
        <sz val="10"/>
        <color indexed="12"/>
        <rFont val="宋体"/>
        <family val="3"/>
        <charset val="134"/>
      </rPr>
      <t>　　（五）电子设备，为</t>
    </r>
    <r>
      <rPr>
        <sz val="10"/>
        <color indexed="12"/>
        <rFont val="Arial Narrow"/>
        <family val="2"/>
      </rPr>
      <t>3</t>
    </r>
    <r>
      <rPr>
        <sz val="10"/>
        <color indexed="12"/>
        <rFont val="宋体"/>
        <family val="3"/>
        <charset val="134"/>
      </rPr>
      <t>年。</t>
    </r>
  </si>
  <si>
    <r>
      <rPr>
        <sz val="10"/>
        <color indexed="12"/>
        <rFont val="宋体"/>
        <family val="3"/>
        <charset val="134"/>
      </rPr>
      <t>第九十八条　企业所得税法第三十二条所称可以采取缩短折旧年限或者采取加速折旧的方法的固定资产，包括：</t>
    </r>
  </si>
  <si>
    <r>
      <rPr>
        <sz val="10"/>
        <color indexed="12"/>
        <rFont val="宋体"/>
        <family val="3"/>
        <charset val="134"/>
      </rPr>
      <t>　　（一）由于技术进步，产品更新换代较快的固定资产；</t>
    </r>
  </si>
  <si>
    <r>
      <rPr>
        <sz val="10"/>
        <color indexed="12"/>
        <rFont val="宋体"/>
        <family val="3"/>
        <charset val="134"/>
      </rPr>
      <t>　　（二）常年处于强震动、高腐蚀状态的固定资产。</t>
    </r>
  </si>
  <si>
    <r>
      <rPr>
        <sz val="10"/>
        <color indexed="12"/>
        <rFont val="宋体"/>
        <family val="3"/>
        <charset val="134"/>
      </rPr>
      <t>　　采取缩短折旧年限方法的，最低折旧年限不得低于本条例第六十条规定折旧年限的</t>
    </r>
    <r>
      <rPr>
        <sz val="10"/>
        <color indexed="12"/>
        <rFont val="Arial Narrow"/>
        <family val="2"/>
      </rPr>
      <t>60%</t>
    </r>
    <r>
      <rPr>
        <sz val="10"/>
        <color indexed="12"/>
        <rFont val="宋体"/>
        <family val="3"/>
        <charset val="134"/>
      </rPr>
      <t>；采取加速折旧方法的，可以采取双倍余额递减法或者年数总和法。</t>
    </r>
  </si>
  <si>
    <r>
      <rPr>
        <b/>
        <sz val="10"/>
        <color rgb="FF0000FF"/>
        <rFont val="宋体"/>
        <family val="3"/>
        <charset val="134"/>
      </rPr>
      <t>审计过程提示：</t>
    </r>
    <phoneticPr fontId="10" type="noConversion"/>
  </si>
  <si>
    <r>
      <t>1.</t>
    </r>
    <r>
      <rPr>
        <sz val="10"/>
        <color rgb="FF0000FF"/>
        <rFont val="宋体"/>
        <family val="3"/>
        <charset val="134"/>
      </rPr>
      <t>获取或编制累计折旧分类汇总表，</t>
    </r>
    <r>
      <rPr>
        <sz val="10"/>
        <color rgb="FF0000FF"/>
        <rFont val="Arial Narrow"/>
        <family val="2"/>
      </rPr>
      <t xml:space="preserve"> </t>
    </r>
    <r>
      <rPr>
        <sz val="10"/>
        <color rgb="FF0000FF"/>
        <rFont val="宋体"/>
        <family val="3"/>
        <charset val="134"/>
      </rPr>
      <t>复核加计正确，并与总账数和
明细账合计数核对。</t>
    </r>
    <phoneticPr fontId="14" type="noConversion"/>
  </si>
  <si>
    <r>
      <t>2.</t>
    </r>
    <r>
      <rPr>
        <sz val="10"/>
        <color rgb="FF0000FF"/>
        <rFont val="宋体"/>
        <family val="3"/>
        <charset val="134"/>
      </rPr>
      <t>检查被审计单位制定的折旧政策和方法是否符合相关会计准则的规定，确定其所采用的折旧方法能否在固定资产预计使用寿命内合理分摊其成本，前后期是否一致，预计使用寿命和预计净残值是否合理。</t>
    </r>
    <phoneticPr fontId="14" type="noConversion"/>
  </si>
  <si>
    <r>
      <t>3.</t>
    </r>
    <r>
      <rPr>
        <sz val="10"/>
        <color rgb="FF0000FF"/>
        <rFont val="宋体"/>
        <family val="3"/>
        <charset val="134"/>
      </rPr>
      <t>重新测算折旧金额，形成本期折旧费用的期望，与已记录的折旧金额对比，并和被审计单位适当人员讨论对比结果。</t>
    </r>
    <phoneticPr fontId="14" type="noConversion"/>
  </si>
  <si>
    <r>
      <t>4.</t>
    </r>
    <r>
      <rPr>
        <sz val="10"/>
        <color rgb="FF0000FF"/>
        <rFont val="宋体"/>
        <family val="3"/>
        <charset val="134"/>
      </rPr>
      <t>考虑对方回复的可信度，并验证相关解释及回复的恰当性。确定是否需要额外的程序，如是，实施适当的应对程序。</t>
    </r>
    <phoneticPr fontId="14" type="noConversion"/>
  </si>
  <si>
    <r>
      <rPr>
        <b/>
        <sz val="10"/>
        <color indexed="8"/>
        <rFont val="宋体"/>
        <family val="3"/>
        <charset val="134"/>
      </rPr>
      <t>一、审计目标：</t>
    </r>
    <r>
      <rPr>
        <sz val="10"/>
        <color indexed="8"/>
        <rFont val="宋体"/>
        <family val="3"/>
        <charset val="134"/>
      </rPr>
      <t>固定资产以恰当的金额包括在财务报表中，与之相关的计价或分摊调整已恰当记录，相关披露已得到恰当计量和描述。</t>
    </r>
    <phoneticPr fontId="14" type="noConversion"/>
  </si>
  <si>
    <r>
      <rPr>
        <b/>
        <sz val="10"/>
        <rFont val="宋体"/>
        <family val="3"/>
        <charset val="134"/>
      </rPr>
      <t>二、审计过程：</t>
    </r>
    <phoneticPr fontId="10" type="noConversion"/>
  </si>
  <si>
    <r>
      <rPr>
        <sz val="10"/>
        <rFont val="宋体"/>
        <family val="3"/>
        <charset val="134"/>
      </rPr>
      <t>折旧期初：</t>
    </r>
    <phoneticPr fontId="10" type="noConversion"/>
  </si>
  <si>
    <r>
      <rPr>
        <sz val="10"/>
        <rFont val="宋体"/>
        <family val="3"/>
        <charset val="134"/>
      </rPr>
      <t>折旧期末：</t>
    </r>
    <phoneticPr fontId="10" type="noConversion"/>
  </si>
  <si>
    <r>
      <rPr>
        <sz val="10"/>
        <rFont val="宋体"/>
        <family val="3"/>
        <charset val="134"/>
      </rPr>
      <t>计提减值准备日期：</t>
    </r>
    <phoneticPr fontId="10" type="noConversion"/>
  </si>
  <si>
    <r>
      <rPr>
        <sz val="10"/>
        <color indexed="12"/>
        <rFont val="宋体"/>
        <family val="3"/>
        <charset val="134"/>
      </rPr>
      <t>各列顺序请根据需要进行调整，行数请根据需要增加。</t>
    </r>
    <r>
      <rPr>
        <sz val="10"/>
        <color indexed="53"/>
        <rFont val="宋体"/>
        <family val="3"/>
        <charset val="134"/>
      </rPr>
      <t>非公式列输入数据时请使用</t>
    </r>
    <r>
      <rPr>
        <sz val="10"/>
        <color indexed="53"/>
        <rFont val="Arial Narrow"/>
        <family val="2"/>
      </rPr>
      <t>“</t>
    </r>
    <r>
      <rPr>
        <sz val="10"/>
        <color indexed="53"/>
        <rFont val="宋体"/>
        <family val="3"/>
        <charset val="134"/>
      </rPr>
      <t>选择性粘贴</t>
    </r>
    <r>
      <rPr>
        <sz val="10"/>
        <color indexed="53"/>
        <rFont val="Arial Narrow"/>
        <family val="2"/>
      </rPr>
      <t>-</t>
    </r>
    <r>
      <rPr>
        <sz val="10"/>
        <color indexed="53"/>
        <rFont val="宋体"/>
        <family val="3"/>
        <charset val="134"/>
      </rPr>
      <t>数值</t>
    </r>
    <r>
      <rPr>
        <sz val="10"/>
        <color indexed="53"/>
        <rFont val="Arial Narrow"/>
        <family val="2"/>
      </rPr>
      <t>”</t>
    </r>
    <r>
      <rPr>
        <sz val="10"/>
        <color indexed="12"/>
        <rFont val="宋体"/>
        <family val="3"/>
        <charset val="134"/>
      </rPr>
      <t>。</t>
    </r>
    <phoneticPr fontId="10" type="noConversion"/>
  </si>
  <si>
    <r>
      <rPr>
        <b/>
        <sz val="10"/>
        <rFont val="宋体"/>
        <family val="3"/>
        <charset val="134"/>
      </rPr>
      <t>开始使用日期</t>
    </r>
  </si>
  <si>
    <r>
      <rPr>
        <b/>
        <sz val="10"/>
        <rFont val="宋体"/>
        <family val="3"/>
        <charset val="134"/>
      </rPr>
      <t>本期折旧月份</t>
    </r>
    <phoneticPr fontId="10" type="noConversion"/>
  </si>
  <si>
    <r>
      <rPr>
        <b/>
        <sz val="10"/>
        <rFont val="宋体"/>
        <family val="3"/>
        <charset val="134"/>
      </rPr>
      <t>计提减值准备前累计折旧</t>
    </r>
    <phoneticPr fontId="10" type="noConversion"/>
  </si>
  <si>
    <r>
      <rPr>
        <b/>
        <sz val="10"/>
        <color indexed="8"/>
        <rFont val="宋体"/>
        <family val="3"/>
        <charset val="134"/>
      </rPr>
      <t>一、审计目标：</t>
    </r>
    <r>
      <rPr>
        <sz val="10"/>
        <color indexed="8"/>
        <rFont val="宋体"/>
        <family val="3"/>
        <charset val="134"/>
      </rPr>
      <t>固定资产以恰当的金额包括在财务报表中，与之相关的计价或分摊调整已恰当记录，相关披露已得到恰当计量和描述。</t>
    </r>
    <phoneticPr fontId="14" type="noConversion"/>
  </si>
  <si>
    <r>
      <rPr>
        <sz val="10"/>
        <rFont val="宋体"/>
        <family val="3"/>
        <charset val="134"/>
      </rPr>
      <t>折旧期初：</t>
    </r>
    <phoneticPr fontId="10" type="noConversion"/>
  </si>
  <si>
    <r>
      <rPr>
        <sz val="10"/>
        <rFont val="宋体"/>
        <family val="3"/>
        <charset val="134"/>
      </rPr>
      <t>折旧期末：</t>
    </r>
    <phoneticPr fontId="10" type="noConversion"/>
  </si>
  <si>
    <r>
      <rPr>
        <sz val="10"/>
        <color indexed="12"/>
        <rFont val="宋体"/>
        <family val="3"/>
        <charset val="134"/>
      </rPr>
      <t>各列顺序请根据需要进行调整，行数请根据需要增加。</t>
    </r>
    <r>
      <rPr>
        <sz val="10"/>
        <color indexed="53"/>
        <rFont val="宋体"/>
        <family val="3"/>
        <charset val="134"/>
      </rPr>
      <t>非公式列输入数据时请使用</t>
    </r>
    <r>
      <rPr>
        <sz val="10"/>
        <color indexed="53"/>
        <rFont val="Arial Narrow"/>
        <family val="2"/>
      </rPr>
      <t>“</t>
    </r>
    <r>
      <rPr>
        <sz val="10"/>
        <color indexed="53"/>
        <rFont val="宋体"/>
        <family val="3"/>
        <charset val="134"/>
      </rPr>
      <t>选择性粘贴</t>
    </r>
    <r>
      <rPr>
        <sz val="10"/>
        <color indexed="53"/>
        <rFont val="Arial Narrow"/>
        <family val="2"/>
      </rPr>
      <t>-</t>
    </r>
    <r>
      <rPr>
        <sz val="10"/>
        <color indexed="53"/>
        <rFont val="宋体"/>
        <family val="3"/>
        <charset val="134"/>
      </rPr>
      <t>数值</t>
    </r>
    <r>
      <rPr>
        <sz val="10"/>
        <color indexed="53"/>
        <rFont val="Arial Narrow"/>
        <family val="2"/>
      </rPr>
      <t>”</t>
    </r>
    <r>
      <rPr>
        <sz val="10"/>
        <color indexed="12"/>
        <rFont val="宋体"/>
        <family val="3"/>
        <charset val="134"/>
      </rPr>
      <t>。</t>
    </r>
    <phoneticPr fontId="10" type="noConversion"/>
  </si>
  <si>
    <r>
      <rPr>
        <sz val="10"/>
        <color rgb="FFFF0000"/>
        <rFont val="宋体"/>
        <family val="3"/>
        <charset val="134"/>
      </rPr>
      <t>【使用本测算表时请注意：应已对期初累计折旧进行了测试且无差异】</t>
    </r>
  </si>
  <si>
    <r>
      <rPr>
        <b/>
        <sz val="10"/>
        <rFont val="宋体"/>
        <family val="3"/>
        <charset val="134"/>
      </rPr>
      <t>期初累计折旧</t>
    </r>
    <phoneticPr fontId="10" type="noConversion"/>
  </si>
  <si>
    <r>
      <rPr>
        <b/>
        <sz val="10"/>
        <rFont val="宋体"/>
        <family val="3"/>
        <charset val="134"/>
      </rPr>
      <t>期末累计折旧</t>
    </r>
    <phoneticPr fontId="10" type="noConversion"/>
  </si>
  <si>
    <r>
      <rPr>
        <b/>
        <sz val="10"/>
        <rFont val="宋体"/>
        <family val="3"/>
        <charset val="134"/>
      </rPr>
      <t>期初减值准备余额</t>
    </r>
    <phoneticPr fontId="10" type="noConversion"/>
  </si>
  <si>
    <r>
      <rPr>
        <b/>
        <sz val="10"/>
        <rFont val="宋体"/>
        <family val="3"/>
        <charset val="134"/>
      </rPr>
      <t>期末减值准备余额</t>
    </r>
    <phoneticPr fontId="10" type="noConversion"/>
  </si>
  <si>
    <r>
      <rPr>
        <b/>
        <sz val="10"/>
        <rFont val="宋体"/>
        <family val="3"/>
        <charset val="134"/>
      </rPr>
      <t>残值率</t>
    </r>
    <phoneticPr fontId="10" type="noConversion"/>
  </si>
  <si>
    <r>
      <rPr>
        <b/>
        <sz val="10"/>
        <rFont val="宋体"/>
        <family val="3"/>
        <charset val="134"/>
      </rPr>
      <t>账面月折旧额</t>
    </r>
    <phoneticPr fontId="10" type="noConversion"/>
  </si>
  <si>
    <r>
      <rPr>
        <b/>
        <sz val="10"/>
        <rFont val="宋体"/>
        <family val="3"/>
        <charset val="134"/>
      </rPr>
      <t>测算到期日</t>
    </r>
    <phoneticPr fontId="10" type="noConversion"/>
  </si>
  <si>
    <r>
      <rPr>
        <b/>
        <sz val="10"/>
        <rFont val="宋体"/>
        <family val="3"/>
        <charset val="134"/>
      </rPr>
      <t>期初已提折旧月份</t>
    </r>
    <phoneticPr fontId="10" type="noConversion"/>
  </si>
  <si>
    <r>
      <rPr>
        <b/>
        <sz val="10"/>
        <rFont val="宋体"/>
        <family val="3"/>
        <charset val="134"/>
      </rPr>
      <t>期末已提折旧月份</t>
    </r>
    <phoneticPr fontId="10" type="noConversion"/>
  </si>
  <si>
    <r>
      <rPr>
        <b/>
        <sz val="10"/>
        <rFont val="宋体"/>
        <family val="3"/>
        <charset val="134"/>
      </rPr>
      <t>本期折旧月份（减值前）</t>
    </r>
    <phoneticPr fontId="10" type="noConversion"/>
  </si>
  <si>
    <r>
      <rPr>
        <b/>
        <sz val="10"/>
        <rFont val="宋体"/>
        <family val="3"/>
        <charset val="134"/>
      </rPr>
      <t>本期折旧月份（减值后）</t>
    </r>
    <phoneticPr fontId="10" type="noConversion"/>
  </si>
  <si>
    <r>
      <rPr>
        <b/>
        <sz val="10"/>
        <rFont val="宋体"/>
        <family val="3"/>
        <charset val="134"/>
      </rPr>
      <t>本期计提减值准备前月折旧</t>
    </r>
    <phoneticPr fontId="10" type="noConversion"/>
  </si>
  <si>
    <r>
      <rPr>
        <b/>
        <sz val="10"/>
        <rFont val="宋体"/>
        <family val="3"/>
        <charset val="134"/>
      </rPr>
      <t>本期计提减值准备后月折旧</t>
    </r>
    <phoneticPr fontId="10" type="noConversion"/>
  </si>
  <si>
    <r>
      <rPr>
        <b/>
        <sz val="10"/>
        <rFont val="宋体"/>
        <family val="3"/>
        <charset val="134"/>
      </rPr>
      <t>当期折旧费用</t>
    </r>
    <phoneticPr fontId="10" type="noConversion"/>
  </si>
  <si>
    <r>
      <rPr>
        <b/>
        <sz val="10"/>
        <rFont val="宋体"/>
        <family val="3"/>
        <charset val="134"/>
      </rPr>
      <t>月折旧额差异</t>
    </r>
    <phoneticPr fontId="10" type="noConversion"/>
  </si>
  <si>
    <r>
      <rPr>
        <b/>
        <sz val="10"/>
        <rFont val="宋体"/>
        <family val="3"/>
        <charset val="134"/>
      </rPr>
      <t>累计折旧费用</t>
    </r>
    <phoneticPr fontId="10" type="noConversion"/>
  </si>
  <si>
    <r>
      <rPr>
        <b/>
        <sz val="10"/>
        <rFont val="宋体"/>
        <family val="3"/>
        <charset val="134"/>
      </rPr>
      <t>累计折旧额差异</t>
    </r>
    <phoneticPr fontId="10" type="noConversion"/>
  </si>
  <si>
    <r>
      <rPr>
        <b/>
        <sz val="10"/>
        <color indexed="8"/>
        <rFont val="宋体"/>
        <family val="3"/>
        <charset val="134"/>
      </rPr>
      <t>一、审计目标：</t>
    </r>
    <r>
      <rPr>
        <sz val="10"/>
        <color indexed="8"/>
        <rFont val="宋体"/>
        <family val="3"/>
        <charset val="134"/>
      </rPr>
      <t>固定资产以恰当的金额包括在财务报表中，与之相关的计价或分摊调整已恰当记录，相关披露已得到恰当计量和描述。</t>
    </r>
    <phoneticPr fontId="14" type="noConversion"/>
  </si>
  <si>
    <r>
      <rPr>
        <b/>
        <sz val="10"/>
        <rFont val="宋体"/>
        <family val="3"/>
        <charset val="134"/>
      </rPr>
      <t>固定资产类别</t>
    </r>
  </si>
  <si>
    <r>
      <rPr>
        <b/>
        <sz val="10"/>
        <rFont val="宋体"/>
        <family val="3"/>
        <charset val="134"/>
      </rPr>
      <t>生产成本</t>
    </r>
  </si>
  <si>
    <r>
      <rPr>
        <b/>
        <sz val="10"/>
        <rFont val="宋体"/>
        <family val="3"/>
        <charset val="134"/>
      </rPr>
      <t>制造费用</t>
    </r>
  </si>
  <si>
    <r>
      <rPr>
        <b/>
        <sz val="10"/>
        <rFont val="宋体"/>
        <family val="3"/>
        <charset val="134"/>
      </rPr>
      <t>管理费用</t>
    </r>
  </si>
  <si>
    <r>
      <rPr>
        <b/>
        <sz val="10"/>
        <rFont val="宋体"/>
        <family val="3"/>
        <charset val="134"/>
      </rPr>
      <t>研发费用</t>
    </r>
    <phoneticPr fontId="10" type="noConversion"/>
  </si>
  <si>
    <r>
      <rPr>
        <b/>
        <sz val="10"/>
        <rFont val="宋体"/>
        <family val="3"/>
        <charset val="134"/>
      </rPr>
      <t>备注</t>
    </r>
    <phoneticPr fontId="10" type="noConversion"/>
  </si>
  <si>
    <r>
      <rPr>
        <b/>
        <sz val="10"/>
        <rFont val="宋体"/>
        <family val="3"/>
        <charset val="134"/>
      </rPr>
      <t>序号</t>
    </r>
    <phoneticPr fontId="10" type="noConversion"/>
  </si>
  <si>
    <r>
      <rPr>
        <b/>
        <sz val="10"/>
        <rFont val="宋体"/>
        <family val="3"/>
        <charset val="134"/>
      </rPr>
      <t>合计</t>
    </r>
    <phoneticPr fontId="10" type="noConversion"/>
  </si>
  <si>
    <r>
      <rPr>
        <b/>
        <sz val="10"/>
        <rFont val="宋体"/>
        <family val="3"/>
        <charset val="134"/>
      </rPr>
      <t>销售费用</t>
    </r>
    <phoneticPr fontId="10" type="noConversion"/>
  </si>
  <si>
    <r>
      <rPr>
        <b/>
        <sz val="10"/>
        <rFont val="宋体"/>
        <family val="3"/>
        <charset val="134"/>
      </rPr>
      <t>三、审计说明：</t>
    </r>
    <phoneticPr fontId="10" type="noConversion"/>
  </si>
  <si>
    <r>
      <rPr>
        <b/>
        <sz val="10"/>
        <rFont val="宋体"/>
        <family val="3"/>
        <charset val="134"/>
      </rPr>
      <t>四、审计结论：</t>
    </r>
    <phoneticPr fontId="10" type="noConversion"/>
  </si>
  <si>
    <r>
      <rPr>
        <sz val="10"/>
        <rFont val="宋体"/>
        <family val="3"/>
        <charset val="134"/>
      </rPr>
      <t>索引号：</t>
    </r>
    <phoneticPr fontId="10" type="noConversion"/>
  </si>
  <si>
    <r>
      <rPr>
        <b/>
        <sz val="10"/>
        <color indexed="8"/>
        <rFont val="宋体"/>
        <family val="3"/>
        <charset val="134"/>
      </rPr>
      <t>一、审计目标：</t>
    </r>
    <r>
      <rPr>
        <sz val="10"/>
        <color indexed="8"/>
        <rFont val="宋体"/>
        <family val="3"/>
        <charset val="134"/>
      </rPr>
      <t>固定资产以恰当的金额包括在财务报表中，与之相关的计价或分摊调整已恰当记录，相关披露已得到恰当计量和描述。</t>
    </r>
    <phoneticPr fontId="14" type="noConversion"/>
  </si>
  <si>
    <r>
      <rPr>
        <b/>
        <sz val="10"/>
        <rFont val="宋体"/>
        <family val="3"/>
        <charset val="134"/>
      </rPr>
      <t>是否存在减值迹象</t>
    </r>
    <phoneticPr fontId="10" type="noConversion"/>
  </si>
  <si>
    <r>
      <rPr>
        <b/>
        <sz val="10"/>
        <rFont val="宋体"/>
        <family val="3"/>
        <charset val="134"/>
      </rPr>
      <t>减值迹象描述</t>
    </r>
    <phoneticPr fontId="10" type="noConversion"/>
  </si>
  <si>
    <r>
      <rPr>
        <b/>
        <sz val="10"/>
        <rFont val="宋体"/>
        <family val="3"/>
        <charset val="134"/>
      </rPr>
      <t>账面价值</t>
    </r>
    <phoneticPr fontId="10" type="noConversion"/>
  </si>
  <si>
    <r>
      <rPr>
        <b/>
        <sz val="10"/>
        <rFont val="宋体"/>
        <family val="3"/>
        <charset val="134"/>
      </rPr>
      <t>可收回金额</t>
    </r>
    <phoneticPr fontId="10" type="noConversion"/>
  </si>
  <si>
    <r>
      <rPr>
        <b/>
        <sz val="10"/>
        <rFont val="宋体"/>
        <family val="3"/>
        <charset val="134"/>
      </rPr>
      <t>期末应计提的减值金额（当⑤＜②）</t>
    </r>
    <phoneticPr fontId="10" type="noConversion"/>
  </si>
  <si>
    <r>
      <rPr>
        <b/>
        <sz val="10"/>
        <rFont val="宋体"/>
        <family val="3"/>
        <charset val="134"/>
      </rPr>
      <t>期末账面已计提的减值准备</t>
    </r>
    <phoneticPr fontId="10" type="noConversion"/>
  </si>
  <si>
    <r>
      <rPr>
        <b/>
        <sz val="10"/>
        <rFont val="宋体"/>
        <family val="3"/>
        <charset val="134"/>
      </rPr>
      <t>本期应补提
或冲回的减值准备</t>
    </r>
    <phoneticPr fontId="10" type="noConversion"/>
  </si>
  <si>
    <r>
      <rPr>
        <b/>
        <sz val="10"/>
        <rFont val="宋体"/>
        <family val="3"/>
        <charset val="134"/>
      </rPr>
      <t>工作底稿索引号</t>
    </r>
    <phoneticPr fontId="10" type="noConversion"/>
  </si>
  <si>
    <r>
      <rPr>
        <b/>
        <sz val="10"/>
        <rFont val="宋体"/>
        <family val="3"/>
        <charset val="134"/>
      </rPr>
      <t>公允价值减处置费用的净额</t>
    </r>
    <phoneticPr fontId="10" type="noConversion"/>
  </si>
  <si>
    <r>
      <rPr>
        <b/>
        <sz val="10"/>
        <rFont val="宋体"/>
        <family val="3"/>
        <charset val="134"/>
      </rPr>
      <t>预计未来现金流量现值</t>
    </r>
    <phoneticPr fontId="10" type="noConversion"/>
  </si>
  <si>
    <r>
      <rPr>
        <b/>
        <sz val="10"/>
        <rFont val="宋体"/>
        <family val="3"/>
        <charset val="134"/>
      </rPr>
      <t>可收回金额（③、④较高者）</t>
    </r>
    <phoneticPr fontId="10" type="noConversion"/>
  </si>
  <si>
    <r>
      <rPr>
        <b/>
        <sz val="10"/>
        <rFont val="宋体"/>
        <family val="3"/>
        <charset val="134"/>
      </rPr>
      <t>期末已计提
减值准备</t>
    </r>
    <phoneticPr fontId="10" type="noConversion"/>
  </si>
  <si>
    <r>
      <rPr>
        <b/>
        <sz val="10"/>
        <rFont val="宋体"/>
        <family val="3"/>
        <charset val="134"/>
      </rPr>
      <t>①</t>
    </r>
    <phoneticPr fontId="10" type="noConversion"/>
  </si>
  <si>
    <r>
      <rPr>
        <b/>
        <sz val="10"/>
        <rFont val="宋体"/>
        <family val="3"/>
        <charset val="134"/>
      </rPr>
      <t>②</t>
    </r>
    <phoneticPr fontId="10" type="noConversion"/>
  </si>
  <si>
    <r>
      <rPr>
        <b/>
        <sz val="10"/>
        <rFont val="宋体"/>
        <family val="3"/>
        <charset val="134"/>
      </rPr>
      <t>③</t>
    </r>
    <phoneticPr fontId="10" type="noConversion"/>
  </si>
  <si>
    <r>
      <rPr>
        <b/>
        <sz val="10"/>
        <rFont val="宋体"/>
        <family val="3"/>
        <charset val="134"/>
      </rPr>
      <t>④</t>
    </r>
    <phoneticPr fontId="10" type="noConversion"/>
  </si>
  <si>
    <r>
      <rPr>
        <b/>
        <sz val="10"/>
        <rFont val="宋体"/>
        <family val="3"/>
        <charset val="134"/>
      </rPr>
      <t>⑤</t>
    </r>
    <phoneticPr fontId="10" type="noConversion"/>
  </si>
  <si>
    <r>
      <rPr>
        <b/>
        <sz val="10"/>
        <rFont val="宋体"/>
        <family val="3"/>
        <charset val="134"/>
      </rPr>
      <t>⑥＝②</t>
    </r>
    <r>
      <rPr>
        <b/>
        <sz val="10"/>
        <rFont val="Arial Narrow"/>
        <family val="2"/>
      </rPr>
      <t>-</t>
    </r>
    <r>
      <rPr>
        <b/>
        <sz val="10"/>
        <rFont val="宋体"/>
        <family val="3"/>
        <charset val="134"/>
      </rPr>
      <t>⑤</t>
    </r>
    <phoneticPr fontId="10" type="noConversion"/>
  </si>
  <si>
    <r>
      <rPr>
        <b/>
        <sz val="10"/>
        <rFont val="宋体"/>
        <family val="3"/>
        <charset val="134"/>
      </rPr>
      <t>⑦</t>
    </r>
    <phoneticPr fontId="10" type="noConversion"/>
  </si>
  <si>
    <r>
      <rPr>
        <b/>
        <sz val="10"/>
        <rFont val="宋体"/>
        <family val="3"/>
        <charset val="134"/>
      </rPr>
      <t>⑧</t>
    </r>
    <r>
      <rPr>
        <b/>
        <sz val="10"/>
        <rFont val="Arial Narrow"/>
        <family val="2"/>
      </rPr>
      <t>=</t>
    </r>
    <r>
      <rPr>
        <b/>
        <sz val="10"/>
        <rFont val="宋体"/>
        <family val="3"/>
        <charset val="134"/>
      </rPr>
      <t>⑥</t>
    </r>
    <r>
      <rPr>
        <b/>
        <sz val="10"/>
        <rFont val="Arial Narrow"/>
        <family val="2"/>
      </rPr>
      <t>-</t>
    </r>
    <r>
      <rPr>
        <b/>
        <sz val="10"/>
        <rFont val="宋体"/>
        <family val="3"/>
        <charset val="134"/>
      </rPr>
      <t>⑦</t>
    </r>
    <phoneticPr fontId="10" type="noConversion"/>
  </si>
  <si>
    <r>
      <rPr>
        <b/>
        <sz val="10"/>
        <rFont val="宋体"/>
        <family val="3"/>
        <charset val="134"/>
      </rPr>
      <t>资产活跃市场价格</t>
    </r>
    <phoneticPr fontId="10" type="noConversion"/>
  </si>
  <si>
    <r>
      <rPr>
        <b/>
        <sz val="10"/>
        <rFont val="宋体"/>
        <family val="3"/>
        <charset val="134"/>
      </rPr>
      <t>相关税费</t>
    </r>
    <phoneticPr fontId="10" type="noConversion"/>
  </si>
  <si>
    <r>
      <rPr>
        <b/>
        <sz val="10"/>
        <rFont val="宋体"/>
        <family val="3"/>
        <charset val="134"/>
      </rPr>
      <t xml:space="preserve">折现率
</t>
    </r>
    <r>
      <rPr>
        <b/>
        <sz val="10"/>
        <rFont val="Arial Narrow"/>
        <family val="2"/>
      </rPr>
      <t>(</t>
    </r>
    <r>
      <rPr>
        <b/>
        <sz val="10"/>
        <rFont val="宋体"/>
        <family val="3"/>
        <charset val="134"/>
      </rPr>
      <t>税前</t>
    </r>
    <r>
      <rPr>
        <b/>
        <sz val="10"/>
        <rFont val="Arial Narrow"/>
        <family val="2"/>
      </rPr>
      <t>)</t>
    </r>
    <phoneticPr fontId="10" type="noConversion"/>
  </si>
  <si>
    <r>
      <rPr>
        <b/>
        <sz val="10"/>
        <rFont val="宋体"/>
        <family val="3"/>
        <charset val="134"/>
      </rPr>
      <t>市场平均收益率</t>
    </r>
    <r>
      <rPr>
        <b/>
        <sz val="10"/>
        <rFont val="Arial Narrow"/>
        <family val="2"/>
      </rPr>
      <t>Rm</t>
    </r>
    <phoneticPr fontId="10" type="noConversion"/>
  </si>
  <si>
    <r>
      <rPr>
        <sz val="10"/>
        <rFont val="宋体"/>
        <family val="3"/>
        <charset val="134"/>
      </rPr>
      <t>指</t>
    </r>
    <r>
      <rPr>
        <sz val="10"/>
        <rFont val="Arial Narrow"/>
        <family val="2"/>
      </rPr>
      <t>β=1</t>
    </r>
    <r>
      <rPr>
        <sz val="10"/>
        <rFont val="宋体"/>
        <family val="3"/>
        <charset val="134"/>
      </rPr>
      <t>的股票要求的收益率，也是指包括所有股票的组合即市场组合要求的收益率。</t>
    </r>
    <phoneticPr fontId="10" type="noConversion"/>
  </si>
  <si>
    <r>
      <rPr>
        <sz val="10"/>
        <rFont val="宋体"/>
        <family val="3"/>
        <charset val="134"/>
      </rPr>
      <t>建议采用几何平均收益率，并应选择较长的时间跨度（既包括经济繁荣时期，也包括经济衰退时期）。</t>
    </r>
    <phoneticPr fontId="10" type="noConversion"/>
  </si>
  <si>
    <r>
      <rPr>
        <sz val="10"/>
        <rFont val="宋体"/>
        <family val="3"/>
        <charset val="134"/>
      </rPr>
      <t>资产组的收益率与市场组合之间的相关性，反映了相对于市场组合而言特定资产的系统风险。</t>
    </r>
    <phoneticPr fontId="10" type="noConversion"/>
  </si>
  <si>
    <r>
      <rPr>
        <sz val="10"/>
        <rFont val="宋体"/>
        <family val="3"/>
        <charset val="134"/>
      </rPr>
      <t>计算</t>
    </r>
    <r>
      <rPr>
        <sz val="10"/>
        <rFont val="Arial Narrow"/>
        <family val="2"/>
      </rPr>
      <t>β</t>
    </r>
    <r>
      <rPr>
        <sz val="10"/>
        <rFont val="宋体"/>
        <family val="3"/>
        <charset val="134"/>
      </rPr>
      <t>值时，需要考虑有关预测期间的长度和收益计量的时间间隔。在公司风险特征无重大变化时，可以采用</t>
    </r>
    <r>
      <rPr>
        <sz val="10"/>
        <rFont val="Arial Narrow"/>
        <family val="2"/>
      </rPr>
      <t>5</t>
    </r>
    <r>
      <rPr>
        <sz val="10"/>
        <rFont val="宋体"/>
        <family val="3"/>
        <charset val="134"/>
      </rPr>
      <t>年或更长的预测期长度；</t>
    </r>
    <phoneticPr fontId="10" type="noConversion"/>
  </si>
  <si>
    <r>
      <rPr>
        <sz val="10"/>
        <rFont val="宋体"/>
        <family val="3"/>
        <charset val="134"/>
      </rPr>
      <t>收益计量的时间间隔一般使用每周或每月的收益率。</t>
    </r>
    <phoneticPr fontId="10" type="noConversion"/>
  </si>
  <si>
    <r>
      <rPr>
        <sz val="10"/>
        <color indexed="12"/>
        <rFont val="宋体"/>
        <family val="3"/>
        <charset val="134"/>
      </rPr>
      <t>资产组，是指企业可以认定的最小资产组合，其产生的现金流入应当基本上独立于其他资产或者资产组产生的现金流入。</t>
    </r>
    <phoneticPr fontId="10" type="noConversion"/>
  </si>
  <si>
    <r>
      <rPr>
        <b/>
        <sz val="10"/>
        <rFont val="宋体"/>
        <family val="3"/>
        <charset val="134"/>
      </rPr>
      <t>（一）资产的公允价值减去处置费用后的净额</t>
    </r>
    <phoneticPr fontId="10" type="noConversion"/>
  </si>
  <si>
    <r>
      <rPr>
        <b/>
        <sz val="10"/>
        <rFont val="宋体"/>
        <family val="3"/>
        <charset val="134"/>
      </rPr>
      <t>公允价值</t>
    </r>
    <phoneticPr fontId="10" type="noConversion"/>
  </si>
  <si>
    <r>
      <rPr>
        <b/>
        <sz val="10"/>
        <rFont val="宋体"/>
        <family val="3"/>
        <charset val="134"/>
      </rPr>
      <t>处置费用（资产处置的直接归属费用）</t>
    </r>
    <phoneticPr fontId="10" type="noConversion"/>
  </si>
  <si>
    <r>
      <rPr>
        <b/>
        <sz val="10"/>
        <rFont val="宋体"/>
        <family val="3"/>
        <charset val="134"/>
      </rPr>
      <t>公允价值</t>
    </r>
    <r>
      <rPr>
        <b/>
        <sz val="10"/>
        <rFont val="Arial Narrow"/>
        <family val="2"/>
      </rPr>
      <t>-</t>
    </r>
    <r>
      <rPr>
        <b/>
        <sz val="10"/>
        <rFont val="宋体"/>
        <family val="3"/>
        <charset val="134"/>
      </rPr>
      <t>处置费用</t>
    </r>
    <phoneticPr fontId="10" type="noConversion"/>
  </si>
  <si>
    <r>
      <rPr>
        <b/>
        <sz val="10"/>
        <rFont val="宋体"/>
        <family val="3"/>
        <charset val="134"/>
      </rPr>
      <t>备注</t>
    </r>
    <phoneticPr fontId="10" type="noConversion"/>
  </si>
  <si>
    <r>
      <rPr>
        <b/>
        <sz val="10"/>
        <rFont val="宋体"/>
        <family val="3"/>
        <charset val="134"/>
      </rPr>
      <t>说明</t>
    </r>
    <phoneticPr fontId="10" type="noConversion"/>
  </si>
  <si>
    <r>
      <rPr>
        <b/>
        <sz val="10"/>
        <rFont val="宋体"/>
        <family val="3"/>
        <charset val="134"/>
      </rPr>
      <t>估计价格</t>
    </r>
    <phoneticPr fontId="10" type="noConversion"/>
  </si>
  <si>
    <r>
      <rPr>
        <b/>
        <sz val="10"/>
        <rFont val="宋体"/>
        <family val="3"/>
        <charset val="134"/>
      </rPr>
      <t>说明</t>
    </r>
    <phoneticPr fontId="10" type="noConversion"/>
  </si>
  <si>
    <r>
      <rPr>
        <b/>
        <sz val="10"/>
        <rFont val="宋体"/>
        <family val="3"/>
        <charset val="134"/>
      </rPr>
      <t>法律费用</t>
    </r>
    <phoneticPr fontId="10" type="noConversion"/>
  </si>
  <si>
    <r>
      <rPr>
        <b/>
        <sz val="10"/>
        <rFont val="宋体"/>
        <family val="3"/>
        <charset val="134"/>
      </rPr>
      <t>搬运费</t>
    </r>
    <phoneticPr fontId="10" type="noConversion"/>
  </si>
  <si>
    <r>
      <rPr>
        <b/>
        <sz val="10"/>
        <rFont val="宋体"/>
        <family val="3"/>
        <charset val="134"/>
      </rPr>
      <t>处置费用合计</t>
    </r>
    <phoneticPr fontId="10" type="noConversion"/>
  </si>
  <si>
    <r>
      <rPr>
        <b/>
        <sz val="10"/>
        <rFont val="宋体"/>
        <family val="3"/>
        <charset val="134"/>
      </rPr>
      <t>第一年</t>
    </r>
    <phoneticPr fontId="10" type="noConversion"/>
  </si>
  <si>
    <r>
      <rPr>
        <b/>
        <sz val="10"/>
        <rFont val="宋体"/>
        <family val="3"/>
        <charset val="134"/>
      </rPr>
      <t>第五年</t>
    </r>
    <phoneticPr fontId="10" type="noConversion"/>
  </si>
  <si>
    <r>
      <rPr>
        <b/>
        <sz val="10"/>
        <rFont val="宋体"/>
        <family val="3"/>
        <charset val="134"/>
      </rPr>
      <t>增长率</t>
    </r>
    <phoneticPr fontId="10" type="noConversion"/>
  </si>
  <si>
    <r>
      <rPr>
        <sz val="10"/>
        <color indexed="12"/>
        <rFont val="宋体"/>
        <family val="3"/>
        <charset val="134"/>
      </rPr>
      <t>（企业管理层如能证明递增的增长率是合理的，可以以递增的增长率为基础。）</t>
    </r>
    <phoneticPr fontId="10" type="noConversion"/>
  </si>
  <si>
    <r>
      <rPr>
        <sz val="10"/>
        <color indexed="12"/>
        <rFont val="宋体"/>
        <family val="3"/>
        <charset val="134"/>
      </rPr>
      <t>（建立在预算或者预测基础上的预计现金流量最多涵盖</t>
    </r>
    <r>
      <rPr>
        <sz val="10"/>
        <color indexed="12"/>
        <rFont val="Arial Narrow"/>
        <family val="2"/>
      </rPr>
      <t>5</t>
    </r>
    <r>
      <rPr>
        <sz val="10"/>
        <color indexed="12"/>
        <rFont val="宋体"/>
        <family val="3"/>
        <charset val="134"/>
      </rPr>
      <t>年，更长期间需证明合理性。）</t>
    </r>
    <phoneticPr fontId="10" type="noConversion"/>
  </si>
  <si>
    <r>
      <rPr>
        <b/>
        <sz val="10"/>
        <rFont val="宋体"/>
        <family val="3"/>
        <charset val="134"/>
      </rPr>
      <t>债务成本</t>
    </r>
    <r>
      <rPr>
        <b/>
        <sz val="10"/>
        <rFont val="Arial Narrow"/>
        <family val="2"/>
      </rPr>
      <t>Kd</t>
    </r>
    <phoneticPr fontId="10" type="noConversion"/>
  </si>
  <si>
    <r>
      <rPr>
        <b/>
        <sz val="10"/>
        <color indexed="8"/>
        <rFont val="宋体"/>
        <family val="3"/>
        <charset val="134"/>
      </rPr>
      <t>一、审计目标：</t>
    </r>
    <r>
      <rPr>
        <sz val="10"/>
        <color indexed="8"/>
        <rFont val="宋体"/>
        <family val="3"/>
        <charset val="134"/>
      </rPr>
      <t>记录的固定资产由被审计单位拥有或控制。</t>
    </r>
    <phoneticPr fontId="14" type="noConversion"/>
  </si>
  <si>
    <r>
      <rPr>
        <b/>
        <sz val="10"/>
        <color indexed="8"/>
        <rFont val="宋体"/>
        <family val="3"/>
        <charset val="134"/>
      </rPr>
      <t>二、审计过程：</t>
    </r>
    <phoneticPr fontId="14" type="noConversion"/>
  </si>
  <si>
    <r>
      <rPr>
        <sz val="10"/>
        <color rgb="FF0000FF"/>
        <rFont val="宋体"/>
        <family val="3"/>
        <charset val="134"/>
      </rPr>
      <t>（提示：每次审计需要重新取得原件，进行原件和复印件的核对并记录）检查资产的权属证明，验证其属于被审计单位所有。</t>
    </r>
    <phoneticPr fontId="10" type="noConversion"/>
  </si>
  <si>
    <r>
      <rPr>
        <b/>
        <sz val="10"/>
        <rFont val="宋体"/>
        <family val="3"/>
        <charset val="134"/>
      </rPr>
      <t>资产名称</t>
    </r>
    <phoneticPr fontId="10" type="noConversion"/>
  </si>
  <si>
    <r>
      <rPr>
        <b/>
        <sz val="10"/>
        <rFont val="宋体"/>
        <family val="3"/>
        <charset val="134"/>
      </rPr>
      <t>抵押价值</t>
    </r>
    <phoneticPr fontId="10" type="noConversion"/>
  </si>
  <si>
    <r>
      <rPr>
        <b/>
        <sz val="10"/>
        <color indexed="8"/>
        <rFont val="宋体"/>
        <family val="3"/>
        <charset val="134"/>
      </rPr>
      <t>三、审计说明：</t>
    </r>
    <phoneticPr fontId="14" type="noConversion"/>
  </si>
  <si>
    <r>
      <rPr>
        <sz val="10"/>
        <rFont val="宋体"/>
        <family val="3"/>
        <charset val="134"/>
      </rPr>
      <t>权证是否齐全；是否归属公司所有</t>
    </r>
    <phoneticPr fontId="10" type="noConversion"/>
  </si>
  <si>
    <r>
      <rPr>
        <b/>
        <sz val="10"/>
        <color indexed="8"/>
        <rFont val="宋体"/>
        <family val="3"/>
        <charset val="134"/>
      </rPr>
      <t>四、审计结论：</t>
    </r>
    <phoneticPr fontId="14" type="noConversion"/>
  </si>
  <si>
    <r>
      <rPr>
        <b/>
        <sz val="10"/>
        <color indexed="8"/>
        <rFont val="宋体"/>
        <family val="3"/>
        <charset val="134"/>
      </rPr>
      <t>一、审计目标：</t>
    </r>
    <r>
      <rPr>
        <sz val="10"/>
        <color indexed="8"/>
        <rFont val="宋体"/>
        <family val="3"/>
        <charset val="134"/>
      </rPr>
      <t>记录的固定资产由被审计单位拥有或控制；</t>
    </r>
    <phoneticPr fontId="14" type="noConversion"/>
  </si>
  <si>
    <r>
      <rPr>
        <b/>
        <sz val="10"/>
        <rFont val="宋体"/>
        <family val="3"/>
        <charset val="134"/>
      </rPr>
      <t>财务账面记载</t>
    </r>
    <phoneticPr fontId="10" type="noConversion"/>
  </si>
  <si>
    <r>
      <rPr>
        <b/>
        <sz val="10"/>
        <rFont val="宋体"/>
        <family val="3"/>
        <charset val="134"/>
      </rPr>
      <t>抵押情况</t>
    </r>
    <phoneticPr fontId="10" type="noConversion"/>
  </si>
  <si>
    <r>
      <rPr>
        <b/>
        <sz val="10"/>
        <rFont val="宋体"/>
        <family val="3"/>
        <charset val="134"/>
      </rPr>
      <t>机动车行驶证</t>
    </r>
    <phoneticPr fontId="10" type="noConversion"/>
  </si>
  <si>
    <r>
      <rPr>
        <b/>
        <sz val="10"/>
        <rFont val="宋体"/>
        <family val="3"/>
        <charset val="134"/>
      </rPr>
      <t>登记栏</t>
    </r>
    <phoneticPr fontId="10" type="noConversion"/>
  </si>
  <si>
    <r>
      <rPr>
        <sz val="10"/>
        <rFont val="宋体"/>
        <family val="3"/>
        <charset val="134"/>
      </rPr>
      <t>抵押情况描述</t>
    </r>
    <phoneticPr fontId="10" type="noConversion"/>
  </si>
  <si>
    <r>
      <rPr>
        <sz val="10"/>
        <color rgb="FF0000FF"/>
        <rFont val="宋体"/>
        <family val="3"/>
        <charset val="134"/>
      </rPr>
      <t>机动车行驶证与机动车登记证书不同，后者为车辆权属的核心证明，但机动车行驶证在多数日常场景中具备法律效力。‌‌</t>
    </r>
    <phoneticPr fontId="10" type="noConversion"/>
  </si>
  <si>
    <r>
      <rPr>
        <b/>
        <sz val="10"/>
        <color indexed="8"/>
        <rFont val="宋体"/>
        <family val="3"/>
        <charset val="134"/>
      </rPr>
      <t>一、审计过程：</t>
    </r>
    <phoneticPr fontId="14" type="noConversion"/>
  </si>
  <si>
    <r>
      <rPr>
        <b/>
        <sz val="10"/>
        <rFont val="宋体"/>
        <family val="3"/>
        <charset val="134"/>
      </rPr>
      <t>资产编号</t>
    </r>
    <phoneticPr fontId="10" type="noConversion"/>
  </si>
  <si>
    <r>
      <rPr>
        <b/>
        <sz val="10"/>
        <rFont val="宋体"/>
        <family val="3"/>
        <charset val="134"/>
      </rPr>
      <t>机动车登记证书</t>
    </r>
    <phoneticPr fontId="10" type="noConversion"/>
  </si>
  <si>
    <r>
      <rPr>
        <b/>
        <sz val="10"/>
        <rFont val="宋体"/>
        <family val="3"/>
        <charset val="134"/>
      </rPr>
      <t>累计折旧</t>
    </r>
    <phoneticPr fontId="10" type="noConversion"/>
  </si>
  <si>
    <r>
      <rPr>
        <b/>
        <sz val="10"/>
        <rFont val="宋体"/>
        <family val="3"/>
        <charset val="134"/>
      </rPr>
      <t>减值准备</t>
    </r>
    <phoneticPr fontId="10" type="noConversion"/>
  </si>
  <si>
    <r>
      <rPr>
        <b/>
        <sz val="10"/>
        <rFont val="宋体"/>
        <family val="3"/>
        <charset val="134"/>
      </rPr>
      <t>机动车所有人</t>
    </r>
    <phoneticPr fontId="10" type="noConversion"/>
  </si>
  <si>
    <r>
      <rPr>
        <b/>
        <sz val="10"/>
        <rFont val="宋体"/>
        <family val="3"/>
        <charset val="134"/>
      </rPr>
      <t>机动车登记编号</t>
    </r>
    <phoneticPr fontId="10" type="noConversion"/>
  </si>
  <si>
    <r>
      <rPr>
        <b/>
        <sz val="10"/>
        <rFont val="宋体"/>
        <family val="3"/>
        <charset val="134"/>
      </rPr>
      <t>车辆品牌</t>
    </r>
    <phoneticPr fontId="10" type="noConversion"/>
  </si>
  <si>
    <r>
      <rPr>
        <b/>
        <sz val="10"/>
        <rFont val="宋体"/>
        <family val="3"/>
        <charset val="134"/>
      </rPr>
      <t>发动机号</t>
    </r>
    <phoneticPr fontId="10" type="noConversion"/>
  </si>
  <si>
    <r>
      <rPr>
        <b/>
        <sz val="10"/>
        <rFont val="宋体"/>
        <family val="3"/>
        <charset val="134"/>
      </rPr>
      <t>发证日期</t>
    </r>
    <phoneticPr fontId="10" type="noConversion"/>
  </si>
  <si>
    <r>
      <rPr>
        <b/>
        <sz val="10"/>
        <rFont val="宋体"/>
        <family val="3"/>
        <charset val="134"/>
      </rPr>
      <t>机动车登记证书索引</t>
    </r>
    <phoneticPr fontId="10" type="noConversion"/>
  </si>
  <si>
    <r>
      <rPr>
        <b/>
        <sz val="10"/>
        <rFont val="宋体"/>
        <family val="3"/>
        <charset val="134"/>
      </rPr>
      <t>是否抵押受限</t>
    </r>
    <phoneticPr fontId="10" type="noConversion"/>
  </si>
  <si>
    <r>
      <rPr>
        <b/>
        <sz val="10"/>
        <rFont val="宋体"/>
        <family val="3"/>
        <charset val="134"/>
      </rPr>
      <t>抵押性质</t>
    </r>
    <phoneticPr fontId="10" type="noConversion"/>
  </si>
  <si>
    <r>
      <rPr>
        <b/>
        <sz val="10"/>
        <rFont val="宋体"/>
        <family val="3"/>
        <charset val="134"/>
      </rPr>
      <t>年检截止日
（最后）</t>
    </r>
    <phoneticPr fontId="10" type="noConversion"/>
  </si>
  <si>
    <r>
      <rPr>
        <b/>
        <sz val="10"/>
        <rFont val="宋体"/>
        <family val="3"/>
        <charset val="134"/>
      </rPr>
      <t>行驶证复印件索引</t>
    </r>
    <phoneticPr fontId="10" type="noConversion"/>
  </si>
  <si>
    <r>
      <rPr>
        <sz val="10"/>
        <color rgb="FF0000FF"/>
        <rFont val="宋体"/>
        <family val="3"/>
        <charset val="134"/>
      </rPr>
      <t>机动车行驶证：是准予机动车在中华人民共和国境内道路上行驶的法定证件，需随车携带</t>
    </r>
    <phoneticPr fontId="10" type="noConversion"/>
  </si>
  <si>
    <r>
      <rPr>
        <sz val="10"/>
        <color rgb="FF0000FF"/>
        <rFont val="宋体"/>
        <family val="3"/>
        <charset val="134"/>
      </rPr>
      <t>机动车登记证书：是车辆的法定所有权证明</t>
    </r>
    <r>
      <rPr>
        <sz val="10"/>
        <color rgb="FF0000FF"/>
        <rFont val="Arial Narrow"/>
        <family val="2"/>
      </rPr>
      <t>,</t>
    </r>
    <r>
      <rPr>
        <sz val="10"/>
        <color rgb="FF0000FF"/>
        <rFont val="宋体"/>
        <family val="3"/>
        <charset val="134"/>
      </rPr>
      <t>具有法律上的约束力</t>
    </r>
    <r>
      <rPr>
        <sz val="10"/>
        <color rgb="FF0000FF"/>
        <rFont val="Arial Narrow"/>
        <family val="2"/>
      </rPr>
      <t>,</t>
    </r>
    <r>
      <rPr>
        <sz val="10"/>
        <color rgb="FF0000FF"/>
        <rFont val="宋体"/>
        <family val="3"/>
        <charset val="134"/>
      </rPr>
      <t>能够明确车辆的所有权归属。该证书由车主负责妥善保存</t>
    </r>
    <r>
      <rPr>
        <sz val="10"/>
        <color rgb="FF0000FF"/>
        <rFont val="Arial Narrow"/>
        <family val="2"/>
      </rPr>
      <t>,</t>
    </r>
    <r>
      <rPr>
        <sz val="10"/>
        <color rgb="FF0000FF"/>
        <rFont val="宋体"/>
        <family val="3"/>
        <charset val="134"/>
      </rPr>
      <t>无需随车携带。</t>
    </r>
    <r>
      <rPr>
        <sz val="10"/>
        <color rgb="FF0000FF"/>
        <rFont val="Arial Narrow"/>
        <family val="2"/>
      </rPr>
      <t>“</t>
    </r>
    <r>
      <rPr>
        <sz val="10"/>
        <color rgb="FF0000FF"/>
        <rFont val="宋体"/>
        <family val="3"/>
        <charset val="134"/>
      </rPr>
      <t>登记栏</t>
    </r>
    <r>
      <rPr>
        <sz val="10"/>
        <color rgb="FF0000FF"/>
        <rFont val="Arial Narrow"/>
        <family val="2"/>
      </rPr>
      <t>“</t>
    </r>
    <r>
      <rPr>
        <sz val="10"/>
        <color rgb="FF0000FF"/>
        <rFont val="宋体"/>
        <family val="3"/>
        <charset val="134"/>
      </rPr>
      <t>中查看车辆变更、抵押情况等</t>
    </r>
    <phoneticPr fontId="10" type="noConversion"/>
  </si>
  <si>
    <r>
      <rPr>
        <b/>
        <sz val="10"/>
        <rFont val="宋体"/>
        <family val="3"/>
        <charset val="134"/>
      </rPr>
      <t>购买固定资产名称</t>
    </r>
    <phoneticPr fontId="10" type="noConversion"/>
  </si>
  <si>
    <r>
      <rPr>
        <b/>
        <sz val="10"/>
        <rFont val="宋体"/>
        <family val="3"/>
        <charset val="134"/>
      </rPr>
      <t>购入时间</t>
    </r>
    <phoneticPr fontId="10" type="noConversion"/>
  </si>
  <si>
    <r>
      <rPr>
        <b/>
        <sz val="10"/>
        <rFont val="宋体"/>
        <family val="3"/>
        <charset val="134"/>
      </rPr>
      <t>折旧年限</t>
    </r>
    <phoneticPr fontId="10" type="noConversion"/>
  </si>
  <si>
    <r>
      <rPr>
        <b/>
        <sz val="10"/>
        <rFont val="宋体"/>
        <family val="3"/>
        <charset val="134"/>
      </rPr>
      <t>定价政策</t>
    </r>
    <phoneticPr fontId="10" type="noConversion"/>
  </si>
  <si>
    <r>
      <rPr>
        <b/>
        <sz val="10"/>
        <rFont val="宋体"/>
        <family val="3"/>
        <charset val="134"/>
      </rPr>
      <t>关联单位名称</t>
    </r>
    <phoneticPr fontId="10" type="noConversion"/>
  </si>
  <si>
    <r>
      <rPr>
        <b/>
        <sz val="10"/>
        <rFont val="宋体"/>
        <family val="3"/>
        <charset val="134"/>
      </rPr>
      <t>资产类别</t>
    </r>
    <phoneticPr fontId="10" type="noConversion"/>
  </si>
  <si>
    <r>
      <rPr>
        <b/>
        <sz val="10"/>
        <rFont val="宋体"/>
        <family val="3"/>
        <charset val="134"/>
      </rPr>
      <t>出售时累计折旧</t>
    </r>
    <phoneticPr fontId="10" type="noConversion"/>
  </si>
  <si>
    <r>
      <rPr>
        <b/>
        <sz val="10"/>
        <rFont val="宋体"/>
        <family val="3"/>
        <charset val="134"/>
      </rPr>
      <t>出售时减值准备</t>
    </r>
    <phoneticPr fontId="10" type="noConversion"/>
  </si>
  <si>
    <r>
      <rPr>
        <b/>
        <sz val="10"/>
        <rFont val="宋体"/>
        <family val="3"/>
        <charset val="134"/>
      </rPr>
      <t>出售时净值</t>
    </r>
    <phoneticPr fontId="10" type="noConversion"/>
  </si>
  <si>
    <r>
      <rPr>
        <b/>
        <sz val="10"/>
        <rFont val="宋体"/>
        <family val="3"/>
        <charset val="134"/>
      </rPr>
      <t>占同类交易金额的比例％</t>
    </r>
    <phoneticPr fontId="10" type="noConversion"/>
  </si>
  <si>
    <r>
      <rPr>
        <b/>
        <sz val="10"/>
        <rFont val="宋体"/>
        <family val="3"/>
        <charset val="134"/>
      </rPr>
      <t>出售时间</t>
    </r>
    <phoneticPr fontId="10" type="noConversion"/>
  </si>
  <si>
    <r>
      <rPr>
        <b/>
        <sz val="10"/>
        <rFont val="宋体"/>
        <family val="3"/>
        <charset val="134"/>
      </rPr>
      <t>关联交易是否存在异常</t>
    </r>
    <phoneticPr fontId="10" type="noConversion"/>
  </si>
  <si>
    <r>
      <rPr>
        <sz val="10"/>
        <color rgb="FF0000FF"/>
        <rFont val="宋体"/>
        <family val="3"/>
        <charset val="134"/>
      </rPr>
      <t>勿删</t>
    </r>
    <phoneticPr fontId="10" type="noConversion"/>
  </si>
  <si>
    <r>
      <t>1.</t>
    </r>
    <r>
      <rPr>
        <sz val="10"/>
        <rFont val="宋体"/>
        <family val="3"/>
        <charset val="134"/>
      </rPr>
      <t>资产负债表中记录的固定资产是存在的，且已记录于恰当的账户；</t>
    </r>
    <r>
      <rPr>
        <sz val="10"/>
        <rFont val="Arial Narrow"/>
        <family val="2"/>
      </rPr>
      <t>2.</t>
    </r>
    <r>
      <rPr>
        <sz val="10"/>
        <rFont val="宋体"/>
        <family val="3"/>
        <charset val="134"/>
      </rPr>
      <t>所有应记录的固定资产均已记录，所有应当包括在财务报表中的相关披露均已包括；</t>
    </r>
    <r>
      <rPr>
        <sz val="10"/>
        <rFont val="Arial Narrow"/>
        <family val="2"/>
      </rPr>
      <t>3.</t>
    </r>
    <r>
      <rPr>
        <sz val="10"/>
        <rFont val="宋体"/>
        <family val="3"/>
        <charset val="134"/>
      </rPr>
      <t>记录的固定资产由被审计单位拥有或控制。</t>
    </r>
    <phoneticPr fontId="10" type="noConversion"/>
  </si>
  <si>
    <r>
      <t>4.</t>
    </r>
    <r>
      <rPr>
        <sz val="10"/>
        <rFont val="宋体"/>
        <family val="3"/>
        <charset val="134"/>
      </rPr>
      <t>固定资产以恰当的金额包括在财务报表中，与之相关的计价或分摊调整已恰当记录，相关披露已得到恰当计量和描述；</t>
    </r>
    <r>
      <rPr>
        <sz val="10"/>
        <rFont val="Arial Narrow"/>
        <family val="2"/>
      </rPr>
      <t>5.</t>
    </r>
    <r>
      <rPr>
        <sz val="10"/>
        <rFont val="宋体"/>
        <family val="3"/>
        <charset val="134"/>
      </rPr>
      <t>固定资产已被恰当地汇总或分解且表述清楚，相关披露在按照企业会计准则的编制基础下是相关的、可理解的。</t>
    </r>
    <phoneticPr fontId="10" type="noConversion"/>
  </si>
  <si>
    <r>
      <rPr>
        <b/>
        <sz val="10"/>
        <rFont val="宋体"/>
        <family val="3"/>
        <charset val="134"/>
      </rPr>
      <t>关联方关系</t>
    </r>
    <phoneticPr fontId="10" type="noConversion"/>
  </si>
  <si>
    <r>
      <rPr>
        <b/>
        <sz val="10"/>
        <rFont val="宋体"/>
        <family val="3"/>
        <charset val="134"/>
      </rPr>
      <t>购买价款</t>
    </r>
    <phoneticPr fontId="10" type="noConversion"/>
  </si>
  <si>
    <r>
      <rPr>
        <b/>
        <sz val="10"/>
        <rFont val="宋体"/>
        <family val="3"/>
        <charset val="134"/>
      </rPr>
      <t>固定资产入账价值</t>
    </r>
    <phoneticPr fontId="10" type="noConversion"/>
  </si>
  <si>
    <r>
      <rPr>
        <b/>
        <sz val="10"/>
        <rFont val="宋体"/>
        <family val="3"/>
        <charset val="134"/>
      </rPr>
      <t>关联交易是否存在异常</t>
    </r>
    <phoneticPr fontId="10" type="noConversion"/>
  </si>
  <si>
    <r>
      <rPr>
        <b/>
        <sz val="10"/>
        <rFont val="宋体"/>
        <family val="3"/>
        <charset val="134"/>
      </rPr>
      <t>索引号</t>
    </r>
    <phoneticPr fontId="10" type="noConversion"/>
  </si>
  <si>
    <r>
      <rPr>
        <b/>
        <sz val="10"/>
        <rFont val="宋体"/>
        <family val="3"/>
        <charset val="134"/>
      </rPr>
      <t>关联单位名称</t>
    </r>
    <phoneticPr fontId="10" type="noConversion"/>
  </si>
  <si>
    <r>
      <rPr>
        <b/>
        <sz val="10"/>
        <rFont val="宋体"/>
        <family val="3"/>
        <charset val="134"/>
      </rPr>
      <t>资产类别</t>
    </r>
    <phoneticPr fontId="10" type="noConversion"/>
  </si>
  <si>
    <r>
      <rPr>
        <b/>
        <sz val="10"/>
        <rFont val="宋体"/>
        <family val="3"/>
        <charset val="134"/>
      </rPr>
      <t>出售固定资产名称</t>
    </r>
    <phoneticPr fontId="10" type="noConversion"/>
  </si>
  <si>
    <r>
      <rPr>
        <b/>
        <sz val="10"/>
        <rFont val="宋体"/>
        <family val="3"/>
        <charset val="134"/>
      </rPr>
      <t>出售时固定资产原值</t>
    </r>
    <phoneticPr fontId="10" type="noConversion"/>
  </si>
  <si>
    <r>
      <rPr>
        <b/>
        <sz val="10"/>
        <rFont val="宋体"/>
        <family val="3"/>
        <charset val="134"/>
      </rPr>
      <t>销售价格
（不含税）</t>
    </r>
    <phoneticPr fontId="10" type="noConversion"/>
  </si>
  <si>
    <r>
      <rPr>
        <b/>
        <sz val="10"/>
        <rFont val="宋体"/>
        <family val="3"/>
        <charset val="134"/>
      </rPr>
      <t>占同类交易金额的比例％</t>
    </r>
    <phoneticPr fontId="10" type="noConversion"/>
  </si>
  <si>
    <r>
      <rPr>
        <b/>
        <sz val="10"/>
        <rFont val="宋体"/>
        <family val="3"/>
        <charset val="134"/>
      </rPr>
      <t>定价政策</t>
    </r>
    <phoneticPr fontId="10" type="noConversion"/>
  </si>
  <si>
    <r>
      <rPr>
        <b/>
        <sz val="10"/>
        <rFont val="宋体"/>
        <family val="3"/>
        <charset val="134"/>
      </rPr>
      <t>规格型号</t>
    </r>
    <phoneticPr fontId="10" type="noConversion"/>
  </si>
  <si>
    <r>
      <rPr>
        <b/>
        <sz val="10"/>
        <rFont val="宋体"/>
        <family val="3"/>
        <charset val="134"/>
      </rPr>
      <t>承租单位名称</t>
    </r>
    <phoneticPr fontId="10" type="noConversion"/>
  </si>
  <si>
    <r>
      <rPr>
        <b/>
        <sz val="10"/>
        <rFont val="宋体"/>
        <family val="3"/>
        <charset val="134"/>
      </rPr>
      <t>租赁开始日</t>
    </r>
    <phoneticPr fontId="10" type="noConversion"/>
  </si>
  <si>
    <r>
      <rPr>
        <b/>
        <sz val="10"/>
        <rFont val="宋体"/>
        <family val="3"/>
        <charset val="134"/>
      </rPr>
      <t>经营租出固定资产应计提的租金收入核对</t>
    </r>
    <phoneticPr fontId="10" type="noConversion"/>
  </si>
  <si>
    <r>
      <rPr>
        <b/>
        <sz val="10"/>
        <rFont val="宋体"/>
        <family val="3"/>
        <charset val="134"/>
      </rPr>
      <t>残值率</t>
    </r>
    <phoneticPr fontId="10" type="noConversion"/>
  </si>
  <si>
    <r>
      <rPr>
        <b/>
        <sz val="10"/>
        <rFont val="宋体"/>
        <family val="3"/>
        <charset val="134"/>
      </rPr>
      <t>月折旧额</t>
    </r>
    <phoneticPr fontId="10" type="noConversion"/>
  </si>
  <si>
    <r>
      <rPr>
        <b/>
        <sz val="10"/>
        <rFont val="宋体"/>
        <family val="3"/>
        <charset val="134"/>
      </rPr>
      <t>本期应计租金收入</t>
    </r>
    <phoneticPr fontId="10" type="noConversion"/>
  </si>
  <si>
    <r>
      <rPr>
        <b/>
        <sz val="10"/>
        <color indexed="8"/>
        <rFont val="宋体"/>
        <family val="3"/>
        <charset val="134"/>
      </rPr>
      <t>一、审计目标：</t>
    </r>
    <r>
      <rPr>
        <sz val="10"/>
        <color indexed="8"/>
        <rFont val="Arial Narrow"/>
        <family val="2"/>
      </rPr>
      <t>1.</t>
    </r>
    <r>
      <rPr>
        <sz val="10"/>
        <color indexed="8"/>
        <rFont val="宋体"/>
        <family val="3"/>
        <charset val="134"/>
      </rPr>
      <t>资产负债表中记录的固定资产是存在的，且已记录于恰当的账户；</t>
    </r>
    <r>
      <rPr>
        <sz val="10"/>
        <color indexed="8"/>
        <rFont val="Arial Narrow"/>
        <family val="2"/>
      </rPr>
      <t>2.</t>
    </r>
    <r>
      <rPr>
        <sz val="10"/>
        <color indexed="8"/>
        <rFont val="宋体"/>
        <family val="3"/>
        <charset val="134"/>
      </rPr>
      <t>记录的固定资产由被审计单位拥有或控制；</t>
    </r>
    <r>
      <rPr>
        <sz val="10"/>
        <color indexed="8"/>
        <rFont val="Arial Narrow"/>
        <family val="2"/>
      </rPr>
      <t>3.</t>
    </r>
    <r>
      <rPr>
        <sz val="10"/>
        <color indexed="8"/>
        <rFont val="宋体"/>
        <family val="3"/>
        <charset val="134"/>
      </rPr>
      <t>固定资产以恰当的金额包括在财务报表中，与之相关的计价或分摊调整已恰当记录，相关披露已得到恰当计量和描述</t>
    </r>
    <r>
      <rPr>
        <sz val="10"/>
        <color indexed="8"/>
        <rFont val="Arial Narrow"/>
        <family val="2"/>
      </rPr>
      <t xml:space="preserve"> </t>
    </r>
    <phoneticPr fontId="14" type="noConversion"/>
  </si>
  <si>
    <r>
      <rPr>
        <b/>
        <sz val="10"/>
        <rFont val="宋体"/>
        <family val="3"/>
        <charset val="134"/>
      </rPr>
      <t>承租单位名称</t>
    </r>
    <phoneticPr fontId="10" type="noConversion"/>
  </si>
  <si>
    <r>
      <rPr>
        <b/>
        <sz val="10"/>
        <rFont val="宋体"/>
        <family val="3"/>
        <charset val="134"/>
      </rPr>
      <t>租赁开始日</t>
    </r>
    <phoneticPr fontId="10" type="noConversion"/>
  </si>
  <si>
    <r>
      <rPr>
        <b/>
        <sz val="10"/>
        <rFont val="宋体"/>
        <family val="3"/>
        <charset val="134"/>
      </rPr>
      <t>租赁到期日</t>
    </r>
    <phoneticPr fontId="10" type="noConversion"/>
  </si>
  <si>
    <r>
      <rPr>
        <b/>
        <sz val="10"/>
        <rFont val="宋体"/>
        <family val="3"/>
        <charset val="134"/>
      </rPr>
      <t>租赁合同总金额</t>
    </r>
    <phoneticPr fontId="10" type="noConversion"/>
  </si>
  <si>
    <r>
      <rPr>
        <b/>
        <sz val="10"/>
        <rFont val="宋体"/>
        <family val="3"/>
        <charset val="134"/>
      </rPr>
      <t>本年应计租金月份数</t>
    </r>
    <phoneticPr fontId="10" type="noConversion"/>
  </si>
  <si>
    <r>
      <rPr>
        <b/>
        <sz val="10"/>
        <rFont val="宋体"/>
        <family val="3"/>
        <charset val="134"/>
      </rPr>
      <t>经营租出固定资产应计提的折旧费用核对</t>
    </r>
    <phoneticPr fontId="10" type="noConversion"/>
  </si>
  <si>
    <r>
      <rPr>
        <b/>
        <sz val="10"/>
        <rFont val="宋体"/>
        <family val="3"/>
        <charset val="134"/>
      </rPr>
      <t>租赁合同索引号</t>
    </r>
    <phoneticPr fontId="10" type="noConversion"/>
  </si>
  <si>
    <r>
      <rPr>
        <b/>
        <sz val="10"/>
        <rFont val="宋体"/>
        <family val="3"/>
        <charset val="134"/>
      </rPr>
      <t>固定资产原价</t>
    </r>
    <phoneticPr fontId="10" type="noConversion"/>
  </si>
  <si>
    <r>
      <rPr>
        <b/>
        <sz val="10"/>
        <rFont val="宋体"/>
        <family val="3"/>
        <charset val="134"/>
      </rPr>
      <t>固定资产累计折旧</t>
    </r>
    <phoneticPr fontId="10" type="noConversion"/>
  </si>
  <si>
    <r>
      <rPr>
        <b/>
        <sz val="10"/>
        <rFont val="宋体"/>
        <family val="3"/>
        <charset val="134"/>
      </rPr>
      <t>折旧年限</t>
    </r>
    <phoneticPr fontId="10" type="noConversion"/>
  </si>
  <si>
    <r>
      <rPr>
        <b/>
        <sz val="10"/>
        <rFont val="宋体"/>
        <family val="3"/>
        <charset val="134"/>
      </rPr>
      <t>本期应计入其他业务支出的折旧额</t>
    </r>
    <phoneticPr fontId="10" type="noConversion"/>
  </si>
  <si>
    <r>
      <rPr>
        <b/>
        <sz val="10"/>
        <rFont val="宋体"/>
        <family val="3"/>
        <charset val="134"/>
      </rPr>
      <t>账面计入其他业务支出的折旧额</t>
    </r>
    <phoneticPr fontId="10" type="noConversion"/>
  </si>
  <si>
    <r>
      <rPr>
        <b/>
        <sz val="10"/>
        <rFont val="宋体"/>
        <family val="3"/>
        <charset val="134"/>
      </rPr>
      <t>月租金收入</t>
    </r>
    <phoneticPr fontId="10" type="noConversion"/>
  </si>
  <si>
    <r>
      <rPr>
        <b/>
        <sz val="10"/>
        <rFont val="宋体"/>
        <family val="3"/>
        <charset val="134"/>
      </rPr>
      <t>账面计入其他业务收入的租金额</t>
    </r>
    <phoneticPr fontId="10" type="noConversion"/>
  </si>
  <si>
    <r>
      <rPr>
        <b/>
        <sz val="10"/>
        <color indexed="8"/>
        <rFont val="宋体"/>
        <family val="3"/>
        <charset val="134"/>
      </rPr>
      <t>三、审计说明：</t>
    </r>
    <phoneticPr fontId="14" type="noConversion"/>
  </si>
  <si>
    <r>
      <rPr>
        <b/>
        <sz val="10"/>
        <color indexed="8"/>
        <rFont val="宋体"/>
        <family val="3"/>
        <charset val="134"/>
      </rPr>
      <t>一、审计目标：</t>
    </r>
    <r>
      <rPr>
        <sz val="10"/>
        <color indexed="8"/>
        <rFont val="Arial Narrow"/>
        <family val="2"/>
      </rPr>
      <t>1.</t>
    </r>
    <r>
      <rPr>
        <sz val="10"/>
        <color indexed="8"/>
        <rFont val="宋体"/>
        <family val="3"/>
        <charset val="134"/>
      </rPr>
      <t>资产负债表中记录的固定资产是存在的，且已记录于恰当的账户；</t>
    </r>
    <r>
      <rPr>
        <sz val="10"/>
        <color indexed="8"/>
        <rFont val="Arial Narrow"/>
        <family val="2"/>
      </rPr>
      <t>2.</t>
    </r>
    <r>
      <rPr>
        <sz val="10"/>
        <color indexed="8"/>
        <rFont val="宋体"/>
        <family val="3"/>
        <charset val="134"/>
      </rPr>
      <t>记录的固定资产由被审计单位拥有或控制；</t>
    </r>
    <r>
      <rPr>
        <sz val="10"/>
        <color indexed="8"/>
        <rFont val="Arial Narrow"/>
        <family val="2"/>
      </rPr>
      <t>3.</t>
    </r>
    <r>
      <rPr>
        <sz val="10"/>
        <color indexed="8"/>
        <rFont val="宋体"/>
        <family val="3"/>
        <charset val="134"/>
      </rPr>
      <t>固定资产以恰当的金额包括在财务报表中，与之相关的计价或分摊调整已恰当记录，相关披露已得到恰当计量和描述。</t>
    </r>
    <phoneticPr fontId="14" type="noConversion"/>
  </si>
  <si>
    <r>
      <rPr>
        <b/>
        <sz val="10"/>
        <rFont val="宋体"/>
        <family val="3"/>
        <charset val="134"/>
      </rPr>
      <t>融资租出固定资产编号</t>
    </r>
    <phoneticPr fontId="10" type="noConversion"/>
  </si>
  <si>
    <r>
      <rPr>
        <b/>
        <sz val="10"/>
        <rFont val="宋体"/>
        <family val="3"/>
        <charset val="134"/>
      </rPr>
      <t>融资租出固定资产名称</t>
    </r>
    <phoneticPr fontId="10" type="noConversion"/>
  </si>
  <si>
    <r>
      <rPr>
        <b/>
        <sz val="10"/>
        <rFont val="宋体"/>
        <family val="3"/>
        <charset val="134"/>
      </rPr>
      <t>租赁合同索引号</t>
    </r>
    <phoneticPr fontId="10" type="noConversion"/>
  </si>
  <si>
    <r>
      <rPr>
        <b/>
        <sz val="10"/>
        <rFont val="宋体"/>
        <family val="3"/>
        <charset val="134"/>
      </rPr>
      <t>是否满足融资租赁的定义</t>
    </r>
    <phoneticPr fontId="10" type="noConversion"/>
  </si>
  <si>
    <r>
      <rPr>
        <b/>
        <sz val="10"/>
        <rFont val="宋体"/>
        <family val="3"/>
        <charset val="134"/>
      </rPr>
      <t>在租赁期届满时，租赁资产的所有权转移给承租人；</t>
    </r>
  </si>
  <si>
    <r>
      <rPr>
        <b/>
        <sz val="10"/>
        <rFont val="宋体"/>
        <family val="3"/>
        <charset val="134"/>
      </rPr>
      <t>租赁期占租赁资产使用寿命的大部分</t>
    </r>
    <r>
      <rPr>
        <b/>
        <sz val="10"/>
        <color rgb="FFFF0000"/>
        <rFont val="宋体"/>
        <family val="3"/>
        <charset val="134"/>
      </rPr>
      <t>（</t>
    </r>
    <r>
      <rPr>
        <b/>
        <sz val="10"/>
        <color rgb="FFFF0000"/>
        <rFont val="Arial Narrow"/>
        <family val="2"/>
      </rPr>
      <t>&gt;=75%</t>
    </r>
    <r>
      <rPr>
        <b/>
        <sz val="10"/>
        <color rgb="FFFF0000"/>
        <rFont val="宋体"/>
        <family val="3"/>
        <charset val="134"/>
      </rPr>
      <t>）</t>
    </r>
    <r>
      <rPr>
        <b/>
        <sz val="10"/>
        <rFont val="宋体"/>
        <family val="3"/>
        <charset val="134"/>
      </rPr>
      <t>；</t>
    </r>
    <phoneticPr fontId="10" type="noConversion"/>
  </si>
  <si>
    <r>
      <rPr>
        <b/>
        <sz val="10"/>
        <rFont val="宋体"/>
        <family val="3"/>
        <charset val="134"/>
      </rPr>
      <t>承租人有购买租赁资产的选择权，在租赁开始日可合理确定承租人将行使该权利</t>
    </r>
    <phoneticPr fontId="10" type="noConversion"/>
  </si>
  <si>
    <r>
      <rPr>
        <b/>
        <sz val="10"/>
        <rFont val="宋体"/>
        <family val="3"/>
        <charset val="134"/>
      </rPr>
      <t>承租人租赁开始日的最低租赁付款额的现值，几乎相当于租赁开始日租赁资产公允价值</t>
    </r>
    <r>
      <rPr>
        <b/>
        <sz val="10"/>
        <color rgb="FFFF0000"/>
        <rFont val="宋体"/>
        <family val="3"/>
        <charset val="134"/>
      </rPr>
      <t>（</t>
    </r>
    <r>
      <rPr>
        <b/>
        <sz val="10"/>
        <color rgb="FFFF0000"/>
        <rFont val="Arial Narrow"/>
        <family val="2"/>
      </rPr>
      <t>&gt;=90%</t>
    </r>
    <r>
      <rPr>
        <b/>
        <sz val="10"/>
        <color rgb="FFFF0000"/>
        <rFont val="宋体"/>
        <family val="3"/>
        <charset val="134"/>
      </rPr>
      <t>）</t>
    </r>
    <phoneticPr fontId="10" type="noConversion"/>
  </si>
  <si>
    <r>
      <rPr>
        <b/>
        <sz val="10"/>
        <rFont val="宋体"/>
        <family val="3"/>
        <charset val="134"/>
      </rPr>
      <t>出租人租赁开始日的最低租赁收款额的现值，几乎相当于租赁开始日租赁资产公允价值</t>
    </r>
    <r>
      <rPr>
        <b/>
        <sz val="10"/>
        <color rgb="FFFF0000"/>
        <rFont val="宋体"/>
        <family val="3"/>
        <charset val="134"/>
      </rPr>
      <t>（</t>
    </r>
    <r>
      <rPr>
        <b/>
        <sz val="10"/>
        <color rgb="FFFF0000"/>
        <rFont val="Arial Narrow"/>
        <family val="2"/>
      </rPr>
      <t>&gt;=90%</t>
    </r>
    <r>
      <rPr>
        <b/>
        <sz val="10"/>
        <color rgb="FFFF0000"/>
        <rFont val="宋体"/>
        <family val="3"/>
        <charset val="134"/>
      </rPr>
      <t>）</t>
    </r>
    <phoneticPr fontId="10" type="noConversion"/>
  </si>
  <si>
    <r>
      <rPr>
        <b/>
        <sz val="10"/>
        <rFont val="宋体"/>
        <family val="3"/>
        <charset val="134"/>
      </rPr>
      <t>租赁资产性质特殊，如不作较大改造，只有承租人才能使用</t>
    </r>
  </si>
  <si>
    <r>
      <rPr>
        <b/>
        <sz val="10"/>
        <rFont val="宋体"/>
        <family val="3"/>
        <charset val="134"/>
      </rPr>
      <t>项目</t>
    </r>
    <phoneticPr fontId="10" type="noConversion"/>
  </si>
  <si>
    <r>
      <rPr>
        <b/>
        <sz val="10"/>
        <rFont val="宋体"/>
        <family val="3"/>
        <charset val="134"/>
      </rPr>
      <t>各期租金之和</t>
    </r>
    <phoneticPr fontId="10" type="noConversion"/>
  </si>
  <si>
    <r>
      <rPr>
        <b/>
        <sz val="10"/>
        <rFont val="宋体"/>
        <family val="3"/>
        <charset val="134"/>
      </rPr>
      <t>行使优惠购买选择权支付的金额</t>
    </r>
    <phoneticPr fontId="10" type="noConversion"/>
  </si>
  <si>
    <r>
      <t>2014</t>
    </r>
    <r>
      <rPr>
        <b/>
        <sz val="10"/>
        <rFont val="宋体"/>
        <family val="3"/>
        <charset val="134"/>
      </rPr>
      <t>年</t>
    </r>
    <phoneticPr fontId="10" type="noConversion"/>
  </si>
  <si>
    <r>
      <t>2015</t>
    </r>
    <r>
      <rPr>
        <b/>
        <sz val="10"/>
        <rFont val="宋体"/>
        <family val="3"/>
        <charset val="134"/>
      </rPr>
      <t>年</t>
    </r>
    <phoneticPr fontId="10" type="noConversion"/>
  </si>
  <si>
    <r>
      <t>2016</t>
    </r>
    <r>
      <rPr>
        <b/>
        <sz val="10"/>
        <rFont val="宋体"/>
        <family val="3"/>
        <charset val="134"/>
      </rPr>
      <t>年</t>
    </r>
    <r>
      <rPr>
        <b/>
        <sz val="9"/>
        <rFont val="宋体"/>
        <family val="3"/>
        <charset val="134"/>
      </rPr>
      <t/>
    </r>
  </si>
  <si>
    <r>
      <t>2017</t>
    </r>
    <r>
      <rPr>
        <b/>
        <sz val="10"/>
        <rFont val="宋体"/>
        <family val="3"/>
        <charset val="134"/>
      </rPr>
      <t>年</t>
    </r>
    <r>
      <rPr>
        <b/>
        <sz val="9"/>
        <rFont val="宋体"/>
        <family val="3"/>
        <charset val="134"/>
      </rPr>
      <t/>
    </r>
  </si>
  <si>
    <r>
      <t>2018</t>
    </r>
    <r>
      <rPr>
        <b/>
        <sz val="10"/>
        <rFont val="宋体"/>
        <family val="3"/>
        <charset val="134"/>
      </rPr>
      <t>年</t>
    </r>
    <r>
      <rPr>
        <b/>
        <sz val="9"/>
        <rFont val="宋体"/>
        <family val="3"/>
        <charset val="134"/>
      </rPr>
      <t/>
    </r>
  </si>
  <si>
    <r>
      <t>2019</t>
    </r>
    <r>
      <rPr>
        <b/>
        <sz val="10"/>
        <rFont val="宋体"/>
        <family val="3"/>
        <charset val="134"/>
      </rPr>
      <t>年</t>
    </r>
    <r>
      <rPr>
        <b/>
        <sz val="9"/>
        <rFont val="宋体"/>
        <family val="3"/>
        <charset val="134"/>
      </rPr>
      <t/>
    </r>
  </si>
  <si>
    <r>
      <rPr>
        <b/>
        <sz val="10"/>
        <rFont val="宋体"/>
        <family val="3"/>
        <charset val="134"/>
      </rPr>
      <t>最低租赁收款额</t>
    </r>
    <phoneticPr fontId="10" type="noConversion"/>
  </si>
  <si>
    <r>
      <rPr>
        <b/>
        <sz val="10"/>
        <rFont val="宋体"/>
        <family val="3"/>
        <charset val="134"/>
      </rPr>
      <t>折现率</t>
    </r>
    <r>
      <rPr>
        <b/>
        <sz val="10"/>
        <rFont val="Arial Narrow"/>
        <family val="2"/>
      </rPr>
      <t>1</t>
    </r>
    <phoneticPr fontId="10" type="noConversion"/>
  </si>
  <si>
    <r>
      <rPr>
        <b/>
        <sz val="10"/>
        <rFont val="宋体"/>
        <family val="3"/>
        <charset val="134"/>
      </rPr>
      <t>折现值</t>
    </r>
    <r>
      <rPr>
        <b/>
        <sz val="10"/>
        <rFont val="Arial Narrow"/>
        <family val="2"/>
      </rPr>
      <t>1</t>
    </r>
    <phoneticPr fontId="10" type="noConversion"/>
  </si>
  <si>
    <r>
      <rPr>
        <b/>
        <sz val="10"/>
        <rFont val="宋体"/>
        <family val="3"/>
        <charset val="134"/>
      </rPr>
      <t>最低租赁收款额现值</t>
    </r>
    <r>
      <rPr>
        <b/>
        <sz val="10"/>
        <rFont val="Arial Narrow"/>
        <family val="2"/>
      </rPr>
      <t>1</t>
    </r>
    <phoneticPr fontId="10" type="noConversion"/>
  </si>
  <si>
    <r>
      <rPr>
        <b/>
        <sz val="10"/>
        <rFont val="宋体"/>
        <family val="3"/>
        <charset val="134"/>
      </rPr>
      <t>折现率</t>
    </r>
    <r>
      <rPr>
        <b/>
        <sz val="10"/>
        <rFont val="Arial Narrow"/>
        <family val="2"/>
      </rPr>
      <t>2</t>
    </r>
  </si>
  <si>
    <r>
      <rPr>
        <b/>
        <sz val="10"/>
        <rFont val="宋体"/>
        <family val="3"/>
        <charset val="134"/>
      </rPr>
      <t>折现值</t>
    </r>
    <r>
      <rPr>
        <b/>
        <sz val="10"/>
        <rFont val="Arial Narrow"/>
        <family val="2"/>
      </rPr>
      <t>2</t>
    </r>
  </si>
  <si>
    <r>
      <rPr>
        <b/>
        <sz val="10"/>
        <rFont val="宋体"/>
        <family val="3"/>
        <charset val="134"/>
      </rPr>
      <t>最低租赁收款额现值</t>
    </r>
    <r>
      <rPr>
        <b/>
        <sz val="10"/>
        <rFont val="Arial Narrow"/>
        <family val="2"/>
      </rPr>
      <t>2</t>
    </r>
    <phoneticPr fontId="10" type="noConversion"/>
  </si>
  <si>
    <r>
      <rPr>
        <b/>
        <sz val="10"/>
        <rFont val="宋体"/>
        <family val="3"/>
        <charset val="134"/>
      </rPr>
      <t>租赁开始日，租赁资产的公允价值</t>
    </r>
    <phoneticPr fontId="10" type="noConversion"/>
  </si>
  <si>
    <r>
      <rPr>
        <b/>
        <sz val="10"/>
        <rFont val="宋体"/>
        <family val="3"/>
        <charset val="134"/>
      </rPr>
      <t>初始直接费用</t>
    </r>
    <phoneticPr fontId="10" type="noConversion"/>
  </si>
  <si>
    <r>
      <rPr>
        <b/>
        <sz val="10"/>
        <rFont val="宋体"/>
        <family val="3"/>
        <charset val="134"/>
      </rPr>
      <t>两者的合计</t>
    </r>
    <phoneticPr fontId="10" type="noConversion"/>
  </si>
  <si>
    <r>
      <rPr>
        <b/>
        <sz val="10"/>
        <rFont val="宋体"/>
        <family val="3"/>
        <charset val="134"/>
      </rPr>
      <t>租赁内含利率</t>
    </r>
    <phoneticPr fontId="10" type="noConversion"/>
  </si>
  <si>
    <r>
      <rPr>
        <b/>
        <sz val="10"/>
        <rFont val="宋体"/>
        <family val="3"/>
        <charset val="134"/>
      </rPr>
      <t>金额</t>
    </r>
    <phoneticPr fontId="10" type="noConversion"/>
  </si>
  <si>
    <r>
      <rPr>
        <b/>
        <sz val="10"/>
        <rFont val="宋体"/>
        <family val="3"/>
        <charset val="134"/>
      </rPr>
      <t>最低租赁收款额</t>
    </r>
    <phoneticPr fontId="10" type="noConversion"/>
  </si>
  <si>
    <r>
      <rPr>
        <b/>
        <sz val="10"/>
        <rFont val="宋体"/>
        <family val="3"/>
        <charset val="134"/>
      </rPr>
      <t>初始直接费用</t>
    </r>
    <phoneticPr fontId="10" type="noConversion"/>
  </si>
  <si>
    <r>
      <rPr>
        <b/>
        <sz val="10"/>
        <rFont val="宋体"/>
        <family val="3"/>
        <charset val="134"/>
      </rPr>
      <t>应收融资租赁款</t>
    </r>
    <phoneticPr fontId="10" type="noConversion"/>
  </si>
  <si>
    <r>
      <rPr>
        <b/>
        <sz val="10"/>
        <rFont val="宋体"/>
        <family val="3"/>
        <charset val="134"/>
      </rPr>
      <t>未实现融资收益</t>
    </r>
    <phoneticPr fontId="10" type="noConversion"/>
  </si>
  <si>
    <r>
      <rPr>
        <b/>
        <sz val="10"/>
        <rFont val="宋体"/>
        <family val="3"/>
        <charset val="134"/>
      </rPr>
      <t>日期</t>
    </r>
    <phoneticPr fontId="10" type="noConversion"/>
  </si>
  <si>
    <r>
      <rPr>
        <b/>
        <sz val="10"/>
        <rFont val="宋体"/>
        <family val="3"/>
        <charset val="134"/>
      </rPr>
      <t>租金</t>
    </r>
    <phoneticPr fontId="10" type="noConversion"/>
  </si>
  <si>
    <r>
      <rPr>
        <b/>
        <sz val="10"/>
        <rFont val="宋体"/>
        <family val="3"/>
        <charset val="134"/>
      </rPr>
      <t>确认的融资收入</t>
    </r>
    <phoneticPr fontId="10" type="noConversion"/>
  </si>
  <si>
    <r>
      <rPr>
        <b/>
        <sz val="10"/>
        <rFont val="宋体"/>
        <family val="3"/>
        <charset val="134"/>
      </rPr>
      <t>租赁投资净额减少额</t>
    </r>
    <phoneticPr fontId="10" type="noConversion"/>
  </si>
  <si>
    <r>
      <rPr>
        <b/>
        <sz val="10"/>
        <rFont val="宋体"/>
        <family val="3"/>
        <charset val="134"/>
      </rPr>
      <t>租赁投资净额余额</t>
    </r>
    <phoneticPr fontId="10" type="noConversion"/>
  </si>
  <si>
    <r>
      <rPr>
        <b/>
        <sz val="10"/>
        <rFont val="宋体"/>
        <family val="3"/>
        <charset val="134"/>
      </rPr>
      <t>①</t>
    </r>
    <phoneticPr fontId="10" type="noConversion"/>
  </si>
  <si>
    <r>
      <rPr>
        <b/>
        <sz val="10"/>
        <rFont val="宋体"/>
        <family val="3"/>
        <charset val="134"/>
      </rPr>
      <t>③</t>
    </r>
    <r>
      <rPr>
        <b/>
        <sz val="10"/>
        <rFont val="Arial Narrow"/>
        <family val="2"/>
      </rPr>
      <t>=</t>
    </r>
    <r>
      <rPr>
        <b/>
        <sz val="10"/>
        <rFont val="宋体"/>
        <family val="3"/>
        <charset val="134"/>
      </rPr>
      <t>期初⑤</t>
    </r>
    <r>
      <rPr>
        <b/>
        <sz val="10"/>
        <rFont val="Arial Narrow"/>
        <family val="2"/>
      </rPr>
      <t>X</t>
    </r>
    <r>
      <rPr>
        <b/>
        <sz val="10"/>
        <rFont val="宋体"/>
        <family val="3"/>
        <charset val="134"/>
      </rPr>
      <t>租赁内含利率</t>
    </r>
    <phoneticPr fontId="10" type="noConversion"/>
  </si>
  <si>
    <r>
      <rPr>
        <b/>
        <sz val="10"/>
        <rFont val="宋体"/>
        <family val="3"/>
        <charset val="134"/>
      </rPr>
      <t>④</t>
    </r>
    <r>
      <rPr>
        <b/>
        <sz val="10"/>
        <rFont val="Arial Narrow"/>
        <family val="2"/>
      </rPr>
      <t>=</t>
    </r>
    <r>
      <rPr>
        <b/>
        <sz val="10"/>
        <rFont val="宋体"/>
        <family val="3"/>
        <charset val="134"/>
      </rPr>
      <t>②</t>
    </r>
    <r>
      <rPr>
        <b/>
        <sz val="10"/>
        <rFont val="Arial Narrow"/>
        <family val="2"/>
      </rPr>
      <t>-</t>
    </r>
    <r>
      <rPr>
        <b/>
        <sz val="10"/>
        <rFont val="宋体"/>
        <family val="3"/>
        <charset val="134"/>
      </rPr>
      <t>③</t>
    </r>
    <phoneticPr fontId="10" type="noConversion"/>
  </si>
  <si>
    <r>
      <rPr>
        <b/>
        <sz val="10"/>
        <rFont val="宋体"/>
        <family val="3"/>
        <charset val="134"/>
      </rPr>
      <t>期末⑤</t>
    </r>
    <r>
      <rPr>
        <b/>
        <sz val="10"/>
        <rFont val="Arial Narrow"/>
        <family val="2"/>
      </rPr>
      <t>=</t>
    </r>
    <r>
      <rPr>
        <b/>
        <sz val="10"/>
        <rFont val="宋体"/>
        <family val="3"/>
        <charset val="134"/>
      </rPr>
      <t>期初⑤</t>
    </r>
    <r>
      <rPr>
        <b/>
        <sz val="10"/>
        <rFont val="Arial Narrow"/>
        <family val="2"/>
      </rPr>
      <t>-</t>
    </r>
    <r>
      <rPr>
        <b/>
        <sz val="10"/>
        <rFont val="宋体"/>
        <family val="3"/>
        <charset val="134"/>
      </rPr>
      <t>④</t>
    </r>
    <phoneticPr fontId="10" type="noConversion"/>
  </si>
  <si>
    <r>
      <t>2014</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phoneticPr fontId="10" type="noConversion"/>
  </si>
  <si>
    <r>
      <t>2015</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phoneticPr fontId="10" type="noConversion"/>
  </si>
  <si>
    <r>
      <t>2016</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phoneticPr fontId="10" type="noConversion"/>
  </si>
  <si>
    <r>
      <t>2017</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phoneticPr fontId="10" type="noConversion"/>
  </si>
  <si>
    <r>
      <t>2018</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phoneticPr fontId="10" type="noConversion"/>
  </si>
  <si>
    <r>
      <t>2019</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phoneticPr fontId="10" type="noConversion"/>
  </si>
  <si>
    <r>
      <rPr>
        <sz val="10"/>
        <rFont val="宋体"/>
        <family val="3"/>
        <charset val="134"/>
      </rPr>
      <t>融资租出固定资产的条件是否满足</t>
    </r>
    <phoneticPr fontId="10" type="noConversion"/>
  </si>
  <si>
    <r>
      <rPr>
        <sz val="10"/>
        <rFont val="宋体"/>
        <family val="3"/>
        <charset val="134"/>
      </rPr>
      <t>长期应收款、融资租赁资产、未确认融资收益的入账价值是否正确</t>
    </r>
    <phoneticPr fontId="10" type="noConversion"/>
  </si>
  <si>
    <r>
      <rPr>
        <sz val="10"/>
        <rFont val="宋体"/>
        <family val="3"/>
        <charset val="134"/>
      </rPr>
      <t>所采用的租赁内含利率是否正确</t>
    </r>
    <phoneticPr fontId="10" type="noConversion"/>
  </si>
  <si>
    <r>
      <rPr>
        <sz val="10"/>
        <rFont val="宋体"/>
        <family val="3"/>
        <charset val="134"/>
      </rPr>
      <t>未确认融资收益的分配是否恰当</t>
    </r>
    <phoneticPr fontId="10" type="noConversion"/>
  </si>
  <si>
    <r>
      <rPr>
        <b/>
        <sz val="10"/>
        <color rgb="FF0000FF"/>
        <rFont val="宋体"/>
        <family val="3"/>
        <charset val="134"/>
      </rPr>
      <t>检查的关键证据和要素根据被审计单位具体情况修改</t>
    </r>
    <phoneticPr fontId="10" type="noConversion"/>
  </si>
  <si>
    <r>
      <rPr>
        <b/>
        <sz val="10"/>
        <color rgb="FF0000FF"/>
        <rFont val="宋体"/>
        <family val="3"/>
        <charset val="134"/>
      </rPr>
      <t>检查的关键证据和要素根据被审计单位具体情况修改</t>
    </r>
    <phoneticPr fontId="10" type="noConversion"/>
  </si>
  <si>
    <r>
      <rPr>
        <b/>
        <sz val="10"/>
        <rFont val="宋体"/>
        <family val="3"/>
        <charset val="134"/>
      </rPr>
      <t>期末数</t>
    </r>
    <phoneticPr fontId="10" type="noConversion"/>
  </si>
  <si>
    <r>
      <rPr>
        <b/>
        <sz val="10"/>
        <rFont val="宋体"/>
        <family val="3"/>
        <charset val="134"/>
      </rPr>
      <t>账项调整</t>
    </r>
    <phoneticPr fontId="10" type="noConversion"/>
  </si>
  <si>
    <r>
      <rPr>
        <b/>
        <sz val="10"/>
        <color indexed="8"/>
        <rFont val="宋体"/>
        <family val="3"/>
        <charset val="134"/>
      </rPr>
      <t>合计</t>
    </r>
    <phoneticPr fontId="10" type="noConversion"/>
  </si>
  <si>
    <r>
      <rPr>
        <b/>
        <sz val="10"/>
        <color indexed="8"/>
        <rFont val="宋体"/>
        <family val="3"/>
        <charset val="134"/>
      </rPr>
      <t>四、净值</t>
    </r>
    <phoneticPr fontId="10" type="noConversion"/>
  </si>
  <si>
    <r>
      <rPr>
        <sz val="10"/>
        <rFont val="宋体"/>
        <family val="3"/>
        <charset val="134"/>
      </rPr>
      <t>（</t>
    </r>
    <r>
      <rPr>
        <sz val="10"/>
        <rFont val="Arial Narrow"/>
        <family val="2"/>
      </rPr>
      <t>4</t>
    </r>
    <r>
      <rPr>
        <sz val="10"/>
        <rFont val="宋体"/>
        <family val="3"/>
        <charset val="134"/>
      </rPr>
      <t>）出售、置换情况说明：</t>
    </r>
    <phoneticPr fontId="10" type="noConversion"/>
  </si>
  <si>
    <r>
      <rPr>
        <sz val="10"/>
        <rFont val="宋体"/>
        <family val="3"/>
        <charset val="134"/>
      </rPr>
      <t>期末数</t>
    </r>
    <phoneticPr fontId="14" type="noConversion"/>
  </si>
  <si>
    <r>
      <rPr>
        <sz val="10"/>
        <rFont val="宋体"/>
        <family val="3"/>
        <charset val="134"/>
      </rPr>
      <t>试算平衡表</t>
    </r>
    <phoneticPr fontId="14" type="noConversion"/>
  </si>
  <si>
    <r>
      <rPr>
        <sz val="10"/>
        <rFont val="宋体"/>
        <family val="3"/>
        <charset val="134"/>
      </rPr>
      <t>差异</t>
    </r>
    <phoneticPr fontId="14" type="noConversion"/>
  </si>
  <si>
    <r>
      <rPr>
        <b/>
        <sz val="10"/>
        <rFont val="宋体"/>
        <family val="3"/>
        <charset val="134"/>
      </rPr>
      <t>审定数</t>
    </r>
    <phoneticPr fontId="10" type="noConversion"/>
  </si>
  <si>
    <r>
      <rPr>
        <b/>
        <sz val="10"/>
        <rFont val="宋体"/>
        <family val="3"/>
        <charset val="134"/>
      </rPr>
      <t>未审数</t>
    </r>
    <phoneticPr fontId="10" type="noConversion"/>
  </si>
  <si>
    <r>
      <rPr>
        <b/>
        <sz val="10"/>
        <color indexed="8"/>
        <rFont val="宋体"/>
        <family val="3"/>
        <charset val="134"/>
      </rPr>
      <t>变动率</t>
    </r>
    <phoneticPr fontId="10" type="noConversion"/>
  </si>
  <si>
    <r>
      <rPr>
        <b/>
        <sz val="10"/>
        <color indexed="8"/>
        <rFont val="宋体"/>
        <family val="3"/>
        <charset val="134"/>
      </rPr>
      <t>一、固定资产原值</t>
    </r>
    <phoneticPr fontId="10" type="noConversion"/>
  </si>
  <si>
    <r>
      <t>1</t>
    </r>
    <r>
      <rPr>
        <b/>
        <sz val="10"/>
        <rFont val="宋体"/>
        <family val="3"/>
        <charset val="134"/>
      </rPr>
      <t>、审计说明：</t>
    </r>
    <phoneticPr fontId="10"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</si>
  <si>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0" type="noConversion"/>
  </si>
  <si>
    <r>
      <rPr>
        <sz val="10"/>
        <rFont val="宋体"/>
        <family val="3"/>
        <charset val="134"/>
      </rPr>
      <t>（</t>
    </r>
    <r>
      <rPr>
        <sz val="10"/>
        <rFont val="Arial Narrow"/>
        <family val="2"/>
      </rPr>
      <t>2</t>
    </r>
    <r>
      <rPr>
        <sz val="10"/>
        <rFont val="宋体"/>
        <family val="3"/>
        <charset val="134"/>
      </rPr>
      <t>）本期由在建工程转入：</t>
    </r>
    <phoneticPr fontId="10" type="noConversion"/>
  </si>
  <si>
    <r>
      <rPr>
        <sz val="10"/>
        <rFont val="宋体"/>
        <family val="3"/>
        <charset val="134"/>
      </rPr>
      <t>（</t>
    </r>
    <r>
      <rPr>
        <sz val="10"/>
        <rFont val="Arial Narrow"/>
        <family val="2"/>
      </rPr>
      <t>5</t>
    </r>
    <r>
      <rPr>
        <sz val="10"/>
        <rFont val="宋体"/>
        <family val="3"/>
        <charset val="134"/>
      </rPr>
      <t>）租赁情况说明：（</t>
    </r>
    <r>
      <rPr>
        <sz val="10"/>
        <color indexed="12"/>
        <rFont val="宋体"/>
        <family val="3"/>
        <charset val="134"/>
      </rPr>
      <t>通过融资租赁租入的固定资产应披露每类租入资产的账面原值、累计折旧、账面净值；</t>
    </r>
    <phoneticPr fontId="10" type="noConversion"/>
  </si>
  <si>
    <r>
      <rPr>
        <sz val="10"/>
        <rFont val="宋体"/>
        <family val="3"/>
        <charset val="134"/>
      </rPr>
      <t>通过经营租赁租出的固定资产应披露每类租出资产的账面价值。）</t>
    </r>
    <phoneticPr fontId="10" type="noConversion"/>
  </si>
  <si>
    <r>
      <rPr>
        <sz val="10"/>
        <rFont val="宋体"/>
        <family val="3"/>
        <charset val="134"/>
      </rPr>
      <t>（</t>
    </r>
    <r>
      <rPr>
        <sz val="10"/>
        <rFont val="Arial Narrow"/>
        <family val="2"/>
      </rPr>
      <t>6</t>
    </r>
    <r>
      <rPr>
        <sz val="10"/>
        <rFont val="宋体"/>
        <family val="3"/>
        <charset val="134"/>
      </rPr>
      <t>）与试算平衡表的核对</t>
    </r>
    <phoneticPr fontId="10" type="noConversion"/>
  </si>
  <si>
    <r>
      <rPr>
        <sz val="10"/>
        <rFont val="宋体"/>
        <family val="3"/>
        <charset val="134"/>
      </rPr>
      <t>期初数</t>
    </r>
    <phoneticPr fontId="14" type="noConversion"/>
  </si>
  <si>
    <r>
      <rPr>
        <sz val="10"/>
        <rFont val="宋体"/>
        <family val="3"/>
        <charset val="134"/>
      </rPr>
      <t>固定资产清理审定数</t>
    </r>
    <phoneticPr fontId="14" type="noConversion"/>
  </si>
  <si>
    <r>
      <rPr>
        <b/>
        <sz val="10"/>
        <rFont val="宋体"/>
        <family val="3"/>
        <charset val="134"/>
      </rPr>
      <t>借方调整金额</t>
    </r>
    <phoneticPr fontId="10" type="noConversion"/>
  </si>
  <si>
    <r>
      <rPr>
        <b/>
        <sz val="10"/>
        <rFont val="宋体"/>
        <family val="3"/>
        <charset val="134"/>
      </rPr>
      <t>贷方调整金额</t>
    </r>
    <phoneticPr fontId="10" type="noConversion"/>
  </si>
  <si>
    <r>
      <rPr>
        <b/>
        <sz val="10"/>
        <rFont val="宋体"/>
        <family val="3"/>
        <charset val="134"/>
      </rPr>
      <t>索引</t>
    </r>
    <phoneticPr fontId="10" type="noConversion"/>
  </si>
  <si>
    <r>
      <rPr>
        <b/>
        <sz val="10"/>
        <rFont val="宋体"/>
        <family val="3"/>
        <charset val="134"/>
      </rPr>
      <t>备注</t>
    </r>
    <phoneticPr fontId="10" type="noConversion"/>
  </si>
  <si>
    <r>
      <rPr>
        <b/>
        <sz val="10"/>
        <rFont val="宋体"/>
        <family val="3"/>
        <charset val="134"/>
      </rPr>
      <t>合计</t>
    </r>
    <phoneticPr fontId="10" type="noConversion"/>
  </si>
  <si>
    <r>
      <rPr>
        <b/>
        <sz val="10"/>
        <rFont val="宋体"/>
        <family val="3"/>
        <charset val="134"/>
      </rPr>
      <t>合计</t>
    </r>
    <phoneticPr fontId="10" type="noConversion"/>
  </si>
  <si>
    <r>
      <rPr>
        <b/>
        <sz val="10"/>
        <rFont val="宋体"/>
        <family val="3"/>
        <charset val="134"/>
      </rPr>
      <t>序号</t>
    </r>
    <phoneticPr fontId="10" type="noConversion"/>
  </si>
  <si>
    <r>
      <rPr>
        <b/>
        <sz val="10"/>
        <rFont val="宋体"/>
        <family val="3"/>
        <charset val="134"/>
      </rPr>
      <t>人员名称</t>
    </r>
    <phoneticPr fontId="10" type="noConversion"/>
  </si>
  <si>
    <r>
      <rPr>
        <b/>
        <sz val="10"/>
        <rFont val="宋体"/>
        <family val="3"/>
        <charset val="134"/>
      </rPr>
      <t>负责的部分</t>
    </r>
    <phoneticPr fontId="10" type="noConversion"/>
  </si>
  <si>
    <r>
      <rPr>
        <b/>
        <sz val="10"/>
        <rFont val="宋体"/>
        <family val="3"/>
        <charset val="134"/>
      </rPr>
      <t>合</t>
    </r>
    <r>
      <rPr>
        <b/>
        <sz val="10"/>
        <rFont val="Arial Narrow"/>
        <family val="2"/>
      </rPr>
      <t xml:space="preserve">  </t>
    </r>
    <r>
      <rPr>
        <b/>
        <sz val="10"/>
        <rFont val="宋体"/>
        <family val="3"/>
        <charset val="134"/>
      </rPr>
      <t>计</t>
    </r>
    <phoneticPr fontId="10" type="noConversion"/>
  </si>
  <si>
    <r>
      <rPr>
        <b/>
        <sz val="10"/>
        <rFont val="宋体"/>
        <family val="3"/>
        <charset val="134"/>
      </rPr>
      <t>合计</t>
    </r>
    <phoneticPr fontId="10" type="noConversion"/>
  </si>
  <si>
    <t>H1-5</t>
    <phoneticPr fontId="10" type="noConversion"/>
  </si>
  <si>
    <t>H1-7</t>
    <phoneticPr fontId="10" type="noConversion"/>
  </si>
  <si>
    <t>H1-8</t>
    <phoneticPr fontId="10" type="noConversion"/>
  </si>
  <si>
    <t>H1-18</t>
    <phoneticPr fontId="10" type="noConversion"/>
  </si>
  <si>
    <t>融资租出固定资产检查表</t>
    <phoneticPr fontId="10" type="noConversion"/>
  </si>
  <si>
    <t>明细表</t>
    <phoneticPr fontId="10" type="noConversion"/>
  </si>
  <si>
    <t>调整分录汇总</t>
    <phoneticPr fontId="10" type="noConversion"/>
  </si>
  <si>
    <t>闲置检查表</t>
    <phoneticPr fontId="10" type="noConversion"/>
  </si>
  <si>
    <t>会计政策估计检查表</t>
    <phoneticPr fontId="10" type="noConversion"/>
  </si>
  <si>
    <t>分析表</t>
    <phoneticPr fontId="10" type="noConversion"/>
  </si>
  <si>
    <t>增加检查表</t>
    <phoneticPr fontId="10" type="noConversion"/>
  </si>
  <si>
    <t>减少检查表</t>
    <phoneticPr fontId="10" type="noConversion"/>
  </si>
  <si>
    <t>监盘计划</t>
    <phoneticPr fontId="10" type="noConversion"/>
  </si>
  <si>
    <t>盘点检查表</t>
    <phoneticPr fontId="10" type="noConversion"/>
  </si>
  <si>
    <t>监盘小结</t>
    <phoneticPr fontId="10" type="noConversion"/>
  </si>
  <si>
    <t>折旧测算表（含减值）</t>
    <phoneticPr fontId="10" type="noConversion"/>
  </si>
  <si>
    <t>折旧测算表（多次减值）</t>
    <phoneticPr fontId="10" type="noConversion"/>
  </si>
  <si>
    <t>折旧分配分析表</t>
    <phoneticPr fontId="10" type="noConversion"/>
  </si>
  <si>
    <t>减值测算表</t>
    <phoneticPr fontId="10" type="noConversion"/>
  </si>
  <si>
    <t>可收回金额测试表</t>
    <phoneticPr fontId="10" type="noConversion"/>
  </si>
  <si>
    <t>房屋建筑物权属检查表</t>
    <phoneticPr fontId="10" type="noConversion"/>
  </si>
  <si>
    <t>运输设备权属检查表</t>
    <phoneticPr fontId="10" type="noConversion"/>
  </si>
  <si>
    <t>关联交易检查表</t>
    <phoneticPr fontId="10" type="noConversion"/>
  </si>
  <si>
    <t>经营租出固定资产检查表</t>
    <phoneticPr fontId="10" type="noConversion"/>
  </si>
  <si>
    <r>
      <rPr>
        <sz val="10"/>
        <color indexed="12"/>
        <rFont val="宋体"/>
        <family val="3"/>
        <charset val="134"/>
      </rPr>
      <t>审定表</t>
    </r>
    <phoneticPr fontId="10" type="noConversion"/>
  </si>
  <si>
    <r>
      <rPr>
        <sz val="10"/>
        <color indexed="12"/>
        <rFont val="宋体"/>
        <family val="3"/>
        <charset val="134"/>
      </rPr>
      <t>附注披露信息（上市公司）</t>
    </r>
  </si>
  <si>
    <r>
      <rPr>
        <sz val="10"/>
        <color indexed="12"/>
        <rFont val="宋体"/>
        <family val="3"/>
        <charset val="134"/>
      </rPr>
      <t>附注披露信息（国有企业）</t>
    </r>
  </si>
  <si>
    <r>
      <rPr>
        <sz val="10"/>
        <color indexed="12"/>
        <rFont val="宋体"/>
        <family val="3"/>
        <charset val="134"/>
      </rPr>
      <t>折旧测算表（不含减值）</t>
    </r>
    <r>
      <rPr>
        <sz val="10"/>
        <color indexed="12"/>
        <rFont val="Arial Narrow"/>
        <family val="2"/>
      </rPr>
      <t>-</t>
    </r>
    <r>
      <rPr>
        <sz val="10"/>
        <color indexed="12"/>
        <rFont val="宋体"/>
        <family val="3"/>
        <charset val="134"/>
      </rPr>
      <t>直线法</t>
    </r>
    <phoneticPr fontId="10" type="noConversion"/>
  </si>
  <si>
    <t>返回目录</t>
    <phoneticPr fontId="10" type="noConversion"/>
  </si>
  <si>
    <t>（一）从固定资产盘点记录中选取项目追查至固定资产实物</t>
    <phoneticPr fontId="10" type="noConversion"/>
  </si>
  <si>
    <t>（二）从固定资产实物中选取项目追查至固定资产盘点记录</t>
    <phoneticPr fontId="10" type="noConversion"/>
  </si>
  <si>
    <t>致同会计师事务所</t>
    <phoneticPr fontId="5" type="noConversion"/>
  </si>
  <si>
    <t>固定资产实质性程序表</t>
    <phoneticPr fontId="5" type="noConversion"/>
  </si>
  <si>
    <r>
      <rPr>
        <b/>
        <sz val="12"/>
        <color indexed="8"/>
        <rFont val="宋体"/>
        <family val="3"/>
        <charset val="134"/>
      </rPr>
      <t>致同会计师事务所</t>
    </r>
  </si>
  <si>
    <r>
      <rPr>
        <b/>
        <sz val="14"/>
        <color indexed="8"/>
        <rFont val="宋体"/>
        <family val="3"/>
        <charset val="134"/>
      </rPr>
      <t>固定资产、累计折旧、减值准备审定表</t>
    </r>
    <phoneticPr fontId="10" type="noConversion"/>
  </si>
  <si>
    <r>
      <rPr>
        <b/>
        <sz val="12"/>
        <rFont val="宋体"/>
        <family val="3"/>
        <charset val="134"/>
      </rPr>
      <t>致同会计师事务所</t>
    </r>
  </si>
  <si>
    <r>
      <rPr>
        <b/>
        <sz val="14"/>
        <rFont val="宋体"/>
        <family val="3"/>
        <charset val="134"/>
      </rPr>
      <t>固定资产、累计折旧及减值准备明细表</t>
    </r>
    <phoneticPr fontId="10" type="noConversion"/>
  </si>
  <si>
    <r>
      <rPr>
        <b/>
        <sz val="14"/>
        <rFont val="宋体"/>
        <family val="3"/>
        <charset val="134"/>
      </rPr>
      <t>固定资产、累计折旧及减值准备明细表</t>
    </r>
    <phoneticPr fontId="10" type="noConversion"/>
  </si>
  <si>
    <r>
      <rPr>
        <b/>
        <sz val="14"/>
        <rFont val="宋体"/>
        <family val="3"/>
        <charset val="134"/>
      </rPr>
      <t>固定资产、累计折旧及减值准备明细表</t>
    </r>
    <phoneticPr fontId="10" type="noConversion"/>
  </si>
  <si>
    <r>
      <rPr>
        <b/>
        <sz val="12"/>
        <rFont val="宋体"/>
        <family val="3"/>
        <charset val="134"/>
      </rPr>
      <t>固定资产调整分录汇总表</t>
    </r>
    <phoneticPr fontId="10" type="noConversion"/>
  </si>
  <si>
    <r>
      <rPr>
        <b/>
        <sz val="14"/>
        <rFont val="宋体"/>
        <family val="3"/>
        <charset val="134"/>
      </rPr>
      <t>闲置固定资产检查表</t>
    </r>
    <phoneticPr fontId="10" type="noConversion"/>
  </si>
  <si>
    <r>
      <rPr>
        <b/>
        <sz val="14"/>
        <color indexed="8"/>
        <rFont val="宋体"/>
        <family val="3"/>
        <charset val="134"/>
      </rPr>
      <t>固定资产相关会计政策</t>
    </r>
    <r>
      <rPr>
        <b/>
        <sz val="14"/>
        <color indexed="8"/>
        <rFont val="Arial Narrow"/>
        <family val="2"/>
      </rPr>
      <t>/</t>
    </r>
    <r>
      <rPr>
        <b/>
        <sz val="14"/>
        <color indexed="8"/>
        <rFont val="宋体"/>
        <family val="3"/>
        <charset val="134"/>
      </rPr>
      <t>估计检查表</t>
    </r>
    <phoneticPr fontId="10" type="noConversion"/>
  </si>
  <si>
    <r>
      <rPr>
        <b/>
        <sz val="14"/>
        <rFont val="宋体"/>
        <family val="3"/>
        <charset val="134"/>
      </rPr>
      <t>固定资产分析表</t>
    </r>
    <phoneticPr fontId="10" type="noConversion"/>
  </si>
  <si>
    <r>
      <rPr>
        <b/>
        <sz val="14"/>
        <rFont val="宋体"/>
        <family val="3"/>
        <charset val="134"/>
      </rPr>
      <t>固定资产增加检查表</t>
    </r>
    <phoneticPr fontId="10" type="noConversion"/>
  </si>
  <si>
    <r>
      <rPr>
        <b/>
        <sz val="14"/>
        <rFont val="宋体"/>
        <family val="3"/>
        <charset val="134"/>
      </rPr>
      <t>固定资产减少检查表</t>
    </r>
    <phoneticPr fontId="10" type="noConversion"/>
  </si>
  <si>
    <r>
      <rPr>
        <b/>
        <sz val="14"/>
        <rFont val="宋体"/>
        <family val="3"/>
        <charset val="134"/>
      </rPr>
      <t>固定资产监盘计划</t>
    </r>
    <phoneticPr fontId="10" type="noConversion"/>
  </si>
  <si>
    <r>
      <rPr>
        <b/>
        <sz val="14"/>
        <rFont val="宋体"/>
        <family val="3"/>
        <charset val="134"/>
      </rPr>
      <t>固定资产盘点检查表</t>
    </r>
    <phoneticPr fontId="10" type="noConversion"/>
  </si>
  <si>
    <r>
      <rPr>
        <b/>
        <sz val="14"/>
        <rFont val="宋体"/>
        <family val="3"/>
        <charset val="134"/>
      </rPr>
      <t>固定资产监盘小结</t>
    </r>
    <phoneticPr fontId="10" type="noConversion"/>
  </si>
  <si>
    <r>
      <rPr>
        <b/>
        <sz val="14"/>
        <rFont val="宋体"/>
        <family val="3"/>
        <charset val="134"/>
      </rPr>
      <t>固定资产折旧测算表</t>
    </r>
    <phoneticPr fontId="10" type="noConversion"/>
  </si>
  <si>
    <r>
      <rPr>
        <b/>
        <sz val="14"/>
        <rFont val="宋体"/>
        <family val="3"/>
        <charset val="134"/>
      </rPr>
      <t>固定资产折旧测算表</t>
    </r>
    <phoneticPr fontId="10" type="noConversion"/>
  </si>
  <si>
    <r>
      <rPr>
        <b/>
        <sz val="14"/>
        <rFont val="宋体"/>
        <family val="3"/>
        <charset val="134"/>
      </rPr>
      <t>固定资产折旧测算表</t>
    </r>
    <phoneticPr fontId="10" type="noConversion"/>
  </si>
  <si>
    <r>
      <rPr>
        <b/>
        <sz val="14"/>
        <color indexed="8"/>
        <rFont val="宋体"/>
        <family val="3"/>
        <charset val="134"/>
      </rPr>
      <t>固定资产折旧分配分析表</t>
    </r>
    <phoneticPr fontId="10" type="noConversion"/>
  </si>
  <si>
    <r>
      <rPr>
        <b/>
        <sz val="14"/>
        <rFont val="宋体"/>
        <family val="3"/>
        <charset val="134"/>
      </rPr>
      <t>固定资产减值测算表</t>
    </r>
    <phoneticPr fontId="10" type="noConversion"/>
  </si>
  <si>
    <r>
      <rPr>
        <b/>
        <sz val="14"/>
        <rFont val="宋体"/>
        <family val="3"/>
        <charset val="134"/>
      </rPr>
      <t>固定资产减值准备测试表</t>
    </r>
    <r>
      <rPr>
        <b/>
        <sz val="14"/>
        <rFont val="Arial Narrow"/>
        <family val="2"/>
      </rPr>
      <t>-</t>
    </r>
    <r>
      <rPr>
        <b/>
        <sz val="14"/>
        <rFont val="宋体"/>
        <family val="3"/>
        <charset val="134"/>
      </rPr>
      <t>可收回金额</t>
    </r>
    <phoneticPr fontId="10" type="noConversion"/>
  </si>
  <si>
    <r>
      <rPr>
        <b/>
        <sz val="14"/>
        <rFont val="宋体"/>
        <family val="3"/>
        <charset val="134"/>
      </rPr>
      <t>房屋建筑物权属检查表</t>
    </r>
    <phoneticPr fontId="10" type="noConversion"/>
  </si>
  <si>
    <r>
      <rPr>
        <b/>
        <sz val="14"/>
        <rFont val="宋体"/>
        <family val="3"/>
        <charset val="134"/>
      </rPr>
      <t>运输设备权属检查表</t>
    </r>
    <phoneticPr fontId="10" type="noConversion"/>
  </si>
  <si>
    <r>
      <rPr>
        <b/>
        <sz val="14"/>
        <rFont val="宋体"/>
        <family val="3"/>
        <charset val="134"/>
      </rPr>
      <t>关联交易检查表</t>
    </r>
    <phoneticPr fontId="10" type="noConversion"/>
  </si>
  <si>
    <r>
      <rPr>
        <b/>
        <sz val="14"/>
        <rFont val="宋体"/>
        <family val="3"/>
        <charset val="134"/>
      </rPr>
      <t>经营租出固定资产检查表</t>
    </r>
    <phoneticPr fontId="10" type="noConversion"/>
  </si>
  <si>
    <r>
      <rPr>
        <b/>
        <sz val="14"/>
        <rFont val="宋体"/>
        <family val="3"/>
        <charset val="134"/>
      </rPr>
      <t>融资租出固定资产检查表</t>
    </r>
    <phoneticPr fontId="10" type="noConversion"/>
  </si>
  <si>
    <r>
      <rPr>
        <b/>
        <sz val="10"/>
        <rFont val="宋体"/>
        <family val="3"/>
        <charset val="134"/>
      </rPr>
      <t>序号</t>
    </r>
    <phoneticPr fontId="10" type="noConversion"/>
  </si>
  <si>
    <t>页  次：</t>
    <phoneticPr fontId="10" type="noConversion"/>
  </si>
  <si>
    <t>页  次：</t>
    <phoneticPr fontId="10" type="noConversion"/>
  </si>
  <si>
    <t>索引号：</t>
    <phoneticPr fontId="10" type="noConversion"/>
  </si>
  <si>
    <r>
      <rPr>
        <b/>
        <sz val="10"/>
        <rFont val="宋体"/>
        <family val="3"/>
        <charset val="134"/>
      </rPr>
      <t>其中：</t>
    </r>
    <phoneticPr fontId="10" type="noConversion"/>
  </si>
  <si>
    <r>
      <t>1.</t>
    </r>
    <r>
      <rPr>
        <sz val="10"/>
        <color indexed="12"/>
        <rFont val="宋体"/>
        <family val="3"/>
        <charset val="134"/>
      </rPr>
      <t>本科目核算企业持有的固定资产原价。建造承包商的临时设施，以及</t>
    </r>
    <r>
      <rPr>
        <b/>
        <sz val="10"/>
        <color indexed="12"/>
        <rFont val="宋体"/>
        <family val="3"/>
        <charset val="134"/>
      </rPr>
      <t>企业购置计算机硬件所附带的、未单独计价的软件</t>
    </r>
    <r>
      <rPr>
        <sz val="10"/>
        <color indexed="12"/>
        <rFont val="宋体"/>
        <family val="3"/>
        <charset val="134"/>
      </rPr>
      <t>，也通过本科目核算。</t>
    </r>
    <phoneticPr fontId="10" type="noConversion"/>
  </si>
  <si>
    <t>固定资产审计程序表</t>
    <phoneticPr fontId="10" type="noConversion"/>
  </si>
  <si>
    <r>
      <rPr>
        <b/>
        <sz val="10"/>
        <rFont val="宋体"/>
        <family val="3"/>
        <charset val="134"/>
      </rPr>
      <t>合计：</t>
    </r>
    <phoneticPr fontId="10" type="noConversion"/>
  </si>
  <si>
    <t xml:space="preserve"> </t>
    <phoneticPr fontId="10" type="noConversion"/>
  </si>
  <si>
    <t>1</t>
    <phoneticPr fontId="10" type="noConversion"/>
  </si>
  <si>
    <t>8</t>
  </si>
  <si>
    <t>9</t>
  </si>
  <si>
    <t>10</t>
  </si>
  <si>
    <t>11</t>
  </si>
  <si>
    <t>12</t>
  </si>
  <si>
    <t>13</t>
  </si>
  <si>
    <t>14</t>
  </si>
  <si>
    <t>15</t>
  </si>
  <si>
    <t>16</t>
  </si>
  <si>
    <t>17</t>
  </si>
  <si>
    <t>18</t>
  </si>
  <si>
    <t>19</t>
  </si>
  <si>
    <t>20</t>
  </si>
  <si>
    <t>21</t>
  </si>
  <si>
    <t>22</t>
  </si>
  <si>
    <r>
      <rPr>
        <b/>
        <sz val="10"/>
        <rFont val="宋体"/>
        <family val="3"/>
        <charset val="134"/>
      </rPr>
      <t>（</t>
    </r>
    <r>
      <rPr>
        <b/>
        <sz val="10"/>
        <rFont val="Arial Narrow"/>
        <family val="2"/>
      </rPr>
      <t>1</t>
    </r>
    <r>
      <rPr>
        <b/>
        <sz val="10"/>
        <rFont val="宋体"/>
        <family val="3"/>
        <charset val="134"/>
      </rPr>
      <t>）向合并范围外关联方采购固定资产</t>
    </r>
    <phoneticPr fontId="10" type="noConversion"/>
  </si>
  <si>
    <r>
      <rPr>
        <b/>
        <sz val="10"/>
        <rFont val="宋体"/>
        <family val="3"/>
        <charset val="134"/>
      </rPr>
      <t>（</t>
    </r>
    <r>
      <rPr>
        <b/>
        <sz val="10"/>
        <rFont val="Arial Narrow"/>
        <family val="2"/>
      </rPr>
      <t>2</t>
    </r>
    <r>
      <rPr>
        <b/>
        <sz val="10"/>
        <rFont val="宋体"/>
        <family val="3"/>
        <charset val="134"/>
      </rPr>
      <t>）向合并范围外关联方出售固定资产</t>
    </r>
    <phoneticPr fontId="10" type="noConversion"/>
  </si>
  <si>
    <r>
      <t>1.</t>
    </r>
    <r>
      <rPr>
        <sz val="10"/>
        <rFont val="宋体"/>
        <family val="3"/>
        <charset val="134"/>
      </rPr>
      <t>对于合并范围外关联方的往来，核对合同、发票等有关文件，了解交易事项目的、价格和条件，确认关联方交易是否真实、公允。</t>
    </r>
    <phoneticPr fontId="10" type="noConversion"/>
  </si>
  <si>
    <t>1.权证是否齐全；是否归属公司所有</t>
    <phoneticPr fontId="10" type="noConversion"/>
  </si>
  <si>
    <t>2.房屋抵押情况描述</t>
    <phoneticPr fontId="10" type="noConversion"/>
  </si>
  <si>
    <t>勾稽关系情况</t>
    <phoneticPr fontId="10" type="noConversion"/>
  </si>
  <si>
    <t>勾稽一致，详见xx-XX</t>
    <phoneticPr fontId="10" type="noConversion"/>
  </si>
  <si>
    <t>勾稽一致，详见xx-XX</t>
    <phoneticPr fontId="10"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</si>
  <si>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0" type="noConversion"/>
  </si>
  <si>
    <t>对手方名称</t>
    <phoneticPr fontId="10" type="noConversion"/>
  </si>
  <si>
    <t>提示：本底稿适用于调整分录较多、较复杂的项目，且仅列示与本报表项目相关的审计调整。项目组可根据项目实际情况选择是否使用该底稿。</t>
    <phoneticPr fontId="10" type="noConversion"/>
  </si>
  <si>
    <t>提示：</t>
    <phoneticPr fontId="10" type="noConversion"/>
  </si>
  <si>
    <t>提示</t>
    <phoneticPr fontId="10" type="noConversion"/>
  </si>
  <si>
    <r>
      <t>2.</t>
    </r>
    <r>
      <rPr>
        <sz val="10"/>
        <color rgb="FF0000FF"/>
        <rFont val="宋体"/>
        <family val="3"/>
        <charset val="134"/>
      </rPr>
      <t>检查固定资产减值准备计提和转销的批准程序，取得书面报告等证明文件；检查被审计单位计提固定资产减值准备的依据是否充分，会计处理是否正确；</t>
    </r>
    <phoneticPr fontId="14" type="noConversion"/>
  </si>
  <si>
    <r>
      <t>4.</t>
    </r>
    <r>
      <rPr>
        <sz val="10"/>
        <color rgb="FF0000FF"/>
        <rFont val="宋体"/>
        <family val="3"/>
        <charset val="134"/>
      </rPr>
      <t>重新测试被审计单位计提的减值准备是否合理；比较我们预期所估计减值准备和已记录的金额，调查所有重大差异；</t>
    </r>
    <phoneticPr fontId="14" type="noConversion"/>
  </si>
  <si>
    <r>
      <t>5.</t>
    </r>
    <r>
      <rPr>
        <sz val="10"/>
        <color rgb="FF0000FF"/>
        <rFont val="宋体"/>
        <family val="3"/>
        <charset val="134"/>
      </rPr>
      <t>上期确认的固定资产减值准备在本期的变动是否适当。</t>
    </r>
    <phoneticPr fontId="14" type="noConversion"/>
  </si>
  <si>
    <r>
      <t>3.</t>
    </r>
    <r>
      <rPr>
        <sz val="10"/>
        <color rgb="FF0000FF"/>
        <rFont val="宋体"/>
        <family val="3"/>
        <charset val="134"/>
      </rPr>
      <t>检查固定资产转让时，相应的减值准备是否一并结转，会计处理是否正确；</t>
    </r>
    <phoneticPr fontId="14" type="noConversion"/>
  </si>
  <si>
    <t>提示</t>
    <phoneticPr fontId="10" type="noConversion"/>
  </si>
  <si>
    <t>根据评估的舞弊风险等因素增加的审计程序。</t>
    <phoneticPr fontId="10" type="noConversion"/>
  </si>
  <si>
    <t>存在弃置义务的固定资产结合预计负债底稿检查会计处理是否正确。</t>
    <phoneticPr fontId="10" type="noConversion"/>
  </si>
  <si>
    <r>
      <rPr>
        <sz val="10"/>
        <rFont val="宋体"/>
        <family val="3"/>
        <charset val="134"/>
      </rPr>
      <t>针对长期资产租赁（融资租出固定资产），考虑执行下列程序：
（</t>
    </r>
    <r>
      <rPr>
        <sz val="10"/>
        <rFont val="Arial Narrow"/>
        <family val="2"/>
      </rPr>
      <t>1</t>
    </r>
    <r>
      <rPr>
        <sz val="10"/>
        <rFont val="宋体"/>
        <family val="3"/>
        <charset val="134"/>
      </rPr>
      <t>）获取或编制资产租赁明细表，获取租赁合同</t>
    </r>
    <r>
      <rPr>
        <sz val="10"/>
        <rFont val="Arial Narrow"/>
        <family val="2"/>
      </rPr>
      <t>/</t>
    </r>
    <r>
      <rPr>
        <sz val="10"/>
        <rFont val="宋体"/>
        <family val="3"/>
        <charset val="134"/>
      </rPr>
      <t>协议，核对重要条款，检查租赁分类是否正确，与固定资产增减变动明细表核对一致；
（</t>
    </r>
    <r>
      <rPr>
        <sz val="10"/>
        <rFont val="Arial Narrow"/>
        <family val="2"/>
      </rPr>
      <t>2</t>
    </r>
    <r>
      <rPr>
        <sz val="10"/>
        <rFont val="宋体"/>
        <family val="3"/>
        <charset val="134"/>
      </rPr>
      <t>）检查长期应收款、未确认融资收益的计算是否正确，实际利率、初始直接费用及或有租金的确认是否合理；
（</t>
    </r>
    <r>
      <rPr>
        <sz val="10"/>
        <rFont val="Arial Narrow"/>
        <family val="2"/>
      </rPr>
      <t>3</t>
    </r>
    <r>
      <rPr>
        <sz val="10"/>
        <rFont val="宋体"/>
        <family val="3"/>
        <charset val="134"/>
      </rPr>
      <t>）未担保余值发生变动的，分析变动原因，检查会计处理是否正确。
（</t>
    </r>
    <r>
      <rPr>
        <sz val="10"/>
        <rFont val="Arial Narrow"/>
        <family val="2"/>
      </rPr>
      <t>4</t>
    </r>
    <r>
      <rPr>
        <sz val="10"/>
        <rFont val="宋体"/>
        <family val="3"/>
        <charset val="134"/>
      </rPr>
      <t>）本期租赁期届满的，分析处理方式（收回、优惠续租和出售），检查会计处理是否正确。</t>
    </r>
    <r>
      <rPr>
        <sz val="10"/>
        <rFont val="Arial Narrow"/>
        <family val="2"/>
      </rPr>
      <t/>
    </r>
    <phoneticPr fontId="10" type="noConversion"/>
  </si>
  <si>
    <t>结合固定资产清单和盘点程序，了解固定资产的状态。针对存在减值迹象的固定资产，考虑执行下列程序：
获取被审计单位在资产负债表日就固定资产是否可能发生减值迹象的判断的说明，判断其合理性。对于已计提减值准备的固定资产，检查减值测试相关参数是否合理，减值准备计提是否正确。对于管理层聘请评估专家出具的评估报告，复核评估报告。</t>
    <phoneticPr fontId="10" type="noConversion"/>
  </si>
  <si>
    <r>
      <rPr>
        <sz val="10"/>
        <color rgb="FF0000FF"/>
        <rFont val="Arial Narrow"/>
        <family val="2"/>
      </rPr>
      <t>7</t>
    </r>
    <r>
      <rPr>
        <sz val="10"/>
        <color rgb="FF0000FF"/>
        <rFont val="宋体"/>
        <family val="3"/>
        <charset val="134"/>
      </rPr>
      <t>、对于非货币性资产交换、债务重组、企业合并、投资者投入等交易方式取得的有关长期资产，检查相关合同</t>
    </r>
    <r>
      <rPr>
        <sz val="10"/>
        <color rgb="FF0000FF"/>
        <rFont val="Arial Narrow"/>
        <family val="2"/>
      </rPr>
      <t>/</t>
    </r>
    <r>
      <rPr>
        <sz val="10"/>
        <color rgb="FF0000FF"/>
        <rFont val="宋体"/>
        <family val="3"/>
        <charset val="134"/>
      </rPr>
      <t>协议，关注计价是否正确、移交手续是否办理以及会计处理是否正确。</t>
    </r>
    <phoneticPr fontId="10" type="noConversion"/>
  </si>
  <si>
    <t>IPO/上市/新三板/重组/舞弊应对</t>
    <phoneticPr fontId="5" type="noConversion"/>
  </si>
  <si>
    <t xml:space="preserve">存放其他地方的资产（如有），考虑实地观察或函证由其他人保管或保管在盘点地之外的资产。 </t>
    <phoneticPr fontId="10" type="noConversion"/>
  </si>
  <si>
    <r>
      <rPr>
        <sz val="10"/>
        <rFont val="宋体"/>
        <family val="3"/>
        <charset val="134"/>
      </rPr>
      <t>其他方式增加或减少的固定资产，考虑执行以下程序：
（</t>
    </r>
    <r>
      <rPr>
        <sz val="10"/>
        <rFont val="Arial Narrow"/>
        <family val="2"/>
      </rPr>
      <t>1</t>
    </r>
    <r>
      <rPr>
        <sz val="10"/>
        <rFont val="宋体"/>
        <family val="3"/>
        <charset val="134"/>
      </rPr>
      <t>）对于非货币性资产交换、债务重组、投资、投资者投入等交易方式取得或减少的有关长期资产，检查相关合同</t>
    </r>
    <r>
      <rPr>
        <sz val="10"/>
        <rFont val="Arial Narrow"/>
        <family val="2"/>
      </rPr>
      <t>/</t>
    </r>
    <r>
      <rPr>
        <sz val="10"/>
        <rFont val="宋体"/>
        <family val="3"/>
        <charset val="134"/>
      </rPr>
      <t>协议，关注计价是否正确、移交手续是否办理以及会计处理是否正确。
（</t>
    </r>
    <r>
      <rPr>
        <sz val="10"/>
        <rFont val="Arial Narrow"/>
        <family val="2"/>
      </rPr>
      <t>2</t>
    </r>
    <r>
      <rPr>
        <sz val="10"/>
        <rFont val="宋体"/>
        <family val="3"/>
        <charset val="134"/>
      </rPr>
      <t>）对于因清产核资、资产评估调增或调减有关长期资产价值的，检查有关清产核资报告、资产评估报告、国有资产管理等部门的确认文件、验资报告等，检查会计处理是否正确。</t>
    </r>
    <phoneticPr fontId="10" type="noConversion"/>
  </si>
  <si>
    <t>实地观察固定资产投入及运行情况、厂区员工人数以及车间生产情况，分析资产规模与产能的匹配性，开工情况与产量的匹配性；结合产能、产量、销量数据计算产能利用率（开工率），与同行业企业进行对比，分析变化原因及合理性。</t>
    <phoneticPr fontId="10" type="noConversion"/>
  </si>
  <si>
    <t>是否经过恰当审批</t>
    <phoneticPr fontId="10" type="noConversion"/>
  </si>
  <si>
    <r>
      <rPr>
        <sz val="10"/>
        <rFont val="宋体"/>
        <family val="3"/>
        <charset val="134"/>
      </rPr>
      <t>权利和义务</t>
    </r>
    <phoneticPr fontId="10" type="noConversion"/>
  </si>
  <si>
    <r>
      <rPr>
        <sz val="10"/>
        <rFont val="宋体"/>
        <family val="3"/>
        <charset val="134"/>
      </rPr>
      <t>准确性、计价和分摊</t>
    </r>
    <phoneticPr fontId="10" type="noConversion"/>
  </si>
  <si>
    <r>
      <rPr>
        <sz val="10"/>
        <rFont val="宋体"/>
        <family val="3"/>
        <charset val="134"/>
      </rPr>
      <t>列报</t>
    </r>
    <phoneticPr fontId="10" type="noConversion"/>
  </si>
  <si>
    <r>
      <rPr>
        <sz val="10"/>
        <rFont val="宋体"/>
        <family val="3"/>
        <charset val="134"/>
      </rPr>
      <t>√</t>
    </r>
    <phoneticPr fontId="10" type="noConversion"/>
  </si>
  <si>
    <r>
      <rPr>
        <sz val="10"/>
        <rFont val="宋体"/>
        <family val="3"/>
        <charset val="134"/>
      </rPr>
      <t>√</t>
    </r>
    <phoneticPr fontId="10" type="noConversion"/>
  </si>
  <si>
    <t>H1-7
/H1-8</t>
    <phoneticPr fontId="10" type="noConversion"/>
  </si>
  <si>
    <t>H1-9
/H1-10
/H1-11</t>
    <phoneticPr fontId="10" type="noConversion"/>
  </si>
  <si>
    <t>H1-12
/H1-13</t>
    <phoneticPr fontId="10" type="noConversion"/>
  </si>
  <si>
    <t>H1-14
/H1-15</t>
    <phoneticPr fontId="10" type="noConversion"/>
  </si>
  <si>
    <t>H1-16
/H1-17</t>
    <phoneticPr fontId="10" type="noConversion"/>
  </si>
  <si>
    <t>H1-19</t>
    <phoneticPr fontId="10" type="noConversion"/>
  </si>
  <si>
    <t>H1-20</t>
    <phoneticPr fontId="10" type="noConversion"/>
  </si>
  <si>
    <r>
      <t>2.</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0" type="noConversion"/>
  </si>
  <si>
    <r>
      <t>3.</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0" type="noConversion"/>
  </si>
  <si>
    <t>H1-1
/H1-2
/H1-4</t>
    <phoneticPr fontId="10" type="noConversion"/>
  </si>
  <si>
    <r>
      <rPr>
        <b/>
        <sz val="10"/>
        <rFont val="宋体"/>
        <family val="3"/>
        <charset val="134"/>
      </rPr>
      <t>一、审计目标：</t>
    </r>
    <r>
      <rPr>
        <sz val="10"/>
        <rFont val="Arial Narrow"/>
        <family val="2"/>
      </rPr>
      <t/>
    </r>
    <phoneticPr fontId="10" type="noConversion"/>
  </si>
  <si>
    <r>
      <t>1.</t>
    </r>
    <r>
      <rPr>
        <sz val="10"/>
        <rFont val="宋体"/>
        <family val="3"/>
        <charset val="134"/>
      </rPr>
      <t>资产负债表中记录的固定资产是存在的，且已记录于恰当的账户；</t>
    </r>
    <r>
      <rPr>
        <b/>
        <sz val="10"/>
        <rFont val="Arial Narrow"/>
        <family val="2"/>
      </rPr>
      <t/>
    </r>
    <phoneticPr fontId="10" type="noConversion"/>
  </si>
  <si>
    <r>
      <t>2.</t>
    </r>
    <r>
      <rPr>
        <sz val="10"/>
        <rFont val="宋体"/>
        <family val="3"/>
        <charset val="134"/>
      </rPr>
      <t>固定资产以恰当的金额包括在财务报表中，与之相关的计价或分摊调整已恰当记录，相关披露已得到恰当计量和描述。</t>
    </r>
    <phoneticPr fontId="10" type="noConversion"/>
  </si>
  <si>
    <r>
      <t>1.</t>
    </r>
    <r>
      <rPr>
        <sz val="10"/>
        <rFont val="宋体"/>
        <family val="3"/>
        <charset val="134"/>
      </rPr>
      <t>获取暂时闲置固定资产的相关证明文件，并观察其实际状况，是否已按规定计提折旧，相关的会计处理是否正确。</t>
    </r>
    <phoneticPr fontId="10" type="noConversion"/>
  </si>
  <si>
    <r>
      <t>2.</t>
    </r>
    <r>
      <rPr>
        <sz val="10"/>
        <rFont val="宋体"/>
        <family val="3"/>
        <charset val="134"/>
      </rPr>
      <t>考虑暂时闲置固定资产是否存在减值迹象，……</t>
    </r>
    <phoneticPr fontId="10" type="noConversion"/>
  </si>
  <si>
    <r>
      <t>2.</t>
    </r>
    <r>
      <rPr>
        <sz val="10"/>
        <color indexed="8"/>
        <rFont val="宋体"/>
        <family val="3"/>
        <charset val="134"/>
      </rPr>
      <t>所有应记录的固定资产均已记录，所有应当包括在财务报表中的相关披露均已包括；</t>
    </r>
    <phoneticPr fontId="10" type="noConversion"/>
  </si>
  <si>
    <t>……</t>
    <phoneticPr fontId="10" type="noConversion"/>
  </si>
  <si>
    <r>
      <rPr>
        <b/>
        <sz val="10"/>
        <rFont val="宋体"/>
        <family val="3"/>
        <charset val="134"/>
      </rPr>
      <t>一、审计目标：</t>
    </r>
    <r>
      <rPr>
        <sz val="10"/>
        <rFont val="Arial Narrow"/>
        <family val="2"/>
      </rPr>
      <t/>
    </r>
    <phoneticPr fontId="37" type="noConversion"/>
  </si>
  <si>
    <r>
      <t>1.</t>
    </r>
    <r>
      <rPr>
        <sz val="10"/>
        <rFont val="宋体"/>
        <family val="3"/>
        <charset val="134"/>
      </rPr>
      <t>资产负债表中记录的固定资产是存在的，且已记录于恰当的账户；</t>
    </r>
    <r>
      <rPr>
        <sz val="10"/>
        <rFont val="Arial Narrow"/>
        <family val="2"/>
      </rPr>
      <t>2.</t>
    </r>
    <r>
      <rPr>
        <sz val="10"/>
        <rFont val="宋体"/>
        <family val="3"/>
        <charset val="134"/>
      </rPr>
      <t>所有应记录的固定资产均已记录，所有应当包括在财务报表中的相关披露均已包括；</t>
    </r>
    <phoneticPr fontId="10" type="noConversion"/>
  </si>
  <si>
    <r>
      <t>3.</t>
    </r>
    <r>
      <rPr>
        <sz val="10"/>
        <rFont val="宋体"/>
        <family val="3"/>
        <charset val="134"/>
      </rPr>
      <t>记录的固定资产由被审计单位拥有或控制；</t>
    </r>
    <r>
      <rPr>
        <sz val="10"/>
        <rFont val="Arial Narrow"/>
        <family val="2"/>
      </rPr>
      <t>4.</t>
    </r>
    <r>
      <rPr>
        <sz val="10"/>
        <rFont val="宋体"/>
        <family val="3"/>
        <charset val="134"/>
      </rPr>
      <t>固定资产以恰当的金额包括在财务报表中，与之相关的计价或分摊调整已恰当记录，相关披露已得到恰当计量和描述。</t>
    </r>
    <phoneticPr fontId="10" type="noConversion"/>
  </si>
  <si>
    <r>
      <t>1.</t>
    </r>
    <r>
      <rPr>
        <sz val="10"/>
        <rFont val="宋体"/>
        <family val="3"/>
        <charset val="134"/>
      </rPr>
      <t>资产负债表中记录的固定资产是存在的，且已记录于恰当的账户；</t>
    </r>
    <r>
      <rPr>
        <sz val="10"/>
        <rFont val="Arial Narrow"/>
        <family val="2"/>
      </rPr>
      <t>2.</t>
    </r>
    <r>
      <rPr>
        <sz val="10"/>
        <rFont val="宋体"/>
        <family val="3"/>
        <charset val="134"/>
      </rPr>
      <t>所有应记录的固定资产均已记录，所有应当包括在财务报表中的相关披露均已包括；</t>
    </r>
    <phoneticPr fontId="10" type="noConversion"/>
  </si>
  <si>
    <r>
      <t>3.</t>
    </r>
    <r>
      <rPr>
        <sz val="10"/>
        <rFont val="宋体"/>
        <family val="3"/>
        <charset val="134"/>
      </rPr>
      <t>固定资产以恰当的金额包括在财务报表中，与之相关的计价或分摊调整已恰当记录，相关披露已得到恰当计量和描述。</t>
    </r>
    <phoneticPr fontId="10" type="noConversion"/>
  </si>
  <si>
    <r>
      <rPr>
        <sz val="10"/>
        <rFont val="宋体"/>
        <family val="3"/>
        <charset val="134"/>
      </rPr>
      <t>抽盘地点：</t>
    </r>
    <r>
      <rPr>
        <sz val="10"/>
        <rFont val="Arial Narrow"/>
        <family val="2"/>
      </rPr>
      <t>______________</t>
    </r>
    <phoneticPr fontId="10" type="noConversion"/>
  </si>
  <si>
    <t>监盘人员：</t>
    <phoneticPr fontId="10" type="noConversion"/>
  </si>
  <si>
    <t>（审计人员签字）</t>
    <phoneticPr fontId="10" type="noConversion"/>
  </si>
  <si>
    <t>盘点人员：</t>
    <phoneticPr fontId="10" type="noConversion"/>
  </si>
  <si>
    <t>被审计单位仓库盘点人和财务监盘人签字</t>
    <phoneticPr fontId="10" type="noConversion"/>
  </si>
  <si>
    <r>
      <rPr>
        <sz val="10"/>
        <color rgb="FF0000FF"/>
        <rFont val="宋体"/>
        <family val="3"/>
        <charset val="134"/>
      </rPr>
      <t>如期末固定资产数量</t>
    </r>
    <r>
      <rPr>
        <sz val="10"/>
        <color rgb="FF0000FF"/>
        <rFont val="Arial Narrow"/>
        <family val="2"/>
      </rPr>
      <t>XX</t>
    </r>
    <r>
      <rPr>
        <sz val="10"/>
        <color rgb="FF0000FF"/>
        <rFont val="宋体"/>
        <family val="3"/>
        <charset val="134"/>
      </rPr>
      <t>、金额</t>
    </r>
    <r>
      <rPr>
        <sz val="10"/>
        <color rgb="FF0000FF"/>
        <rFont val="Arial Narrow"/>
        <family val="2"/>
      </rPr>
      <t>XX</t>
    </r>
    <r>
      <rPr>
        <sz val="10"/>
        <color rgb="FF0000FF"/>
        <rFont val="宋体"/>
        <family val="3"/>
        <charset val="134"/>
      </rPr>
      <t/>
    </r>
    <phoneticPr fontId="10" type="noConversion"/>
  </si>
  <si>
    <r>
      <t>1.</t>
    </r>
    <r>
      <rPr>
        <sz val="10"/>
        <rFont val="宋体"/>
        <family val="3"/>
        <charset val="134"/>
      </rPr>
      <t>资产负债表中记录的固定资产是存在的，且已记录于恰当的账户；</t>
    </r>
    <r>
      <rPr>
        <sz val="10"/>
        <rFont val="Arial Narrow"/>
        <family val="2"/>
      </rPr>
      <t>2.</t>
    </r>
    <r>
      <rPr>
        <sz val="10"/>
        <rFont val="宋体"/>
        <family val="3"/>
        <charset val="134"/>
      </rPr>
      <t>记录的固定资产由被审计单位拥有或控制；</t>
    </r>
    <phoneticPr fontId="10" type="noConversion"/>
  </si>
  <si>
    <r>
      <rPr>
        <sz val="10"/>
        <color rgb="FF0000FF"/>
        <rFont val="宋体"/>
        <family val="3"/>
        <charset val="134"/>
      </rPr>
      <t>测试总体扣除特定样本以外的样本，数量</t>
    </r>
    <r>
      <rPr>
        <sz val="10"/>
        <color rgb="FF0000FF"/>
        <rFont val="Arial Narrow"/>
        <family val="2"/>
      </rPr>
      <t>XX</t>
    </r>
    <r>
      <rPr>
        <sz val="10"/>
        <color rgb="FF0000FF"/>
        <rFont val="宋体"/>
        <family val="3"/>
        <charset val="134"/>
      </rPr>
      <t>、金额</t>
    </r>
    <r>
      <rPr>
        <sz val="10"/>
        <color rgb="FF0000FF"/>
        <rFont val="Arial Narrow"/>
        <family val="2"/>
      </rPr>
      <t>XX</t>
    </r>
    <phoneticPr fontId="10" type="noConversion"/>
  </si>
  <si>
    <t>品质状况（正常/闲着/毁损等）</t>
    <phoneticPr fontId="10" type="noConversion"/>
  </si>
  <si>
    <t>使用年限</t>
  </si>
  <si>
    <t>管理部门</t>
  </si>
  <si>
    <t>累计折旧（期末）</t>
    <phoneticPr fontId="14" type="noConversion"/>
  </si>
  <si>
    <t>开始使用日期</t>
  </si>
  <si>
    <t>残值率</t>
    <phoneticPr fontId="10" type="noConversion"/>
  </si>
  <si>
    <t>测算到期日</t>
    <phoneticPr fontId="10" type="noConversion"/>
  </si>
  <si>
    <t>已提折旧月份</t>
  </si>
  <si>
    <t>固定资产类别</t>
    <phoneticPr fontId="10" type="noConversion"/>
  </si>
  <si>
    <t>减值准备（期末）</t>
    <phoneticPr fontId="10" type="noConversion"/>
  </si>
  <si>
    <t>计提减值准备前月折旧</t>
    <phoneticPr fontId="10" type="noConversion"/>
  </si>
  <si>
    <t>固定资产编号</t>
    <phoneticPr fontId="10" type="noConversion"/>
  </si>
  <si>
    <t>固定资产名称</t>
    <phoneticPr fontId="10" type="noConversion"/>
  </si>
  <si>
    <t>原值
（期末）</t>
    <phoneticPr fontId="14" type="noConversion"/>
  </si>
  <si>
    <t>账面月折旧额</t>
    <phoneticPr fontId="10" type="noConversion"/>
  </si>
  <si>
    <t>使用月限</t>
    <phoneticPr fontId="10" type="noConversion"/>
  </si>
  <si>
    <t>截止计提减值准备日计提月份</t>
    <phoneticPr fontId="10" type="noConversion"/>
  </si>
  <si>
    <t>本期折旧月份</t>
    <phoneticPr fontId="10" type="noConversion"/>
  </si>
  <si>
    <t>本期折旧月份（减值前）</t>
    <phoneticPr fontId="10" type="noConversion"/>
  </si>
  <si>
    <t>本期折旧月份（减值后）</t>
    <phoneticPr fontId="10" type="noConversion"/>
  </si>
  <si>
    <t>计提减值准备前累计折旧</t>
    <phoneticPr fontId="10" type="noConversion"/>
  </si>
  <si>
    <t>计提减值准备后月折旧</t>
    <phoneticPr fontId="10" type="noConversion"/>
  </si>
  <si>
    <t>当期折旧费用</t>
    <phoneticPr fontId="10" type="noConversion"/>
  </si>
  <si>
    <t>月折旧额差异</t>
    <phoneticPr fontId="10" type="noConversion"/>
  </si>
  <si>
    <t>累计折旧费用</t>
    <phoneticPr fontId="10" type="noConversion"/>
  </si>
  <si>
    <t>累计折旧额差异</t>
    <phoneticPr fontId="10" type="noConversion"/>
  </si>
  <si>
    <t>使用月限</t>
    <phoneticPr fontId="10" type="noConversion"/>
  </si>
  <si>
    <t>固定资产类别</t>
    <phoneticPr fontId="10" type="noConversion"/>
  </si>
  <si>
    <t>固定资产编号</t>
    <phoneticPr fontId="10" type="noConversion"/>
  </si>
  <si>
    <t>累计折旧（期末）</t>
    <phoneticPr fontId="14" type="noConversion"/>
  </si>
  <si>
    <t>开始使用日期</t>
    <phoneticPr fontId="5" type="noConversion"/>
  </si>
  <si>
    <t>残值率</t>
    <phoneticPr fontId="10" type="noConversion"/>
  </si>
  <si>
    <t>账面月折旧额</t>
    <phoneticPr fontId="10" type="noConversion"/>
  </si>
  <si>
    <t>测算到期日</t>
    <phoneticPr fontId="10" type="noConversion"/>
  </si>
  <si>
    <t>本期折旧月份</t>
    <phoneticPr fontId="10" type="noConversion"/>
  </si>
  <si>
    <t>测算月折旧</t>
    <phoneticPr fontId="10" type="noConversion"/>
  </si>
  <si>
    <t>当期折旧费用</t>
    <phoneticPr fontId="10" type="noConversion"/>
  </si>
  <si>
    <t>月折旧额差异</t>
    <phoneticPr fontId="10" type="noConversion"/>
  </si>
  <si>
    <t>累计折旧费用</t>
    <phoneticPr fontId="10" type="noConversion"/>
  </si>
  <si>
    <t>累计折旧额差异</t>
    <phoneticPr fontId="10" type="noConversion"/>
  </si>
  <si>
    <t>房屋坐落/坐落</t>
    <phoneticPr fontId="10" type="noConversion"/>
  </si>
  <si>
    <t>是否抵押受限</t>
    <phoneticPr fontId="10" type="noConversion"/>
  </si>
  <si>
    <t>抵押价值</t>
    <phoneticPr fontId="10" type="noConversion"/>
  </si>
  <si>
    <t>权证编号</t>
    <phoneticPr fontId="10" type="noConversion"/>
  </si>
  <si>
    <t>资产编号</t>
    <phoneticPr fontId="10" type="noConversion"/>
  </si>
  <si>
    <t>资产名称</t>
    <phoneticPr fontId="10" type="noConversion"/>
  </si>
  <si>
    <t>财务账面记载</t>
    <phoneticPr fontId="10" type="noConversion"/>
  </si>
  <si>
    <t>权证记载</t>
    <phoneticPr fontId="10" type="noConversion"/>
  </si>
  <si>
    <t>抵押情况</t>
    <phoneticPr fontId="10" type="noConversion"/>
  </si>
  <si>
    <t>原值</t>
    <phoneticPr fontId="10" type="noConversion"/>
  </si>
  <si>
    <t>累计折旧</t>
    <phoneticPr fontId="10" type="noConversion"/>
  </si>
  <si>
    <t>减值准备</t>
    <phoneticPr fontId="10" type="noConversion"/>
  </si>
  <si>
    <t>净值</t>
    <phoneticPr fontId="10" type="noConversion"/>
  </si>
  <si>
    <t>房屋所有权人/权利人</t>
    <phoneticPr fontId="10" type="noConversion"/>
  </si>
  <si>
    <t>共有情况</t>
    <phoneticPr fontId="10" type="noConversion"/>
  </si>
  <si>
    <t>登记时间</t>
    <phoneticPr fontId="10" type="noConversion"/>
  </si>
  <si>
    <t>房屋性质/权利类型</t>
    <phoneticPr fontId="10" type="noConversion"/>
  </si>
  <si>
    <t>规划用途</t>
    <phoneticPr fontId="10" type="noConversion"/>
  </si>
  <si>
    <t>建筑面积</t>
    <phoneticPr fontId="10" type="noConversion"/>
  </si>
  <si>
    <t>使用年限/使用期限</t>
    <phoneticPr fontId="10" type="noConversion"/>
  </si>
  <si>
    <t>填发单位</t>
    <phoneticPr fontId="10" type="noConversion"/>
  </si>
  <si>
    <t>他项权利</t>
    <phoneticPr fontId="10" type="noConversion"/>
  </si>
  <si>
    <t>权证复印件索引</t>
    <phoneticPr fontId="10" type="noConversion"/>
  </si>
  <si>
    <t>抵押面积</t>
    <phoneticPr fontId="10" type="noConversion"/>
  </si>
  <si>
    <t>抵押性质</t>
    <phoneticPr fontId="10" type="noConversion"/>
  </si>
  <si>
    <t>1.确定租赁内含利率</t>
    <phoneticPr fontId="10" type="noConversion"/>
  </si>
  <si>
    <r>
      <t>2.</t>
    </r>
    <r>
      <rPr>
        <b/>
        <sz val="10"/>
        <rFont val="宋体"/>
        <family val="3"/>
        <charset val="134"/>
      </rPr>
      <t>确定应收融资租赁款和未实现融资收益</t>
    </r>
    <phoneticPr fontId="10" type="noConversion"/>
  </si>
  <si>
    <t>检查固定资产、抵押和担保情况等是否已按企业会计准则或其他适用的规定在财务报表中做出恰当列报和披露</t>
    <phoneticPr fontId="5" type="noConversion"/>
  </si>
  <si>
    <r>
      <rPr>
        <sz val="10"/>
        <rFont val="宋体"/>
        <family val="3"/>
        <charset val="134"/>
      </rPr>
      <t>对期初余额的审计，取得上期固定资产明细表、长期租赁资产（经营租出、融资租出）的明细表复核加计是否正确，与总账、明细账合计数是否相符；</t>
    </r>
    <r>
      <rPr>
        <sz val="10"/>
        <rFont val="Arial Narrow"/>
        <family val="2"/>
      </rPr>
      <t xml:space="preserve"> </t>
    </r>
    <r>
      <rPr>
        <sz val="10"/>
        <rFont val="宋体"/>
        <family val="3"/>
        <charset val="134"/>
      </rPr>
      <t>重新测算期初累计折旧余额准确性；对单项金额重大资产，进行实地查看资产或检查支持性文件，其他必要追加的审计程序。</t>
    </r>
    <r>
      <rPr>
        <sz val="10"/>
        <color rgb="FFFF0000"/>
        <rFont val="宋体"/>
        <family val="3"/>
        <charset val="134"/>
      </rPr>
      <t>（适用于首次承接）</t>
    </r>
    <phoneticPr fontId="10" type="noConversion"/>
  </si>
  <si>
    <t>执行分析性程序，考虑识别需要执行额外程序的领域：
（1）分析本期和上期固定资产净值占资产总额比例、当期计提折旧额、累计折旧及减值准备余额分别占固定资产原值比例是否异常；
（2）分析固定资产原值与本期产品产量的比率（固定资产的规模及其变化是否与产能匹配）、并与以前年度对比；
（3）分析租赁资产占相应资产的比例及本期与以前年度租赁收入情况（判断被审计单位对资产租赁收益的依赖程度及盈利能力的稳定性）；
（4）分析维修费用与固定资产原值的比例等，并与以前年度对比。</t>
    <phoneticPr fontId="10" type="noConversion"/>
  </si>
  <si>
    <t>了解被审计单位的主要生产设备的名称、位置、建设及投产情况，与所生产产品种类的对应关系。将主要生产设备的产能与当期产量对比，判断是否存在异常迹象。</t>
    <phoneticPr fontId="10" type="noConversion"/>
  </si>
  <si>
    <r>
      <rPr>
        <sz val="10"/>
        <rFont val="宋体"/>
        <family val="3"/>
        <charset val="134"/>
      </rPr>
      <t>检查固定资产的所有权或控制权
（</t>
    </r>
    <r>
      <rPr>
        <sz val="10"/>
        <rFont val="Arial Narrow"/>
        <family val="2"/>
      </rPr>
      <t>1</t>
    </r>
    <r>
      <rPr>
        <sz val="10"/>
        <rFont val="宋体"/>
        <family val="3"/>
        <charset val="134"/>
      </rPr>
      <t>）检查房屋及建筑物、运输设备等固定资产，并同时查看资产权属证明原件，结合银行借款等项目的检查，了解是否存在重大的抵押、担保情况，并取得复印件作为工作底稿；
（</t>
    </r>
    <r>
      <rPr>
        <sz val="10"/>
        <rFont val="Arial Narrow"/>
        <family val="2"/>
      </rPr>
      <t>2</t>
    </r>
    <r>
      <rPr>
        <sz val="10"/>
        <rFont val="宋体"/>
        <family val="3"/>
        <charset val="134"/>
      </rPr>
      <t>）对于正在办理权属证明的大额资产，了解权属证明办理情况，确认是否存在权属纠纷或实质性障碍。</t>
    </r>
    <phoneticPr fontId="10" type="noConversion"/>
  </si>
  <si>
    <r>
      <t>1.</t>
    </r>
    <r>
      <rPr>
        <sz val="10"/>
        <color indexed="8"/>
        <rFont val="宋体"/>
        <family val="3"/>
        <charset val="134"/>
      </rPr>
      <t>资产负债表中记录的固定资产是存在的，且已记录于恰当的账户；</t>
    </r>
    <r>
      <rPr>
        <sz val="10"/>
        <color indexed="8"/>
        <rFont val="Arial Narrow"/>
        <family val="2"/>
      </rPr>
      <t/>
    </r>
    <phoneticPr fontId="10" type="noConversion"/>
  </si>
  <si>
    <r>
      <rPr>
        <b/>
        <sz val="10"/>
        <rFont val="宋体"/>
        <family val="3"/>
        <charset val="134"/>
      </rPr>
      <t>品质状况（正常</t>
    </r>
    <r>
      <rPr>
        <b/>
        <sz val="10"/>
        <rFont val="Arial Narrow"/>
        <family val="2"/>
      </rPr>
      <t>/</t>
    </r>
    <r>
      <rPr>
        <b/>
        <sz val="10"/>
        <rFont val="宋体"/>
        <family val="3"/>
        <charset val="134"/>
      </rPr>
      <t>闲置</t>
    </r>
    <r>
      <rPr>
        <b/>
        <sz val="10"/>
        <rFont val="Arial Narrow"/>
        <family val="2"/>
      </rPr>
      <t>/</t>
    </r>
    <r>
      <rPr>
        <b/>
        <sz val="10"/>
        <rFont val="宋体"/>
        <family val="3"/>
        <charset val="134"/>
      </rPr>
      <t>毁损等）</t>
    </r>
    <phoneticPr fontId="10" type="noConversion"/>
  </si>
  <si>
    <t>备选</t>
  </si>
  <si>
    <t>检查关联交易情况，检查关联交易的真实性、合理性及合规性；检查关联交易会计处理是否正确，考虑是否存在未识别的关联方，检查关联交易和余额披露是否正确。</t>
    <phoneticPr fontId="10" type="noConversion"/>
  </si>
  <si>
    <r>
      <rPr>
        <sz val="10"/>
        <rFont val="宋体"/>
        <family val="3"/>
        <charset val="134"/>
      </rPr>
      <t>关注会计政策、会计估计合理性、一贯性，关注其是否利用会计政策和会计估计及其变更操纵利润。必要时与同行业其他公司会计政策、会计估计进行对比，主要会计政策和估计包括：
（</t>
    </r>
    <r>
      <rPr>
        <sz val="10"/>
        <rFont val="Arial Narrow"/>
        <family val="2"/>
      </rPr>
      <t>1</t>
    </r>
    <r>
      <rPr>
        <sz val="10"/>
        <rFont val="宋体"/>
        <family val="3"/>
        <charset val="134"/>
      </rPr>
      <t>）固定资产的初始计量；
（</t>
    </r>
    <r>
      <rPr>
        <sz val="10"/>
        <rFont val="Arial Narrow"/>
        <family val="2"/>
      </rPr>
      <t>2</t>
    </r>
    <r>
      <rPr>
        <sz val="10"/>
        <rFont val="宋体"/>
        <family val="3"/>
        <charset val="134"/>
      </rPr>
      <t>）固定资产折旧</t>
    </r>
    <r>
      <rPr>
        <sz val="10"/>
        <rFont val="Arial Narrow"/>
        <family val="2"/>
      </rPr>
      <t>/</t>
    </r>
    <r>
      <rPr>
        <sz val="10"/>
        <rFont val="宋体"/>
        <family val="3"/>
        <charset val="134"/>
      </rPr>
      <t>减值的政策和方法；
（</t>
    </r>
    <r>
      <rPr>
        <sz val="10"/>
        <rFont val="Arial Narrow"/>
        <family val="2"/>
      </rPr>
      <t>3</t>
    </r>
    <r>
      <rPr>
        <sz val="10"/>
        <rFont val="宋体"/>
        <family val="3"/>
        <charset val="134"/>
      </rPr>
      <t>）固定资产的后续支出（包括支出费用化和资本化）及终止确认。</t>
    </r>
    <phoneticPr fontId="10" type="noConversion"/>
  </si>
  <si>
    <r>
      <rPr>
        <sz val="10"/>
        <rFont val="宋体"/>
        <family val="3"/>
        <charset val="134"/>
      </rPr>
      <t>监盘固定资产：
（</t>
    </r>
    <r>
      <rPr>
        <sz val="10"/>
        <rFont val="Arial Narrow"/>
        <family val="2"/>
      </rPr>
      <t>1</t>
    </r>
    <r>
      <rPr>
        <sz val="10"/>
        <rFont val="宋体"/>
        <family val="3"/>
        <charset val="134"/>
      </rPr>
      <t>）取得公司固定资产清单，盘点范围考虑包括本期新增、容易侵占、重要、数量巨大、已损坏项目、存放在第三方及其他异常等。关注是否存在已报废但仍未核销的固定资产
（</t>
    </r>
    <r>
      <rPr>
        <sz val="10"/>
        <rFont val="Arial Narrow"/>
        <family val="2"/>
      </rPr>
      <t>2</t>
    </r>
    <r>
      <rPr>
        <sz val="10"/>
        <rFont val="宋体"/>
        <family val="3"/>
        <charset val="134"/>
      </rPr>
      <t>）获取被审计单位对于固定资产的盘点计划，制定和实施监盘计划（如有）及盘点控制文件的复印件（如：盘点清单，标签控制清单）；
（</t>
    </r>
    <r>
      <rPr>
        <sz val="10"/>
        <rFont val="Arial Narrow"/>
        <family val="2"/>
      </rPr>
      <t>3</t>
    </r>
    <r>
      <rPr>
        <sz val="10"/>
        <rFont val="宋体"/>
        <family val="3"/>
        <charset val="134"/>
      </rPr>
      <t>）取得固定资产存放地点清单，初步确定监盘方式、时间、监盘计划；
（</t>
    </r>
    <r>
      <rPr>
        <sz val="10"/>
        <rFont val="Arial Narrow"/>
        <family val="2"/>
      </rPr>
      <t>4</t>
    </r>
    <r>
      <rPr>
        <sz val="10"/>
        <rFont val="宋体"/>
        <family val="3"/>
        <charset val="134"/>
      </rPr>
      <t>）观察被审计单位制定的盘点程序的执行情况
（</t>
    </r>
    <r>
      <rPr>
        <sz val="10"/>
        <rFont val="Arial Narrow"/>
        <family val="2"/>
      </rPr>
      <t>5</t>
    </r>
    <r>
      <rPr>
        <sz val="10"/>
        <rFont val="宋体"/>
        <family val="3"/>
        <charset val="134"/>
      </rPr>
      <t>）检查固定资产的状态（在用、闲置、毁损或陈旧等）；
（</t>
    </r>
    <r>
      <rPr>
        <sz val="10"/>
        <rFont val="Arial Narrow"/>
        <family val="2"/>
      </rPr>
      <t>6</t>
    </r>
    <r>
      <rPr>
        <sz val="10"/>
        <rFont val="宋体"/>
        <family val="3"/>
        <charset val="134"/>
      </rPr>
      <t>）执行抽盘，注册会计师从固定资产盘点记录追查至固定资产实物，以及从固定资产实物中选取项目追查至固定资产清单，将抽盘结果与账面核对；
（</t>
    </r>
    <r>
      <rPr>
        <sz val="10"/>
        <rFont val="Arial Narrow"/>
        <family val="2"/>
      </rPr>
      <t>7</t>
    </r>
    <r>
      <rPr>
        <sz val="10"/>
        <rFont val="宋体"/>
        <family val="3"/>
        <charset val="134"/>
      </rPr>
      <t>）评价固定资产盘点结果，完成监盘小结。</t>
    </r>
    <phoneticPr fontId="10" type="noConversion"/>
  </si>
  <si>
    <t>T1
/</t>
    <phoneticPr fontId="10" type="noConversion"/>
  </si>
  <si>
    <r>
      <rPr>
        <sz val="10"/>
        <rFont val="宋体"/>
        <family val="3"/>
        <charset val="134"/>
      </rPr>
      <t>获取或编制固定资产的明细表，完成以下工作，并编制审定表
（</t>
    </r>
    <r>
      <rPr>
        <sz val="10"/>
        <rFont val="Arial Narrow"/>
        <family val="2"/>
      </rPr>
      <t>1</t>
    </r>
    <r>
      <rPr>
        <sz val="10"/>
        <rFont val="宋体"/>
        <family val="3"/>
        <charset val="134"/>
      </rPr>
      <t>）复核加计是否正确，并与总账数和明细账合计数核对是否相符，期初余额与上期审定期末余额是否相符；
（</t>
    </r>
    <r>
      <rPr>
        <sz val="10"/>
        <rFont val="Arial Narrow"/>
        <family val="2"/>
      </rPr>
      <t>2</t>
    </r>
    <r>
      <rPr>
        <sz val="10"/>
        <rFont val="宋体"/>
        <family val="3"/>
        <charset val="134"/>
      </rPr>
      <t>）结合固定资产减值准备科目和报表数核对是否相符
（</t>
    </r>
    <r>
      <rPr>
        <sz val="10"/>
        <rFont val="Arial Narrow"/>
        <family val="2"/>
      </rPr>
      <t>3</t>
    </r>
    <r>
      <rPr>
        <sz val="10"/>
        <rFont val="宋体"/>
        <family val="3"/>
        <charset val="134"/>
      </rPr>
      <t>）询问闲置资产或未入账资产处置情况（如有）。</t>
    </r>
    <r>
      <rPr>
        <sz val="10"/>
        <rFont val="Arial Narrow"/>
        <family val="2"/>
      </rPr>
      <t xml:space="preserve"> </t>
    </r>
    <phoneticPr fontId="10" type="noConversion"/>
  </si>
  <si>
    <r>
      <rPr>
        <sz val="10"/>
        <rFont val="宋体"/>
        <family val="3"/>
        <charset val="134"/>
      </rPr>
      <t>检查本期新增的固定资产：
（</t>
    </r>
    <r>
      <rPr>
        <sz val="10"/>
        <rFont val="Arial Narrow"/>
        <family val="2"/>
      </rPr>
      <t>1</t>
    </r>
    <r>
      <rPr>
        <sz val="10"/>
        <rFont val="宋体"/>
        <family val="3"/>
        <charset val="134"/>
      </rPr>
      <t>）对于外购的固定资产，检查购置合同、发票、保险单、发运凭证等文件，检查其金额及会计处理是否正确；如果购买固定资产的价款超过正常信用条件延期支付，检查实质上是否具有融资性质，固定资产的成本是否以购买价款的现值为基础确定；
（</t>
    </r>
    <r>
      <rPr>
        <sz val="10"/>
        <rFont val="Arial Narrow"/>
        <family val="2"/>
      </rPr>
      <t>2</t>
    </r>
    <r>
      <rPr>
        <sz val="10"/>
        <rFont val="宋体"/>
        <family val="3"/>
        <charset val="134"/>
      </rPr>
      <t>）对于在建工程转入的固定资产，结合固定资产盘点程序，检查竣工决算、验收和移交报告是否正确，与在建工程相关的记录是否核对相符，借款费用资本化金额是否恰当；对已经在用或已经达到预定可使用状态但尚未办理竣工决算的固定资产，检查其是否已经暂估入账，并按规定计提折旧；检查资本性支出与收益性支出的划分是否恰当；竣工决算完成后，是否及时调整；
（</t>
    </r>
    <r>
      <rPr>
        <sz val="10"/>
        <rFont val="Arial Narrow"/>
        <family val="2"/>
      </rPr>
      <t>3</t>
    </r>
    <r>
      <rPr>
        <sz val="10"/>
        <rFont val="宋体"/>
        <family val="3"/>
        <charset val="134"/>
      </rPr>
      <t>）对于更新改造增加的固定资产，检查增加的固定资产原值是否真实，是否符合资本化条件，增计金额是否超过了该项固定资产的可收回金额；重新确定的剩余折旧年限是否恰当；
（</t>
    </r>
    <r>
      <rPr>
        <sz val="10"/>
        <rFont val="Arial Narrow"/>
        <family val="2"/>
      </rPr>
      <t>4</t>
    </r>
    <r>
      <rPr>
        <sz val="10"/>
        <rFont val="宋体"/>
        <family val="3"/>
        <charset val="134"/>
      </rPr>
      <t>）对于盘盈的固定资产，检查固定资产计价及确认的损益是否符合会计准则及相关规定；
（</t>
    </r>
    <r>
      <rPr>
        <sz val="10"/>
        <rFont val="Arial Narrow"/>
        <family val="2"/>
      </rPr>
      <t>5</t>
    </r>
    <r>
      <rPr>
        <sz val="10"/>
        <rFont val="宋体"/>
        <family val="3"/>
        <charset val="134"/>
      </rPr>
      <t>）关注固定资产是否存在弃置费用，如果存在弃置费用，检查弃置费用的估计方法和弃置费用现值的计算是否合理，会计处理是否正确。</t>
    </r>
    <phoneticPr fontId="10" type="noConversion"/>
  </si>
  <si>
    <t>检查本期固定资产的处置：
（1）结合固定资产清理科目，抽查固定资产账面转销额是否正确；
（2）检查出售、盘亏、转让、报废或毁损的固定资产是否经授权批准、检查相关合同等，相关收益或损失已正确计算，并进行正确的会计处理；
（3）检查因修理、更新改造而停止使用的固定资产的会计处理是否正确；</t>
    <phoneticPr fontId="10" type="noConversion"/>
  </si>
  <si>
    <r>
      <rPr>
        <sz val="10"/>
        <rFont val="宋体"/>
        <family val="3"/>
        <charset val="134"/>
      </rPr>
      <t>检查累计折旧，考虑执行以下程序：
（</t>
    </r>
    <r>
      <rPr>
        <sz val="10"/>
        <rFont val="Arial Narrow"/>
        <family val="2"/>
      </rPr>
      <t>1</t>
    </r>
    <r>
      <rPr>
        <sz val="10"/>
        <rFont val="宋体"/>
        <family val="3"/>
        <charset val="134"/>
      </rPr>
      <t>）获取或编制累计折旧分类汇总表，复核加计正确，并与总账数和明细账合计数核对。
（</t>
    </r>
    <r>
      <rPr>
        <sz val="10"/>
        <rFont val="Arial Narrow"/>
        <family val="2"/>
      </rPr>
      <t>2</t>
    </r>
    <r>
      <rPr>
        <sz val="10"/>
        <rFont val="宋体"/>
        <family val="3"/>
        <charset val="134"/>
      </rPr>
      <t>）重新计算折旧，当存在减值时，是否按照扣除减值损失之后的使用权资产账面价值进行后续折旧。
（</t>
    </r>
    <r>
      <rPr>
        <sz val="10"/>
        <rFont val="Arial Narrow"/>
        <family val="2"/>
      </rPr>
      <t>3</t>
    </r>
    <r>
      <rPr>
        <sz val="10"/>
        <rFont val="宋体"/>
        <family val="3"/>
        <charset val="134"/>
      </rPr>
      <t>）获取暂时闲置、已提足折旧仍继续使用和前期已计提减值准备的固定资产的相关证明文件，并观察其实际状况，检查是否已按规定计提折旧；</t>
    </r>
    <r>
      <rPr>
        <sz val="10"/>
        <rFont val="Arial Narrow"/>
        <family val="2"/>
      </rPr>
      <t xml:space="preserve"> 
</t>
    </r>
    <r>
      <rPr>
        <sz val="10"/>
        <rFont val="宋体"/>
        <family val="3"/>
        <charset val="134"/>
      </rPr>
      <t>（</t>
    </r>
    <r>
      <rPr>
        <sz val="10"/>
        <rFont val="Arial Narrow"/>
        <family val="2"/>
      </rPr>
      <t>4</t>
    </r>
    <r>
      <rPr>
        <sz val="10"/>
        <rFont val="宋体"/>
        <family val="3"/>
        <charset val="134"/>
      </rPr>
      <t>）检查折旧分配到成本、费用的情况，关注分配是否合理，与上期分配方法是否一致。</t>
    </r>
    <phoneticPr fontId="10" type="noConversion"/>
  </si>
  <si>
    <r>
      <t xml:space="preserve">A. </t>
    </r>
    <r>
      <rPr>
        <sz val="10"/>
        <rFont val="宋体"/>
        <family val="3"/>
        <charset val="134"/>
      </rPr>
      <t>资产负债表中记录的固定资产是存在的，且已记录于恰当的账户</t>
    </r>
    <phoneticPr fontId="10" type="noConversion"/>
  </si>
  <si>
    <t>二、审计目标与认定的对应关系</t>
    <phoneticPr fontId="10" type="noConversion"/>
  </si>
  <si>
    <t>三、计划实施的实质性程序</t>
    <phoneticPr fontId="10" type="noConversion"/>
  </si>
  <si>
    <r>
      <rPr>
        <b/>
        <sz val="10"/>
        <rFont val="宋体"/>
        <family val="3"/>
        <charset val="134"/>
      </rPr>
      <t>合计</t>
    </r>
    <phoneticPr fontId="10" type="noConversion"/>
  </si>
  <si>
    <t>如固定资产借方发生额所有凭证共XX笔金额XX</t>
    <phoneticPr fontId="10" type="noConversion"/>
  </si>
  <si>
    <r>
      <rPr>
        <b/>
        <sz val="10"/>
        <rFont val="宋体"/>
        <family val="3"/>
        <charset val="134"/>
      </rPr>
      <t>合计</t>
    </r>
    <phoneticPr fontId="10" type="noConversion"/>
  </si>
  <si>
    <r>
      <rPr>
        <b/>
        <sz val="10"/>
        <rFont val="宋体"/>
        <family val="3"/>
        <charset val="134"/>
      </rPr>
      <t>本期减少固定资产合计</t>
    </r>
    <phoneticPr fontId="10"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</si>
  <si>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10" type="noConversion"/>
  </si>
  <si>
    <r>
      <rPr>
        <b/>
        <sz val="10"/>
        <color rgb="FFFF0000"/>
        <rFont val="宋体"/>
        <family val="3"/>
        <charset val="134"/>
      </rPr>
      <t>对手方名称</t>
    </r>
    <phoneticPr fontId="10" type="noConversion"/>
  </si>
  <si>
    <r>
      <rPr>
        <b/>
        <sz val="10"/>
        <color rgb="FFFF0000"/>
        <rFont val="宋体"/>
        <family val="3"/>
        <charset val="134"/>
      </rPr>
      <t>金额</t>
    </r>
    <phoneticPr fontId="10" type="noConversion"/>
  </si>
  <si>
    <r>
      <rPr>
        <b/>
        <sz val="10"/>
        <color rgb="FFFF0000"/>
        <rFont val="宋体"/>
        <family val="3"/>
        <charset val="134"/>
      </rPr>
      <t>合同</t>
    </r>
    <r>
      <rPr>
        <b/>
        <sz val="10"/>
        <color rgb="FFFF0000"/>
        <rFont val="Arial Narrow"/>
        <family val="2"/>
      </rPr>
      <t>/</t>
    </r>
    <r>
      <rPr>
        <b/>
        <sz val="10"/>
        <color rgb="FFFF0000"/>
        <rFont val="宋体"/>
        <family val="3"/>
        <charset val="134"/>
      </rPr>
      <t>协议</t>
    </r>
    <r>
      <rPr>
        <b/>
        <sz val="10"/>
        <color rgb="FFFF0000"/>
        <rFont val="Arial Narrow"/>
        <family val="2"/>
      </rPr>
      <t>/</t>
    </r>
    <r>
      <rPr>
        <b/>
        <sz val="10"/>
        <color rgb="FFFF0000"/>
        <rFont val="宋体"/>
        <family val="3"/>
        <charset val="134"/>
      </rPr>
      <t>订单</t>
    </r>
    <phoneticPr fontId="10" type="noConversion"/>
  </si>
  <si>
    <r>
      <rPr>
        <b/>
        <sz val="10"/>
        <color rgb="FFFF0000"/>
        <rFont val="宋体"/>
        <family val="3"/>
        <charset val="134"/>
      </rPr>
      <t>发票</t>
    </r>
    <phoneticPr fontId="10" type="noConversion"/>
  </si>
  <si>
    <t>二、测试：</t>
    <phoneticPr fontId="37" type="noConversion"/>
  </si>
  <si>
    <t>三、审计说明：</t>
    <phoneticPr fontId="37" type="noConversion"/>
  </si>
  <si>
    <t>四、审计结论：</t>
    <phoneticPr fontId="10" type="noConversion"/>
  </si>
  <si>
    <t>测试原因：大额（）关联方（）大额交易频繁（）异常（）其他（）</t>
    <phoneticPr fontId="10" type="noConversion"/>
  </si>
  <si>
    <r>
      <rPr>
        <b/>
        <sz val="10"/>
        <rFont val="宋体"/>
        <family val="3"/>
        <charset val="134"/>
      </rPr>
      <t>增加方式</t>
    </r>
    <phoneticPr fontId="10" type="noConversion"/>
  </si>
  <si>
    <r>
      <rPr>
        <b/>
        <sz val="10"/>
        <rFont val="宋体"/>
        <family val="3"/>
        <charset val="134"/>
      </rPr>
      <t>是否提足折旧</t>
    </r>
    <phoneticPr fontId="10" type="noConversion"/>
  </si>
  <si>
    <r>
      <rPr>
        <b/>
        <sz val="10"/>
        <rFont val="宋体"/>
        <family val="3"/>
        <charset val="134"/>
      </rPr>
      <t>是否闲置</t>
    </r>
    <phoneticPr fontId="10" type="noConversion"/>
  </si>
  <si>
    <r>
      <rPr>
        <b/>
        <sz val="10"/>
        <rFont val="宋体"/>
        <family val="3"/>
        <charset val="134"/>
      </rPr>
      <t>是否有权属证明</t>
    </r>
    <phoneticPr fontId="10" type="noConversion"/>
  </si>
  <si>
    <t>原值
（期末）</t>
    <phoneticPr fontId="14" type="noConversion"/>
  </si>
  <si>
    <t>3.未确认融资收益分配表（如适用）</t>
    <phoneticPr fontId="10" type="noConversion"/>
  </si>
  <si>
    <r>
      <rPr>
        <sz val="10"/>
        <rFont val="宋体"/>
        <family val="3"/>
        <charset val="134"/>
      </rPr>
      <t>被审计单位：</t>
    </r>
    <r>
      <rPr>
        <sz val="10"/>
        <rFont val="Arial Narrow"/>
        <family val="2"/>
      </rPr>
      <t/>
    </r>
    <phoneticPr fontId="10" type="noConversion"/>
  </si>
  <si>
    <t>编制人：</t>
    <phoneticPr fontId="10" type="noConversion"/>
  </si>
  <si>
    <t>编制日期：</t>
    <phoneticPr fontId="10" type="noConversion"/>
  </si>
  <si>
    <t>复核人：</t>
    <phoneticPr fontId="10" type="noConversion"/>
  </si>
  <si>
    <t>复核日期：</t>
    <phoneticPr fontId="10" type="noConversion"/>
  </si>
  <si>
    <t>审计目标</t>
    <phoneticPr fontId="10" type="noConversion"/>
  </si>
  <si>
    <r>
      <t xml:space="preserve">C. </t>
    </r>
    <r>
      <rPr>
        <sz val="10"/>
        <rFont val="宋体"/>
        <family val="3"/>
        <charset val="134"/>
      </rPr>
      <t>记录的固定资产由被审计单位拥有或控制；</t>
    </r>
    <phoneticPr fontId="10" type="noConversion"/>
  </si>
  <si>
    <t>关于工作底稿与审计程序索引号对应的说明</t>
    <phoneticPr fontId="10"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</si>
  <si>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0"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</si>
  <si>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0"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</si>
  <si>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0"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</si>
  <si>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</si>
  <si>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根据被审计单位实际情况和风险评估情况裁剪、修改或增加审计程序</t>
    <phoneticPr fontId="10" type="noConversion"/>
  </si>
  <si>
    <t>审计程序</t>
    <phoneticPr fontId="5" type="noConversion"/>
  </si>
  <si>
    <t>……</t>
    <phoneticPr fontId="10" type="noConversion"/>
  </si>
  <si>
    <t>2.……</t>
    <phoneticPr fontId="10" type="noConversion"/>
  </si>
  <si>
    <t>随机选样/系统选样/货币单元抽样/随意选样（非统计抽样适用）</t>
    <phoneticPr fontId="10" type="noConversion"/>
  </si>
  <si>
    <t>随机选样/系统选样/货币单元抽样/随意选样（非统计抽样适用）</t>
    <phoneticPr fontId="10" type="noConversion"/>
  </si>
  <si>
    <r>
      <rPr>
        <sz val="10"/>
        <rFont val="宋体"/>
        <family val="3"/>
        <charset val="134"/>
      </rPr>
      <t>控股股东、实际控制人的附属企业</t>
    </r>
    <phoneticPr fontId="10" type="noConversion"/>
  </si>
  <si>
    <r>
      <rPr>
        <sz val="10"/>
        <rFont val="宋体"/>
        <family val="3"/>
        <charset val="134"/>
      </rPr>
      <t>持有</t>
    </r>
    <r>
      <rPr>
        <sz val="10"/>
        <rFont val="Arial Narrow"/>
        <family val="2"/>
      </rPr>
      <t>5%</t>
    </r>
    <r>
      <rPr>
        <sz val="10"/>
        <rFont val="宋体"/>
        <family val="3"/>
        <charset val="134"/>
      </rPr>
      <t>以上股份的法人或其他组织</t>
    </r>
    <phoneticPr fontId="10" type="noConversion"/>
  </si>
  <si>
    <r>
      <rPr>
        <sz val="10"/>
        <rFont val="宋体"/>
        <family val="3"/>
        <charset val="134"/>
      </rPr>
      <t>联营企业</t>
    </r>
    <phoneticPr fontId="10" type="noConversion"/>
  </si>
  <si>
    <r>
      <rPr>
        <sz val="10"/>
        <rFont val="宋体"/>
        <family val="3"/>
        <charset val="134"/>
      </rPr>
      <t>合营企业</t>
    </r>
    <phoneticPr fontId="10" type="noConversion"/>
  </si>
  <si>
    <r>
      <rPr>
        <sz val="10"/>
        <rFont val="宋体"/>
        <family val="3"/>
        <charset val="134"/>
      </rPr>
      <t>董高监等关键管理人员</t>
    </r>
    <phoneticPr fontId="10" type="noConversion"/>
  </si>
  <si>
    <r>
      <rPr>
        <sz val="10"/>
        <rFont val="宋体"/>
        <family val="3"/>
        <charset val="134"/>
      </rPr>
      <t>其他关联方</t>
    </r>
    <phoneticPr fontId="10" type="noConversion"/>
  </si>
  <si>
    <r>
      <rPr>
        <sz val="10"/>
        <rFont val="宋体"/>
        <family val="3"/>
        <charset val="134"/>
      </rPr>
      <t>关联关系</t>
    </r>
    <phoneticPr fontId="10" type="noConversion"/>
  </si>
  <si>
    <r>
      <rPr>
        <sz val="10"/>
        <rFont val="宋体"/>
        <family val="3"/>
        <charset val="134"/>
      </rPr>
      <t>实际控制人</t>
    </r>
    <phoneticPr fontId="10" type="noConversion"/>
  </si>
  <si>
    <r>
      <rPr>
        <sz val="10"/>
        <rFont val="宋体"/>
        <family val="3"/>
        <charset val="134"/>
      </rPr>
      <t>控股股东</t>
    </r>
    <phoneticPr fontId="10" type="noConversion"/>
  </si>
  <si>
    <t>提示：在停工停产期间应继续计提固定资产折旧和无形资产摊销，并根据用途计入相关资产的成本或当期损益。例如，企业因需求不足而停产或因事故而停工检修等，相关生产设备应当继续计提折旧，并计入营业成本。</t>
    <phoneticPr fontId="10" type="noConversion"/>
  </si>
  <si>
    <t>检查比例</t>
    <phoneticPr fontId="10" type="noConversion"/>
  </si>
  <si>
    <r>
      <t>1.</t>
    </r>
    <r>
      <rPr>
        <sz val="10"/>
        <color rgb="FFFF0000"/>
        <rFont val="宋体"/>
        <family val="3"/>
        <charset val="134"/>
      </rPr>
      <t>如果检查比例较低应扩大检查样本量或说明原因</t>
    </r>
    <phoneticPr fontId="10" type="noConversion"/>
  </si>
  <si>
    <r>
      <t>1.</t>
    </r>
    <r>
      <rPr>
        <sz val="10"/>
        <color rgb="FFFF0000"/>
        <rFont val="宋体"/>
        <family val="3"/>
        <charset val="134"/>
      </rPr>
      <t>如果检查比例较低应扩大检查样本量或说明原因</t>
    </r>
    <phoneticPr fontId="10" type="noConversion"/>
  </si>
  <si>
    <r>
      <t>10</t>
    </r>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号——识别和应对第三方配合实施财务舞弊》：当期存在大额长期资产采购或对外投资时，需考虑是否存在通过虚增在建工程、固定资产、无形资产等长期资产采购价格套取资金，</t>
    </r>
    <phoneticPr fontId="10" type="noConversion"/>
  </si>
  <si>
    <t>如果还识别出被审计单位存在可能导致关联方资金占用以及其他套取资金行为的舞弊风险因素，则很可能表面存在第三方配合舞弊，应采取恰当的措施应对。</t>
    <phoneticPr fontId="10" type="noConversion"/>
  </si>
  <si>
    <t>9</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</si>
</sst>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1" formatCode="_ * #,##0_ ;_ * \-#,##0_ ;_ * &quot;-&quot;_ ;_ @_ "/>
    <numFmt numFmtId="44" formatCode="_ &quot;¥&quot;* #,##0.00_ ;_ &quot;¥&quot;* \-#,##0.00_ ;_ &quot;¥&quot;* &quot;-&quot;??_ ;_ @_ "/>
    <numFmt numFmtId="43" formatCode="_ * #,##0.00_ ;_ * \-#,##0.00_ ;_ * &quot;-&quot;??_ ;_ @_ "/>
    <numFmt numFmtId="176" formatCode="0.0000%"/>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quot;$&quot;#,##0_);\(&quot;$&quot;#,##0\)"/>
    <numFmt numFmtId="187" formatCode="_-* #,##0_-;\-* #,##0_-;_-* &quot;-&quot;_-;_-@_-"/>
    <numFmt numFmtId="188" formatCode="_-* #,##0.00_-;\-* #,##0.00_-;_-* &quot;-&quot;??_-;_-@_-"/>
    <numFmt numFmtId="189" formatCode="_-&quot;$&quot;* #,##0_-;\-&quot;$&quot;* #,##0_-;_-&quot;$&quot;* &quot;-&quot;_-;_-@_-"/>
    <numFmt numFmtId="190" formatCode="_-&quot;$&quot;* #,##0.00_-;\-&quot;$&quot;* #,##0.00_-;_-&quot;$&quot;* &quot;-&quot;??_-;_-@_-"/>
    <numFmt numFmtId="191" formatCode="_([$€-2]* #,##0.00_);_([$€-2]* \(#,##0.00\);_([$€-2]* &quot;-&quot;??_)"/>
    <numFmt numFmtId="192" formatCode="&quot;\&quot;#,##0;[Red]&quot;\&quot;&quot;\&quot;\-#,##0"/>
    <numFmt numFmtId="193" formatCode="&quot;\&quot;#,##0.00;[Red]&quot;\&quot;&quot;\&quot;\-#,##0.00"/>
    <numFmt numFmtId="194" formatCode="&quot;\&quot;#,##0;&quot;\&quot;&quot;\&quot;\-#,##0"/>
    <numFmt numFmtId="195" formatCode="_(* #,##0_);_(* \(#,##0\);_(* &quot;-&quot;_);_(@_)"/>
    <numFmt numFmtId="196" formatCode="_(* #,##0.00_);_(* \(#,##0.00\);_(* &quot;-&quot;??_);_(@_)"/>
    <numFmt numFmtId="197" formatCode="_ * #,##0_ ;_ * \-#,##0_ ;_ * &quot;-&quot;??_ ;_ @_ "/>
    <numFmt numFmtId="198" formatCode="0_);[Red]\(0\)"/>
    <numFmt numFmtId="199" formatCode="0.00_);[Red]\(0.00\)"/>
    <numFmt numFmtId="200" formatCode="#,##0.00_);[Red]\(#,##0.00\)"/>
    <numFmt numFmtId="201" formatCode="_ * #,##0.0000_ ;_ * \-#,##0.0000_ ;_ * &quot;-&quot;??_ ;_ @_ "/>
  </numFmts>
  <fonts count="111">
    <font>
      <sz val="12"/>
      <name val="宋体"/>
      <family val="3"/>
      <charset val="134"/>
    </font>
    <font>
      <sz val="11"/>
      <color theme="1"/>
      <name val="宋体"/>
      <family val="2"/>
      <charset val="134"/>
      <scheme val="minor"/>
    </font>
    <font>
      <sz val="11"/>
      <color theme="1"/>
      <name val="宋体"/>
      <family val="2"/>
      <charset val="134"/>
      <scheme val="minor"/>
    </font>
    <font>
      <sz val="12"/>
      <name val="Times New Roman"/>
      <family val="1"/>
    </font>
    <font>
      <b/>
      <sz val="10"/>
      <name val="宋体"/>
      <family val="3"/>
      <charset val="134"/>
    </font>
    <font>
      <sz val="9"/>
      <name val="宋体"/>
      <family val="2"/>
      <charset val="134"/>
      <scheme val="minor"/>
    </font>
    <font>
      <b/>
      <sz val="10"/>
      <name val="Arial Narrow"/>
      <family val="2"/>
    </font>
    <font>
      <sz val="12"/>
      <name val="宋体"/>
      <family val="3"/>
      <charset val="134"/>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0"/>
      <name val="Times New Roman"/>
      <family val="1"/>
    </font>
    <font>
      <u/>
      <sz val="10"/>
      <name val="Arial Narrow"/>
      <family val="2"/>
    </font>
    <font>
      <sz val="10"/>
      <color indexed="10"/>
      <name val="宋体"/>
      <family val="3"/>
      <charset val="134"/>
    </font>
    <font>
      <sz val="10"/>
      <color indexed="12"/>
      <name val="宋体"/>
      <family val="3"/>
      <charset val="134"/>
    </font>
    <font>
      <i/>
      <sz val="10"/>
      <color indexed="12"/>
      <name val="宋体"/>
      <family val="3"/>
      <charset val="134"/>
    </font>
    <font>
      <sz val="10"/>
      <color indexed="12"/>
      <name val="Arial Narrow"/>
      <family val="2"/>
    </font>
    <font>
      <b/>
      <sz val="10"/>
      <color indexed="12"/>
      <name val="宋体"/>
      <family val="3"/>
      <charset val="134"/>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color indexed="8"/>
      <name val="宋体"/>
      <family val="3"/>
      <charset val="134"/>
    </font>
    <font>
      <b/>
      <sz val="10"/>
      <color indexed="8"/>
      <name val="Arial Narrow"/>
      <family val="2"/>
    </font>
    <font>
      <sz val="10"/>
      <color indexed="8"/>
      <name val="Arial Narrow"/>
      <family val="2"/>
    </font>
    <font>
      <sz val="18"/>
      <color indexed="48"/>
      <name val="魏碑"/>
      <family val="3"/>
      <charset val="134"/>
    </font>
    <font>
      <sz val="10"/>
      <color indexed="53"/>
      <name val="宋体"/>
      <family val="3"/>
      <charset val="134"/>
    </font>
    <font>
      <i/>
      <sz val="10"/>
      <color indexed="12"/>
      <name val="Arial Narrow"/>
      <family val="2"/>
    </font>
    <font>
      <u/>
      <sz val="10"/>
      <name val="宋体"/>
      <family val="3"/>
      <charset val="134"/>
    </font>
    <font>
      <b/>
      <sz val="9"/>
      <name val="宋体"/>
      <family val="3"/>
      <charset val="134"/>
    </font>
    <font>
      <u/>
      <sz val="12"/>
      <color indexed="12"/>
      <name val="宋体"/>
      <family val="3"/>
      <charset val="134"/>
    </font>
    <font>
      <b/>
      <sz val="10"/>
      <color theme="1"/>
      <name val="Arial Narrow"/>
      <family val="2"/>
    </font>
    <font>
      <b/>
      <sz val="10"/>
      <color rgb="FFFF0000"/>
      <name val="Arial Narrow"/>
      <family val="2"/>
    </font>
    <font>
      <sz val="10"/>
      <color rgb="FFFF0000"/>
      <name val="宋体"/>
      <family val="3"/>
      <charset val="134"/>
    </font>
    <font>
      <b/>
      <sz val="10"/>
      <color rgb="FFFF0000"/>
      <name val="宋体"/>
      <family val="3"/>
      <charset val="134"/>
    </font>
    <font>
      <sz val="10"/>
      <color indexed="48"/>
      <name val="Arial Narrow"/>
      <family val="2"/>
    </font>
    <font>
      <sz val="10"/>
      <color indexed="8"/>
      <name val="宋体"/>
      <family val="3"/>
      <charset val="134"/>
    </font>
    <font>
      <sz val="9"/>
      <name val="宋体"/>
      <family val="3"/>
      <charset val="134"/>
      <scheme val="minor"/>
    </font>
    <font>
      <sz val="10"/>
      <color theme="1"/>
      <name val="宋体"/>
      <family val="3"/>
      <charset val="134"/>
    </font>
    <font>
      <b/>
      <sz val="10"/>
      <name val="宋体"/>
      <family val="3"/>
      <charset val="134"/>
      <scheme val="minor"/>
    </font>
    <font>
      <sz val="10"/>
      <name val="宋体"/>
      <family val="3"/>
      <charset val="134"/>
      <scheme val="minor"/>
    </font>
    <font>
      <b/>
      <sz val="12"/>
      <color indexed="8"/>
      <name val="宋体"/>
      <family val="3"/>
      <charset val="134"/>
    </font>
    <font>
      <b/>
      <sz val="12"/>
      <color indexed="8"/>
      <name val="Arial Narrow"/>
      <family val="2"/>
    </font>
    <font>
      <sz val="10"/>
      <color rgb="FF0070C0"/>
      <name val="Arial Narrow"/>
      <family val="2"/>
    </font>
    <font>
      <sz val="10"/>
      <color theme="1"/>
      <name val="宋体"/>
      <family val="3"/>
      <charset val="134"/>
      <scheme val="minor"/>
    </font>
    <font>
      <sz val="10.5"/>
      <name val="仿宋_GB2312"/>
      <family val="3"/>
      <charset val="134"/>
    </font>
    <font>
      <b/>
      <u/>
      <sz val="10"/>
      <name val="Arial Narrow"/>
      <family val="2"/>
    </font>
    <font>
      <b/>
      <sz val="10"/>
      <color theme="1"/>
      <name val="宋体"/>
      <family val="3"/>
      <charset val="134"/>
    </font>
    <font>
      <sz val="10"/>
      <color indexed="8"/>
      <name val="Tahoma"/>
      <family val="2"/>
      <charset val="134"/>
    </font>
    <font>
      <b/>
      <sz val="10"/>
      <color rgb="FFE92841"/>
      <name val="Arial Narrow"/>
      <family val="2"/>
    </font>
    <font>
      <i/>
      <u/>
      <sz val="10"/>
      <color indexed="12"/>
      <name val="Arial Narrow"/>
      <family val="2"/>
    </font>
    <font>
      <b/>
      <sz val="10"/>
      <color rgb="FF000000"/>
      <name val="宋体"/>
      <family val="3"/>
      <charset val="134"/>
    </font>
    <font>
      <b/>
      <sz val="12"/>
      <name val="宋体"/>
      <family val="3"/>
      <charset val="134"/>
      <scheme val="minor"/>
    </font>
    <font>
      <sz val="12"/>
      <name val="宋体"/>
      <family val="3"/>
      <charset val="134"/>
      <scheme val="minor"/>
    </font>
    <font>
      <b/>
      <sz val="10"/>
      <color theme="1"/>
      <name val="宋体"/>
      <family val="3"/>
      <charset val="134"/>
      <scheme val="minor"/>
    </font>
    <font>
      <b/>
      <sz val="10.5"/>
      <name val="仿宋_GB2312"/>
      <family val="3"/>
      <charset val="134"/>
    </font>
    <font>
      <b/>
      <sz val="10.5"/>
      <name val="Arial Narrow"/>
      <family val="2"/>
    </font>
    <font>
      <sz val="10.5"/>
      <name val="Arial Narrow"/>
      <family val="2"/>
    </font>
    <font>
      <b/>
      <sz val="10.5"/>
      <color rgb="FF000000"/>
      <name val="仿宋_GB2312"/>
      <family val="3"/>
      <charset val="134"/>
    </font>
    <font>
      <b/>
      <sz val="10.5"/>
      <color rgb="FF000000"/>
      <name val="Arial Narrow"/>
      <family val="2"/>
    </font>
    <font>
      <b/>
      <sz val="10.5"/>
      <color rgb="FFFF0000"/>
      <name val="仿宋_GB2312"/>
      <family val="3"/>
      <charset val="134"/>
    </font>
    <font>
      <sz val="10.5"/>
      <color rgb="FF000000"/>
      <name val="仿宋_GB2312"/>
      <family val="3"/>
      <charset val="134"/>
    </font>
    <font>
      <sz val="10.5"/>
      <color rgb="FF000000"/>
      <name val="Arial Narrow"/>
      <family val="2"/>
    </font>
    <font>
      <sz val="10.5"/>
      <color rgb="FFFF0000"/>
      <name val="Arial Narrow"/>
      <family val="2"/>
    </font>
    <font>
      <sz val="12"/>
      <color rgb="FF0000FF"/>
      <name val="仿宋_GB2312"/>
      <family val="3"/>
      <charset val="134"/>
    </font>
    <font>
      <sz val="12"/>
      <color rgb="FF0000FF"/>
      <name val="Arial Narrow"/>
      <family val="2"/>
    </font>
    <font>
      <b/>
      <sz val="12"/>
      <color rgb="FF0000FF"/>
      <name val="仿宋_GB2312"/>
      <family val="3"/>
      <charset val="134"/>
    </font>
    <font>
      <sz val="12"/>
      <name val="仿宋_GB2312"/>
      <family val="3"/>
      <charset val="134"/>
    </font>
    <font>
      <sz val="10.5"/>
      <color rgb="FF0000FF"/>
      <name val="仿宋_GB2312"/>
      <family val="3"/>
      <charset val="134"/>
    </font>
    <font>
      <sz val="12"/>
      <color rgb="FFFF0000"/>
      <name val="仿宋_GB2312"/>
      <family val="3"/>
      <charset val="134"/>
    </font>
    <font>
      <sz val="10"/>
      <color theme="1"/>
      <name val="Arial Narrow"/>
      <family val="2"/>
    </font>
    <font>
      <sz val="10"/>
      <color rgb="FF0000FF"/>
      <name val="宋体"/>
      <family val="3"/>
      <charset val="134"/>
    </font>
    <font>
      <b/>
      <sz val="10"/>
      <color rgb="FF0000FF"/>
      <name val="宋体"/>
      <family val="3"/>
      <charset val="134"/>
    </font>
    <font>
      <b/>
      <sz val="10"/>
      <color indexed="12"/>
      <name val="Arial Narrow"/>
      <family val="2"/>
    </font>
    <font>
      <sz val="9"/>
      <color rgb="FF0000FF"/>
      <name val="Arial Narrow"/>
      <family val="2"/>
    </font>
    <font>
      <sz val="9"/>
      <color rgb="FF0000FF"/>
      <name val="宋体"/>
      <family val="3"/>
      <charset val="134"/>
    </font>
    <font>
      <sz val="10"/>
      <color rgb="FFFF0000"/>
      <name val="Arial Narrow"/>
      <family val="2"/>
    </font>
    <font>
      <sz val="10"/>
      <color rgb="FF0000FF"/>
      <name val="Arial Narrow"/>
      <family val="2"/>
    </font>
    <font>
      <sz val="9"/>
      <color indexed="81"/>
      <name val="宋体"/>
      <family val="3"/>
      <charset val="134"/>
    </font>
    <font>
      <b/>
      <sz val="9"/>
      <color indexed="81"/>
      <name val="宋体"/>
      <family val="3"/>
      <charset val="134"/>
    </font>
    <font>
      <b/>
      <sz val="10"/>
      <color rgb="FF0000FF"/>
      <name val="Arial Narrow"/>
      <family val="2"/>
    </font>
    <font>
      <sz val="10"/>
      <color rgb="FF000000"/>
      <name val="宋体"/>
      <family val="3"/>
      <charset val="134"/>
    </font>
    <font>
      <b/>
      <sz val="10"/>
      <color rgb="FF000000"/>
      <name val="Arial Narrow"/>
      <family val="2"/>
    </font>
    <font>
      <sz val="10"/>
      <color rgb="FF000000"/>
      <name val="Arial Narrow"/>
      <family val="2"/>
    </font>
    <font>
      <sz val="10"/>
      <color indexed="10"/>
      <name val="Arial Narrow"/>
      <family val="2"/>
    </font>
    <font>
      <i/>
      <sz val="10"/>
      <color rgb="FFFF0000"/>
      <name val="Arial Narrow"/>
      <family val="2"/>
    </font>
    <font>
      <b/>
      <sz val="10"/>
      <color theme="3" tint="0.39997558519241921"/>
      <name val="Arial Narrow"/>
      <family val="2"/>
    </font>
    <font>
      <b/>
      <sz val="10"/>
      <color indexed="10"/>
      <name val="Arial Narrow"/>
      <family val="2"/>
    </font>
    <font>
      <u/>
      <sz val="10"/>
      <color rgb="FF0000FF"/>
      <name val="Arial Narrow"/>
      <family val="2"/>
    </font>
    <font>
      <sz val="10"/>
      <color indexed="53"/>
      <name val="Arial Narrow"/>
      <family val="2"/>
    </font>
    <font>
      <b/>
      <sz val="14"/>
      <name val="Arial Narrow"/>
      <family val="2"/>
    </font>
    <font>
      <b/>
      <sz val="14"/>
      <name val="宋体"/>
      <family val="3"/>
      <charset val="134"/>
    </font>
    <font>
      <b/>
      <sz val="14"/>
      <name val="宋体"/>
      <family val="3"/>
      <charset val="134"/>
      <scheme val="minor"/>
    </font>
    <font>
      <b/>
      <sz val="14"/>
      <color indexed="8"/>
      <name val="Arial Narrow"/>
      <family val="2"/>
    </font>
    <font>
      <b/>
      <sz val="14"/>
      <color indexed="8"/>
      <name val="宋体"/>
      <family val="3"/>
      <charset val="134"/>
    </font>
    <font>
      <sz val="14"/>
      <name val="Arial Narrow"/>
      <family val="2"/>
    </font>
    <font>
      <sz val="10"/>
      <color indexed="12"/>
      <name val="宋体"/>
      <family val="3"/>
      <charset val="134"/>
      <scheme val="minor"/>
    </font>
    <font>
      <u val="singleAccounting"/>
      <sz val="10"/>
      <name val="Arial Narrow"/>
      <family val="2"/>
    </font>
    <font>
      <u val="singleAccounting"/>
      <sz val="10"/>
      <color rgb="FF0000FF"/>
      <name val="宋体"/>
      <family val="3"/>
      <charset val="134"/>
    </font>
  </fonts>
  <fills count="1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rgb="FFE4DFEC"/>
        <bgColor indexed="64"/>
      </patternFill>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bgColor indexed="64"/>
      </patternFill>
    </fill>
    <fill>
      <patternFill patternType="solid">
        <fgColor rgb="FFE4DFEC"/>
        <bgColor rgb="FFB7DEE8"/>
      </patternFill>
    </fill>
  </fills>
  <borders count="19">
    <border>
      <left/>
      <right/>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bottom/>
      <diagonal/>
    </border>
    <border>
      <left style="hair">
        <color indexed="64"/>
      </left>
      <right style="hair">
        <color indexed="64"/>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right/>
      <top/>
      <bottom style="hair">
        <color indexed="64"/>
      </bottom>
      <diagonal/>
    </border>
  </borders>
  <cellStyleXfs count="62">
    <xf numFmtId="191" fontId="0" fillId="0" borderId="0">
      <protection locked="0"/>
    </xf>
    <xf numFmtId="43" fontId="7" fillId="0" borderId="0" applyFont="0" applyFill="0" applyBorder="0" applyAlignment="0" applyProtection="0"/>
    <xf numFmtId="9" fontId="7" fillId="0" borderId="0" applyFont="0" applyFill="0" applyBorder="0" applyAlignment="0" applyProtection="0"/>
    <xf numFmtId="191" fontId="3" fillId="0" borderId="0"/>
    <xf numFmtId="191" fontId="7" fillId="0" borderId="0" applyFill="0" applyBorder="0"/>
    <xf numFmtId="49" fontId="14" fillId="0" borderId="0" applyProtection="0">
      <alignment horizontal="left"/>
    </xf>
    <xf numFmtId="177" fontId="14" fillId="0" borderId="0" applyFill="0" applyBorder="0" applyProtection="0">
      <alignment horizontal="right"/>
    </xf>
    <xf numFmtId="178" fontId="14" fillId="0" borderId="0" applyFill="0" applyBorder="0" applyProtection="0">
      <alignment horizontal="right"/>
    </xf>
    <xf numFmtId="179" fontId="21" fillId="0" borderId="0" applyFill="0" applyBorder="0" applyProtection="0">
      <alignment horizontal="center"/>
    </xf>
    <xf numFmtId="180" fontId="21" fillId="0" borderId="0" applyFill="0" applyBorder="0" applyProtection="0">
      <alignment horizontal="center"/>
    </xf>
    <xf numFmtId="181" fontId="22" fillId="0" borderId="0" applyFill="0" applyBorder="0" applyProtection="0">
      <alignment horizontal="right"/>
    </xf>
    <xf numFmtId="182" fontId="14" fillId="0" borderId="0" applyFill="0" applyBorder="0" applyProtection="0">
      <alignment horizontal="right"/>
    </xf>
    <xf numFmtId="183" fontId="14" fillId="0" borderId="0" applyFill="0" applyBorder="0" applyProtection="0">
      <alignment horizontal="right"/>
    </xf>
    <xf numFmtId="184" fontId="14" fillId="0" borderId="0" applyFill="0" applyBorder="0" applyProtection="0">
      <alignment horizontal="right"/>
    </xf>
    <xf numFmtId="185" fontId="14" fillId="0" borderId="0" applyFill="0" applyBorder="0" applyProtection="0">
      <alignment horizontal="right"/>
    </xf>
    <xf numFmtId="3" fontId="23" fillId="0" borderId="0"/>
    <xf numFmtId="186" fontId="24" fillId="0" borderId="6" applyAlignment="0" applyProtection="0"/>
    <xf numFmtId="187" fontId="25" fillId="0" borderId="0" applyFont="0" applyFill="0" applyBorder="0" applyAlignment="0" applyProtection="0"/>
    <xf numFmtId="188" fontId="25" fillId="0" borderId="0" applyFont="0" applyFill="0" applyBorder="0" applyAlignment="0" applyProtection="0"/>
    <xf numFmtId="189" fontId="25" fillId="0" borderId="0" applyFont="0" applyFill="0" applyBorder="0" applyAlignment="0" applyProtection="0"/>
    <xf numFmtId="190" fontId="25" fillId="0" borderId="0" applyFont="0" applyFill="0" applyBorder="0" applyAlignment="0" applyProtection="0"/>
    <xf numFmtId="41" fontId="25" fillId="0" borderId="0" applyFont="0" applyFill="0" applyBorder="0" applyAlignment="0" applyProtection="0"/>
    <xf numFmtId="43" fontId="25" fillId="0" borderId="0" applyFont="0" applyFill="0" applyBorder="0" applyAlignment="0" applyProtection="0"/>
    <xf numFmtId="191" fontId="14" fillId="0" borderId="0" applyFont="0" applyFill="0" applyBorder="0" applyAlignment="0" applyProtection="0"/>
    <xf numFmtId="191" fontId="26" fillId="0" borderId="0" applyNumberFormat="0" applyFill="0" applyBorder="0" applyAlignment="0" applyProtection="0">
      <alignment vertical="top"/>
      <protection locked="0"/>
    </xf>
    <xf numFmtId="38" fontId="27" fillId="2" borderId="0" applyNumberFormat="0" applyBorder="0" applyAlignment="0" applyProtection="0"/>
    <xf numFmtId="191" fontId="28" fillId="0" borderId="0" applyNumberFormat="0" applyFill="0" applyBorder="0" applyAlignment="0" applyProtection="0">
      <alignment vertical="top"/>
      <protection locked="0"/>
    </xf>
    <xf numFmtId="10" fontId="27" fillId="3" borderId="7" applyNumberFormat="0" applyBorder="0" applyAlignment="0" applyProtection="0"/>
    <xf numFmtId="192" fontId="7" fillId="0" borderId="0" applyFont="0" applyFill="0" applyBorder="0" applyAlignment="0" applyProtection="0"/>
    <xf numFmtId="193" fontId="7" fillId="0" borderId="0" applyFont="0" applyFill="0" applyBorder="0" applyAlignment="0" applyProtection="0"/>
    <xf numFmtId="191" fontId="29" fillId="0" borderId="0"/>
    <xf numFmtId="194" fontId="7" fillId="0" borderId="0"/>
    <xf numFmtId="191" fontId="30" fillId="0" borderId="0"/>
    <xf numFmtId="10" fontId="25" fillId="0" borderId="0" applyFont="0" applyFill="0" applyBorder="0" applyAlignment="0" applyProtection="0"/>
    <xf numFmtId="3" fontId="31" fillId="0" borderId="0"/>
    <xf numFmtId="191" fontId="7" fillId="0" borderId="0">
      <protection locked="0"/>
    </xf>
    <xf numFmtId="191" fontId="7" fillId="0" borderId="0">
      <protection locked="0"/>
    </xf>
    <xf numFmtId="191" fontId="32" fillId="0" borderId="0"/>
    <xf numFmtId="195" fontId="7" fillId="0" borderId="0" applyFont="0" applyFill="0" applyBorder="0" applyAlignment="0" applyProtection="0"/>
    <xf numFmtId="196" fontId="7" fillId="0" borderId="0" applyFont="0" applyFill="0" applyBorder="0" applyAlignment="0" applyProtection="0"/>
    <xf numFmtId="41" fontId="33" fillId="0" borderId="0" applyFont="0" applyFill="0" applyBorder="0" applyAlignment="0" applyProtection="0"/>
    <xf numFmtId="43" fontId="33" fillId="0" borderId="0" applyFont="0" applyFill="0" applyBorder="0" applyAlignment="0" applyProtection="0"/>
    <xf numFmtId="191" fontId="7" fillId="0" borderId="0">
      <alignment vertical="center"/>
    </xf>
    <xf numFmtId="191" fontId="7" fillId="0" borderId="0">
      <alignment vertical="center"/>
    </xf>
    <xf numFmtId="191" fontId="7" fillId="0" borderId="0"/>
    <xf numFmtId="191" fontId="14" fillId="0" borderId="0">
      <protection locked="0"/>
    </xf>
    <xf numFmtId="191" fontId="42" fillId="0" borderId="0" applyNumberFormat="0" applyFill="0" applyBorder="0" applyAlignment="0" applyProtection="0">
      <alignment vertical="top"/>
      <protection locked="0"/>
    </xf>
    <xf numFmtId="191" fontId="7" fillId="0" borderId="0"/>
    <xf numFmtId="191" fontId="7" fillId="0" borderId="0"/>
    <xf numFmtId="191" fontId="13" fillId="0" borderId="0"/>
    <xf numFmtId="191" fontId="7" fillId="0" borderId="0">
      <alignment vertical="center"/>
    </xf>
    <xf numFmtId="191" fontId="7" fillId="0" borderId="0"/>
    <xf numFmtId="191" fontId="7" fillId="0" borderId="0">
      <alignment vertical="center"/>
      <protection locked="0"/>
    </xf>
    <xf numFmtId="191" fontId="60" fillId="0" borderId="0">
      <alignment vertical="center"/>
    </xf>
    <xf numFmtId="191" fontId="7" fillId="0" borderId="0" applyFill="0" applyBorder="0"/>
    <xf numFmtId="191" fontId="7" fillId="0" borderId="0">
      <protection locked="0"/>
    </xf>
    <xf numFmtId="191" fontId="42" fillId="0" borderId="0" applyNumberFormat="0" applyFill="0" applyBorder="0" applyAlignment="0" applyProtection="0">
      <alignment vertical="top"/>
      <protection locked="0"/>
    </xf>
    <xf numFmtId="191" fontId="3" fillId="0" borderId="0"/>
    <xf numFmtId="191" fontId="2" fillId="0" borderId="0">
      <alignment vertical="center"/>
    </xf>
    <xf numFmtId="0" fontId="7" fillId="0" borderId="0">
      <protection locked="0"/>
    </xf>
    <xf numFmtId="191" fontId="7" fillId="0" borderId="0">
      <protection locked="0"/>
    </xf>
    <xf numFmtId="191" fontId="1" fillId="0" borderId="0">
      <alignment vertical="center"/>
    </xf>
  </cellStyleXfs>
  <cellXfs count="844">
    <xf numFmtId="191" fontId="0" fillId="0" borderId="0" xfId="0">
      <protection locked="0"/>
    </xf>
    <xf numFmtId="43" fontId="8" fillId="0" borderId="0" xfId="4" applyNumberFormat="1" applyFont="1" applyBorder="1" applyAlignment="1">
      <alignment vertical="center"/>
    </xf>
    <xf numFmtId="191" fontId="8" fillId="0" borderId="0" xfId="0" applyFont="1" applyAlignment="1">
      <alignment vertical="center"/>
      <protection locked="0"/>
    </xf>
    <xf numFmtId="43" fontId="6" fillId="0" borderId="0" xfId="4" applyNumberFormat="1" applyFont="1" applyBorder="1" applyAlignment="1">
      <alignment vertical="center"/>
    </xf>
    <xf numFmtId="43" fontId="19" fillId="0" borderId="0" xfId="4" applyNumberFormat="1" applyFont="1" applyBorder="1" applyAlignment="1">
      <alignment vertical="center"/>
    </xf>
    <xf numFmtId="191" fontId="6" fillId="0" borderId="0" xfId="36" applyFont="1" applyAlignment="1">
      <alignment vertical="center"/>
      <protection locked="0"/>
    </xf>
    <xf numFmtId="191" fontId="13" fillId="0" borderId="0" xfId="36" applyFont="1">
      <protection locked="0"/>
    </xf>
    <xf numFmtId="191" fontId="11" fillId="0" borderId="0" xfId="36" applyFont="1" applyAlignment="1">
      <alignment vertical="center"/>
      <protection locked="0"/>
    </xf>
    <xf numFmtId="191" fontId="7" fillId="0" borderId="0" xfId="36">
      <protection locked="0"/>
    </xf>
    <xf numFmtId="191" fontId="8" fillId="0" borderId="0" xfId="36" applyFont="1">
      <protection locked="0"/>
    </xf>
    <xf numFmtId="191" fontId="13" fillId="0" borderId="0" xfId="36" applyFont="1" applyAlignment="1">
      <alignment horizontal="left" vertical="center"/>
      <protection locked="0"/>
    </xf>
    <xf numFmtId="191" fontId="9" fillId="0" borderId="0" xfId="36" applyFont="1" applyAlignment="1">
      <alignment vertical="center"/>
      <protection locked="0"/>
    </xf>
    <xf numFmtId="191" fontId="8" fillId="0" borderId="0" xfId="42" applyFont="1">
      <alignment vertical="center"/>
    </xf>
    <xf numFmtId="191" fontId="12" fillId="0" borderId="0" xfId="42" applyFont="1">
      <alignment vertical="center"/>
    </xf>
    <xf numFmtId="191" fontId="8" fillId="0" borderId="0" xfId="43" applyFont="1">
      <alignment vertical="center"/>
    </xf>
    <xf numFmtId="191" fontId="8" fillId="0" borderId="0" xfId="0" applyFont="1" applyAlignment="1">
      <alignment horizontal="center" vertical="center" wrapText="1"/>
      <protection locked="0"/>
    </xf>
    <xf numFmtId="191" fontId="8" fillId="0" borderId="10" xfId="0" applyFont="1" applyBorder="1" applyAlignment="1">
      <alignment horizontal="center" vertical="center" wrapText="1"/>
      <protection locked="0"/>
    </xf>
    <xf numFmtId="191" fontId="8" fillId="0" borderId="10" xfId="0" applyFont="1" applyBorder="1" applyAlignment="1">
      <alignment vertical="center"/>
      <protection locked="0"/>
    </xf>
    <xf numFmtId="191" fontId="8" fillId="0" borderId="11" xfId="0" applyFont="1" applyBorder="1" applyAlignment="1">
      <alignment vertical="center"/>
      <protection locked="0"/>
    </xf>
    <xf numFmtId="191" fontId="19" fillId="0" borderId="0" xfId="0" applyFont="1" applyAlignment="1">
      <alignment vertical="center"/>
      <protection locked="0"/>
    </xf>
    <xf numFmtId="191" fontId="8" fillId="0" borderId="0" xfId="0" applyFont="1" applyAlignment="1">
      <alignment horizontal="center" vertical="center"/>
      <protection locked="0"/>
    </xf>
    <xf numFmtId="191" fontId="19" fillId="0" borderId="0" xfId="0" applyFont="1">
      <protection locked="0"/>
    </xf>
    <xf numFmtId="191" fontId="8" fillId="0" borderId="0" xfId="0" applyFont="1" applyAlignment="1">
      <alignment vertical="center" wrapText="1"/>
      <protection locked="0"/>
    </xf>
    <xf numFmtId="191" fontId="19" fillId="0" borderId="0" xfId="44" applyFont="1" applyAlignment="1" applyProtection="1">
      <alignment horizontal="center" vertical="center"/>
      <protection hidden="1"/>
    </xf>
    <xf numFmtId="191" fontId="19" fillId="0" borderId="0" xfId="44" applyFont="1" applyAlignment="1" applyProtection="1">
      <alignment horizontal="left" vertical="center"/>
      <protection locked="0"/>
    </xf>
    <xf numFmtId="191" fontId="8" fillId="0" borderId="0" xfId="44" applyFont="1" applyAlignment="1" applyProtection="1">
      <alignment vertical="center"/>
      <protection locked="0"/>
    </xf>
    <xf numFmtId="191" fontId="6" fillId="0" borderId="0" xfId="0" applyFont="1" applyAlignment="1">
      <alignment vertical="center"/>
      <protection locked="0"/>
    </xf>
    <xf numFmtId="191" fontId="11" fillId="0" borderId="0" xfId="0" applyFont="1" applyAlignment="1">
      <alignment vertical="center"/>
      <protection locked="0"/>
    </xf>
    <xf numFmtId="191" fontId="8" fillId="0" borderId="0" xfId="0" applyFont="1" applyAlignment="1">
      <alignment horizontal="left" vertical="center"/>
      <protection locked="0"/>
    </xf>
    <xf numFmtId="191" fontId="4" fillId="0" borderId="0" xfId="0" applyFont="1" applyAlignment="1">
      <alignment vertical="center"/>
      <protection locked="0"/>
    </xf>
    <xf numFmtId="191" fontId="8" fillId="0" borderId="10" xfId="0" applyFont="1" applyBorder="1" applyAlignment="1">
      <alignment horizontal="left" vertical="center"/>
      <protection locked="0"/>
    </xf>
    <xf numFmtId="191" fontId="8" fillId="0" borderId="0" xfId="0" applyFont="1" applyAlignment="1">
      <alignment horizontal="center"/>
      <protection locked="0"/>
    </xf>
    <xf numFmtId="10" fontId="8" fillId="0" borderId="10" xfId="2" applyNumberFormat="1" applyFont="1" applyBorder="1" applyAlignment="1" applyProtection="1">
      <alignment horizontal="center" vertical="center" wrapText="1"/>
      <protection locked="0"/>
    </xf>
    <xf numFmtId="191" fontId="8" fillId="0" borderId="0" xfId="0" applyFont="1">
      <protection locked="0"/>
    </xf>
    <xf numFmtId="43" fontId="6" fillId="0" borderId="10" xfId="1" applyFont="1" applyBorder="1" applyAlignment="1" applyProtection="1">
      <alignment horizontal="right" vertical="center" wrapText="1"/>
      <protection locked="0"/>
    </xf>
    <xf numFmtId="191" fontId="8" fillId="0" borderId="10" xfId="0" applyFont="1" applyBorder="1" applyAlignment="1">
      <alignment vertical="center" wrapText="1"/>
      <protection locked="0"/>
    </xf>
    <xf numFmtId="191" fontId="6" fillId="0" borderId="0" xfId="0" applyFont="1" applyAlignment="1">
      <alignment horizontal="left" vertical="center"/>
      <protection locked="0"/>
    </xf>
    <xf numFmtId="9" fontId="8" fillId="0" borderId="0" xfId="2" applyFont="1" applyAlignment="1">
      <alignment vertical="center"/>
    </xf>
    <xf numFmtId="43" fontId="8" fillId="0" borderId="0" xfId="1" applyFont="1" applyAlignment="1">
      <alignment horizontal="center" vertical="center" wrapText="1"/>
    </xf>
    <xf numFmtId="43" fontId="8" fillId="0" borderId="10" xfId="1" applyFont="1" applyBorder="1" applyAlignment="1">
      <alignment vertical="center"/>
    </xf>
    <xf numFmtId="14" fontId="8" fillId="0" borderId="10" xfId="1" applyNumberFormat="1" applyFont="1" applyBorder="1" applyAlignment="1">
      <alignment horizontal="center" vertical="center"/>
    </xf>
    <xf numFmtId="9" fontId="8" fillId="0" borderId="10" xfId="2" applyFont="1" applyBorder="1" applyAlignment="1">
      <alignment horizontal="center" vertical="center"/>
    </xf>
    <xf numFmtId="43" fontId="8" fillId="0" borderId="0" xfId="1" applyFont="1" applyAlignment="1">
      <alignment vertical="center"/>
    </xf>
    <xf numFmtId="43" fontId="8" fillId="0" borderId="10" xfId="1" applyFont="1" applyFill="1" applyBorder="1" applyAlignment="1">
      <alignment vertical="center"/>
    </xf>
    <xf numFmtId="14" fontId="8" fillId="0" borderId="10" xfId="1" applyNumberFormat="1" applyFont="1" applyFill="1" applyBorder="1" applyAlignment="1">
      <alignment horizontal="center" vertical="center"/>
    </xf>
    <xf numFmtId="14" fontId="8" fillId="0" borderId="10" xfId="0" applyNumberFormat="1" applyFont="1" applyBorder="1" applyAlignment="1">
      <alignment horizontal="center" vertical="center"/>
      <protection locked="0"/>
    </xf>
    <xf numFmtId="191" fontId="8" fillId="0" borderId="10" xfId="0" applyFont="1" applyBorder="1" applyAlignment="1">
      <alignment horizontal="center" vertical="center"/>
      <protection locked="0"/>
    </xf>
    <xf numFmtId="9" fontId="8" fillId="0" borderId="10" xfId="2" applyFont="1" applyFill="1" applyBorder="1" applyAlignment="1" applyProtection="1">
      <alignment horizontal="center" vertical="center"/>
      <protection locked="0"/>
    </xf>
    <xf numFmtId="9" fontId="8" fillId="0" borderId="10" xfId="2" applyFont="1" applyBorder="1" applyAlignment="1" applyProtection="1">
      <alignment horizontal="center" vertical="center"/>
      <protection locked="0"/>
    </xf>
    <xf numFmtId="43" fontId="8" fillId="0" borderId="10" xfId="0" applyNumberFormat="1" applyFont="1" applyBorder="1" applyAlignment="1">
      <alignment horizontal="justify" vertical="center" wrapText="1"/>
      <protection locked="0"/>
    </xf>
    <xf numFmtId="43" fontId="8" fillId="0" borderId="10" xfId="0" applyNumberFormat="1" applyFont="1" applyBorder="1" applyAlignment="1">
      <alignment horizontal="center" vertical="center" wrapText="1"/>
      <protection locked="0"/>
    </xf>
    <xf numFmtId="9" fontId="8" fillId="0" borderId="10" xfId="2" applyFont="1" applyBorder="1" applyAlignment="1" applyProtection="1">
      <alignment horizontal="center" vertical="center" wrapText="1"/>
      <protection locked="0"/>
    </xf>
    <xf numFmtId="9" fontId="8" fillId="0" borderId="10" xfId="0" applyNumberFormat="1" applyFont="1" applyBorder="1" applyAlignment="1">
      <alignment horizontal="center" vertical="center" wrapText="1"/>
      <protection locked="0"/>
    </xf>
    <xf numFmtId="191" fontId="19" fillId="0" borderId="0" xfId="0" applyFont="1" applyAlignment="1">
      <alignment horizontal="left" vertical="center"/>
      <protection locked="0"/>
    </xf>
    <xf numFmtId="191" fontId="6" fillId="0" borderId="0" xfId="44" applyFont="1" applyAlignment="1">
      <alignment vertical="center"/>
    </xf>
    <xf numFmtId="191" fontId="8" fillId="0" borderId="0" xfId="44" applyFont="1" applyAlignment="1" applyProtection="1">
      <alignment vertical="center" wrapText="1"/>
      <protection locked="0"/>
    </xf>
    <xf numFmtId="191" fontId="19" fillId="0" borderId="0" xfId="0" applyFont="1" applyAlignment="1">
      <alignment vertical="center" wrapText="1"/>
      <protection locked="0"/>
    </xf>
    <xf numFmtId="191" fontId="35" fillId="0" borderId="0" xfId="35" applyFont="1" applyAlignment="1" applyProtection="1">
      <alignment vertical="center"/>
    </xf>
    <xf numFmtId="191" fontId="6" fillId="0" borderId="0" xfId="35" applyFont="1" applyAlignment="1" applyProtection="1">
      <alignment horizontal="left" vertical="center"/>
    </xf>
    <xf numFmtId="191" fontId="8" fillId="0" borderId="0" xfId="35" applyFont="1" applyAlignment="1">
      <alignment vertical="center"/>
      <protection locked="0"/>
    </xf>
    <xf numFmtId="49" fontId="6" fillId="0" borderId="0" xfId="1" applyNumberFormat="1" applyFont="1" applyFill="1" applyAlignment="1" applyProtection="1">
      <alignment horizontal="right" vertical="center" shrinkToFit="1"/>
    </xf>
    <xf numFmtId="49" fontId="8" fillId="0" borderId="0" xfId="0" applyNumberFormat="1" applyFont="1" applyAlignment="1">
      <alignment vertical="center"/>
      <protection locked="0"/>
    </xf>
    <xf numFmtId="49" fontId="8" fillId="0" borderId="0" xfId="1" applyNumberFormat="1" applyFont="1" applyAlignment="1">
      <alignment vertical="center"/>
    </xf>
    <xf numFmtId="49" fontId="8" fillId="0" borderId="11" xfId="0" applyNumberFormat="1" applyFont="1" applyBorder="1" applyAlignment="1">
      <alignment vertical="center"/>
      <protection locked="0"/>
    </xf>
    <xf numFmtId="49" fontId="19" fillId="0" borderId="0" xfId="0" applyNumberFormat="1" applyFont="1" applyAlignment="1">
      <alignment vertical="center"/>
      <protection locked="0"/>
    </xf>
    <xf numFmtId="43" fontId="6" fillId="0" borderId="0" xfId="0" applyNumberFormat="1" applyFont="1" applyAlignment="1">
      <alignment horizontal="left" vertical="center"/>
      <protection locked="0"/>
    </xf>
    <xf numFmtId="49" fontId="8" fillId="0" borderId="0" xfId="0" applyNumberFormat="1" applyFont="1" applyAlignment="1">
      <alignment horizontal="left" vertical="center"/>
      <protection locked="0"/>
    </xf>
    <xf numFmtId="49" fontId="6" fillId="0" borderId="0" xfId="44" applyNumberFormat="1" applyFont="1" applyAlignment="1">
      <alignment horizontal="left" vertical="center"/>
    </xf>
    <xf numFmtId="49" fontId="8" fillId="0" borderId="0" xfId="44" applyNumberFormat="1" applyFont="1" applyAlignment="1" applyProtection="1">
      <alignment vertical="center"/>
      <protection locked="0"/>
    </xf>
    <xf numFmtId="49" fontId="8" fillId="0" borderId="0" xfId="0" applyNumberFormat="1" applyFont="1" applyAlignment="1">
      <alignment horizontal="center" vertical="center"/>
      <protection locked="0"/>
    </xf>
    <xf numFmtId="49" fontId="6" fillId="0" borderId="0" xfId="0" applyNumberFormat="1" applyFont="1" applyAlignment="1">
      <alignment vertical="center"/>
      <protection locked="0"/>
    </xf>
    <xf numFmtId="49" fontId="6" fillId="0" borderId="0" xfId="0" applyNumberFormat="1" applyFont="1" applyAlignment="1">
      <alignment horizontal="left" vertical="center"/>
      <protection locked="0"/>
    </xf>
    <xf numFmtId="43" fontId="8" fillId="0" borderId="10" xfId="1" applyFont="1" applyBorder="1" applyAlignment="1" applyProtection="1">
      <alignment vertical="center" shrinkToFit="1"/>
      <protection locked="0"/>
    </xf>
    <xf numFmtId="191" fontId="47" fillId="0" borderId="0" xfId="0" applyFont="1" applyAlignment="1">
      <alignment vertical="center"/>
      <protection locked="0"/>
    </xf>
    <xf numFmtId="191" fontId="8" fillId="0" borderId="10" xfId="0" applyFont="1" applyBorder="1" applyAlignment="1">
      <alignment horizontal="justify" vertical="center" wrapText="1"/>
      <protection locked="0"/>
    </xf>
    <xf numFmtId="191" fontId="6" fillId="5" borderId="10" xfId="0" applyFont="1" applyFill="1" applyBorder="1" applyAlignment="1">
      <alignment horizontal="centerContinuous" vertical="center" wrapText="1"/>
      <protection locked="0"/>
    </xf>
    <xf numFmtId="191" fontId="8" fillId="5" borderId="10" xfId="0" applyFont="1" applyFill="1" applyBorder="1" applyAlignment="1">
      <alignment horizontal="centerContinuous" vertical="center"/>
      <protection locked="0"/>
    </xf>
    <xf numFmtId="191" fontId="35" fillId="0" borderId="0" xfId="0" applyFont="1" applyAlignment="1" applyProtection="1">
      <alignment vertical="center"/>
    </xf>
    <xf numFmtId="191" fontId="8" fillId="0" borderId="0" xfId="35" applyFont="1" applyAlignment="1">
      <alignment horizontal="right" vertical="center"/>
      <protection locked="0"/>
    </xf>
    <xf numFmtId="191" fontId="8" fillId="0" borderId="0" xfId="35" applyFont="1" applyAlignment="1">
      <alignment horizontal="justify" vertical="center" wrapText="1"/>
      <protection locked="0"/>
    </xf>
    <xf numFmtId="43" fontId="36" fillId="0" borderId="10" xfId="1" applyFont="1" applyFill="1" applyBorder="1" applyAlignment="1">
      <alignment vertical="center"/>
    </xf>
    <xf numFmtId="43" fontId="8" fillId="0" borderId="11" xfId="4" applyNumberFormat="1" applyFont="1" applyBorder="1" applyAlignment="1">
      <alignment vertical="center"/>
    </xf>
    <xf numFmtId="176" fontId="15" fillId="0" borderId="0" xfId="2" applyNumberFormat="1" applyFont="1" applyBorder="1" applyAlignment="1">
      <alignment horizontal="left" vertical="center"/>
    </xf>
    <xf numFmtId="49" fontId="19" fillId="0" borderId="0" xfId="44" applyNumberFormat="1" applyFont="1" applyAlignment="1" applyProtection="1">
      <alignment horizontal="center" vertical="center"/>
      <protection hidden="1"/>
    </xf>
    <xf numFmtId="49" fontId="8" fillId="0" borderId="0" xfId="44" applyNumberFormat="1" applyFont="1" applyAlignment="1" applyProtection="1">
      <alignment horizontal="left" vertical="center"/>
      <protection hidden="1"/>
    </xf>
    <xf numFmtId="49" fontId="19" fillId="0" borderId="0" xfId="44" applyNumberFormat="1" applyFont="1" applyAlignment="1" applyProtection="1">
      <alignment horizontal="left" vertical="center"/>
      <protection locked="0"/>
    </xf>
    <xf numFmtId="49" fontId="8" fillId="0" borderId="10" xfId="0" applyNumberFormat="1" applyFont="1" applyBorder="1" applyAlignment="1">
      <alignment horizontal="center" vertical="center" wrapText="1"/>
      <protection locked="0"/>
    </xf>
    <xf numFmtId="9" fontId="8" fillId="0" borderId="10" xfId="1" applyNumberFormat="1" applyFont="1" applyBorder="1" applyAlignment="1" applyProtection="1">
      <alignment vertical="center" shrinkToFit="1"/>
      <protection locked="0"/>
    </xf>
    <xf numFmtId="43" fontId="8" fillId="0" borderId="10" xfId="1" applyFont="1" applyBorder="1" applyAlignment="1" applyProtection="1">
      <alignment horizontal="center" vertical="center" wrapText="1" shrinkToFit="1"/>
      <protection locked="0"/>
    </xf>
    <xf numFmtId="49" fontId="36" fillId="0" borderId="0" xfId="0" applyNumberFormat="1" applyFont="1" applyAlignment="1" applyProtection="1">
      <alignment vertical="center"/>
    </xf>
    <xf numFmtId="191" fontId="36" fillId="0" borderId="0" xfId="0" applyFont="1" applyAlignment="1" applyProtection="1">
      <alignment vertical="center"/>
    </xf>
    <xf numFmtId="49" fontId="6" fillId="0" borderId="0" xfId="35" applyNumberFormat="1" applyFont="1" applyAlignment="1" applyProtection="1">
      <alignment horizontal="left" vertical="center"/>
    </xf>
    <xf numFmtId="191" fontId="6" fillId="0" borderId="0" xfId="0" applyFont="1" applyAlignment="1" applyProtection="1">
      <alignment vertical="center"/>
    </xf>
    <xf numFmtId="191" fontId="55" fillId="0" borderId="0" xfId="0" applyFont="1" applyAlignment="1" applyProtection="1">
      <alignment vertical="center"/>
    </xf>
    <xf numFmtId="49" fontId="6" fillId="0" borderId="0" xfId="44" applyNumberFormat="1" applyFont="1" applyAlignment="1">
      <alignment horizontal="right" vertical="center"/>
    </xf>
    <xf numFmtId="191" fontId="6" fillId="5" borderId="10" xfId="0" applyFont="1" applyFill="1" applyBorder="1" applyAlignment="1">
      <alignment horizontal="centerContinuous" vertical="center"/>
      <protection locked="0"/>
    </xf>
    <xf numFmtId="43" fontId="8" fillId="0" borderId="10" xfId="0" applyNumberFormat="1" applyFont="1" applyBorder="1" applyAlignment="1">
      <alignment horizontal="right" vertical="center" wrapText="1"/>
      <protection locked="0"/>
    </xf>
    <xf numFmtId="191" fontId="8" fillId="0" borderId="0" xfId="0" applyFont="1" applyAlignment="1" applyProtection="1">
      <alignment vertical="center"/>
    </xf>
    <xf numFmtId="191" fontId="8" fillId="0" borderId="0" xfId="0" applyFont="1" applyAlignment="1" applyProtection="1">
      <alignment horizontal="center" vertical="center"/>
    </xf>
    <xf numFmtId="49" fontId="6" fillId="0" borderId="0" xfId="0" applyNumberFormat="1" applyFont="1" applyAlignment="1" applyProtection="1">
      <alignment horizontal="center" vertical="center"/>
    </xf>
    <xf numFmtId="191" fontId="6" fillId="0" borderId="0" xfId="0" applyFont="1" applyAlignment="1">
      <alignment horizontal="right" vertical="center"/>
      <protection locked="0"/>
    </xf>
    <xf numFmtId="43" fontId="8" fillId="0" borderId="10" xfId="1" applyFont="1" applyFill="1" applyBorder="1" applyAlignment="1">
      <alignment horizontal="right" vertical="center" wrapText="1"/>
    </xf>
    <xf numFmtId="191" fontId="36" fillId="0" borderId="10" xfId="0" applyFont="1" applyBorder="1" applyAlignment="1" applyProtection="1">
      <alignment vertical="center"/>
    </xf>
    <xf numFmtId="14" fontId="8" fillId="0" borderId="0" xfId="0" applyNumberFormat="1" applyFont="1" applyAlignment="1">
      <alignment vertical="center"/>
      <protection locked="0"/>
    </xf>
    <xf numFmtId="49" fontId="8" fillId="0" borderId="0" xfId="0" applyNumberFormat="1" applyFont="1" applyAlignment="1">
      <alignment vertical="center" wrapText="1"/>
      <protection locked="0"/>
    </xf>
    <xf numFmtId="49" fontId="8" fillId="0" borderId="0" xfId="43" applyNumberFormat="1" applyFont="1">
      <alignment vertical="center"/>
    </xf>
    <xf numFmtId="49" fontId="6" fillId="0" borderId="0" xfId="0" applyNumberFormat="1" applyFont="1" applyAlignment="1">
      <alignment vertical="center" wrapText="1"/>
      <protection locked="0"/>
    </xf>
    <xf numFmtId="49" fontId="8" fillId="0" borderId="0" xfId="0" applyNumberFormat="1" applyFont="1" applyAlignment="1">
      <alignment horizontal="justify" vertical="center" wrapText="1"/>
      <protection locked="0"/>
    </xf>
    <xf numFmtId="49" fontId="8" fillId="0" borderId="10" xfId="35" applyNumberFormat="1" applyFont="1" applyBorder="1" applyAlignment="1">
      <alignment horizontal="center" vertical="center" wrapText="1"/>
      <protection locked="0"/>
    </xf>
    <xf numFmtId="14" fontId="36" fillId="0" borderId="0" xfId="0" applyNumberFormat="1" applyFont="1" applyAlignment="1" applyProtection="1">
      <alignment vertical="center"/>
    </xf>
    <xf numFmtId="49" fontId="8" fillId="0" borderId="10" xfId="0" applyNumberFormat="1" applyFont="1" applyBorder="1" applyAlignment="1">
      <alignment horizontal="center" vertical="center"/>
      <protection locked="0"/>
    </xf>
    <xf numFmtId="14" fontId="8" fillId="0" borderId="0" xfId="43" applyNumberFormat="1" applyFont="1">
      <alignment vertical="center"/>
    </xf>
    <xf numFmtId="14" fontId="8" fillId="0" borderId="0" xfId="0" applyNumberFormat="1" applyFont="1" applyAlignment="1">
      <alignment vertical="center" wrapText="1"/>
      <protection locked="0"/>
    </xf>
    <xf numFmtId="49" fontId="6" fillId="0" borderId="10" xfId="0" applyNumberFormat="1" applyFont="1" applyBorder="1" applyAlignment="1" applyProtection="1">
      <alignment horizontal="center" vertical="center"/>
    </xf>
    <xf numFmtId="191" fontId="6" fillId="5" borderId="10" xfId="0" applyFont="1" applyFill="1" applyBorder="1" applyAlignment="1" applyProtection="1">
      <alignment horizontal="center" vertical="center"/>
    </xf>
    <xf numFmtId="49" fontId="6" fillId="5" borderId="10" xfId="0" applyNumberFormat="1" applyFont="1" applyFill="1" applyBorder="1" applyAlignment="1" applyProtection="1">
      <alignment horizontal="center" vertical="center"/>
    </xf>
    <xf numFmtId="191" fontId="6" fillId="5" borderId="10" xfId="0" applyFont="1" applyFill="1" applyBorder="1" applyAlignment="1" applyProtection="1">
      <alignment vertical="center"/>
    </xf>
    <xf numFmtId="43" fontId="8" fillId="0" borderId="10" xfId="1" applyFont="1" applyFill="1" applyBorder="1" applyAlignment="1" applyProtection="1">
      <alignment vertical="center" shrinkToFit="1"/>
      <protection locked="0"/>
    </xf>
    <xf numFmtId="43" fontId="8" fillId="0" borderId="10" xfId="1" applyFont="1" applyFill="1" applyBorder="1" applyAlignment="1">
      <alignment vertical="center" shrinkToFit="1"/>
    </xf>
    <xf numFmtId="191" fontId="12" fillId="0" borderId="0" xfId="0" applyFont="1" applyAlignment="1">
      <alignment horizontal="left" vertical="center"/>
      <protection locked="0"/>
    </xf>
    <xf numFmtId="191" fontId="8" fillId="0" borderId="0" xfId="45" applyFont="1">
      <protection locked="0"/>
    </xf>
    <xf numFmtId="10" fontId="8" fillId="0" borderId="10" xfId="2" applyNumberFormat="1" applyFont="1" applyBorder="1" applyAlignment="1" applyProtection="1">
      <alignment vertical="center"/>
      <protection locked="0"/>
    </xf>
    <xf numFmtId="14" fontId="8" fillId="0" borderId="10" xfId="0" applyNumberFormat="1" applyFont="1" applyBorder="1" applyAlignment="1">
      <alignment vertical="center"/>
      <protection locked="0"/>
    </xf>
    <xf numFmtId="49" fontId="6" fillId="0" borderId="10" xfId="47" applyNumberFormat="1" applyFont="1" applyBorder="1" applyAlignment="1" applyProtection="1">
      <alignment horizontal="center" vertical="center"/>
      <protection locked="0"/>
    </xf>
    <xf numFmtId="49" fontId="6" fillId="0" borderId="10" xfId="47" applyNumberFormat="1" applyFont="1" applyBorder="1" applyAlignment="1" applyProtection="1">
      <alignment horizontal="center" vertical="center" wrapText="1"/>
      <protection locked="0"/>
    </xf>
    <xf numFmtId="43" fontId="19" fillId="0" borderId="0" xfId="4" applyNumberFormat="1" applyFont="1" applyFill="1" applyBorder="1" applyAlignment="1">
      <alignment vertical="center"/>
    </xf>
    <xf numFmtId="191" fontId="35" fillId="0" borderId="10" xfId="0" applyFont="1" applyBorder="1" applyAlignment="1" applyProtection="1">
      <alignment horizontal="center" vertical="center"/>
    </xf>
    <xf numFmtId="43" fontId="36" fillId="5" borderId="10" xfId="1" applyFont="1" applyFill="1" applyBorder="1" applyAlignment="1">
      <alignment horizontal="right" vertical="center"/>
    </xf>
    <xf numFmtId="43" fontId="8" fillId="5" borderId="10" xfId="1" applyFont="1" applyFill="1" applyBorder="1" applyAlignment="1">
      <alignment horizontal="right" vertical="center" wrapText="1"/>
    </xf>
    <xf numFmtId="10" fontId="8" fillId="5" borderId="10" xfId="2" applyNumberFormat="1" applyFont="1" applyFill="1" applyBorder="1" applyAlignment="1">
      <alignment horizontal="right" vertical="center" wrapText="1"/>
    </xf>
    <xf numFmtId="44" fontId="8" fillId="5" borderId="10" xfId="1" applyNumberFormat="1" applyFont="1" applyFill="1" applyBorder="1" applyAlignment="1">
      <alignment horizontal="right" vertical="center" wrapText="1"/>
    </xf>
    <xf numFmtId="44" fontId="8" fillId="5" borderId="10" xfId="2" applyNumberFormat="1" applyFont="1" applyFill="1" applyBorder="1" applyAlignment="1">
      <alignment horizontal="right" vertical="center" wrapText="1"/>
    </xf>
    <xf numFmtId="197" fontId="8" fillId="0" borderId="10" xfId="1" applyNumberFormat="1" applyFont="1" applyFill="1" applyBorder="1" applyAlignment="1">
      <alignment vertical="center"/>
    </xf>
    <xf numFmtId="191" fontId="6" fillId="0" borderId="10" xfId="0" applyFont="1" applyBorder="1" applyAlignment="1">
      <alignment horizontal="center" vertical="center" wrapText="1"/>
      <protection locked="0"/>
    </xf>
    <xf numFmtId="10" fontId="8" fillId="0" borderId="10" xfId="2" applyNumberFormat="1" applyFont="1" applyFill="1" applyBorder="1" applyAlignment="1" applyProtection="1">
      <alignment horizontal="center" vertical="center" wrapText="1"/>
      <protection locked="0"/>
    </xf>
    <xf numFmtId="10" fontId="8" fillId="0" borderId="10" xfId="2" applyNumberFormat="1" applyFont="1" applyFill="1" applyBorder="1" applyAlignment="1" applyProtection="1">
      <alignment vertical="center"/>
      <protection locked="0"/>
    </xf>
    <xf numFmtId="43" fontId="8" fillId="0" borderId="10" xfId="0" applyNumberFormat="1" applyFont="1" applyBorder="1" applyAlignment="1">
      <alignment vertical="center"/>
      <protection locked="0"/>
    </xf>
    <xf numFmtId="191" fontId="8" fillId="0" borderId="0" xfId="3" applyNumberFormat="1" applyFont="1" applyAlignment="1">
      <alignment vertical="center"/>
    </xf>
    <xf numFmtId="191" fontId="8" fillId="0" borderId="7" xfId="3" applyNumberFormat="1" applyFont="1" applyBorder="1" applyAlignment="1">
      <alignment vertical="center"/>
    </xf>
    <xf numFmtId="191" fontId="8" fillId="0" borderId="7" xfId="3" applyNumberFormat="1" applyFont="1" applyBorder="1" applyAlignment="1">
      <alignment horizontal="center" vertical="center"/>
    </xf>
    <xf numFmtId="43" fontId="8" fillId="0" borderId="7" xfId="3" applyNumberFormat="1" applyFont="1" applyBorder="1" applyAlignment="1">
      <alignment vertical="center"/>
    </xf>
    <xf numFmtId="191" fontId="8" fillId="0" borderId="0" xfId="0" applyNumberFormat="1" applyFont="1" applyAlignment="1">
      <alignment vertical="center"/>
      <protection locked="0"/>
    </xf>
    <xf numFmtId="191" fontId="8" fillId="0" borderId="0" xfId="1" applyNumberFormat="1" applyFont="1" applyAlignment="1">
      <alignment vertical="center"/>
    </xf>
    <xf numFmtId="191" fontId="8" fillId="0" borderId="11" xfId="0" applyNumberFormat="1" applyFont="1" applyBorder="1" applyAlignment="1">
      <alignment vertical="center"/>
      <protection locked="0"/>
    </xf>
    <xf numFmtId="191" fontId="8" fillId="0" borderId="0" xfId="2" applyNumberFormat="1" applyFont="1" applyAlignment="1">
      <alignment vertical="center"/>
    </xf>
    <xf numFmtId="14" fontId="8" fillId="0" borderId="0" xfId="2" applyNumberFormat="1" applyFont="1" applyAlignment="1">
      <alignment vertical="center"/>
    </xf>
    <xf numFmtId="14" fontId="8" fillId="0" borderId="11" xfId="0" applyNumberFormat="1" applyFont="1" applyBorder="1" applyAlignment="1">
      <alignment vertical="center"/>
      <protection locked="0"/>
    </xf>
    <xf numFmtId="43" fontId="8" fillId="0" borderId="0" xfId="1" applyFont="1" applyAlignment="1" applyProtection="1">
      <alignment vertical="center"/>
      <protection locked="0"/>
    </xf>
    <xf numFmtId="43" fontId="8" fillId="0" borderId="11" xfId="1" applyFont="1" applyBorder="1" applyAlignment="1" applyProtection="1">
      <alignment vertical="center"/>
      <protection locked="0"/>
    </xf>
    <xf numFmtId="43" fontId="8" fillId="0" borderId="0" xfId="1" applyFont="1" applyBorder="1" applyAlignment="1" applyProtection="1">
      <alignment vertical="center"/>
      <protection locked="0"/>
    </xf>
    <xf numFmtId="199" fontId="8" fillId="0" borderId="10" xfId="1" applyNumberFormat="1" applyFont="1" applyBorder="1" applyAlignment="1">
      <alignment horizontal="center" vertical="center"/>
    </xf>
    <xf numFmtId="43" fontId="36" fillId="0" borderId="7" xfId="1" applyFont="1" applyFill="1" applyBorder="1" applyAlignment="1">
      <alignment horizontal="right" vertical="center"/>
    </xf>
    <xf numFmtId="191" fontId="6" fillId="5" borderId="11" xfId="0" applyFont="1" applyFill="1" applyBorder="1" applyAlignment="1">
      <alignment horizontal="center" vertical="center"/>
      <protection locked="0"/>
    </xf>
    <xf numFmtId="43" fontId="8" fillId="0" borderId="0" xfId="54" applyNumberFormat="1" applyFont="1" applyBorder="1" applyAlignment="1">
      <alignment horizontal="left" vertical="center"/>
    </xf>
    <xf numFmtId="43" fontId="36" fillId="0" borderId="0" xfId="1" applyFont="1" applyFill="1" applyBorder="1" applyAlignment="1">
      <alignment vertical="center"/>
    </xf>
    <xf numFmtId="43" fontId="8" fillId="0" borderId="0" xfId="1" applyFont="1" applyFill="1" applyBorder="1" applyAlignment="1">
      <alignment horizontal="right" vertical="center" wrapText="1"/>
    </xf>
    <xf numFmtId="191" fontId="6" fillId="0" borderId="11" xfId="0" applyFont="1" applyBorder="1" applyAlignment="1">
      <alignment vertical="center"/>
      <protection locked="0"/>
    </xf>
    <xf numFmtId="191" fontId="51" fillId="0" borderId="0" xfId="36" applyFont="1" applyAlignment="1">
      <alignment vertical="center"/>
      <protection locked="0"/>
    </xf>
    <xf numFmtId="191" fontId="64" fillId="0" borderId="0" xfId="36" applyFont="1" applyAlignment="1">
      <alignment horizontal="center" vertical="center"/>
      <protection locked="0"/>
    </xf>
    <xf numFmtId="191" fontId="52" fillId="0" borderId="0" xfId="0" applyFont="1" applyAlignment="1">
      <alignment vertical="center"/>
      <protection locked="0"/>
    </xf>
    <xf numFmtId="191" fontId="65" fillId="0" borderId="0" xfId="36" applyFont="1">
      <protection locked="0"/>
    </xf>
    <xf numFmtId="191" fontId="52" fillId="0" borderId="0" xfId="36" applyFont="1" applyAlignment="1">
      <alignment horizontal="left" vertical="center"/>
      <protection locked="0"/>
    </xf>
    <xf numFmtId="191" fontId="52" fillId="0" borderId="0" xfId="36" applyFont="1">
      <protection locked="0"/>
    </xf>
    <xf numFmtId="191" fontId="66" fillId="0" borderId="0" xfId="0" applyFont="1" applyAlignment="1" applyProtection="1">
      <alignment horizontal="justify" vertical="center"/>
    </xf>
    <xf numFmtId="43" fontId="52" fillId="0" borderId="0" xfId="1" applyFont="1" applyBorder="1" applyAlignment="1" applyProtection="1">
      <alignment vertical="center"/>
      <protection locked="0"/>
    </xf>
    <xf numFmtId="191" fontId="56" fillId="0" borderId="0" xfId="0" applyFont="1" applyAlignment="1" applyProtection="1">
      <alignment horizontal="justify" vertical="center"/>
    </xf>
    <xf numFmtId="191" fontId="56" fillId="0" borderId="0" xfId="0" applyFont="1" applyAlignment="1" applyProtection="1">
      <alignment vertical="center"/>
    </xf>
    <xf numFmtId="43" fontId="8" fillId="5" borderId="3" xfId="1" applyFont="1" applyFill="1" applyBorder="1" applyAlignment="1">
      <alignment horizontal="right" vertical="center" wrapText="1"/>
    </xf>
    <xf numFmtId="191" fontId="67" fillId="0" borderId="8" xfId="0" applyFont="1" applyBorder="1" applyAlignment="1">
      <alignment horizontal="justify" vertical="center" wrapText="1"/>
      <protection locked="0"/>
    </xf>
    <xf numFmtId="191" fontId="67" fillId="0" borderId="8" xfId="0" applyFont="1" applyBorder="1" applyAlignment="1">
      <alignment horizontal="right" vertical="center" wrapText="1"/>
      <protection locked="0"/>
    </xf>
    <xf numFmtId="191" fontId="57" fillId="0" borderId="0" xfId="0" applyFont="1" applyAlignment="1">
      <alignment horizontal="justify" vertical="center" wrapText="1"/>
      <protection locked="0"/>
    </xf>
    <xf numFmtId="191" fontId="69" fillId="0" borderId="0" xfId="0" applyFont="1" applyAlignment="1">
      <alignment horizontal="right" vertical="center" wrapText="1"/>
      <protection locked="0"/>
    </xf>
    <xf numFmtId="191" fontId="57" fillId="0" borderId="9" xfId="0" applyFont="1" applyBorder="1" applyAlignment="1">
      <alignment horizontal="justify" vertical="center" wrapText="1"/>
      <protection locked="0"/>
    </xf>
    <xf numFmtId="191" fontId="69" fillId="0" borderId="9" xfId="0" applyFont="1" applyBorder="1" applyAlignment="1">
      <alignment horizontal="right" vertical="center" wrapText="1"/>
      <protection locked="0"/>
    </xf>
    <xf numFmtId="191" fontId="67" fillId="0" borderId="9" xfId="0" applyFont="1" applyBorder="1" applyAlignment="1">
      <alignment horizontal="justify" vertical="center" wrapText="1"/>
      <protection locked="0"/>
    </xf>
    <xf numFmtId="191" fontId="68" fillId="0" borderId="9" xfId="0" applyFont="1" applyBorder="1" applyAlignment="1">
      <alignment horizontal="right" vertical="center" wrapText="1"/>
      <protection locked="0"/>
    </xf>
    <xf numFmtId="191" fontId="70" fillId="0" borderId="8" xfId="0" applyFont="1" applyBorder="1" applyAlignment="1">
      <alignment horizontal="left" vertical="center"/>
      <protection locked="0"/>
    </xf>
    <xf numFmtId="191" fontId="70" fillId="0" borderId="8" xfId="0" applyFont="1" applyBorder="1" applyAlignment="1">
      <alignment horizontal="right" vertical="center"/>
      <protection locked="0"/>
    </xf>
    <xf numFmtId="191" fontId="72" fillId="0" borderId="8" xfId="0" applyFont="1" applyBorder="1" applyAlignment="1">
      <alignment horizontal="right" vertical="center"/>
      <protection locked="0"/>
    </xf>
    <xf numFmtId="191" fontId="73" fillId="0" borderId="0" xfId="0" applyFont="1" applyAlignment="1">
      <alignment horizontal="left" vertical="center"/>
      <protection locked="0"/>
    </xf>
    <xf numFmtId="191" fontId="74" fillId="0" borderId="0" xfId="0" applyFont="1" applyAlignment="1">
      <alignment horizontal="justify" vertical="center"/>
      <protection locked="0"/>
    </xf>
    <xf numFmtId="191" fontId="8" fillId="0" borderId="0" xfId="0" applyFont="1" applyAlignment="1">
      <alignment horizontal="right" vertical="center"/>
      <protection locked="0"/>
    </xf>
    <xf numFmtId="191" fontId="74" fillId="0" borderId="0" xfId="0" applyFont="1" applyAlignment="1">
      <alignment horizontal="left" vertical="center"/>
      <protection locked="0"/>
    </xf>
    <xf numFmtId="191" fontId="75" fillId="0" borderId="0" xfId="0" applyFont="1" applyAlignment="1">
      <alignment horizontal="right" vertical="center"/>
      <protection locked="0"/>
    </xf>
    <xf numFmtId="191" fontId="69" fillId="0" borderId="0" xfId="0" applyFont="1" applyAlignment="1">
      <alignment horizontal="right" vertical="center"/>
      <protection locked="0"/>
    </xf>
    <xf numFmtId="191" fontId="74" fillId="0" borderId="9" xfId="0" applyFont="1" applyBorder="1" applyAlignment="1">
      <alignment horizontal="left" vertical="center"/>
      <protection locked="0"/>
    </xf>
    <xf numFmtId="191" fontId="69" fillId="0" borderId="9" xfId="0" applyFont="1" applyBorder="1" applyAlignment="1">
      <alignment horizontal="right" vertical="center"/>
      <protection locked="0"/>
    </xf>
    <xf numFmtId="191" fontId="12" fillId="0" borderId="0" xfId="0" applyFont="1" applyAlignment="1">
      <alignment horizontal="justify" vertical="center"/>
      <protection locked="0"/>
    </xf>
    <xf numFmtId="191" fontId="70" fillId="0" borderId="8" xfId="0" applyFont="1" applyBorder="1" applyAlignment="1">
      <alignment horizontal="justify" vertical="center" wrapText="1"/>
      <protection locked="0"/>
    </xf>
    <xf numFmtId="191" fontId="70" fillId="0" borderId="8" xfId="0" applyFont="1" applyBorder="1" applyAlignment="1">
      <alignment horizontal="right" vertical="center" wrapText="1"/>
      <protection locked="0"/>
    </xf>
    <xf numFmtId="191" fontId="73" fillId="0" borderId="0" xfId="0" applyFont="1" applyAlignment="1">
      <alignment horizontal="justify" vertical="center" wrapText="1"/>
      <protection locked="0"/>
    </xf>
    <xf numFmtId="191" fontId="80" fillId="0" borderId="9" xfId="0" applyFont="1" applyBorder="1" applyAlignment="1">
      <alignment horizontal="justify" vertical="center" wrapText="1"/>
      <protection locked="0"/>
    </xf>
    <xf numFmtId="191" fontId="70" fillId="0" borderId="9" xfId="0" applyFont="1" applyBorder="1" applyAlignment="1">
      <alignment horizontal="justify" vertical="center" wrapText="1"/>
      <protection locked="0"/>
    </xf>
    <xf numFmtId="191" fontId="79" fillId="0" borderId="0" xfId="0" applyFont="1" applyAlignment="1">
      <alignment horizontal="justify" vertical="center"/>
      <protection locked="0"/>
    </xf>
    <xf numFmtId="191" fontId="69" fillId="0" borderId="0" xfId="0" applyFont="1" applyAlignment="1">
      <alignment horizontal="justify" vertical="center" wrapText="1"/>
      <protection locked="0"/>
    </xf>
    <xf numFmtId="191" fontId="69" fillId="0" borderId="9" xfId="0" applyFont="1" applyBorder="1" applyAlignment="1">
      <alignment horizontal="justify" vertical="center" wrapText="1"/>
      <protection locked="0"/>
    </xf>
    <xf numFmtId="191" fontId="79" fillId="0" borderId="0" xfId="0" applyFont="1" applyAlignment="1">
      <alignment horizontal="left" vertical="center"/>
      <protection locked="0"/>
    </xf>
    <xf numFmtId="191" fontId="76" fillId="0" borderId="0" xfId="0" applyFont="1" applyAlignment="1">
      <alignment horizontal="left" vertical="center"/>
      <protection locked="0"/>
    </xf>
    <xf numFmtId="191" fontId="74" fillId="0" borderId="0" xfId="0" applyFont="1" applyAlignment="1">
      <alignment horizontal="justify" vertical="center" wrapText="1"/>
      <protection locked="0"/>
    </xf>
    <xf numFmtId="191" fontId="74" fillId="0" borderId="9" xfId="0" applyFont="1" applyBorder="1" applyAlignment="1">
      <alignment horizontal="justify" vertical="center" wrapText="1"/>
      <protection locked="0"/>
    </xf>
    <xf numFmtId="43" fontId="8" fillId="5" borderId="7" xfId="3" applyNumberFormat="1" applyFont="1" applyFill="1" applyBorder="1" applyAlignment="1">
      <alignment vertical="center"/>
    </xf>
    <xf numFmtId="43" fontId="36" fillId="5" borderId="7" xfId="1" applyFont="1" applyFill="1" applyBorder="1" applyAlignment="1">
      <alignment horizontal="right" vertical="center"/>
    </xf>
    <xf numFmtId="43" fontId="8" fillId="5" borderId="10" xfId="2" applyNumberFormat="1" applyFont="1" applyFill="1" applyBorder="1" applyAlignment="1">
      <alignment horizontal="right" vertical="center" wrapText="1"/>
    </xf>
    <xf numFmtId="43" fontId="6" fillId="5" borderId="10" xfId="1" applyFont="1" applyFill="1" applyBorder="1" applyAlignment="1">
      <alignment horizontal="right" vertical="center" wrapText="1"/>
    </xf>
    <xf numFmtId="197" fontId="8" fillId="5" borderId="10" xfId="1" applyNumberFormat="1" applyFont="1" applyFill="1" applyBorder="1" applyAlignment="1">
      <alignment vertical="center"/>
    </xf>
    <xf numFmtId="14" fontId="8" fillId="5" borderId="10" xfId="1" applyNumberFormat="1" applyFont="1" applyFill="1" applyBorder="1" applyAlignment="1">
      <alignment horizontal="right" vertical="center" wrapText="1"/>
    </xf>
    <xf numFmtId="43" fontId="6" fillId="5" borderId="10" xfId="1" applyFont="1" applyFill="1" applyBorder="1" applyAlignment="1">
      <alignment vertical="center"/>
    </xf>
    <xf numFmtId="14" fontId="8" fillId="5" borderId="10" xfId="1" applyNumberFormat="1" applyFont="1" applyFill="1" applyBorder="1" applyAlignment="1">
      <alignment vertical="center"/>
    </xf>
    <xf numFmtId="43" fontId="8" fillId="5" borderId="10" xfId="1" applyFont="1" applyFill="1" applyBorder="1" applyAlignment="1">
      <alignment vertical="center"/>
    </xf>
    <xf numFmtId="43" fontId="6" fillId="5" borderId="0" xfId="0" applyNumberFormat="1" applyFont="1" applyFill="1" applyAlignment="1">
      <alignment horizontal="left" vertical="center"/>
      <protection locked="0"/>
    </xf>
    <xf numFmtId="191" fontId="8" fillId="0" borderId="0" xfId="0" applyFont="1" applyBorder="1" applyAlignment="1">
      <alignment vertical="center"/>
      <protection locked="0"/>
    </xf>
    <xf numFmtId="191" fontId="8" fillId="0" borderId="13" xfId="0" applyFont="1" applyBorder="1" applyAlignment="1">
      <alignment vertical="center" wrapText="1"/>
      <protection locked="0"/>
    </xf>
    <xf numFmtId="191" fontId="8" fillId="0" borderId="0" xfId="0" applyFont="1" applyBorder="1" applyAlignment="1">
      <alignment horizontal="left" vertical="center"/>
      <protection locked="0"/>
    </xf>
    <xf numFmtId="43" fontId="8" fillId="5" borderId="13" xfId="1" applyFont="1" applyFill="1" applyBorder="1" applyAlignment="1">
      <alignment horizontal="right" vertical="center" wrapText="1"/>
    </xf>
    <xf numFmtId="191" fontId="8" fillId="0" borderId="10" xfId="35" applyFont="1" applyBorder="1" applyAlignment="1">
      <alignment vertical="center"/>
      <protection locked="0"/>
    </xf>
    <xf numFmtId="43" fontId="8" fillId="5" borderId="10" xfId="1" applyFont="1" applyFill="1" applyBorder="1" applyAlignment="1" applyProtection="1">
      <alignment vertical="center" shrinkToFit="1"/>
      <protection locked="0"/>
    </xf>
    <xf numFmtId="43" fontId="8" fillId="5" borderId="10" xfId="1" applyFont="1" applyFill="1" applyBorder="1" applyAlignment="1">
      <alignment vertical="center" shrinkToFit="1"/>
    </xf>
    <xf numFmtId="191" fontId="85" fillId="0" borderId="0" xfId="44" applyFont="1" applyAlignment="1" applyProtection="1">
      <alignment horizontal="center" vertical="center"/>
      <protection hidden="1"/>
    </xf>
    <xf numFmtId="191" fontId="6" fillId="0" borderId="0" xfId="35" applyFont="1" applyAlignment="1">
      <alignment vertical="center"/>
      <protection locked="0"/>
    </xf>
    <xf numFmtId="191" fontId="88" fillId="0" borderId="0" xfId="1" applyNumberFormat="1" applyFont="1" applyAlignment="1">
      <alignment vertical="center"/>
    </xf>
    <xf numFmtId="191" fontId="88" fillId="0" borderId="0" xfId="0" applyFont="1" applyAlignment="1">
      <alignment vertical="center"/>
      <protection locked="0"/>
    </xf>
    <xf numFmtId="43" fontId="88" fillId="0" borderId="0" xfId="1" applyFont="1" applyAlignment="1">
      <alignment vertical="center"/>
    </xf>
    <xf numFmtId="191" fontId="8" fillId="0" borderId="0" xfId="0" applyNumberFormat="1" applyFont="1" applyAlignment="1">
      <alignment vertical="center" wrapText="1"/>
      <protection locked="0"/>
    </xf>
    <xf numFmtId="191" fontId="35" fillId="0" borderId="0" xfId="35" applyNumberFormat="1" applyFont="1" applyAlignment="1" applyProtection="1">
      <alignment vertical="center"/>
    </xf>
    <xf numFmtId="191" fontId="8" fillId="0" borderId="0" xfId="44" applyNumberFormat="1" applyFont="1" applyAlignment="1" applyProtection="1">
      <alignment vertical="center"/>
      <protection locked="0"/>
    </xf>
    <xf numFmtId="191" fontId="8" fillId="0" borderId="0" xfId="44" applyNumberFormat="1" applyFont="1" applyAlignment="1" applyProtection="1">
      <alignment vertical="center" wrapText="1"/>
      <protection locked="0"/>
    </xf>
    <xf numFmtId="191" fontId="6" fillId="0" borderId="0" xfId="1" applyNumberFormat="1" applyFont="1" applyFill="1" applyAlignment="1" applyProtection="1">
      <alignment horizontal="right" vertical="center" shrinkToFit="1"/>
    </xf>
    <xf numFmtId="191" fontId="8" fillId="0" borderId="10" xfId="44" applyNumberFormat="1" applyFont="1" applyBorder="1" applyAlignment="1" applyProtection="1">
      <alignment vertical="center"/>
      <protection locked="0"/>
    </xf>
    <xf numFmtId="191" fontId="8" fillId="0" borderId="10" xfId="44" applyNumberFormat="1" applyFont="1" applyBorder="1" applyAlignment="1" applyProtection="1">
      <alignment vertical="center" wrapText="1"/>
      <protection locked="0"/>
    </xf>
    <xf numFmtId="191" fontId="35" fillId="0" borderId="0" xfId="35" applyFont="1" applyFill="1" applyAlignment="1" applyProtection="1">
      <alignment vertical="center"/>
    </xf>
    <xf numFmtId="191" fontId="8" fillId="0" borderId="0" xfId="44" applyFont="1" applyFill="1" applyAlignment="1" applyProtection="1">
      <alignment vertical="center"/>
      <protection locked="0"/>
    </xf>
    <xf numFmtId="191" fontId="8" fillId="0" borderId="10" xfId="35" applyFont="1" applyBorder="1" applyAlignment="1">
      <alignment horizontal="center" vertical="center"/>
      <protection locked="0"/>
    </xf>
    <xf numFmtId="9" fontId="89" fillId="0" borderId="0" xfId="2" applyFont="1" applyAlignment="1">
      <alignment vertical="center"/>
    </xf>
    <xf numFmtId="191" fontId="8" fillId="0" borderId="10" xfId="35" applyFont="1" applyFill="1" applyBorder="1" applyAlignment="1">
      <alignment horizontal="justify" vertical="center" wrapText="1"/>
      <protection locked="0"/>
    </xf>
    <xf numFmtId="191" fontId="8" fillId="0" borderId="10" xfId="0" applyFont="1" applyFill="1" applyBorder="1" applyAlignment="1">
      <alignment horizontal="justify" vertical="center" wrapText="1"/>
      <protection locked="0"/>
    </xf>
    <xf numFmtId="43" fontId="8" fillId="5" borderId="10" xfId="1" applyFont="1" applyFill="1" applyBorder="1" applyAlignment="1">
      <alignment horizontal="right" vertical="center"/>
    </xf>
    <xf numFmtId="191" fontId="92" fillId="0" borderId="0" xfId="55" applyFont="1" applyFill="1" applyAlignment="1" applyProtection="1">
      <alignment horizontal="left" vertical="center"/>
      <protection locked="0"/>
    </xf>
    <xf numFmtId="191" fontId="6" fillId="5" borderId="10" xfId="55" applyFont="1" applyFill="1" applyBorder="1" applyAlignment="1" applyProtection="1">
      <alignment horizontal="center" vertical="center"/>
      <protection locked="0"/>
    </xf>
    <xf numFmtId="191" fontId="35" fillId="5" borderId="10" xfId="0" applyFont="1" applyFill="1" applyBorder="1" applyAlignment="1" applyProtection="1">
      <alignment horizontal="center" vertical="center"/>
    </xf>
    <xf numFmtId="191" fontId="35" fillId="5" borderId="10" xfId="0" applyFont="1" applyFill="1" applyBorder="1" applyAlignment="1" applyProtection="1">
      <alignment vertical="center"/>
    </xf>
    <xf numFmtId="191" fontId="6" fillId="5" borderId="10" xfId="0" applyFont="1" applyFill="1" applyBorder="1" applyAlignment="1">
      <alignment horizontal="center" vertical="center"/>
      <protection locked="0"/>
    </xf>
    <xf numFmtId="191" fontId="6" fillId="5" borderId="10" xfId="0" applyFont="1" applyFill="1" applyBorder="1" applyAlignment="1">
      <alignment horizontal="center" vertical="center" wrapText="1"/>
      <protection locked="0"/>
    </xf>
    <xf numFmtId="198" fontId="8" fillId="0" borderId="0" xfId="0" applyNumberFormat="1" applyFont="1" applyAlignment="1">
      <alignment vertical="center"/>
      <protection locked="0"/>
    </xf>
    <xf numFmtId="191" fontId="8" fillId="4" borderId="0" xfId="0" applyFont="1" applyFill="1" applyAlignment="1">
      <alignment horizontal="justify" vertical="center" wrapText="1"/>
      <protection locked="0"/>
    </xf>
    <xf numFmtId="191" fontId="8" fillId="0" borderId="0" xfId="0" applyFont="1" applyAlignment="1">
      <alignment horizontal="justify" vertical="center" wrapText="1"/>
      <protection locked="0"/>
    </xf>
    <xf numFmtId="198" fontId="6" fillId="0" borderId="7" xfId="0" applyNumberFormat="1" applyFont="1" applyBorder="1" applyAlignment="1">
      <alignment horizontal="center" vertical="center"/>
      <protection locked="0"/>
    </xf>
    <xf numFmtId="191" fontId="8" fillId="0" borderId="7" xfId="0" applyFont="1" applyBorder="1" applyAlignment="1">
      <alignment vertical="center"/>
      <protection locked="0"/>
    </xf>
    <xf numFmtId="198" fontId="8" fillId="0" borderId="7" xfId="0" applyNumberFormat="1" applyFont="1" applyBorder="1" applyAlignment="1">
      <alignment horizontal="center" vertical="center" wrapText="1"/>
      <protection locked="0"/>
    </xf>
    <xf numFmtId="198" fontId="8" fillId="0" borderId="7" xfId="0" applyNumberFormat="1" applyFont="1" applyBorder="1" applyAlignment="1">
      <alignment horizontal="center" vertical="center"/>
      <protection locked="0"/>
    </xf>
    <xf numFmtId="191" fontId="94" fillId="6" borderId="0" xfId="0" applyFont="1" applyFill="1" applyAlignment="1" applyProtection="1">
      <alignment vertical="center"/>
    </xf>
    <xf numFmtId="191" fontId="95" fillId="7" borderId="0" xfId="0" applyFont="1" applyFill="1" applyAlignment="1" applyProtection="1">
      <alignment vertical="center"/>
    </xf>
    <xf numFmtId="191" fontId="6" fillId="0" borderId="0" xfId="0" applyFont="1" applyAlignment="1">
      <alignment horizontal="justify" vertical="center"/>
      <protection locked="0"/>
    </xf>
    <xf numFmtId="191" fontId="8" fillId="0" borderId="0" xfId="52" applyFont="1" applyAlignment="1">
      <alignment vertical="center"/>
      <protection locked="0"/>
    </xf>
    <xf numFmtId="191" fontId="8" fillId="0" borderId="0" xfId="52" applyFont="1">
      <alignment vertical="center"/>
      <protection locked="0"/>
    </xf>
    <xf numFmtId="191" fontId="8" fillId="0" borderId="0" xfId="52" applyFont="1" applyAlignment="1">
      <alignment horizontal="left" vertical="center"/>
      <protection locked="0"/>
    </xf>
    <xf numFmtId="191" fontId="8" fillId="0" borderId="0" xfId="52" applyFont="1" applyBorder="1" applyAlignment="1">
      <alignment horizontal="left" vertical="center"/>
      <protection locked="0"/>
    </xf>
    <xf numFmtId="191" fontId="6" fillId="0" borderId="0" xfId="52" applyFont="1" applyAlignment="1">
      <alignment horizontal="left" vertical="center"/>
      <protection locked="0"/>
    </xf>
    <xf numFmtId="191" fontId="6" fillId="0" borderId="0" xfId="52" applyFont="1" applyAlignment="1">
      <alignment horizontal="justify" vertical="center"/>
      <protection locked="0"/>
    </xf>
    <xf numFmtId="191" fontId="6" fillId="5" borderId="10" xfId="55" applyFont="1" applyFill="1" applyBorder="1" applyAlignment="1" applyProtection="1">
      <alignment horizontal="center" vertical="center" wrapText="1"/>
      <protection locked="0"/>
    </xf>
    <xf numFmtId="49" fontId="6" fillId="0" borderId="0" xfId="43" applyNumberFormat="1" applyFont="1" applyAlignment="1">
      <alignment horizontal="left" vertical="center"/>
    </xf>
    <xf numFmtId="191" fontId="6" fillId="5" borderId="10" xfId="47" applyFont="1" applyFill="1" applyBorder="1" applyAlignment="1" applyProtection="1">
      <alignment horizontal="center" vertical="center" wrapText="1"/>
      <protection locked="0"/>
    </xf>
    <xf numFmtId="191" fontId="6" fillId="5" borderId="10" xfId="36" applyFont="1" applyFill="1" applyBorder="1" applyAlignment="1">
      <alignment horizontal="center" vertical="center"/>
      <protection locked="0"/>
    </xf>
    <xf numFmtId="191" fontId="35" fillId="5" borderId="10" xfId="36" applyFont="1" applyFill="1" applyBorder="1" applyAlignment="1">
      <alignment horizontal="center" vertical="center" wrapText="1"/>
      <protection locked="0"/>
    </xf>
    <xf numFmtId="43" fontId="6" fillId="0" borderId="11" xfId="4" applyNumberFormat="1" applyFont="1" applyBorder="1" applyAlignment="1">
      <alignment vertical="center"/>
    </xf>
    <xf numFmtId="191" fontId="8" fillId="0" borderId="0" xfId="3" applyFont="1" applyAlignment="1">
      <alignment vertical="center"/>
    </xf>
    <xf numFmtId="43" fontId="8" fillId="0" borderId="0" xfId="4" applyNumberFormat="1" applyFont="1" applyFill="1" applyBorder="1" applyAlignment="1">
      <alignment vertical="center"/>
    </xf>
    <xf numFmtId="43" fontId="85" fillId="0" borderId="0" xfId="4" applyNumberFormat="1" applyFont="1" applyBorder="1" applyAlignment="1">
      <alignment vertical="center"/>
    </xf>
    <xf numFmtId="191" fontId="11" fillId="0" borderId="0" xfId="42" applyFont="1">
      <alignment vertical="center"/>
    </xf>
    <xf numFmtId="43" fontId="97" fillId="0" borderId="10" xfId="1" applyFont="1" applyFill="1" applyBorder="1" applyAlignment="1">
      <alignment vertical="center"/>
    </xf>
    <xf numFmtId="191" fontId="94" fillId="5" borderId="0" xfId="0" applyFont="1" applyFill="1" applyAlignment="1" applyProtection="1">
      <alignment horizontal="left" vertical="center"/>
    </xf>
    <xf numFmtId="191" fontId="39" fillId="0" borderId="0" xfId="0" applyFont="1">
      <protection locked="0"/>
    </xf>
    <xf numFmtId="49" fontId="8" fillId="0" borderId="0" xfId="36" applyNumberFormat="1" applyFont="1">
      <protection locked="0"/>
    </xf>
    <xf numFmtId="49" fontId="6" fillId="5" borderId="10" xfId="0" applyNumberFormat="1" applyFont="1" applyFill="1" applyBorder="1" applyAlignment="1">
      <alignment horizontal="center" vertical="center" wrapText="1"/>
      <protection locked="0"/>
    </xf>
    <xf numFmtId="49" fontId="8" fillId="0" borderId="10" xfId="0" applyNumberFormat="1" applyFont="1" applyBorder="1" applyAlignment="1">
      <alignment vertical="center" wrapText="1"/>
      <protection locked="0"/>
    </xf>
    <xf numFmtId="49" fontId="35" fillId="5" borderId="10" xfId="0" applyNumberFormat="1" applyFont="1" applyFill="1" applyBorder="1" applyAlignment="1" applyProtection="1">
      <alignment horizontal="center" vertical="center"/>
    </xf>
    <xf numFmtId="191" fontId="35" fillId="5" borderId="10" xfId="0" applyFont="1" applyFill="1" applyBorder="1" applyAlignment="1" applyProtection="1">
      <alignment horizontal="center" vertical="center" wrapText="1"/>
    </xf>
    <xf numFmtId="191" fontId="88" fillId="0" borderId="10" xfId="0" applyFont="1" applyBorder="1" applyAlignment="1" applyProtection="1">
      <alignment vertical="center"/>
    </xf>
    <xf numFmtId="191" fontId="89" fillId="0" borderId="0" xfId="35" applyFont="1" applyAlignment="1" applyProtection="1">
      <alignment vertical="center"/>
    </xf>
    <xf numFmtId="49" fontId="82" fillId="0" borderId="10" xfId="0" applyNumberFormat="1" applyFont="1" applyBorder="1" applyAlignment="1" applyProtection="1">
      <alignment horizontal="center" vertical="center"/>
    </xf>
    <xf numFmtId="191" fontId="8" fillId="0" borderId="0" xfId="47" applyFont="1" applyAlignment="1">
      <alignment horizontal="left" vertical="center" wrapText="1"/>
    </xf>
    <xf numFmtId="191" fontId="8" fillId="0" borderId="0" xfId="47" applyFont="1" applyAlignment="1">
      <alignment horizontal="left" vertical="center"/>
    </xf>
    <xf numFmtId="191" fontId="6" fillId="8" borderId="10" xfId="0" applyFont="1" applyFill="1" applyBorder="1" applyAlignment="1">
      <alignment horizontal="center" vertical="center" wrapText="1"/>
      <protection locked="0"/>
    </xf>
    <xf numFmtId="191" fontId="6" fillId="0" borderId="11" xfId="0" applyFont="1" applyFill="1" applyBorder="1" applyAlignment="1">
      <alignment vertical="center"/>
      <protection locked="0"/>
    </xf>
    <xf numFmtId="191" fontId="98" fillId="0" borderId="0" xfId="44" applyFont="1" applyAlignment="1" applyProtection="1">
      <alignment vertical="center"/>
      <protection locked="0"/>
    </xf>
    <xf numFmtId="191" fontId="6" fillId="0" borderId="11" xfId="44" applyFont="1" applyBorder="1" applyAlignment="1">
      <alignment vertical="center"/>
    </xf>
    <xf numFmtId="49" fontId="6" fillId="0" borderId="0" xfId="0" applyNumberFormat="1" applyFont="1" applyBorder="1" applyAlignment="1">
      <alignment vertical="center"/>
      <protection locked="0"/>
    </xf>
    <xf numFmtId="191" fontId="99" fillId="0" borderId="0" xfId="0" applyFont="1" applyAlignment="1">
      <alignment vertical="center"/>
      <protection locked="0"/>
    </xf>
    <xf numFmtId="49" fontId="6" fillId="0" borderId="11" xfId="0" applyNumberFormat="1" applyFont="1" applyBorder="1" applyAlignment="1">
      <alignment vertical="center"/>
      <protection locked="0"/>
    </xf>
    <xf numFmtId="191" fontId="8" fillId="0" borderId="10" xfId="0" applyFont="1" applyBorder="1" applyAlignment="1" applyProtection="1">
      <alignment vertical="center"/>
    </xf>
    <xf numFmtId="191" fontId="8" fillId="0" borderId="0" xfId="0" applyFont="1" applyAlignment="1" applyProtection="1">
      <alignment horizontal="left" vertical="center"/>
    </xf>
    <xf numFmtId="191" fontId="15" fillId="0" borderId="0" xfId="35" applyFont="1" applyAlignment="1">
      <alignment vertical="center"/>
      <protection locked="0"/>
    </xf>
    <xf numFmtId="191" fontId="8" fillId="0" borderId="0" xfId="35" applyFont="1" applyAlignment="1">
      <alignment horizontal="center" vertical="center"/>
      <protection locked="0"/>
    </xf>
    <xf numFmtId="43" fontId="8" fillId="0" borderId="10" xfId="1" applyFont="1" applyBorder="1" applyAlignment="1" applyProtection="1">
      <alignment vertical="center"/>
      <protection locked="0"/>
    </xf>
    <xf numFmtId="43" fontId="8" fillId="5" borderId="10" xfId="1" applyFont="1" applyFill="1" applyBorder="1" applyAlignment="1" applyProtection="1">
      <alignment vertical="center"/>
      <protection locked="0"/>
    </xf>
    <xf numFmtId="191" fontId="6" fillId="5" borderId="10" xfId="35" applyFont="1" applyFill="1" applyBorder="1" applyAlignment="1">
      <alignment horizontal="centerContinuous" vertical="center"/>
      <protection locked="0"/>
    </xf>
    <xf numFmtId="43" fontId="6" fillId="5" borderId="10" xfId="1" applyFont="1" applyFill="1" applyBorder="1" applyAlignment="1" applyProtection="1">
      <alignment horizontal="centerContinuous" vertical="center"/>
      <protection locked="0"/>
    </xf>
    <xf numFmtId="43" fontId="6" fillId="5" borderId="10" xfId="1" applyFont="1" applyFill="1" applyBorder="1" applyAlignment="1" applyProtection="1">
      <alignment vertical="center"/>
      <protection locked="0"/>
    </xf>
    <xf numFmtId="191" fontId="6" fillId="5" borderId="10" xfId="35" applyFont="1" applyFill="1" applyBorder="1" applyAlignment="1">
      <alignment vertical="center"/>
      <protection locked="0"/>
    </xf>
    <xf numFmtId="191" fontId="6" fillId="0" borderId="15" xfId="35" applyFont="1" applyBorder="1" applyAlignment="1">
      <alignment horizontal="centerContinuous" vertical="center"/>
      <protection locked="0"/>
    </xf>
    <xf numFmtId="43" fontId="6" fillId="0" borderId="15" xfId="1" applyFont="1" applyBorder="1" applyAlignment="1" applyProtection="1">
      <alignment horizontal="centerContinuous" vertical="center"/>
      <protection locked="0"/>
    </xf>
    <xf numFmtId="43" fontId="6" fillId="0" borderId="15" xfId="1" applyFont="1" applyBorder="1" applyAlignment="1" applyProtection="1">
      <alignment vertical="center"/>
      <protection locked="0"/>
    </xf>
    <xf numFmtId="43" fontId="6" fillId="0" borderId="15" xfId="1" applyFont="1" applyFill="1" applyBorder="1" applyAlignment="1" applyProtection="1">
      <alignment vertical="center"/>
      <protection locked="0"/>
    </xf>
    <xf numFmtId="191" fontId="6" fillId="0" borderId="15" xfId="35" applyFont="1" applyBorder="1" applyAlignment="1">
      <alignment vertical="center"/>
      <protection locked="0"/>
    </xf>
    <xf numFmtId="197" fontId="8" fillId="0" borderId="15" xfId="1" applyNumberFormat="1" applyFont="1" applyFill="1" applyBorder="1" applyAlignment="1">
      <alignment vertical="center"/>
    </xf>
    <xf numFmtId="191" fontId="6" fillId="0" borderId="15" xfId="0" applyFont="1" applyFill="1" applyBorder="1" applyAlignment="1">
      <alignment horizontal="center" vertical="center" shrinkToFit="1"/>
      <protection locked="0"/>
    </xf>
    <xf numFmtId="191" fontId="8" fillId="0" borderId="0" xfId="35" applyFont="1" applyFill="1" applyAlignment="1">
      <alignment vertical="center"/>
      <protection locked="0"/>
    </xf>
    <xf numFmtId="197" fontId="8" fillId="0" borderId="11" xfId="1" applyNumberFormat="1" applyFont="1" applyFill="1" applyBorder="1" applyAlignment="1">
      <alignment vertical="center"/>
    </xf>
    <xf numFmtId="191" fontId="6" fillId="0" borderId="11" xfId="0" applyFont="1" applyFill="1" applyBorder="1" applyAlignment="1">
      <alignment horizontal="center" vertical="center" shrinkToFit="1"/>
      <protection locked="0"/>
    </xf>
    <xf numFmtId="191" fontId="8" fillId="0" borderId="0" xfId="0" applyFont="1" applyFill="1" applyAlignment="1">
      <alignment vertical="center"/>
      <protection locked="0"/>
    </xf>
    <xf numFmtId="191" fontId="6" fillId="0" borderId="15" xfId="35" applyFont="1" applyBorder="1" applyAlignment="1">
      <alignment horizontal="left" vertical="center"/>
      <protection locked="0"/>
    </xf>
    <xf numFmtId="191" fontId="84" fillId="0" borderId="0" xfId="35" applyFont="1" applyAlignment="1" applyProtection="1">
      <alignment horizontal="left" vertical="center"/>
    </xf>
    <xf numFmtId="191" fontId="8" fillId="5" borderId="7" xfId="1" applyNumberFormat="1" applyFont="1" applyFill="1" applyBorder="1" applyAlignment="1">
      <alignment horizontal="center" vertical="center"/>
    </xf>
    <xf numFmtId="191" fontId="19" fillId="0" borderId="0" xfId="1" applyNumberFormat="1" applyFont="1" applyAlignment="1">
      <alignment vertical="center"/>
    </xf>
    <xf numFmtId="191" fontId="6" fillId="5" borderId="16" xfId="0" applyFont="1" applyFill="1" applyBorder="1" applyAlignment="1">
      <alignment vertical="center"/>
      <protection locked="0"/>
    </xf>
    <xf numFmtId="14" fontId="6" fillId="5" borderId="10" xfId="1" applyNumberFormat="1" applyFont="1" applyFill="1" applyBorder="1" applyAlignment="1">
      <alignment horizontal="center" vertical="center" wrapText="1"/>
    </xf>
    <xf numFmtId="9" fontId="6" fillId="5" borderId="10" xfId="2" applyFont="1" applyFill="1" applyBorder="1" applyAlignment="1">
      <alignment horizontal="center" vertical="center" wrapText="1"/>
    </xf>
    <xf numFmtId="191" fontId="85" fillId="0" borderId="0" xfId="0" applyFont="1" applyAlignment="1">
      <alignment vertical="center"/>
      <protection locked="0"/>
    </xf>
    <xf numFmtId="191" fontId="92" fillId="0" borderId="0" xfId="35" applyFont="1" applyAlignment="1" applyProtection="1">
      <alignment horizontal="left" vertical="center"/>
    </xf>
    <xf numFmtId="191" fontId="89" fillId="10" borderId="0" xfId="35" applyFont="1" applyFill="1" applyAlignment="1" applyProtection="1">
      <alignment vertical="center"/>
    </xf>
    <xf numFmtId="191" fontId="8" fillId="0" borderId="0" xfId="36" applyNumberFormat="1" applyFont="1">
      <protection locked="0"/>
    </xf>
    <xf numFmtId="191" fontId="6" fillId="5" borderId="10" xfId="1" applyNumberFormat="1" applyFont="1" applyFill="1" applyBorder="1" applyAlignment="1">
      <alignment horizontal="center" vertical="center" wrapText="1"/>
    </xf>
    <xf numFmtId="43" fontId="8" fillId="0" borderId="0" xfId="1" applyFont="1" applyBorder="1" applyAlignment="1" applyProtection="1">
      <alignment horizontal="right" vertical="center"/>
      <protection locked="0"/>
    </xf>
    <xf numFmtId="191" fontId="88" fillId="0" borderId="10" xfId="0" applyFont="1" applyBorder="1" applyAlignment="1">
      <alignment horizontal="justify" vertical="center" wrapText="1"/>
      <protection locked="0"/>
    </xf>
    <xf numFmtId="191" fontId="89" fillId="0" borderId="0" xfId="0" applyFont="1" applyAlignment="1" applyProtection="1">
      <alignment vertical="center"/>
    </xf>
    <xf numFmtId="191" fontId="19" fillId="0" borderId="10" xfId="35" applyFont="1" applyBorder="1" applyAlignment="1">
      <alignment vertical="center"/>
      <protection locked="0"/>
    </xf>
    <xf numFmtId="191" fontId="89" fillId="0" borderId="0" xfId="47" applyFont="1" applyAlignment="1">
      <alignment horizontal="left" vertical="center"/>
    </xf>
    <xf numFmtId="43" fontId="6" fillId="0" borderId="10" xfId="47" applyNumberFormat="1" applyFont="1" applyBorder="1" applyAlignment="1" applyProtection="1">
      <alignment horizontal="right" vertical="center" shrinkToFit="1"/>
      <protection locked="0"/>
    </xf>
    <xf numFmtId="191" fontId="6" fillId="5" borderId="10" xfId="47" applyFont="1" applyFill="1" applyBorder="1" applyAlignment="1" applyProtection="1">
      <alignment vertical="center"/>
      <protection locked="0"/>
    </xf>
    <xf numFmtId="191" fontId="8" fillId="0" borderId="0" xfId="47" applyFont="1" applyAlignment="1" applyProtection="1">
      <alignment vertical="center"/>
      <protection locked="0"/>
    </xf>
    <xf numFmtId="191" fontId="8" fillId="0" borderId="0" xfId="47" applyFont="1" applyAlignment="1" applyProtection="1">
      <alignment horizontal="left" vertical="center"/>
      <protection locked="0"/>
    </xf>
    <xf numFmtId="191" fontId="8" fillId="0" borderId="0" xfId="47" applyFont="1" applyAlignment="1" applyProtection="1">
      <alignment horizontal="centerContinuous" vertical="center"/>
      <protection locked="0"/>
    </xf>
    <xf numFmtId="191" fontId="6" fillId="0" borderId="0" xfId="47" applyFont="1" applyAlignment="1" applyProtection="1">
      <alignment horizontal="left" vertical="center"/>
      <protection locked="0"/>
    </xf>
    <xf numFmtId="191" fontId="8" fillId="0" borderId="0" xfId="47" applyFont="1" applyProtection="1">
      <protection locked="0"/>
    </xf>
    <xf numFmtId="191" fontId="84" fillId="0" borderId="0" xfId="35" applyFont="1" applyAlignment="1" applyProtection="1">
      <alignment vertical="center"/>
    </xf>
    <xf numFmtId="191" fontId="89" fillId="10" borderId="0" xfId="47" applyFont="1" applyFill="1" applyAlignment="1">
      <alignment horizontal="left" vertical="center"/>
    </xf>
    <xf numFmtId="191" fontId="89" fillId="10" borderId="0" xfId="47" applyFont="1" applyFill="1" applyAlignment="1" applyProtection="1">
      <alignment vertical="center"/>
      <protection locked="0"/>
    </xf>
    <xf numFmtId="191" fontId="6" fillId="5" borderId="10" xfId="47" applyFont="1" applyFill="1" applyBorder="1" applyAlignment="1" applyProtection="1">
      <alignment horizontal="center" vertical="center"/>
      <protection locked="0"/>
    </xf>
    <xf numFmtId="191" fontId="6" fillId="5" borderId="0" xfId="47" applyFont="1" applyFill="1" applyAlignment="1" applyProtection="1">
      <alignment horizontal="center" vertical="center"/>
      <protection locked="0"/>
    </xf>
    <xf numFmtId="43" fontId="6" fillId="5" borderId="10" xfId="1" applyFont="1" applyFill="1" applyBorder="1" applyAlignment="1" applyProtection="1">
      <alignment horizontal="center" vertical="center"/>
      <protection locked="0"/>
    </xf>
    <xf numFmtId="191" fontId="89" fillId="0" borderId="0" xfId="47" applyFont="1" applyAlignment="1" applyProtection="1">
      <alignment vertical="center"/>
      <protection locked="0"/>
    </xf>
    <xf numFmtId="191" fontId="89" fillId="0" borderId="0" xfId="47" applyFont="1" applyAlignment="1" applyProtection="1">
      <alignment horizontal="left" vertical="center"/>
      <protection locked="0"/>
    </xf>
    <xf numFmtId="191" fontId="8" fillId="0" borderId="0" xfId="47" applyNumberFormat="1" applyFont="1" applyAlignment="1">
      <alignment horizontal="left" vertical="center" wrapText="1"/>
    </xf>
    <xf numFmtId="191" fontId="8" fillId="0" borderId="0" xfId="47" applyNumberFormat="1" applyFont="1" applyAlignment="1">
      <alignment horizontal="left" vertical="center"/>
    </xf>
    <xf numFmtId="191" fontId="8" fillId="0" borderId="0" xfId="47" applyNumberFormat="1" applyFont="1" applyAlignment="1" applyProtection="1">
      <alignment vertical="center"/>
      <protection locked="0"/>
    </xf>
    <xf numFmtId="191" fontId="6" fillId="0" borderId="0" xfId="47" applyNumberFormat="1" applyFont="1" applyAlignment="1">
      <alignment horizontal="left" vertical="center"/>
    </xf>
    <xf numFmtId="191" fontId="6" fillId="5" borderId="10" xfId="0" applyNumberFormat="1" applyFont="1" applyFill="1" applyBorder="1" applyAlignment="1" applyProtection="1">
      <alignment horizontal="center" vertical="center" wrapText="1"/>
    </xf>
    <xf numFmtId="191" fontId="6" fillId="5" borderId="10" xfId="49" applyNumberFormat="1" applyFont="1" applyFill="1" applyBorder="1" applyAlignment="1">
      <alignment horizontal="center" vertical="center" wrapText="1"/>
    </xf>
    <xf numFmtId="191" fontId="8" fillId="0" borderId="10" xfId="47" applyNumberFormat="1" applyFont="1" applyBorder="1" applyAlignment="1" applyProtection="1">
      <alignment vertical="center"/>
      <protection locked="0"/>
    </xf>
    <xf numFmtId="191" fontId="8" fillId="0" borderId="10" xfId="47" applyNumberFormat="1" applyFont="1" applyBorder="1" applyAlignment="1">
      <alignment horizontal="left" vertical="center" wrapText="1"/>
    </xf>
    <xf numFmtId="191" fontId="8" fillId="0" borderId="10" xfId="47" applyNumberFormat="1" applyFont="1" applyBorder="1" applyAlignment="1">
      <alignment horizontal="left" vertical="center"/>
    </xf>
    <xf numFmtId="191" fontId="89" fillId="0" borderId="0" xfId="47" applyNumberFormat="1" applyFont="1" applyAlignment="1">
      <alignment horizontal="left" vertical="center"/>
    </xf>
    <xf numFmtId="43" fontId="8" fillId="5" borderId="10" xfId="1" applyFont="1" applyFill="1" applyBorder="1" applyAlignment="1">
      <alignment horizontal="left" vertical="center" wrapText="1"/>
    </xf>
    <xf numFmtId="191" fontId="8" fillId="0" borderId="0" xfId="47" applyNumberFormat="1" applyFont="1" applyAlignment="1" applyProtection="1">
      <alignment vertical="center" wrapText="1"/>
      <protection locked="0"/>
    </xf>
    <xf numFmtId="191" fontId="8" fillId="0" borderId="0" xfId="47" applyNumberFormat="1" applyFont="1" applyAlignment="1" applyProtection="1">
      <alignment horizontal="left" vertical="center"/>
      <protection locked="0"/>
    </xf>
    <xf numFmtId="191" fontId="8" fillId="0" borderId="0" xfId="47" applyNumberFormat="1" applyFont="1" applyAlignment="1" applyProtection="1">
      <alignment horizontal="centerContinuous" vertical="center" wrapText="1"/>
      <protection locked="0"/>
    </xf>
    <xf numFmtId="191" fontId="8" fillId="0" borderId="0" xfId="47" applyNumberFormat="1" applyFont="1" applyAlignment="1" applyProtection="1">
      <alignment horizontal="centerContinuous" vertical="center"/>
      <protection locked="0"/>
    </xf>
    <xf numFmtId="191" fontId="6" fillId="0" borderId="0" xfId="47" applyNumberFormat="1" applyFont="1" applyAlignment="1" applyProtection="1">
      <alignment horizontal="left" vertical="center" wrapText="1"/>
      <protection locked="0"/>
    </xf>
    <xf numFmtId="191" fontId="8" fillId="0" borderId="0" xfId="47" applyNumberFormat="1" applyFont="1" applyAlignment="1" applyProtection="1">
      <alignment wrapText="1"/>
      <protection locked="0"/>
    </xf>
    <xf numFmtId="191" fontId="8" fillId="0" borderId="0" xfId="47" applyNumberFormat="1" applyFont="1" applyProtection="1">
      <protection locked="0"/>
    </xf>
    <xf numFmtId="191" fontId="89" fillId="0" borderId="0" xfId="47" applyNumberFormat="1" applyFont="1" applyProtection="1">
      <protection locked="0"/>
    </xf>
    <xf numFmtId="191" fontId="8" fillId="0" borderId="0" xfId="47" applyFont="1" applyAlignment="1">
      <alignment horizontal="center" vertical="center"/>
    </xf>
    <xf numFmtId="191" fontId="8" fillId="0" borderId="0" xfId="47" applyFont="1" applyAlignment="1" applyProtection="1">
      <alignment vertical="center" wrapText="1"/>
      <protection locked="0"/>
    </xf>
    <xf numFmtId="191" fontId="8" fillId="0" borderId="0" xfId="47" applyFont="1" applyAlignment="1" applyProtection="1">
      <alignment horizontal="centerContinuous" vertical="center" wrapText="1"/>
      <protection locked="0"/>
    </xf>
    <xf numFmtId="191" fontId="6" fillId="0" borderId="0" xfId="47" applyFont="1" applyAlignment="1" applyProtection="1">
      <alignment horizontal="left" vertical="center" wrapText="1"/>
      <protection locked="0"/>
    </xf>
    <xf numFmtId="191" fontId="8" fillId="0" borderId="0" xfId="47" applyFont="1" applyAlignment="1" applyProtection="1">
      <alignment wrapText="1"/>
      <protection locked="0"/>
    </xf>
    <xf numFmtId="191" fontId="89" fillId="0" borderId="0" xfId="47" applyFont="1" applyProtection="1">
      <protection locked="0"/>
    </xf>
    <xf numFmtId="191" fontId="89" fillId="10" borderId="0" xfId="47" applyFont="1" applyFill="1" applyAlignment="1" applyProtection="1">
      <alignment horizontal="left" vertical="center"/>
      <protection locked="0"/>
    </xf>
    <xf numFmtId="191" fontId="8" fillId="0" borderId="0" xfId="47" applyFont="1" applyFill="1" applyAlignment="1">
      <alignment horizontal="left" vertical="center" wrapText="1"/>
    </xf>
    <xf numFmtId="191" fontId="82" fillId="10" borderId="0" xfId="47" applyFont="1" applyFill="1" applyAlignment="1" applyProtection="1">
      <alignment vertical="center"/>
      <protection locked="0"/>
    </xf>
    <xf numFmtId="191" fontId="6" fillId="5" borderId="10" xfId="48" applyFont="1" applyFill="1" applyBorder="1" applyAlignment="1" applyProtection="1">
      <alignment horizontal="center" vertical="center" wrapText="1"/>
      <protection locked="0"/>
    </xf>
    <xf numFmtId="191" fontId="8" fillId="0" borderId="10" xfId="47" applyFont="1" applyBorder="1" applyAlignment="1" applyProtection="1">
      <alignment vertical="center"/>
      <protection locked="0"/>
    </xf>
    <xf numFmtId="191" fontId="8" fillId="0" borderId="10" xfId="47" applyFont="1" applyBorder="1" applyAlignment="1" applyProtection="1">
      <alignment horizontal="left" vertical="center"/>
      <protection locked="0"/>
    </xf>
    <xf numFmtId="43" fontId="6" fillId="0" borderId="0" xfId="47" applyNumberFormat="1" applyFont="1" applyAlignment="1" applyProtection="1">
      <alignment horizontal="right" vertical="center" shrinkToFit="1"/>
      <protection locked="0"/>
    </xf>
    <xf numFmtId="191" fontId="8" fillId="0" borderId="10" xfId="47" applyFont="1" applyBorder="1" applyAlignment="1" applyProtection="1">
      <alignment horizontal="center" vertical="center"/>
      <protection locked="0"/>
    </xf>
    <xf numFmtId="191" fontId="6" fillId="5" borderId="10" xfId="48" applyFont="1" applyFill="1" applyBorder="1" applyAlignment="1" applyProtection="1">
      <alignment horizontal="center" vertical="center"/>
      <protection locked="0"/>
    </xf>
    <xf numFmtId="191" fontId="6" fillId="5" borderId="3" xfId="48" applyFont="1" applyFill="1" applyBorder="1" applyAlignment="1" applyProtection="1">
      <alignment horizontal="center" vertical="center"/>
      <protection locked="0"/>
    </xf>
    <xf numFmtId="191" fontId="6" fillId="5" borderId="16" xfId="48" applyFont="1" applyFill="1" applyBorder="1" applyAlignment="1" applyProtection="1">
      <alignment horizontal="center" vertical="center"/>
      <protection locked="0"/>
    </xf>
    <xf numFmtId="191" fontId="92" fillId="0" borderId="0" xfId="0" applyFont="1" applyAlignment="1">
      <alignment horizontal="left"/>
      <protection locked="0"/>
    </xf>
    <xf numFmtId="49" fontId="8" fillId="0" borderId="10" xfId="0" applyNumberFormat="1" applyFont="1" applyBorder="1" applyAlignment="1">
      <alignment horizontal="justify" vertical="center"/>
      <protection locked="0"/>
    </xf>
    <xf numFmtId="43" fontId="36" fillId="0" borderId="10" xfId="1" applyFont="1" applyFill="1" applyBorder="1" applyAlignment="1">
      <alignment horizontal="center" vertical="center"/>
    </xf>
    <xf numFmtId="200" fontId="8" fillId="0" borderId="0" xfId="55" applyNumberFormat="1" applyFont="1">
      <protection locked="0"/>
    </xf>
    <xf numFmtId="200" fontId="8" fillId="0" borderId="0" xfId="54" applyNumberFormat="1" applyFont="1" applyBorder="1" applyAlignment="1">
      <alignment vertical="center"/>
    </xf>
    <xf numFmtId="200" fontId="8" fillId="0" borderId="0" xfId="54" applyNumberFormat="1" applyFont="1" applyBorder="1" applyAlignment="1">
      <alignment horizontal="left" vertical="center"/>
    </xf>
    <xf numFmtId="200" fontId="8" fillId="0" borderId="0" xfId="1" applyNumberFormat="1" applyFont="1" applyBorder="1" applyAlignment="1">
      <alignment vertical="center"/>
    </xf>
    <xf numFmtId="200" fontId="8" fillId="0" borderId="0" xfId="1" applyNumberFormat="1" applyFont="1" applyBorder="1" applyAlignment="1">
      <alignment horizontal="left" vertical="center"/>
    </xf>
    <xf numFmtId="200" fontId="35" fillId="5" borderId="10" xfId="55" applyNumberFormat="1" applyFont="1" applyFill="1" applyBorder="1" applyAlignment="1" applyProtection="1">
      <alignment horizontal="center" vertical="center"/>
    </xf>
    <xf numFmtId="200" fontId="35" fillId="5" borderId="10" xfId="55" applyNumberFormat="1" applyFont="1" applyFill="1" applyBorder="1" applyAlignment="1" applyProtection="1">
      <alignment horizontal="center" vertical="center" wrapText="1"/>
    </xf>
    <xf numFmtId="200" fontId="6" fillId="5" borderId="10" xfId="47" applyNumberFormat="1" applyFont="1" applyFill="1" applyBorder="1" applyAlignment="1" applyProtection="1">
      <alignment horizontal="center" vertical="center" wrapText="1"/>
      <protection locked="0"/>
    </xf>
    <xf numFmtId="200" fontId="61" fillId="5" borderId="10" xfId="47" applyNumberFormat="1" applyFont="1" applyFill="1" applyBorder="1" applyAlignment="1" applyProtection="1">
      <alignment horizontal="center" vertical="center" wrapText="1"/>
      <protection locked="0"/>
    </xf>
    <xf numFmtId="200" fontId="8" fillId="0" borderId="0" xfId="55" applyNumberFormat="1" applyFont="1" applyAlignment="1">
      <alignment horizontal="center"/>
      <protection locked="0"/>
    </xf>
    <xf numFmtId="200" fontId="36" fillId="0" borderId="10" xfId="55" applyNumberFormat="1" applyFont="1" applyBorder="1" applyAlignment="1" applyProtection="1">
      <alignment vertical="center"/>
    </xf>
    <xf numFmtId="200" fontId="36" fillId="0" borderId="10" xfId="1" applyNumberFormat="1" applyFont="1" applyBorder="1" applyAlignment="1" applyProtection="1">
      <alignment vertical="center"/>
    </xf>
    <xf numFmtId="200" fontId="6" fillId="0" borderId="11" xfId="54" applyNumberFormat="1" applyFont="1" applyBorder="1" applyAlignment="1">
      <alignment horizontal="left" vertical="center"/>
    </xf>
    <xf numFmtId="200" fontId="8" fillId="0" borderId="0" xfId="57" applyNumberFormat="1" applyFont="1" applyAlignment="1">
      <alignment horizontal="left" vertical="center"/>
    </xf>
    <xf numFmtId="200" fontId="8" fillId="0" borderId="11" xfId="54" applyNumberFormat="1" applyFont="1" applyBorder="1" applyAlignment="1">
      <alignment horizontal="left" vertical="center"/>
    </xf>
    <xf numFmtId="200" fontId="62" fillId="0" borderId="11" xfId="1" applyNumberFormat="1" applyFont="1" applyBorder="1" applyAlignment="1" applyProtection="1">
      <alignment horizontal="center" vertical="center"/>
    </xf>
    <xf numFmtId="200" fontId="8" fillId="0" borderId="11" xfId="1" applyNumberFormat="1" applyFont="1" applyBorder="1" applyAlignment="1">
      <alignment horizontal="left" vertical="center"/>
    </xf>
    <xf numFmtId="200" fontId="6" fillId="0" borderId="0" xfId="1" applyNumberFormat="1" applyFont="1" applyAlignment="1">
      <alignment vertical="center"/>
    </xf>
    <xf numFmtId="200" fontId="8" fillId="0" borderId="0" xfId="57" applyNumberFormat="1" applyFont="1" applyAlignment="1">
      <alignment vertical="center"/>
    </xf>
    <xf numFmtId="200" fontId="15" fillId="0" borderId="0" xfId="2" applyNumberFormat="1" applyFont="1" applyBorder="1" applyAlignment="1">
      <alignment horizontal="left" vertical="center"/>
    </xf>
    <xf numFmtId="200" fontId="15" fillId="0" borderId="0" xfId="1" applyNumberFormat="1" applyFont="1" applyBorder="1" applyAlignment="1">
      <alignment horizontal="left" vertical="center"/>
    </xf>
    <xf numFmtId="200" fontId="8" fillId="0" borderId="0" xfId="1" applyNumberFormat="1" applyFont="1" applyProtection="1">
      <protection locked="0"/>
    </xf>
    <xf numFmtId="43" fontId="8" fillId="0" borderId="10" xfId="1" applyFont="1" applyBorder="1" applyAlignment="1" applyProtection="1">
      <alignment horizontal="left" vertical="center" shrinkToFit="1"/>
      <protection locked="0"/>
    </xf>
    <xf numFmtId="43" fontId="8" fillId="0" borderId="10" xfId="1" applyFont="1" applyBorder="1" applyAlignment="1" applyProtection="1">
      <alignment vertical="center"/>
    </xf>
    <xf numFmtId="10" fontId="8" fillId="0" borderId="10" xfId="2" applyNumberFormat="1" applyFont="1" applyBorder="1" applyAlignment="1" applyProtection="1">
      <alignment vertical="center"/>
    </xf>
    <xf numFmtId="43" fontId="8" fillId="0" borderId="10" xfId="1" applyFont="1" applyFill="1" applyBorder="1" applyAlignment="1">
      <alignment horizontal="center" vertical="center"/>
    </xf>
    <xf numFmtId="191" fontId="8" fillId="0" borderId="10" xfId="35" applyFont="1" applyBorder="1" applyAlignment="1">
      <alignment horizontal="left" vertical="center"/>
      <protection locked="0"/>
    </xf>
    <xf numFmtId="14" fontId="8" fillId="0" borderId="10" xfId="0" applyNumberFormat="1" applyFont="1" applyBorder="1" applyAlignment="1">
      <alignment vertical="center" wrapText="1"/>
      <protection locked="0"/>
    </xf>
    <xf numFmtId="43" fontId="8" fillId="0" borderId="10" xfId="1" applyFont="1" applyBorder="1" applyAlignment="1" applyProtection="1">
      <alignment horizontal="left" vertical="center"/>
      <protection locked="0"/>
    </xf>
    <xf numFmtId="49" fontId="8" fillId="0" borderId="10" xfId="1" applyNumberFormat="1" applyFont="1" applyFill="1" applyBorder="1" applyAlignment="1">
      <alignment horizontal="right" vertical="center" wrapText="1"/>
    </xf>
    <xf numFmtId="14" fontId="8" fillId="0" borderId="10" xfId="1" applyNumberFormat="1" applyFont="1" applyFill="1" applyBorder="1" applyAlignment="1">
      <alignment horizontal="right" vertical="center" wrapText="1"/>
    </xf>
    <xf numFmtId="43" fontId="8" fillId="0" borderId="10" xfId="1" applyFont="1" applyFill="1" applyBorder="1" applyAlignment="1">
      <alignment horizontal="left" vertical="center" wrapText="1"/>
    </xf>
    <xf numFmtId="43" fontId="6" fillId="5" borderId="13" xfId="1" applyFont="1" applyFill="1" applyBorder="1" applyAlignment="1">
      <alignment horizontal="right" vertical="center" wrapText="1"/>
    </xf>
    <xf numFmtId="14" fontId="8" fillId="0" borderId="10" xfId="35" applyNumberFormat="1" applyFont="1" applyBorder="1" applyAlignment="1">
      <alignment vertical="center"/>
      <protection locked="0"/>
    </xf>
    <xf numFmtId="49" fontId="8" fillId="0" borderId="10" xfId="35" applyNumberFormat="1" applyFont="1" applyBorder="1" applyAlignment="1">
      <alignment vertical="center"/>
      <protection locked="0"/>
    </xf>
    <xf numFmtId="43" fontId="8" fillId="0" borderId="0" xfId="1" applyFont="1" applyAlignment="1" applyProtection="1">
      <alignment vertical="center"/>
    </xf>
    <xf numFmtId="10" fontId="8" fillId="0" borderId="0" xfId="2" applyNumberFormat="1" applyFont="1" applyAlignment="1" applyProtection="1">
      <alignment vertical="center"/>
    </xf>
    <xf numFmtId="49" fontId="8" fillId="0" borderId="10" xfId="35" applyNumberFormat="1" applyFont="1" applyBorder="1" applyAlignment="1">
      <alignment vertical="center" shrinkToFit="1"/>
      <protection locked="0"/>
    </xf>
    <xf numFmtId="43" fontId="8" fillId="0" borderId="10" xfId="1" applyFont="1" applyBorder="1" applyAlignment="1">
      <alignment horizontal="center" vertical="center"/>
    </xf>
    <xf numFmtId="43" fontId="8" fillId="5" borderId="10" xfId="1" applyFont="1" applyFill="1" applyBorder="1" applyAlignment="1">
      <alignment horizontal="center" vertical="center"/>
    </xf>
    <xf numFmtId="43" fontId="8" fillId="8" borderId="10" xfId="1" applyFont="1" applyFill="1" applyBorder="1" applyAlignment="1">
      <alignment horizontal="center" vertical="center"/>
    </xf>
    <xf numFmtId="43" fontId="8" fillId="0" borderId="10" xfId="0" applyNumberFormat="1" applyFont="1" applyBorder="1" applyAlignment="1">
      <alignment horizontal="left" vertical="center" wrapText="1"/>
      <protection locked="0"/>
    </xf>
    <xf numFmtId="49" fontId="8" fillId="0" borderId="10" xfId="0" applyNumberFormat="1" applyFont="1" applyBorder="1" applyAlignment="1">
      <alignment horizontal="justify" vertical="center" wrapText="1"/>
      <protection locked="0"/>
    </xf>
    <xf numFmtId="43" fontId="6" fillId="0" borderId="10" xfId="1" applyFont="1" applyBorder="1" applyAlignment="1" applyProtection="1">
      <alignment horizontal="center" vertical="center" wrapText="1"/>
      <protection locked="0"/>
    </xf>
    <xf numFmtId="43" fontId="6" fillId="0" borderId="0" xfId="1" applyFont="1" applyAlignment="1" applyProtection="1">
      <alignment vertical="center"/>
      <protection locked="0"/>
    </xf>
    <xf numFmtId="201" fontId="8" fillId="5" borderId="10" xfId="1" applyNumberFormat="1" applyFont="1" applyFill="1" applyBorder="1" applyAlignment="1">
      <alignment vertical="center"/>
    </xf>
    <xf numFmtId="49" fontId="8" fillId="0" borderId="10" xfId="47" applyNumberFormat="1" applyFont="1" applyBorder="1" applyAlignment="1" applyProtection="1">
      <alignment horizontal="left" vertical="center"/>
      <protection locked="0"/>
    </xf>
    <xf numFmtId="14" fontId="8" fillId="0" borderId="10" xfId="47" applyNumberFormat="1" applyFont="1" applyBorder="1" applyAlignment="1" applyProtection="1">
      <alignment horizontal="center" vertical="center"/>
      <protection locked="0"/>
    </xf>
    <xf numFmtId="14" fontId="8" fillId="0" borderId="10" xfId="47" applyNumberFormat="1" applyFont="1" applyBorder="1" applyAlignment="1" applyProtection="1">
      <alignment horizontal="left" vertical="center" shrinkToFit="1"/>
      <protection locked="0"/>
    </xf>
    <xf numFmtId="43" fontId="8" fillId="0" borderId="10" xfId="1" applyFont="1" applyBorder="1" applyAlignment="1" applyProtection="1">
      <alignment horizontal="center" vertical="center" shrinkToFit="1"/>
      <protection locked="0"/>
    </xf>
    <xf numFmtId="43" fontId="8" fillId="0" borderId="10" xfId="1" applyFont="1" applyBorder="1" applyAlignment="1" applyProtection="1">
      <alignment horizontal="center" vertical="center"/>
      <protection locked="0"/>
    </xf>
    <xf numFmtId="43" fontId="6" fillId="0" borderId="10" xfId="47" applyNumberFormat="1" applyFont="1" applyBorder="1" applyAlignment="1" applyProtection="1">
      <alignment horizontal="center" vertical="center" shrinkToFit="1"/>
      <protection locked="0"/>
    </xf>
    <xf numFmtId="43" fontId="8" fillId="0" borderId="10" xfId="1" applyFont="1" applyBorder="1" applyAlignment="1" applyProtection="1">
      <alignment horizontal="right" vertical="center" shrinkToFit="1"/>
      <protection locked="0"/>
    </xf>
    <xf numFmtId="43" fontId="8" fillId="0" borderId="10" xfId="47" applyNumberFormat="1" applyFont="1" applyBorder="1" applyAlignment="1" applyProtection="1">
      <alignment horizontal="right" vertical="center" shrinkToFit="1"/>
      <protection locked="0"/>
    </xf>
    <xf numFmtId="43" fontId="8" fillId="0" borderId="10" xfId="47" applyNumberFormat="1" applyFont="1" applyBorder="1" applyAlignment="1" applyProtection="1">
      <alignment horizontal="left" vertical="center" shrinkToFit="1"/>
      <protection locked="0"/>
    </xf>
    <xf numFmtId="49" fontId="8" fillId="0" borderId="10" xfId="1" applyNumberFormat="1" applyFont="1" applyBorder="1" applyAlignment="1" applyProtection="1">
      <alignment horizontal="center" vertical="center" shrinkToFit="1"/>
      <protection locked="0"/>
    </xf>
    <xf numFmtId="14" fontId="8" fillId="0" borderId="10" xfId="1" applyNumberFormat="1" applyFont="1" applyBorder="1" applyAlignment="1" applyProtection="1">
      <alignment horizontal="center" vertical="center" shrinkToFit="1"/>
      <protection locked="0"/>
    </xf>
    <xf numFmtId="14" fontId="8" fillId="0" borderId="10" xfId="1" applyNumberFormat="1" applyFont="1" applyBorder="1" applyAlignment="1" applyProtection="1">
      <alignment horizontal="center" vertical="center"/>
      <protection locked="0"/>
    </xf>
    <xf numFmtId="43" fontId="6" fillId="5" borderId="10" xfId="1" applyFont="1" applyFill="1" applyBorder="1" applyAlignment="1">
      <alignment horizontal="right" vertical="center"/>
    </xf>
    <xf numFmtId="191" fontId="8" fillId="0" borderId="10" xfId="47" applyNumberFormat="1" applyFont="1" applyBorder="1" applyAlignment="1" applyProtection="1">
      <alignment horizontal="left" vertical="center" shrinkToFit="1"/>
      <protection locked="0"/>
    </xf>
    <xf numFmtId="10" fontId="8" fillId="0" borderId="10" xfId="2" applyNumberFormat="1" applyFont="1" applyBorder="1" applyAlignment="1">
      <alignment horizontal="right" vertical="center" wrapText="1"/>
    </xf>
    <xf numFmtId="14" fontId="8" fillId="0" borderId="10" xfId="47" applyNumberFormat="1" applyFont="1" applyBorder="1" applyAlignment="1">
      <alignment horizontal="left" vertical="center" wrapText="1"/>
    </xf>
    <xf numFmtId="191" fontId="8" fillId="0" borderId="10" xfId="47" applyNumberFormat="1" applyFont="1" applyBorder="1" applyAlignment="1">
      <alignment horizontal="center" vertical="center" wrapText="1"/>
    </xf>
    <xf numFmtId="49" fontId="8" fillId="0" borderId="10" xfId="47" applyNumberFormat="1" applyFont="1" applyBorder="1" applyAlignment="1">
      <alignment horizontal="left" vertical="center" wrapText="1"/>
    </xf>
    <xf numFmtId="43" fontId="8" fillId="0" borderId="10" xfId="1" applyFont="1" applyBorder="1" applyAlignment="1">
      <alignment horizontal="left" vertical="center" wrapText="1"/>
    </xf>
    <xf numFmtId="49" fontId="8" fillId="0" borderId="10" xfId="47" applyNumberFormat="1" applyFont="1" applyBorder="1" applyAlignment="1" applyProtection="1">
      <alignment horizontal="center" vertical="center"/>
      <protection locked="0"/>
    </xf>
    <xf numFmtId="49" fontId="8" fillId="0" borderId="10" xfId="47" applyNumberFormat="1" applyFont="1" applyBorder="1" applyAlignment="1" applyProtection="1">
      <alignment vertical="center"/>
      <protection locked="0"/>
    </xf>
    <xf numFmtId="14" fontId="8" fillId="0" borderId="10" xfId="47" applyNumberFormat="1" applyFont="1" applyBorder="1" applyAlignment="1" applyProtection="1">
      <alignment vertical="center"/>
      <protection locked="0"/>
    </xf>
    <xf numFmtId="43" fontId="8" fillId="0" borderId="10" xfId="47" applyNumberFormat="1" applyFont="1" applyBorder="1" applyAlignment="1" applyProtection="1">
      <alignment horizontal="center" vertical="center" shrinkToFit="1"/>
      <protection locked="0"/>
    </xf>
    <xf numFmtId="201" fontId="8" fillId="0" borderId="10" xfId="1" applyNumberFormat="1" applyFont="1" applyBorder="1" applyAlignment="1" applyProtection="1">
      <alignment vertical="center"/>
      <protection locked="0"/>
    </xf>
    <xf numFmtId="191" fontId="19" fillId="0" borderId="7" xfId="46" applyFont="1" applyBorder="1" applyAlignment="1">
      <alignment vertical="center"/>
      <protection locked="0"/>
    </xf>
    <xf numFmtId="191" fontId="17" fillId="0" borderId="7" xfId="46" applyFont="1" applyBorder="1" applyAlignment="1">
      <alignment vertical="center"/>
      <protection locked="0"/>
    </xf>
    <xf numFmtId="191" fontId="19" fillId="0" borderId="0" xfId="46" applyFont="1" applyAlignment="1">
      <alignment vertical="center"/>
      <protection locked="0"/>
    </xf>
    <xf numFmtId="191" fontId="42" fillId="0" borderId="0" xfId="46" applyAlignment="1">
      <alignment horizontal="left" vertical="center"/>
      <protection locked="0"/>
    </xf>
    <xf numFmtId="200" fontId="19" fillId="0" borderId="0" xfId="1" applyNumberFormat="1" applyFont="1" applyBorder="1" applyAlignment="1" applyProtection="1">
      <alignment horizontal="left" vertical="center"/>
    </xf>
    <xf numFmtId="43" fontId="19" fillId="0" borderId="0" xfId="46" applyNumberFormat="1" applyFont="1" applyBorder="1" applyAlignment="1" applyProtection="1">
      <alignment horizontal="left" vertical="center"/>
    </xf>
    <xf numFmtId="191" fontId="4" fillId="0" borderId="0" xfId="35" applyFont="1" applyAlignment="1">
      <alignment vertical="center"/>
      <protection locked="0"/>
    </xf>
    <xf numFmtId="191" fontId="4" fillId="0" borderId="15" xfId="35" applyFont="1" applyBorder="1" applyAlignment="1">
      <alignment horizontal="left" vertical="center"/>
      <protection locked="0"/>
    </xf>
    <xf numFmtId="191" fontId="107" fillId="0" borderId="0" xfId="42" applyFont="1">
      <alignment vertical="center"/>
    </xf>
    <xf numFmtId="191" fontId="102" fillId="0" borderId="0" xfId="42" applyFont="1">
      <alignment vertical="center"/>
    </xf>
    <xf numFmtId="49" fontId="12" fillId="0" borderId="0" xfId="42" applyNumberFormat="1" applyFont="1" applyAlignment="1">
      <alignment vertical="center" wrapText="1"/>
    </xf>
    <xf numFmtId="191" fontId="54" fillId="0" borderId="0" xfId="0" applyFont="1" applyAlignment="1" applyProtection="1">
      <alignment vertical="center"/>
    </xf>
    <xf numFmtId="191" fontId="105" fillId="0" borderId="0" xfId="0" applyFont="1" applyAlignment="1" applyProtection="1">
      <alignment vertical="center"/>
    </xf>
    <xf numFmtId="191" fontId="102" fillId="0" borderId="0" xfId="0" applyFont="1" applyAlignment="1">
      <alignment vertical="center"/>
      <protection locked="0"/>
    </xf>
    <xf numFmtId="191" fontId="11" fillId="0" borderId="0" xfId="42" applyFont="1" applyAlignment="1">
      <alignment vertical="center" wrapText="1"/>
    </xf>
    <xf numFmtId="191" fontId="12" fillId="0" borderId="0" xfId="42" applyFont="1" applyAlignment="1">
      <alignment vertical="center" wrapText="1"/>
    </xf>
    <xf numFmtId="191" fontId="102" fillId="0" borderId="0" xfId="42" applyFont="1" applyAlignment="1">
      <alignment vertical="center" wrapText="1"/>
    </xf>
    <xf numFmtId="191" fontId="107" fillId="0" borderId="0" xfId="42" applyFont="1" applyAlignment="1">
      <alignment vertical="center" wrapText="1"/>
    </xf>
    <xf numFmtId="191" fontId="12" fillId="0" borderId="0" xfId="0" applyFont="1">
      <protection locked="0"/>
    </xf>
    <xf numFmtId="191" fontId="107" fillId="0" borderId="0" xfId="0" applyFont="1">
      <protection locked="0"/>
    </xf>
    <xf numFmtId="191" fontId="12" fillId="0" borderId="0" xfId="0" applyFont="1" applyAlignment="1" applyProtection="1">
      <alignment vertical="center"/>
    </xf>
    <xf numFmtId="191" fontId="107" fillId="0" borderId="0" xfId="0" applyFont="1" applyAlignment="1" applyProtection="1">
      <alignment vertical="center"/>
    </xf>
    <xf numFmtId="191" fontId="11" fillId="0" borderId="0" xfId="0" applyNumberFormat="1" applyFont="1" applyAlignment="1">
      <alignment vertical="center"/>
      <protection locked="0"/>
    </xf>
    <xf numFmtId="191" fontId="102" fillId="0" borderId="0" xfId="0" applyNumberFormat="1" applyFont="1" applyAlignment="1">
      <alignment vertical="center"/>
      <protection locked="0"/>
    </xf>
    <xf numFmtId="0" fontId="6" fillId="12" borderId="7" xfId="59" applyFont="1" applyFill="1" applyBorder="1" applyAlignment="1">
      <alignment horizontal="center" vertical="center"/>
      <protection locked="0"/>
    </xf>
    <xf numFmtId="191" fontId="13" fillId="0" borderId="0" xfId="0" applyFont="1" applyAlignment="1">
      <alignment horizontal="right" vertical="center"/>
      <protection locked="0"/>
    </xf>
    <xf numFmtId="0" fontId="52" fillId="0" borderId="0" xfId="0" applyNumberFormat="1" applyFont="1" applyAlignment="1">
      <alignment horizontal="right" vertical="center"/>
      <protection locked="0"/>
    </xf>
    <xf numFmtId="0" fontId="52" fillId="0" borderId="0" xfId="0" applyNumberFormat="1" applyFont="1" applyAlignment="1">
      <alignment horizontal="left" vertical="center"/>
      <protection locked="0"/>
    </xf>
    <xf numFmtId="14" fontId="6" fillId="8" borderId="10" xfId="0" applyNumberFormat="1" applyFont="1" applyFill="1" applyBorder="1" applyAlignment="1">
      <alignment horizontal="center" vertical="center"/>
      <protection locked="0"/>
    </xf>
    <xf numFmtId="191" fontId="6" fillId="8" borderId="10" xfId="0" applyNumberFormat="1" applyFont="1" applyFill="1" applyBorder="1" applyAlignment="1">
      <alignment horizontal="center" vertical="center"/>
      <protection locked="0"/>
    </xf>
    <xf numFmtId="9" fontId="6" fillId="8" borderId="10" xfId="2" applyFont="1" applyFill="1" applyBorder="1" applyAlignment="1" applyProtection="1">
      <alignment horizontal="center" vertical="center"/>
      <protection locked="0"/>
    </xf>
    <xf numFmtId="191" fontId="6" fillId="8" borderId="10" xfId="0" applyFont="1" applyFill="1" applyBorder="1" applyAlignment="1">
      <alignment vertical="center"/>
      <protection locked="0"/>
    </xf>
    <xf numFmtId="14" fontId="6" fillId="8" borderId="10" xfId="1" applyNumberFormat="1" applyFont="1" applyFill="1" applyBorder="1" applyAlignment="1">
      <alignment horizontal="center" vertical="center"/>
    </xf>
    <xf numFmtId="43" fontId="8" fillId="0" borderId="10" xfId="1" applyFont="1" applyBorder="1" applyAlignment="1" applyProtection="1">
      <alignment horizontal="justify" vertical="center" wrapText="1"/>
      <protection locked="0"/>
    </xf>
    <xf numFmtId="43" fontId="6" fillId="0" borderId="10" xfId="1" applyFont="1" applyBorder="1" applyAlignment="1" applyProtection="1">
      <alignment horizontal="justify" vertical="center" wrapText="1"/>
      <protection locked="0"/>
    </xf>
    <xf numFmtId="191" fontId="6" fillId="0" borderId="10" xfId="0" applyFont="1" applyBorder="1" applyAlignment="1">
      <alignment horizontal="justify" vertical="center" wrapText="1"/>
      <protection locked="0"/>
    </xf>
    <xf numFmtId="191" fontId="6" fillId="0" borderId="2" xfId="0" applyFont="1" applyBorder="1" applyAlignment="1">
      <alignment horizontal="justify" vertical="center" wrapText="1"/>
      <protection locked="0"/>
    </xf>
    <xf numFmtId="43" fontId="6" fillId="5" borderId="14" xfId="1" applyFont="1" applyFill="1" applyBorder="1" applyAlignment="1">
      <alignment vertical="center"/>
    </xf>
    <xf numFmtId="191" fontId="6" fillId="0" borderId="1" xfId="0" applyFont="1" applyBorder="1" applyAlignment="1">
      <alignment horizontal="justify" vertical="center" wrapText="1"/>
      <protection locked="0"/>
    </xf>
    <xf numFmtId="191" fontId="6" fillId="0" borderId="13" xfId="0" applyFont="1" applyBorder="1" applyAlignment="1">
      <alignment horizontal="justify" vertical="center" wrapText="1"/>
      <protection locked="0"/>
    </xf>
    <xf numFmtId="191" fontId="6" fillId="0" borderId="14" xfId="0" applyFont="1" applyBorder="1" applyAlignment="1">
      <alignment horizontal="justify" vertical="center" wrapText="1"/>
      <protection locked="0"/>
    </xf>
    <xf numFmtId="49" fontId="89" fillId="0" borderId="0" xfId="0" applyNumberFormat="1" applyFont="1" applyAlignment="1">
      <alignment horizontal="left" vertical="center"/>
      <protection locked="0"/>
    </xf>
    <xf numFmtId="191" fontId="108" fillId="0" borderId="7" xfId="46" applyFont="1" applyBorder="1" applyAlignment="1">
      <alignment vertical="center"/>
      <protection locked="0"/>
    </xf>
    <xf numFmtId="191" fontId="83" fillId="0" borderId="0" xfId="47" applyFont="1" applyAlignment="1" applyProtection="1">
      <alignment horizontal="left" vertical="center"/>
      <protection locked="0"/>
    </xf>
    <xf numFmtId="191" fontId="6" fillId="0" borderId="0" xfId="0" applyFont="1" applyBorder="1" applyAlignment="1">
      <alignment vertical="center"/>
      <protection locked="0"/>
    </xf>
    <xf numFmtId="191" fontId="8" fillId="0" borderId="0" xfId="0" applyFont="1" applyBorder="1" applyAlignment="1" applyProtection="1">
      <alignment vertical="center"/>
    </xf>
    <xf numFmtId="191" fontId="88" fillId="0" borderId="3" xfId="0" applyFont="1" applyBorder="1" applyAlignment="1">
      <alignment horizontal="justify" vertical="center" wrapText="1"/>
      <protection locked="0"/>
    </xf>
    <xf numFmtId="43" fontId="8" fillId="0" borderId="3" xfId="0" applyNumberFormat="1" applyFont="1" applyBorder="1" applyAlignment="1">
      <alignment horizontal="right" vertical="center" wrapText="1"/>
      <protection locked="0"/>
    </xf>
    <xf numFmtId="43" fontId="8" fillId="0" borderId="3" xfId="0" applyNumberFormat="1" applyFont="1" applyBorder="1" applyAlignment="1">
      <alignment horizontal="left" vertical="center" wrapText="1"/>
      <protection locked="0"/>
    </xf>
    <xf numFmtId="191" fontId="8" fillId="5" borderId="10" xfId="0" applyFont="1" applyFill="1" applyBorder="1" applyAlignment="1">
      <alignment vertical="center"/>
      <protection locked="0"/>
    </xf>
    <xf numFmtId="191" fontId="8" fillId="5" borderId="10" xfId="0" applyFont="1" applyFill="1" applyBorder="1" applyAlignment="1" applyProtection="1">
      <alignment horizontal="right" vertical="center"/>
    </xf>
    <xf numFmtId="191" fontId="8" fillId="5" borderId="10" xfId="0" applyFont="1" applyFill="1" applyBorder="1" applyAlignment="1" applyProtection="1">
      <alignment vertical="center"/>
    </xf>
    <xf numFmtId="191" fontId="88" fillId="5" borderId="10" xfId="0" applyFont="1" applyFill="1" applyBorder="1" applyAlignment="1" applyProtection="1">
      <alignment horizontal="center" vertical="center" wrapText="1"/>
    </xf>
    <xf numFmtId="191" fontId="88" fillId="0" borderId="0" xfId="0" applyFont="1" applyFill="1" applyBorder="1" applyAlignment="1">
      <alignment horizontal="left" vertical="center"/>
      <protection locked="0"/>
    </xf>
    <xf numFmtId="200" fontId="17" fillId="0" borderId="0" xfId="60" applyNumberFormat="1" applyFont="1" applyAlignment="1">
      <alignment horizontal="left" vertical="center"/>
      <protection locked="0"/>
    </xf>
    <xf numFmtId="191" fontId="18" fillId="0" borderId="0" xfId="0" applyFont="1">
      <protection locked="0"/>
    </xf>
    <xf numFmtId="191" fontId="18" fillId="0" borderId="0" xfId="0" applyFont="1" applyAlignment="1">
      <alignment horizontal="left" vertical="center"/>
      <protection locked="0"/>
    </xf>
    <xf numFmtId="191" fontId="83" fillId="0" borderId="0" xfId="47" applyFont="1" applyAlignment="1" applyProtection="1">
      <alignment vertical="center"/>
      <protection locked="0"/>
    </xf>
    <xf numFmtId="191" fontId="13" fillId="0" borderId="0" xfId="43" applyFont="1" applyAlignment="1">
      <alignment vertical="center" wrapText="1"/>
    </xf>
    <xf numFmtId="191" fontId="35" fillId="5" borderId="10" xfId="0" applyFont="1" applyFill="1" applyBorder="1" applyAlignment="1" applyProtection="1">
      <alignment horizontal="center" vertical="center"/>
    </xf>
    <xf numFmtId="191" fontId="35" fillId="5" borderId="10" xfId="47" applyFont="1" applyFill="1" applyBorder="1" applyAlignment="1" applyProtection="1">
      <alignment horizontal="center" vertical="center"/>
      <protection locked="0"/>
    </xf>
    <xf numFmtId="191" fontId="50" fillId="0" borderId="10" xfId="55" applyFont="1" applyFill="1" applyBorder="1" applyAlignment="1" applyProtection="1">
      <alignment horizontal="center" vertical="center" wrapText="1"/>
    </xf>
    <xf numFmtId="191" fontId="13" fillId="0" borderId="0" xfId="43" applyFont="1">
      <alignment vertical="center"/>
    </xf>
    <xf numFmtId="49" fontId="8" fillId="0" borderId="10" xfId="52" applyNumberFormat="1" applyFont="1" applyFill="1" applyBorder="1" applyAlignment="1">
      <alignment horizontal="center" vertical="center"/>
      <protection locked="0"/>
    </xf>
    <xf numFmtId="49" fontId="8" fillId="0" borderId="13" xfId="52" applyNumberFormat="1" applyFont="1" applyFill="1" applyBorder="1" applyAlignment="1">
      <alignment horizontal="left" vertical="center" wrapText="1"/>
      <protection locked="0"/>
    </xf>
    <xf numFmtId="191" fontId="82" fillId="0" borderId="10" xfId="52" applyFont="1" applyFill="1" applyBorder="1" applyAlignment="1" applyProtection="1">
      <alignment horizontal="center" vertical="center" wrapText="1"/>
    </xf>
    <xf numFmtId="191" fontId="82" fillId="0" borderId="10" xfId="55" applyFont="1" applyFill="1" applyBorder="1" applyAlignment="1" applyProtection="1">
      <alignment horizontal="center" vertical="center" wrapText="1"/>
    </xf>
    <xf numFmtId="191" fontId="43" fillId="0" borderId="10" xfId="55" applyFont="1" applyFill="1" applyBorder="1" applyAlignment="1" applyProtection="1">
      <alignment horizontal="center" vertical="center" wrapText="1"/>
    </xf>
    <xf numFmtId="191" fontId="8" fillId="0" borderId="14" xfId="52" applyFont="1" applyFill="1" applyBorder="1" applyAlignment="1">
      <alignment horizontal="center" vertical="center"/>
      <protection locked="0"/>
    </xf>
    <xf numFmtId="191" fontId="82" fillId="0" borderId="10" xfId="50" applyFont="1" applyFill="1" applyBorder="1" applyAlignment="1" applyProtection="1">
      <alignment horizontal="center" vertical="center" wrapText="1"/>
    </xf>
    <xf numFmtId="191" fontId="8" fillId="0" borderId="10" xfId="55" applyFont="1" applyFill="1" applyBorder="1" applyAlignment="1" applyProtection="1">
      <alignment horizontal="center" vertical="center"/>
      <protection locked="0"/>
    </xf>
    <xf numFmtId="49" fontId="8" fillId="0" borderId="13" xfId="52" applyNumberFormat="1" applyFont="1" applyFill="1" applyBorder="1" applyAlignment="1" applyProtection="1">
      <alignment horizontal="left" vertical="center" wrapText="1"/>
      <protection locked="0"/>
    </xf>
    <xf numFmtId="191" fontId="8" fillId="0" borderId="10" xfId="58" applyFont="1" applyFill="1" applyBorder="1" applyAlignment="1" applyProtection="1">
      <alignment horizontal="center" vertical="center"/>
      <protection locked="0"/>
    </xf>
    <xf numFmtId="191" fontId="8" fillId="0" borderId="10" xfId="58" applyFont="1" applyFill="1" applyBorder="1" applyAlignment="1" applyProtection="1">
      <alignment horizontal="center" vertical="center" wrapText="1"/>
      <protection locked="0"/>
    </xf>
    <xf numFmtId="191" fontId="6" fillId="0" borderId="10" xfId="50" applyFont="1" applyFill="1" applyBorder="1" applyAlignment="1" applyProtection="1">
      <alignment horizontal="center" vertical="center" wrapText="1"/>
      <protection locked="0"/>
    </xf>
    <xf numFmtId="191" fontId="8" fillId="0" borderId="10" xfId="50" applyFont="1" applyFill="1" applyBorder="1" applyAlignment="1" applyProtection="1">
      <alignment horizontal="center" vertical="center" wrapText="1"/>
      <protection locked="0"/>
    </xf>
    <xf numFmtId="191" fontId="8" fillId="0" borderId="13" xfId="50" applyFont="1" applyFill="1" applyBorder="1" applyAlignment="1" applyProtection="1">
      <alignment horizontal="left" vertical="center" wrapText="1"/>
      <protection locked="0"/>
    </xf>
    <xf numFmtId="191" fontId="13" fillId="0" borderId="13" xfId="50" applyFont="1" applyFill="1" applyBorder="1" applyAlignment="1" applyProtection="1">
      <alignment horizontal="left" vertical="center" wrapText="1"/>
      <protection locked="0"/>
    </xf>
    <xf numFmtId="191" fontId="82" fillId="0" borderId="16" xfId="50" applyFont="1" applyFill="1" applyBorder="1" applyAlignment="1" applyProtection="1">
      <alignment horizontal="center" vertical="center" wrapText="1"/>
    </xf>
    <xf numFmtId="191" fontId="8" fillId="0" borderId="15" xfId="50" applyFont="1" applyFill="1" applyBorder="1" applyAlignment="1" applyProtection="1">
      <alignment horizontal="center" vertical="center" wrapText="1"/>
      <protection locked="0"/>
    </xf>
    <xf numFmtId="191" fontId="8" fillId="0" borderId="14" xfId="50" applyFont="1" applyFill="1" applyBorder="1" applyAlignment="1" applyProtection="1">
      <alignment horizontal="center" vertical="center" wrapText="1"/>
      <protection locked="0"/>
    </xf>
    <xf numFmtId="43" fontId="13" fillId="0" borderId="13" xfId="1" applyFont="1" applyFill="1" applyBorder="1" applyAlignment="1" applyProtection="1">
      <alignment horizontal="left" vertical="center" wrapText="1"/>
      <protection locked="0"/>
    </xf>
    <xf numFmtId="43" fontId="8" fillId="0" borderId="10" xfId="1" applyFont="1" applyFill="1" applyBorder="1" applyAlignment="1" applyProtection="1">
      <alignment horizontal="center" vertical="center"/>
      <protection locked="0"/>
    </xf>
    <xf numFmtId="43" fontId="8" fillId="0" borderId="10" xfId="1" applyFont="1" applyFill="1" applyBorder="1" applyAlignment="1" applyProtection="1">
      <alignment vertical="center" wrapText="1"/>
      <protection locked="0"/>
    </xf>
    <xf numFmtId="49" fontId="8" fillId="0" borderId="13" xfId="1" applyNumberFormat="1" applyFont="1" applyFill="1" applyBorder="1" applyAlignment="1" applyProtection="1">
      <alignment horizontal="left" vertical="center" wrapText="1"/>
      <protection locked="0"/>
    </xf>
    <xf numFmtId="191" fontId="8" fillId="0" borderId="10" xfId="52" applyFont="1" applyFill="1" applyBorder="1" applyAlignment="1" applyProtection="1">
      <alignment horizontal="center" vertical="center" wrapText="1"/>
      <protection locked="0"/>
    </xf>
    <xf numFmtId="191" fontId="13" fillId="0" borderId="13" xfId="52" applyFont="1" applyFill="1" applyBorder="1" applyAlignment="1" applyProtection="1">
      <alignment horizontal="left" vertical="center" wrapText="1"/>
      <protection locked="0"/>
    </xf>
    <xf numFmtId="43" fontId="8" fillId="0" borderId="14" xfId="1" applyFont="1" applyFill="1" applyBorder="1" applyAlignment="1" applyProtection="1">
      <alignment vertical="center" wrapText="1"/>
      <protection locked="0"/>
    </xf>
    <xf numFmtId="191" fontId="8" fillId="0" borderId="13" xfId="52" applyFont="1" applyFill="1" applyBorder="1" applyAlignment="1" applyProtection="1">
      <alignment horizontal="left" vertical="center" wrapText="1"/>
      <protection locked="0"/>
    </xf>
    <xf numFmtId="191" fontId="6" fillId="0" borderId="10" xfId="58" applyFont="1" applyFill="1" applyBorder="1" applyAlignment="1" applyProtection="1">
      <alignment horizontal="center" vertical="center"/>
      <protection locked="0"/>
    </xf>
    <xf numFmtId="191" fontId="8" fillId="0" borderId="16" xfId="52" applyFont="1" applyFill="1" applyBorder="1" applyAlignment="1" applyProtection="1">
      <alignment horizontal="center" vertical="center" wrapText="1"/>
      <protection locked="0"/>
    </xf>
    <xf numFmtId="191" fontId="13" fillId="0" borderId="13" xfId="52" applyFont="1" applyFill="1" applyBorder="1" applyAlignment="1">
      <alignment horizontal="left" vertical="center" wrapText="1"/>
      <protection locked="0"/>
    </xf>
    <xf numFmtId="191" fontId="82" fillId="0" borderId="10" xfId="53" applyFont="1" applyFill="1" applyBorder="1" applyAlignment="1">
      <alignment vertical="center" wrapText="1"/>
    </xf>
    <xf numFmtId="191" fontId="6" fillId="0" borderId="10" xfId="55" applyFont="1" applyFill="1" applyBorder="1" applyAlignment="1" applyProtection="1">
      <alignment horizontal="center" vertical="center"/>
      <protection locked="0"/>
    </xf>
    <xf numFmtId="191" fontId="8" fillId="0" borderId="10" xfId="0" applyFont="1" applyBorder="1" applyAlignment="1">
      <alignment horizontal="justify" vertical="center"/>
      <protection locked="0"/>
    </xf>
    <xf numFmtId="191" fontId="8" fillId="5" borderId="7" xfId="1" applyNumberFormat="1" applyFont="1" applyFill="1" applyBorder="1" applyAlignment="1">
      <alignment horizontal="center" vertical="center" shrinkToFit="1"/>
    </xf>
    <xf numFmtId="191" fontId="4" fillId="5" borderId="16" xfId="0" applyFont="1" applyFill="1" applyBorder="1" applyAlignment="1">
      <alignment vertical="center"/>
      <protection locked="0"/>
    </xf>
    <xf numFmtId="43" fontId="4" fillId="5" borderId="16" xfId="1" applyFont="1" applyFill="1" applyBorder="1" applyAlignment="1">
      <alignment horizontal="center" vertical="center" wrapText="1"/>
    </xf>
    <xf numFmtId="14" fontId="4" fillId="5" borderId="10" xfId="1" applyNumberFormat="1" applyFont="1" applyFill="1" applyBorder="1" applyAlignment="1">
      <alignment horizontal="center" vertical="center" wrapText="1"/>
    </xf>
    <xf numFmtId="9" fontId="4" fillId="5" borderId="10" xfId="2" applyFont="1" applyFill="1" applyBorder="1" applyAlignment="1">
      <alignment horizontal="center" vertical="center" wrapText="1"/>
    </xf>
    <xf numFmtId="43" fontId="4" fillId="5" borderId="10" xfId="1" applyFont="1" applyFill="1" applyBorder="1" applyAlignment="1">
      <alignment horizontal="center" vertical="center" wrapText="1"/>
    </xf>
    <xf numFmtId="191" fontId="4" fillId="5" borderId="10" xfId="1" applyNumberFormat="1" applyFont="1" applyFill="1" applyBorder="1" applyAlignment="1">
      <alignment horizontal="center" vertical="center" wrapText="1"/>
    </xf>
    <xf numFmtId="49" fontId="4" fillId="5" borderId="10" xfId="1" applyNumberFormat="1" applyFont="1" applyFill="1" applyBorder="1" applyAlignment="1">
      <alignment horizontal="center" vertical="center" wrapText="1"/>
    </xf>
    <xf numFmtId="43" fontId="4" fillId="0" borderId="0" xfId="1" applyFont="1" applyAlignment="1">
      <alignment horizontal="center" vertical="center" wrapText="1"/>
    </xf>
    <xf numFmtId="14" fontId="6" fillId="5" borderId="16" xfId="1" applyNumberFormat="1" applyFont="1" applyFill="1" applyBorder="1" applyAlignment="1">
      <alignment horizontal="center" vertical="center" wrapText="1"/>
    </xf>
    <xf numFmtId="191" fontId="8" fillId="0" borderId="7" xfId="0" applyFont="1" applyBorder="1" applyAlignment="1">
      <alignment horizontal="center" vertical="center"/>
      <protection locked="0"/>
    </xf>
    <xf numFmtId="43" fontId="50" fillId="0" borderId="10" xfId="1" applyFont="1" applyFill="1" applyBorder="1" applyAlignment="1" applyProtection="1">
      <alignment horizontal="center" vertical="center" wrapText="1"/>
    </xf>
    <xf numFmtId="49" fontId="4" fillId="0" borderId="0" xfId="55" applyNumberFormat="1" applyFont="1" applyFill="1" applyAlignment="1" applyProtection="1">
      <alignment horizontal="left" vertical="center"/>
      <protection locked="0"/>
    </xf>
    <xf numFmtId="191" fontId="6" fillId="5" borderId="10" xfId="0" applyFont="1" applyFill="1" applyBorder="1" applyAlignment="1">
      <alignment horizontal="center" vertical="center" wrapText="1"/>
      <protection locked="0"/>
    </xf>
    <xf numFmtId="191" fontId="6" fillId="5" borderId="10" xfId="0" applyFont="1" applyFill="1" applyBorder="1" applyAlignment="1">
      <alignment horizontal="center" vertical="center"/>
      <protection locked="0"/>
    </xf>
    <xf numFmtId="191" fontId="6" fillId="8" borderId="10" xfId="0" applyFont="1" applyFill="1" applyBorder="1" applyAlignment="1">
      <alignment horizontal="center" vertical="center" wrapText="1"/>
      <protection locked="0"/>
    </xf>
    <xf numFmtId="43" fontId="44" fillId="8" borderId="10" xfId="1" applyFont="1" applyFill="1" applyBorder="1" applyAlignment="1">
      <alignment horizontal="right" vertical="center" wrapText="1"/>
    </xf>
    <xf numFmtId="43" fontId="44" fillId="8" borderId="13" xfId="1" applyFont="1" applyFill="1" applyBorder="1" applyAlignment="1">
      <alignment horizontal="right" vertical="center" wrapText="1"/>
    </xf>
    <xf numFmtId="43" fontId="8" fillId="8" borderId="10" xfId="1" applyFont="1" applyFill="1" applyBorder="1" applyAlignment="1">
      <alignment horizontal="right" vertical="center" wrapText="1"/>
    </xf>
    <xf numFmtId="191" fontId="8" fillId="8" borderId="10" xfId="0" applyFont="1" applyFill="1" applyBorder="1" applyAlignment="1">
      <alignment vertical="center" wrapText="1"/>
      <protection locked="0"/>
    </xf>
    <xf numFmtId="191" fontId="8" fillId="8" borderId="10" xfId="0" applyFont="1" applyFill="1" applyBorder="1" applyAlignment="1">
      <alignment vertical="center"/>
      <protection locked="0"/>
    </xf>
    <xf numFmtId="191" fontId="8" fillId="8" borderId="0" xfId="0" applyFont="1" applyFill="1" applyAlignment="1">
      <alignment vertical="center"/>
      <protection locked="0"/>
    </xf>
    <xf numFmtId="43" fontId="6" fillId="8" borderId="10" xfId="1" applyFont="1" applyFill="1" applyBorder="1" applyAlignment="1">
      <alignment horizontal="right" vertical="center" wrapText="1"/>
    </xf>
    <xf numFmtId="10" fontId="44" fillId="8" borderId="10" xfId="2" applyNumberFormat="1" applyFont="1" applyFill="1" applyBorder="1" applyAlignment="1">
      <alignment horizontal="right" vertical="center" wrapText="1"/>
    </xf>
    <xf numFmtId="10" fontId="44" fillId="8" borderId="13" xfId="2" applyNumberFormat="1" applyFont="1" applyFill="1" applyBorder="1" applyAlignment="1">
      <alignment horizontal="right" vertical="center" wrapText="1"/>
    </xf>
    <xf numFmtId="10" fontId="6" fillId="8" borderId="10" xfId="2" applyNumberFormat="1" applyFont="1" applyFill="1" applyBorder="1" applyAlignment="1">
      <alignment horizontal="right" vertical="center" wrapText="1"/>
    </xf>
    <xf numFmtId="191" fontId="6" fillId="8" borderId="10" xfId="0" applyFont="1" applyFill="1" applyBorder="1" applyAlignment="1">
      <alignment vertical="center" wrapText="1"/>
      <protection locked="0"/>
    </xf>
    <xf numFmtId="191" fontId="6" fillId="8" borderId="0" xfId="0" applyFont="1" applyFill="1" applyAlignment="1">
      <alignment vertical="center"/>
      <protection locked="0"/>
    </xf>
    <xf numFmtId="191" fontId="4" fillId="0" borderId="0" xfId="44" applyFont="1" applyAlignment="1">
      <alignment vertical="center"/>
    </xf>
    <xf numFmtId="191" fontId="4" fillId="0" borderId="11" xfId="44" applyFont="1" applyBorder="1" applyAlignment="1">
      <alignment vertical="center"/>
    </xf>
    <xf numFmtId="191" fontId="13" fillId="0" borderId="0" xfId="44" applyFont="1" applyBorder="1" applyAlignment="1">
      <alignment vertical="center"/>
    </xf>
    <xf numFmtId="14" fontId="8" fillId="8" borderId="10" xfId="0" applyNumberFormat="1" applyFont="1" applyFill="1" applyBorder="1" applyAlignment="1">
      <alignment horizontal="center" vertical="center"/>
      <protection locked="0"/>
    </xf>
    <xf numFmtId="43" fontId="6" fillId="8" borderId="10" xfId="1" applyFont="1" applyFill="1" applyBorder="1" applyAlignment="1">
      <alignment vertical="center"/>
    </xf>
    <xf numFmtId="191" fontId="6" fillId="8" borderId="10" xfId="0" applyFont="1" applyFill="1" applyBorder="1" applyAlignment="1">
      <alignment horizontal="center" vertical="center"/>
      <protection locked="0"/>
    </xf>
    <xf numFmtId="43" fontId="8" fillId="8" borderId="10" xfId="1" applyFont="1" applyFill="1" applyBorder="1" applyAlignment="1">
      <alignment vertical="center"/>
    </xf>
    <xf numFmtId="197" fontId="6" fillId="8" borderId="10" xfId="1" applyNumberFormat="1" applyFont="1" applyFill="1" applyBorder="1" applyAlignment="1">
      <alignment vertical="center"/>
    </xf>
    <xf numFmtId="49" fontId="8" fillId="0" borderId="13" xfId="1" applyNumberFormat="1" applyFont="1" applyFill="1" applyBorder="1" applyAlignment="1" applyProtection="1">
      <alignment horizontal="center" vertical="center" shrinkToFit="1"/>
    </xf>
    <xf numFmtId="49" fontId="8" fillId="0" borderId="1" xfId="1" applyNumberFormat="1" applyFont="1" applyFill="1" applyBorder="1" applyAlignment="1" applyProtection="1">
      <alignment horizontal="center" vertical="center" shrinkToFit="1"/>
    </xf>
    <xf numFmtId="191" fontId="8" fillId="0" borderId="0" xfId="35" applyFont="1" applyFill="1" applyAlignment="1" applyProtection="1">
      <alignment horizontal="left" vertical="center"/>
    </xf>
    <xf numFmtId="191" fontId="8" fillId="0" borderId="0" xfId="35" applyFont="1" applyFill="1" applyAlignment="1" applyProtection="1">
      <alignment horizontal="left" vertical="center" wrapText="1"/>
    </xf>
    <xf numFmtId="191" fontId="8" fillId="0" borderId="0" xfId="0" applyFont="1" applyFill="1" applyAlignment="1">
      <alignment horizontal="right" vertical="center"/>
      <protection locked="0"/>
    </xf>
    <xf numFmtId="191" fontId="6" fillId="0" borderId="0" xfId="35" applyFont="1" applyFill="1" applyAlignment="1" applyProtection="1">
      <alignment horizontal="left" vertical="center"/>
    </xf>
    <xf numFmtId="191" fontId="8" fillId="0" borderId="0" xfId="36" applyFont="1" applyFill="1">
      <protection locked="0"/>
    </xf>
    <xf numFmtId="49" fontId="8" fillId="0" borderId="0" xfId="42" applyNumberFormat="1" applyFont="1" applyFill="1" applyAlignment="1">
      <alignment vertical="center" wrapText="1"/>
    </xf>
    <xf numFmtId="49" fontId="8" fillId="0" borderId="0" xfId="0" applyNumberFormat="1" applyFont="1" applyFill="1" applyAlignment="1">
      <alignment vertical="center"/>
      <protection locked="0"/>
    </xf>
    <xf numFmtId="49" fontId="8" fillId="0" borderId="0" xfId="0" applyNumberFormat="1" applyFont="1" applyFill="1" applyAlignment="1">
      <alignment vertical="center" wrapText="1"/>
      <protection locked="0"/>
    </xf>
    <xf numFmtId="49" fontId="8" fillId="0" borderId="0" xfId="36" applyNumberFormat="1" applyFont="1" applyFill="1">
      <protection locked="0"/>
    </xf>
    <xf numFmtId="0" fontId="8" fillId="0" borderId="0" xfId="0" applyNumberFormat="1" applyFont="1" applyFill="1" applyAlignment="1">
      <alignment vertical="center"/>
      <protection locked="0"/>
    </xf>
    <xf numFmtId="0" fontId="8" fillId="0" borderId="0" xfId="36" applyNumberFormat="1" applyFont="1" applyFill="1">
      <protection locked="0"/>
    </xf>
    <xf numFmtId="0" fontId="52" fillId="0" borderId="0" xfId="0" applyNumberFormat="1" applyFont="1" applyFill="1" applyAlignment="1">
      <alignment horizontal="right" vertical="center"/>
      <protection locked="0"/>
    </xf>
    <xf numFmtId="43" fontId="19" fillId="0" borderId="0" xfId="46" applyNumberFormat="1" applyFont="1" applyFill="1" applyBorder="1" applyAlignment="1" applyProtection="1">
      <alignment horizontal="left" vertical="center"/>
    </xf>
    <xf numFmtId="43" fontId="8" fillId="0" borderId="0" xfId="54" applyNumberFormat="1" applyFont="1" applyFill="1" applyBorder="1" applyAlignment="1">
      <alignment horizontal="left" vertical="center"/>
    </xf>
    <xf numFmtId="49" fontId="6" fillId="0" borderId="0" xfId="0" applyNumberFormat="1" applyFont="1" applyFill="1" applyAlignment="1">
      <alignment vertical="center"/>
      <protection locked="0"/>
    </xf>
    <xf numFmtId="49" fontId="8" fillId="0" borderId="0" xfId="43" applyNumberFormat="1" applyFont="1" applyFill="1">
      <alignment vertical="center"/>
    </xf>
    <xf numFmtId="14" fontId="8" fillId="0" borderId="0" xfId="0" applyNumberFormat="1" applyFont="1" applyFill="1" applyAlignment="1">
      <alignment vertical="center"/>
      <protection locked="0"/>
    </xf>
    <xf numFmtId="49" fontId="35" fillId="0" borderId="0" xfId="35" applyNumberFormat="1" applyFont="1" applyFill="1" applyAlignment="1" applyProtection="1">
      <alignment vertical="center"/>
    </xf>
    <xf numFmtId="191" fontId="8" fillId="0" borderId="0" xfId="35" applyFont="1" applyFill="1" applyAlignment="1">
      <alignment horizontal="right" vertical="center"/>
      <protection locked="0"/>
    </xf>
    <xf numFmtId="191" fontId="8" fillId="0" borderId="0" xfId="35" applyFont="1" applyFill="1" applyAlignment="1">
      <alignment horizontal="justify" vertical="center" wrapText="1"/>
      <protection locked="0"/>
    </xf>
    <xf numFmtId="49" fontId="36" fillId="0" borderId="0" xfId="35" applyNumberFormat="1" applyFont="1" applyFill="1" applyAlignment="1" applyProtection="1">
      <alignment horizontal="left" vertical="center" wrapText="1"/>
    </xf>
    <xf numFmtId="49" fontId="35" fillId="0" borderId="0" xfId="35" applyNumberFormat="1" applyFont="1" applyFill="1" applyAlignment="1" applyProtection="1">
      <alignment horizontal="left" vertical="center" wrapText="1"/>
    </xf>
    <xf numFmtId="191" fontId="36" fillId="0" borderId="0" xfId="35" applyFont="1" applyFill="1" applyAlignment="1" applyProtection="1">
      <alignment vertical="center"/>
    </xf>
    <xf numFmtId="191" fontId="35" fillId="0" borderId="0" xfId="35" applyFont="1" applyFill="1" applyAlignment="1" applyProtection="1">
      <alignment horizontal="left" vertical="center" wrapText="1"/>
    </xf>
    <xf numFmtId="191" fontId="6" fillId="5" borderId="10" xfId="35" applyFont="1" applyFill="1" applyBorder="1" applyAlignment="1">
      <alignment horizontal="center" vertical="center" wrapText="1"/>
      <protection locked="0"/>
    </xf>
    <xf numFmtId="191" fontId="8" fillId="0" borderId="0" xfId="44" applyFont="1" applyFill="1" applyAlignment="1">
      <alignment horizontal="left" vertical="center"/>
    </xf>
    <xf numFmtId="191" fontId="6" fillId="0" borderId="0" xfId="44" applyFont="1" applyFill="1" applyAlignment="1">
      <alignment horizontal="left" vertical="center" wrapText="1"/>
    </xf>
    <xf numFmtId="191" fontId="6" fillId="0" borderId="0" xfId="44" applyFont="1" applyFill="1" applyAlignment="1">
      <alignment horizontal="left" vertical="center"/>
    </xf>
    <xf numFmtId="191" fontId="13" fillId="0" borderId="0" xfId="44" applyFont="1" applyFill="1" applyAlignment="1">
      <alignment horizontal="left" vertical="center"/>
    </xf>
    <xf numFmtId="191" fontId="8" fillId="0" borderId="0" xfId="0" applyFont="1" applyFill="1">
      <protection locked="0"/>
    </xf>
    <xf numFmtId="191" fontId="83" fillId="0" borderId="0" xfId="44" applyFont="1" applyFill="1" applyAlignment="1">
      <alignment horizontal="left" vertical="center"/>
    </xf>
    <xf numFmtId="191" fontId="0" fillId="0" borderId="0" xfId="0" applyFill="1">
      <protection locked="0"/>
    </xf>
    <xf numFmtId="43" fontId="8" fillId="0" borderId="0" xfId="1" applyFont="1" applyFill="1" applyAlignment="1" applyProtection="1">
      <alignment vertical="center"/>
      <protection locked="0"/>
    </xf>
    <xf numFmtId="191" fontId="92" fillId="8" borderId="0" xfId="0" applyFont="1" applyFill="1" applyAlignment="1">
      <alignment horizontal="left"/>
      <protection locked="0"/>
    </xf>
    <xf numFmtId="191" fontId="6" fillId="13" borderId="10" xfId="35" applyNumberFormat="1" applyFont="1" applyFill="1" applyBorder="1" applyAlignment="1" applyProtection="1">
      <alignment horizontal="center" vertical="center"/>
    </xf>
    <xf numFmtId="191" fontId="6" fillId="13" borderId="10" xfId="35" applyNumberFormat="1" applyFont="1" applyFill="1" applyBorder="1" applyAlignment="1" applyProtection="1">
      <alignment horizontal="center" vertical="center" wrapText="1"/>
    </xf>
    <xf numFmtId="43" fontId="6" fillId="8" borderId="16" xfId="1" applyFont="1" applyFill="1" applyBorder="1" applyAlignment="1">
      <alignment horizontal="right" vertical="center" wrapText="1"/>
    </xf>
    <xf numFmtId="191" fontId="6" fillId="8" borderId="16" xfId="0" applyFont="1" applyFill="1" applyBorder="1" applyAlignment="1">
      <alignment horizontal="left" vertical="center"/>
      <protection locked="0"/>
    </xf>
    <xf numFmtId="191" fontId="6" fillId="8" borderId="10" xfId="0" applyFont="1" applyFill="1" applyBorder="1" applyAlignment="1">
      <alignment horizontal="left" vertical="center"/>
      <protection locked="0"/>
    </xf>
    <xf numFmtId="43" fontId="6" fillId="8" borderId="10" xfId="0" applyNumberFormat="1" applyFont="1" applyFill="1" applyBorder="1" applyAlignment="1">
      <alignment horizontal="left" vertical="center"/>
      <protection locked="0"/>
    </xf>
    <xf numFmtId="191" fontId="6" fillId="8" borderId="10" xfId="35" applyFont="1" applyFill="1" applyBorder="1" applyAlignment="1">
      <alignment vertical="center"/>
      <protection locked="0"/>
    </xf>
    <xf numFmtId="191" fontId="6" fillId="8" borderId="10" xfId="0" applyFont="1" applyFill="1" applyBorder="1" applyAlignment="1" applyProtection="1">
      <alignment horizontal="center" vertical="center"/>
    </xf>
    <xf numFmtId="191" fontId="6" fillId="8" borderId="10" xfId="0" applyFont="1" applyFill="1" applyBorder="1" applyAlignment="1" applyProtection="1">
      <alignment vertical="center"/>
    </xf>
    <xf numFmtId="43" fontId="6" fillId="8" borderId="10" xfId="1" applyFont="1" applyFill="1" applyBorder="1" applyAlignment="1" applyProtection="1">
      <alignment vertical="center"/>
    </xf>
    <xf numFmtId="43" fontId="8" fillId="8" borderId="0" xfId="1" applyFont="1" applyFill="1" applyAlignment="1" applyProtection="1">
      <alignment vertical="center"/>
    </xf>
    <xf numFmtId="197" fontId="8" fillId="8" borderId="10" xfId="1" applyNumberFormat="1" applyFont="1" applyFill="1" applyBorder="1" applyAlignment="1">
      <alignment vertical="center"/>
    </xf>
    <xf numFmtId="10" fontId="8" fillId="8" borderId="10" xfId="2" applyNumberFormat="1" applyFont="1" applyFill="1" applyBorder="1" applyAlignment="1">
      <alignment vertical="center"/>
    </xf>
    <xf numFmtId="191" fontId="107" fillId="0" borderId="0" xfId="42" applyFont="1" applyFill="1" applyAlignment="1">
      <alignment vertical="center" wrapText="1"/>
    </xf>
    <xf numFmtId="191" fontId="8" fillId="0" borderId="0" xfId="0" applyFont="1" applyFill="1" applyAlignment="1">
      <alignment vertical="center" wrapText="1"/>
      <protection locked="0"/>
    </xf>
    <xf numFmtId="191" fontId="8" fillId="0" borderId="0" xfId="43" applyFont="1" applyFill="1">
      <alignment vertical="center"/>
    </xf>
    <xf numFmtId="191" fontId="6" fillId="0" borderId="0" xfId="44" applyFont="1" applyFill="1" applyAlignment="1">
      <alignment vertical="center" wrapText="1"/>
    </xf>
    <xf numFmtId="191" fontId="8" fillId="0" borderId="0" xfId="44" applyFont="1" applyFill="1" applyAlignment="1" applyProtection="1">
      <alignment vertical="center" wrapText="1"/>
      <protection locked="0"/>
    </xf>
    <xf numFmtId="191" fontId="8" fillId="0" borderId="0" xfId="44" applyFont="1" applyFill="1" applyAlignment="1">
      <alignment vertical="center"/>
    </xf>
    <xf numFmtId="191" fontId="6" fillId="0" borderId="0" xfId="44" applyFont="1" applyFill="1" applyAlignment="1">
      <alignment vertical="center"/>
    </xf>
    <xf numFmtId="191" fontId="89" fillId="0" borderId="0" xfId="44" applyFont="1" applyFill="1" applyAlignment="1">
      <alignment horizontal="left" vertical="center"/>
    </xf>
    <xf numFmtId="191" fontId="19" fillId="0" borderId="0" xfId="44" applyFont="1" applyFill="1" applyAlignment="1" applyProtection="1">
      <alignment vertical="center"/>
      <protection hidden="1"/>
    </xf>
    <xf numFmtId="191" fontId="8" fillId="0" borderId="0" xfId="44" applyFont="1" applyFill="1" applyAlignment="1" applyProtection="1">
      <alignment vertical="center"/>
      <protection hidden="1"/>
    </xf>
    <xf numFmtId="191" fontId="19" fillId="0" borderId="0" xfId="44" applyFont="1" applyFill="1" applyAlignment="1" applyProtection="1">
      <alignment vertical="center"/>
      <protection locked="0"/>
    </xf>
    <xf numFmtId="191" fontId="15" fillId="0" borderId="0" xfId="0" applyFont="1" applyFill="1" applyAlignment="1">
      <alignment vertical="center"/>
      <protection locked="0"/>
    </xf>
    <xf numFmtId="191" fontId="13" fillId="0" borderId="0" xfId="0" applyFont="1" applyFill="1" applyAlignment="1">
      <alignment vertical="center"/>
      <protection locked="0"/>
    </xf>
    <xf numFmtId="191" fontId="110" fillId="0" borderId="0" xfId="0" applyFont="1" applyFill="1" applyAlignment="1">
      <alignment vertical="center"/>
      <protection locked="0"/>
    </xf>
    <xf numFmtId="191" fontId="109" fillId="0" borderId="0" xfId="0" applyFont="1" applyFill="1" applyAlignment="1">
      <alignment vertical="center" wrapText="1"/>
      <protection locked="0"/>
    </xf>
    <xf numFmtId="191" fontId="109" fillId="0" borderId="0" xfId="0" applyFont="1" applyFill="1" applyAlignment="1">
      <alignment vertical="center"/>
      <protection locked="0"/>
    </xf>
    <xf numFmtId="191" fontId="8" fillId="5" borderId="0" xfId="35" applyFont="1" applyFill="1" applyAlignment="1">
      <alignment vertical="center"/>
      <protection locked="0"/>
    </xf>
    <xf numFmtId="10" fontId="8" fillId="5" borderId="10" xfId="2" applyNumberFormat="1" applyFont="1" applyFill="1" applyBorder="1" applyAlignment="1">
      <alignment vertical="center"/>
    </xf>
    <xf numFmtId="14" fontId="8" fillId="0" borderId="7" xfId="1" applyNumberFormat="1" applyFont="1" applyFill="1" applyBorder="1" applyAlignment="1">
      <alignment vertical="center" shrinkToFit="1"/>
    </xf>
    <xf numFmtId="43" fontId="4" fillId="5" borderId="0" xfId="1" applyFont="1" applyFill="1" applyAlignment="1">
      <alignment horizontal="center" vertical="center" wrapText="1"/>
    </xf>
    <xf numFmtId="14" fontId="8" fillId="5" borderId="10" xfId="0" applyNumberFormat="1" applyFont="1" applyFill="1" applyBorder="1" applyAlignment="1">
      <alignment horizontal="center" vertical="center"/>
      <protection locked="0"/>
    </xf>
    <xf numFmtId="191" fontId="8" fillId="5" borderId="10" xfId="0" applyFont="1" applyFill="1" applyBorder="1" applyAlignment="1">
      <alignment horizontal="center" vertical="center"/>
      <protection locked="0"/>
    </xf>
    <xf numFmtId="9" fontId="8" fillId="5" borderId="10" xfId="2" applyFont="1" applyFill="1" applyBorder="1" applyAlignment="1" applyProtection="1">
      <alignment horizontal="center" vertical="center"/>
      <protection locked="0"/>
    </xf>
    <xf numFmtId="191" fontId="8" fillId="5" borderId="0" xfId="0" applyFont="1" applyFill="1" applyAlignment="1">
      <alignment vertical="center"/>
      <protection locked="0"/>
    </xf>
    <xf numFmtId="191" fontId="8" fillId="0" borderId="0" xfId="36" applyNumberFormat="1" applyFont="1" applyFill="1">
      <protection locked="0"/>
    </xf>
    <xf numFmtId="43" fontId="6" fillId="5" borderId="10" xfId="1" applyFont="1" applyFill="1" applyBorder="1" applyAlignment="1">
      <alignment vertical="center" shrinkToFit="1"/>
    </xf>
    <xf numFmtId="191" fontId="6" fillId="5" borderId="10" xfId="0" applyFont="1" applyFill="1" applyBorder="1" applyAlignment="1">
      <alignment vertical="center"/>
      <protection locked="0"/>
    </xf>
    <xf numFmtId="14" fontId="6" fillId="5" borderId="10" xfId="0" applyNumberFormat="1" applyFont="1" applyFill="1" applyBorder="1" applyAlignment="1">
      <alignment horizontal="center" vertical="center"/>
      <protection locked="0"/>
    </xf>
    <xf numFmtId="9" fontId="6" fillId="5" borderId="10" xfId="2" applyFont="1" applyFill="1" applyBorder="1" applyAlignment="1" applyProtection="1">
      <alignment horizontal="center" vertical="center"/>
      <protection locked="0"/>
    </xf>
    <xf numFmtId="191" fontId="6" fillId="5" borderId="0" xfId="0" applyFont="1" applyFill="1" applyAlignment="1">
      <alignment vertical="center"/>
      <protection locked="0"/>
    </xf>
    <xf numFmtId="191" fontId="8" fillId="0" borderId="0" xfId="0" applyNumberFormat="1" applyFont="1" applyFill="1" applyAlignment="1">
      <alignment vertical="center"/>
      <protection locked="0"/>
    </xf>
    <xf numFmtId="43" fontId="8" fillId="0" borderId="0" xfId="1" applyFont="1" applyFill="1" applyBorder="1" applyAlignment="1" applyProtection="1">
      <alignment horizontal="right" vertical="center"/>
      <protection locked="0"/>
    </xf>
    <xf numFmtId="14" fontId="6" fillId="5" borderId="10" xfId="1" applyNumberFormat="1" applyFont="1" applyFill="1" applyBorder="1" applyAlignment="1">
      <alignment horizontal="center" vertical="center"/>
    </xf>
    <xf numFmtId="43" fontId="6" fillId="5" borderId="10" xfId="1" applyFont="1" applyFill="1" applyBorder="1" applyAlignment="1">
      <alignment horizontal="center" vertical="center"/>
    </xf>
    <xf numFmtId="191" fontId="8" fillId="0" borderId="0" xfId="0" applyFont="1" applyFill="1" applyAlignment="1" applyProtection="1">
      <alignment vertical="center"/>
    </xf>
    <xf numFmtId="191" fontId="8" fillId="0" borderId="0" xfId="47" applyFont="1" applyFill="1" applyAlignment="1">
      <alignment horizontal="left" vertical="center"/>
    </xf>
    <xf numFmtId="191" fontId="4" fillId="8" borderId="0" xfId="0" applyFont="1" applyFill="1" applyAlignment="1">
      <alignment vertical="center"/>
      <protection locked="0"/>
    </xf>
    <xf numFmtId="43" fontId="4" fillId="8" borderId="10" xfId="1" applyFont="1" applyFill="1" applyBorder="1" applyAlignment="1" applyProtection="1">
      <alignment horizontal="center" vertical="center" wrapText="1"/>
      <protection locked="0"/>
    </xf>
    <xf numFmtId="43" fontId="4" fillId="8" borderId="0" xfId="1" applyFont="1" applyFill="1" applyAlignment="1" applyProtection="1">
      <alignment horizontal="center" vertical="center" wrapText="1"/>
      <protection locked="0"/>
    </xf>
    <xf numFmtId="191" fontId="4" fillId="8" borderId="10" xfId="47" applyFont="1" applyFill="1" applyBorder="1" applyAlignment="1" applyProtection="1">
      <alignment horizontal="center" vertical="center" wrapText="1"/>
      <protection locked="0"/>
    </xf>
    <xf numFmtId="191" fontId="4" fillId="8" borderId="0" xfId="0" applyFont="1" applyFill="1" applyAlignment="1">
      <alignment vertical="center" wrapText="1"/>
      <protection locked="0"/>
    </xf>
    <xf numFmtId="191" fontId="8" fillId="0" borderId="0" xfId="47" applyNumberFormat="1" applyFont="1" applyFill="1" applyAlignment="1">
      <alignment horizontal="left" vertical="center"/>
    </xf>
    <xf numFmtId="191" fontId="8" fillId="0" borderId="0" xfId="44" applyNumberFormat="1" applyFont="1" applyFill="1" applyAlignment="1" applyProtection="1">
      <alignment vertical="center" wrapText="1"/>
      <protection locked="0"/>
    </xf>
    <xf numFmtId="191" fontId="8" fillId="0" borderId="0" xfId="47" applyNumberFormat="1" applyFont="1" applyFill="1" applyAlignment="1">
      <alignment horizontal="left" vertical="center" wrapText="1"/>
    </xf>
    <xf numFmtId="191" fontId="8" fillId="0" borderId="0" xfId="44" applyNumberFormat="1" applyFont="1" applyFill="1" applyAlignment="1" applyProtection="1">
      <alignment vertical="center"/>
      <protection locked="0"/>
    </xf>
    <xf numFmtId="191" fontId="8" fillId="0" borderId="10" xfId="47" applyNumberFormat="1" applyFont="1" applyFill="1" applyBorder="1" applyAlignment="1" applyProtection="1">
      <alignment vertical="center"/>
      <protection locked="0"/>
    </xf>
    <xf numFmtId="43" fontId="8" fillId="0" borderId="10" xfId="1" applyFont="1" applyFill="1" applyBorder="1" applyAlignment="1" applyProtection="1">
      <alignment vertical="center"/>
      <protection locked="0"/>
    </xf>
    <xf numFmtId="9" fontId="8" fillId="0" borderId="10" xfId="1" applyNumberFormat="1" applyFont="1" applyFill="1" applyBorder="1" applyAlignment="1" applyProtection="1">
      <alignment vertical="center" shrinkToFit="1"/>
      <protection locked="0"/>
    </xf>
    <xf numFmtId="49" fontId="4" fillId="0" borderId="0" xfId="1" applyNumberFormat="1" applyFont="1" applyFill="1" applyAlignment="1" applyProtection="1">
      <alignment horizontal="left" vertical="center"/>
    </xf>
    <xf numFmtId="191" fontId="8" fillId="0" borderId="0" xfId="47" applyFont="1" applyFill="1" applyAlignment="1" applyProtection="1">
      <alignment vertical="center"/>
      <protection locked="0"/>
    </xf>
    <xf numFmtId="191" fontId="6" fillId="0" borderId="0" xfId="47" applyFont="1" applyFill="1" applyAlignment="1" applyProtection="1">
      <alignment horizontal="left" vertical="center"/>
      <protection locked="0"/>
    </xf>
    <xf numFmtId="43" fontId="6" fillId="0" borderId="0" xfId="47" applyNumberFormat="1" applyFont="1" applyFill="1" applyAlignment="1" applyProtection="1">
      <alignment horizontal="right" vertical="center" shrinkToFit="1"/>
      <protection locked="0"/>
    </xf>
    <xf numFmtId="191" fontId="13" fillId="0" borderId="0" xfId="47" applyFont="1" applyFill="1" applyAlignment="1" applyProtection="1">
      <alignment vertical="center"/>
      <protection locked="0"/>
    </xf>
    <xf numFmtId="191" fontId="13" fillId="4" borderId="0" xfId="0" applyFont="1" applyFill="1" applyAlignment="1">
      <alignment horizontal="justify" vertical="center" wrapText="1"/>
      <protection locked="0"/>
    </xf>
    <xf numFmtId="191" fontId="103" fillId="0" borderId="0" xfId="0" applyFont="1" applyAlignment="1">
      <alignment horizontal="center" vertical="center"/>
      <protection locked="0"/>
    </xf>
    <xf numFmtId="191" fontId="83" fillId="0" borderId="0" xfId="61" applyFont="1" applyFill="1" applyAlignment="1">
      <alignment horizontal="left" vertical="center"/>
    </xf>
    <xf numFmtId="191" fontId="45" fillId="0" borderId="0" xfId="35" applyFont="1" applyAlignment="1">
      <alignment vertical="center"/>
      <protection locked="0"/>
    </xf>
    <xf numFmtId="191" fontId="13" fillId="0" borderId="0" xfId="0" applyFont="1" applyBorder="1" applyAlignment="1">
      <alignment horizontal="center" vertical="center"/>
      <protection locked="0"/>
    </xf>
    <xf numFmtId="191" fontId="8" fillId="0" borderId="0" xfId="35" applyFont="1" applyBorder="1" applyAlignment="1">
      <alignment vertical="center"/>
      <protection locked="0"/>
    </xf>
    <xf numFmtId="191" fontId="0" fillId="0" borderId="0" xfId="0" applyBorder="1">
      <protection locked="0"/>
    </xf>
    <xf numFmtId="191" fontId="88" fillId="0" borderId="0" xfId="35" applyFont="1" applyBorder="1" applyAlignment="1">
      <alignment vertical="center"/>
      <protection locked="0"/>
    </xf>
    <xf numFmtId="191" fontId="83" fillId="0" borderId="0" xfId="44" applyFont="1" applyAlignment="1">
      <alignment horizontal="left" vertical="center"/>
    </xf>
    <xf numFmtId="191" fontId="8" fillId="0" borderId="0" xfId="0" applyFont="1" applyBorder="1" applyAlignment="1">
      <alignment vertical="center" wrapText="1"/>
      <protection locked="0"/>
    </xf>
    <xf numFmtId="191" fontId="8" fillId="0" borderId="10" xfId="0" applyFont="1" applyFill="1" applyBorder="1" applyAlignment="1">
      <alignment horizontal="left" vertical="center" wrapText="1"/>
      <protection locked="0"/>
    </xf>
    <xf numFmtId="49" fontId="83" fillId="0" borderId="0" xfId="0" applyNumberFormat="1" applyFont="1" applyAlignment="1">
      <alignment horizontal="left" vertical="center"/>
      <protection locked="0"/>
    </xf>
    <xf numFmtId="49" fontId="89" fillId="0" borderId="0" xfId="44" applyNumberFormat="1" applyFont="1" applyAlignment="1">
      <alignment horizontal="left" vertical="center"/>
    </xf>
    <xf numFmtId="49" fontId="83" fillId="0" borderId="0" xfId="44" applyNumberFormat="1" applyFont="1" applyAlignment="1">
      <alignment horizontal="left" vertical="center"/>
    </xf>
    <xf numFmtId="191" fontId="11" fillId="0" borderId="0" xfId="0" applyFont="1" applyAlignment="1">
      <alignment horizontal="left" vertical="center" wrapText="1"/>
      <protection locked="0"/>
    </xf>
    <xf numFmtId="191" fontId="12" fillId="0" borderId="0" xfId="0" applyFont="1" applyAlignment="1">
      <alignment horizontal="left" vertical="center" wrapText="1"/>
      <protection locked="0"/>
    </xf>
    <xf numFmtId="191" fontId="64" fillId="0" borderId="0" xfId="42" applyFont="1" applyAlignment="1">
      <alignment horizontal="center" vertical="center"/>
    </xf>
    <xf numFmtId="191" fontId="104" fillId="0" borderId="0" xfId="42" applyFont="1" applyAlignment="1">
      <alignment horizontal="center" vertical="center"/>
    </xf>
    <xf numFmtId="191" fontId="6" fillId="0" borderId="0" xfId="52" applyFont="1" applyAlignment="1">
      <alignment horizontal="left" vertical="center"/>
      <protection locked="0"/>
    </xf>
    <xf numFmtId="191" fontId="4" fillId="0" borderId="18" xfId="55" applyFont="1" applyFill="1" applyBorder="1" applyAlignment="1" applyProtection="1">
      <alignment horizontal="left" vertical="center" wrapText="1"/>
      <protection locked="0"/>
    </xf>
    <xf numFmtId="191" fontId="8" fillId="0" borderId="10" xfId="52" applyFont="1" applyFill="1" applyBorder="1" applyAlignment="1">
      <alignment horizontal="center" vertical="center" wrapText="1"/>
      <protection locked="0"/>
    </xf>
    <xf numFmtId="191" fontId="4" fillId="5" borderId="10" xfId="55" applyFont="1" applyFill="1" applyBorder="1" applyAlignment="1" applyProtection="1">
      <alignment horizontal="center" vertical="center" wrapText="1"/>
      <protection locked="0"/>
    </xf>
    <xf numFmtId="49" fontId="6" fillId="5" borderId="3" xfId="52" applyNumberFormat="1" applyFont="1" applyFill="1" applyBorder="1" applyAlignment="1">
      <alignment horizontal="center" vertical="center"/>
      <protection locked="0"/>
    </xf>
    <xf numFmtId="49" fontId="6" fillId="5" borderId="16" xfId="52" applyNumberFormat="1" applyFont="1" applyFill="1" applyBorder="1" applyAlignment="1">
      <alignment horizontal="center" vertical="center"/>
      <protection locked="0"/>
    </xf>
    <xf numFmtId="191" fontId="6" fillId="5" borderId="1" xfId="52" applyFont="1" applyFill="1" applyBorder="1" applyAlignment="1">
      <alignment horizontal="center" vertical="center" wrapText="1"/>
      <protection locked="0"/>
    </xf>
    <xf numFmtId="191" fontId="6" fillId="5" borderId="2" xfId="52" applyFont="1" applyFill="1" applyBorder="1" applyAlignment="1">
      <alignment horizontal="center" vertical="center" wrapText="1"/>
      <protection locked="0"/>
    </xf>
    <xf numFmtId="191" fontId="6" fillId="5" borderId="12" xfId="52" applyFont="1" applyFill="1" applyBorder="1" applyAlignment="1">
      <alignment horizontal="center" vertical="center" wrapText="1"/>
      <protection locked="0"/>
    </xf>
    <xf numFmtId="191" fontId="6" fillId="5" borderId="17" xfId="52" applyFont="1" applyFill="1" applyBorder="1" applyAlignment="1">
      <alignment horizontal="center" vertical="center" wrapText="1"/>
      <protection locked="0"/>
    </xf>
    <xf numFmtId="191" fontId="6" fillId="5" borderId="10" xfId="55" applyFont="1" applyFill="1" applyBorder="1" applyAlignment="1" applyProtection="1">
      <alignment horizontal="center" vertical="center"/>
      <protection locked="0"/>
    </xf>
    <xf numFmtId="191" fontId="6" fillId="5" borderId="10" xfId="55" applyFont="1" applyFill="1" applyBorder="1" applyAlignment="1" applyProtection="1">
      <alignment horizontal="center" vertical="center" wrapText="1"/>
      <protection locked="0"/>
    </xf>
    <xf numFmtId="191" fontId="6" fillId="8" borderId="10" xfId="52" applyFont="1" applyFill="1" applyBorder="1" applyAlignment="1">
      <alignment horizontal="center" vertical="center" wrapText="1"/>
      <protection locked="0"/>
    </xf>
    <xf numFmtId="191" fontId="8" fillId="0" borderId="10" xfId="52" applyFont="1" applyBorder="1" applyAlignment="1">
      <alignment horizontal="center" vertical="center" wrapText="1"/>
      <protection locked="0"/>
    </xf>
    <xf numFmtId="191" fontId="88" fillId="0" borderId="10" xfId="52" applyFont="1" applyFill="1" applyBorder="1" applyAlignment="1">
      <alignment horizontal="center" vertical="center" wrapText="1"/>
      <protection locked="0"/>
    </xf>
    <xf numFmtId="191" fontId="86" fillId="11" borderId="4" xfId="55" applyFont="1" applyFill="1" applyBorder="1" applyAlignment="1" applyProtection="1">
      <alignment horizontal="left" vertical="center" wrapText="1"/>
      <protection locked="0"/>
    </xf>
    <xf numFmtId="191" fontId="86" fillId="11" borderId="0" xfId="55" applyFont="1" applyFill="1" applyAlignment="1" applyProtection="1">
      <alignment horizontal="left" vertical="center" wrapText="1"/>
      <protection locked="0"/>
    </xf>
    <xf numFmtId="191" fontId="8" fillId="0" borderId="13" xfId="52" applyFont="1" applyFill="1" applyBorder="1" applyAlignment="1">
      <alignment horizontal="center" vertical="center" wrapText="1"/>
      <protection locked="0"/>
    </xf>
    <xf numFmtId="191" fontId="8" fillId="0" borderId="14" xfId="52" applyFont="1" applyFill="1" applyBorder="1" applyAlignment="1">
      <alignment horizontal="center" vertical="center" wrapText="1"/>
      <protection locked="0"/>
    </xf>
    <xf numFmtId="49" fontId="8" fillId="0" borderId="10" xfId="1" applyNumberFormat="1" applyFont="1" applyFill="1" applyBorder="1" applyAlignment="1" applyProtection="1">
      <alignment horizontal="center" vertical="center" wrapText="1"/>
      <protection locked="0"/>
    </xf>
    <xf numFmtId="191" fontId="4" fillId="8" borderId="10" xfId="52" applyFont="1" applyFill="1" applyBorder="1" applyAlignment="1">
      <alignment horizontal="center" vertical="center" wrapText="1"/>
      <protection locked="0"/>
    </xf>
    <xf numFmtId="191" fontId="8" fillId="0" borderId="10" xfId="52" applyFont="1" applyBorder="1" applyAlignment="1">
      <alignment horizontal="left" vertical="center" wrapText="1"/>
      <protection locked="0"/>
    </xf>
    <xf numFmtId="191" fontId="35" fillId="5" borderId="10" xfId="36" applyFont="1" applyFill="1" applyBorder="1" applyAlignment="1">
      <alignment horizontal="center" vertical="center" wrapText="1"/>
      <protection locked="0"/>
    </xf>
    <xf numFmtId="191" fontId="6" fillId="5" borderId="10" xfId="36" applyFont="1" applyFill="1" applyBorder="1" applyAlignment="1">
      <alignment horizontal="center" vertical="center" wrapText="1"/>
      <protection locked="0"/>
    </xf>
    <xf numFmtId="49" fontId="54" fillId="0" borderId="0" xfId="0" applyNumberFormat="1" applyFont="1" applyAlignment="1" applyProtection="1">
      <alignment horizontal="center" vertical="center"/>
    </xf>
    <xf numFmtId="191" fontId="54" fillId="0" borderId="0" xfId="0" applyFont="1" applyAlignment="1" applyProtection="1">
      <alignment horizontal="center" vertical="center"/>
    </xf>
    <xf numFmtId="191" fontId="105" fillId="0" borderId="0" xfId="0" applyFont="1" applyAlignment="1" applyProtection="1">
      <alignment horizontal="center" vertical="center"/>
    </xf>
    <xf numFmtId="191" fontId="35" fillId="5" borderId="10" xfId="0" applyFont="1" applyFill="1" applyBorder="1" applyAlignment="1" applyProtection="1">
      <alignment horizontal="center" vertical="center"/>
    </xf>
    <xf numFmtId="191" fontId="35" fillId="5" borderId="10" xfId="0" applyFont="1" applyFill="1" applyBorder="1" applyAlignment="1" applyProtection="1">
      <alignment vertical="center"/>
    </xf>
    <xf numFmtId="191" fontId="6" fillId="5" borderId="13" xfId="47" applyFont="1" applyFill="1" applyBorder="1" applyAlignment="1" applyProtection="1">
      <alignment horizontal="center" vertical="center" wrapText="1"/>
      <protection locked="0"/>
    </xf>
    <xf numFmtId="191" fontId="6" fillId="5" borderId="15" xfId="47" applyFont="1" applyFill="1" applyBorder="1" applyAlignment="1" applyProtection="1">
      <alignment horizontal="center" vertical="center" wrapText="1"/>
      <protection locked="0"/>
    </xf>
    <xf numFmtId="191" fontId="6" fillId="5" borderId="14" xfId="47" applyFont="1" applyFill="1" applyBorder="1" applyAlignment="1" applyProtection="1">
      <alignment horizontal="center" vertical="center" wrapText="1"/>
      <protection locked="0"/>
    </xf>
    <xf numFmtId="49" fontId="64" fillId="0" borderId="0" xfId="36" applyNumberFormat="1" applyFont="1" applyAlignment="1">
      <alignment horizontal="center" vertical="center"/>
      <protection locked="0"/>
    </xf>
    <xf numFmtId="191" fontId="64" fillId="0" borderId="0" xfId="36" applyFont="1" applyAlignment="1">
      <alignment horizontal="center" vertical="center"/>
      <protection locked="0"/>
    </xf>
    <xf numFmtId="191" fontId="104" fillId="0" borderId="0" xfId="36" applyFont="1" applyAlignment="1">
      <alignment horizontal="center" vertical="center"/>
      <protection locked="0"/>
    </xf>
    <xf numFmtId="191" fontId="76" fillId="0" borderId="0" xfId="0" applyFont="1" applyAlignment="1">
      <alignment horizontal="left" vertical="center" wrapText="1"/>
      <protection locked="0"/>
    </xf>
    <xf numFmtId="191" fontId="76" fillId="9" borderId="0" xfId="0" applyFont="1" applyFill="1" applyAlignment="1">
      <alignment horizontal="left" vertical="center" wrapText="1"/>
      <protection locked="0"/>
    </xf>
    <xf numFmtId="191" fontId="6" fillId="5" borderId="10" xfId="0" applyFont="1" applyFill="1" applyBorder="1" applyAlignment="1">
      <alignment horizontal="center" vertical="center" wrapText="1"/>
      <protection locked="0"/>
    </xf>
    <xf numFmtId="191" fontId="6" fillId="5" borderId="10" xfId="0" applyFont="1" applyFill="1" applyBorder="1" applyAlignment="1">
      <alignment horizontal="center" vertical="center"/>
      <protection locked="0"/>
    </xf>
    <xf numFmtId="191" fontId="35" fillId="5" borderId="10" xfId="47" applyFont="1" applyFill="1" applyBorder="1" applyAlignment="1" applyProtection="1">
      <alignment horizontal="center" vertical="center"/>
      <protection locked="0"/>
    </xf>
    <xf numFmtId="191" fontId="35" fillId="5" borderId="10" xfId="35" applyFont="1" applyFill="1" applyBorder="1" applyAlignment="1" applyProtection="1">
      <alignment horizontal="center" vertical="center"/>
    </xf>
    <xf numFmtId="191" fontId="51" fillId="5" borderId="13" xfId="0" applyFont="1" applyFill="1" applyBorder="1" applyAlignment="1">
      <alignment horizontal="center" vertical="center"/>
      <protection locked="0"/>
    </xf>
    <xf numFmtId="191" fontId="51" fillId="5" borderId="15" xfId="0" applyFont="1" applyFill="1" applyBorder="1" applyAlignment="1">
      <alignment horizontal="center" vertical="center"/>
      <protection locked="0"/>
    </xf>
    <xf numFmtId="191" fontId="51" fillId="5" borderId="14" xfId="0" applyFont="1" applyFill="1" applyBorder="1" applyAlignment="1">
      <alignment horizontal="center" vertical="center"/>
      <protection locked="0"/>
    </xf>
    <xf numFmtId="49" fontId="11" fillId="0" borderId="0" xfId="42" applyNumberFormat="1" applyFont="1" applyAlignment="1">
      <alignment horizontal="center" vertical="center"/>
    </xf>
    <xf numFmtId="191" fontId="102" fillId="0" borderId="0" xfId="42" applyFont="1" applyAlignment="1">
      <alignment horizontal="center" vertical="center"/>
    </xf>
    <xf numFmtId="191" fontId="6" fillId="5" borderId="10" xfId="0" applyFont="1" applyFill="1" applyBorder="1" applyAlignment="1" applyProtection="1">
      <alignment horizontal="center" vertical="center" wrapText="1"/>
    </xf>
    <xf numFmtId="191" fontId="35" fillId="5" borderId="10" xfId="0" applyFont="1" applyFill="1" applyBorder="1" applyAlignment="1" applyProtection="1">
      <alignment horizontal="center" vertical="center" wrapText="1"/>
    </xf>
    <xf numFmtId="200" fontId="11" fillId="0" borderId="0" xfId="54" applyNumberFormat="1" applyFont="1" applyBorder="1" applyAlignment="1">
      <alignment horizontal="center" vertical="center"/>
    </xf>
    <xf numFmtId="49" fontId="11" fillId="0" borderId="0" xfId="0" applyNumberFormat="1" applyFont="1" applyAlignment="1">
      <alignment horizontal="center" vertical="center" wrapText="1"/>
      <protection locked="0"/>
    </xf>
    <xf numFmtId="49" fontId="102" fillId="0" borderId="0" xfId="0" applyNumberFormat="1" applyFont="1" applyFill="1" applyAlignment="1">
      <alignment horizontal="center" vertical="center" wrapText="1"/>
      <protection locked="0"/>
    </xf>
    <xf numFmtId="49" fontId="35" fillId="5" borderId="3" xfId="0" applyNumberFormat="1" applyFont="1" applyFill="1" applyBorder="1" applyAlignment="1" applyProtection="1">
      <alignment horizontal="center" vertical="center"/>
    </xf>
    <xf numFmtId="49" fontId="35" fillId="5" borderId="16" xfId="0" applyNumberFormat="1" applyFont="1" applyFill="1" applyBorder="1" applyAlignment="1" applyProtection="1">
      <alignment horizontal="center" vertical="center"/>
    </xf>
    <xf numFmtId="191" fontId="35" fillId="5" borderId="3" xfId="0" applyFont="1" applyFill="1" applyBorder="1" applyAlignment="1" applyProtection="1">
      <alignment horizontal="center" vertical="center"/>
    </xf>
    <xf numFmtId="191" fontId="35" fillId="5" borderId="16" xfId="0" applyFont="1" applyFill="1" applyBorder="1" applyAlignment="1" applyProtection="1">
      <alignment horizontal="center" vertical="center"/>
    </xf>
    <xf numFmtId="49" fontId="11" fillId="0" borderId="0" xfId="0" applyNumberFormat="1" applyFont="1" applyAlignment="1">
      <alignment horizontal="center" vertical="center"/>
      <protection locked="0"/>
    </xf>
    <xf numFmtId="191" fontId="102" fillId="0" borderId="0" xfId="0" applyFont="1" applyAlignment="1">
      <alignment horizontal="center" vertical="center"/>
      <protection locked="0"/>
    </xf>
    <xf numFmtId="49" fontId="6" fillId="8" borderId="13" xfId="0" applyNumberFormat="1" applyFont="1" applyFill="1" applyBorder="1" applyAlignment="1">
      <alignment horizontal="center" vertical="center"/>
      <protection locked="0"/>
    </xf>
    <xf numFmtId="49" fontId="6" fillId="8" borderId="15" xfId="0" applyNumberFormat="1" applyFont="1" applyFill="1" applyBorder="1" applyAlignment="1">
      <alignment horizontal="center" vertical="center"/>
      <protection locked="0"/>
    </xf>
    <xf numFmtId="49" fontId="6" fillId="8" borderId="14" xfId="0" applyNumberFormat="1" applyFont="1" applyFill="1" applyBorder="1" applyAlignment="1">
      <alignment horizontal="center" vertical="center"/>
      <protection locked="0"/>
    </xf>
    <xf numFmtId="49" fontId="4" fillId="8" borderId="13" xfId="0" applyNumberFormat="1" applyFont="1" applyFill="1" applyBorder="1" applyAlignment="1">
      <alignment horizontal="center" vertical="center"/>
      <protection locked="0"/>
    </xf>
    <xf numFmtId="191" fontId="6" fillId="8" borderId="3" xfId="0" applyFont="1" applyFill="1" applyBorder="1" applyAlignment="1">
      <alignment horizontal="center" vertical="center" wrapText="1"/>
      <protection locked="0"/>
    </xf>
    <xf numFmtId="191" fontId="6" fillId="8" borderId="16" xfId="0" applyFont="1" applyFill="1" applyBorder="1" applyAlignment="1">
      <alignment horizontal="center" vertical="center" wrapText="1"/>
      <protection locked="0"/>
    </xf>
    <xf numFmtId="191" fontId="6" fillId="8" borderId="1" xfId="0" applyFont="1" applyFill="1" applyBorder="1" applyAlignment="1">
      <alignment horizontal="center" vertical="center" wrapText="1"/>
      <protection locked="0"/>
    </xf>
    <xf numFmtId="191" fontId="6" fillId="8" borderId="12" xfId="0" applyFont="1" applyFill="1" applyBorder="1" applyAlignment="1">
      <alignment horizontal="center" vertical="center" wrapText="1"/>
      <protection locked="0"/>
    </xf>
    <xf numFmtId="191" fontId="6" fillId="8" borderId="10" xfId="0" applyFont="1" applyFill="1" applyBorder="1" applyAlignment="1">
      <alignment horizontal="center" vertical="center"/>
      <protection locked="0"/>
    </xf>
    <xf numFmtId="191" fontId="6" fillId="13" borderId="10" xfId="35" applyNumberFormat="1" applyFont="1" applyFill="1" applyBorder="1" applyAlignment="1" applyProtection="1">
      <alignment horizontal="center" vertical="center" wrapText="1"/>
    </xf>
    <xf numFmtId="191" fontId="6" fillId="0" borderId="0" xfId="44" applyFont="1" applyFill="1" applyAlignment="1">
      <alignment horizontal="left" vertical="center" wrapText="1"/>
    </xf>
    <xf numFmtId="191" fontId="6" fillId="5" borderId="3" xfId="0" applyFont="1" applyFill="1" applyBorder="1" applyAlignment="1">
      <alignment horizontal="center" vertical="center" wrapText="1"/>
      <protection locked="0"/>
    </xf>
    <xf numFmtId="191" fontId="6" fillId="5" borderId="5" xfId="0" applyFont="1" applyFill="1" applyBorder="1" applyAlignment="1">
      <alignment horizontal="center" vertical="center" wrapText="1"/>
      <protection locked="0"/>
    </xf>
    <xf numFmtId="191" fontId="6" fillId="5" borderId="16" xfId="0" applyFont="1" applyFill="1" applyBorder="1" applyAlignment="1">
      <alignment horizontal="center" vertical="center" wrapText="1"/>
      <protection locked="0"/>
    </xf>
    <xf numFmtId="191" fontId="6" fillId="5" borderId="3" xfId="0" applyFont="1" applyFill="1" applyBorder="1" applyAlignment="1">
      <alignment horizontal="center" vertical="center"/>
      <protection locked="0"/>
    </xf>
    <xf numFmtId="49" fontId="6" fillId="8" borderId="10" xfId="0" applyNumberFormat="1" applyFont="1" applyFill="1" applyBorder="1" applyAlignment="1">
      <alignment horizontal="center" vertical="center"/>
      <protection locked="0"/>
    </xf>
    <xf numFmtId="49" fontId="6" fillId="8" borderId="10" xfId="0" applyNumberFormat="1" applyFont="1" applyFill="1" applyBorder="1" applyAlignment="1">
      <alignment horizontal="center" vertical="center" wrapText="1"/>
      <protection locked="0"/>
    </xf>
    <xf numFmtId="49" fontId="6" fillId="8" borderId="3" xfId="0" applyNumberFormat="1" applyFont="1" applyFill="1" applyBorder="1" applyAlignment="1">
      <alignment horizontal="center" vertical="center" wrapText="1"/>
      <protection locked="0"/>
    </xf>
    <xf numFmtId="49" fontId="4" fillId="8" borderId="10" xfId="0" applyNumberFormat="1" applyFont="1" applyFill="1" applyBorder="1" applyAlignment="1">
      <alignment horizontal="center" vertical="center" wrapText="1"/>
      <protection locked="0"/>
    </xf>
    <xf numFmtId="49" fontId="6" fillId="5" borderId="13" xfId="0" applyNumberFormat="1" applyFont="1" applyFill="1" applyBorder="1" applyAlignment="1">
      <alignment horizontal="center" vertical="center"/>
      <protection locked="0"/>
    </xf>
    <xf numFmtId="49" fontId="6" fillId="5" borderId="15" xfId="0" applyNumberFormat="1" applyFont="1" applyFill="1" applyBorder="1" applyAlignment="1">
      <alignment horizontal="center" vertical="center"/>
      <protection locked="0"/>
    </xf>
    <xf numFmtId="191" fontId="6" fillId="5" borderId="1" xfId="0" applyFont="1" applyFill="1" applyBorder="1" applyAlignment="1">
      <alignment horizontal="center" vertical="center" wrapText="1"/>
      <protection locked="0"/>
    </xf>
    <xf numFmtId="191" fontId="6" fillId="5" borderId="4" xfId="0" applyFont="1" applyFill="1" applyBorder="1" applyAlignment="1">
      <alignment horizontal="center" vertical="center" wrapText="1"/>
      <protection locked="0"/>
    </xf>
    <xf numFmtId="191" fontId="6" fillId="5" borderId="12" xfId="0" applyFont="1" applyFill="1" applyBorder="1" applyAlignment="1">
      <alignment horizontal="center" vertical="center" wrapText="1"/>
      <protection locked="0"/>
    </xf>
    <xf numFmtId="191" fontId="44" fillId="13" borderId="10" xfId="35" applyNumberFormat="1" applyFont="1" applyFill="1" applyBorder="1" applyAlignment="1" applyProtection="1">
      <alignment horizontal="center" vertical="center" wrapText="1"/>
    </xf>
    <xf numFmtId="49" fontId="44" fillId="8" borderId="10" xfId="0" applyNumberFormat="1" applyFont="1" applyFill="1" applyBorder="1" applyAlignment="1">
      <alignment horizontal="center" vertical="center" wrapText="1"/>
      <protection locked="0"/>
    </xf>
    <xf numFmtId="49" fontId="44" fillId="8" borderId="3" xfId="0" applyNumberFormat="1" applyFont="1" applyFill="1" applyBorder="1" applyAlignment="1">
      <alignment horizontal="center" vertical="center" wrapText="1"/>
      <protection locked="0"/>
    </xf>
    <xf numFmtId="49" fontId="46" fillId="8" borderId="10" xfId="0" applyNumberFormat="1" applyFont="1" applyFill="1" applyBorder="1" applyAlignment="1">
      <alignment horizontal="center" vertical="center" wrapText="1"/>
      <protection locked="0"/>
    </xf>
    <xf numFmtId="191" fontId="44" fillId="13" borderId="3" xfId="35" applyNumberFormat="1" applyFont="1" applyFill="1" applyBorder="1" applyAlignment="1" applyProtection="1">
      <alignment horizontal="center" vertical="center" wrapText="1"/>
    </xf>
    <xf numFmtId="49" fontId="11" fillId="0" borderId="0" xfId="42" applyNumberFormat="1" applyFont="1" applyAlignment="1">
      <alignment horizontal="center" vertical="center" wrapText="1"/>
    </xf>
    <xf numFmtId="191" fontId="102" fillId="0" borderId="0" xfId="42" applyFont="1" applyAlignment="1">
      <alignment horizontal="center" vertical="center" wrapText="1"/>
    </xf>
    <xf numFmtId="191" fontId="6" fillId="5" borderId="3" xfId="35" applyFont="1" applyFill="1" applyBorder="1" applyAlignment="1">
      <alignment horizontal="center" vertical="center" wrapText="1"/>
      <protection locked="0"/>
    </xf>
    <xf numFmtId="191" fontId="6" fillId="5" borderId="16" xfId="35" applyFont="1" applyFill="1" applyBorder="1" applyAlignment="1">
      <alignment horizontal="center" vertical="center" wrapText="1"/>
      <protection locked="0"/>
    </xf>
    <xf numFmtId="191" fontId="6" fillId="5" borderId="13" xfId="35" applyFont="1" applyFill="1" applyBorder="1" applyAlignment="1">
      <alignment horizontal="center" vertical="center" wrapText="1"/>
      <protection locked="0"/>
    </xf>
    <xf numFmtId="191" fontId="6" fillId="5" borderId="14" xfId="35" applyFont="1" applyFill="1" applyBorder="1" applyAlignment="1">
      <alignment horizontal="center" vertical="center" wrapText="1"/>
      <protection locked="0"/>
    </xf>
    <xf numFmtId="191" fontId="4" fillId="5" borderId="3" xfId="35" applyFont="1" applyFill="1" applyBorder="1" applyAlignment="1">
      <alignment horizontal="center" vertical="center" wrapText="1"/>
      <protection locked="0"/>
    </xf>
    <xf numFmtId="191" fontId="11" fillId="0" borderId="0" xfId="42" applyFont="1" applyAlignment="1">
      <alignment horizontal="center" vertical="center" wrapText="1"/>
    </xf>
    <xf numFmtId="191" fontId="102" fillId="0" borderId="0" xfId="42" applyFont="1" applyFill="1" applyAlignment="1">
      <alignment horizontal="center" vertical="center" wrapText="1"/>
    </xf>
    <xf numFmtId="191" fontId="6" fillId="8" borderId="13" xfId="0" applyFont="1" applyFill="1" applyBorder="1" applyAlignment="1">
      <alignment horizontal="center" vertical="center" shrinkToFit="1"/>
      <protection locked="0"/>
    </xf>
    <xf numFmtId="191" fontId="6" fillId="8" borderId="15" xfId="0" applyFont="1" applyFill="1" applyBorder="1" applyAlignment="1">
      <alignment horizontal="center" vertical="center" shrinkToFit="1"/>
      <protection locked="0"/>
    </xf>
    <xf numFmtId="191" fontId="6" fillId="8" borderId="14" xfId="0" applyFont="1" applyFill="1" applyBorder="1" applyAlignment="1">
      <alignment horizontal="center" vertical="center" shrinkToFit="1"/>
      <protection locked="0"/>
    </xf>
    <xf numFmtId="191" fontId="6" fillId="5" borderId="13" xfId="0" applyFont="1" applyFill="1" applyBorder="1" applyAlignment="1">
      <alignment horizontal="center" vertical="center" shrinkToFit="1"/>
      <protection locked="0"/>
    </xf>
    <xf numFmtId="191" fontId="6" fillId="5" borderId="15" xfId="0" applyFont="1" applyFill="1" applyBorder="1" applyAlignment="1">
      <alignment horizontal="center" vertical="center" shrinkToFit="1"/>
      <protection locked="0"/>
    </xf>
    <xf numFmtId="191" fontId="6" fillId="5" borderId="14" xfId="0" applyFont="1" applyFill="1" applyBorder="1" applyAlignment="1">
      <alignment horizontal="center" vertical="center" shrinkToFit="1"/>
      <protection locked="0"/>
    </xf>
    <xf numFmtId="49" fontId="8" fillId="8" borderId="13" xfId="0" applyNumberFormat="1" applyFont="1" applyFill="1" applyBorder="1" applyAlignment="1">
      <alignment horizontal="left" vertical="center"/>
      <protection locked="0"/>
    </xf>
    <xf numFmtId="49" fontId="8" fillId="8" borderId="15" xfId="0" applyNumberFormat="1" applyFont="1" applyFill="1" applyBorder="1" applyAlignment="1">
      <alignment horizontal="left" vertical="center"/>
      <protection locked="0"/>
    </xf>
    <xf numFmtId="49" fontId="8" fillId="8" borderId="14" xfId="0" applyNumberFormat="1" applyFont="1" applyFill="1" applyBorder="1" applyAlignment="1">
      <alignment horizontal="left" vertical="center"/>
      <protection locked="0"/>
    </xf>
    <xf numFmtId="191" fontId="8" fillId="8" borderId="13" xfId="0" applyFont="1" applyFill="1" applyBorder="1" applyAlignment="1">
      <alignment horizontal="left" vertical="center"/>
      <protection locked="0"/>
    </xf>
    <xf numFmtId="191" fontId="8" fillId="8" borderId="15" xfId="0" applyFont="1" applyFill="1" applyBorder="1" applyAlignment="1">
      <alignment horizontal="left" vertical="center"/>
      <protection locked="0"/>
    </xf>
    <xf numFmtId="191" fontId="8" fillId="8" borderId="14" xfId="0" applyFont="1" applyFill="1" applyBorder="1" applyAlignment="1">
      <alignment horizontal="left" vertical="center"/>
      <protection locked="0"/>
    </xf>
    <xf numFmtId="191" fontId="6" fillId="5" borderId="13" xfId="0" applyFont="1" applyFill="1" applyBorder="1" applyAlignment="1">
      <alignment horizontal="left" vertical="center"/>
      <protection locked="0"/>
    </xf>
    <xf numFmtId="191" fontId="6" fillId="5" borderId="15" xfId="0" applyFont="1" applyFill="1" applyBorder="1" applyAlignment="1">
      <alignment horizontal="left" vertical="center"/>
      <protection locked="0"/>
    </xf>
    <xf numFmtId="191" fontId="6" fillId="5" borderId="14" xfId="0" applyFont="1" applyFill="1" applyBorder="1" applyAlignment="1">
      <alignment horizontal="left" vertical="center"/>
      <protection locked="0"/>
    </xf>
    <xf numFmtId="191" fontId="6" fillId="5" borderId="13" xfId="0" applyFont="1" applyFill="1" applyBorder="1" applyAlignment="1">
      <alignment horizontal="center" vertical="center"/>
      <protection locked="0"/>
    </xf>
    <xf numFmtId="191" fontId="6" fillId="5" borderId="15" xfId="0" applyFont="1" applyFill="1" applyBorder="1" applyAlignment="1">
      <alignment horizontal="center" vertical="center"/>
      <protection locked="0"/>
    </xf>
    <xf numFmtId="191" fontId="6" fillId="5" borderId="14" xfId="0" applyFont="1" applyFill="1" applyBorder="1" applyAlignment="1">
      <alignment horizontal="center" vertical="center"/>
      <protection locked="0"/>
    </xf>
    <xf numFmtId="191" fontId="6" fillId="5" borderId="13" xfId="0" applyFont="1" applyFill="1" applyBorder="1" applyAlignment="1">
      <alignment horizontal="center" vertical="center" wrapText="1"/>
      <protection locked="0"/>
    </xf>
    <xf numFmtId="191" fontId="6" fillId="5" borderId="15" xfId="0" applyFont="1" applyFill="1" applyBorder="1" applyAlignment="1">
      <alignment horizontal="center" vertical="center" wrapText="1"/>
      <protection locked="0"/>
    </xf>
    <xf numFmtId="191" fontId="6" fillId="5" borderId="14" xfId="0" applyFont="1" applyFill="1" applyBorder="1" applyAlignment="1">
      <alignment horizontal="center" vertical="center" wrapText="1"/>
      <protection locked="0"/>
    </xf>
    <xf numFmtId="191" fontId="4" fillId="8" borderId="10" xfId="0" applyFont="1" applyFill="1" applyBorder="1" applyAlignment="1">
      <alignment horizontal="left" vertical="center" wrapText="1"/>
      <protection locked="0"/>
    </xf>
    <xf numFmtId="191" fontId="6" fillId="8" borderId="13" xfId="0" applyFont="1" applyFill="1" applyBorder="1" applyAlignment="1">
      <alignment horizontal="left" vertical="center" wrapText="1"/>
      <protection locked="0"/>
    </xf>
    <xf numFmtId="191" fontId="6" fillId="8" borderId="15" xfId="0" applyFont="1" applyFill="1" applyBorder="1" applyAlignment="1">
      <alignment horizontal="left" vertical="center" wrapText="1"/>
      <protection locked="0"/>
    </xf>
    <xf numFmtId="191" fontId="6" fillId="8" borderId="14" xfId="0" applyFont="1" applyFill="1" applyBorder="1" applyAlignment="1">
      <alignment horizontal="left" vertical="center" wrapText="1"/>
      <protection locked="0"/>
    </xf>
    <xf numFmtId="191" fontId="6" fillId="8" borderId="10" xfId="0" applyFont="1" applyFill="1" applyBorder="1" applyAlignment="1">
      <alignment horizontal="center" vertical="center" wrapText="1"/>
      <protection locked="0"/>
    </xf>
    <xf numFmtId="43" fontId="6" fillId="0" borderId="10" xfId="0" applyNumberFormat="1" applyFont="1" applyBorder="1" applyAlignment="1">
      <alignment horizontal="center" vertical="center" wrapText="1"/>
      <protection locked="0"/>
    </xf>
    <xf numFmtId="191" fontId="8" fillId="5" borderId="10" xfId="0" applyFont="1" applyFill="1" applyBorder="1" applyAlignment="1">
      <alignment horizontal="center" vertical="center" wrapText="1"/>
      <protection locked="0"/>
    </xf>
    <xf numFmtId="191" fontId="11" fillId="0" borderId="0" xfId="42" applyFont="1" applyAlignment="1">
      <alignment horizontal="center" vertical="center"/>
    </xf>
    <xf numFmtId="191" fontId="4" fillId="8" borderId="10" xfId="47" applyFont="1" applyFill="1" applyBorder="1" applyAlignment="1" applyProtection="1">
      <alignment horizontal="center" vertical="center"/>
      <protection locked="0"/>
    </xf>
    <xf numFmtId="191" fontId="4" fillId="8" borderId="13" xfId="47" applyFont="1" applyFill="1" applyBorder="1" applyAlignment="1" applyProtection="1">
      <alignment horizontal="center" vertical="center"/>
      <protection locked="0"/>
    </xf>
    <xf numFmtId="191" fontId="4" fillId="8" borderId="15" xfId="47" applyFont="1" applyFill="1" applyBorder="1" applyAlignment="1" applyProtection="1">
      <alignment horizontal="center" vertical="center"/>
      <protection locked="0"/>
    </xf>
    <xf numFmtId="191" fontId="4" fillId="8" borderId="14" xfId="47" applyFont="1" applyFill="1" applyBorder="1" applyAlignment="1" applyProtection="1">
      <alignment horizontal="center" vertical="center"/>
      <protection locked="0"/>
    </xf>
    <xf numFmtId="191" fontId="11" fillId="0" borderId="0" xfId="0" applyFont="1" applyAlignment="1">
      <alignment horizontal="center" vertical="center"/>
      <protection locked="0"/>
    </xf>
    <xf numFmtId="191" fontId="6" fillId="5" borderId="3" xfId="47" applyFont="1" applyFill="1" applyBorder="1" applyAlignment="1" applyProtection="1">
      <alignment horizontal="center" vertical="center"/>
      <protection locked="0"/>
    </xf>
    <xf numFmtId="191" fontId="6" fillId="5" borderId="16" xfId="47" applyFont="1" applyFill="1" applyBorder="1" applyAlignment="1" applyProtection="1">
      <alignment horizontal="center" vertical="center"/>
      <protection locked="0"/>
    </xf>
    <xf numFmtId="191" fontId="6" fillId="5" borderId="15" xfId="47" applyFont="1" applyFill="1" applyBorder="1" applyAlignment="1" applyProtection="1">
      <alignment horizontal="center" vertical="center"/>
      <protection locked="0"/>
    </xf>
    <xf numFmtId="191" fontId="6" fillId="5" borderId="14" xfId="47" applyFont="1" applyFill="1" applyBorder="1" applyAlignment="1" applyProtection="1">
      <alignment horizontal="center" vertical="center"/>
      <protection locked="0"/>
    </xf>
    <xf numFmtId="191" fontId="6" fillId="5" borderId="13" xfId="47" applyFont="1" applyFill="1" applyBorder="1" applyAlignment="1" applyProtection="1">
      <alignment horizontal="center" vertical="center"/>
      <protection locked="0"/>
    </xf>
    <xf numFmtId="191" fontId="11" fillId="0" borderId="0" xfId="0" applyNumberFormat="1" applyFont="1" applyAlignment="1">
      <alignment horizontal="center" vertical="center"/>
      <protection locked="0"/>
    </xf>
    <xf numFmtId="191" fontId="102" fillId="0" borderId="0" xfId="0" applyNumberFormat="1" applyFont="1" applyAlignment="1">
      <alignment horizontal="center" vertical="center"/>
      <protection locked="0"/>
    </xf>
    <xf numFmtId="191" fontId="6" fillId="5" borderId="16" xfId="0" applyFont="1" applyFill="1" applyBorder="1" applyAlignment="1">
      <alignment horizontal="center" vertical="center"/>
      <protection locked="0"/>
    </xf>
    <xf numFmtId="191" fontId="6" fillId="5" borderId="10" xfId="48" applyFont="1" applyFill="1" applyBorder="1" applyAlignment="1" applyProtection="1">
      <alignment horizontal="center" vertical="center"/>
      <protection locked="0"/>
    </xf>
    <xf numFmtId="191" fontId="6" fillId="5" borderId="10" xfId="48" applyFont="1" applyFill="1" applyBorder="1" applyAlignment="1" applyProtection="1">
      <alignment horizontal="center" vertical="center" wrapText="1"/>
      <protection locked="0"/>
    </xf>
    <xf numFmtId="191" fontId="6" fillId="5" borderId="3" xfId="48" applyFont="1" applyFill="1" applyBorder="1" applyAlignment="1" applyProtection="1">
      <alignment horizontal="center" vertical="center"/>
      <protection locked="0"/>
    </xf>
    <xf numFmtId="191" fontId="6" fillId="5" borderId="16" xfId="48" applyFont="1" applyFill="1" applyBorder="1" applyAlignment="1" applyProtection="1">
      <alignment horizontal="center" vertical="center"/>
      <protection locked="0"/>
    </xf>
    <xf numFmtId="191" fontId="6" fillId="5" borderId="3" xfId="48" applyFont="1" applyFill="1" applyBorder="1" applyAlignment="1" applyProtection="1">
      <alignment horizontal="center" vertical="center" wrapText="1"/>
      <protection locked="0"/>
    </xf>
    <xf numFmtId="191" fontId="6" fillId="5" borderId="16" xfId="48" applyFont="1" applyFill="1" applyBorder="1" applyAlignment="1" applyProtection="1">
      <alignment horizontal="center" vertical="center" wrapText="1"/>
      <protection locked="0"/>
    </xf>
  </cellXfs>
  <cellStyles count="62">
    <cellStyle name="@_text" xfId="5"/>
    <cellStyle name="{Comma [0]}" xfId="6"/>
    <cellStyle name="{Comma}" xfId="7"/>
    <cellStyle name="{Date}" xfId="8"/>
    <cellStyle name="{Month}" xfId="9"/>
    <cellStyle name="{Percent}" xfId="10"/>
    <cellStyle name="{Thousand [0]}" xfId="11"/>
    <cellStyle name="{Thousand}" xfId="12"/>
    <cellStyle name="{Z'0000(1 dec)}" xfId="13"/>
    <cellStyle name="{Z'0000(4 dec)}" xfId="14"/>
    <cellStyle name="Black" xfId="15"/>
    <cellStyle name="Border" xfId="16"/>
    <cellStyle name="Comma [0]_1995" xfId="17"/>
    <cellStyle name="Comma_1995" xfId="18"/>
    <cellStyle name="Currency [0]_1995" xfId="19"/>
    <cellStyle name="Currency_1995" xfId="20"/>
    <cellStyle name="Dezimal [0]_laroux" xfId="21"/>
    <cellStyle name="Dezimal_laroux" xfId="22"/>
    <cellStyle name="Euro" xfId="23"/>
    <cellStyle name="Followed Hyperlink_AheadBehind.xls Chart 23" xfId="24"/>
    <cellStyle name="Grey" xfId="25"/>
    <cellStyle name="Hyperlink_AheadBehind.xls Chart 23" xfId="26"/>
    <cellStyle name="Input [yellow]" xfId="27"/>
    <cellStyle name="Milliers [0]_laroux" xfId="28"/>
    <cellStyle name="Milliers_laroux" xfId="29"/>
    <cellStyle name="Non défini" xfId="30"/>
    <cellStyle name="Normal - Style1" xfId="31"/>
    <cellStyle name="Normal_22-Jun EUS Forecasts" xfId="32"/>
    <cellStyle name="Percent [2]" xfId="33"/>
    <cellStyle name="Red" xfId="34"/>
    <cellStyle name="百分比" xfId="2" builtinId="5"/>
    <cellStyle name="常规" xfId="0" builtinId="0"/>
    <cellStyle name="常规 11 5" xfId="61"/>
    <cellStyle name="常规 2" xfId="35"/>
    <cellStyle name="常规 2 2" xfId="51"/>
    <cellStyle name="常规 3" xfId="36"/>
    <cellStyle name="常规 3_货币资金" xfId="48"/>
    <cellStyle name="常规 4" xfId="47"/>
    <cellStyle name="常规 5" xfId="50"/>
    <cellStyle name="常规 5 2" xfId="53"/>
    <cellStyle name="常规 6" xfId="52"/>
    <cellStyle name="常规 7" xfId="55"/>
    <cellStyle name="常规 7 2" xfId="58"/>
    <cellStyle name="常规 7 3" xfId="60"/>
    <cellStyle name="常规_Book1" xfId="42"/>
    <cellStyle name="常规_c-资产类" xfId="3"/>
    <cellStyle name="常规_c-资产类 2" xfId="57"/>
    <cellStyle name="常规_SA 营业收入" xfId="49"/>
    <cellStyle name="常规_sheet" xfId="45"/>
    <cellStyle name="常规_进一步审计程序--销售与收款循环" xfId="44"/>
    <cellStyle name="常规_通用表" xfId="59"/>
    <cellStyle name="常规_新审定表" xfId="4"/>
    <cellStyle name="常规_新审定表 2" xfId="54"/>
    <cellStyle name="常规_制造费用" xfId="43"/>
    <cellStyle name="超链接" xfId="46" builtinId="8"/>
    <cellStyle name="超链接 2" xfId="56"/>
    <cellStyle name="普通_ 外G9(3)" xfId="37"/>
    <cellStyle name="千分位[0]_宁波" xfId="38"/>
    <cellStyle name="千分位_宁波" xfId="39"/>
    <cellStyle name="千位[0]_laroux" xfId="40"/>
    <cellStyle name="千位_laroux" xfId="41"/>
    <cellStyle name="千位分隔" xfId="1" builtinId="3"/>
  </cellStyles>
  <dxfs count="4">
    <dxf>
      <font>
        <color rgb="FF9C0006"/>
      </font>
      <fill>
        <patternFill>
          <bgColor rgb="FFFFC7CE"/>
        </patternFill>
      </fill>
    </dxf>
    <dxf>
      <fill>
        <patternFill>
          <bgColor rgb="FFFFC7CE"/>
        </patternFill>
      </fill>
    </dxf>
    <dxf>
      <fill>
        <patternFill>
          <bgColor rgb="FFFFC7CE"/>
        </patternFill>
      </fill>
    </dxf>
    <dxf>
      <numFmt numFmtId="202" formatCode="0.00_ "/>
      <fill>
        <patternFill patternType="none">
          <fgColor indexed="64"/>
          <bgColor auto="1"/>
        </patternFill>
      </fill>
    </dxf>
  </dxfs>
  <tableStyles count="0" defaultTableStyle="TableStyleMedium2" defaultPivotStyle="PivotStyleLight16"/>
  <colors>
    <mruColors>
      <color rgb="FF0000FF"/>
      <color rgb="FFE4DFEC"/>
      <color rgb="FFFFFF66"/>
      <color rgb="FF0066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vmlDrawing2.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wmf"/><Relationship Id="rId1" Type="http://schemas.openxmlformats.org/officeDocument/2006/relationships/image" Target="../media/image1.wmf"/><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55</xdr:row>
          <xdr:rowOff>45720</xdr:rowOff>
        </xdr:from>
        <xdr:to>
          <xdr:col>3</xdr:col>
          <xdr:colOff>0</xdr:colOff>
          <xdr:row>57</xdr:row>
          <xdr:rowOff>137160</xdr:rowOff>
        </xdr:to>
        <xdr:sp macro="" textlink="">
          <xdr:nvSpPr>
            <xdr:cNvPr id="7169" name="Object 1" hidden="1">
              <a:extLst>
                <a:ext uri="{63B3BB69-23CF-44E3-9099-C40C66FF867C}">
                  <a14:compatExt spid="_x0000_s7169"/>
                </a:ext>
                <a:ext uri="{FF2B5EF4-FFF2-40B4-BE49-F238E27FC236}">
                  <a16:creationId xmlns:a16="http://schemas.microsoft.com/office/drawing/2014/main" id="{00000000-0008-0000-1400-000001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655320</xdr:colOff>
          <xdr:row>55</xdr:row>
          <xdr:rowOff>144780</xdr:rowOff>
        </xdr:from>
        <xdr:to>
          <xdr:col>7</xdr:col>
          <xdr:colOff>198120</xdr:colOff>
          <xdr:row>57</xdr:row>
          <xdr:rowOff>76200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1400-000002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99060</xdr:colOff>
          <xdr:row>61</xdr:row>
          <xdr:rowOff>30480</xdr:rowOff>
        </xdr:from>
        <xdr:to>
          <xdr:col>3</xdr:col>
          <xdr:colOff>541020</xdr:colOff>
          <xdr:row>63</xdr:row>
          <xdr:rowOff>160020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1400-000003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655320</xdr:colOff>
          <xdr:row>61</xdr:row>
          <xdr:rowOff>144780</xdr:rowOff>
        </xdr:from>
        <xdr:to>
          <xdr:col>7</xdr:col>
          <xdr:colOff>198120</xdr:colOff>
          <xdr:row>63</xdr:row>
          <xdr:rowOff>76200</xdr:rowOff>
        </xdr:to>
        <xdr:sp macro="" textlink="">
          <xdr:nvSpPr>
            <xdr:cNvPr id="7172" name="Object 4" hidden="1">
              <a:extLst>
                <a:ext uri="{63B3BB69-23CF-44E3-9099-C40C66FF867C}">
                  <a14:compatExt spid="_x0000_s7172"/>
                </a:ext>
                <a:ext uri="{FF2B5EF4-FFF2-40B4-BE49-F238E27FC236}">
                  <a16:creationId xmlns:a16="http://schemas.microsoft.com/office/drawing/2014/main" id="{00000000-0008-0000-1400-000004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45</xdr:row>
          <xdr:rowOff>0</xdr:rowOff>
        </xdr:from>
        <xdr:to>
          <xdr:col>7</xdr:col>
          <xdr:colOff>480060</xdr:colOff>
          <xdr:row>48</xdr:row>
          <xdr:rowOff>30480</xdr:rowOff>
        </xdr:to>
        <xdr:sp macro="" textlink="">
          <xdr:nvSpPr>
            <xdr:cNvPr id="7173" name="Object 5" hidden="1">
              <a:extLst>
                <a:ext uri="{63B3BB69-23CF-44E3-9099-C40C66FF867C}">
                  <a14:compatExt spid="_x0000_s7173"/>
                </a:ext>
                <a:ext uri="{FF2B5EF4-FFF2-40B4-BE49-F238E27FC236}">
                  <a16:creationId xmlns:a16="http://schemas.microsoft.com/office/drawing/2014/main" id="{00000000-0008-0000-1400-000005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2.vml"/><Relationship Id="rId7" Type="http://schemas.openxmlformats.org/officeDocument/2006/relationships/image" Target="../media/image2.wmf"/><Relationship Id="rId12" Type="http://schemas.openxmlformats.org/officeDocument/2006/relationships/image" Target="../media/image4.wmf"/><Relationship Id="rId2" Type="http://schemas.openxmlformats.org/officeDocument/2006/relationships/drawing" Target="../drawings/drawing1.xml"/><Relationship Id="rId1" Type="http://schemas.openxmlformats.org/officeDocument/2006/relationships/printerSettings" Target="../printerSettings/printerSettings21.bin"/><Relationship Id="rId6" Type="http://schemas.openxmlformats.org/officeDocument/2006/relationships/oleObject" Target="../embeddings/oleObject2.bin"/><Relationship Id="rId11" Type="http://schemas.openxmlformats.org/officeDocument/2006/relationships/oleObject" Target="../embeddings/oleObject5.bin"/><Relationship Id="rId5" Type="http://schemas.openxmlformats.org/officeDocument/2006/relationships/image" Target="../media/image1.w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8"/>
  <sheetViews>
    <sheetView tabSelected="1" workbookViewId="0"/>
  </sheetViews>
  <sheetFormatPr defaultRowHeight="19.95" customHeight="1"/>
  <cols>
    <col min="1" max="1" width="77.59765625" style="2" customWidth="1"/>
    <col min="2" max="2" width="2" style="2" customWidth="1"/>
    <col min="3" max="3" width="2.09765625" style="2" customWidth="1"/>
    <col min="4" max="4" width="5" style="242" customWidth="1"/>
    <col min="5" max="5" width="33.3984375" style="2" customWidth="1"/>
    <col min="6" max="6" width="9.5" style="20" customWidth="1"/>
    <col min="7" max="16384" width="8.796875" style="2"/>
  </cols>
  <sheetData>
    <row r="1" spans="1:8" ht="19.95" customHeight="1">
      <c r="A1" s="26" t="s">
        <v>301</v>
      </c>
      <c r="E1" s="2" t="s">
        <v>1071</v>
      </c>
    </row>
    <row r="2" spans="1:8" ht="19.95" customHeight="1">
      <c r="A2" s="243" t="s">
        <v>1256</v>
      </c>
      <c r="B2" s="244"/>
      <c r="C2" s="244"/>
      <c r="G2" s="244"/>
      <c r="H2" s="244"/>
    </row>
    <row r="3" spans="1:8" ht="19.95" customHeight="1">
      <c r="A3" s="243" t="s">
        <v>1267</v>
      </c>
      <c r="B3" s="244"/>
      <c r="C3" s="244"/>
      <c r="D3" s="474" t="s">
        <v>1063</v>
      </c>
      <c r="E3" s="474" t="s">
        <v>302</v>
      </c>
      <c r="F3" s="474" t="s">
        <v>303</v>
      </c>
      <c r="G3" s="474" t="s">
        <v>821</v>
      </c>
      <c r="H3" s="244"/>
    </row>
    <row r="4" spans="1:8" ht="19.95" customHeight="1">
      <c r="A4" s="683" t="s">
        <v>1257</v>
      </c>
      <c r="D4" s="245"/>
      <c r="E4" s="492" t="s">
        <v>1069</v>
      </c>
      <c r="F4" s="555" t="s">
        <v>277</v>
      </c>
      <c r="G4" s="246"/>
    </row>
    <row r="5" spans="1:8" ht="19.95" customHeight="1">
      <c r="A5" s="683" t="s">
        <v>1258</v>
      </c>
      <c r="D5" s="247">
        <v>1</v>
      </c>
      <c r="E5" s="450" t="s">
        <v>1028</v>
      </c>
      <c r="F5" s="555" t="s">
        <v>299</v>
      </c>
      <c r="G5" s="246"/>
    </row>
    <row r="6" spans="1:8" ht="19.95" customHeight="1">
      <c r="A6" s="683" t="s">
        <v>1259</v>
      </c>
      <c r="D6" s="248">
        <f>D5+1</f>
        <v>2</v>
      </c>
      <c r="E6" s="450" t="s">
        <v>1029</v>
      </c>
      <c r="F6" s="555"/>
      <c r="G6" s="246" t="s">
        <v>304</v>
      </c>
    </row>
    <row r="7" spans="1:8" ht="19.95" customHeight="1">
      <c r="A7" s="683" t="s">
        <v>1260</v>
      </c>
      <c r="D7" s="248">
        <f t="shared" ref="D7:D28" si="0">D6+1</f>
        <v>3</v>
      </c>
      <c r="E7" s="450" t="s">
        <v>1030</v>
      </c>
      <c r="F7" s="555"/>
      <c r="G7" s="246" t="s">
        <v>304</v>
      </c>
    </row>
    <row r="8" spans="1:8" ht="19.95" customHeight="1">
      <c r="A8" s="249" t="s">
        <v>305</v>
      </c>
      <c r="D8" s="248">
        <f t="shared" si="0"/>
        <v>4</v>
      </c>
      <c r="E8" s="451" t="s">
        <v>1009</v>
      </c>
      <c r="F8" s="555" t="s">
        <v>300</v>
      </c>
      <c r="G8" s="246"/>
    </row>
    <row r="9" spans="1:8" ht="19.95" customHeight="1">
      <c r="A9" s="250" t="s">
        <v>306</v>
      </c>
      <c r="D9" s="248">
        <f t="shared" si="0"/>
        <v>5</v>
      </c>
      <c r="E9" s="451" t="s">
        <v>1010</v>
      </c>
      <c r="F9" s="555" t="s">
        <v>192</v>
      </c>
      <c r="G9" s="246"/>
    </row>
    <row r="10" spans="1:8" ht="19.95" customHeight="1">
      <c r="A10" s="250" t="s">
        <v>307</v>
      </c>
      <c r="D10" s="248">
        <f t="shared" si="0"/>
        <v>6</v>
      </c>
      <c r="E10" s="451" t="s">
        <v>1011</v>
      </c>
      <c r="F10" s="555" t="s">
        <v>193</v>
      </c>
      <c r="G10" s="246"/>
    </row>
    <row r="11" spans="1:8" ht="19.95" customHeight="1">
      <c r="A11" s="250" t="s">
        <v>308</v>
      </c>
      <c r="D11" s="248">
        <f t="shared" si="0"/>
        <v>7</v>
      </c>
      <c r="E11" s="451" t="s">
        <v>1012</v>
      </c>
      <c r="F11" s="555" t="s">
        <v>194</v>
      </c>
      <c r="G11" s="246"/>
    </row>
    <row r="12" spans="1:8" ht="19.95" customHeight="1">
      <c r="A12" s="250" t="s">
        <v>309</v>
      </c>
      <c r="D12" s="248">
        <f t="shared" si="0"/>
        <v>8</v>
      </c>
      <c r="E12" s="451" t="s">
        <v>1013</v>
      </c>
      <c r="F12" s="555" t="s">
        <v>195</v>
      </c>
      <c r="G12" s="246"/>
    </row>
    <row r="13" spans="1:8" ht="19.95" customHeight="1">
      <c r="A13" s="250" t="s">
        <v>310</v>
      </c>
      <c r="D13" s="248">
        <f t="shared" si="0"/>
        <v>9</v>
      </c>
      <c r="E13" s="451" t="s">
        <v>1014</v>
      </c>
      <c r="F13" s="555" t="s">
        <v>196</v>
      </c>
      <c r="G13" s="246"/>
    </row>
    <row r="14" spans="1:8" ht="19.95" customHeight="1">
      <c r="A14" s="250" t="s">
        <v>186</v>
      </c>
      <c r="D14" s="248">
        <f t="shared" si="0"/>
        <v>10</v>
      </c>
      <c r="E14" s="451" t="s">
        <v>1015</v>
      </c>
      <c r="F14" s="555" t="s">
        <v>197</v>
      </c>
      <c r="G14" s="246"/>
    </row>
    <row r="15" spans="1:8" ht="19.95" customHeight="1">
      <c r="A15" s="251"/>
      <c r="D15" s="248">
        <f t="shared" si="0"/>
        <v>11</v>
      </c>
      <c r="E15" s="451" t="s">
        <v>1016</v>
      </c>
      <c r="F15" s="555" t="s">
        <v>198</v>
      </c>
      <c r="G15" s="246"/>
    </row>
    <row r="16" spans="1:8" ht="19.95" customHeight="1">
      <c r="A16" s="684" t="s">
        <v>1263</v>
      </c>
      <c r="D16" s="248">
        <f t="shared" si="0"/>
        <v>12</v>
      </c>
      <c r="E16" s="451" t="s">
        <v>1017</v>
      </c>
      <c r="F16" s="555" t="s">
        <v>199</v>
      </c>
      <c r="G16" s="246"/>
    </row>
    <row r="17" spans="1:7" ht="19.95" customHeight="1">
      <c r="A17" s="697" t="s">
        <v>1264</v>
      </c>
      <c r="D17" s="248">
        <f t="shared" si="0"/>
        <v>13</v>
      </c>
      <c r="E17" s="451" t="s">
        <v>1018</v>
      </c>
      <c r="F17" s="555" t="s">
        <v>200</v>
      </c>
      <c r="G17" s="246"/>
    </row>
    <row r="18" spans="1:7" ht="19.95" customHeight="1">
      <c r="A18" s="697"/>
      <c r="D18" s="248">
        <f t="shared" si="0"/>
        <v>14</v>
      </c>
      <c r="E18" s="450" t="s">
        <v>1031</v>
      </c>
      <c r="F18" s="555" t="s">
        <v>201</v>
      </c>
      <c r="G18" s="246"/>
    </row>
    <row r="19" spans="1:7" ht="19.95" customHeight="1">
      <c r="A19" s="697"/>
      <c r="D19" s="248">
        <f t="shared" si="0"/>
        <v>15</v>
      </c>
      <c r="E19" s="451" t="s">
        <v>1019</v>
      </c>
      <c r="F19" s="555" t="s">
        <v>201</v>
      </c>
      <c r="G19" s="246"/>
    </row>
    <row r="20" spans="1:7" ht="19.95" customHeight="1">
      <c r="A20" s="697"/>
      <c r="D20" s="248">
        <f t="shared" si="0"/>
        <v>16</v>
      </c>
      <c r="E20" s="451" t="s">
        <v>1020</v>
      </c>
      <c r="F20" s="555" t="s">
        <v>201</v>
      </c>
      <c r="G20" s="246"/>
    </row>
    <row r="21" spans="1:7" ht="19.95" customHeight="1">
      <c r="A21" s="697" t="s">
        <v>1265</v>
      </c>
      <c r="D21" s="248">
        <f t="shared" si="0"/>
        <v>17</v>
      </c>
      <c r="E21" s="451" t="s">
        <v>1021</v>
      </c>
      <c r="F21" s="555" t="s">
        <v>202</v>
      </c>
      <c r="G21" s="246"/>
    </row>
    <row r="22" spans="1:7" ht="19.95" customHeight="1">
      <c r="A22" s="697"/>
      <c r="D22" s="248">
        <f t="shared" si="0"/>
        <v>18</v>
      </c>
      <c r="E22" s="451" t="s">
        <v>1022</v>
      </c>
      <c r="F22" s="555" t="s">
        <v>290</v>
      </c>
      <c r="G22" s="246"/>
    </row>
    <row r="23" spans="1:7" ht="19.95" customHeight="1">
      <c r="A23" s="697"/>
      <c r="D23" s="248">
        <f t="shared" si="0"/>
        <v>19</v>
      </c>
      <c r="E23" s="451" t="s">
        <v>1023</v>
      </c>
      <c r="F23" s="555" t="s">
        <v>291</v>
      </c>
      <c r="G23" s="246"/>
    </row>
    <row r="24" spans="1:7" ht="19.95" customHeight="1">
      <c r="A24" s="698" t="s">
        <v>1266</v>
      </c>
      <c r="D24" s="248">
        <f t="shared" si="0"/>
        <v>20</v>
      </c>
      <c r="E24" s="451" t="s">
        <v>1024</v>
      </c>
      <c r="F24" s="555" t="s">
        <v>292</v>
      </c>
      <c r="G24" s="246"/>
    </row>
    <row r="25" spans="1:7" ht="19.95" customHeight="1">
      <c r="A25" s="698"/>
      <c r="D25" s="248">
        <f t="shared" si="0"/>
        <v>21</v>
      </c>
      <c r="E25" s="451" t="s">
        <v>1025</v>
      </c>
      <c r="F25" s="555" t="s">
        <v>294</v>
      </c>
      <c r="G25" s="246"/>
    </row>
    <row r="26" spans="1:7" ht="19.95" customHeight="1">
      <c r="A26" s="698"/>
      <c r="D26" s="248">
        <f t="shared" si="0"/>
        <v>22</v>
      </c>
      <c r="E26" s="451" t="s">
        <v>1026</v>
      </c>
      <c r="F26" s="555" t="s">
        <v>295</v>
      </c>
      <c r="G26" s="246"/>
    </row>
    <row r="27" spans="1:7" ht="19.95" customHeight="1">
      <c r="D27" s="248">
        <f t="shared" si="0"/>
        <v>23</v>
      </c>
      <c r="E27" s="451" t="s">
        <v>1027</v>
      </c>
      <c r="F27" s="555" t="s">
        <v>296</v>
      </c>
      <c r="G27" s="246"/>
    </row>
    <row r="28" spans="1:7" ht="19.95" customHeight="1">
      <c r="D28" s="248">
        <f t="shared" si="0"/>
        <v>24</v>
      </c>
      <c r="E28" s="451" t="s">
        <v>1008</v>
      </c>
      <c r="F28" s="555" t="s">
        <v>298</v>
      </c>
      <c r="G28" s="246"/>
    </row>
  </sheetData>
  <mergeCells count="3">
    <mergeCell ref="A17:A20"/>
    <mergeCell ref="A21:A23"/>
    <mergeCell ref="A24:A26"/>
  </mergeCells>
  <phoneticPr fontId="10" type="noConversion"/>
  <hyperlinks>
    <hyperlink ref="E4" location="固定资产审计程序表H1A!A1" display="H1A 固定资产审计程序表"/>
    <hyperlink ref="E5" location="'审定表H1-1'!A1" display="审定表H1-1"/>
    <hyperlink ref="E6" location="'附注披露信息（上市公司）'!A1" display="附注披露信息（上市公司）"/>
    <hyperlink ref="E7" location="'附注披露信息（国有企业）'!A1" display="附注披露信息（国有企业）"/>
    <hyperlink ref="E8" location="'明细表H1-2'!A1" display="明细表H1-2"/>
    <hyperlink ref="E9" location="'调整分录汇总H1-3'!A1" display="调整分录汇总H1-3"/>
    <hyperlink ref="E10" location="'闲置检查表H1-4'!A1" display="闲置检查表H1-4"/>
    <hyperlink ref="E11" location="'会计政策估计检查表H1-5'!A1" display="会计政策估计检查表H1-5"/>
    <hyperlink ref="E12" location="'分析表H1-6'!A1" display="分析表H1-6"/>
    <hyperlink ref="E13" location="'增加检查表H1-7'!A1" display="增加检查表H1-7"/>
    <hyperlink ref="E14" location="'减少检查表H1-8'!A1" display="减少检查表H1-8"/>
    <hyperlink ref="E15" location="'监盘计划H1-9'!A1" display="监盘计划H1-9"/>
    <hyperlink ref="E16" location="'盘点检查表H1-10'!A1" display="盘点检查表H1-10"/>
    <hyperlink ref="E17" location="'监盘小结H1-11'!A1" display="监盘小结H1-11"/>
    <hyperlink ref="E18" location="'折旧测算表（不含减值）-直线法H1-12'!A1" display="折旧测算表（不含减值）-直线法H1-12"/>
    <hyperlink ref="E19" location="'折旧测算表（含减值）H1-12'!A1" display="折旧测算表（含减值）H1-12"/>
    <hyperlink ref="E20" location="'折旧测算表（多次减值）H1-12'!A1" display="折旧测算表（多次减值）H1-12"/>
    <hyperlink ref="E21" location="'折旧分配分析表H1-13'!A1" display="折旧分配分析表H1-13"/>
    <hyperlink ref="E22" location="'减值测算表H1-14'!A1" display="减值测算表H1-14"/>
    <hyperlink ref="E23" location="'可收回金额测试表H1-15'!A1" display="可收回金额测试表H1-15"/>
    <hyperlink ref="E24" location="'房屋建筑物权属检查表H1-16'!A1" display="房屋建筑物权属检查表H1-16"/>
    <hyperlink ref="E25" location="'运输设备权属检查表H1-17'!A1" display="运输设备权属检查表H1-17"/>
    <hyperlink ref="E26" location="'关联交易检查表H1-18'!A1" display="关联交易检查表H1-18"/>
    <hyperlink ref="E27" location="'经营租出固定资产检查表H1-19'!A1" display="经营租出固定资产检查表H1-19"/>
    <hyperlink ref="E28" location="'融资租出固定资产检查表H1-20'!A1" display="融资租出固定资产检查表H1-2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dimension ref="A1:M40"/>
  <sheetViews>
    <sheetView view="pageBreakPreview" zoomScaleSheetLayoutView="100" workbookViewId="0">
      <selection sqref="A1:J1"/>
    </sheetView>
  </sheetViews>
  <sheetFormatPr defaultColWidth="9" defaultRowHeight="19.95" customHeight="1"/>
  <cols>
    <col min="1" max="1" width="5.09765625" style="259" customWidth="1"/>
    <col min="2" max="2" width="64.59765625" style="14" customWidth="1"/>
    <col min="3" max="3" width="10.5" style="14" customWidth="1"/>
    <col min="4" max="4" width="5" style="14" customWidth="1"/>
    <col min="5" max="5" width="6.09765625" style="14" customWidth="1"/>
    <col min="6" max="6" width="5.296875" style="14" customWidth="1"/>
    <col min="7" max="7" width="7.5" style="14" customWidth="1"/>
    <col min="8" max="8" width="5.19921875" style="14" customWidth="1"/>
    <col min="9" max="9" width="3.69921875" style="14" customWidth="1"/>
    <col min="10" max="10" width="3.8984375" style="14" bestFit="1" customWidth="1"/>
    <col min="11" max="11" width="58.69921875" style="14" customWidth="1"/>
    <col min="12" max="12" width="25.59765625" style="14" customWidth="1"/>
    <col min="13" max="13" width="30.59765625" style="14" customWidth="1"/>
    <col min="14" max="16384" width="9" style="14"/>
  </cols>
  <sheetData>
    <row r="1" spans="1:11" s="12" customFormat="1" ht="19.95" customHeight="1">
      <c r="A1" s="699" t="s">
        <v>1035</v>
      </c>
      <c r="B1" s="699"/>
      <c r="C1" s="699"/>
      <c r="D1" s="699"/>
      <c r="E1" s="699"/>
      <c r="F1" s="699"/>
      <c r="G1" s="699"/>
      <c r="H1" s="699"/>
      <c r="I1" s="699"/>
      <c r="J1" s="699"/>
    </row>
    <row r="2" spans="1:11" s="12" customFormat="1" ht="19.95" customHeight="1">
      <c r="A2" s="700" t="s">
        <v>1036</v>
      </c>
      <c r="B2" s="700"/>
      <c r="C2" s="700"/>
      <c r="D2" s="700"/>
      <c r="E2" s="700"/>
      <c r="F2" s="700"/>
      <c r="G2" s="700"/>
      <c r="H2" s="700"/>
      <c r="I2" s="700"/>
      <c r="J2" s="700"/>
    </row>
    <row r="3" spans="1:11" s="253" customFormat="1" ht="19.95" customHeight="1">
      <c r="A3" s="252" t="str">
        <f>底稿目录!A2</f>
        <v>被审计单位：</v>
      </c>
      <c r="B3" s="252"/>
      <c r="C3" s="253" t="str">
        <f>底稿目录!A4</f>
        <v>编制人：</v>
      </c>
      <c r="E3" s="253" t="str">
        <f>底稿目录!A5</f>
        <v>编制日期：</v>
      </c>
      <c r="I3" s="476" t="s">
        <v>1066</v>
      </c>
      <c r="J3" s="452" t="s">
        <v>277</v>
      </c>
    </row>
    <row r="4" spans="1:11" s="253" customFormat="1" ht="19.95" customHeight="1">
      <c r="A4" s="252" t="str">
        <f>底稿目录!A3</f>
        <v>截止日：202X年12月31日</v>
      </c>
      <c r="B4" s="252"/>
      <c r="C4" s="253" t="str">
        <f>底稿目录!A6</f>
        <v>复核人：</v>
      </c>
      <c r="E4" s="253" t="str">
        <f>底稿目录!A7</f>
        <v>复核日期：</v>
      </c>
      <c r="I4" s="476" t="s">
        <v>1065</v>
      </c>
      <c r="J4" s="254"/>
    </row>
    <row r="5" spans="1:11" ht="19.95" customHeight="1">
      <c r="A5" s="701" t="s">
        <v>338</v>
      </c>
      <c r="B5" s="701"/>
    </row>
    <row r="6" spans="1:11" ht="19.95" customHeight="1">
      <c r="A6" s="255" t="s">
        <v>330</v>
      </c>
      <c r="B6" s="255"/>
      <c r="C6" s="255"/>
      <c r="D6" s="255"/>
      <c r="E6" s="255"/>
      <c r="F6" s="255"/>
      <c r="G6" s="255"/>
      <c r="H6" s="255"/>
      <c r="I6" s="255"/>
      <c r="J6" s="255"/>
    </row>
    <row r="7" spans="1:11" s="253" customFormat="1" ht="19.95" customHeight="1">
      <c r="A7" s="557" t="s">
        <v>1235</v>
      </c>
      <c r="B7" s="256"/>
      <c r="C7" s="257"/>
    </row>
    <row r="8" spans="1:11" s="253" customFormat="1" ht="19.95" customHeight="1">
      <c r="A8" s="721" t="s">
        <v>1261</v>
      </c>
      <c r="B8" s="713"/>
      <c r="C8" s="713"/>
      <c r="D8" s="713"/>
      <c r="E8" s="713"/>
      <c r="F8" s="713"/>
      <c r="G8" s="713" t="s">
        <v>317</v>
      </c>
      <c r="H8" s="713"/>
      <c r="I8" s="713"/>
      <c r="J8" s="713"/>
    </row>
    <row r="9" spans="1:11" s="253" customFormat="1" ht="19.95" customHeight="1">
      <c r="A9" s="722" t="s">
        <v>1234</v>
      </c>
      <c r="B9" s="722"/>
      <c r="C9" s="722"/>
      <c r="D9" s="722"/>
      <c r="E9" s="722"/>
      <c r="F9" s="722"/>
      <c r="G9" s="714" t="s">
        <v>177</v>
      </c>
      <c r="H9" s="714"/>
      <c r="I9" s="714"/>
      <c r="J9" s="714"/>
    </row>
    <row r="10" spans="1:11" s="253" customFormat="1" ht="19.95" customHeight="1">
      <c r="A10" s="722" t="s">
        <v>260</v>
      </c>
      <c r="B10" s="722"/>
      <c r="C10" s="722"/>
      <c r="D10" s="722"/>
      <c r="E10" s="722"/>
      <c r="F10" s="722"/>
      <c r="G10" s="714" t="s">
        <v>178</v>
      </c>
      <c r="H10" s="714"/>
      <c r="I10" s="714"/>
      <c r="J10" s="714"/>
    </row>
    <row r="11" spans="1:11" s="253" customFormat="1" ht="19.95" customHeight="1">
      <c r="A11" s="722" t="s">
        <v>1262</v>
      </c>
      <c r="B11" s="722"/>
      <c r="C11" s="722"/>
      <c r="D11" s="722"/>
      <c r="E11" s="722"/>
      <c r="F11" s="722"/>
      <c r="G11" s="714" t="s">
        <v>1116</v>
      </c>
      <c r="H11" s="714"/>
      <c r="I11" s="714"/>
      <c r="J11" s="714"/>
    </row>
    <row r="12" spans="1:11" s="253" customFormat="1" ht="19.95" customHeight="1">
      <c r="A12" s="722" t="s">
        <v>339</v>
      </c>
      <c r="B12" s="722"/>
      <c r="C12" s="722"/>
      <c r="D12" s="722"/>
      <c r="E12" s="722"/>
      <c r="F12" s="722"/>
      <c r="G12" s="714" t="s">
        <v>1117</v>
      </c>
      <c r="H12" s="714"/>
      <c r="I12" s="714"/>
      <c r="J12" s="714"/>
    </row>
    <row r="13" spans="1:11" s="253" customFormat="1" ht="19.95" customHeight="1">
      <c r="A13" s="722" t="s">
        <v>261</v>
      </c>
      <c r="B13" s="722"/>
      <c r="C13" s="722"/>
      <c r="D13" s="722"/>
      <c r="E13" s="722"/>
      <c r="F13" s="722"/>
      <c r="G13" s="714" t="s">
        <v>1118</v>
      </c>
      <c r="H13" s="714"/>
      <c r="I13" s="714"/>
      <c r="J13" s="714"/>
    </row>
    <row r="14" spans="1:11" s="253" customFormat="1" ht="19.95" customHeight="1">
      <c r="A14" s="702" t="s">
        <v>1236</v>
      </c>
      <c r="B14" s="702"/>
    </row>
    <row r="15" spans="1:11" s="253" customFormat="1" ht="23.4" customHeight="1">
      <c r="A15" s="705" t="s">
        <v>340</v>
      </c>
      <c r="B15" s="704" t="s">
        <v>1269</v>
      </c>
      <c r="C15" s="712" t="s">
        <v>180</v>
      </c>
      <c r="D15" s="711" t="s">
        <v>331</v>
      </c>
      <c r="E15" s="711"/>
      <c r="F15" s="711"/>
      <c r="G15" s="711"/>
      <c r="H15" s="711"/>
      <c r="I15" s="707" t="s">
        <v>318</v>
      </c>
      <c r="J15" s="708"/>
    </row>
    <row r="16" spans="1:11" s="253" customFormat="1" ht="37.200000000000003" customHeight="1">
      <c r="A16" s="706"/>
      <c r="B16" s="704"/>
      <c r="C16" s="712"/>
      <c r="D16" s="237" t="s">
        <v>341</v>
      </c>
      <c r="E16" s="237" t="s">
        <v>332</v>
      </c>
      <c r="F16" s="258" t="s">
        <v>319</v>
      </c>
      <c r="G16" s="258" t="s">
        <v>342</v>
      </c>
      <c r="H16" s="258" t="s">
        <v>333</v>
      </c>
      <c r="I16" s="709"/>
      <c r="J16" s="710"/>
      <c r="K16" s="685" t="s">
        <v>1268</v>
      </c>
    </row>
    <row r="17" spans="1:13" ht="65.400000000000006">
      <c r="A17" s="513" t="s">
        <v>1072</v>
      </c>
      <c r="B17" s="514" t="s">
        <v>1230</v>
      </c>
      <c r="C17" s="515" t="s">
        <v>181</v>
      </c>
      <c r="D17" s="516" t="s">
        <v>320</v>
      </c>
      <c r="E17" s="516" t="s">
        <v>320</v>
      </c>
      <c r="F17" s="516"/>
      <c r="G17" s="517" t="s">
        <v>321</v>
      </c>
      <c r="H17" s="518"/>
      <c r="I17" s="703" t="s">
        <v>1130</v>
      </c>
      <c r="J17" s="703"/>
    </row>
    <row r="18" spans="1:13" ht="38.4" customHeight="1">
      <c r="A18" s="513" t="s">
        <v>182</v>
      </c>
      <c r="B18" s="514" t="s">
        <v>268</v>
      </c>
      <c r="C18" s="519" t="s">
        <v>262</v>
      </c>
      <c r="D18" s="520" t="s">
        <v>179</v>
      </c>
      <c r="E18" s="520" t="s">
        <v>179</v>
      </c>
      <c r="F18" s="520"/>
      <c r="G18" s="520" t="s">
        <v>323</v>
      </c>
      <c r="H18" s="518"/>
      <c r="I18" s="703"/>
      <c r="J18" s="703"/>
    </row>
    <row r="19" spans="1:13" ht="41.4" customHeight="1">
      <c r="A19" s="513" t="s">
        <v>105</v>
      </c>
      <c r="B19" s="521" t="s">
        <v>322</v>
      </c>
      <c r="C19" s="519" t="s">
        <v>181</v>
      </c>
      <c r="D19" s="522"/>
      <c r="E19" s="543" t="s">
        <v>266</v>
      </c>
      <c r="F19" s="522"/>
      <c r="G19" s="520" t="s">
        <v>179</v>
      </c>
      <c r="H19" s="523"/>
      <c r="I19" s="715" t="s">
        <v>1229</v>
      </c>
      <c r="J19" s="715"/>
      <c r="K19" s="716" t="s">
        <v>334</v>
      </c>
      <c r="L19" s="717"/>
      <c r="M19" s="717"/>
    </row>
    <row r="20" spans="1:13" ht="63" customHeight="1">
      <c r="A20" s="513" t="s">
        <v>106</v>
      </c>
      <c r="B20" s="514" t="s">
        <v>1219</v>
      </c>
      <c r="C20" s="519" t="s">
        <v>343</v>
      </c>
      <c r="D20" s="524" t="s">
        <v>324</v>
      </c>
      <c r="E20" s="525" t="s">
        <v>325</v>
      </c>
      <c r="F20" s="525" t="s">
        <v>179</v>
      </c>
      <c r="G20" s="525" t="s">
        <v>179</v>
      </c>
      <c r="H20" s="525"/>
      <c r="I20" s="703"/>
      <c r="J20" s="703"/>
      <c r="K20" s="716" t="s">
        <v>344</v>
      </c>
      <c r="L20" s="717"/>
      <c r="M20" s="717"/>
    </row>
    <row r="21" spans="1:13" ht="77.400000000000006">
      <c r="A21" s="513" t="s">
        <v>183</v>
      </c>
      <c r="B21" s="526" t="s">
        <v>1227</v>
      </c>
      <c r="C21" s="519" t="s">
        <v>326</v>
      </c>
      <c r="D21" s="525" t="s">
        <v>179</v>
      </c>
      <c r="E21" s="525" t="s">
        <v>179</v>
      </c>
      <c r="F21" s="525"/>
      <c r="G21" s="524" t="s">
        <v>266</v>
      </c>
      <c r="H21" s="525"/>
      <c r="I21" s="703" t="s">
        <v>1004</v>
      </c>
      <c r="J21" s="703"/>
    </row>
    <row r="22" spans="1:13" ht="101.4" customHeight="1">
      <c r="A22" s="513" t="s">
        <v>184</v>
      </c>
      <c r="B22" s="527" t="s">
        <v>1220</v>
      </c>
      <c r="C22" s="519" t="s">
        <v>326</v>
      </c>
      <c r="D22" s="525" t="s">
        <v>179</v>
      </c>
      <c r="E22" s="525" t="s">
        <v>179</v>
      </c>
      <c r="F22" s="525"/>
      <c r="G22" s="524" t="s">
        <v>345</v>
      </c>
      <c r="H22" s="525"/>
      <c r="I22" s="703" t="s">
        <v>282</v>
      </c>
      <c r="J22" s="703"/>
    </row>
    <row r="23" spans="1:13" ht="40.200000000000003" customHeight="1">
      <c r="A23" s="513" t="s">
        <v>185</v>
      </c>
      <c r="B23" s="527" t="s">
        <v>1221</v>
      </c>
      <c r="C23" s="511" t="s">
        <v>1111</v>
      </c>
      <c r="D23" s="524" t="s">
        <v>266</v>
      </c>
      <c r="E23" s="525" t="s">
        <v>179</v>
      </c>
      <c r="F23" s="525"/>
      <c r="G23" s="525" t="s">
        <v>1119</v>
      </c>
      <c r="H23" s="525"/>
      <c r="I23" s="703"/>
      <c r="J23" s="703"/>
      <c r="K23" s="236"/>
    </row>
    <row r="24" spans="1:13" ht="43.8" customHeight="1">
      <c r="A24" s="513" t="s">
        <v>1073</v>
      </c>
      <c r="B24" s="527" t="s">
        <v>1114</v>
      </c>
      <c r="C24" s="511" t="s">
        <v>1111</v>
      </c>
      <c r="D24" s="524" t="s">
        <v>266</v>
      </c>
      <c r="E24" s="525" t="s">
        <v>179</v>
      </c>
      <c r="F24" s="525"/>
      <c r="G24" s="525" t="s">
        <v>1119</v>
      </c>
      <c r="H24" s="525"/>
      <c r="I24" s="718"/>
      <c r="J24" s="719"/>
      <c r="K24" s="236"/>
    </row>
    <row r="25" spans="1:13" ht="208.8" customHeight="1">
      <c r="A25" s="513" t="s">
        <v>1074</v>
      </c>
      <c r="B25" s="526" t="s">
        <v>1231</v>
      </c>
      <c r="C25" s="519" t="s">
        <v>326</v>
      </c>
      <c r="D25" s="524" t="s">
        <v>266</v>
      </c>
      <c r="E25" s="525" t="s">
        <v>179</v>
      </c>
      <c r="F25" s="525" t="s">
        <v>1120</v>
      </c>
      <c r="G25" s="525" t="s">
        <v>179</v>
      </c>
      <c r="H25" s="525"/>
      <c r="I25" s="703" t="s">
        <v>1005</v>
      </c>
      <c r="J25" s="703"/>
      <c r="K25" s="508"/>
    </row>
    <row r="26" spans="1:13" ht="74.400000000000006" customHeight="1">
      <c r="A26" s="513" t="s">
        <v>1075</v>
      </c>
      <c r="B26" s="527" t="s">
        <v>1232</v>
      </c>
      <c r="C26" s="528" t="s">
        <v>326</v>
      </c>
      <c r="D26" s="525" t="s">
        <v>179</v>
      </c>
      <c r="E26" s="525" t="s">
        <v>179</v>
      </c>
      <c r="F26" s="525"/>
      <c r="G26" s="524" t="s">
        <v>266</v>
      </c>
      <c r="H26" s="525"/>
      <c r="I26" s="703" t="s">
        <v>1006</v>
      </c>
      <c r="J26" s="703"/>
    </row>
    <row r="27" spans="1:13" ht="99.6" customHeight="1">
      <c r="A27" s="513" t="s">
        <v>1076</v>
      </c>
      <c r="B27" s="526" t="s">
        <v>1113</v>
      </c>
      <c r="C27" s="528" t="s">
        <v>335</v>
      </c>
      <c r="D27" s="524" t="s">
        <v>266</v>
      </c>
      <c r="E27" s="525" t="s">
        <v>325</v>
      </c>
      <c r="F27" s="525" t="s">
        <v>179</v>
      </c>
      <c r="G27" s="524" t="s">
        <v>266</v>
      </c>
      <c r="H27" s="525"/>
      <c r="I27" s="703" t="s">
        <v>1121</v>
      </c>
      <c r="J27" s="703"/>
    </row>
    <row r="28" spans="1:13" ht="156.6">
      <c r="A28" s="513" t="s">
        <v>1077</v>
      </c>
      <c r="B28" s="526" t="s">
        <v>1228</v>
      </c>
      <c r="C28" s="528" t="s">
        <v>326</v>
      </c>
      <c r="D28" s="524" t="s">
        <v>266</v>
      </c>
      <c r="E28" s="529"/>
      <c r="F28" s="525" t="s">
        <v>179</v>
      </c>
      <c r="G28" s="525" t="s">
        <v>329</v>
      </c>
      <c r="H28" s="530"/>
      <c r="I28" s="703" t="s">
        <v>1122</v>
      </c>
      <c r="J28" s="703"/>
    </row>
    <row r="29" spans="1:13" ht="28.2" customHeight="1">
      <c r="A29" s="513" t="s">
        <v>1078</v>
      </c>
      <c r="B29" s="531" t="s">
        <v>1112</v>
      </c>
      <c r="C29" s="556" t="s">
        <v>1225</v>
      </c>
      <c r="D29" s="524" t="s">
        <v>266</v>
      </c>
      <c r="E29" s="532"/>
      <c r="F29" s="525" t="s">
        <v>179</v>
      </c>
      <c r="G29" s="525" t="s">
        <v>329</v>
      </c>
      <c r="H29" s="533"/>
      <c r="I29" s="703"/>
      <c r="J29" s="703"/>
    </row>
    <row r="30" spans="1:13" ht="119.4" customHeight="1">
      <c r="A30" s="513" t="s">
        <v>1079</v>
      </c>
      <c r="B30" s="534" t="s">
        <v>1233</v>
      </c>
      <c r="C30" s="535" t="s">
        <v>328</v>
      </c>
      <c r="D30" s="532"/>
      <c r="E30" s="532"/>
      <c r="F30" s="532"/>
      <c r="G30" s="524" t="s">
        <v>266</v>
      </c>
      <c r="H30" s="533"/>
      <c r="I30" s="703" t="s">
        <v>1123</v>
      </c>
      <c r="J30" s="703"/>
    </row>
    <row r="31" spans="1:13" ht="76.2" customHeight="1">
      <c r="A31" s="513" t="s">
        <v>1080</v>
      </c>
      <c r="B31" s="536" t="s">
        <v>1109</v>
      </c>
      <c r="C31" s="535" t="s">
        <v>328</v>
      </c>
      <c r="D31" s="522"/>
      <c r="E31" s="522"/>
      <c r="F31" s="522"/>
      <c r="G31" s="539" t="s">
        <v>266</v>
      </c>
      <c r="H31" s="537"/>
      <c r="I31" s="703" t="s">
        <v>1124</v>
      </c>
      <c r="J31" s="703"/>
    </row>
    <row r="32" spans="1:13" ht="78" customHeight="1">
      <c r="A32" s="513" t="s">
        <v>1081</v>
      </c>
      <c r="B32" s="538" t="s">
        <v>1222</v>
      </c>
      <c r="C32" s="535" t="s">
        <v>328</v>
      </c>
      <c r="D32" s="522"/>
      <c r="E32" s="522"/>
      <c r="F32" s="539" t="s">
        <v>266</v>
      </c>
      <c r="G32" s="522"/>
      <c r="H32" s="537"/>
      <c r="I32" s="703" t="s">
        <v>1125</v>
      </c>
      <c r="J32" s="703"/>
    </row>
    <row r="33" spans="1:11" ht="31.2" customHeight="1">
      <c r="A33" s="513" t="s">
        <v>1082</v>
      </c>
      <c r="B33" s="536" t="s">
        <v>1226</v>
      </c>
      <c r="C33" s="535" t="s">
        <v>328</v>
      </c>
      <c r="D33" s="539" t="s">
        <v>266</v>
      </c>
      <c r="E33" s="522" t="s">
        <v>179</v>
      </c>
      <c r="F33" s="522" t="s">
        <v>179</v>
      </c>
      <c r="G33" s="539" t="s">
        <v>266</v>
      </c>
      <c r="H33" s="522" t="s">
        <v>179</v>
      </c>
      <c r="I33" s="703" t="s">
        <v>1007</v>
      </c>
      <c r="J33" s="703"/>
    </row>
    <row r="34" spans="1:11" ht="75" customHeight="1">
      <c r="A34" s="513" t="s">
        <v>1083</v>
      </c>
      <c r="B34" s="538" t="s">
        <v>336</v>
      </c>
      <c r="C34" s="540" t="s">
        <v>316</v>
      </c>
      <c r="D34" s="522" t="s">
        <v>327</v>
      </c>
      <c r="E34" s="522" t="s">
        <v>327</v>
      </c>
      <c r="F34" s="522" t="s">
        <v>329</v>
      </c>
      <c r="G34" s="522" t="s">
        <v>329</v>
      </c>
      <c r="H34" s="537"/>
      <c r="I34" s="703" t="s">
        <v>1126</v>
      </c>
      <c r="J34" s="703"/>
    </row>
    <row r="35" spans="1:11" ht="108.6" customHeight="1">
      <c r="A35" s="513" t="s">
        <v>1084</v>
      </c>
      <c r="B35" s="538" t="s">
        <v>1108</v>
      </c>
      <c r="C35" s="540" t="s">
        <v>316</v>
      </c>
      <c r="D35" s="522" t="s">
        <v>325</v>
      </c>
      <c r="E35" s="522" t="s">
        <v>327</v>
      </c>
      <c r="F35" s="522" t="s">
        <v>329</v>
      </c>
      <c r="G35" s="522" t="s">
        <v>327</v>
      </c>
      <c r="H35" s="537"/>
      <c r="I35" s="703" t="s">
        <v>1127</v>
      </c>
      <c r="J35" s="703"/>
    </row>
    <row r="36" spans="1:11" ht="24.6" customHeight="1">
      <c r="A36" s="513" t="s">
        <v>1085</v>
      </c>
      <c r="B36" s="536" t="s">
        <v>1107</v>
      </c>
      <c r="C36" s="540" t="s">
        <v>316</v>
      </c>
      <c r="D36" s="522"/>
      <c r="E36" s="522" t="s">
        <v>179</v>
      </c>
      <c r="F36" s="522"/>
      <c r="G36" s="522"/>
      <c r="H36" s="537"/>
      <c r="I36" s="703"/>
      <c r="J36" s="703"/>
    </row>
    <row r="37" spans="1:11" ht="41.4" customHeight="1">
      <c r="A37" s="513" t="s">
        <v>1086</v>
      </c>
      <c r="B37" s="536" t="s">
        <v>1106</v>
      </c>
      <c r="C37" s="511" t="s">
        <v>1111</v>
      </c>
      <c r="D37" s="522"/>
      <c r="E37" s="522"/>
      <c r="F37" s="522"/>
      <c r="G37" s="522"/>
      <c r="H37" s="537"/>
      <c r="I37" s="718"/>
      <c r="J37" s="719"/>
      <c r="K37" s="236"/>
    </row>
    <row r="38" spans="1:11" ht="24">
      <c r="A38" s="513" t="s">
        <v>1087</v>
      </c>
      <c r="B38" s="541" t="s">
        <v>1218</v>
      </c>
      <c r="C38" s="528" t="s">
        <v>326</v>
      </c>
      <c r="D38" s="542"/>
      <c r="E38" s="542"/>
      <c r="F38" s="542"/>
      <c r="G38" s="542"/>
      <c r="H38" s="522" t="s">
        <v>179</v>
      </c>
      <c r="I38" s="720" t="s">
        <v>337</v>
      </c>
      <c r="J38" s="720"/>
    </row>
    <row r="40" spans="1:11" ht="19.95" customHeight="1">
      <c r="B40" s="512"/>
    </row>
  </sheetData>
  <autoFilter ref="A16:M38">
    <filterColumn colId="8" showButton="0"/>
  </autoFilter>
  <mergeCells count="45">
    <mergeCell ref="G13:J13"/>
    <mergeCell ref="A8:F8"/>
    <mergeCell ref="A9:F9"/>
    <mergeCell ref="A10:F10"/>
    <mergeCell ref="A11:F11"/>
    <mergeCell ref="A12:F12"/>
    <mergeCell ref="A13:F13"/>
    <mergeCell ref="I26:J26"/>
    <mergeCell ref="I27:J27"/>
    <mergeCell ref="I32:J32"/>
    <mergeCell ref="I33:J33"/>
    <mergeCell ref="I31:J31"/>
    <mergeCell ref="I30:J30"/>
    <mergeCell ref="I28:J28"/>
    <mergeCell ref="I29:J29"/>
    <mergeCell ref="I38:J38"/>
    <mergeCell ref="I37:J37"/>
    <mergeCell ref="I36:J36"/>
    <mergeCell ref="I34:J34"/>
    <mergeCell ref="I35:J35"/>
    <mergeCell ref="I20:J20"/>
    <mergeCell ref="I19:J19"/>
    <mergeCell ref="K19:M19"/>
    <mergeCell ref="K20:M20"/>
    <mergeCell ref="I25:J25"/>
    <mergeCell ref="I21:J21"/>
    <mergeCell ref="I23:J23"/>
    <mergeCell ref="I24:J24"/>
    <mergeCell ref="I22:J22"/>
    <mergeCell ref="A1:J1"/>
    <mergeCell ref="A2:J2"/>
    <mergeCell ref="A5:B5"/>
    <mergeCell ref="A14:B14"/>
    <mergeCell ref="I18:J18"/>
    <mergeCell ref="B15:B16"/>
    <mergeCell ref="A15:A16"/>
    <mergeCell ref="I15:J16"/>
    <mergeCell ref="D15:H15"/>
    <mergeCell ref="C15:C16"/>
    <mergeCell ref="I17:J17"/>
    <mergeCell ref="G8:J8"/>
    <mergeCell ref="G9:J9"/>
    <mergeCell ref="G10:J10"/>
    <mergeCell ref="G11:J11"/>
    <mergeCell ref="G12:J12"/>
  </mergeCells>
  <phoneticPr fontId="10" type="noConversion"/>
  <hyperlinks>
    <hyperlink ref="J3" location="底稿目录!A1" display="H1A"/>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74"/>
  <sheetViews>
    <sheetView view="pageBreakPreview" zoomScaleSheetLayoutView="100" workbookViewId="0">
      <pane ySplit="6" topLeftCell="A7" activePane="bottomLeft" state="frozen"/>
      <selection activeCell="A12" sqref="A12:B12"/>
      <selection pane="bottomLeft" sqref="A1:I1"/>
    </sheetView>
  </sheetViews>
  <sheetFormatPr defaultColWidth="9" defaultRowHeight="19.95" customHeight="1"/>
  <cols>
    <col min="1" max="1" width="19.5" style="1" customWidth="1"/>
    <col min="2" max="2" width="10.19921875" style="1" customWidth="1"/>
    <col min="3" max="7" width="11" style="1" customWidth="1"/>
    <col min="8" max="16384" width="9" style="1"/>
  </cols>
  <sheetData>
    <row r="1" spans="1:9" ht="19.95" customHeight="1">
      <c r="A1" s="725" t="s">
        <v>1037</v>
      </c>
      <c r="B1" s="726"/>
      <c r="C1" s="726"/>
      <c r="D1" s="726"/>
      <c r="E1" s="726"/>
      <c r="F1" s="726"/>
      <c r="G1" s="726"/>
      <c r="H1" s="726"/>
      <c r="I1" s="726"/>
    </row>
    <row r="2" spans="1:9" ht="19.95" customHeight="1">
      <c r="A2" s="727" t="s">
        <v>1038</v>
      </c>
      <c r="B2" s="727"/>
      <c r="C2" s="727"/>
      <c r="D2" s="727"/>
      <c r="E2" s="727"/>
      <c r="F2" s="727"/>
      <c r="G2" s="727"/>
      <c r="H2" s="727"/>
      <c r="I2" s="727"/>
    </row>
    <row r="3" spans="1:9" ht="19.95" customHeight="1">
      <c r="A3" s="2" t="str">
        <f>底稿目录!A2</f>
        <v>被审计单位：</v>
      </c>
      <c r="B3" s="2"/>
      <c r="C3" s="2"/>
      <c r="D3" s="2" t="str">
        <f>底稿目录!A4</f>
        <v>编制人：</v>
      </c>
      <c r="G3" s="2" t="str">
        <f>底稿目录!A5</f>
        <v>编制日期：</v>
      </c>
      <c r="H3" s="476" t="s">
        <v>1066</v>
      </c>
      <c r="I3" s="452" t="s">
        <v>278</v>
      </c>
    </row>
    <row r="4" spans="1:9" ht="19.95" customHeight="1">
      <c r="A4" s="2" t="str">
        <f>底稿目录!A3</f>
        <v>截止日：202X年12月31日</v>
      </c>
      <c r="B4" s="2"/>
      <c r="C4" s="2"/>
      <c r="D4" s="2" t="str">
        <f>底稿目录!A6</f>
        <v>复核人：</v>
      </c>
      <c r="G4" s="2" t="str">
        <f>底稿目录!A7</f>
        <v>复核日期：</v>
      </c>
      <c r="H4" s="476" t="s">
        <v>1065</v>
      </c>
      <c r="I4" s="2"/>
    </row>
    <row r="5" spans="1:9" ht="26.4" customHeight="1">
      <c r="A5" s="728" t="s">
        <v>102</v>
      </c>
      <c r="B5" s="730" t="s">
        <v>346</v>
      </c>
      <c r="C5" s="731"/>
      <c r="D5" s="732"/>
      <c r="E5" s="730" t="s">
        <v>973</v>
      </c>
      <c r="F5" s="731"/>
      <c r="G5" s="732"/>
      <c r="H5" s="723" t="s">
        <v>352</v>
      </c>
      <c r="I5" s="724"/>
    </row>
    <row r="6" spans="1:9" ht="19.95" customHeight="1">
      <c r="A6" s="729"/>
      <c r="B6" s="260" t="s">
        <v>354</v>
      </c>
      <c r="C6" s="260" t="s">
        <v>974</v>
      </c>
      <c r="D6" s="260" t="s">
        <v>981</v>
      </c>
      <c r="E6" s="260" t="s">
        <v>982</v>
      </c>
      <c r="F6" s="260" t="s">
        <v>353</v>
      </c>
      <c r="G6" s="260" t="s">
        <v>347</v>
      </c>
      <c r="H6" s="261" t="s">
        <v>355</v>
      </c>
      <c r="I6" s="262" t="s">
        <v>983</v>
      </c>
    </row>
    <row r="7" spans="1:9" s="77" customFormat="1" ht="19.95" customHeight="1">
      <c r="A7" s="239" t="s">
        <v>984</v>
      </c>
      <c r="B7" s="127"/>
      <c r="C7" s="127"/>
      <c r="D7" s="127"/>
      <c r="E7" s="127"/>
      <c r="F7" s="127"/>
      <c r="G7" s="127"/>
      <c r="H7" s="128"/>
      <c r="I7" s="129"/>
    </row>
    <row r="8" spans="1:9" s="77" customFormat="1" ht="19.95" customHeight="1">
      <c r="A8" s="102" t="str">
        <f>底稿目录!A9</f>
        <v>房屋及建筑物</v>
      </c>
      <c r="B8" s="127">
        <f>'明细表H1-2'!D35</f>
        <v>0</v>
      </c>
      <c r="C8" s="127">
        <f>'明细表H1-2'!J35</f>
        <v>0</v>
      </c>
      <c r="D8" s="127">
        <f>B8+C8</f>
        <v>0</v>
      </c>
      <c r="E8" s="127">
        <f>'明细表H1-2'!I35</f>
        <v>0</v>
      </c>
      <c r="F8" s="127">
        <f>'明细表H1-2'!J35+'明细表H1-2'!K35-'明细表H1-2'!L35</f>
        <v>0</v>
      </c>
      <c r="G8" s="127">
        <f>E8+F8</f>
        <v>0</v>
      </c>
      <c r="H8" s="128">
        <f t="shared" ref="H8:H13" si="0">G8-D8</f>
        <v>0</v>
      </c>
      <c r="I8" s="129">
        <f t="shared" ref="I8:I13" si="1">IF(AND(D8=0,H8=0),0,IF(AND(D8=0,H8&gt;0),1,H8/D8))</f>
        <v>0</v>
      </c>
    </row>
    <row r="9" spans="1:9" s="77" customFormat="1" ht="19.95" customHeight="1">
      <c r="A9" s="102" t="str">
        <f>底稿目录!A10</f>
        <v>机器设备</v>
      </c>
      <c r="B9" s="127">
        <f>'明细表H1-2'!D36</f>
        <v>0</v>
      </c>
      <c r="C9" s="127">
        <f>'明细表H1-2'!J36</f>
        <v>0</v>
      </c>
      <c r="D9" s="127">
        <f>B9+C9</f>
        <v>0</v>
      </c>
      <c r="E9" s="127">
        <f>'明细表H1-2'!I36</f>
        <v>0</v>
      </c>
      <c r="F9" s="127">
        <f>'明细表H1-2'!J36+'明细表H1-2'!K36-'明细表H1-2'!L36</f>
        <v>0</v>
      </c>
      <c r="G9" s="127">
        <f>E9+F9</f>
        <v>0</v>
      </c>
      <c r="H9" s="128">
        <f t="shared" si="0"/>
        <v>0</v>
      </c>
      <c r="I9" s="129">
        <f t="shared" si="1"/>
        <v>0</v>
      </c>
    </row>
    <row r="10" spans="1:9" s="77" customFormat="1" ht="19.95" customHeight="1">
      <c r="A10" s="102" t="str">
        <f>底稿目录!A11</f>
        <v>运输设备</v>
      </c>
      <c r="B10" s="127">
        <f>'明细表H1-2'!D37</f>
        <v>0</v>
      </c>
      <c r="C10" s="127">
        <f>'明细表H1-2'!J37</f>
        <v>0</v>
      </c>
      <c r="D10" s="127">
        <f>B10+C10</f>
        <v>0</v>
      </c>
      <c r="E10" s="127">
        <f>'明细表H1-2'!I37</f>
        <v>0</v>
      </c>
      <c r="F10" s="127">
        <f>'明细表H1-2'!J37+'明细表H1-2'!K37-'明细表H1-2'!L37</f>
        <v>0</v>
      </c>
      <c r="G10" s="127">
        <f>E10+F10</f>
        <v>0</v>
      </c>
      <c r="H10" s="128">
        <f t="shared" si="0"/>
        <v>0</v>
      </c>
      <c r="I10" s="129">
        <f t="shared" si="1"/>
        <v>0</v>
      </c>
    </row>
    <row r="11" spans="1:9" s="77" customFormat="1" ht="19.95" customHeight="1">
      <c r="A11" s="102" t="str">
        <f>底稿目录!A12</f>
        <v>办公设备</v>
      </c>
      <c r="B11" s="127">
        <f>'明细表H1-2'!D38</f>
        <v>0</v>
      </c>
      <c r="C11" s="127">
        <f>'明细表H1-2'!J38</f>
        <v>0</v>
      </c>
      <c r="D11" s="127">
        <f>B11+C11</f>
        <v>0</v>
      </c>
      <c r="E11" s="127">
        <f>'明细表H1-2'!I38</f>
        <v>0</v>
      </c>
      <c r="F11" s="127">
        <f>'明细表H1-2'!J38+'明细表H1-2'!K38-'明细表H1-2'!L38</f>
        <v>0</v>
      </c>
      <c r="G11" s="127">
        <f>E11+F11</f>
        <v>0</v>
      </c>
      <c r="H11" s="128">
        <f t="shared" si="0"/>
        <v>0</v>
      </c>
      <c r="I11" s="129">
        <f t="shared" si="1"/>
        <v>0</v>
      </c>
    </row>
    <row r="12" spans="1:9" s="77" customFormat="1" ht="19.95" customHeight="1">
      <c r="A12" s="102" t="str">
        <f>底稿目录!A13</f>
        <v>其他设备</v>
      </c>
      <c r="B12" s="127">
        <f>'明细表H1-2'!D39</f>
        <v>0</v>
      </c>
      <c r="C12" s="127">
        <f>'明细表H1-2'!J39</f>
        <v>0</v>
      </c>
      <c r="D12" s="127">
        <f>B12+C12</f>
        <v>0</v>
      </c>
      <c r="E12" s="127">
        <f>'明细表H1-2'!I39</f>
        <v>0</v>
      </c>
      <c r="F12" s="127">
        <f>'明细表H1-2'!J39+'明细表H1-2'!K39-'明细表H1-2'!L39</f>
        <v>0</v>
      </c>
      <c r="G12" s="127">
        <f>E12+F12</f>
        <v>0</v>
      </c>
      <c r="H12" s="128">
        <f t="shared" si="0"/>
        <v>0</v>
      </c>
      <c r="I12" s="129">
        <f t="shared" si="1"/>
        <v>0</v>
      </c>
    </row>
    <row r="13" spans="1:9" s="77" customFormat="1" ht="19.95" customHeight="1">
      <c r="A13" s="126" t="s">
        <v>348</v>
      </c>
      <c r="B13" s="127">
        <f t="shared" ref="B13:G13" si="2">SUM(B8:B12)</f>
        <v>0</v>
      </c>
      <c r="C13" s="127">
        <f t="shared" si="2"/>
        <v>0</v>
      </c>
      <c r="D13" s="127">
        <f t="shared" si="2"/>
        <v>0</v>
      </c>
      <c r="E13" s="127">
        <f t="shared" si="2"/>
        <v>0</v>
      </c>
      <c r="F13" s="127">
        <f t="shared" si="2"/>
        <v>0</v>
      </c>
      <c r="G13" s="127">
        <f t="shared" si="2"/>
        <v>0</v>
      </c>
      <c r="H13" s="128">
        <f t="shared" si="0"/>
        <v>0</v>
      </c>
      <c r="I13" s="129">
        <f t="shared" si="1"/>
        <v>0</v>
      </c>
    </row>
    <row r="14" spans="1:9" s="77" customFormat="1" ht="19.95" customHeight="1">
      <c r="A14" s="239" t="s">
        <v>356</v>
      </c>
      <c r="B14" s="127"/>
      <c r="C14" s="127"/>
      <c r="D14" s="127"/>
      <c r="E14" s="127"/>
      <c r="F14" s="127"/>
      <c r="G14" s="127"/>
      <c r="H14" s="130"/>
      <c r="I14" s="131"/>
    </row>
    <row r="15" spans="1:9" s="77" customFormat="1" ht="19.95" customHeight="1">
      <c r="A15" s="102" t="str">
        <f>底稿目录!A9</f>
        <v>房屋及建筑物</v>
      </c>
      <c r="B15" s="127">
        <f>'明细表H1-2'!Q35</f>
        <v>0</v>
      </c>
      <c r="C15" s="127">
        <f>'明细表H1-2'!W35</f>
        <v>0</v>
      </c>
      <c r="D15" s="127">
        <f>B15+C15</f>
        <v>0</v>
      </c>
      <c r="E15" s="127">
        <f>'明细表H1-2'!V35</f>
        <v>0</v>
      </c>
      <c r="F15" s="127">
        <f>'明细表H1-2'!W35+'明细表H1-2'!X35-'明细表H1-2'!Z35+'明细表H1-2'!Y35-'明细表H1-2'!AA35</f>
        <v>0</v>
      </c>
      <c r="G15" s="127">
        <f>E15+F15</f>
        <v>0</v>
      </c>
      <c r="H15" s="128">
        <f t="shared" ref="H15:H20" si="3">G15-D15</f>
        <v>0</v>
      </c>
      <c r="I15" s="129">
        <f t="shared" ref="I15:I20" si="4">IF(AND(D15=0,H15=0),0,IF(AND(D15=0,H15&gt;0),1,H15/D15))</f>
        <v>0</v>
      </c>
    </row>
    <row r="16" spans="1:9" s="77" customFormat="1" ht="19.95" customHeight="1">
      <c r="A16" s="102" t="str">
        <f>底稿目录!A10</f>
        <v>机器设备</v>
      </c>
      <c r="B16" s="127">
        <f>'明细表H1-2'!Q36</f>
        <v>0</v>
      </c>
      <c r="C16" s="127">
        <f>'明细表H1-2'!W36</f>
        <v>0</v>
      </c>
      <c r="D16" s="127">
        <f>B16+C16</f>
        <v>0</v>
      </c>
      <c r="E16" s="127">
        <f>'明细表H1-2'!V36</f>
        <v>0</v>
      </c>
      <c r="F16" s="127">
        <f>'明细表H1-2'!W36+'明细表H1-2'!X36-'明细表H1-2'!Z36+'明细表H1-2'!Y36-'明细表H1-2'!AA36</f>
        <v>0</v>
      </c>
      <c r="G16" s="127">
        <f>E16+F16</f>
        <v>0</v>
      </c>
      <c r="H16" s="128">
        <f t="shared" si="3"/>
        <v>0</v>
      </c>
      <c r="I16" s="129">
        <f t="shared" si="4"/>
        <v>0</v>
      </c>
    </row>
    <row r="17" spans="1:9" s="77" customFormat="1" ht="19.95" customHeight="1">
      <c r="A17" s="102" t="str">
        <f>底稿目录!A11</f>
        <v>运输设备</v>
      </c>
      <c r="B17" s="127">
        <f>'明细表H1-2'!Q37</f>
        <v>0</v>
      </c>
      <c r="C17" s="127">
        <f>'明细表H1-2'!W37</f>
        <v>0</v>
      </c>
      <c r="D17" s="127">
        <f>B17+C17</f>
        <v>0</v>
      </c>
      <c r="E17" s="127">
        <f>'明细表H1-2'!V37</f>
        <v>0</v>
      </c>
      <c r="F17" s="127">
        <f>'明细表H1-2'!W37+'明细表H1-2'!X37-'明细表H1-2'!Z37+'明细表H1-2'!Y37-'明细表H1-2'!AA37</f>
        <v>0</v>
      </c>
      <c r="G17" s="127">
        <f>E17+F17</f>
        <v>0</v>
      </c>
      <c r="H17" s="128">
        <f t="shared" si="3"/>
        <v>0</v>
      </c>
      <c r="I17" s="129">
        <f t="shared" si="4"/>
        <v>0</v>
      </c>
    </row>
    <row r="18" spans="1:9" s="77" customFormat="1" ht="19.95" customHeight="1">
      <c r="A18" s="102" t="str">
        <f>底稿目录!A12</f>
        <v>办公设备</v>
      </c>
      <c r="B18" s="127">
        <f>'明细表H1-2'!Q38</f>
        <v>0</v>
      </c>
      <c r="C18" s="127">
        <f>'明细表H1-2'!W38</f>
        <v>0</v>
      </c>
      <c r="D18" s="127">
        <f>B18+C18</f>
        <v>0</v>
      </c>
      <c r="E18" s="127">
        <f>'明细表H1-2'!V38</f>
        <v>0</v>
      </c>
      <c r="F18" s="127">
        <f>'明细表H1-2'!W38+'明细表H1-2'!X38-'明细表H1-2'!Z38+'明细表H1-2'!Y38-'明细表H1-2'!AA38</f>
        <v>0</v>
      </c>
      <c r="G18" s="127">
        <f>E18+F18</f>
        <v>0</v>
      </c>
      <c r="H18" s="128">
        <f t="shared" si="3"/>
        <v>0</v>
      </c>
      <c r="I18" s="129">
        <f t="shared" si="4"/>
        <v>0</v>
      </c>
    </row>
    <row r="19" spans="1:9" s="77" customFormat="1" ht="19.95" customHeight="1">
      <c r="A19" s="102" t="str">
        <f>底稿目录!A13</f>
        <v>其他设备</v>
      </c>
      <c r="B19" s="127">
        <f>'明细表H1-2'!Q39</f>
        <v>0</v>
      </c>
      <c r="C19" s="127">
        <f>'明细表H1-2'!W39</f>
        <v>0</v>
      </c>
      <c r="D19" s="127">
        <f>B19+C19</f>
        <v>0</v>
      </c>
      <c r="E19" s="127">
        <f>'明细表H1-2'!V39</f>
        <v>0</v>
      </c>
      <c r="F19" s="127">
        <f>'明细表H1-2'!W39+'明细表H1-2'!X39-'明细表H1-2'!Z39+'明细表H1-2'!Y39-'明细表H1-2'!AA39</f>
        <v>0</v>
      </c>
      <c r="G19" s="127">
        <f>E19+F19</f>
        <v>0</v>
      </c>
      <c r="H19" s="128">
        <f t="shared" si="3"/>
        <v>0</v>
      </c>
      <c r="I19" s="129">
        <f t="shared" si="4"/>
        <v>0</v>
      </c>
    </row>
    <row r="20" spans="1:9" s="77" customFormat="1" ht="19.95" customHeight="1">
      <c r="A20" s="126" t="s">
        <v>348</v>
      </c>
      <c r="B20" s="127">
        <f t="shared" ref="B20:G20" si="5">SUM(B15:B19)</f>
        <v>0</v>
      </c>
      <c r="C20" s="127">
        <f t="shared" si="5"/>
        <v>0</v>
      </c>
      <c r="D20" s="127">
        <f t="shared" si="5"/>
        <v>0</v>
      </c>
      <c r="E20" s="127">
        <f t="shared" si="5"/>
        <v>0</v>
      </c>
      <c r="F20" s="127">
        <f t="shared" si="5"/>
        <v>0</v>
      </c>
      <c r="G20" s="127">
        <f t="shared" si="5"/>
        <v>0</v>
      </c>
      <c r="H20" s="128">
        <f t="shared" si="3"/>
        <v>0</v>
      </c>
      <c r="I20" s="129">
        <f t="shared" si="4"/>
        <v>0</v>
      </c>
    </row>
    <row r="21" spans="1:9" s="77" customFormat="1" ht="19.95" customHeight="1">
      <c r="A21" s="239" t="s">
        <v>357</v>
      </c>
      <c r="B21" s="127"/>
      <c r="C21" s="127"/>
      <c r="D21" s="127"/>
      <c r="E21" s="127"/>
      <c r="F21" s="127"/>
      <c r="G21" s="127"/>
      <c r="H21" s="130"/>
      <c r="I21" s="129"/>
    </row>
    <row r="22" spans="1:9" s="77" customFormat="1" ht="19.95" customHeight="1">
      <c r="A22" s="102" t="str">
        <f>底稿目录!A9</f>
        <v>房屋及建筑物</v>
      </c>
      <c r="B22" s="127">
        <f>'明细表H1-2'!AF35</f>
        <v>0</v>
      </c>
      <c r="C22" s="127">
        <f>'明细表H1-2'!AL35</f>
        <v>0</v>
      </c>
      <c r="D22" s="127">
        <f>B22+C22</f>
        <v>0</v>
      </c>
      <c r="E22" s="127">
        <f>'明细表H1-2'!AK35</f>
        <v>0</v>
      </c>
      <c r="F22" s="127">
        <f>'明细表H1-2'!AL35+'明细表H1-2'!AM35-'明细表H1-2'!AO35+'明细表H1-2'!AN35-'明细表H1-2'!AP35</f>
        <v>0</v>
      </c>
      <c r="G22" s="127">
        <f>E22+F22</f>
        <v>0</v>
      </c>
      <c r="H22" s="128">
        <f t="shared" ref="H22:H27" si="6">G22-D22</f>
        <v>0</v>
      </c>
      <c r="I22" s="129">
        <f t="shared" ref="I22:I27" si="7">IF(AND(D22=0,H22=0),0,IF(AND(D22=0,H22&gt;0),1,H22/D22))</f>
        <v>0</v>
      </c>
    </row>
    <row r="23" spans="1:9" s="77" customFormat="1" ht="19.95" customHeight="1">
      <c r="A23" s="102" t="str">
        <f>底稿目录!A10</f>
        <v>机器设备</v>
      </c>
      <c r="B23" s="127">
        <f>'明细表H1-2'!AF36</f>
        <v>0</v>
      </c>
      <c r="C23" s="127">
        <f>'明细表H1-2'!AL36</f>
        <v>0</v>
      </c>
      <c r="D23" s="127">
        <f>B23+C23</f>
        <v>0</v>
      </c>
      <c r="E23" s="127">
        <f>'明细表H1-2'!AK36</f>
        <v>0</v>
      </c>
      <c r="F23" s="127">
        <f>'明细表H1-2'!AL36+'明细表H1-2'!AM36-'明细表H1-2'!AO36+'明细表H1-2'!AN36-'明细表H1-2'!AP36</f>
        <v>0</v>
      </c>
      <c r="G23" s="127">
        <f>E23+F23</f>
        <v>0</v>
      </c>
      <c r="H23" s="128">
        <f t="shared" si="6"/>
        <v>0</v>
      </c>
      <c r="I23" s="129">
        <f t="shared" si="7"/>
        <v>0</v>
      </c>
    </row>
    <row r="24" spans="1:9" s="77" customFormat="1" ht="19.95" customHeight="1">
      <c r="A24" s="102" t="str">
        <f>底稿目录!A11</f>
        <v>运输设备</v>
      </c>
      <c r="B24" s="127">
        <f>'明细表H1-2'!AF37</f>
        <v>0</v>
      </c>
      <c r="C24" s="127">
        <f>'明细表H1-2'!AL37</f>
        <v>0</v>
      </c>
      <c r="D24" s="127">
        <f>B24+C24</f>
        <v>0</v>
      </c>
      <c r="E24" s="127">
        <f>'明细表H1-2'!AK37</f>
        <v>0</v>
      </c>
      <c r="F24" s="127">
        <f>'明细表H1-2'!AL37+'明细表H1-2'!AM37-'明细表H1-2'!AO37+'明细表H1-2'!AN37-'明细表H1-2'!AP37</f>
        <v>0</v>
      </c>
      <c r="G24" s="127">
        <f>E24+F24</f>
        <v>0</v>
      </c>
      <c r="H24" s="128">
        <f t="shared" si="6"/>
        <v>0</v>
      </c>
      <c r="I24" s="129">
        <f t="shared" si="7"/>
        <v>0</v>
      </c>
    </row>
    <row r="25" spans="1:9" s="77" customFormat="1" ht="19.95" customHeight="1">
      <c r="A25" s="102" t="str">
        <f>底稿目录!A12</f>
        <v>办公设备</v>
      </c>
      <c r="B25" s="127">
        <f>'明细表H1-2'!AF38</f>
        <v>0</v>
      </c>
      <c r="C25" s="127">
        <f>'明细表H1-2'!AL38</f>
        <v>0</v>
      </c>
      <c r="D25" s="127">
        <f>B25+C25</f>
        <v>0</v>
      </c>
      <c r="E25" s="127">
        <f>'明细表H1-2'!AK38</f>
        <v>0</v>
      </c>
      <c r="F25" s="127">
        <f>'明细表H1-2'!AL38+'明细表H1-2'!AM38-'明细表H1-2'!AO38+'明细表H1-2'!AN38-'明细表H1-2'!AP38</f>
        <v>0</v>
      </c>
      <c r="G25" s="127">
        <f>E25+F25</f>
        <v>0</v>
      </c>
      <c r="H25" s="128">
        <f t="shared" si="6"/>
        <v>0</v>
      </c>
      <c r="I25" s="129">
        <f t="shared" si="7"/>
        <v>0</v>
      </c>
    </row>
    <row r="26" spans="1:9" s="77" customFormat="1" ht="19.95" customHeight="1">
      <c r="A26" s="102" t="str">
        <f>底稿目录!A13</f>
        <v>其他设备</v>
      </c>
      <c r="B26" s="127">
        <f>'明细表H1-2'!AF39</f>
        <v>0</v>
      </c>
      <c r="C26" s="127">
        <f>'明细表H1-2'!AL39</f>
        <v>0</v>
      </c>
      <c r="D26" s="127">
        <f>B26+C26</f>
        <v>0</v>
      </c>
      <c r="E26" s="127">
        <f>'明细表H1-2'!AK39</f>
        <v>0</v>
      </c>
      <c r="F26" s="127">
        <f>'明细表H1-2'!AL39+'明细表H1-2'!AM39-'明细表H1-2'!AO39+'明细表H1-2'!AN39-'明细表H1-2'!AP39</f>
        <v>0</v>
      </c>
      <c r="G26" s="127">
        <f>E26+F26</f>
        <v>0</v>
      </c>
      <c r="H26" s="128">
        <f t="shared" si="6"/>
        <v>0</v>
      </c>
      <c r="I26" s="129">
        <f t="shared" si="7"/>
        <v>0</v>
      </c>
    </row>
    <row r="27" spans="1:9" s="77" customFormat="1" ht="19.95" customHeight="1">
      <c r="A27" s="126" t="s">
        <v>975</v>
      </c>
      <c r="B27" s="127">
        <f t="shared" ref="B27:G27" si="8">SUM(B22:B26)</f>
        <v>0</v>
      </c>
      <c r="C27" s="127">
        <f t="shared" si="8"/>
        <v>0</v>
      </c>
      <c r="D27" s="127">
        <f t="shared" si="8"/>
        <v>0</v>
      </c>
      <c r="E27" s="127">
        <f t="shared" si="8"/>
        <v>0</v>
      </c>
      <c r="F27" s="127">
        <f t="shared" si="8"/>
        <v>0</v>
      </c>
      <c r="G27" s="127">
        <f t="shared" si="8"/>
        <v>0</v>
      </c>
      <c r="H27" s="128">
        <f t="shared" si="6"/>
        <v>0</v>
      </c>
      <c r="I27" s="129">
        <f t="shared" si="7"/>
        <v>0</v>
      </c>
    </row>
    <row r="28" spans="1:9" s="77" customFormat="1" ht="19.95" customHeight="1">
      <c r="A28" s="239" t="s">
        <v>976</v>
      </c>
      <c r="B28" s="127"/>
      <c r="C28" s="127"/>
      <c r="D28" s="127"/>
      <c r="E28" s="127"/>
      <c r="F28" s="127"/>
      <c r="G28" s="127"/>
      <c r="H28" s="128"/>
      <c r="I28" s="129"/>
    </row>
    <row r="29" spans="1:9" s="77" customFormat="1" ht="19.95" customHeight="1">
      <c r="A29" s="102" t="str">
        <f>底稿目录!A9</f>
        <v>房屋及建筑物</v>
      </c>
      <c r="B29" s="127">
        <f>B8-B15-B22</f>
        <v>0</v>
      </c>
      <c r="C29" s="127">
        <f>C8-C15-C22</f>
        <v>0</v>
      </c>
      <c r="D29" s="127">
        <f>D8-D15-D22</f>
        <v>0</v>
      </c>
      <c r="E29" s="127">
        <f>E8-E15-E22</f>
        <v>0</v>
      </c>
      <c r="F29" s="127">
        <f>F8-F15-F22</f>
        <v>0</v>
      </c>
      <c r="G29" s="127">
        <f>E29+F29</f>
        <v>0</v>
      </c>
      <c r="H29" s="128">
        <f t="shared" ref="H29:H34" si="9">G29-D29</f>
        <v>0</v>
      </c>
      <c r="I29" s="129">
        <f t="shared" ref="I29:I34" si="10">IF(AND(D29=0,H29=0),0,IF(AND(D29=0,H29&gt;0),1,H29/D29))</f>
        <v>0</v>
      </c>
    </row>
    <row r="30" spans="1:9" s="77" customFormat="1" ht="19.95" customHeight="1">
      <c r="A30" s="102" t="str">
        <f>底稿目录!A10</f>
        <v>机器设备</v>
      </c>
      <c r="B30" s="127">
        <f t="shared" ref="B30:F33" si="11">B9-B16-B23</f>
        <v>0</v>
      </c>
      <c r="C30" s="127">
        <f>C9-C16-C23</f>
        <v>0</v>
      </c>
      <c r="D30" s="127">
        <f t="shared" si="11"/>
        <v>0</v>
      </c>
      <c r="E30" s="127">
        <f t="shared" si="11"/>
        <v>0</v>
      </c>
      <c r="F30" s="127">
        <f t="shared" si="11"/>
        <v>0</v>
      </c>
      <c r="G30" s="127">
        <f>E30+F30</f>
        <v>0</v>
      </c>
      <c r="H30" s="128">
        <f t="shared" si="9"/>
        <v>0</v>
      </c>
      <c r="I30" s="129">
        <f t="shared" si="10"/>
        <v>0</v>
      </c>
    </row>
    <row r="31" spans="1:9" s="77" customFormat="1" ht="19.95" customHeight="1">
      <c r="A31" s="102" t="str">
        <f>底稿目录!A11</f>
        <v>运输设备</v>
      </c>
      <c r="B31" s="127">
        <f t="shared" si="11"/>
        <v>0</v>
      </c>
      <c r="C31" s="127">
        <f t="shared" si="11"/>
        <v>0</v>
      </c>
      <c r="D31" s="127">
        <f t="shared" si="11"/>
        <v>0</v>
      </c>
      <c r="E31" s="127">
        <f t="shared" si="11"/>
        <v>0</v>
      </c>
      <c r="F31" s="127">
        <f t="shared" si="11"/>
        <v>0</v>
      </c>
      <c r="G31" s="127">
        <f>E31+F31</f>
        <v>0</v>
      </c>
      <c r="H31" s="128">
        <f t="shared" si="9"/>
        <v>0</v>
      </c>
      <c r="I31" s="129">
        <f t="shared" si="10"/>
        <v>0</v>
      </c>
    </row>
    <row r="32" spans="1:9" s="77" customFormat="1" ht="19.95" customHeight="1">
      <c r="A32" s="102" t="str">
        <f>底稿目录!A12</f>
        <v>办公设备</v>
      </c>
      <c r="B32" s="127">
        <f t="shared" si="11"/>
        <v>0</v>
      </c>
      <c r="C32" s="127">
        <f t="shared" si="11"/>
        <v>0</v>
      </c>
      <c r="D32" s="127">
        <f t="shared" si="11"/>
        <v>0</v>
      </c>
      <c r="E32" s="127">
        <f t="shared" si="11"/>
        <v>0</v>
      </c>
      <c r="F32" s="127">
        <f t="shared" si="11"/>
        <v>0</v>
      </c>
      <c r="G32" s="127">
        <f>E32+F32</f>
        <v>0</v>
      </c>
      <c r="H32" s="128">
        <f t="shared" si="9"/>
        <v>0</v>
      </c>
      <c r="I32" s="129">
        <f t="shared" si="10"/>
        <v>0</v>
      </c>
    </row>
    <row r="33" spans="1:9" s="77" customFormat="1" ht="19.95" customHeight="1">
      <c r="A33" s="102" t="str">
        <f>底稿目录!A13</f>
        <v>其他设备</v>
      </c>
      <c r="B33" s="127">
        <f>B12-B19-B26</f>
        <v>0</v>
      </c>
      <c r="C33" s="127">
        <f t="shared" si="11"/>
        <v>0</v>
      </c>
      <c r="D33" s="127">
        <f t="shared" si="11"/>
        <v>0</v>
      </c>
      <c r="E33" s="127">
        <f t="shared" si="11"/>
        <v>0</v>
      </c>
      <c r="F33" s="127">
        <f t="shared" si="11"/>
        <v>0</v>
      </c>
      <c r="G33" s="127">
        <f>E33+F33</f>
        <v>0</v>
      </c>
      <c r="H33" s="128">
        <f t="shared" si="9"/>
        <v>0</v>
      </c>
      <c r="I33" s="129">
        <f t="shared" si="10"/>
        <v>0</v>
      </c>
    </row>
    <row r="34" spans="1:9" s="77" customFormat="1" ht="19.95" customHeight="1">
      <c r="A34" s="126" t="s">
        <v>348</v>
      </c>
      <c r="B34" s="127">
        <f t="shared" ref="B34:G34" si="12">SUM(B29:B33)</f>
        <v>0</v>
      </c>
      <c r="C34" s="127">
        <f t="shared" si="12"/>
        <v>0</v>
      </c>
      <c r="D34" s="127">
        <f t="shared" si="12"/>
        <v>0</v>
      </c>
      <c r="E34" s="127">
        <f t="shared" si="12"/>
        <v>0</v>
      </c>
      <c r="F34" s="127">
        <f t="shared" si="12"/>
        <v>0</v>
      </c>
      <c r="G34" s="127">
        <f t="shared" si="12"/>
        <v>0</v>
      </c>
      <c r="H34" s="128">
        <f t="shared" si="9"/>
        <v>0</v>
      </c>
      <c r="I34" s="129">
        <f t="shared" si="10"/>
        <v>0</v>
      </c>
    </row>
    <row r="35" spans="1:9" ht="19.95" customHeight="1">
      <c r="A35" s="263" t="s">
        <v>985</v>
      </c>
      <c r="B35" s="81"/>
      <c r="C35" s="81"/>
      <c r="D35" s="81"/>
      <c r="E35" s="81"/>
      <c r="F35" s="81"/>
      <c r="G35" s="81"/>
      <c r="H35" s="81"/>
      <c r="I35" s="81"/>
    </row>
    <row r="36" spans="1:9" ht="19.95" customHeight="1">
      <c r="A36" s="264" t="s">
        <v>349</v>
      </c>
      <c r="D36" s="82"/>
    </row>
    <row r="37" spans="1:9" ht="19.95" customHeight="1">
      <c r="A37" s="264" t="s">
        <v>986</v>
      </c>
    </row>
    <row r="39" spans="1:9" ht="19.95" customHeight="1">
      <c r="A39" s="1" t="s">
        <v>987</v>
      </c>
    </row>
    <row r="41" spans="1:9" ht="19.95" customHeight="1">
      <c r="A41" s="265" t="s">
        <v>358</v>
      </c>
    </row>
    <row r="43" spans="1:9" ht="19.95" customHeight="1">
      <c r="A43" s="1" t="s">
        <v>977</v>
      </c>
    </row>
    <row r="46" spans="1:9" ht="19.95" customHeight="1">
      <c r="A46" s="1" t="s">
        <v>988</v>
      </c>
    </row>
    <row r="47" spans="1:9" ht="19.95" customHeight="1">
      <c r="A47" s="1" t="s">
        <v>989</v>
      </c>
    </row>
    <row r="49" spans="1:3" ht="19.95" customHeight="1">
      <c r="A49" s="1" t="s">
        <v>990</v>
      </c>
      <c r="B49" s="137"/>
      <c r="C49" s="137"/>
    </row>
    <row r="50" spans="1:3" ht="19.95" customHeight="1">
      <c r="A50" s="138"/>
      <c r="B50" s="139" t="s">
        <v>978</v>
      </c>
      <c r="C50" s="139" t="s">
        <v>991</v>
      </c>
    </row>
    <row r="51" spans="1:3" ht="19.95" customHeight="1">
      <c r="A51" s="138" t="s">
        <v>350</v>
      </c>
      <c r="B51" s="200">
        <f>G34</f>
        <v>0</v>
      </c>
      <c r="C51" s="200">
        <f>D34</f>
        <v>0</v>
      </c>
    </row>
    <row r="52" spans="1:3" ht="19.95" customHeight="1">
      <c r="A52" s="138" t="s">
        <v>992</v>
      </c>
      <c r="B52" s="140"/>
      <c r="C52" s="140"/>
    </row>
    <row r="53" spans="1:3" ht="19.95" customHeight="1">
      <c r="A53" s="138" t="s">
        <v>351</v>
      </c>
      <c r="B53" s="200">
        <f>B51+B52</f>
        <v>0</v>
      </c>
      <c r="C53" s="200">
        <f>C51+C52</f>
        <v>0</v>
      </c>
    </row>
    <row r="54" spans="1:3" ht="19.95" customHeight="1">
      <c r="A54" s="138" t="s">
        <v>979</v>
      </c>
      <c r="B54" s="151"/>
      <c r="C54" s="151"/>
    </row>
    <row r="55" spans="1:3" ht="19.95" customHeight="1">
      <c r="A55" s="138" t="s">
        <v>980</v>
      </c>
      <c r="B55" s="201">
        <f>B53-B54</f>
        <v>0</v>
      </c>
      <c r="C55" s="201">
        <f>C53-C54</f>
        <v>0</v>
      </c>
    </row>
    <row r="57" spans="1:3" ht="19.95" customHeight="1">
      <c r="A57" s="3" t="s">
        <v>359</v>
      </c>
    </row>
    <row r="60" spans="1:3" s="4" customFormat="1" ht="19.95" customHeight="1">
      <c r="A60" s="505"/>
    </row>
    <row r="61" spans="1:3" s="4" customFormat="1" ht="19.95" customHeight="1">
      <c r="A61" s="125"/>
    </row>
    <row r="62" spans="1:3" s="4" customFormat="1" ht="19.95" customHeight="1"/>
    <row r="63" spans="1:3" s="4" customFormat="1" ht="19.95" customHeight="1"/>
    <row r="64" spans="1:3" s="4" customFormat="1" ht="19.95" customHeight="1"/>
    <row r="65" spans="1:1" s="4" customFormat="1" ht="19.95" customHeight="1"/>
    <row r="66" spans="1:1" s="4" customFormat="1" ht="19.95" customHeight="1"/>
    <row r="67" spans="1:1" s="4" customFormat="1" ht="19.95" customHeight="1">
      <c r="A67" s="266"/>
    </row>
    <row r="68" spans="1:1" s="4" customFormat="1" ht="19.95" customHeight="1"/>
    <row r="69" spans="1:1" s="4" customFormat="1" ht="19.95" customHeight="1"/>
    <row r="70" spans="1:1" ht="19.95" customHeight="1">
      <c r="A70" s="4"/>
    </row>
    <row r="71" spans="1:1" ht="19.95" customHeight="1">
      <c r="A71" s="4"/>
    </row>
    <row r="72" spans="1:1" ht="19.95" customHeight="1">
      <c r="A72" s="4"/>
    </row>
    <row r="73" spans="1:1" ht="19.95" customHeight="1">
      <c r="A73" s="4"/>
    </row>
    <row r="74" spans="1:1" ht="19.95" customHeight="1">
      <c r="A74" s="4"/>
    </row>
  </sheetData>
  <mergeCells count="6">
    <mergeCell ref="H5:I5"/>
    <mergeCell ref="A1:I1"/>
    <mergeCell ref="A2:I2"/>
    <mergeCell ref="A5:A6"/>
    <mergeCell ref="B5:D5"/>
    <mergeCell ref="E5:G5"/>
  </mergeCells>
  <phoneticPr fontId="10" type="noConversion"/>
  <conditionalFormatting sqref="B51">
    <cfRule type="cellIs" dxfId="3" priority="4" operator="greaterThan">
      <formula>" -   "</formula>
    </cfRule>
    <cfRule type="cellIs" dxfId="2" priority="5" operator="greaterThan">
      <formula>" -   "</formula>
    </cfRule>
    <cfRule type="cellIs" priority="8" operator="greaterThan">
      <formula>" -   "</formula>
    </cfRule>
  </conditionalFormatting>
  <conditionalFormatting sqref="B55">
    <cfRule type="cellIs" dxfId="1" priority="2" operator="greaterThan">
      <formula>0</formula>
    </cfRule>
  </conditionalFormatting>
  <conditionalFormatting sqref="C55">
    <cfRule type="cellIs" dxfId="0" priority="1" operator="greaterThan">
      <formula>0</formula>
    </cfRule>
  </conditionalFormatting>
  <hyperlinks>
    <hyperlink ref="I3" location="底稿目录!A1" display="H1-1"/>
  </hyperlinks>
  <printOptions horizontalCentered="1"/>
  <pageMargins left="0.70866141732283472" right="0.74803149606299213" top="0.74803149606299213" bottom="0.74803149606299213" header="0.31496062992125984" footer="0.31496062992125984"/>
  <pageSetup paperSize="9" scale="79" fitToHeight="50" orientation="portrait"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W93"/>
  <sheetViews>
    <sheetView view="pageBreakPreview" zoomScaleNormal="100" zoomScaleSheetLayoutView="100" workbookViewId="0">
      <selection activeCell="H5" sqref="H5"/>
    </sheetView>
  </sheetViews>
  <sheetFormatPr defaultColWidth="9" defaultRowHeight="15.6"/>
  <cols>
    <col min="1" max="1" width="27.19921875" style="8" customWidth="1"/>
    <col min="2" max="7" width="17.19921875" style="8" customWidth="1"/>
    <col min="8" max="8" width="14.59765625" style="8" customWidth="1"/>
    <col min="9" max="9" width="14.09765625" style="8" customWidth="1"/>
    <col min="10" max="16384" width="9" style="8"/>
  </cols>
  <sheetData>
    <row r="1" spans="1:257" s="6" customFormat="1" ht="20.100000000000001" customHeight="1">
      <c r="A1" s="733" t="s">
        <v>0</v>
      </c>
      <c r="B1" s="734"/>
      <c r="C1" s="734"/>
      <c r="D1" s="734"/>
      <c r="E1" s="734"/>
      <c r="F1" s="734"/>
      <c r="G1" s="734"/>
      <c r="H1" s="157"/>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row>
    <row r="2" spans="1:257" ht="24.9" customHeight="1">
      <c r="A2" s="735" t="s">
        <v>3</v>
      </c>
      <c r="B2" s="735"/>
      <c r="C2" s="735"/>
      <c r="D2" s="735"/>
      <c r="E2" s="735"/>
      <c r="F2" s="735"/>
      <c r="G2" s="735"/>
      <c r="H2" s="158"/>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row>
    <row r="3" spans="1:257" ht="20.100000000000001" customHeight="1">
      <c r="A3" s="159" t="str">
        <f>底稿目录!A2</f>
        <v>被审计单位：</v>
      </c>
      <c r="B3" s="159"/>
      <c r="C3" s="159" t="str">
        <f>底稿目录!A4</f>
        <v>编制人：</v>
      </c>
      <c r="D3" s="160"/>
      <c r="E3" s="160"/>
      <c r="F3" s="159" t="str">
        <f>底稿目录!A6</f>
        <v>复核人：</v>
      </c>
      <c r="G3" s="477" t="s">
        <v>1066</v>
      </c>
      <c r="H3" s="453" t="s">
        <v>1032</v>
      </c>
      <c r="I3" s="9"/>
      <c r="J3" s="9"/>
      <c r="K3" s="9"/>
      <c r="L3" s="9"/>
      <c r="M3" s="9"/>
      <c r="N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row>
    <row r="4" spans="1:257" ht="20.100000000000001" customHeight="1">
      <c r="A4" s="159" t="str">
        <f>底稿目录!A3</f>
        <v>截止日：202X年12月31日</v>
      </c>
      <c r="B4" s="159"/>
      <c r="C4" s="159" t="str">
        <f>底稿目录!A5</f>
        <v>编制日期：</v>
      </c>
      <c r="D4" s="160"/>
      <c r="E4" s="160"/>
      <c r="F4" s="159" t="str">
        <f>底稿目录!A7</f>
        <v>复核日期：</v>
      </c>
      <c r="G4" s="477" t="s">
        <v>1065</v>
      </c>
      <c r="H4" s="161"/>
      <c r="I4" s="9"/>
      <c r="J4" s="9"/>
      <c r="K4" s="9"/>
      <c r="L4" s="9"/>
      <c r="M4" s="9"/>
      <c r="N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row>
    <row r="5" spans="1:257" ht="20.100000000000001" customHeight="1">
      <c r="A5" s="159"/>
      <c r="B5" s="159"/>
      <c r="C5" s="159"/>
      <c r="D5" s="162"/>
      <c r="E5" s="162"/>
      <c r="F5" s="159"/>
      <c r="G5" s="161"/>
      <c r="H5" s="161"/>
      <c r="I5" s="9"/>
      <c r="J5" s="9"/>
      <c r="K5" s="9"/>
      <c r="L5" s="9"/>
      <c r="M5" s="9"/>
      <c r="N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row>
    <row r="6" spans="1:257" ht="20.100000000000001" customHeight="1" thickBot="1">
      <c r="A6" s="163" t="s">
        <v>190</v>
      </c>
      <c r="B6" s="159"/>
      <c r="C6" s="159"/>
      <c r="D6" s="162"/>
      <c r="E6" s="162"/>
      <c r="F6" s="159"/>
      <c r="G6" s="161"/>
      <c r="H6" s="161"/>
      <c r="I6" s="9"/>
      <c r="J6" s="9"/>
      <c r="K6" s="9"/>
      <c r="L6" s="9"/>
      <c r="M6" s="9"/>
      <c r="N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row>
    <row r="7" spans="1:257" ht="20.100000000000001" customHeight="1" thickBot="1">
      <c r="A7" s="168" t="s">
        <v>203</v>
      </c>
      <c r="B7" s="169" t="s">
        <v>8</v>
      </c>
      <c r="C7" s="169" t="s">
        <v>204</v>
      </c>
      <c r="D7" s="162"/>
      <c r="E7" s="162"/>
      <c r="F7" s="159"/>
      <c r="G7" s="161"/>
      <c r="H7" s="161"/>
      <c r="I7" s="9"/>
      <c r="J7" s="9"/>
      <c r="K7" s="9"/>
      <c r="L7" s="9"/>
      <c r="M7" s="9"/>
      <c r="N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row>
    <row r="8" spans="1:257" ht="20.100000000000001" customHeight="1">
      <c r="A8" s="170" t="s">
        <v>205</v>
      </c>
      <c r="B8" s="171"/>
      <c r="C8" s="171"/>
      <c r="D8" s="162"/>
      <c r="E8" s="162"/>
      <c r="F8" s="159"/>
      <c r="G8" s="161"/>
      <c r="H8" s="161"/>
      <c r="I8" s="9"/>
      <c r="J8" s="9"/>
      <c r="K8" s="9"/>
      <c r="L8" s="9"/>
      <c r="M8" s="9"/>
      <c r="N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row>
    <row r="9" spans="1:257" ht="20.100000000000001" customHeight="1" thickBot="1">
      <c r="A9" s="172" t="s">
        <v>206</v>
      </c>
      <c r="B9" s="173"/>
      <c r="C9" s="173"/>
      <c r="D9" s="162"/>
      <c r="E9" s="162"/>
      <c r="F9" s="159"/>
      <c r="G9" s="161"/>
      <c r="H9" s="161"/>
      <c r="I9" s="9"/>
      <c r="J9" s="9"/>
      <c r="K9" s="9"/>
      <c r="L9" s="9"/>
      <c r="M9" s="9"/>
      <c r="N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row>
    <row r="10" spans="1:257" ht="20.100000000000001" customHeight="1" thickBot="1">
      <c r="A10" s="174" t="s">
        <v>207</v>
      </c>
      <c r="B10" s="175" t="s">
        <v>208</v>
      </c>
      <c r="C10" s="175" t="s">
        <v>208</v>
      </c>
      <c r="D10" s="162"/>
      <c r="E10" s="162"/>
      <c r="F10" s="159"/>
      <c r="G10" s="161"/>
      <c r="H10" s="161"/>
      <c r="I10" s="9"/>
      <c r="J10" s="9"/>
      <c r="K10" s="9"/>
      <c r="L10" s="9"/>
      <c r="M10" s="9"/>
      <c r="N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row>
    <row r="11" spans="1:257" ht="20.100000000000001" customHeight="1">
      <c r="A11" s="165" t="s">
        <v>188</v>
      </c>
      <c r="B11" s="164"/>
      <c r="C11" s="164"/>
      <c r="D11" s="162"/>
      <c r="E11" s="162"/>
      <c r="F11" s="159"/>
      <c r="G11" s="161"/>
      <c r="H11" s="161"/>
      <c r="I11" s="9"/>
      <c r="J11" s="9"/>
      <c r="K11" s="9"/>
      <c r="L11" s="9"/>
      <c r="M11" s="9"/>
      <c r="N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row>
    <row r="12" spans="1:257" ht="20.100000000000001" customHeight="1" thickBot="1">
      <c r="A12" s="165" t="s">
        <v>176</v>
      </c>
      <c r="B12" s="166"/>
      <c r="C12" s="166"/>
      <c r="D12" s="166"/>
      <c r="E12" s="166"/>
      <c r="F12" s="166"/>
      <c r="G12" s="166"/>
      <c r="H12" s="160"/>
    </row>
    <row r="13" spans="1:257" ht="16.2" thickBot="1">
      <c r="A13" s="176" t="s">
        <v>209</v>
      </c>
      <c r="B13" s="177" t="s">
        <v>12</v>
      </c>
      <c r="C13" s="177" t="s">
        <v>1</v>
      </c>
      <c r="D13" s="177" t="s">
        <v>2</v>
      </c>
      <c r="E13" s="178" t="s">
        <v>84</v>
      </c>
      <c r="F13" s="177" t="s">
        <v>210</v>
      </c>
    </row>
    <row r="14" spans="1:257">
      <c r="A14" s="179" t="s">
        <v>85</v>
      </c>
      <c r="B14" s="180"/>
      <c r="C14" s="181"/>
      <c r="D14" s="181"/>
      <c r="E14" s="181"/>
      <c r="F14" s="181"/>
    </row>
    <row r="15" spans="1:257">
      <c r="A15" s="182" t="s">
        <v>211</v>
      </c>
      <c r="B15" s="183"/>
      <c r="C15" s="183"/>
      <c r="D15" s="183"/>
      <c r="E15" s="183"/>
      <c r="F15" s="184"/>
    </row>
    <row r="16" spans="1:257">
      <c r="A16" s="182" t="s">
        <v>212</v>
      </c>
      <c r="B16" s="184"/>
      <c r="C16" s="184"/>
      <c r="D16" s="184"/>
      <c r="E16" s="184"/>
      <c r="F16" s="184"/>
    </row>
    <row r="17" spans="1:6">
      <c r="A17" s="182" t="s">
        <v>213</v>
      </c>
      <c r="B17" s="184"/>
      <c r="C17" s="184"/>
      <c r="D17" s="184"/>
      <c r="E17" s="184"/>
      <c r="F17" s="184"/>
    </row>
    <row r="18" spans="1:6">
      <c r="A18" s="182" t="s">
        <v>214</v>
      </c>
      <c r="B18" s="184"/>
      <c r="C18" s="184"/>
      <c r="D18" s="184"/>
      <c r="E18" s="184"/>
      <c r="F18" s="184"/>
    </row>
    <row r="19" spans="1:6">
      <c r="A19" s="182" t="s">
        <v>215</v>
      </c>
      <c r="B19" s="184"/>
      <c r="C19" s="184"/>
      <c r="D19" s="184"/>
      <c r="E19" s="184"/>
      <c r="F19" s="184"/>
    </row>
    <row r="20" spans="1:6">
      <c r="A20" s="182" t="s">
        <v>216</v>
      </c>
      <c r="B20" s="184"/>
      <c r="C20" s="184"/>
      <c r="D20" s="184"/>
      <c r="E20" s="184"/>
      <c r="F20" s="184"/>
    </row>
    <row r="21" spans="1:6">
      <c r="A21" s="182" t="s">
        <v>217</v>
      </c>
      <c r="B21" s="184"/>
      <c r="C21" s="184"/>
      <c r="D21" s="184"/>
      <c r="E21" s="184"/>
      <c r="F21" s="184"/>
    </row>
    <row r="22" spans="1:6">
      <c r="A22" s="182" t="s">
        <v>218</v>
      </c>
      <c r="B22" s="184"/>
      <c r="C22" s="184"/>
      <c r="D22" s="184"/>
      <c r="E22" s="184"/>
      <c r="F22" s="184"/>
    </row>
    <row r="23" spans="1:6">
      <c r="A23" s="182" t="s">
        <v>219</v>
      </c>
      <c r="B23" s="184"/>
      <c r="C23" s="184"/>
      <c r="D23" s="184"/>
      <c r="E23" s="184"/>
      <c r="F23" s="184"/>
    </row>
    <row r="24" spans="1:6">
      <c r="A24" s="182" t="s">
        <v>216</v>
      </c>
      <c r="B24" s="184"/>
      <c r="C24" s="184"/>
      <c r="D24" s="184"/>
      <c r="E24" s="184"/>
      <c r="F24" s="184"/>
    </row>
    <row r="25" spans="1:6">
      <c r="A25" s="182" t="s">
        <v>220</v>
      </c>
      <c r="B25" s="184"/>
      <c r="C25" s="184"/>
      <c r="D25" s="184"/>
      <c r="E25" s="184"/>
      <c r="F25" s="184"/>
    </row>
    <row r="26" spans="1:6">
      <c r="A26" s="179" t="s">
        <v>86</v>
      </c>
      <c r="B26" s="180"/>
      <c r="C26" s="181"/>
      <c r="D26" s="181"/>
      <c r="E26" s="181"/>
      <c r="F26" s="181"/>
    </row>
    <row r="27" spans="1:6">
      <c r="A27" s="182" t="s">
        <v>211</v>
      </c>
      <c r="B27" s="183"/>
      <c r="C27" s="183"/>
      <c r="D27" s="183"/>
      <c r="E27" s="183"/>
      <c r="F27" s="184"/>
    </row>
    <row r="28" spans="1:6">
      <c r="A28" s="182" t="s">
        <v>212</v>
      </c>
      <c r="B28" s="184"/>
      <c r="C28" s="184"/>
      <c r="D28" s="184"/>
      <c r="E28" s="184"/>
      <c r="F28" s="184"/>
    </row>
    <row r="29" spans="1:6">
      <c r="A29" s="182" t="s">
        <v>221</v>
      </c>
      <c r="B29" s="184"/>
      <c r="C29" s="184"/>
      <c r="D29" s="184"/>
      <c r="E29" s="184"/>
      <c r="F29" s="184"/>
    </row>
    <row r="30" spans="1:6">
      <c r="A30" s="182" t="s">
        <v>222</v>
      </c>
      <c r="B30" s="184"/>
      <c r="C30" s="184"/>
      <c r="D30" s="184"/>
      <c r="E30" s="184"/>
      <c r="F30" s="184"/>
    </row>
    <row r="31" spans="1:6">
      <c r="A31" s="182" t="s">
        <v>216</v>
      </c>
      <c r="B31" s="184"/>
      <c r="C31" s="184"/>
      <c r="D31" s="184"/>
      <c r="E31" s="184"/>
      <c r="F31" s="184"/>
    </row>
    <row r="32" spans="1:6">
      <c r="A32" s="182" t="s">
        <v>217</v>
      </c>
      <c r="B32" s="184"/>
      <c r="C32" s="184"/>
      <c r="D32" s="184"/>
      <c r="E32" s="184"/>
      <c r="F32" s="184"/>
    </row>
    <row r="33" spans="1:6">
      <c r="A33" s="182" t="s">
        <v>218</v>
      </c>
      <c r="B33" s="184"/>
      <c r="C33" s="184"/>
      <c r="D33" s="184"/>
      <c r="E33" s="184"/>
      <c r="F33" s="184"/>
    </row>
    <row r="34" spans="1:6">
      <c r="A34" s="182" t="s">
        <v>219</v>
      </c>
      <c r="B34" s="184"/>
      <c r="C34" s="184"/>
      <c r="D34" s="184"/>
      <c r="E34" s="184"/>
      <c r="F34" s="184"/>
    </row>
    <row r="35" spans="1:6">
      <c r="A35" s="182" t="s">
        <v>216</v>
      </c>
      <c r="B35" s="184"/>
      <c r="C35" s="184"/>
      <c r="D35" s="184"/>
      <c r="E35" s="184"/>
      <c r="F35" s="184"/>
    </row>
    <row r="36" spans="1:6">
      <c r="A36" s="182" t="s">
        <v>220</v>
      </c>
      <c r="B36" s="184"/>
      <c r="C36" s="184"/>
      <c r="D36" s="184"/>
      <c r="E36" s="184"/>
      <c r="F36" s="184"/>
    </row>
    <row r="37" spans="1:6">
      <c r="A37" s="179" t="s">
        <v>87</v>
      </c>
      <c r="B37" s="180"/>
      <c r="C37" s="181"/>
      <c r="D37" s="181"/>
      <c r="E37" s="181"/>
      <c r="F37" s="181"/>
    </row>
    <row r="38" spans="1:6">
      <c r="A38" s="182" t="s">
        <v>211</v>
      </c>
      <c r="B38" s="183"/>
      <c r="C38" s="183"/>
      <c r="D38" s="183"/>
      <c r="E38" s="183"/>
      <c r="F38" s="184"/>
    </row>
    <row r="39" spans="1:6">
      <c r="A39" s="182" t="s">
        <v>212</v>
      </c>
      <c r="B39" s="184"/>
      <c r="C39" s="184"/>
      <c r="D39" s="184"/>
      <c r="E39" s="184"/>
      <c r="F39" s="184"/>
    </row>
    <row r="40" spans="1:6">
      <c r="A40" s="182" t="s">
        <v>221</v>
      </c>
      <c r="B40" s="184"/>
      <c r="C40" s="184"/>
      <c r="D40" s="184"/>
      <c r="E40" s="184"/>
      <c r="F40" s="184"/>
    </row>
    <row r="41" spans="1:6">
      <c r="A41" s="182" t="s">
        <v>222</v>
      </c>
      <c r="B41" s="184"/>
      <c r="C41" s="184"/>
      <c r="D41" s="184"/>
      <c r="E41" s="184"/>
      <c r="F41" s="184"/>
    </row>
    <row r="42" spans="1:6">
      <c r="A42" s="182" t="s">
        <v>216</v>
      </c>
      <c r="B42" s="184"/>
      <c r="C42" s="184"/>
      <c r="D42" s="184"/>
      <c r="E42" s="184"/>
      <c r="F42" s="184"/>
    </row>
    <row r="43" spans="1:6">
      <c r="A43" s="182" t="s">
        <v>217</v>
      </c>
      <c r="B43" s="184"/>
      <c r="C43" s="184"/>
      <c r="D43" s="184"/>
      <c r="E43" s="184"/>
      <c r="F43" s="184"/>
    </row>
    <row r="44" spans="1:6">
      <c r="A44" s="182" t="s">
        <v>218</v>
      </c>
      <c r="B44" s="184"/>
      <c r="C44" s="184"/>
      <c r="D44" s="184"/>
      <c r="E44" s="184"/>
      <c r="F44" s="184"/>
    </row>
    <row r="45" spans="1:6">
      <c r="A45" s="182" t="s">
        <v>219</v>
      </c>
      <c r="B45" s="184"/>
      <c r="C45" s="184"/>
      <c r="D45" s="184"/>
      <c r="E45" s="184"/>
      <c r="F45" s="184"/>
    </row>
    <row r="46" spans="1:6">
      <c r="A46" s="182" t="s">
        <v>216</v>
      </c>
      <c r="B46" s="184"/>
      <c r="C46" s="184"/>
      <c r="D46" s="184"/>
      <c r="E46" s="184"/>
      <c r="F46" s="184"/>
    </row>
    <row r="47" spans="1:6">
      <c r="A47" s="182" t="s">
        <v>220</v>
      </c>
      <c r="B47" s="184"/>
      <c r="C47" s="184"/>
      <c r="D47" s="184"/>
      <c r="E47" s="184"/>
      <c r="F47" s="184"/>
    </row>
    <row r="48" spans="1:6">
      <c r="A48" s="179" t="s">
        <v>88</v>
      </c>
      <c r="B48" s="180"/>
      <c r="C48" s="181"/>
      <c r="D48" s="181"/>
      <c r="E48" s="181"/>
      <c r="F48" s="181"/>
    </row>
    <row r="49" spans="1:6">
      <c r="A49" s="182" t="s">
        <v>223</v>
      </c>
      <c r="B49" s="184"/>
      <c r="C49" s="184"/>
      <c r="D49" s="184"/>
      <c r="E49" s="184"/>
      <c r="F49" s="184"/>
    </row>
    <row r="50" spans="1:6" ht="16.2" thickBot="1">
      <c r="A50" s="185" t="s">
        <v>224</v>
      </c>
      <c r="B50" s="186"/>
      <c r="C50" s="186"/>
      <c r="D50" s="186"/>
      <c r="E50" s="186"/>
      <c r="F50" s="186"/>
    </row>
    <row r="52" spans="1:6" ht="69.599999999999994" customHeight="1">
      <c r="A52" s="736" t="s">
        <v>225</v>
      </c>
      <c r="B52" s="736"/>
      <c r="C52" s="736"/>
      <c r="D52" s="736"/>
      <c r="E52" s="736"/>
      <c r="F52" s="736"/>
    </row>
    <row r="53" spans="1:6" ht="33" customHeight="1">
      <c r="A53" s="737" t="s">
        <v>226</v>
      </c>
      <c r="B53" s="737"/>
      <c r="C53" s="737"/>
      <c r="D53" s="737"/>
      <c r="E53" s="737"/>
      <c r="F53" s="737"/>
    </row>
    <row r="54" spans="1:6" ht="26.4" customHeight="1">
      <c r="A54" s="736" t="s">
        <v>227</v>
      </c>
      <c r="B54" s="736"/>
      <c r="C54" s="736"/>
      <c r="D54" s="736"/>
      <c r="E54" s="736"/>
      <c r="F54" s="736"/>
    </row>
    <row r="55" spans="1:6" ht="36.6" customHeight="1">
      <c r="A55" s="736" t="s">
        <v>228</v>
      </c>
      <c r="B55" s="736"/>
      <c r="C55" s="736"/>
      <c r="D55" s="736"/>
      <c r="E55" s="736"/>
      <c r="F55" s="736"/>
    </row>
    <row r="56" spans="1:6" ht="36.6" customHeight="1">
      <c r="A56" s="736" t="s">
        <v>229</v>
      </c>
      <c r="B56" s="736"/>
      <c r="C56" s="736"/>
      <c r="D56" s="736"/>
      <c r="E56" s="736"/>
      <c r="F56" s="736"/>
    </row>
    <row r="57" spans="1:6" ht="36.6" customHeight="1">
      <c r="A57" s="736" t="s">
        <v>230</v>
      </c>
      <c r="B57" s="736"/>
      <c r="C57" s="736"/>
      <c r="D57" s="736"/>
      <c r="E57" s="736"/>
      <c r="F57" s="736"/>
    </row>
    <row r="58" spans="1:6" ht="27" customHeight="1">
      <c r="A58" s="736" t="s">
        <v>231</v>
      </c>
      <c r="B58" s="736"/>
      <c r="C58" s="736"/>
      <c r="D58" s="736"/>
      <c r="E58" s="736"/>
      <c r="F58" s="736"/>
    </row>
    <row r="59" spans="1:6" ht="16.2" thickBot="1">
      <c r="A59" s="193" t="s">
        <v>232</v>
      </c>
      <c r="B59"/>
      <c r="C59"/>
      <c r="D59"/>
      <c r="E59"/>
      <c r="F59"/>
    </row>
    <row r="60" spans="1:6" ht="16.2" thickBot="1">
      <c r="A60" s="188" t="s">
        <v>209</v>
      </c>
      <c r="B60" s="169" t="s">
        <v>89</v>
      </c>
      <c r="C60" s="189" t="s">
        <v>7</v>
      </c>
      <c r="D60" s="189" t="s">
        <v>10</v>
      </c>
      <c r="E60" s="189" t="s">
        <v>9</v>
      </c>
      <c r="F60" s="169" t="s">
        <v>6</v>
      </c>
    </row>
    <row r="61" spans="1:6">
      <c r="A61" s="190" t="s">
        <v>12</v>
      </c>
      <c r="B61" s="171"/>
      <c r="C61" s="171"/>
      <c r="D61" s="171"/>
      <c r="E61" s="171"/>
      <c r="F61" s="171"/>
    </row>
    <row r="62" spans="1:6">
      <c r="A62" s="190" t="s">
        <v>1</v>
      </c>
      <c r="B62" s="171"/>
      <c r="C62" s="171"/>
      <c r="D62" s="171"/>
      <c r="E62" s="171"/>
      <c r="F62" s="171"/>
    </row>
    <row r="63" spans="1:6">
      <c r="A63" s="190" t="s">
        <v>5</v>
      </c>
      <c r="B63" s="171"/>
      <c r="C63" s="171"/>
      <c r="D63" s="171"/>
      <c r="E63" s="171"/>
      <c r="F63" s="171"/>
    </row>
    <row r="64" spans="1:6">
      <c r="A64" s="190" t="s">
        <v>2</v>
      </c>
      <c r="B64" s="171"/>
      <c r="C64" s="171"/>
      <c r="D64" s="171"/>
      <c r="E64" s="171"/>
      <c r="F64" s="171"/>
    </row>
    <row r="65" spans="1:6" ht="16.2" thickBot="1">
      <c r="A65" s="191" t="s">
        <v>90</v>
      </c>
      <c r="B65" s="173"/>
      <c r="C65" s="173"/>
      <c r="D65" s="173"/>
      <c r="E65" s="173"/>
      <c r="F65" s="173"/>
    </row>
    <row r="66" spans="1:6" ht="16.2" thickBot="1">
      <c r="A66" s="192" t="s">
        <v>210</v>
      </c>
      <c r="B66" s="175" t="s">
        <v>208</v>
      </c>
      <c r="C66" s="175" t="s">
        <v>208</v>
      </c>
      <c r="D66" s="175" t="s">
        <v>208</v>
      </c>
      <c r="E66" s="175" t="s">
        <v>208</v>
      </c>
      <c r="F66" s="175"/>
    </row>
    <row r="68" spans="1:6" ht="16.2" thickBot="1">
      <c r="A68" s="196" t="s">
        <v>233</v>
      </c>
      <c r="B68"/>
    </row>
    <row r="69" spans="1:6" ht="16.2" thickBot="1">
      <c r="A69" s="188" t="s">
        <v>209</v>
      </c>
      <c r="B69" s="169" t="s">
        <v>9</v>
      </c>
    </row>
    <row r="70" spans="1:6">
      <c r="A70" s="190" t="s">
        <v>12</v>
      </c>
      <c r="B70" s="171"/>
    </row>
    <row r="71" spans="1:6">
      <c r="A71" s="190" t="s">
        <v>1</v>
      </c>
      <c r="B71" s="171"/>
    </row>
    <row r="72" spans="1:6">
      <c r="A72" s="190" t="s">
        <v>5</v>
      </c>
      <c r="B72" s="171"/>
    </row>
    <row r="73" spans="1:6">
      <c r="A73" s="190" t="s">
        <v>2</v>
      </c>
      <c r="B73" s="171"/>
    </row>
    <row r="74" spans="1:6" ht="16.2" thickBot="1">
      <c r="A74" s="191" t="s">
        <v>90</v>
      </c>
      <c r="B74" s="173"/>
    </row>
    <row r="75" spans="1:6" ht="16.2" thickBot="1">
      <c r="A75" s="192" t="s">
        <v>210</v>
      </c>
      <c r="B75" s="175" t="s">
        <v>208</v>
      </c>
    </row>
    <row r="77" spans="1:6">
      <c r="A77" s="196" t="s">
        <v>234</v>
      </c>
      <c r="B77"/>
      <c r="C77"/>
    </row>
    <row r="78" spans="1:6" ht="16.2" thickBot="1">
      <c r="A78" s="197" t="s">
        <v>91</v>
      </c>
      <c r="B78"/>
      <c r="C78"/>
    </row>
    <row r="79" spans="1:6" ht="29.4" thickBot="1">
      <c r="A79" s="188" t="s">
        <v>209</v>
      </c>
      <c r="B79" s="169" t="s">
        <v>9</v>
      </c>
      <c r="C79" s="169" t="s">
        <v>92</v>
      </c>
    </row>
    <row r="80" spans="1:6">
      <c r="A80" s="194"/>
      <c r="B80" s="171"/>
      <c r="C80" s="171"/>
    </row>
    <row r="81" spans="1:6">
      <c r="A81" s="194"/>
      <c r="B81" s="171"/>
      <c r="C81" s="171"/>
    </row>
    <row r="82" spans="1:6" ht="16.2" thickBot="1">
      <c r="A82" s="195"/>
      <c r="B82" s="173"/>
      <c r="C82" s="173"/>
    </row>
    <row r="84" spans="1:6">
      <c r="A84" s="119" t="s">
        <v>235</v>
      </c>
    </row>
    <row r="85" spans="1:6" ht="31.8" customHeight="1">
      <c r="A85" s="736" t="s">
        <v>187</v>
      </c>
      <c r="B85" s="736"/>
      <c r="C85" s="736"/>
      <c r="D85" s="736"/>
      <c r="E85" s="736"/>
      <c r="F85" s="736"/>
    </row>
    <row r="86" spans="1:6" ht="16.8" thickBot="1">
      <c r="A86" s="187" t="s">
        <v>237</v>
      </c>
      <c r="B86"/>
      <c r="C86"/>
      <c r="D86"/>
    </row>
    <row r="87" spans="1:6" ht="16.2" thickBot="1">
      <c r="A87" s="168" t="s">
        <v>203</v>
      </c>
      <c r="B87" s="169" t="s">
        <v>8</v>
      </c>
      <c r="C87" s="169" t="s">
        <v>204</v>
      </c>
      <c r="D87" s="169" t="s">
        <v>236</v>
      </c>
    </row>
    <row r="88" spans="1:6">
      <c r="A88" s="194"/>
      <c r="B88" s="171"/>
      <c r="C88" s="171"/>
      <c r="D88" s="171"/>
    </row>
    <row r="89" spans="1:6">
      <c r="A89" s="194"/>
      <c r="B89" s="171"/>
      <c r="C89" s="171"/>
      <c r="D89" s="171"/>
    </row>
    <row r="90" spans="1:6" ht="16.2" thickBot="1">
      <c r="A90" s="195"/>
      <c r="B90" s="173"/>
      <c r="C90" s="173"/>
      <c r="D90" s="173"/>
    </row>
    <row r="91" spans="1:6" ht="16.2" thickBot="1">
      <c r="A91" s="174" t="s">
        <v>207</v>
      </c>
      <c r="B91" s="175" t="s">
        <v>208</v>
      </c>
      <c r="C91" s="175" t="s">
        <v>208</v>
      </c>
      <c r="D91" s="175"/>
    </row>
    <row r="93" spans="1:6" ht="23.4" customHeight="1">
      <c r="A93" s="736" t="s">
        <v>238</v>
      </c>
      <c r="B93" s="736"/>
      <c r="C93" s="736"/>
      <c r="D93" s="736"/>
      <c r="E93" s="736"/>
      <c r="F93" s="736"/>
    </row>
  </sheetData>
  <sortState ref="B34:F35">
    <sortCondition descending="1" ref="B34"/>
  </sortState>
  <mergeCells count="11">
    <mergeCell ref="A93:F93"/>
    <mergeCell ref="A55:F55"/>
    <mergeCell ref="A56:F56"/>
    <mergeCell ref="A57:F57"/>
    <mergeCell ref="A58:F58"/>
    <mergeCell ref="A85:F85"/>
    <mergeCell ref="A1:G1"/>
    <mergeCell ref="A2:G2"/>
    <mergeCell ref="A52:F52"/>
    <mergeCell ref="A53:F53"/>
    <mergeCell ref="A54:F54"/>
  </mergeCells>
  <phoneticPr fontId="10" type="noConversion"/>
  <hyperlinks>
    <hyperlink ref="H3" location="底稿目录!A1" display="返回目录"/>
  </hyperlinks>
  <printOptions horizontalCentered="1"/>
  <pageMargins left="0.51181102362204722" right="0.31496062992125984" top="0.55118110236220474" bottom="0.35433070866141736" header="0.51181102362204722" footer="0.19685039370078741"/>
  <pageSetup paperSize="9" scale="32" fitToHeight="50" orientation="landscape" blackAndWhite="1"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V78"/>
  <sheetViews>
    <sheetView view="pageBreakPreview" zoomScaleNormal="100" zoomScaleSheetLayoutView="100" workbookViewId="0">
      <selection sqref="A1:F1"/>
    </sheetView>
  </sheetViews>
  <sheetFormatPr defaultColWidth="9" defaultRowHeight="15.6"/>
  <cols>
    <col min="1" max="1" width="32.59765625" style="8" customWidth="1"/>
    <col min="2" max="4" width="17.3984375" style="8" customWidth="1"/>
    <col min="5" max="5" width="14.09765625" style="8" customWidth="1"/>
    <col min="6" max="6" width="13.8984375" style="8" customWidth="1"/>
    <col min="7" max="7" width="14.59765625" style="8" customWidth="1"/>
    <col min="8" max="8" width="14.09765625" style="8" customWidth="1"/>
    <col min="9" max="16384" width="9" style="8"/>
  </cols>
  <sheetData>
    <row r="1" spans="1:256" s="6" customFormat="1" ht="20.100000000000001" customHeight="1">
      <c r="A1" s="733" t="s">
        <v>0</v>
      </c>
      <c r="B1" s="733"/>
      <c r="C1" s="733"/>
      <c r="D1" s="733"/>
      <c r="E1" s="733"/>
      <c r="F1" s="733"/>
      <c r="G1" s="11"/>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24.9" customHeight="1">
      <c r="A2" s="735" t="s">
        <v>4</v>
      </c>
      <c r="B2" s="735"/>
      <c r="C2" s="735"/>
      <c r="D2" s="735"/>
      <c r="E2" s="735"/>
      <c r="F2" s="735"/>
      <c r="G2" s="11"/>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20.100000000000001" customHeight="1">
      <c r="A3" s="159" t="str">
        <f>底稿目录!A2</f>
        <v>被审计单位：</v>
      </c>
      <c r="B3" s="159" t="str">
        <f>底稿目录!A4</f>
        <v>编制人：</v>
      </c>
      <c r="C3" s="160"/>
      <c r="D3" s="159" t="str">
        <f>底稿目录!A6</f>
        <v>复核人：</v>
      </c>
      <c r="E3" s="160"/>
      <c r="F3" s="477" t="s">
        <v>1066</v>
      </c>
      <c r="G3" s="453" t="s">
        <v>1032</v>
      </c>
      <c r="H3" s="9"/>
      <c r="I3" s="9"/>
      <c r="J3" s="9"/>
      <c r="K3" s="9"/>
      <c r="L3" s="9"/>
      <c r="M3" s="9"/>
      <c r="N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row>
    <row r="4" spans="1:256" ht="20.100000000000001" customHeight="1">
      <c r="A4" s="159" t="str">
        <f>底稿目录!A3</f>
        <v>截止日：202X年12月31日</v>
      </c>
      <c r="B4" s="159" t="str">
        <f>底稿目录!A5</f>
        <v>编制日期：</v>
      </c>
      <c r="C4" s="160"/>
      <c r="D4" s="159" t="str">
        <f>底稿目录!A7</f>
        <v>复核日期：</v>
      </c>
      <c r="E4" s="160"/>
      <c r="F4" s="477" t="s">
        <v>1065</v>
      </c>
      <c r="G4" s="10"/>
      <c r="H4" s="9"/>
      <c r="I4" s="9"/>
      <c r="J4" s="9"/>
      <c r="K4" s="9"/>
      <c r="L4" s="9"/>
      <c r="M4" s="9"/>
      <c r="N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row>
    <row r="5" spans="1:256" ht="20.100000000000001" customHeight="1">
      <c r="A5" s="159"/>
      <c r="B5" s="159"/>
      <c r="C5" s="160"/>
      <c r="D5" s="159"/>
      <c r="E5" s="160"/>
      <c r="F5" s="161"/>
      <c r="G5" s="10"/>
      <c r="H5" s="9"/>
      <c r="I5" s="9"/>
      <c r="J5" s="9"/>
      <c r="K5" s="9"/>
      <c r="L5" s="9"/>
      <c r="M5" s="9"/>
      <c r="N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row>
    <row r="6" spans="1:256" ht="20.100000000000001" customHeight="1" thickBot="1">
      <c r="A6" s="163" t="s">
        <v>190</v>
      </c>
      <c r="B6" s="159"/>
      <c r="C6" s="159"/>
      <c r="D6" s="159"/>
      <c r="E6" s="161"/>
      <c r="F6" s="161"/>
      <c r="G6" s="10"/>
      <c r="H6" s="9"/>
      <c r="I6" s="9"/>
      <c r="J6" s="9"/>
      <c r="K6" s="9"/>
      <c r="L6" s="9"/>
      <c r="M6" s="9"/>
      <c r="N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row>
    <row r="7" spans="1:256" ht="20.100000000000001" customHeight="1" thickBot="1">
      <c r="A7" s="168" t="s">
        <v>203</v>
      </c>
      <c r="B7" s="169" t="s">
        <v>239</v>
      </c>
      <c r="C7" s="189" t="s">
        <v>240</v>
      </c>
      <c r="D7" s="159"/>
      <c r="E7" s="161"/>
      <c r="F7" s="161"/>
      <c r="G7" s="10"/>
      <c r="H7" s="9"/>
      <c r="I7" s="9"/>
      <c r="J7" s="9"/>
      <c r="K7" s="9"/>
      <c r="L7" s="9"/>
      <c r="M7" s="9"/>
      <c r="N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row>
    <row r="8" spans="1:256" ht="20.100000000000001" customHeight="1">
      <c r="A8" s="170" t="s">
        <v>205</v>
      </c>
      <c r="B8" s="171"/>
      <c r="C8" s="171"/>
      <c r="D8" s="159"/>
      <c r="E8" s="161"/>
      <c r="F8" s="161"/>
      <c r="G8" s="10"/>
      <c r="H8" s="9"/>
      <c r="I8" s="9"/>
      <c r="J8" s="9"/>
      <c r="K8" s="9"/>
      <c r="L8" s="9"/>
      <c r="M8" s="9"/>
      <c r="N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row>
    <row r="9" spans="1:256" ht="20.100000000000001" customHeight="1" thickBot="1">
      <c r="A9" s="172" t="s">
        <v>206</v>
      </c>
      <c r="B9" s="173"/>
      <c r="C9" s="173"/>
      <c r="D9" s="159"/>
      <c r="E9" s="161"/>
      <c r="F9" s="161"/>
      <c r="G9" s="10"/>
      <c r="H9" s="9"/>
      <c r="I9" s="9"/>
      <c r="J9" s="9"/>
      <c r="K9" s="9"/>
      <c r="L9" s="9"/>
      <c r="M9" s="9"/>
      <c r="N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row>
    <row r="10" spans="1:256" ht="20.100000000000001" customHeight="1" thickBot="1">
      <c r="A10" s="174" t="s">
        <v>207</v>
      </c>
      <c r="B10" s="175" t="s">
        <v>208</v>
      </c>
      <c r="C10" s="175" t="s">
        <v>208</v>
      </c>
      <c r="D10" s="159"/>
      <c r="E10" s="161"/>
      <c r="F10" s="161"/>
      <c r="G10" s="10"/>
      <c r="H10" s="9"/>
      <c r="I10" s="9"/>
      <c r="J10" s="9"/>
      <c r="K10" s="9"/>
      <c r="L10" s="9"/>
      <c r="M10" s="9"/>
      <c r="N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row>
    <row r="11" spans="1:256" ht="20.100000000000001" customHeight="1">
      <c r="A11" s="165" t="s">
        <v>189</v>
      </c>
      <c r="B11" s="166"/>
      <c r="C11" s="166"/>
      <c r="D11" s="159"/>
      <c r="E11" s="161"/>
      <c r="F11" s="161"/>
      <c r="G11" s="10"/>
      <c r="H11" s="9"/>
      <c r="I11" s="9"/>
      <c r="J11" s="9"/>
      <c r="K11" s="9"/>
      <c r="L11" s="9"/>
      <c r="M11" s="9"/>
      <c r="N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row>
    <row r="12" spans="1:256" s="9" customFormat="1" ht="16.8" thickBot="1">
      <c r="A12" s="187" t="s">
        <v>241</v>
      </c>
      <c r="B12"/>
      <c r="C12"/>
      <c r="D12"/>
      <c r="E12"/>
      <c r="F12"/>
    </row>
    <row r="13" spans="1:256" s="9" customFormat="1" ht="16.8" thickBot="1">
      <c r="A13" s="188" t="s">
        <v>209</v>
      </c>
      <c r="B13" s="189" t="s">
        <v>242</v>
      </c>
      <c r="C13" s="189" t="s">
        <v>93</v>
      </c>
      <c r="D13" s="189" t="s">
        <v>94</v>
      </c>
      <c r="E13" s="189" t="s">
        <v>8</v>
      </c>
      <c r="F13"/>
    </row>
    <row r="14" spans="1:256" s="9" customFormat="1" ht="16.2">
      <c r="A14" s="190" t="s">
        <v>95</v>
      </c>
      <c r="B14" s="171" t="s">
        <v>243</v>
      </c>
      <c r="C14" s="171" t="s">
        <v>243</v>
      </c>
      <c r="D14" s="171" t="s">
        <v>243</v>
      </c>
      <c r="E14" s="171" t="s">
        <v>243</v>
      </c>
      <c r="F14"/>
    </row>
    <row r="15" spans="1:256" s="9" customFormat="1" ht="16.2">
      <c r="A15" s="190" t="s">
        <v>244</v>
      </c>
      <c r="B15" s="171"/>
      <c r="C15" s="171"/>
      <c r="D15" s="171"/>
      <c r="E15" s="171"/>
      <c r="F15"/>
    </row>
    <row r="16" spans="1:256" s="9" customFormat="1" ht="16.2">
      <c r="A16" s="198" t="s">
        <v>245</v>
      </c>
      <c r="B16" s="171"/>
      <c r="C16" s="171"/>
      <c r="D16" s="171"/>
      <c r="E16" s="171"/>
      <c r="F16"/>
    </row>
    <row r="17" spans="1:6" s="9" customFormat="1" ht="16.2">
      <c r="A17" s="198" t="s">
        <v>246</v>
      </c>
      <c r="B17" s="171"/>
      <c r="C17" s="171"/>
      <c r="D17" s="171"/>
      <c r="E17" s="171"/>
      <c r="F17"/>
    </row>
    <row r="18" spans="1:6" s="9" customFormat="1" ht="16.2">
      <c r="A18" s="198" t="s">
        <v>247</v>
      </c>
      <c r="B18" s="171"/>
      <c r="C18" s="171"/>
      <c r="D18" s="171"/>
      <c r="E18" s="171"/>
      <c r="F18"/>
    </row>
    <row r="19" spans="1:6" s="9" customFormat="1" ht="16.2">
      <c r="A19" s="198" t="s">
        <v>248</v>
      </c>
      <c r="B19" s="171"/>
      <c r="C19" s="171"/>
      <c r="D19" s="171"/>
      <c r="E19" s="171"/>
      <c r="F19"/>
    </row>
    <row r="20" spans="1:6" s="9" customFormat="1" ht="16.2">
      <c r="A20" s="198" t="s">
        <v>249</v>
      </c>
      <c r="B20" s="171"/>
      <c r="C20" s="171"/>
      <c r="D20" s="171"/>
      <c r="E20" s="171"/>
      <c r="F20"/>
    </row>
    <row r="21" spans="1:6">
      <c r="A21" s="198" t="s">
        <v>250</v>
      </c>
      <c r="B21" s="171"/>
      <c r="C21" s="171"/>
      <c r="D21" s="171"/>
      <c r="E21" s="171"/>
      <c r="F21"/>
    </row>
    <row r="22" spans="1:6">
      <c r="A22" s="198" t="s">
        <v>251</v>
      </c>
      <c r="B22" s="171" t="s">
        <v>243</v>
      </c>
      <c r="C22" s="171" t="s">
        <v>243</v>
      </c>
      <c r="D22" s="171" t="s">
        <v>243</v>
      </c>
      <c r="E22" s="171" t="s">
        <v>243</v>
      </c>
      <c r="F22"/>
    </row>
    <row r="23" spans="1:6">
      <c r="A23" s="190" t="s">
        <v>96</v>
      </c>
      <c r="B23" s="171" t="s">
        <v>243</v>
      </c>
      <c r="C23" s="171" t="s">
        <v>243</v>
      </c>
      <c r="D23" s="171" t="s">
        <v>243</v>
      </c>
      <c r="E23" s="171" t="s">
        <v>243</v>
      </c>
      <c r="F23"/>
    </row>
    <row r="24" spans="1:6">
      <c r="A24" s="190" t="s">
        <v>244</v>
      </c>
      <c r="B24" s="171" t="s">
        <v>252</v>
      </c>
      <c r="C24" s="171" t="s">
        <v>252</v>
      </c>
      <c r="D24" s="171" t="s">
        <v>252</v>
      </c>
      <c r="E24" s="171" t="s">
        <v>252</v>
      </c>
      <c r="F24"/>
    </row>
    <row r="25" spans="1:6">
      <c r="A25" s="198" t="s">
        <v>245</v>
      </c>
      <c r="B25" s="171"/>
      <c r="C25" s="171"/>
      <c r="D25" s="171"/>
      <c r="E25" s="171"/>
      <c r="F25"/>
    </row>
    <row r="26" spans="1:6">
      <c r="A26" s="198" t="s">
        <v>246</v>
      </c>
      <c r="B26" s="171"/>
      <c r="C26" s="171"/>
      <c r="D26" s="171"/>
      <c r="E26" s="171"/>
      <c r="F26"/>
    </row>
    <row r="27" spans="1:6">
      <c r="A27" s="198" t="s">
        <v>247</v>
      </c>
      <c r="B27" s="171"/>
      <c r="C27" s="171"/>
      <c r="D27" s="171"/>
      <c r="E27" s="171"/>
      <c r="F27"/>
    </row>
    <row r="28" spans="1:6">
      <c r="A28" s="198" t="s">
        <v>248</v>
      </c>
      <c r="B28" s="171"/>
      <c r="C28" s="171"/>
      <c r="D28" s="171"/>
      <c r="E28" s="171"/>
      <c r="F28"/>
    </row>
    <row r="29" spans="1:6">
      <c r="A29" s="198" t="s">
        <v>249</v>
      </c>
      <c r="B29" s="171"/>
      <c r="C29" s="171"/>
      <c r="D29" s="171"/>
      <c r="E29" s="171"/>
      <c r="F29"/>
    </row>
    <row r="30" spans="1:6">
      <c r="A30" s="198" t="s">
        <v>250</v>
      </c>
      <c r="B30" s="171"/>
      <c r="C30" s="171"/>
      <c r="D30" s="171"/>
      <c r="E30" s="171"/>
      <c r="F30"/>
    </row>
    <row r="31" spans="1:6">
      <c r="A31" s="198" t="s">
        <v>251</v>
      </c>
      <c r="B31" s="171" t="s">
        <v>243</v>
      </c>
      <c r="C31" s="171" t="s">
        <v>243</v>
      </c>
      <c r="D31" s="171" t="s">
        <v>243</v>
      </c>
      <c r="E31" s="171" t="s">
        <v>243</v>
      </c>
      <c r="F31"/>
    </row>
    <row r="32" spans="1:6">
      <c r="A32" s="190" t="s">
        <v>97</v>
      </c>
      <c r="B32" s="171" t="s">
        <v>243</v>
      </c>
      <c r="C32" s="171" t="s">
        <v>243</v>
      </c>
      <c r="D32" s="171" t="s">
        <v>243</v>
      </c>
      <c r="E32" s="171" t="s">
        <v>243</v>
      </c>
      <c r="F32"/>
    </row>
    <row r="33" spans="1:6">
      <c r="A33" s="190" t="s">
        <v>244</v>
      </c>
      <c r="B33" s="171"/>
      <c r="C33" s="171" t="s">
        <v>253</v>
      </c>
      <c r="D33" s="171" t="s">
        <v>253</v>
      </c>
      <c r="E33" s="171"/>
      <c r="F33"/>
    </row>
    <row r="34" spans="1:6">
      <c r="A34" s="198" t="s">
        <v>245</v>
      </c>
      <c r="B34" s="171"/>
      <c r="C34" s="171" t="s">
        <v>253</v>
      </c>
      <c r="D34" s="171" t="s">
        <v>253</v>
      </c>
      <c r="E34" s="171"/>
      <c r="F34"/>
    </row>
    <row r="35" spans="1:6">
      <c r="A35" s="198" t="s">
        <v>246</v>
      </c>
      <c r="B35" s="171"/>
      <c r="C35" s="171" t="s">
        <v>253</v>
      </c>
      <c r="D35" s="171" t="s">
        <v>253</v>
      </c>
      <c r="E35" s="171"/>
      <c r="F35"/>
    </row>
    <row r="36" spans="1:6">
      <c r="A36" s="198" t="s">
        <v>247</v>
      </c>
      <c r="B36" s="171"/>
      <c r="C36" s="171" t="s">
        <v>253</v>
      </c>
      <c r="D36" s="171" t="s">
        <v>253</v>
      </c>
      <c r="E36" s="171"/>
      <c r="F36"/>
    </row>
    <row r="37" spans="1:6">
      <c r="A37" s="198" t="s">
        <v>248</v>
      </c>
      <c r="B37" s="171"/>
      <c r="C37" s="171" t="s">
        <v>253</v>
      </c>
      <c r="D37" s="171" t="s">
        <v>253</v>
      </c>
      <c r="E37" s="171"/>
      <c r="F37"/>
    </row>
    <row r="38" spans="1:6">
      <c r="A38" s="198" t="s">
        <v>249</v>
      </c>
      <c r="B38" s="171"/>
      <c r="C38" s="171" t="s">
        <v>253</v>
      </c>
      <c r="D38" s="171" t="s">
        <v>253</v>
      </c>
      <c r="E38" s="171"/>
      <c r="F38"/>
    </row>
    <row r="39" spans="1:6">
      <c r="A39" s="198" t="s">
        <v>250</v>
      </c>
      <c r="B39" s="171"/>
      <c r="C39" s="171" t="s">
        <v>253</v>
      </c>
      <c r="D39" s="171" t="s">
        <v>253</v>
      </c>
      <c r="E39" s="171"/>
      <c r="F39"/>
    </row>
    <row r="40" spans="1:6">
      <c r="A40" s="198" t="s">
        <v>251</v>
      </c>
      <c r="B40" s="171" t="s">
        <v>243</v>
      </c>
      <c r="C40" s="171" t="s">
        <v>253</v>
      </c>
      <c r="D40" s="171" t="s">
        <v>253</v>
      </c>
      <c r="E40" s="171" t="s">
        <v>243</v>
      </c>
      <c r="F40"/>
    </row>
    <row r="41" spans="1:6">
      <c r="A41" s="190" t="s">
        <v>98</v>
      </c>
      <c r="B41" s="171" t="s">
        <v>243</v>
      </c>
      <c r="C41" s="171" t="s">
        <v>243</v>
      </c>
      <c r="D41" s="171" t="s">
        <v>243</v>
      </c>
      <c r="E41" s="171" t="s">
        <v>243</v>
      </c>
      <c r="F41"/>
    </row>
    <row r="42" spans="1:6">
      <c r="A42" s="190" t="s">
        <v>244</v>
      </c>
      <c r="B42" s="171" t="s">
        <v>253</v>
      </c>
      <c r="C42" s="171" t="s">
        <v>253</v>
      </c>
      <c r="D42" s="171" t="s">
        <v>253</v>
      </c>
      <c r="E42" s="171" t="s">
        <v>253</v>
      </c>
      <c r="F42"/>
    </row>
    <row r="43" spans="1:6">
      <c r="A43" s="198" t="s">
        <v>245</v>
      </c>
      <c r="B43" s="171"/>
      <c r="C43" s="171"/>
      <c r="D43" s="171"/>
      <c r="E43" s="171"/>
      <c r="F43"/>
    </row>
    <row r="44" spans="1:6">
      <c r="A44" s="198" t="s">
        <v>246</v>
      </c>
      <c r="B44" s="171"/>
      <c r="C44" s="171"/>
      <c r="D44" s="171"/>
      <c r="E44" s="171"/>
      <c r="F44"/>
    </row>
    <row r="45" spans="1:6">
      <c r="A45" s="198" t="s">
        <v>247</v>
      </c>
      <c r="B45" s="171"/>
      <c r="C45" s="171"/>
      <c r="D45" s="171"/>
      <c r="E45" s="171"/>
      <c r="F45"/>
    </row>
    <row r="46" spans="1:6">
      <c r="A46" s="198" t="s">
        <v>248</v>
      </c>
      <c r="B46" s="171"/>
      <c r="C46" s="171"/>
      <c r="D46" s="171"/>
      <c r="E46" s="171"/>
      <c r="F46"/>
    </row>
    <row r="47" spans="1:6">
      <c r="A47" s="198" t="s">
        <v>249</v>
      </c>
      <c r="B47" s="171"/>
      <c r="C47" s="171"/>
      <c r="D47" s="171"/>
      <c r="E47" s="171"/>
      <c r="F47"/>
    </row>
    <row r="48" spans="1:6">
      <c r="A48" s="198" t="s">
        <v>250</v>
      </c>
      <c r="B48" s="171"/>
      <c r="C48" s="171"/>
      <c r="D48" s="171"/>
      <c r="E48" s="171"/>
      <c r="F48"/>
    </row>
    <row r="49" spans="1:6">
      <c r="A49" s="198" t="s">
        <v>251</v>
      </c>
      <c r="B49" s="171" t="s">
        <v>243</v>
      </c>
      <c r="C49" s="171" t="s">
        <v>243</v>
      </c>
      <c r="D49" s="171" t="s">
        <v>243</v>
      </c>
      <c r="E49" s="171" t="s">
        <v>243</v>
      </c>
      <c r="F49"/>
    </row>
    <row r="50" spans="1:6">
      <c r="A50" s="190" t="s">
        <v>99</v>
      </c>
      <c r="B50" s="171" t="s">
        <v>243</v>
      </c>
      <c r="C50" s="171" t="s">
        <v>243</v>
      </c>
      <c r="D50" s="171" t="s">
        <v>243</v>
      </c>
      <c r="E50" s="171" t="s">
        <v>243</v>
      </c>
      <c r="F50"/>
    </row>
    <row r="51" spans="1:6">
      <c r="A51" s="190" t="s">
        <v>244</v>
      </c>
      <c r="B51" s="171"/>
      <c r="C51" s="171" t="s">
        <v>253</v>
      </c>
      <c r="D51" s="171" t="s">
        <v>253</v>
      </c>
      <c r="E51" s="171"/>
      <c r="F51"/>
    </row>
    <row r="52" spans="1:6">
      <c r="A52" s="198" t="s">
        <v>245</v>
      </c>
      <c r="B52" s="171"/>
      <c r="C52" s="171" t="s">
        <v>253</v>
      </c>
      <c r="D52" s="171" t="s">
        <v>253</v>
      </c>
      <c r="E52" s="171"/>
      <c r="F52"/>
    </row>
    <row r="53" spans="1:6">
      <c r="A53" s="198" t="s">
        <v>246</v>
      </c>
      <c r="B53" s="171"/>
      <c r="C53" s="171" t="s">
        <v>253</v>
      </c>
      <c r="D53" s="171" t="s">
        <v>253</v>
      </c>
      <c r="E53" s="171"/>
      <c r="F53"/>
    </row>
    <row r="54" spans="1:6">
      <c r="A54" s="198" t="s">
        <v>247</v>
      </c>
      <c r="B54" s="171"/>
      <c r="C54" s="171" t="s">
        <v>253</v>
      </c>
      <c r="D54" s="171" t="s">
        <v>253</v>
      </c>
      <c r="E54" s="171"/>
      <c r="F54"/>
    </row>
    <row r="55" spans="1:6">
      <c r="A55" s="198" t="s">
        <v>248</v>
      </c>
      <c r="B55" s="171"/>
      <c r="C55" s="171" t="s">
        <v>253</v>
      </c>
      <c r="D55" s="171" t="s">
        <v>253</v>
      </c>
      <c r="E55" s="171"/>
      <c r="F55"/>
    </row>
    <row r="56" spans="1:6">
      <c r="A56" s="198" t="s">
        <v>249</v>
      </c>
      <c r="B56" s="171"/>
      <c r="C56" s="171" t="s">
        <v>253</v>
      </c>
      <c r="D56" s="171" t="s">
        <v>253</v>
      </c>
      <c r="E56" s="171"/>
      <c r="F56"/>
    </row>
    <row r="57" spans="1:6">
      <c r="A57" s="198" t="s">
        <v>250</v>
      </c>
      <c r="B57" s="171"/>
      <c r="C57" s="171" t="s">
        <v>253</v>
      </c>
      <c r="D57" s="171" t="s">
        <v>253</v>
      </c>
      <c r="E57" s="171"/>
      <c r="F57"/>
    </row>
    <row r="58" spans="1:6" ht="16.2" thickBot="1">
      <c r="A58" s="199" t="s">
        <v>251</v>
      </c>
      <c r="B58" s="173" t="s">
        <v>243</v>
      </c>
      <c r="C58" s="173" t="s">
        <v>253</v>
      </c>
      <c r="D58" s="173" t="s">
        <v>253</v>
      </c>
      <c r="E58" s="173" t="s">
        <v>243</v>
      </c>
      <c r="F58"/>
    </row>
    <row r="59" spans="1:6" ht="16.8" thickBot="1">
      <c r="A59" s="187" t="s">
        <v>254</v>
      </c>
      <c r="B59"/>
      <c r="C59"/>
      <c r="D59"/>
      <c r="E59"/>
      <c r="F59"/>
    </row>
    <row r="60" spans="1:6" ht="16.2" thickBot="1">
      <c r="A60" s="168" t="s">
        <v>203</v>
      </c>
      <c r="B60" s="189" t="s">
        <v>89</v>
      </c>
      <c r="C60" s="189" t="s">
        <v>7</v>
      </c>
      <c r="D60" s="189" t="s">
        <v>10</v>
      </c>
      <c r="E60" s="189" t="s">
        <v>9</v>
      </c>
      <c r="F60" s="189" t="s">
        <v>6</v>
      </c>
    </row>
    <row r="61" spans="1:6">
      <c r="A61" s="194"/>
      <c r="B61" s="171"/>
      <c r="C61" s="171"/>
      <c r="D61" s="171"/>
      <c r="E61" s="171"/>
      <c r="F61" s="171"/>
    </row>
    <row r="62" spans="1:6">
      <c r="A62" s="194"/>
      <c r="B62" s="171"/>
      <c r="C62" s="171"/>
      <c r="D62" s="171"/>
      <c r="E62" s="171"/>
      <c r="F62" s="171"/>
    </row>
    <row r="63" spans="1:6" ht="16.2" thickBot="1">
      <c r="A63" s="195"/>
      <c r="B63" s="173"/>
      <c r="C63" s="173"/>
      <c r="D63" s="173"/>
      <c r="E63" s="173"/>
      <c r="F63" s="173"/>
    </row>
    <row r="64" spans="1:6" ht="16.2" thickBot="1">
      <c r="A64" s="174" t="s">
        <v>207</v>
      </c>
      <c r="B64" s="175"/>
      <c r="C64" s="175"/>
      <c r="D64" s="175"/>
      <c r="E64" s="175"/>
      <c r="F64" s="175"/>
    </row>
    <row r="65" spans="1:6" ht="16.8" thickBot="1">
      <c r="A65" s="187" t="s">
        <v>255</v>
      </c>
      <c r="B65"/>
      <c r="C65"/>
      <c r="D65"/>
      <c r="E65"/>
      <c r="F65"/>
    </row>
    <row r="66" spans="1:6" ht="29.4" thickBot="1">
      <c r="A66" s="188" t="s">
        <v>209</v>
      </c>
      <c r="B66" s="169" t="s">
        <v>9</v>
      </c>
      <c r="C66" s="169" t="s">
        <v>92</v>
      </c>
      <c r="D66"/>
      <c r="E66"/>
      <c r="F66"/>
    </row>
    <row r="67" spans="1:6">
      <c r="A67" s="194"/>
      <c r="B67" s="171"/>
      <c r="C67" s="171"/>
      <c r="D67"/>
      <c r="E67"/>
      <c r="F67"/>
    </row>
    <row r="68" spans="1:6">
      <c r="A68" s="194"/>
      <c r="B68" s="171"/>
      <c r="C68" s="171"/>
      <c r="D68"/>
      <c r="E68"/>
      <c r="F68"/>
    </row>
    <row r="69" spans="1:6" ht="16.2" thickBot="1">
      <c r="A69" s="195"/>
      <c r="B69" s="173"/>
      <c r="C69" s="173"/>
      <c r="D69"/>
      <c r="E69"/>
      <c r="F69"/>
    </row>
    <row r="70" spans="1:6" ht="16.2" thickBot="1">
      <c r="A70" s="174" t="s">
        <v>207</v>
      </c>
      <c r="B70" s="175"/>
      <c r="C70" s="175"/>
      <c r="D70"/>
      <c r="E70"/>
      <c r="F70"/>
    </row>
    <row r="71" spans="1:6" ht="16.8" thickBot="1">
      <c r="A71" s="187" t="s">
        <v>237</v>
      </c>
      <c r="B71"/>
      <c r="C71"/>
      <c r="D71"/>
      <c r="E71"/>
      <c r="F71"/>
    </row>
    <row r="72" spans="1:6" ht="16.2" thickBot="1">
      <c r="A72" s="168" t="s">
        <v>203</v>
      </c>
      <c r="B72" s="189" t="s">
        <v>239</v>
      </c>
      <c r="C72" s="189" t="s">
        <v>256</v>
      </c>
      <c r="D72" s="169" t="s">
        <v>236</v>
      </c>
      <c r="E72"/>
      <c r="F72"/>
    </row>
    <row r="73" spans="1:6">
      <c r="A73" s="194"/>
      <c r="B73" s="171"/>
      <c r="C73" s="171"/>
      <c r="D73" s="171"/>
      <c r="E73"/>
      <c r="F73"/>
    </row>
    <row r="74" spans="1:6">
      <c r="A74" s="194"/>
      <c r="B74" s="171"/>
      <c r="C74" s="171"/>
      <c r="D74" s="171"/>
      <c r="E74"/>
      <c r="F74"/>
    </row>
    <row r="75" spans="1:6" ht="16.2" thickBot="1">
      <c r="A75" s="195"/>
      <c r="B75" s="173"/>
      <c r="C75" s="173"/>
      <c r="D75" s="173"/>
      <c r="E75"/>
      <c r="F75"/>
    </row>
    <row r="76" spans="1:6" ht="16.2" thickBot="1">
      <c r="A76" s="174" t="s">
        <v>207</v>
      </c>
      <c r="B76" s="175"/>
      <c r="C76" s="175"/>
      <c r="D76" s="175" t="s">
        <v>253</v>
      </c>
      <c r="E76"/>
      <c r="F76"/>
    </row>
    <row r="78" spans="1:6">
      <c r="A78" s="197" t="s">
        <v>257</v>
      </c>
    </row>
  </sheetData>
  <mergeCells count="2">
    <mergeCell ref="A2:F2"/>
    <mergeCell ref="A1:F1"/>
  </mergeCells>
  <phoneticPr fontId="10" type="noConversion"/>
  <hyperlinks>
    <hyperlink ref="G3" location="底稿目录!A1" display="返回目录"/>
  </hyperlinks>
  <printOptions horizontalCentered="1"/>
  <pageMargins left="0.51181102362204722" right="0.31496062992125984" top="0.55118110236220474" bottom="0.35433070866141736" header="0.51181102362204722" footer="0.19685039370078741"/>
  <pageSetup paperSize="9" scale="43" fitToHeight="50" orientation="landscape" blackAndWhite="1"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B56"/>
  <sheetViews>
    <sheetView view="pageBreakPreview" zoomScaleNormal="100" zoomScaleSheetLayoutView="100" workbookViewId="0">
      <selection activeCell="D1" sqref="D1:P1"/>
    </sheetView>
  </sheetViews>
  <sheetFormatPr defaultColWidth="9" defaultRowHeight="19.95" customHeight="1"/>
  <cols>
    <col min="1" max="1" width="14.3984375" style="2" customWidth="1"/>
    <col min="2" max="3" width="11.5" style="2" bestFit="1" customWidth="1"/>
    <col min="4" max="4" width="10.69921875" style="2" customWidth="1"/>
    <col min="5" max="5" width="10.59765625" style="2" customWidth="1"/>
    <col min="6" max="6" width="12.8984375" style="2" customWidth="1"/>
    <col min="7" max="7" width="8.59765625" style="2" customWidth="1"/>
    <col min="8" max="8" width="10.3984375" style="2" customWidth="1"/>
    <col min="9" max="9" width="11.3984375" style="2" customWidth="1"/>
    <col min="10" max="10" width="9.8984375" style="2" customWidth="1"/>
    <col min="11" max="11" width="9.3984375" style="2" customWidth="1"/>
    <col min="12" max="12" width="10.59765625" style="2" customWidth="1"/>
    <col min="13" max="13" width="9.5" style="2" customWidth="1"/>
    <col min="14" max="15" width="9.19921875" style="2" customWidth="1"/>
    <col min="16" max="17" width="8.5" style="2" customWidth="1"/>
    <col min="18" max="19" width="7.8984375" style="2" customWidth="1"/>
    <col min="20" max="20" width="6.69921875" style="2" customWidth="1"/>
    <col min="21" max="21" width="6.8984375" style="2" customWidth="1"/>
    <col min="22" max="22" width="9.19921875" style="2" bestFit="1" customWidth="1"/>
    <col min="23" max="36" width="9" style="2"/>
    <col min="37" max="37" width="9.09765625" style="2" customWidth="1"/>
    <col min="38" max="46" width="9" style="2"/>
    <col min="47" max="50" width="10" style="2" customWidth="1"/>
    <col min="51" max="51" width="6.796875" style="2" customWidth="1"/>
    <col min="52" max="52" width="5.59765625" style="2" customWidth="1"/>
    <col min="53" max="53" width="6.3984375" style="2" customWidth="1"/>
    <col min="54" max="54" width="5.69921875" style="2" customWidth="1"/>
    <col min="55" max="16384" width="9" style="2"/>
  </cols>
  <sheetData>
    <row r="1" spans="1:54" s="13" customFormat="1" ht="19.95" customHeight="1">
      <c r="B1" s="267"/>
      <c r="C1" s="267"/>
      <c r="D1" s="745" t="s">
        <v>1039</v>
      </c>
      <c r="E1" s="745"/>
      <c r="F1" s="745"/>
      <c r="G1" s="745"/>
      <c r="H1" s="745"/>
      <c r="I1" s="745"/>
      <c r="J1" s="745"/>
      <c r="K1" s="745"/>
      <c r="L1" s="745"/>
      <c r="M1" s="745"/>
      <c r="N1" s="745"/>
      <c r="O1" s="745"/>
      <c r="P1" s="745"/>
      <c r="Q1" s="745" t="s">
        <v>1039</v>
      </c>
      <c r="R1" s="745"/>
      <c r="S1" s="745"/>
      <c r="T1" s="745"/>
      <c r="U1" s="745"/>
      <c r="V1" s="745"/>
      <c r="W1" s="745"/>
      <c r="X1" s="745"/>
      <c r="Y1" s="745"/>
      <c r="Z1" s="745"/>
      <c r="AA1" s="745"/>
      <c r="AB1" s="745"/>
      <c r="AC1" s="745"/>
      <c r="AD1" s="745"/>
      <c r="AE1" s="745"/>
      <c r="AF1" s="745" t="s">
        <v>1039</v>
      </c>
      <c r="AG1" s="745"/>
      <c r="AH1" s="745"/>
      <c r="AI1" s="745"/>
      <c r="AJ1" s="745"/>
      <c r="AK1" s="745"/>
      <c r="AL1" s="745"/>
      <c r="AM1" s="745"/>
      <c r="AN1" s="745"/>
      <c r="AO1" s="745"/>
      <c r="AP1" s="745"/>
      <c r="AQ1" s="745"/>
      <c r="AR1" s="745"/>
      <c r="AS1" s="745"/>
      <c r="AT1" s="745"/>
      <c r="AU1" s="745"/>
      <c r="AV1" s="745"/>
      <c r="AW1" s="745"/>
      <c r="AX1" s="745"/>
      <c r="AY1" s="745"/>
      <c r="AZ1" s="745"/>
      <c r="BA1" s="745"/>
      <c r="BB1" s="745"/>
    </row>
    <row r="2" spans="1:54" s="458" customFormat="1" ht="19.95" customHeight="1">
      <c r="B2" s="459"/>
      <c r="C2" s="459"/>
      <c r="D2" s="746" t="s">
        <v>1040</v>
      </c>
      <c r="E2" s="746"/>
      <c r="F2" s="746"/>
      <c r="G2" s="746"/>
      <c r="H2" s="746"/>
      <c r="I2" s="746"/>
      <c r="J2" s="746"/>
      <c r="K2" s="746"/>
      <c r="L2" s="746"/>
      <c r="M2" s="746"/>
      <c r="N2" s="746"/>
      <c r="O2" s="746"/>
      <c r="P2" s="746"/>
      <c r="Q2" s="746" t="s">
        <v>1041</v>
      </c>
      <c r="R2" s="746"/>
      <c r="S2" s="746"/>
      <c r="T2" s="746"/>
      <c r="U2" s="746"/>
      <c r="V2" s="746"/>
      <c r="W2" s="746"/>
      <c r="X2" s="746"/>
      <c r="Y2" s="746"/>
      <c r="Z2" s="746"/>
      <c r="AA2" s="746"/>
      <c r="AB2" s="746"/>
      <c r="AC2" s="746"/>
      <c r="AD2" s="746"/>
      <c r="AE2" s="746"/>
      <c r="AF2" s="746" t="s">
        <v>1042</v>
      </c>
      <c r="AG2" s="746"/>
      <c r="AH2" s="746"/>
      <c r="AI2" s="746"/>
      <c r="AJ2" s="746"/>
      <c r="AK2" s="746"/>
      <c r="AL2" s="746"/>
      <c r="AM2" s="746"/>
      <c r="AN2" s="746"/>
      <c r="AO2" s="746"/>
      <c r="AP2" s="746"/>
      <c r="AQ2" s="746"/>
      <c r="AR2" s="746"/>
      <c r="AS2" s="746"/>
      <c r="AT2" s="746"/>
      <c r="AU2" s="746"/>
      <c r="AV2" s="746"/>
      <c r="AW2" s="746"/>
      <c r="AX2" s="746"/>
      <c r="AY2" s="746"/>
      <c r="AZ2" s="746"/>
      <c r="BA2" s="746"/>
      <c r="BB2" s="746"/>
    </row>
    <row r="3" spans="1:54" ht="19.95" customHeight="1">
      <c r="A3" s="2" t="str">
        <f>底稿目录!A2</f>
        <v>被审计单位：</v>
      </c>
      <c r="H3" s="2" t="str">
        <f>底稿目录!A4</f>
        <v>编制人：</v>
      </c>
      <c r="I3" s="9"/>
      <c r="L3" s="2" t="str">
        <f>底稿目录!A5</f>
        <v>编制日期：</v>
      </c>
      <c r="O3" s="476" t="s">
        <v>1066</v>
      </c>
      <c r="P3" s="452" t="s">
        <v>191</v>
      </c>
      <c r="Q3" s="2" t="str">
        <f>底稿目录!A2</f>
        <v>被审计单位：</v>
      </c>
      <c r="V3" s="2" t="str">
        <f>底稿目录!A4</f>
        <v>编制人：</v>
      </c>
      <c r="Z3" s="2" t="str">
        <f>底稿目录!A5</f>
        <v>编制日期：</v>
      </c>
      <c r="AA3" s="103"/>
      <c r="AD3" s="476" t="s">
        <v>1066</v>
      </c>
      <c r="AE3" s="452" t="s">
        <v>191</v>
      </c>
      <c r="AF3" s="2" t="str">
        <f>底稿目录!A2</f>
        <v>被审计单位：</v>
      </c>
      <c r="AK3" s="9"/>
      <c r="AN3" s="2" t="str">
        <f>底稿目录!A4</f>
        <v>编制人：</v>
      </c>
      <c r="AO3" s="103"/>
      <c r="AP3" s="103"/>
      <c r="AS3" s="476"/>
      <c r="AT3" s="2" t="str">
        <f>底稿目录!A5</f>
        <v>编制日期：</v>
      </c>
      <c r="BA3" s="476" t="s">
        <v>1066</v>
      </c>
      <c r="BB3" s="452" t="s">
        <v>191</v>
      </c>
    </row>
    <row r="4" spans="1:54" ht="19.95" customHeight="1">
      <c r="A4" s="2" t="str">
        <f>底稿目录!A3</f>
        <v>截止日：202X年12月31日</v>
      </c>
      <c r="H4" s="2" t="str">
        <f>底稿目录!A6</f>
        <v>复核人：</v>
      </c>
      <c r="I4" s="9"/>
      <c r="L4" s="2" t="str">
        <f>底稿目录!A7</f>
        <v>复核日期：</v>
      </c>
      <c r="O4" s="476" t="s">
        <v>1065</v>
      </c>
      <c r="Q4" s="2" t="str">
        <f>底稿目录!A3</f>
        <v>截止日：202X年12月31日</v>
      </c>
      <c r="V4" s="2" t="str">
        <f>底稿目录!A6</f>
        <v>复核人：</v>
      </c>
      <c r="Z4" s="2" t="str">
        <f>底稿目录!A7</f>
        <v>复核日期：</v>
      </c>
      <c r="AA4" s="103"/>
      <c r="AD4" s="476" t="s">
        <v>1065</v>
      </c>
      <c r="AF4" s="2" t="str">
        <f>底稿目录!A3</f>
        <v>截止日：202X年12月31日</v>
      </c>
      <c r="AK4" s="9"/>
      <c r="AN4" s="2" t="str">
        <f>底稿目录!A6</f>
        <v>复核人：</v>
      </c>
      <c r="AO4" s="103"/>
      <c r="AP4" s="103"/>
      <c r="AS4" s="476"/>
      <c r="AT4" s="2" t="str">
        <f>底稿目录!A7</f>
        <v>复核日期：</v>
      </c>
      <c r="BA4" s="476" t="s">
        <v>1065</v>
      </c>
    </row>
    <row r="5" spans="1:54" ht="19.95" customHeight="1">
      <c r="A5" s="57" t="s">
        <v>377</v>
      </c>
      <c r="Q5" s="181"/>
      <c r="R5" s="181"/>
      <c r="S5" s="181"/>
      <c r="T5" s="181"/>
      <c r="U5" s="181"/>
      <c r="V5" s="181"/>
    </row>
    <row r="6" spans="1:54" s="308" customFormat="1" ht="19.95" customHeight="1">
      <c r="A6" s="583" t="s">
        <v>378</v>
      </c>
      <c r="E6" s="583"/>
      <c r="F6" s="583"/>
      <c r="G6" s="583"/>
      <c r="H6" s="583"/>
      <c r="I6" s="583"/>
      <c r="J6" s="583"/>
      <c r="K6" s="583"/>
      <c r="L6" s="583"/>
      <c r="M6" s="583"/>
      <c r="N6" s="583"/>
      <c r="O6" s="583"/>
      <c r="P6" s="584"/>
      <c r="Q6" s="585"/>
      <c r="R6" s="585"/>
      <c r="S6" s="585"/>
      <c r="T6" s="585"/>
      <c r="U6" s="585"/>
      <c r="V6" s="585"/>
    </row>
    <row r="7" spans="1:54" s="308" customFormat="1" ht="19.95" customHeight="1">
      <c r="A7" s="583" t="s">
        <v>389</v>
      </c>
      <c r="E7" s="583"/>
      <c r="F7" s="583"/>
      <c r="G7" s="583"/>
      <c r="H7" s="583"/>
      <c r="I7" s="583"/>
      <c r="J7" s="583"/>
      <c r="K7" s="583"/>
      <c r="L7" s="583"/>
      <c r="M7" s="583"/>
      <c r="N7" s="583"/>
      <c r="O7" s="583"/>
      <c r="P7" s="584"/>
      <c r="Q7" s="585"/>
      <c r="R7" s="585"/>
      <c r="S7" s="585"/>
      <c r="T7" s="585"/>
      <c r="U7" s="585"/>
      <c r="V7" s="585"/>
    </row>
    <row r="8" spans="1:54" s="308" customFormat="1" ht="19.95" customHeight="1">
      <c r="A8" s="586" t="s">
        <v>379</v>
      </c>
      <c r="I8" s="587"/>
      <c r="P8" s="585"/>
      <c r="Q8" s="585"/>
      <c r="R8" s="585"/>
      <c r="S8" s="585"/>
      <c r="T8" s="585"/>
      <c r="U8" s="585"/>
      <c r="V8" s="585"/>
    </row>
    <row r="9" spans="1:54" s="15" customFormat="1" ht="19.95" customHeight="1">
      <c r="A9" s="738" t="s">
        <v>380</v>
      </c>
      <c r="B9" s="738" t="s">
        <v>390</v>
      </c>
      <c r="C9" s="738" t="s">
        <v>391</v>
      </c>
      <c r="D9" s="741" t="s">
        <v>392</v>
      </c>
      <c r="E9" s="741"/>
      <c r="F9" s="741"/>
      <c r="G9" s="741"/>
      <c r="H9" s="741"/>
      <c r="I9" s="741"/>
      <c r="J9" s="741"/>
      <c r="K9" s="741"/>
      <c r="L9" s="741"/>
      <c r="M9" s="741"/>
      <c r="N9" s="741"/>
      <c r="O9" s="741"/>
      <c r="P9" s="741"/>
      <c r="Q9" s="728" t="s">
        <v>381</v>
      </c>
      <c r="R9" s="728"/>
      <c r="S9" s="728"/>
      <c r="T9" s="728"/>
      <c r="U9" s="728"/>
      <c r="V9" s="728"/>
      <c r="W9" s="728"/>
      <c r="X9" s="728"/>
      <c r="Y9" s="728"/>
      <c r="Z9" s="728"/>
      <c r="AA9" s="728"/>
      <c r="AB9" s="728"/>
      <c r="AC9" s="728"/>
      <c r="AD9" s="728"/>
      <c r="AE9" s="728"/>
      <c r="AF9" s="728" t="s">
        <v>393</v>
      </c>
      <c r="AG9" s="728"/>
      <c r="AH9" s="728"/>
      <c r="AI9" s="728"/>
      <c r="AJ9" s="728"/>
      <c r="AK9" s="728"/>
      <c r="AL9" s="728"/>
      <c r="AM9" s="728"/>
      <c r="AN9" s="728"/>
      <c r="AO9" s="728"/>
      <c r="AP9" s="728"/>
      <c r="AQ9" s="728"/>
      <c r="AR9" s="728"/>
      <c r="AS9" s="728"/>
      <c r="AT9" s="728"/>
      <c r="AU9" s="728" t="s">
        <v>382</v>
      </c>
      <c r="AV9" s="728"/>
      <c r="AW9" s="728" t="s">
        <v>394</v>
      </c>
      <c r="AX9" s="728"/>
      <c r="AY9" s="747" t="s">
        <v>1251</v>
      </c>
      <c r="AZ9" s="747" t="s">
        <v>1252</v>
      </c>
      <c r="BA9" s="747" t="s">
        <v>1253</v>
      </c>
      <c r="BB9" s="747" t="s">
        <v>860</v>
      </c>
    </row>
    <row r="10" spans="1:54" s="15" customFormat="1" ht="19.95" customHeight="1">
      <c r="A10" s="738"/>
      <c r="B10" s="738"/>
      <c r="C10" s="738"/>
      <c r="D10" s="741" t="s">
        <v>363</v>
      </c>
      <c r="E10" s="741"/>
      <c r="F10" s="741"/>
      <c r="G10" s="741"/>
      <c r="H10" s="741"/>
      <c r="I10" s="741"/>
      <c r="J10" s="740" t="s">
        <v>395</v>
      </c>
      <c r="K10" s="740" t="s">
        <v>396</v>
      </c>
      <c r="L10" s="740"/>
      <c r="M10" s="740" t="s">
        <v>397</v>
      </c>
      <c r="N10" s="740"/>
      <c r="O10" s="740"/>
      <c r="P10" s="740"/>
      <c r="Q10" s="728" t="s">
        <v>362</v>
      </c>
      <c r="R10" s="728"/>
      <c r="S10" s="728"/>
      <c r="T10" s="728"/>
      <c r="U10" s="728"/>
      <c r="V10" s="728"/>
      <c r="W10" s="740" t="s">
        <v>395</v>
      </c>
      <c r="X10" s="740" t="s">
        <v>364</v>
      </c>
      <c r="Y10" s="740"/>
      <c r="Z10" s="740"/>
      <c r="AA10" s="740"/>
      <c r="AB10" s="740" t="s">
        <v>365</v>
      </c>
      <c r="AC10" s="740"/>
      <c r="AD10" s="740"/>
      <c r="AE10" s="740"/>
      <c r="AF10" s="728" t="s">
        <v>362</v>
      </c>
      <c r="AG10" s="728"/>
      <c r="AH10" s="728"/>
      <c r="AI10" s="728"/>
      <c r="AJ10" s="728"/>
      <c r="AK10" s="728"/>
      <c r="AL10" s="740" t="s">
        <v>398</v>
      </c>
      <c r="AM10" s="740" t="s">
        <v>364</v>
      </c>
      <c r="AN10" s="740"/>
      <c r="AO10" s="740"/>
      <c r="AP10" s="510"/>
      <c r="AQ10" s="740" t="s">
        <v>397</v>
      </c>
      <c r="AR10" s="740"/>
      <c r="AS10" s="740"/>
      <c r="AT10" s="740"/>
      <c r="AU10" s="728"/>
      <c r="AV10" s="728"/>
      <c r="AW10" s="728"/>
      <c r="AX10" s="728"/>
      <c r="AY10" s="747"/>
      <c r="AZ10" s="747"/>
      <c r="BA10" s="747"/>
      <c r="BB10" s="747"/>
    </row>
    <row r="11" spans="1:54" s="15" customFormat="1" ht="19.95" customHeight="1">
      <c r="A11" s="738"/>
      <c r="B11" s="738"/>
      <c r="C11" s="738"/>
      <c r="D11" s="740" t="s">
        <v>399</v>
      </c>
      <c r="E11" s="728" t="s">
        <v>400</v>
      </c>
      <c r="F11" s="728"/>
      <c r="G11" s="728" t="s">
        <v>401</v>
      </c>
      <c r="H11" s="728"/>
      <c r="I11" s="728" t="s">
        <v>402</v>
      </c>
      <c r="J11" s="740"/>
      <c r="K11" s="740" t="s">
        <v>366</v>
      </c>
      <c r="L11" s="740" t="s">
        <v>367</v>
      </c>
      <c r="M11" s="740" t="s">
        <v>403</v>
      </c>
      <c r="N11" s="740" t="s">
        <v>366</v>
      </c>
      <c r="O11" s="740" t="s">
        <v>367</v>
      </c>
      <c r="P11" s="740" t="s">
        <v>404</v>
      </c>
      <c r="Q11" s="740" t="s">
        <v>383</v>
      </c>
      <c r="R11" s="728" t="s">
        <v>103</v>
      </c>
      <c r="S11" s="728"/>
      <c r="T11" s="728" t="s">
        <v>401</v>
      </c>
      <c r="U11" s="728"/>
      <c r="V11" s="740" t="s">
        <v>384</v>
      </c>
      <c r="W11" s="740"/>
      <c r="X11" s="728" t="s">
        <v>103</v>
      </c>
      <c r="Y11" s="728"/>
      <c r="Z11" s="728" t="s">
        <v>401</v>
      </c>
      <c r="AA11" s="728"/>
      <c r="AB11" s="740" t="s">
        <v>383</v>
      </c>
      <c r="AC11" s="728" t="s">
        <v>103</v>
      </c>
      <c r="AD11" s="728" t="s">
        <v>368</v>
      </c>
      <c r="AE11" s="740" t="s">
        <v>384</v>
      </c>
      <c r="AF11" s="740" t="s">
        <v>403</v>
      </c>
      <c r="AG11" s="728" t="s">
        <v>103</v>
      </c>
      <c r="AH11" s="728"/>
      <c r="AI11" s="728" t="s">
        <v>369</v>
      </c>
      <c r="AJ11" s="728"/>
      <c r="AK11" s="740" t="s">
        <v>384</v>
      </c>
      <c r="AL11" s="740"/>
      <c r="AM11" s="728" t="s">
        <v>103</v>
      </c>
      <c r="AN11" s="728"/>
      <c r="AO11" s="728" t="s">
        <v>368</v>
      </c>
      <c r="AP11" s="728"/>
      <c r="AQ11" s="740" t="s">
        <v>383</v>
      </c>
      <c r="AR11" s="740" t="s">
        <v>385</v>
      </c>
      <c r="AS11" s="740" t="s">
        <v>386</v>
      </c>
      <c r="AT11" s="740" t="s">
        <v>405</v>
      </c>
      <c r="AU11" s="748" t="s">
        <v>387</v>
      </c>
      <c r="AV11" s="748" t="s">
        <v>370</v>
      </c>
      <c r="AW11" s="748" t="s">
        <v>406</v>
      </c>
      <c r="AX11" s="748" t="s">
        <v>370</v>
      </c>
      <c r="AY11" s="747"/>
      <c r="AZ11" s="747"/>
      <c r="BA11" s="747"/>
      <c r="BB11" s="747"/>
    </row>
    <row r="12" spans="1:54" ht="19.95" customHeight="1">
      <c r="A12" s="738"/>
      <c r="B12" s="738"/>
      <c r="C12" s="738"/>
      <c r="D12" s="740"/>
      <c r="E12" s="509" t="s">
        <v>371</v>
      </c>
      <c r="F12" s="114" t="s">
        <v>1250</v>
      </c>
      <c r="G12" s="509" t="s">
        <v>407</v>
      </c>
      <c r="H12" s="114" t="s">
        <v>544</v>
      </c>
      <c r="I12" s="728"/>
      <c r="J12" s="740"/>
      <c r="K12" s="740"/>
      <c r="L12" s="740"/>
      <c r="M12" s="740"/>
      <c r="N12" s="740"/>
      <c r="O12" s="740"/>
      <c r="P12" s="740"/>
      <c r="Q12" s="740"/>
      <c r="R12" s="509" t="s">
        <v>372</v>
      </c>
      <c r="S12" s="509" t="s">
        <v>104</v>
      </c>
      <c r="T12" s="509" t="s">
        <v>373</v>
      </c>
      <c r="U12" s="509" t="s">
        <v>374</v>
      </c>
      <c r="V12" s="740"/>
      <c r="W12" s="740"/>
      <c r="X12" s="509" t="s">
        <v>372</v>
      </c>
      <c r="Y12" s="509" t="s">
        <v>104</v>
      </c>
      <c r="Z12" s="509" t="s">
        <v>408</v>
      </c>
      <c r="AA12" s="509" t="s">
        <v>409</v>
      </c>
      <c r="AB12" s="740"/>
      <c r="AC12" s="728"/>
      <c r="AD12" s="728"/>
      <c r="AE12" s="740"/>
      <c r="AF12" s="740"/>
      <c r="AG12" s="509" t="s">
        <v>410</v>
      </c>
      <c r="AH12" s="509" t="s">
        <v>104</v>
      </c>
      <c r="AI12" s="509" t="s">
        <v>373</v>
      </c>
      <c r="AJ12" s="509" t="s">
        <v>374</v>
      </c>
      <c r="AK12" s="740"/>
      <c r="AL12" s="740"/>
      <c r="AM12" s="509" t="s">
        <v>410</v>
      </c>
      <c r="AN12" s="509" t="s">
        <v>104</v>
      </c>
      <c r="AO12" s="509" t="s">
        <v>373</v>
      </c>
      <c r="AP12" s="509" t="s">
        <v>374</v>
      </c>
      <c r="AQ12" s="740"/>
      <c r="AR12" s="740"/>
      <c r="AS12" s="740"/>
      <c r="AT12" s="740"/>
      <c r="AU12" s="748"/>
      <c r="AV12" s="748"/>
      <c r="AW12" s="748"/>
      <c r="AX12" s="748"/>
      <c r="AY12" s="747"/>
      <c r="AZ12" s="747"/>
      <c r="BA12" s="747"/>
      <c r="BB12" s="747"/>
    </row>
    <row r="13" spans="1:54" ht="19.95" customHeight="1">
      <c r="A13" s="102"/>
      <c r="B13" s="378"/>
      <c r="C13" s="544"/>
      <c r="D13" s="80"/>
      <c r="E13" s="80"/>
      <c r="F13" s="43"/>
      <c r="G13" s="43"/>
      <c r="H13" s="43"/>
      <c r="I13" s="128">
        <f>SUM(D13:E13)-G13</f>
        <v>0</v>
      </c>
      <c r="J13" s="80"/>
      <c r="K13" s="80"/>
      <c r="L13" s="80"/>
      <c r="M13" s="128">
        <f>D13+J13</f>
        <v>0</v>
      </c>
      <c r="N13" s="128">
        <f t="shared" ref="M13:N16" si="0">E13+K13</f>
        <v>0</v>
      </c>
      <c r="O13" s="128">
        <f>G13+L13</f>
        <v>0</v>
      </c>
      <c r="P13" s="128">
        <f t="shared" ref="P13:P32" si="1">M13+N13-O13</f>
        <v>0</v>
      </c>
      <c r="Q13" s="80"/>
      <c r="R13" s="80"/>
      <c r="S13" s="80"/>
      <c r="T13" s="80"/>
      <c r="U13" s="80"/>
      <c r="V13" s="128">
        <f>SUM(Q13:S13)-SUM(T13:U13)</f>
        <v>0</v>
      </c>
      <c r="W13" s="80"/>
      <c r="X13" s="80"/>
      <c r="Y13" s="80"/>
      <c r="Z13" s="80"/>
      <c r="AA13" s="80"/>
      <c r="AB13" s="128">
        <f t="shared" ref="AB13:AB32" si="2">Q13+W13</f>
        <v>0</v>
      </c>
      <c r="AC13" s="128">
        <f>R13+X13+S13+Y13</f>
        <v>0</v>
      </c>
      <c r="AD13" s="128">
        <f>T13+Z13+U13+AA13</f>
        <v>0</v>
      </c>
      <c r="AE13" s="128">
        <f>AB13+AC13-AD13</f>
        <v>0</v>
      </c>
      <c r="AF13" s="80"/>
      <c r="AG13" s="80"/>
      <c r="AH13" s="80"/>
      <c r="AI13" s="80"/>
      <c r="AJ13" s="80"/>
      <c r="AK13" s="128">
        <f t="shared" ref="AK13:AK32" si="3">SUM(AF13:AH13)-SUM(AI13:AJ13)</f>
        <v>0</v>
      </c>
      <c r="AL13" s="80"/>
      <c r="AM13" s="80"/>
      <c r="AN13" s="80"/>
      <c r="AO13" s="80"/>
      <c r="AP13" s="80"/>
      <c r="AQ13" s="128">
        <f t="shared" ref="AQ13:AQ32" si="4">AF13+AL13</f>
        <v>0</v>
      </c>
      <c r="AR13" s="128">
        <f>AG13+AM13+AH13+AN13</f>
        <v>0</v>
      </c>
      <c r="AS13" s="128">
        <f>AI13+AO13+AJ13+AP13</f>
        <v>0</v>
      </c>
      <c r="AT13" s="128">
        <f t="shared" ref="AT13:AT32" si="5">AQ13+AR13-AS13</f>
        <v>0</v>
      </c>
      <c r="AU13" s="128">
        <f>D13-Q13-AF13</f>
        <v>0</v>
      </c>
      <c r="AV13" s="128">
        <f>M13-AB13-AQ13</f>
        <v>0</v>
      </c>
      <c r="AW13" s="128">
        <f>I13-V13-AK13</f>
        <v>0</v>
      </c>
      <c r="AX13" s="128">
        <f>P13-AE13-AT13</f>
        <v>0</v>
      </c>
      <c r="AY13" s="379"/>
      <c r="AZ13" s="379"/>
      <c r="BA13" s="379"/>
      <c r="BB13" s="379"/>
    </row>
    <row r="14" spans="1:54" ht="19.95" customHeight="1">
      <c r="A14" s="102"/>
      <c r="B14" s="378"/>
      <c r="C14" s="544"/>
      <c r="D14" s="80"/>
      <c r="E14" s="80"/>
      <c r="F14" s="43"/>
      <c r="G14" s="43"/>
      <c r="H14" s="43"/>
      <c r="I14" s="128">
        <f>SUM(D14:E14)-G14</f>
        <v>0</v>
      </c>
      <c r="J14" s="80"/>
      <c r="K14" s="80"/>
      <c r="L14" s="80"/>
      <c r="M14" s="128">
        <f t="shared" si="0"/>
        <v>0</v>
      </c>
      <c r="N14" s="128">
        <f t="shared" si="0"/>
        <v>0</v>
      </c>
      <c r="O14" s="128">
        <f t="shared" ref="O14:O32" si="6">G14+L14</f>
        <v>0</v>
      </c>
      <c r="P14" s="128">
        <f t="shared" si="1"/>
        <v>0</v>
      </c>
      <c r="Q14" s="80"/>
      <c r="R14" s="80"/>
      <c r="S14" s="80"/>
      <c r="T14" s="80"/>
      <c r="U14" s="80"/>
      <c r="V14" s="128">
        <f>SUM(Q14:S14)-SUM(T14:U14)</f>
        <v>0</v>
      </c>
      <c r="W14" s="80"/>
      <c r="X14" s="80"/>
      <c r="Y14" s="80"/>
      <c r="Z14" s="80"/>
      <c r="AA14" s="80"/>
      <c r="AB14" s="128">
        <f t="shared" si="2"/>
        <v>0</v>
      </c>
      <c r="AC14" s="128">
        <f t="shared" ref="AC14:AC32" si="7">R14+X14+S14+Y14</f>
        <v>0</v>
      </c>
      <c r="AD14" s="128">
        <f t="shared" ref="AD14:AD32" si="8">T14+Z14+U14+AA14</f>
        <v>0</v>
      </c>
      <c r="AE14" s="128">
        <f t="shared" ref="AE14:AE32" si="9">AB14+AC14-AD14</f>
        <v>0</v>
      </c>
      <c r="AF14" s="80"/>
      <c r="AG14" s="80"/>
      <c r="AH14" s="80"/>
      <c r="AI14" s="80"/>
      <c r="AJ14" s="80"/>
      <c r="AK14" s="128">
        <f t="shared" si="3"/>
        <v>0</v>
      </c>
      <c r="AL14" s="80"/>
      <c r="AM14" s="80"/>
      <c r="AN14" s="80"/>
      <c r="AO14" s="80"/>
      <c r="AP14" s="80"/>
      <c r="AQ14" s="128">
        <f t="shared" si="4"/>
        <v>0</v>
      </c>
      <c r="AR14" s="128">
        <f t="shared" ref="AR14:AR32" si="10">AG14+AM14+AH14+AN14</f>
        <v>0</v>
      </c>
      <c r="AS14" s="128">
        <f t="shared" ref="AS14:AS32" si="11">AI14+AO14+AJ14+AP14</f>
        <v>0</v>
      </c>
      <c r="AT14" s="128">
        <f t="shared" si="5"/>
        <v>0</v>
      </c>
      <c r="AU14" s="128">
        <f t="shared" ref="AU14:AU32" si="12">D14-Q14-AF14</f>
        <v>0</v>
      </c>
      <c r="AV14" s="128">
        <f t="shared" ref="AV14:AV32" si="13">M14-AB14-AQ14</f>
        <v>0</v>
      </c>
      <c r="AW14" s="128">
        <f t="shared" ref="AW14:AW32" si="14">I14-V14-AK14</f>
        <v>0</v>
      </c>
      <c r="AX14" s="128">
        <f t="shared" ref="AX14:AX32" si="15">P14-AE14-AT14</f>
        <v>0</v>
      </c>
      <c r="AY14" s="379"/>
      <c r="AZ14" s="379"/>
      <c r="BA14" s="379"/>
      <c r="BB14" s="379"/>
    </row>
    <row r="15" spans="1:54" ht="19.95" customHeight="1">
      <c r="A15" s="102"/>
      <c r="B15" s="378"/>
      <c r="C15" s="544"/>
      <c r="D15" s="80"/>
      <c r="E15" s="80"/>
      <c r="F15" s="43"/>
      <c r="G15" s="43"/>
      <c r="H15" s="43"/>
      <c r="I15" s="128">
        <f>SUM(D15:E15)-G15</f>
        <v>0</v>
      </c>
      <c r="J15" s="80"/>
      <c r="K15" s="80"/>
      <c r="L15" s="80"/>
      <c r="M15" s="128">
        <f t="shared" si="0"/>
        <v>0</v>
      </c>
      <c r="N15" s="128">
        <f t="shared" si="0"/>
        <v>0</v>
      </c>
      <c r="O15" s="128">
        <f t="shared" si="6"/>
        <v>0</v>
      </c>
      <c r="P15" s="128">
        <f t="shared" si="1"/>
        <v>0</v>
      </c>
      <c r="Q15" s="80"/>
      <c r="R15" s="80"/>
      <c r="S15" s="80"/>
      <c r="T15" s="80"/>
      <c r="U15" s="80"/>
      <c r="V15" s="128">
        <f>SUM(Q15:S15)-SUM(T15:U15)</f>
        <v>0</v>
      </c>
      <c r="W15" s="80"/>
      <c r="X15" s="80"/>
      <c r="Y15" s="80"/>
      <c r="Z15" s="80"/>
      <c r="AA15" s="80"/>
      <c r="AB15" s="128">
        <f t="shared" si="2"/>
        <v>0</v>
      </c>
      <c r="AC15" s="128">
        <f t="shared" si="7"/>
        <v>0</v>
      </c>
      <c r="AD15" s="128">
        <f t="shared" si="8"/>
        <v>0</v>
      </c>
      <c r="AE15" s="128">
        <f t="shared" si="9"/>
        <v>0</v>
      </c>
      <c r="AF15" s="80"/>
      <c r="AG15" s="80"/>
      <c r="AH15" s="80"/>
      <c r="AI15" s="80"/>
      <c r="AJ15" s="80"/>
      <c r="AK15" s="128">
        <f t="shared" si="3"/>
        <v>0</v>
      </c>
      <c r="AL15" s="80"/>
      <c r="AM15" s="80"/>
      <c r="AN15" s="80"/>
      <c r="AO15" s="80"/>
      <c r="AP15" s="80"/>
      <c r="AQ15" s="128">
        <f t="shared" si="4"/>
        <v>0</v>
      </c>
      <c r="AR15" s="128">
        <f t="shared" si="10"/>
        <v>0</v>
      </c>
      <c r="AS15" s="128">
        <f t="shared" si="11"/>
        <v>0</v>
      </c>
      <c r="AT15" s="128">
        <f t="shared" si="5"/>
        <v>0</v>
      </c>
      <c r="AU15" s="128">
        <f t="shared" si="12"/>
        <v>0</v>
      </c>
      <c r="AV15" s="128">
        <f t="shared" si="13"/>
        <v>0</v>
      </c>
      <c r="AW15" s="128">
        <f t="shared" si="14"/>
        <v>0</v>
      </c>
      <c r="AX15" s="128">
        <f t="shared" si="15"/>
        <v>0</v>
      </c>
      <c r="AY15" s="379"/>
      <c r="AZ15" s="379"/>
      <c r="BA15" s="379"/>
      <c r="BB15" s="379"/>
    </row>
    <row r="16" spans="1:54" ht="19.95" customHeight="1">
      <c r="A16" s="102"/>
      <c r="B16" s="378"/>
      <c r="C16" s="544"/>
      <c r="D16" s="80"/>
      <c r="E16" s="80"/>
      <c r="F16" s="43"/>
      <c r="G16" s="43"/>
      <c r="H16" s="43"/>
      <c r="I16" s="128">
        <f>SUM(D16:E16)-G16</f>
        <v>0</v>
      </c>
      <c r="J16" s="80"/>
      <c r="K16" s="80"/>
      <c r="L16" s="80"/>
      <c r="M16" s="128">
        <f t="shared" si="0"/>
        <v>0</v>
      </c>
      <c r="N16" s="128">
        <f t="shared" si="0"/>
        <v>0</v>
      </c>
      <c r="O16" s="128">
        <f t="shared" si="6"/>
        <v>0</v>
      </c>
      <c r="P16" s="128">
        <f t="shared" si="1"/>
        <v>0</v>
      </c>
      <c r="Q16" s="80"/>
      <c r="R16" s="80"/>
      <c r="S16" s="80"/>
      <c r="T16" s="80"/>
      <c r="U16" s="80"/>
      <c r="V16" s="128">
        <f t="shared" ref="V16:V32" si="16">SUM(Q16:S16)-SUM(T16:U16)</f>
        <v>0</v>
      </c>
      <c r="W16" s="80"/>
      <c r="X16" s="80"/>
      <c r="Y16" s="80"/>
      <c r="Z16" s="80"/>
      <c r="AA16" s="80"/>
      <c r="AB16" s="128">
        <f t="shared" si="2"/>
        <v>0</v>
      </c>
      <c r="AC16" s="128">
        <f t="shared" si="7"/>
        <v>0</v>
      </c>
      <c r="AD16" s="128">
        <f t="shared" si="8"/>
        <v>0</v>
      </c>
      <c r="AE16" s="128">
        <f t="shared" si="9"/>
        <v>0</v>
      </c>
      <c r="AF16" s="80"/>
      <c r="AG16" s="80"/>
      <c r="AH16" s="80"/>
      <c r="AI16" s="80"/>
      <c r="AJ16" s="80"/>
      <c r="AK16" s="128">
        <f t="shared" si="3"/>
        <v>0</v>
      </c>
      <c r="AL16" s="80"/>
      <c r="AM16" s="80"/>
      <c r="AN16" s="80"/>
      <c r="AO16" s="80"/>
      <c r="AP16" s="80"/>
      <c r="AQ16" s="128">
        <f t="shared" si="4"/>
        <v>0</v>
      </c>
      <c r="AR16" s="128">
        <f t="shared" si="10"/>
        <v>0</v>
      </c>
      <c r="AS16" s="128">
        <f t="shared" si="11"/>
        <v>0</v>
      </c>
      <c r="AT16" s="128">
        <f t="shared" si="5"/>
        <v>0</v>
      </c>
      <c r="AU16" s="128">
        <f t="shared" si="12"/>
        <v>0</v>
      </c>
      <c r="AV16" s="128">
        <f t="shared" si="13"/>
        <v>0</v>
      </c>
      <c r="AW16" s="128">
        <f t="shared" si="14"/>
        <v>0</v>
      </c>
      <c r="AX16" s="128">
        <f t="shared" si="15"/>
        <v>0</v>
      </c>
      <c r="AY16" s="379"/>
      <c r="AZ16" s="379"/>
      <c r="BA16" s="379"/>
      <c r="BB16" s="379"/>
    </row>
    <row r="17" spans="1:54" ht="19.95" customHeight="1">
      <c r="A17" s="102"/>
      <c r="B17" s="378"/>
      <c r="C17" s="544"/>
      <c r="D17" s="80"/>
      <c r="E17" s="80"/>
      <c r="F17" s="43"/>
      <c r="G17" s="43"/>
      <c r="H17" s="43"/>
      <c r="I17" s="128">
        <f t="shared" ref="I17:I31" si="17">SUM(D17:E17)-G17</f>
        <v>0</v>
      </c>
      <c r="J17" s="80"/>
      <c r="K17" s="80"/>
      <c r="L17" s="80"/>
      <c r="M17" s="128">
        <f t="shared" ref="M17:N20" si="18">D17+J17</f>
        <v>0</v>
      </c>
      <c r="N17" s="128">
        <f t="shared" si="18"/>
        <v>0</v>
      </c>
      <c r="O17" s="128">
        <f t="shared" si="6"/>
        <v>0</v>
      </c>
      <c r="P17" s="128">
        <f t="shared" si="1"/>
        <v>0</v>
      </c>
      <c r="Q17" s="80"/>
      <c r="R17" s="80"/>
      <c r="S17" s="80"/>
      <c r="T17" s="80"/>
      <c r="U17" s="80"/>
      <c r="V17" s="128">
        <f t="shared" si="16"/>
        <v>0</v>
      </c>
      <c r="W17" s="80"/>
      <c r="X17" s="80"/>
      <c r="Y17" s="80"/>
      <c r="Z17" s="80"/>
      <c r="AA17" s="80"/>
      <c r="AB17" s="128">
        <f t="shared" si="2"/>
        <v>0</v>
      </c>
      <c r="AC17" s="128">
        <f t="shared" si="7"/>
        <v>0</v>
      </c>
      <c r="AD17" s="128">
        <f t="shared" si="8"/>
        <v>0</v>
      </c>
      <c r="AE17" s="128">
        <f t="shared" si="9"/>
        <v>0</v>
      </c>
      <c r="AF17" s="80"/>
      <c r="AG17" s="80"/>
      <c r="AH17" s="80"/>
      <c r="AI17" s="80"/>
      <c r="AJ17" s="80"/>
      <c r="AK17" s="128">
        <f t="shared" si="3"/>
        <v>0</v>
      </c>
      <c r="AL17" s="80"/>
      <c r="AM17" s="80"/>
      <c r="AN17" s="80"/>
      <c r="AO17" s="80"/>
      <c r="AP17" s="80"/>
      <c r="AQ17" s="128">
        <f t="shared" si="4"/>
        <v>0</v>
      </c>
      <c r="AR17" s="128">
        <f t="shared" si="10"/>
        <v>0</v>
      </c>
      <c r="AS17" s="128">
        <f t="shared" si="11"/>
        <v>0</v>
      </c>
      <c r="AT17" s="128">
        <f t="shared" si="5"/>
        <v>0</v>
      </c>
      <c r="AU17" s="128">
        <f t="shared" si="12"/>
        <v>0</v>
      </c>
      <c r="AV17" s="128">
        <f t="shared" si="13"/>
        <v>0</v>
      </c>
      <c r="AW17" s="128">
        <f t="shared" si="14"/>
        <v>0</v>
      </c>
      <c r="AX17" s="128">
        <f t="shared" si="15"/>
        <v>0</v>
      </c>
      <c r="AY17" s="379"/>
      <c r="AZ17" s="379"/>
      <c r="BA17" s="379"/>
      <c r="BB17" s="379"/>
    </row>
    <row r="18" spans="1:54" ht="19.95" customHeight="1">
      <c r="A18" s="102"/>
      <c r="B18" s="378"/>
      <c r="C18" s="544"/>
      <c r="D18" s="80"/>
      <c r="E18" s="80"/>
      <c r="F18" s="43"/>
      <c r="G18" s="43"/>
      <c r="H18" s="43"/>
      <c r="I18" s="128">
        <f t="shared" si="17"/>
        <v>0</v>
      </c>
      <c r="J18" s="80"/>
      <c r="K18" s="80"/>
      <c r="L18" s="80"/>
      <c r="M18" s="128">
        <f t="shared" si="18"/>
        <v>0</v>
      </c>
      <c r="N18" s="128">
        <f t="shared" si="18"/>
        <v>0</v>
      </c>
      <c r="O18" s="128">
        <f t="shared" si="6"/>
        <v>0</v>
      </c>
      <c r="P18" s="128">
        <f t="shared" si="1"/>
        <v>0</v>
      </c>
      <c r="Q18" s="80"/>
      <c r="R18" s="80"/>
      <c r="S18" s="80"/>
      <c r="T18" s="80"/>
      <c r="U18" s="80"/>
      <c r="V18" s="128">
        <f t="shared" si="16"/>
        <v>0</v>
      </c>
      <c r="W18" s="80"/>
      <c r="X18" s="80"/>
      <c r="Y18" s="80"/>
      <c r="Z18" s="80"/>
      <c r="AA18" s="80"/>
      <c r="AB18" s="128">
        <f t="shared" si="2"/>
        <v>0</v>
      </c>
      <c r="AC18" s="128">
        <f t="shared" si="7"/>
        <v>0</v>
      </c>
      <c r="AD18" s="128">
        <f t="shared" si="8"/>
        <v>0</v>
      </c>
      <c r="AE18" s="128">
        <f t="shared" si="9"/>
        <v>0</v>
      </c>
      <c r="AF18" s="80"/>
      <c r="AG18" s="80"/>
      <c r="AH18" s="80"/>
      <c r="AI18" s="80"/>
      <c r="AJ18" s="80"/>
      <c r="AK18" s="128">
        <f t="shared" si="3"/>
        <v>0</v>
      </c>
      <c r="AL18" s="80"/>
      <c r="AM18" s="80"/>
      <c r="AN18" s="80"/>
      <c r="AO18" s="80"/>
      <c r="AP18" s="80"/>
      <c r="AQ18" s="128">
        <f t="shared" si="4"/>
        <v>0</v>
      </c>
      <c r="AR18" s="128">
        <f t="shared" si="10"/>
        <v>0</v>
      </c>
      <c r="AS18" s="128">
        <f t="shared" si="11"/>
        <v>0</v>
      </c>
      <c r="AT18" s="128">
        <f t="shared" si="5"/>
        <v>0</v>
      </c>
      <c r="AU18" s="128">
        <f t="shared" si="12"/>
        <v>0</v>
      </c>
      <c r="AV18" s="128">
        <f t="shared" si="13"/>
        <v>0</v>
      </c>
      <c r="AW18" s="128">
        <f t="shared" si="14"/>
        <v>0</v>
      </c>
      <c r="AX18" s="128">
        <f t="shared" si="15"/>
        <v>0</v>
      </c>
      <c r="AY18" s="379"/>
      <c r="AZ18" s="379"/>
      <c r="BA18" s="379"/>
      <c r="BB18" s="379"/>
    </row>
    <row r="19" spans="1:54" ht="19.95" customHeight="1">
      <c r="A19" s="102"/>
      <c r="B19" s="378"/>
      <c r="C19" s="544"/>
      <c r="D19" s="80"/>
      <c r="E19" s="80"/>
      <c r="F19" s="43"/>
      <c r="G19" s="43"/>
      <c r="H19" s="43"/>
      <c r="I19" s="128">
        <f t="shared" si="17"/>
        <v>0</v>
      </c>
      <c r="J19" s="80"/>
      <c r="K19" s="80"/>
      <c r="L19" s="80"/>
      <c r="M19" s="128">
        <f t="shared" si="18"/>
        <v>0</v>
      </c>
      <c r="N19" s="128">
        <f t="shared" si="18"/>
        <v>0</v>
      </c>
      <c r="O19" s="128">
        <f t="shared" si="6"/>
        <v>0</v>
      </c>
      <c r="P19" s="128">
        <f t="shared" si="1"/>
        <v>0</v>
      </c>
      <c r="Q19" s="80"/>
      <c r="R19" s="80"/>
      <c r="S19" s="80"/>
      <c r="T19" s="80"/>
      <c r="U19" s="80"/>
      <c r="V19" s="128">
        <f t="shared" si="16"/>
        <v>0</v>
      </c>
      <c r="W19" s="80"/>
      <c r="X19" s="80"/>
      <c r="Y19" s="80"/>
      <c r="Z19" s="80"/>
      <c r="AA19" s="80"/>
      <c r="AB19" s="128">
        <f t="shared" si="2"/>
        <v>0</v>
      </c>
      <c r="AC19" s="128">
        <f t="shared" si="7"/>
        <v>0</v>
      </c>
      <c r="AD19" s="128">
        <f t="shared" si="8"/>
        <v>0</v>
      </c>
      <c r="AE19" s="128">
        <f t="shared" si="9"/>
        <v>0</v>
      </c>
      <c r="AF19" s="80"/>
      <c r="AG19" s="80"/>
      <c r="AH19" s="80"/>
      <c r="AI19" s="80"/>
      <c r="AJ19" s="80"/>
      <c r="AK19" s="128">
        <f t="shared" si="3"/>
        <v>0</v>
      </c>
      <c r="AL19" s="80"/>
      <c r="AM19" s="80"/>
      <c r="AN19" s="80"/>
      <c r="AO19" s="80"/>
      <c r="AP19" s="80"/>
      <c r="AQ19" s="128">
        <f t="shared" si="4"/>
        <v>0</v>
      </c>
      <c r="AR19" s="128">
        <f t="shared" si="10"/>
        <v>0</v>
      </c>
      <c r="AS19" s="128">
        <f t="shared" si="11"/>
        <v>0</v>
      </c>
      <c r="AT19" s="128">
        <f t="shared" si="5"/>
        <v>0</v>
      </c>
      <c r="AU19" s="128">
        <f t="shared" si="12"/>
        <v>0</v>
      </c>
      <c r="AV19" s="128">
        <f t="shared" si="13"/>
        <v>0</v>
      </c>
      <c r="AW19" s="128">
        <f t="shared" si="14"/>
        <v>0</v>
      </c>
      <c r="AX19" s="128">
        <f t="shared" si="15"/>
        <v>0</v>
      </c>
      <c r="AY19" s="379"/>
      <c r="AZ19" s="379"/>
      <c r="BA19" s="379"/>
      <c r="BB19" s="379"/>
    </row>
    <row r="20" spans="1:54" ht="19.95" customHeight="1">
      <c r="A20" s="102"/>
      <c r="B20" s="378"/>
      <c r="C20" s="544"/>
      <c r="D20" s="80"/>
      <c r="E20" s="80"/>
      <c r="F20" s="43"/>
      <c r="G20" s="43"/>
      <c r="H20" s="43"/>
      <c r="I20" s="128">
        <f t="shared" si="17"/>
        <v>0</v>
      </c>
      <c r="J20" s="80"/>
      <c r="K20" s="80"/>
      <c r="L20" s="80"/>
      <c r="M20" s="128">
        <f t="shared" si="18"/>
        <v>0</v>
      </c>
      <c r="N20" s="128">
        <f t="shared" si="18"/>
        <v>0</v>
      </c>
      <c r="O20" s="128">
        <f t="shared" si="6"/>
        <v>0</v>
      </c>
      <c r="P20" s="128">
        <f t="shared" si="1"/>
        <v>0</v>
      </c>
      <c r="Q20" s="80"/>
      <c r="R20" s="80"/>
      <c r="S20" s="80"/>
      <c r="T20" s="80"/>
      <c r="U20" s="80"/>
      <c r="V20" s="128">
        <f t="shared" si="16"/>
        <v>0</v>
      </c>
      <c r="W20" s="80"/>
      <c r="X20" s="80"/>
      <c r="Y20" s="80"/>
      <c r="Z20" s="80"/>
      <c r="AA20" s="80"/>
      <c r="AB20" s="128">
        <f t="shared" si="2"/>
        <v>0</v>
      </c>
      <c r="AC20" s="128">
        <f t="shared" si="7"/>
        <v>0</v>
      </c>
      <c r="AD20" s="128">
        <f t="shared" si="8"/>
        <v>0</v>
      </c>
      <c r="AE20" s="128">
        <f t="shared" si="9"/>
        <v>0</v>
      </c>
      <c r="AF20" s="80"/>
      <c r="AG20" s="80"/>
      <c r="AH20" s="80"/>
      <c r="AI20" s="80"/>
      <c r="AJ20" s="80"/>
      <c r="AK20" s="128">
        <f t="shared" si="3"/>
        <v>0</v>
      </c>
      <c r="AL20" s="80"/>
      <c r="AM20" s="80"/>
      <c r="AN20" s="80"/>
      <c r="AO20" s="80"/>
      <c r="AP20" s="80"/>
      <c r="AQ20" s="128">
        <f t="shared" si="4"/>
        <v>0</v>
      </c>
      <c r="AR20" s="128">
        <f t="shared" si="10"/>
        <v>0</v>
      </c>
      <c r="AS20" s="128">
        <f t="shared" si="11"/>
        <v>0</v>
      </c>
      <c r="AT20" s="128">
        <f t="shared" si="5"/>
        <v>0</v>
      </c>
      <c r="AU20" s="128">
        <f t="shared" si="12"/>
        <v>0</v>
      </c>
      <c r="AV20" s="128">
        <f t="shared" si="13"/>
        <v>0</v>
      </c>
      <c r="AW20" s="128">
        <f t="shared" si="14"/>
        <v>0</v>
      </c>
      <c r="AX20" s="128">
        <f t="shared" si="15"/>
        <v>0</v>
      </c>
      <c r="AY20" s="379"/>
      <c r="AZ20" s="379"/>
      <c r="BA20" s="379"/>
      <c r="BB20" s="379"/>
    </row>
    <row r="21" spans="1:54" ht="19.95" customHeight="1">
      <c r="A21" s="102"/>
      <c r="B21" s="378"/>
      <c r="C21" s="544"/>
      <c r="D21" s="80"/>
      <c r="E21" s="80"/>
      <c r="F21" s="43"/>
      <c r="G21" s="43"/>
      <c r="H21" s="43"/>
      <c r="I21" s="128">
        <f t="shared" si="17"/>
        <v>0</v>
      </c>
      <c r="J21" s="80"/>
      <c r="K21" s="80"/>
      <c r="L21" s="80"/>
      <c r="M21" s="128">
        <f t="shared" ref="M21:N24" si="19">D21+J21</f>
        <v>0</v>
      </c>
      <c r="N21" s="128">
        <f t="shared" si="19"/>
        <v>0</v>
      </c>
      <c r="O21" s="128">
        <f t="shared" si="6"/>
        <v>0</v>
      </c>
      <c r="P21" s="128">
        <f t="shared" si="1"/>
        <v>0</v>
      </c>
      <c r="Q21" s="80"/>
      <c r="R21" s="80"/>
      <c r="S21" s="80"/>
      <c r="T21" s="80"/>
      <c r="U21" s="80"/>
      <c r="V21" s="128">
        <f t="shared" si="16"/>
        <v>0</v>
      </c>
      <c r="W21" s="80"/>
      <c r="X21" s="80"/>
      <c r="Y21" s="80"/>
      <c r="Z21" s="80"/>
      <c r="AA21" s="80"/>
      <c r="AB21" s="128">
        <f t="shared" si="2"/>
        <v>0</v>
      </c>
      <c r="AC21" s="128">
        <f t="shared" si="7"/>
        <v>0</v>
      </c>
      <c r="AD21" s="128">
        <f t="shared" si="8"/>
        <v>0</v>
      </c>
      <c r="AE21" s="128">
        <f t="shared" si="9"/>
        <v>0</v>
      </c>
      <c r="AF21" s="80"/>
      <c r="AG21" s="80"/>
      <c r="AH21" s="80"/>
      <c r="AI21" s="80"/>
      <c r="AJ21" s="80"/>
      <c r="AK21" s="128">
        <f t="shared" si="3"/>
        <v>0</v>
      </c>
      <c r="AL21" s="80"/>
      <c r="AM21" s="80"/>
      <c r="AN21" s="80"/>
      <c r="AO21" s="80"/>
      <c r="AP21" s="80"/>
      <c r="AQ21" s="128">
        <f t="shared" si="4"/>
        <v>0</v>
      </c>
      <c r="AR21" s="128">
        <f t="shared" si="10"/>
        <v>0</v>
      </c>
      <c r="AS21" s="128">
        <f t="shared" si="11"/>
        <v>0</v>
      </c>
      <c r="AT21" s="128">
        <f t="shared" si="5"/>
        <v>0</v>
      </c>
      <c r="AU21" s="128">
        <f t="shared" si="12"/>
        <v>0</v>
      </c>
      <c r="AV21" s="128">
        <f t="shared" si="13"/>
        <v>0</v>
      </c>
      <c r="AW21" s="128">
        <f t="shared" si="14"/>
        <v>0</v>
      </c>
      <c r="AX21" s="128">
        <f t="shared" si="15"/>
        <v>0</v>
      </c>
      <c r="AY21" s="379"/>
      <c r="AZ21" s="379"/>
      <c r="BA21" s="379"/>
      <c r="BB21" s="379"/>
    </row>
    <row r="22" spans="1:54" ht="19.95" customHeight="1">
      <c r="A22" s="102"/>
      <c r="B22" s="378"/>
      <c r="C22" s="544"/>
      <c r="D22" s="80"/>
      <c r="E22" s="80"/>
      <c r="F22" s="43"/>
      <c r="G22" s="43"/>
      <c r="H22" s="43"/>
      <c r="I22" s="128">
        <f>SUM(D22:E22)-G22</f>
        <v>0</v>
      </c>
      <c r="J22" s="80"/>
      <c r="K22" s="80"/>
      <c r="L22" s="80"/>
      <c r="M22" s="128">
        <f t="shared" si="19"/>
        <v>0</v>
      </c>
      <c r="N22" s="128">
        <f t="shared" si="19"/>
        <v>0</v>
      </c>
      <c r="O22" s="128">
        <f t="shared" si="6"/>
        <v>0</v>
      </c>
      <c r="P22" s="128">
        <f t="shared" si="1"/>
        <v>0</v>
      </c>
      <c r="Q22" s="80"/>
      <c r="R22" s="80"/>
      <c r="S22" s="80"/>
      <c r="T22" s="80"/>
      <c r="U22" s="80"/>
      <c r="V22" s="128">
        <f t="shared" si="16"/>
        <v>0</v>
      </c>
      <c r="W22" s="80"/>
      <c r="X22" s="80"/>
      <c r="Y22" s="80"/>
      <c r="Z22" s="80"/>
      <c r="AA22" s="80"/>
      <c r="AB22" s="128">
        <f t="shared" si="2"/>
        <v>0</v>
      </c>
      <c r="AC22" s="128">
        <f t="shared" si="7"/>
        <v>0</v>
      </c>
      <c r="AD22" s="128">
        <f t="shared" si="8"/>
        <v>0</v>
      </c>
      <c r="AE22" s="128">
        <f t="shared" si="9"/>
        <v>0</v>
      </c>
      <c r="AF22" s="80"/>
      <c r="AG22" s="80"/>
      <c r="AH22" s="80"/>
      <c r="AI22" s="80"/>
      <c r="AJ22" s="80"/>
      <c r="AK22" s="128">
        <f t="shared" si="3"/>
        <v>0</v>
      </c>
      <c r="AL22" s="80"/>
      <c r="AM22" s="80"/>
      <c r="AN22" s="80"/>
      <c r="AO22" s="80"/>
      <c r="AP22" s="80"/>
      <c r="AQ22" s="128">
        <f t="shared" si="4"/>
        <v>0</v>
      </c>
      <c r="AR22" s="128">
        <f t="shared" si="10"/>
        <v>0</v>
      </c>
      <c r="AS22" s="128">
        <f t="shared" si="11"/>
        <v>0</v>
      </c>
      <c r="AT22" s="128">
        <f t="shared" si="5"/>
        <v>0</v>
      </c>
      <c r="AU22" s="128">
        <f t="shared" si="12"/>
        <v>0</v>
      </c>
      <c r="AV22" s="128">
        <f t="shared" si="13"/>
        <v>0</v>
      </c>
      <c r="AW22" s="128">
        <f t="shared" si="14"/>
        <v>0</v>
      </c>
      <c r="AX22" s="128">
        <f t="shared" si="15"/>
        <v>0</v>
      </c>
      <c r="AY22" s="379"/>
      <c r="AZ22" s="379"/>
      <c r="BA22" s="379"/>
      <c r="BB22" s="379"/>
    </row>
    <row r="23" spans="1:54" ht="19.95" customHeight="1">
      <c r="A23" s="102"/>
      <c r="B23" s="378"/>
      <c r="C23" s="544"/>
      <c r="D23" s="80"/>
      <c r="E23" s="80"/>
      <c r="F23" s="43"/>
      <c r="G23" s="43"/>
      <c r="H23" s="43"/>
      <c r="I23" s="128">
        <f t="shared" si="17"/>
        <v>0</v>
      </c>
      <c r="J23" s="80"/>
      <c r="K23" s="80"/>
      <c r="L23" s="80"/>
      <c r="M23" s="128">
        <f t="shared" si="19"/>
        <v>0</v>
      </c>
      <c r="N23" s="128">
        <f t="shared" si="19"/>
        <v>0</v>
      </c>
      <c r="O23" s="128">
        <f t="shared" si="6"/>
        <v>0</v>
      </c>
      <c r="P23" s="128">
        <f t="shared" si="1"/>
        <v>0</v>
      </c>
      <c r="Q23" s="80"/>
      <c r="R23" s="80"/>
      <c r="S23" s="80"/>
      <c r="T23" s="80"/>
      <c r="U23" s="80"/>
      <c r="V23" s="128">
        <f t="shared" si="16"/>
        <v>0</v>
      </c>
      <c r="W23" s="80"/>
      <c r="X23" s="80"/>
      <c r="Y23" s="80"/>
      <c r="Z23" s="80"/>
      <c r="AA23" s="80"/>
      <c r="AB23" s="128">
        <f t="shared" si="2"/>
        <v>0</v>
      </c>
      <c r="AC23" s="128">
        <f t="shared" si="7"/>
        <v>0</v>
      </c>
      <c r="AD23" s="128">
        <f t="shared" si="8"/>
        <v>0</v>
      </c>
      <c r="AE23" s="128">
        <f t="shared" si="9"/>
        <v>0</v>
      </c>
      <c r="AF23" s="80"/>
      <c r="AG23" s="80"/>
      <c r="AH23" s="80"/>
      <c r="AI23" s="80"/>
      <c r="AJ23" s="80"/>
      <c r="AK23" s="128">
        <f t="shared" si="3"/>
        <v>0</v>
      </c>
      <c r="AL23" s="80"/>
      <c r="AM23" s="80"/>
      <c r="AN23" s="80"/>
      <c r="AO23" s="80"/>
      <c r="AP23" s="80"/>
      <c r="AQ23" s="128">
        <f t="shared" si="4"/>
        <v>0</v>
      </c>
      <c r="AR23" s="128">
        <f t="shared" si="10"/>
        <v>0</v>
      </c>
      <c r="AS23" s="128">
        <f t="shared" si="11"/>
        <v>0</v>
      </c>
      <c r="AT23" s="128">
        <f t="shared" si="5"/>
        <v>0</v>
      </c>
      <c r="AU23" s="128">
        <f t="shared" si="12"/>
        <v>0</v>
      </c>
      <c r="AV23" s="128">
        <f t="shared" si="13"/>
        <v>0</v>
      </c>
      <c r="AW23" s="128">
        <f t="shared" si="14"/>
        <v>0</v>
      </c>
      <c r="AX23" s="128">
        <f t="shared" si="15"/>
        <v>0</v>
      </c>
      <c r="AY23" s="379"/>
      <c r="AZ23" s="379"/>
      <c r="BA23" s="379"/>
      <c r="BB23" s="379"/>
    </row>
    <row r="24" spans="1:54" ht="19.95" customHeight="1">
      <c r="A24" s="102"/>
      <c r="B24" s="378"/>
      <c r="C24" s="544"/>
      <c r="D24" s="80"/>
      <c r="E24" s="80"/>
      <c r="F24" s="43"/>
      <c r="G24" s="43"/>
      <c r="H24" s="43"/>
      <c r="I24" s="128">
        <f t="shared" si="17"/>
        <v>0</v>
      </c>
      <c r="J24" s="80"/>
      <c r="K24" s="80"/>
      <c r="L24" s="80"/>
      <c r="M24" s="128">
        <f t="shared" si="19"/>
        <v>0</v>
      </c>
      <c r="N24" s="128">
        <f t="shared" si="19"/>
        <v>0</v>
      </c>
      <c r="O24" s="128">
        <f t="shared" si="6"/>
        <v>0</v>
      </c>
      <c r="P24" s="128">
        <f t="shared" si="1"/>
        <v>0</v>
      </c>
      <c r="Q24" s="80"/>
      <c r="R24" s="80"/>
      <c r="S24" s="80"/>
      <c r="T24" s="80"/>
      <c r="U24" s="80"/>
      <c r="V24" s="128">
        <f t="shared" si="16"/>
        <v>0</v>
      </c>
      <c r="W24" s="80"/>
      <c r="X24" s="80"/>
      <c r="Y24" s="80"/>
      <c r="Z24" s="80"/>
      <c r="AA24" s="80"/>
      <c r="AB24" s="128">
        <f t="shared" si="2"/>
        <v>0</v>
      </c>
      <c r="AC24" s="128">
        <f t="shared" si="7"/>
        <v>0</v>
      </c>
      <c r="AD24" s="128">
        <f t="shared" si="8"/>
        <v>0</v>
      </c>
      <c r="AE24" s="128">
        <f t="shared" si="9"/>
        <v>0</v>
      </c>
      <c r="AF24" s="80"/>
      <c r="AG24" s="80"/>
      <c r="AH24" s="80"/>
      <c r="AI24" s="80"/>
      <c r="AJ24" s="80"/>
      <c r="AK24" s="128">
        <f t="shared" si="3"/>
        <v>0</v>
      </c>
      <c r="AL24" s="80"/>
      <c r="AM24" s="80"/>
      <c r="AN24" s="80"/>
      <c r="AO24" s="80"/>
      <c r="AP24" s="80"/>
      <c r="AQ24" s="128">
        <f t="shared" si="4"/>
        <v>0</v>
      </c>
      <c r="AR24" s="128">
        <f t="shared" si="10"/>
        <v>0</v>
      </c>
      <c r="AS24" s="128">
        <f t="shared" si="11"/>
        <v>0</v>
      </c>
      <c r="AT24" s="128">
        <f t="shared" si="5"/>
        <v>0</v>
      </c>
      <c r="AU24" s="128">
        <f t="shared" si="12"/>
        <v>0</v>
      </c>
      <c r="AV24" s="128">
        <f t="shared" si="13"/>
        <v>0</v>
      </c>
      <c r="AW24" s="128">
        <f t="shared" si="14"/>
        <v>0</v>
      </c>
      <c r="AX24" s="128">
        <f t="shared" si="15"/>
        <v>0</v>
      </c>
      <c r="AY24" s="379"/>
      <c r="AZ24" s="379"/>
      <c r="BA24" s="379"/>
      <c r="BB24" s="379"/>
    </row>
    <row r="25" spans="1:54" ht="19.95" customHeight="1">
      <c r="A25" s="102"/>
      <c r="B25" s="378"/>
      <c r="C25" s="544"/>
      <c r="D25" s="80"/>
      <c r="E25" s="80"/>
      <c r="F25" s="43"/>
      <c r="G25" s="43"/>
      <c r="H25" s="43"/>
      <c r="I25" s="128">
        <f t="shared" si="17"/>
        <v>0</v>
      </c>
      <c r="J25" s="80"/>
      <c r="K25" s="80"/>
      <c r="L25" s="80"/>
      <c r="M25" s="128">
        <f t="shared" ref="M25:N28" si="20">D25+J25</f>
        <v>0</v>
      </c>
      <c r="N25" s="128">
        <f t="shared" si="20"/>
        <v>0</v>
      </c>
      <c r="O25" s="128">
        <f t="shared" si="6"/>
        <v>0</v>
      </c>
      <c r="P25" s="128">
        <f t="shared" si="1"/>
        <v>0</v>
      </c>
      <c r="Q25" s="80"/>
      <c r="R25" s="80"/>
      <c r="S25" s="80"/>
      <c r="T25" s="80"/>
      <c r="U25" s="80"/>
      <c r="V25" s="128">
        <f t="shared" si="16"/>
        <v>0</v>
      </c>
      <c r="W25" s="80"/>
      <c r="X25" s="80"/>
      <c r="Y25" s="80"/>
      <c r="Z25" s="80"/>
      <c r="AA25" s="80"/>
      <c r="AB25" s="128">
        <f t="shared" si="2"/>
        <v>0</v>
      </c>
      <c r="AC25" s="128">
        <f t="shared" si="7"/>
        <v>0</v>
      </c>
      <c r="AD25" s="128">
        <f t="shared" si="8"/>
        <v>0</v>
      </c>
      <c r="AE25" s="128">
        <f t="shared" si="9"/>
        <v>0</v>
      </c>
      <c r="AF25" s="80"/>
      <c r="AG25" s="80"/>
      <c r="AH25" s="80"/>
      <c r="AI25" s="80"/>
      <c r="AJ25" s="80"/>
      <c r="AK25" s="128">
        <f t="shared" si="3"/>
        <v>0</v>
      </c>
      <c r="AL25" s="80"/>
      <c r="AM25" s="80"/>
      <c r="AN25" s="80"/>
      <c r="AO25" s="80"/>
      <c r="AP25" s="80"/>
      <c r="AQ25" s="128">
        <f t="shared" si="4"/>
        <v>0</v>
      </c>
      <c r="AR25" s="128">
        <f t="shared" si="10"/>
        <v>0</v>
      </c>
      <c r="AS25" s="128">
        <f t="shared" si="11"/>
        <v>0</v>
      </c>
      <c r="AT25" s="128">
        <f t="shared" si="5"/>
        <v>0</v>
      </c>
      <c r="AU25" s="128">
        <f t="shared" si="12"/>
        <v>0</v>
      </c>
      <c r="AV25" s="128">
        <f t="shared" si="13"/>
        <v>0</v>
      </c>
      <c r="AW25" s="128">
        <f t="shared" si="14"/>
        <v>0</v>
      </c>
      <c r="AX25" s="128">
        <f t="shared" si="15"/>
        <v>0</v>
      </c>
      <c r="AY25" s="379"/>
      <c r="AZ25" s="379"/>
      <c r="BA25" s="379"/>
      <c r="BB25" s="379"/>
    </row>
    <row r="26" spans="1:54" ht="19.95" customHeight="1">
      <c r="A26" s="102"/>
      <c r="B26" s="378"/>
      <c r="C26" s="544"/>
      <c r="D26" s="80"/>
      <c r="E26" s="80"/>
      <c r="F26" s="43"/>
      <c r="G26" s="43"/>
      <c r="H26" s="43"/>
      <c r="I26" s="128">
        <f t="shared" si="17"/>
        <v>0</v>
      </c>
      <c r="J26" s="80"/>
      <c r="K26" s="80"/>
      <c r="L26" s="80"/>
      <c r="M26" s="128">
        <f t="shared" si="20"/>
        <v>0</v>
      </c>
      <c r="N26" s="128">
        <f t="shared" si="20"/>
        <v>0</v>
      </c>
      <c r="O26" s="128">
        <f t="shared" si="6"/>
        <v>0</v>
      </c>
      <c r="P26" s="128">
        <f t="shared" si="1"/>
        <v>0</v>
      </c>
      <c r="Q26" s="80"/>
      <c r="R26" s="80"/>
      <c r="S26" s="80"/>
      <c r="T26" s="80"/>
      <c r="U26" s="80"/>
      <c r="V26" s="128">
        <f t="shared" si="16"/>
        <v>0</v>
      </c>
      <c r="W26" s="80"/>
      <c r="X26" s="80"/>
      <c r="Y26" s="80"/>
      <c r="Z26" s="80"/>
      <c r="AA26" s="80"/>
      <c r="AB26" s="128">
        <f t="shared" si="2"/>
        <v>0</v>
      </c>
      <c r="AC26" s="128">
        <f t="shared" si="7"/>
        <v>0</v>
      </c>
      <c r="AD26" s="128">
        <f t="shared" si="8"/>
        <v>0</v>
      </c>
      <c r="AE26" s="128">
        <f t="shared" si="9"/>
        <v>0</v>
      </c>
      <c r="AF26" s="80"/>
      <c r="AG26" s="80"/>
      <c r="AH26" s="80"/>
      <c r="AI26" s="80"/>
      <c r="AJ26" s="80"/>
      <c r="AK26" s="128">
        <f t="shared" si="3"/>
        <v>0</v>
      </c>
      <c r="AL26" s="80"/>
      <c r="AM26" s="80"/>
      <c r="AN26" s="80"/>
      <c r="AO26" s="80"/>
      <c r="AP26" s="80"/>
      <c r="AQ26" s="128">
        <f t="shared" si="4"/>
        <v>0</v>
      </c>
      <c r="AR26" s="128">
        <f t="shared" si="10"/>
        <v>0</v>
      </c>
      <c r="AS26" s="128">
        <f t="shared" si="11"/>
        <v>0</v>
      </c>
      <c r="AT26" s="128">
        <f t="shared" si="5"/>
        <v>0</v>
      </c>
      <c r="AU26" s="128">
        <f t="shared" si="12"/>
        <v>0</v>
      </c>
      <c r="AV26" s="128">
        <f t="shared" si="13"/>
        <v>0</v>
      </c>
      <c r="AW26" s="128">
        <f t="shared" si="14"/>
        <v>0</v>
      </c>
      <c r="AX26" s="128">
        <f t="shared" si="15"/>
        <v>0</v>
      </c>
      <c r="AY26" s="379"/>
      <c r="AZ26" s="379"/>
      <c r="BA26" s="379"/>
      <c r="BB26" s="379"/>
    </row>
    <row r="27" spans="1:54" ht="19.95" customHeight="1">
      <c r="A27" s="102"/>
      <c r="B27" s="378"/>
      <c r="C27" s="544"/>
      <c r="D27" s="80"/>
      <c r="E27" s="80"/>
      <c r="F27" s="43"/>
      <c r="G27" s="43"/>
      <c r="H27" s="43"/>
      <c r="I27" s="128">
        <f t="shared" si="17"/>
        <v>0</v>
      </c>
      <c r="J27" s="80"/>
      <c r="K27" s="80"/>
      <c r="L27" s="80"/>
      <c r="M27" s="128">
        <f t="shared" si="20"/>
        <v>0</v>
      </c>
      <c r="N27" s="128">
        <f t="shared" si="20"/>
        <v>0</v>
      </c>
      <c r="O27" s="128">
        <f t="shared" si="6"/>
        <v>0</v>
      </c>
      <c r="P27" s="128">
        <f t="shared" si="1"/>
        <v>0</v>
      </c>
      <c r="Q27" s="80"/>
      <c r="R27" s="80"/>
      <c r="S27" s="80"/>
      <c r="T27" s="80"/>
      <c r="U27" s="80"/>
      <c r="V27" s="128">
        <f t="shared" si="16"/>
        <v>0</v>
      </c>
      <c r="W27" s="80"/>
      <c r="X27" s="80"/>
      <c r="Y27" s="80"/>
      <c r="Z27" s="80"/>
      <c r="AA27" s="80"/>
      <c r="AB27" s="128">
        <f t="shared" si="2"/>
        <v>0</v>
      </c>
      <c r="AC27" s="128">
        <f t="shared" si="7"/>
        <v>0</v>
      </c>
      <c r="AD27" s="128">
        <f t="shared" si="8"/>
        <v>0</v>
      </c>
      <c r="AE27" s="128">
        <f t="shared" si="9"/>
        <v>0</v>
      </c>
      <c r="AF27" s="80"/>
      <c r="AG27" s="80"/>
      <c r="AH27" s="80"/>
      <c r="AI27" s="80"/>
      <c r="AJ27" s="80"/>
      <c r="AK27" s="128">
        <f t="shared" si="3"/>
        <v>0</v>
      </c>
      <c r="AL27" s="80"/>
      <c r="AM27" s="80"/>
      <c r="AN27" s="80"/>
      <c r="AO27" s="80"/>
      <c r="AP27" s="80"/>
      <c r="AQ27" s="128">
        <f t="shared" si="4"/>
        <v>0</v>
      </c>
      <c r="AR27" s="128">
        <f t="shared" si="10"/>
        <v>0</v>
      </c>
      <c r="AS27" s="128">
        <f t="shared" si="11"/>
        <v>0</v>
      </c>
      <c r="AT27" s="128">
        <f t="shared" si="5"/>
        <v>0</v>
      </c>
      <c r="AU27" s="128">
        <f t="shared" si="12"/>
        <v>0</v>
      </c>
      <c r="AV27" s="128">
        <f t="shared" si="13"/>
        <v>0</v>
      </c>
      <c r="AW27" s="128">
        <f t="shared" si="14"/>
        <v>0</v>
      </c>
      <c r="AX27" s="128">
        <f t="shared" si="15"/>
        <v>0</v>
      </c>
      <c r="AY27" s="379"/>
      <c r="AZ27" s="379"/>
      <c r="BA27" s="379"/>
      <c r="BB27" s="379"/>
    </row>
    <row r="28" spans="1:54" ht="19.95" customHeight="1">
      <c r="A28" s="102"/>
      <c r="B28" s="378"/>
      <c r="C28" s="544"/>
      <c r="D28" s="80"/>
      <c r="E28" s="80"/>
      <c r="F28" s="43"/>
      <c r="G28" s="43"/>
      <c r="H28" s="43"/>
      <c r="I28" s="128">
        <f t="shared" si="17"/>
        <v>0</v>
      </c>
      <c r="J28" s="80"/>
      <c r="K28" s="80"/>
      <c r="L28" s="80"/>
      <c r="M28" s="128">
        <f t="shared" si="20"/>
        <v>0</v>
      </c>
      <c r="N28" s="128">
        <f t="shared" si="20"/>
        <v>0</v>
      </c>
      <c r="O28" s="128">
        <f t="shared" si="6"/>
        <v>0</v>
      </c>
      <c r="P28" s="128">
        <f t="shared" si="1"/>
        <v>0</v>
      </c>
      <c r="Q28" s="80"/>
      <c r="R28" s="80"/>
      <c r="S28" s="80"/>
      <c r="T28" s="80"/>
      <c r="U28" s="80"/>
      <c r="V28" s="128">
        <f t="shared" si="16"/>
        <v>0</v>
      </c>
      <c r="W28" s="80"/>
      <c r="X28" s="80"/>
      <c r="Y28" s="80"/>
      <c r="Z28" s="80"/>
      <c r="AA28" s="80"/>
      <c r="AB28" s="128">
        <f t="shared" si="2"/>
        <v>0</v>
      </c>
      <c r="AC28" s="128">
        <f t="shared" si="7"/>
        <v>0</v>
      </c>
      <c r="AD28" s="128">
        <f t="shared" si="8"/>
        <v>0</v>
      </c>
      <c r="AE28" s="128">
        <f t="shared" si="9"/>
        <v>0</v>
      </c>
      <c r="AF28" s="80"/>
      <c r="AG28" s="80"/>
      <c r="AH28" s="80"/>
      <c r="AI28" s="80"/>
      <c r="AJ28" s="80"/>
      <c r="AK28" s="128">
        <f t="shared" si="3"/>
        <v>0</v>
      </c>
      <c r="AL28" s="80"/>
      <c r="AM28" s="80"/>
      <c r="AN28" s="80"/>
      <c r="AO28" s="80"/>
      <c r="AP28" s="80"/>
      <c r="AQ28" s="128">
        <f t="shared" si="4"/>
        <v>0</v>
      </c>
      <c r="AR28" s="128">
        <f t="shared" si="10"/>
        <v>0</v>
      </c>
      <c r="AS28" s="128">
        <f t="shared" si="11"/>
        <v>0</v>
      </c>
      <c r="AT28" s="128">
        <f t="shared" si="5"/>
        <v>0</v>
      </c>
      <c r="AU28" s="128">
        <f t="shared" si="12"/>
        <v>0</v>
      </c>
      <c r="AV28" s="128">
        <f t="shared" si="13"/>
        <v>0</v>
      </c>
      <c r="AW28" s="128">
        <f t="shared" si="14"/>
        <v>0</v>
      </c>
      <c r="AX28" s="128">
        <f t="shared" si="15"/>
        <v>0</v>
      </c>
      <c r="AY28" s="379"/>
      <c r="AZ28" s="379"/>
      <c r="BA28" s="379"/>
      <c r="BB28" s="379"/>
    </row>
    <row r="29" spans="1:54" ht="19.95" customHeight="1">
      <c r="A29" s="102"/>
      <c r="B29" s="378"/>
      <c r="C29" s="544"/>
      <c r="D29" s="80"/>
      <c r="E29" s="80"/>
      <c r="F29" s="43"/>
      <c r="G29" s="43"/>
      <c r="H29" s="43"/>
      <c r="I29" s="128">
        <f t="shared" si="17"/>
        <v>0</v>
      </c>
      <c r="J29" s="80"/>
      <c r="K29" s="80"/>
      <c r="L29" s="80"/>
      <c r="M29" s="128">
        <f t="shared" ref="M29:N32" si="21">D29+J29</f>
        <v>0</v>
      </c>
      <c r="N29" s="128">
        <f t="shared" si="21"/>
        <v>0</v>
      </c>
      <c r="O29" s="128">
        <f t="shared" si="6"/>
        <v>0</v>
      </c>
      <c r="P29" s="128">
        <f t="shared" si="1"/>
        <v>0</v>
      </c>
      <c r="Q29" s="80"/>
      <c r="R29" s="80"/>
      <c r="S29" s="80"/>
      <c r="T29" s="80"/>
      <c r="U29" s="80"/>
      <c r="V29" s="128">
        <f t="shared" si="16"/>
        <v>0</v>
      </c>
      <c r="W29" s="80"/>
      <c r="X29" s="80"/>
      <c r="Y29" s="80"/>
      <c r="Z29" s="80"/>
      <c r="AA29" s="80"/>
      <c r="AB29" s="128">
        <f t="shared" si="2"/>
        <v>0</v>
      </c>
      <c r="AC29" s="128">
        <f t="shared" si="7"/>
        <v>0</v>
      </c>
      <c r="AD29" s="128">
        <f t="shared" si="8"/>
        <v>0</v>
      </c>
      <c r="AE29" s="128">
        <f t="shared" si="9"/>
        <v>0</v>
      </c>
      <c r="AF29" s="80"/>
      <c r="AG29" s="80"/>
      <c r="AH29" s="80"/>
      <c r="AI29" s="80"/>
      <c r="AJ29" s="80"/>
      <c r="AK29" s="128">
        <f t="shared" si="3"/>
        <v>0</v>
      </c>
      <c r="AL29" s="80"/>
      <c r="AM29" s="80"/>
      <c r="AN29" s="80"/>
      <c r="AO29" s="80"/>
      <c r="AP29" s="80"/>
      <c r="AQ29" s="128">
        <f t="shared" si="4"/>
        <v>0</v>
      </c>
      <c r="AR29" s="128">
        <f t="shared" si="10"/>
        <v>0</v>
      </c>
      <c r="AS29" s="128">
        <f t="shared" si="11"/>
        <v>0</v>
      </c>
      <c r="AT29" s="128">
        <f t="shared" si="5"/>
        <v>0</v>
      </c>
      <c r="AU29" s="128">
        <f t="shared" si="12"/>
        <v>0</v>
      </c>
      <c r="AV29" s="128">
        <f t="shared" si="13"/>
        <v>0</v>
      </c>
      <c r="AW29" s="128">
        <f t="shared" si="14"/>
        <v>0</v>
      </c>
      <c r="AX29" s="128">
        <f t="shared" si="15"/>
        <v>0</v>
      </c>
      <c r="AY29" s="379"/>
      <c r="AZ29" s="379"/>
      <c r="BA29" s="379"/>
      <c r="BB29" s="379"/>
    </row>
    <row r="30" spans="1:54" ht="19.95" customHeight="1">
      <c r="A30" s="102"/>
      <c r="B30" s="378"/>
      <c r="C30" s="544"/>
      <c r="D30" s="80"/>
      <c r="E30" s="80"/>
      <c r="F30" s="43"/>
      <c r="G30" s="43"/>
      <c r="H30" s="43"/>
      <c r="I30" s="128">
        <f t="shared" si="17"/>
        <v>0</v>
      </c>
      <c r="J30" s="80"/>
      <c r="K30" s="80"/>
      <c r="L30" s="80"/>
      <c r="M30" s="128">
        <f t="shared" si="21"/>
        <v>0</v>
      </c>
      <c r="N30" s="128">
        <f t="shared" si="21"/>
        <v>0</v>
      </c>
      <c r="O30" s="128">
        <f t="shared" si="6"/>
        <v>0</v>
      </c>
      <c r="P30" s="128">
        <f t="shared" si="1"/>
        <v>0</v>
      </c>
      <c r="Q30" s="80"/>
      <c r="R30" s="80"/>
      <c r="S30" s="80"/>
      <c r="T30" s="80"/>
      <c r="U30" s="80"/>
      <c r="V30" s="128">
        <f t="shared" si="16"/>
        <v>0</v>
      </c>
      <c r="W30" s="80"/>
      <c r="X30" s="80"/>
      <c r="Y30" s="80"/>
      <c r="Z30" s="80"/>
      <c r="AA30" s="80"/>
      <c r="AB30" s="128">
        <f t="shared" si="2"/>
        <v>0</v>
      </c>
      <c r="AC30" s="128">
        <f t="shared" si="7"/>
        <v>0</v>
      </c>
      <c r="AD30" s="128">
        <f t="shared" si="8"/>
        <v>0</v>
      </c>
      <c r="AE30" s="128">
        <f t="shared" si="9"/>
        <v>0</v>
      </c>
      <c r="AF30" s="80"/>
      <c r="AG30" s="80"/>
      <c r="AH30" s="80"/>
      <c r="AI30" s="80"/>
      <c r="AJ30" s="80"/>
      <c r="AK30" s="128">
        <f t="shared" si="3"/>
        <v>0</v>
      </c>
      <c r="AL30" s="80"/>
      <c r="AM30" s="80"/>
      <c r="AN30" s="80"/>
      <c r="AO30" s="80"/>
      <c r="AP30" s="80"/>
      <c r="AQ30" s="128">
        <f t="shared" si="4"/>
        <v>0</v>
      </c>
      <c r="AR30" s="128">
        <f t="shared" si="10"/>
        <v>0</v>
      </c>
      <c r="AS30" s="128">
        <f t="shared" si="11"/>
        <v>0</v>
      </c>
      <c r="AT30" s="128">
        <f t="shared" si="5"/>
        <v>0</v>
      </c>
      <c r="AU30" s="128">
        <f t="shared" si="12"/>
        <v>0</v>
      </c>
      <c r="AV30" s="128">
        <f t="shared" si="13"/>
        <v>0</v>
      </c>
      <c r="AW30" s="128">
        <f t="shared" si="14"/>
        <v>0</v>
      </c>
      <c r="AX30" s="128">
        <f t="shared" si="15"/>
        <v>0</v>
      </c>
      <c r="AY30" s="379"/>
      <c r="AZ30" s="379"/>
      <c r="BA30" s="379"/>
      <c r="BB30" s="379"/>
    </row>
    <row r="31" spans="1:54" ht="19.95" customHeight="1">
      <c r="A31" s="102"/>
      <c r="B31" s="378"/>
      <c r="C31" s="544"/>
      <c r="D31" s="80"/>
      <c r="E31" s="80"/>
      <c r="F31" s="43"/>
      <c r="G31" s="43"/>
      <c r="H31" s="43"/>
      <c r="I31" s="128">
        <f t="shared" si="17"/>
        <v>0</v>
      </c>
      <c r="J31" s="80"/>
      <c r="K31" s="80"/>
      <c r="L31" s="80"/>
      <c r="M31" s="128">
        <f t="shared" si="21"/>
        <v>0</v>
      </c>
      <c r="N31" s="128">
        <f t="shared" si="21"/>
        <v>0</v>
      </c>
      <c r="O31" s="128">
        <f t="shared" si="6"/>
        <v>0</v>
      </c>
      <c r="P31" s="128">
        <f t="shared" si="1"/>
        <v>0</v>
      </c>
      <c r="Q31" s="80"/>
      <c r="R31" s="80"/>
      <c r="S31" s="80"/>
      <c r="T31" s="80"/>
      <c r="U31" s="80"/>
      <c r="V31" s="128">
        <f t="shared" si="16"/>
        <v>0</v>
      </c>
      <c r="W31" s="80"/>
      <c r="X31" s="80"/>
      <c r="Y31" s="80"/>
      <c r="Z31" s="80"/>
      <c r="AA31" s="80"/>
      <c r="AB31" s="128">
        <f t="shared" si="2"/>
        <v>0</v>
      </c>
      <c r="AC31" s="128">
        <f t="shared" si="7"/>
        <v>0</v>
      </c>
      <c r="AD31" s="128">
        <f t="shared" si="8"/>
        <v>0</v>
      </c>
      <c r="AE31" s="128">
        <f t="shared" si="9"/>
        <v>0</v>
      </c>
      <c r="AF31" s="80"/>
      <c r="AG31" s="80"/>
      <c r="AH31" s="80"/>
      <c r="AI31" s="80"/>
      <c r="AJ31" s="80"/>
      <c r="AK31" s="128">
        <f t="shared" si="3"/>
        <v>0</v>
      </c>
      <c r="AL31" s="80"/>
      <c r="AM31" s="80"/>
      <c r="AN31" s="80"/>
      <c r="AO31" s="80"/>
      <c r="AP31" s="80"/>
      <c r="AQ31" s="128">
        <f t="shared" si="4"/>
        <v>0</v>
      </c>
      <c r="AR31" s="128">
        <f t="shared" si="10"/>
        <v>0</v>
      </c>
      <c r="AS31" s="128">
        <f t="shared" si="11"/>
        <v>0</v>
      </c>
      <c r="AT31" s="128">
        <f t="shared" si="5"/>
        <v>0</v>
      </c>
      <c r="AU31" s="128">
        <f t="shared" si="12"/>
        <v>0</v>
      </c>
      <c r="AV31" s="128">
        <f t="shared" si="13"/>
        <v>0</v>
      </c>
      <c r="AW31" s="128">
        <f t="shared" si="14"/>
        <v>0</v>
      </c>
      <c r="AX31" s="128">
        <f t="shared" si="15"/>
        <v>0</v>
      </c>
      <c r="AY31" s="379"/>
      <c r="AZ31" s="379"/>
      <c r="BA31" s="379"/>
      <c r="BB31" s="379"/>
    </row>
    <row r="32" spans="1:54" ht="19.95" customHeight="1">
      <c r="A32" s="102"/>
      <c r="B32" s="378"/>
      <c r="C32" s="544"/>
      <c r="D32" s="80"/>
      <c r="E32" s="80"/>
      <c r="F32" s="43"/>
      <c r="G32" s="43"/>
      <c r="H32" s="43"/>
      <c r="I32" s="128">
        <f>SUM(D32:E32)-G32</f>
        <v>0</v>
      </c>
      <c r="J32" s="80"/>
      <c r="K32" s="80"/>
      <c r="L32" s="80"/>
      <c r="M32" s="128">
        <f t="shared" si="21"/>
        <v>0</v>
      </c>
      <c r="N32" s="128">
        <f>E32+K32</f>
        <v>0</v>
      </c>
      <c r="O32" s="128">
        <f t="shared" si="6"/>
        <v>0</v>
      </c>
      <c r="P32" s="128">
        <f t="shared" si="1"/>
        <v>0</v>
      </c>
      <c r="Q32" s="80"/>
      <c r="R32" s="80"/>
      <c r="S32" s="80"/>
      <c r="T32" s="80"/>
      <c r="U32" s="80"/>
      <c r="V32" s="128">
        <f t="shared" si="16"/>
        <v>0</v>
      </c>
      <c r="W32" s="80"/>
      <c r="X32" s="80"/>
      <c r="Y32" s="80"/>
      <c r="Z32" s="80"/>
      <c r="AA32" s="80"/>
      <c r="AB32" s="128">
        <f t="shared" si="2"/>
        <v>0</v>
      </c>
      <c r="AC32" s="128">
        <f t="shared" si="7"/>
        <v>0</v>
      </c>
      <c r="AD32" s="128">
        <f t="shared" si="8"/>
        <v>0</v>
      </c>
      <c r="AE32" s="128">
        <f t="shared" si="9"/>
        <v>0</v>
      </c>
      <c r="AF32" s="80"/>
      <c r="AG32" s="80"/>
      <c r="AH32" s="80"/>
      <c r="AI32" s="80"/>
      <c r="AJ32" s="80"/>
      <c r="AK32" s="128">
        <f t="shared" si="3"/>
        <v>0</v>
      </c>
      <c r="AL32" s="80"/>
      <c r="AM32" s="80"/>
      <c r="AN32" s="80"/>
      <c r="AO32" s="80"/>
      <c r="AP32" s="80"/>
      <c r="AQ32" s="128">
        <f t="shared" si="4"/>
        <v>0</v>
      </c>
      <c r="AR32" s="128">
        <f t="shared" si="10"/>
        <v>0</v>
      </c>
      <c r="AS32" s="128">
        <f t="shared" si="11"/>
        <v>0</v>
      </c>
      <c r="AT32" s="128">
        <f t="shared" si="5"/>
        <v>0</v>
      </c>
      <c r="AU32" s="128">
        <f t="shared" si="12"/>
        <v>0</v>
      </c>
      <c r="AV32" s="128">
        <f t="shared" si="13"/>
        <v>0</v>
      </c>
      <c r="AW32" s="128">
        <f t="shared" si="14"/>
        <v>0</v>
      </c>
      <c r="AX32" s="128">
        <f t="shared" si="15"/>
        <v>0</v>
      </c>
      <c r="AY32" s="379"/>
      <c r="AZ32" s="379"/>
      <c r="BA32" s="379"/>
      <c r="BB32" s="379"/>
    </row>
    <row r="33" spans="1:54" ht="19.95" customHeight="1">
      <c r="A33" s="739" t="s">
        <v>411</v>
      </c>
      <c r="B33" s="739"/>
      <c r="C33" s="739"/>
      <c r="D33" s="128">
        <f>SUM(D13:D32)</f>
        <v>0</v>
      </c>
      <c r="E33" s="128">
        <f t="shared" ref="E33:AX33" si="22">SUM(E13:E32)</f>
        <v>0</v>
      </c>
      <c r="F33" s="128"/>
      <c r="G33" s="128">
        <f t="shared" si="22"/>
        <v>0</v>
      </c>
      <c r="H33" s="128"/>
      <c r="I33" s="128">
        <f t="shared" si="22"/>
        <v>0</v>
      </c>
      <c r="J33" s="128">
        <f t="shared" si="22"/>
        <v>0</v>
      </c>
      <c r="K33" s="128">
        <f t="shared" si="22"/>
        <v>0</v>
      </c>
      <c r="L33" s="128">
        <f t="shared" si="22"/>
        <v>0</v>
      </c>
      <c r="M33" s="128">
        <f t="shared" si="22"/>
        <v>0</v>
      </c>
      <c r="N33" s="128">
        <f t="shared" si="22"/>
        <v>0</v>
      </c>
      <c r="O33" s="128">
        <f t="shared" si="22"/>
        <v>0</v>
      </c>
      <c r="P33" s="128">
        <f t="shared" si="22"/>
        <v>0</v>
      </c>
      <c r="Q33" s="128">
        <f t="shared" si="22"/>
        <v>0</v>
      </c>
      <c r="R33" s="128">
        <f t="shared" si="22"/>
        <v>0</v>
      </c>
      <c r="S33" s="128">
        <f t="shared" si="22"/>
        <v>0</v>
      </c>
      <c r="T33" s="128">
        <f t="shared" si="22"/>
        <v>0</v>
      </c>
      <c r="U33" s="128">
        <f t="shared" si="22"/>
        <v>0</v>
      </c>
      <c r="V33" s="128">
        <f t="shared" si="22"/>
        <v>0</v>
      </c>
      <c r="W33" s="128">
        <f t="shared" si="22"/>
        <v>0</v>
      </c>
      <c r="X33" s="128">
        <f t="shared" si="22"/>
        <v>0</v>
      </c>
      <c r="Y33" s="128">
        <f t="shared" si="22"/>
        <v>0</v>
      </c>
      <c r="Z33" s="128">
        <f t="shared" si="22"/>
        <v>0</v>
      </c>
      <c r="AA33" s="128">
        <f t="shared" si="22"/>
        <v>0</v>
      </c>
      <c r="AB33" s="128">
        <f t="shared" si="22"/>
        <v>0</v>
      </c>
      <c r="AC33" s="128">
        <f t="shared" si="22"/>
        <v>0</v>
      </c>
      <c r="AD33" s="128">
        <f t="shared" si="22"/>
        <v>0</v>
      </c>
      <c r="AE33" s="128">
        <f t="shared" si="22"/>
        <v>0</v>
      </c>
      <c r="AF33" s="128">
        <f t="shared" si="22"/>
        <v>0</v>
      </c>
      <c r="AG33" s="128">
        <f t="shared" si="22"/>
        <v>0</v>
      </c>
      <c r="AH33" s="128">
        <f t="shared" si="22"/>
        <v>0</v>
      </c>
      <c r="AI33" s="128">
        <f t="shared" si="22"/>
        <v>0</v>
      </c>
      <c r="AJ33" s="128">
        <f t="shared" si="22"/>
        <v>0</v>
      </c>
      <c r="AK33" s="128">
        <f t="shared" si="22"/>
        <v>0</v>
      </c>
      <c r="AL33" s="128">
        <f t="shared" si="22"/>
        <v>0</v>
      </c>
      <c r="AM33" s="128">
        <f t="shared" si="22"/>
        <v>0</v>
      </c>
      <c r="AN33" s="128">
        <f t="shared" si="22"/>
        <v>0</v>
      </c>
      <c r="AO33" s="128">
        <f t="shared" si="22"/>
        <v>0</v>
      </c>
      <c r="AP33" s="128">
        <f t="shared" si="22"/>
        <v>0</v>
      </c>
      <c r="AQ33" s="128">
        <f t="shared" si="22"/>
        <v>0</v>
      </c>
      <c r="AR33" s="128">
        <f t="shared" si="22"/>
        <v>0</v>
      </c>
      <c r="AS33" s="128">
        <f t="shared" si="22"/>
        <v>0</v>
      </c>
      <c r="AT33" s="128">
        <f t="shared" si="22"/>
        <v>0</v>
      </c>
      <c r="AU33" s="128">
        <f t="shared" si="22"/>
        <v>0</v>
      </c>
      <c r="AV33" s="128">
        <f t="shared" si="22"/>
        <v>0</v>
      </c>
      <c r="AW33" s="128">
        <f t="shared" si="22"/>
        <v>0</v>
      </c>
      <c r="AX33" s="128">
        <f t="shared" si="22"/>
        <v>0</v>
      </c>
      <c r="AY33" s="379"/>
      <c r="AZ33" s="379"/>
      <c r="BA33" s="379"/>
      <c r="BB33" s="379"/>
    </row>
    <row r="34" spans="1:54" ht="19.95" customHeight="1">
      <c r="A34" s="269" t="s">
        <v>375</v>
      </c>
      <c r="B34" s="152"/>
      <c r="C34" s="152"/>
      <c r="D34" s="155"/>
      <c r="E34" s="155"/>
      <c r="F34" s="155"/>
      <c r="G34" s="155"/>
      <c r="H34" s="155"/>
      <c r="I34" s="155"/>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4"/>
      <c r="AZ34" s="154"/>
      <c r="BA34" s="154"/>
      <c r="BB34" s="154"/>
    </row>
    <row r="35" spans="1:54" ht="19.95" customHeight="1">
      <c r="A35" s="742" t="str">
        <f>底稿目录!A9</f>
        <v>房屋及建筑物</v>
      </c>
      <c r="B35" s="743"/>
      <c r="C35" s="744"/>
      <c r="D35" s="128">
        <f t="shared" ref="D35:E39" si="23">SUMPRODUCT(($A$13:$A$32=$A35)*(D$13:D$32))</f>
        <v>0</v>
      </c>
      <c r="E35" s="128">
        <f t="shared" si="23"/>
        <v>0</v>
      </c>
      <c r="F35" s="128"/>
      <c r="G35" s="128">
        <f t="shared" ref="G35:AX39" si="24">SUMPRODUCT(($A$13:$A$32=$A35)*(G$13:G$32))</f>
        <v>0</v>
      </c>
      <c r="H35" s="128"/>
      <c r="I35" s="128">
        <f t="shared" si="24"/>
        <v>0</v>
      </c>
      <c r="J35" s="128">
        <f t="shared" si="24"/>
        <v>0</v>
      </c>
      <c r="K35" s="128">
        <f t="shared" si="24"/>
        <v>0</v>
      </c>
      <c r="L35" s="128">
        <f t="shared" si="24"/>
        <v>0</v>
      </c>
      <c r="M35" s="128">
        <f t="shared" si="24"/>
        <v>0</v>
      </c>
      <c r="N35" s="128">
        <f t="shared" si="24"/>
        <v>0</v>
      </c>
      <c r="O35" s="128">
        <f t="shared" si="24"/>
        <v>0</v>
      </c>
      <c r="P35" s="128">
        <f>SUMPRODUCT(($A$13:$A$32=$A35)*(P$13:P$32))</f>
        <v>0</v>
      </c>
      <c r="Q35" s="128">
        <f t="shared" si="24"/>
        <v>0</v>
      </c>
      <c r="R35" s="128">
        <f t="shared" si="24"/>
        <v>0</v>
      </c>
      <c r="S35" s="128">
        <f t="shared" si="24"/>
        <v>0</v>
      </c>
      <c r="T35" s="128">
        <f t="shared" si="24"/>
        <v>0</v>
      </c>
      <c r="U35" s="128">
        <f t="shared" si="24"/>
        <v>0</v>
      </c>
      <c r="V35" s="128">
        <f t="shared" si="24"/>
        <v>0</v>
      </c>
      <c r="W35" s="128">
        <f t="shared" si="24"/>
        <v>0</v>
      </c>
      <c r="X35" s="128">
        <f t="shared" si="24"/>
        <v>0</v>
      </c>
      <c r="Y35" s="128">
        <f t="shared" si="24"/>
        <v>0</v>
      </c>
      <c r="Z35" s="128">
        <f t="shared" si="24"/>
        <v>0</v>
      </c>
      <c r="AA35" s="128">
        <f t="shared" si="24"/>
        <v>0</v>
      </c>
      <c r="AB35" s="128">
        <f t="shared" si="24"/>
        <v>0</v>
      </c>
      <c r="AC35" s="128">
        <f t="shared" si="24"/>
        <v>0</v>
      </c>
      <c r="AD35" s="128">
        <f t="shared" si="24"/>
        <v>0</v>
      </c>
      <c r="AE35" s="128">
        <f t="shared" si="24"/>
        <v>0</v>
      </c>
      <c r="AF35" s="128">
        <f>SUMPRODUCT(($A$13:$A$32=$A35)*(AF$13:AF$32))</f>
        <v>0</v>
      </c>
      <c r="AG35" s="128">
        <f t="shared" si="24"/>
        <v>0</v>
      </c>
      <c r="AH35" s="128">
        <f t="shared" si="24"/>
        <v>0</v>
      </c>
      <c r="AI35" s="128">
        <f t="shared" si="24"/>
        <v>0</v>
      </c>
      <c r="AJ35" s="128">
        <f t="shared" si="24"/>
        <v>0</v>
      </c>
      <c r="AK35" s="128">
        <f t="shared" si="24"/>
        <v>0</v>
      </c>
      <c r="AL35" s="128">
        <f t="shared" si="24"/>
        <v>0</v>
      </c>
      <c r="AM35" s="128">
        <f t="shared" si="24"/>
        <v>0</v>
      </c>
      <c r="AN35" s="128">
        <f>SUMPRODUCT(($A$13:$A$32=$A35)*(AN$13:AN$32))</f>
        <v>0</v>
      </c>
      <c r="AO35" s="128">
        <f t="shared" si="24"/>
        <v>0</v>
      </c>
      <c r="AP35" s="128">
        <f>SUMPRODUCT(($A$13:$A$32=$A35)*(AP$13:AP$32))</f>
        <v>0</v>
      </c>
      <c r="AQ35" s="128">
        <f t="shared" si="24"/>
        <v>0</v>
      </c>
      <c r="AR35" s="128">
        <f t="shared" si="24"/>
        <v>0</v>
      </c>
      <c r="AS35" s="128">
        <f t="shared" si="24"/>
        <v>0</v>
      </c>
      <c r="AT35" s="128">
        <f t="shared" si="24"/>
        <v>0</v>
      </c>
      <c r="AU35" s="128">
        <f t="shared" si="24"/>
        <v>0</v>
      </c>
      <c r="AV35" s="128">
        <f t="shared" si="24"/>
        <v>0</v>
      </c>
      <c r="AW35" s="128">
        <f t="shared" si="24"/>
        <v>0</v>
      </c>
      <c r="AX35" s="128">
        <f t="shared" si="24"/>
        <v>0</v>
      </c>
      <c r="AY35" s="80"/>
      <c r="AZ35" s="80"/>
      <c r="BA35" s="80"/>
      <c r="BB35" s="80"/>
    </row>
    <row r="36" spans="1:54" ht="19.95" customHeight="1">
      <c r="A36" s="742" t="str">
        <f>底稿目录!A10</f>
        <v>机器设备</v>
      </c>
      <c r="B36" s="743"/>
      <c r="C36" s="744"/>
      <c r="D36" s="128">
        <f t="shared" si="23"/>
        <v>0</v>
      </c>
      <c r="E36" s="128">
        <f t="shared" si="23"/>
        <v>0</v>
      </c>
      <c r="F36" s="128"/>
      <c r="G36" s="128">
        <f t="shared" si="24"/>
        <v>0</v>
      </c>
      <c r="H36" s="128"/>
      <c r="I36" s="128">
        <f t="shared" si="24"/>
        <v>0</v>
      </c>
      <c r="J36" s="128">
        <f t="shared" si="24"/>
        <v>0</v>
      </c>
      <c r="K36" s="128">
        <f t="shared" si="24"/>
        <v>0</v>
      </c>
      <c r="L36" s="128">
        <f t="shared" si="24"/>
        <v>0</v>
      </c>
      <c r="M36" s="128">
        <f t="shared" si="24"/>
        <v>0</v>
      </c>
      <c r="N36" s="128">
        <f t="shared" si="24"/>
        <v>0</v>
      </c>
      <c r="O36" s="128">
        <f t="shared" si="24"/>
        <v>0</v>
      </c>
      <c r="P36" s="128">
        <f t="shared" si="24"/>
        <v>0</v>
      </c>
      <c r="Q36" s="128">
        <f t="shared" si="24"/>
        <v>0</v>
      </c>
      <c r="R36" s="128">
        <f t="shared" si="24"/>
        <v>0</v>
      </c>
      <c r="S36" s="128">
        <f t="shared" si="24"/>
        <v>0</v>
      </c>
      <c r="T36" s="128">
        <f t="shared" si="24"/>
        <v>0</v>
      </c>
      <c r="U36" s="128">
        <f t="shared" si="24"/>
        <v>0</v>
      </c>
      <c r="V36" s="128">
        <f t="shared" si="24"/>
        <v>0</v>
      </c>
      <c r="W36" s="128">
        <f t="shared" si="24"/>
        <v>0</v>
      </c>
      <c r="X36" s="128">
        <f t="shared" si="24"/>
        <v>0</v>
      </c>
      <c r="Y36" s="128">
        <f t="shared" si="24"/>
        <v>0</v>
      </c>
      <c r="Z36" s="128">
        <f t="shared" si="24"/>
        <v>0</v>
      </c>
      <c r="AA36" s="128">
        <f t="shared" si="24"/>
        <v>0</v>
      </c>
      <c r="AB36" s="128">
        <f t="shared" si="24"/>
        <v>0</v>
      </c>
      <c r="AC36" s="128">
        <f t="shared" si="24"/>
        <v>0</v>
      </c>
      <c r="AD36" s="128">
        <f t="shared" si="24"/>
        <v>0</v>
      </c>
      <c r="AE36" s="128">
        <f t="shared" si="24"/>
        <v>0</v>
      </c>
      <c r="AF36" s="128">
        <f t="shared" si="24"/>
        <v>0</v>
      </c>
      <c r="AG36" s="128">
        <f t="shared" si="24"/>
        <v>0</v>
      </c>
      <c r="AH36" s="128">
        <f t="shared" si="24"/>
        <v>0</v>
      </c>
      <c r="AI36" s="128">
        <f t="shared" si="24"/>
        <v>0</v>
      </c>
      <c r="AJ36" s="128">
        <f t="shared" si="24"/>
        <v>0</v>
      </c>
      <c r="AK36" s="128">
        <f t="shared" si="24"/>
        <v>0</v>
      </c>
      <c r="AL36" s="128">
        <f t="shared" si="24"/>
        <v>0</v>
      </c>
      <c r="AM36" s="128">
        <f t="shared" si="24"/>
        <v>0</v>
      </c>
      <c r="AN36" s="128">
        <f t="shared" si="24"/>
        <v>0</v>
      </c>
      <c r="AO36" s="128">
        <f t="shared" si="24"/>
        <v>0</v>
      </c>
      <c r="AP36" s="128">
        <f t="shared" si="24"/>
        <v>0</v>
      </c>
      <c r="AQ36" s="128">
        <f t="shared" si="24"/>
        <v>0</v>
      </c>
      <c r="AR36" s="128">
        <f t="shared" si="24"/>
        <v>0</v>
      </c>
      <c r="AS36" s="128">
        <f t="shared" si="24"/>
        <v>0</v>
      </c>
      <c r="AT36" s="128">
        <f t="shared" si="24"/>
        <v>0</v>
      </c>
      <c r="AU36" s="128">
        <f t="shared" si="24"/>
        <v>0</v>
      </c>
      <c r="AV36" s="128">
        <f t="shared" si="24"/>
        <v>0</v>
      </c>
      <c r="AW36" s="128">
        <f t="shared" si="24"/>
        <v>0</v>
      </c>
      <c r="AX36" s="128">
        <f t="shared" si="24"/>
        <v>0</v>
      </c>
      <c r="AY36" s="80"/>
      <c r="AZ36" s="80"/>
      <c r="BA36" s="80"/>
      <c r="BB36" s="80"/>
    </row>
    <row r="37" spans="1:54" ht="19.95" customHeight="1">
      <c r="A37" s="742" t="str">
        <f>底稿目录!A11</f>
        <v>运输设备</v>
      </c>
      <c r="B37" s="743"/>
      <c r="C37" s="744"/>
      <c r="D37" s="128">
        <f t="shared" si="23"/>
        <v>0</v>
      </c>
      <c r="E37" s="128">
        <f t="shared" si="23"/>
        <v>0</v>
      </c>
      <c r="F37" s="128"/>
      <c r="G37" s="128">
        <f t="shared" si="24"/>
        <v>0</v>
      </c>
      <c r="H37" s="128"/>
      <c r="I37" s="128">
        <f t="shared" si="24"/>
        <v>0</v>
      </c>
      <c r="J37" s="128">
        <f t="shared" si="24"/>
        <v>0</v>
      </c>
      <c r="K37" s="128">
        <f t="shared" si="24"/>
        <v>0</v>
      </c>
      <c r="L37" s="128">
        <f t="shared" si="24"/>
        <v>0</v>
      </c>
      <c r="M37" s="128">
        <f t="shared" si="24"/>
        <v>0</v>
      </c>
      <c r="N37" s="128">
        <f t="shared" si="24"/>
        <v>0</v>
      </c>
      <c r="O37" s="128">
        <f t="shared" si="24"/>
        <v>0</v>
      </c>
      <c r="P37" s="128">
        <f t="shared" si="24"/>
        <v>0</v>
      </c>
      <c r="Q37" s="128">
        <f t="shared" si="24"/>
        <v>0</v>
      </c>
      <c r="R37" s="128">
        <f t="shared" si="24"/>
        <v>0</v>
      </c>
      <c r="S37" s="128">
        <f t="shared" si="24"/>
        <v>0</v>
      </c>
      <c r="T37" s="128">
        <f t="shared" si="24"/>
        <v>0</v>
      </c>
      <c r="U37" s="128">
        <f t="shared" si="24"/>
        <v>0</v>
      </c>
      <c r="V37" s="128">
        <f t="shared" si="24"/>
        <v>0</v>
      </c>
      <c r="W37" s="128">
        <f t="shared" si="24"/>
        <v>0</v>
      </c>
      <c r="X37" s="128">
        <f t="shared" si="24"/>
        <v>0</v>
      </c>
      <c r="Y37" s="128">
        <f t="shared" si="24"/>
        <v>0</v>
      </c>
      <c r="Z37" s="128">
        <f t="shared" si="24"/>
        <v>0</v>
      </c>
      <c r="AA37" s="128">
        <f t="shared" si="24"/>
        <v>0</v>
      </c>
      <c r="AB37" s="128">
        <f t="shared" si="24"/>
        <v>0</v>
      </c>
      <c r="AC37" s="128">
        <f t="shared" si="24"/>
        <v>0</v>
      </c>
      <c r="AD37" s="128">
        <f t="shared" si="24"/>
        <v>0</v>
      </c>
      <c r="AE37" s="128">
        <f t="shared" si="24"/>
        <v>0</v>
      </c>
      <c r="AF37" s="128">
        <f t="shared" si="24"/>
        <v>0</v>
      </c>
      <c r="AG37" s="128">
        <f t="shared" si="24"/>
        <v>0</v>
      </c>
      <c r="AH37" s="128">
        <f t="shared" si="24"/>
        <v>0</v>
      </c>
      <c r="AI37" s="128">
        <f t="shared" si="24"/>
        <v>0</v>
      </c>
      <c r="AJ37" s="128">
        <f t="shared" si="24"/>
        <v>0</v>
      </c>
      <c r="AK37" s="128">
        <f t="shared" si="24"/>
        <v>0</v>
      </c>
      <c r="AL37" s="128">
        <f t="shared" si="24"/>
        <v>0</v>
      </c>
      <c r="AM37" s="128">
        <f t="shared" si="24"/>
        <v>0</v>
      </c>
      <c r="AN37" s="128">
        <f t="shared" si="24"/>
        <v>0</v>
      </c>
      <c r="AO37" s="128">
        <f t="shared" si="24"/>
        <v>0</v>
      </c>
      <c r="AP37" s="128">
        <f t="shared" si="24"/>
        <v>0</v>
      </c>
      <c r="AQ37" s="128">
        <f t="shared" si="24"/>
        <v>0</v>
      </c>
      <c r="AR37" s="128">
        <f t="shared" si="24"/>
        <v>0</v>
      </c>
      <c r="AS37" s="128">
        <f t="shared" si="24"/>
        <v>0</v>
      </c>
      <c r="AT37" s="128">
        <f t="shared" si="24"/>
        <v>0</v>
      </c>
      <c r="AU37" s="128">
        <f t="shared" si="24"/>
        <v>0</v>
      </c>
      <c r="AV37" s="128">
        <f t="shared" si="24"/>
        <v>0</v>
      </c>
      <c r="AW37" s="128">
        <f t="shared" si="24"/>
        <v>0</v>
      </c>
      <c r="AX37" s="128">
        <f t="shared" si="24"/>
        <v>0</v>
      </c>
      <c r="AY37" s="80"/>
      <c r="AZ37" s="80"/>
      <c r="BA37" s="80"/>
      <c r="BB37" s="80"/>
    </row>
    <row r="38" spans="1:54" ht="19.95" customHeight="1">
      <c r="A38" s="742" t="str">
        <f>底稿目录!A12</f>
        <v>办公设备</v>
      </c>
      <c r="B38" s="743"/>
      <c r="C38" s="744"/>
      <c r="D38" s="128">
        <f t="shared" si="23"/>
        <v>0</v>
      </c>
      <c r="E38" s="128">
        <f t="shared" si="23"/>
        <v>0</v>
      </c>
      <c r="F38" s="128"/>
      <c r="G38" s="128">
        <f t="shared" si="24"/>
        <v>0</v>
      </c>
      <c r="H38" s="128"/>
      <c r="I38" s="128">
        <f t="shared" si="24"/>
        <v>0</v>
      </c>
      <c r="J38" s="128">
        <f t="shared" si="24"/>
        <v>0</v>
      </c>
      <c r="K38" s="128">
        <f t="shared" si="24"/>
        <v>0</v>
      </c>
      <c r="L38" s="128">
        <f t="shared" si="24"/>
        <v>0</v>
      </c>
      <c r="M38" s="128">
        <f t="shared" si="24"/>
        <v>0</v>
      </c>
      <c r="N38" s="128">
        <f t="shared" si="24"/>
        <v>0</v>
      </c>
      <c r="O38" s="128">
        <f t="shared" si="24"/>
        <v>0</v>
      </c>
      <c r="P38" s="128">
        <f t="shared" si="24"/>
        <v>0</v>
      </c>
      <c r="Q38" s="128">
        <f t="shared" si="24"/>
        <v>0</v>
      </c>
      <c r="R38" s="128">
        <f t="shared" si="24"/>
        <v>0</v>
      </c>
      <c r="S38" s="128">
        <f t="shared" si="24"/>
        <v>0</v>
      </c>
      <c r="T38" s="128">
        <f t="shared" si="24"/>
        <v>0</v>
      </c>
      <c r="U38" s="128">
        <f t="shared" si="24"/>
        <v>0</v>
      </c>
      <c r="V38" s="128">
        <f t="shared" si="24"/>
        <v>0</v>
      </c>
      <c r="W38" s="128">
        <f t="shared" si="24"/>
        <v>0</v>
      </c>
      <c r="X38" s="128">
        <f t="shared" si="24"/>
        <v>0</v>
      </c>
      <c r="Y38" s="128">
        <f t="shared" si="24"/>
        <v>0</v>
      </c>
      <c r="Z38" s="128">
        <f t="shared" si="24"/>
        <v>0</v>
      </c>
      <c r="AA38" s="128">
        <f t="shared" si="24"/>
        <v>0</v>
      </c>
      <c r="AB38" s="128">
        <f t="shared" si="24"/>
        <v>0</v>
      </c>
      <c r="AC38" s="128">
        <f t="shared" si="24"/>
        <v>0</v>
      </c>
      <c r="AD38" s="128">
        <f t="shared" si="24"/>
        <v>0</v>
      </c>
      <c r="AE38" s="128">
        <f t="shared" si="24"/>
        <v>0</v>
      </c>
      <c r="AF38" s="128">
        <f t="shared" si="24"/>
        <v>0</v>
      </c>
      <c r="AG38" s="128">
        <f t="shared" si="24"/>
        <v>0</v>
      </c>
      <c r="AH38" s="128">
        <f t="shared" si="24"/>
        <v>0</v>
      </c>
      <c r="AI38" s="128">
        <f t="shared" si="24"/>
        <v>0</v>
      </c>
      <c r="AJ38" s="128">
        <f t="shared" si="24"/>
        <v>0</v>
      </c>
      <c r="AK38" s="128">
        <f t="shared" si="24"/>
        <v>0</v>
      </c>
      <c r="AL38" s="128">
        <f t="shared" si="24"/>
        <v>0</v>
      </c>
      <c r="AM38" s="128">
        <f t="shared" si="24"/>
        <v>0</v>
      </c>
      <c r="AN38" s="128">
        <f t="shared" si="24"/>
        <v>0</v>
      </c>
      <c r="AO38" s="128">
        <f t="shared" si="24"/>
        <v>0</v>
      </c>
      <c r="AP38" s="128">
        <f t="shared" si="24"/>
        <v>0</v>
      </c>
      <c r="AQ38" s="128">
        <f t="shared" si="24"/>
        <v>0</v>
      </c>
      <c r="AR38" s="128">
        <f t="shared" si="24"/>
        <v>0</v>
      </c>
      <c r="AS38" s="128">
        <f t="shared" si="24"/>
        <v>0</v>
      </c>
      <c r="AT38" s="128">
        <f t="shared" si="24"/>
        <v>0</v>
      </c>
      <c r="AU38" s="128">
        <f t="shared" si="24"/>
        <v>0</v>
      </c>
      <c r="AV38" s="128">
        <f t="shared" si="24"/>
        <v>0</v>
      </c>
      <c r="AW38" s="128">
        <f t="shared" si="24"/>
        <v>0</v>
      </c>
      <c r="AX38" s="128">
        <f t="shared" si="24"/>
        <v>0</v>
      </c>
      <c r="AY38" s="80"/>
      <c r="AZ38" s="80"/>
      <c r="BA38" s="80"/>
      <c r="BB38" s="80"/>
    </row>
    <row r="39" spans="1:54" ht="19.95" customHeight="1">
      <c r="A39" s="742" t="str">
        <f>底稿目录!A13</f>
        <v>其他设备</v>
      </c>
      <c r="B39" s="743"/>
      <c r="C39" s="744"/>
      <c r="D39" s="128">
        <f t="shared" si="23"/>
        <v>0</v>
      </c>
      <c r="E39" s="128">
        <f t="shared" si="23"/>
        <v>0</v>
      </c>
      <c r="F39" s="128"/>
      <c r="G39" s="128">
        <f t="shared" si="24"/>
        <v>0</v>
      </c>
      <c r="H39" s="128"/>
      <c r="I39" s="128">
        <f t="shared" si="24"/>
        <v>0</v>
      </c>
      <c r="J39" s="128">
        <f t="shared" si="24"/>
        <v>0</v>
      </c>
      <c r="K39" s="128">
        <f t="shared" si="24"/>
        <v>0</v>
      </c>
      <c r="L39" s="128">
        <f t="shared" si="24"/>
        <v>0</v>
      </c>
      <c r="M39" s="128">
        <f t="shared" si="24"/>
        <v>0</v>
      </c>
      <c r="N39" s="128">
        <f t="shared" si="24"/>
        <v>0</v>
      </c>
      <c r="O39" s="128">
        <f t="shared" si="24"/>
        <v>0</v>
      </c>
      <c r="P39" s="128">
        <f t="shared" si="24"/>
        <v>0</v>
      </c>
      <c r="Q39" s="128">
        <f t="shared" si="24"/>
        <v>0</v>
      </c>
      <c r="R39" s="128">
        <f t="shared" si="24"/>
        <v>0</v>
      </c>
      <c r="S39" s="128">
        <f t="shared" si="24"/>
        <v>0</v>
      </c>
      <c r="T39" s="128">
        <f t="shared" si="24"/>
        <v>0</v>
      </c>
      <c r="U39" s="128">
        <f t="shared" si="24"/>
        <v>0</v>
      </c>
      <c r="V39" s="128">
        <f t="shared" si="24"/>
        <v>0</v>
      </c>
      <c r="W39" s="128">
        <f t="shared" si="24"/>
        <v>0</v>
      </c>
      <c r="X39" s="128">
        <f t="shared" si="24"/>
        <v>0</v>
      </c>
      <c r="Y39" s="128">
        <f t="shared" si="24"/>
        <v>0</v>
      </c>
      <c r="Z39" s="128">
        <f t="shared" si="24"/>
        <v>0</v>
      </c>
      <c r="AA39" s="128">
        <f t="shared" si="24"/>
        <v>0</v>
      </c>
      <c r="AB39" s="128">
        <f t="shared" si="24"/>
        <v>0</v>
      </c>
      <c r="AC39" s="128">
        <f t="shared" si="24"/>
        <v>0</v>
      </c>
      <c r="AD39" s="128">
        <f t="shared" si="24"/>
        <v>0</v>
      </c>
      <c r="AE39" s="128">
        <f t="shared" si="24"/>
        <v>0</v>
      </c>
      <c r="AF39" s="128">
        <f t="shared" si="24"/>
        <v>0</v>
      </c>
      <c r="AG39" s="128">
        <f t="shared" si="24"/>
        <v>0</v>
      </c>
      <c r="AH39" s="128">
        <f t="shared" si="24"/>
        <v>0</v>
      </c>
      <c r="AI39" s="128">
        <f t="shared" si="24"/>
        <v>0</v>
      </c>
      <c r="AJ39" s="128">
        <f t="shared" si="24"/>
        <v>0</v>
      </c>
      <c r="AK39" s="128">
        <f t="shared" si="24"/>
        <v>0</v>
      </c>
      <c r="AL39" s="128">
        <f t="shared" si="24"/>
        <v>0</v>
      </c>
      <c r="AM39" s="128">
        <f t="shared" si="24"/>
        <v>0</v>
      </c>
      <c r="AN39" s="128">
        <f t="shared" si="24"/>
        <v>0</v>
      </c>
      <c r="AO39" s="128">
        <f t="shared" si="24"/>
        <v>0</v>
      </c>
      <c r="AP39" s="128">
        <f t="shared" si="24"/>
        <v>0</v>
      </c>
      <c r="AQ39" s="128">
        <f t="shared" si="24"/>
        <v>0</v>
      </c>
      <c r="AR39" s="128">
        <f t="shared" si="24"/>
        <v>0</v>
      </c>
      <c r="AS39" s="128">
        <f t="shared" si="24"/>
        <v>0</v>
      </c>
      <c r="AT39" s="128">
        <f t="shared" si="24"/>
        <v>0</v>
      </c>
      <c r="AU39" s="128">
        <f t="shared" si="24"/>
        <v>0</v>
      </c>
      <c r="AV39" s="128">
        <f t="shared" si="24"/>
        <v>0</v>
      </c>
      <c r="AW39" s="128">
        <f t="shared" si="24"/>
        <v>0</v>
      </c>
      <c r="AX39" s="128">
        <f t="shared" si="24"/>
        <v>0</v>
      </c>
      <c r="AY39" s="80"/>
      <c r="AZ39" s="80"/>
      <c r="BA39" s="80"/>
      <c r="BB39" s="80"/>
    </row>
    <row r="40" spans="1:54" ht="19.95" customHeight="1">
      <c r="A40" s="156" t="s">
        <v>412</v>
      </c>
      <c r="B40" s="156"/>
      <c r="C40" s="156"/>
    </row>
    <row r="43" spans="1:54" ht="19.95" customHeight="1">
      <c r="A43" s="26" t="s">
        <v>388</v>
      </c>
    </row>
    <row r="46" spans="1:54" ht="19.95" customHeight="1">
      <c r="A46" s="505" t="s">
        <v>1099</v>
      </c>
      <c r="B46" s="270"/>
      <c r="C46" s="270"/>
    </row>
    <row r="47" spans="1:54" ht="19.95" customHeight="1">
      <c r="A47" s="19" t="s">
        <v>1068</v>
      </c>
      <c r="B47" s="19"/>
      <c r="C47" s="19"/>
    </row>
    <row r="48" spans="1:54" ht="19.95" customHeight="1">
      <c r="A48" s="19" t="s">
        <v>1128</v>
      </c>
      <c r="B48" s="19"/>
      <c r="C48" s="19"/>
    </row>
    <row r="49" spans="1:3" ht="19.95" customHeight="1">
      <c r="A49" s="19" t="s">
        <v>1129</v>
      </c>
      <c r="B49" s="19"/>
      <c r="C49" s="19"/>
    </row>
    <row r="50" spans="1:3" ht="19.95" customHeight="1">
      <c r="A50" s="19"/>
      <c r="B50" s="19"/>
      <c r="C50" s="19"/>
    </row>
    <row r="51" spans="1:3" ht="19.95" customHeight="1">
      <c r="A51" s="19"/>
      <c r="B51" s="19"/>
      <c r="C51" s="19"/>
    </row>
    <row r="52" spans="1:3" ht="19.95" customHeight="1">
      <c r="A52" s="19"/>
      <c r="B52" s="19"/>
      <c r="C52" s="19"/>
    </row>
    <row r="53" spans="1:3" ht="19.95" customHeight="1">
      <c r="A53" s="19"/>
    </row>
    <row r="54" spans="1:3" ht="19.95" customHeight="1">
      <c r="A54" s="19"/>
    </row>
    <row r="55" spans="1:3" ht="19.95" customHeight="1">
      <c r="A55" s="19"/>
    </row>
    <row r="56" spans="1:3" ht="19.95" customHeight="1">
      <c r="A56" s="19"/>
    </row>
  </sheetData>
  <mergeCells count="70">
    <mergeCell ref="B9:B12"/>
    <mergeCell ref="D11:D12"/>
    <mergeCell ref="P11:P12"/>
    <mergeCell ref="D10:I10"/>
    <mergeCell ref="L11:L12"/>
    <mergeCell ref="E11:F11"/>
    <mergeCell ref="G11:H11"/>
    <mergeCell ref="I11:I12"/>
    <mergeCell ref="J10:J12"/>
    <mergeCell ref="N11:N12"/>
    <mergeCell ref="O11:O12"/>
    <mergeCell ref="K10:L10"/>
    <mergeCell ref="M10:P10"/>
    <mergeCell ref="X11:Y11"/>
    <mergeCell ref="AU9:AV10"/>
    <mergeCell ref="AM10:AO10"/>
    <mergeCell ref="AM11:AN11"/>
    <mergeCell ref="AO11:AP11"/>
    <mergeCell ref="AQ11:AQ12"/>
    <mergeCell ref="AR11:AR12"/>
    <mergeCell ref="AS11:AS12"/>
    <mergeCell ref="AG11:AH11"/>
    <mergeCell ref="AI11:AJ11"/>
    <mergeCell ref="AB11:AB12"/>
    <mergeCell ref="AC11:AC12"/>
    <mergeCell ref="AF11:AF12"/>
    <mergeCell ref="X10:AA10"/>
    <mergeCell ref="AL10:AL12"/>
    <mergeCell ref="Z11:AA11"/>
    <mergeCell ref="BB9:BB12"/>
    <mergeCell ref="AK11:AK12"/>
    <mergeCell ref="AF10:AK10"/>
    <mergeCell ref="BA9:BA12"/>
    <mergeCell ref="AY9:AY12"/>
    <mergeCell ref="AT11:AT12"/>
    <mergeCell ref="AU11:AU12"/>
    <mergeCell ref="AV11:AV12"/>
    <mergeCell ref="AW11:AW12"/>
    <mergeCell ref="AX11:AX12"/>
    <mergeCell ref="AZ9:AZ12"/>
    <mergeCell ref="AQ10:AT10"/>
    <mergeCell ref="AW9:AX10"/>
    <mergeCell ref="AF9:AT9"/>
    <mergeCell ref="D1:P1"/>
    <mergeCell ref="D2:P2"/>
    <mergeCell ref="Q1:AE1"/>
    <mergeCell ref="Q2:AE2"/>
    <mergeCell ref="AF1:BB1"/>
    <mergeCell ref="AF2:BB2"/>
    <mergeCell ref="A39:C39"/>
    <mergeCell ref="A35:C35"/>
    <mergeCell ref="A36:C36"/>
    <mergeCell ref="A37:C37"/>
    <mergeCell ref="A38:C38"/>
    <mergeCell ref="A9:A12"/>
    <mergeCell ref="A33:C33"/>
    <mergeCell ref="Q11:Q12"/>
    <mergeCell ref="D9:P9"/>
    <mergeCell ref="Q9:AE9"/>
    <mergeCell ref="C9:C12"/>
    <mergeCell ref="Q10:V10"/>
    <mergeCell ref="AB10:AE10"/>
    <mergeCell ref="R11:S11"/>
    <mergeCell ref="T11:U11"/>
    <mergeCell ref="AD11:AD12"/>
    <mergeCell ref="AE11:AE12"/>
    <mergeCell ref="M11:M12"/>
    <mergeCell ref="W10:W12"/>
    <mergeCell ref="K11:K12"/>
    <mergeCell ref="V11:V12"/>
  </mergeCells>
  <phoneticPr fontId="10" type="noConversion"/>
  <dataValidations count="3">
    <dataValidation type="list" allowBlank="1" showInputMessage="1" showErrorMessage="1" prompt="如要修改下列框的选项，单击“数据-数据有效性-设置-序列-来源”。_x000a_" sqref="H13:H32">
      <formula1>"处置,其他减少"</formula1>
    </dataValidation>
    <dataValidation type="list" allowBlank="1" showInputMessage="1" showErrorMessage="1" prompt="如要修改下列框的选项，单击“数据-数据有效性-设置-序列-来源”。" sqref="F13:F32">
      <formula1>"购置,在建工程转入,企业合并增加,其他增加"</formula1>
    </dataValidation>
    <dataValidation type="list" allowBlank="1" showInputMessage="1" showErrorMessage="1" sqref="AY13:BB39">
      <formula1>"√,X"</formula1>
    </dataValidation>
  </dataValidations>
  <hyperlinks>
    <hyperlink ref="P3" location="底稿目录!A1" display="H1-2"/>
    <hyperlink ref="AE3" location="底稿目录!A1" display="H1-2"/>
    <hyperlink ref="BB3" location="底稿目录!A1" display="H1-2"/>
  </hyperlinks>
  <printOptions horizontalCentered="1" verticalCentered="1"/>
  <pageMargins left="0.51181102362204722" right="0.31496062992125984" top="0.55118110236220474" bottom="0.35433070866141736" header="0.51181102362204722" footer="0.19685039370078741"/>
  <pageSetup paperSize="9" scale="50" fitToWidth="2" pageOrder="overThenDown" orientation="landscape" blackAndWhite="1" r:id="rId1"/>
  <headerFooter alignWithMargins="0">
    <oddFooter>&amp;C&amp;P/&amp;N</oddFooter>
  </headerFooter>
  <colBreaks count="2" manualBreakCount="2">
    <brk id="16" max="53" man="1"/>
    <brk id="31" max="53"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底稿目录!$A$9:$A$14</xm:f>
          </x14:formula1>
          <xm:sqref>A13:A32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M24"/>
  <sheetViews>
    <sheetView view="pageBreakPreview" zoomScaleNormal="100" zoomScaleSheetLayoutView="100" workbookViewId="0">
      <selection sqref="A1:J1"/>
    </sheetView>
  </sheetViews>
  <sheetFormatPr defaultColWidth="9" defaultRowHeight="19.95" customHeight="1"/>
  <cols>
    <col min="1" max="1" width="20.69921875" style="380" customWidth="1"/>
    <col min="2" max="2" width="15.69921875" style="380" customWidth="1"/>
    <col min="3" max="3" width="9.8984375" style="380" customWidth="1"/>
    <col min="4" max="4" width="11.8984375" style="380" customWidth="1"/>
    <col min="5" max="5" width="11.796875" style="380" customWidth="1"/>
    <col min="6" max="6" width="12.3984375" style="380" customWidth="1"/>
    <col min="7" max="8" width="10.296875" style="401" customWidth="1"/>
    <col min="9" max="9" width="9" style="401"/>
    <col min="10" max="10" width="12.69921875" style="401" customWidth="1"/>
    <col min="11" max="16384" width="9" style="380"/>
  </cols>
  <sheetData>
    <row r="1" spans="1:13" ht="19.95" customHeight="1">
      <c r="A1" s="749" t="s">
        <v>1039</v>
      </c>
      <c r="B1" s="749"/>
      <c r="C1" s="749"/>
      <c r="D1" s="749"/>
      <c r="E1" s="749"/>
      <c r="F1" s="749"/>
      <c r="G1" s="749"/>
      <c r="H1" s="749"/>
      <c r="I1" s="749"/>
      <c r="J1" s="749"/>
    </row>
    <row r="2" spans="1:13" ht="19.95" customHeight="1">
      <c r="A2" s="749" t="s">
        <v>1043</v>
      </c>
      <c r="B2" s="749"/>
      <c r="C2" s="749"/>
      <c r="D2" s="749"/>
      <c r="E2" s="749"/>
      <c r="F2" s="749"/>
      <c r="G2" s="749"/>
      <c r="H2" s="749"/>
      <c r="I2" s="749"/>
      <c r="J2" s="749"/>
    </row>
    <row r="3" spans="1:13" ht="19.95" customHeight="1">
      <c r="A3" s="381" t="str">
        <f>底稿目录!A2</f>
        <v>被审计单位：</v>
      </c>
      <c r="B3" s="381"/>
      <c r="C3" s="381"/>
      <c r="D3" s="381" t="str">
        <f>底稿目录!A4</f>
        <v>编制人：</v>
      </c>
      <c r="E3" s="381"/>
      <c r="F3" s="382"/>
      <c r="G3" s="383" t="str">
        <f>底稿目录!A5</f>
        <v>编制日期：</v>
      </c>
      <c r="H3" s="383"/>
      <c r="I3" s="476" t="s">
        <v>1066</v>
      </c>
      <c r="J3" s="454" t="s">
        <v>279</v>
      </c>
    </row>
    <row r="4" spans="1:13" ht="19.95" customHeight="1">
      <c r="A4" s="381" t="str">
        <f>底稿目录!A3</f>
        <v>截止日：202X年12月31日</v>
      </c>
      <c r="B4" s="381"/>
      <c r="C4" s="381"/>
      <c r="D4" s="381" t="str">
        <f>底稿目录!A6</f>
        <v>复核人：</v>
      </c>
      <c r="E4" s="381"/>
      <c r="F4" s="382"/>
      <c r="G4" s="383" t="str">
        <f>底稿目录!A7</f>
        <v>复核日期：</v>
      </c>
      <c r="H4" s="383"/>
      <c r="I4" s="476" t="s">
        <v>1065</v>
      </c>
      <c r="J4" s="384"/>
    </row>
    <row r="5" spans="1:13" s="389" customFormat="1" ht="27.6">
      <c r="A5" s="385" t="s">
        <v>414</v>
      </c>
      <c r="B5" s="386" t="s">
        <v>413</v>
      </c>
      <c r="C5" s="385" t="s">
        <v>415</v>
      </c>
      <c r="D5" s="387" t="s">
        <v>416</v>
      </c>
      <c r="E5" s="387" t="s">
        <v>417</v>
      </c>
      <c r="F5" s="388" t="s">
        <v>186</v>
      </c>
      <c r="G5" s="387" t="s">
        <v>993</v>
      </c>
      <c r="H5" s="387" t="s">
        <v>994</v>
      </c>
      <c r="I5" s="387" t="s">
        <v>995</v>
      </c>
      <c r="J5" s="387" t="s">
        <v>996</v>
      </c>
    </row>
    <row r="6" spans="1:13" ht="19.95" customHeight="1">
      <c r="A6" s="390"/>
      <c r="B6" s="390"/>
      <c r="C6" s="390"/>
      <c r="D6" s="390"/>
      <c r="E6" s="390"/>
      <c r="F6" s="390"/>
      <c r="G6" s="391"/>
      <c r="H6" s="391"/>
      <c r="I6" s="391"/>
      <c r="J6" s="391"/>
      <c r="M6" s="389"/>
    </row>
    <row r="7" spans="1:13" ht="19.95" customHeight="1">
      <c r="A7" s="390"/>
      <c r="B7" s="390"/>
      <c r="C7" s="390"/>
      <c r="D7" s="390"/>
      <c r="E7" s="390"/>
      <c r="F7" s="390"/>
      <c r="G7" s="391"/>
      <c r="H7" s="391"/>
      <c r="I7" s="391"/>
      <c r="J7" s="391"/>
      <c r="M7" s="389"/>
    </row>
    <row r="8" spans="1:13" ht="19.95" customHeight="1">
      <c r="A8" s="390"/>
      <c r="B8" s="390"/>
      <c r="C8" s="390"/>
      <c r="D8" s="390"/>
      <c r="E8" s="390"/>
      <c r="F8" s="390"/>
      <c r="G8" s="391"/>
      <c r="H8" s="391"/>
      <c r="I8" s="391"/>
      <c r="J8" s="391"/>
      <c r="M8" s="389"/>
    </row>
    <row r="9" spans="1:13" ht="19.95" customHeight="1">
      <c r="A9" s="390"/>
      <c r="B9" s="390"/>
      <c r="C9" s="390"/>
      <c r="D9" s="390"/>
      <c r="E9" s="390"/>
      <c r="F9" s="390"/>
      <c r="G9" s="391"/>
      <c r="H9" s="391"/>
      <c r="I9" s="391"/>
      <c r="J9" s="391"/>
      <c r="M9" s="389"/>
    </row>
    <row r="10" spans="1:13" ht="19.95" customHeight="1">
      <c r="A10" s="390"/>
      <c r="B10" s="390"/>
      <c r="C10" s="390"/>
      <c r="D10" s="390"/>
      <c r="E10" s="390"/>
      <c r="F10" s="390"/>
      <c r="G10" s="391"/>
      <c r="H10" s="391"/>
      <c r="I10" s="391"/>
      <c r="J10" s="391"/>
      <c r="M10" s="389"/>
    </row>
    <row r="11" spans="1:13" ht="19.95" customHeight="1">
      <c r="A11" s="390"/>
      <c r="B11" s="390"/>
      <c r="C11" s="390"/>
      <c r="D11" s="390"/>
      <c r="E11" s="390"/>
      <c r="F11" s="390"/>
      <c r="G11" s="391"/>
      <c r="H11" s="391"/>
      <c r="I11" s="391"/>
      <c r="J11" s="391"/>
      <c r="M11" s="389"/>
    </row>
    <row r="12" spans="1:13" ht="19.95" customHeight="1">
      <c r="A12" s="390"/>
      <c r="B12" s="390"/>
      <c r="C12" s="390"/>
      <c r="D12" s="390"/>
      <c r="E12" s="390"/>
      <c r="F12" s="390"/>
      <c r="G12" s="391"/>
      <c r="H12" s="391"/>
      <c r="I12" s="391"/>
      <c r="J12" s="391"/>
      <c r="M12" s="389"/>
    </row>
    <row r="13" spans="1:13" ht="19.95" customHeight="1">
      <c r="A13" s="390"/>
      <c r="B13" s="390"/>
      <c r="C13" s="390"/>
      <c r="D13" s="390"/>
      <c r="E13" s="390"/>
      <c r="F13" s="390"/>
      <c r="G13" s="391"/>
      <c r="H13" s="391"/>
      <c r="I13" s="391"/>
      <c r="J13" s="391"/>
      <c r="M13" s="389"/>
    </row>
    <row r="14" spans="1:13" ht="19.95" customHeight="1">
      <c r="A14" s="390"/>
      <c r="B14" s="390"/>
      <c r="C14" s="390"/>
      <c r="D14" s="390"/>
      <c r="E14" s="390"/>
      <c r="F14" s="390"/>
      <c r="G14" s="391"/>
      <c r="H14" s="391"/>
      <c r="I14" s="391"/>
      <c r="J14" s="391"/>
      <c r="M14" s="389"/>
    </row>
    <row r="15" spans="1:13" ht="19.95" customHeight="1">
      <c r="A15" s="390"/>
      <c r="B15" s="390"/>
      <c r="C15" s="390"/>
      <c r="D15" s="390"/>
      <c r="E15" s="390"/>
      <c r="F15" s="390"/>
      <c r="G15" s="391"/>
      <c r="H15" s="391"/>
      <c r="I15" s="391"/>
      <c r="J15" s="391"/>
      <c r="M15" s="389"/>
    </row>
    <row r="16" spans="1:13" ht="19.95" customHeight="1">
      <c r="A16" s="390"/>
      <c r="B16" s="390"/>
      <c r="C16" s="390"/>
      <c r="D16" s="390"/>
      <c r="E16" s="390"/>
      <c r="F16" s="390"/>
      <c r="G16" s="391"/>
      <c r="H16" s="391"/>
      <c r="I16" s="391"/>
      <c r="J16" s="391"/>
      <c r="M16" s="389"/>
    </row>
    <row r="17" spans="1:13" ht="19.95" customHeight="1">
      <c r="A17" s="390"/>
      <c r="B17" s="390"/>
      <c r="C17" s="390"/>
      <c r="D17" s="390"/>
      <c r="E17" s="390"/>
      <c r="F17" s="390"/>
      <c r="G17" s="391"/>
      <c r="H17" s="391"/>
      <c r="I17" s="391"/>
      <c r="J17" s="391"/>
      <c r="M17" s="389"/>
    </row>
    <row r="18" spans="1:13" ht="19.95" customHeight="1">
      <c r="A18" s="390"/>
      <c r="B18" s="390"/>
      <c r="C18" s="390"/>
      <c r="D18" s="390"/>
      <c r="E18" s="390"/>
      <c r="F18" s="390"/>
      <c r="G18" s="391"/>
      <c r="H18" s="391"/>
      <c r="I18" s="391"/>
      <c r="J18" s="391"/>
    </row>
    <row r="19" spans="1:13" ht="19.95" customHeight="1">
      <c r="A19" s="390"/>
      <c r="B19" s="390"/>
      <c r="C19" s="390"/>
      <c r="D19" s="390"/>
      <c r="E19" s="390"/>
      <c r="F19" s="390"/>
      <c r="G19" s="391"/>
      <c r="H19" s="391"/>
      <c r="I19" s="391"/>
      <c r="J19" s="391"/>
    </row>
    <row r="20" spans="1:13" ht="19.95" customHeight="1">
      <c r="A20" s="390"/>
      <c r="B20" s="390"/>
      <c r="C20" s="390"/>
      <c r="D20" s="390"/>
      <c r="E20" s="390"/>
      <c r="F20" s="390"/>
      <c r="G20" s="391"/>
      <c r="H20" s="391"/>
      <c r="I20" s="391"/>
      <c r="J20" s="391"/>
    </row>
    <row r="21" spans="1:13" ht="19.95" customHeight="1">
      <c r="A21" s="392"/>
      <c r="B21" s="392"/>
      <c r="C21" s="393"/>
      <c r="D21" s="394"/>
      <c r="E21" s="394"/>
      <c r="F21" s="394"/>
      <c r="G21" s="395"/>
      <c r="H21" s="395"/>
      <c r="I21" s="396"/>
      <c r="J21" s="397"/>
    </row>
    <row r="22" spans="1:13" ht="19.95" customHeight="1">
      <c r="A22" s="398"/>
      <c r="B22" s="398"/>
      <c r="C22" s="393"/>
      <c r="D22" s="398"/>
      <c r="E22" s="399"/>
      <c r="F22" s="393"/>
      <c r="G22" s="400"/>
      <c r="H22" s="400"/>
      <c r="I22" s="400"/>
      <c r="J22" s="400"/>
    </row>
    <row r="23" spans="1:13" ht="19.95" customHeight="1">
      <c r="C23" s="393"/>
    </row>
    <row r="24" spans="1:13" ht="19.95" customHeight="1">
      <c r="A24" s="504" t="s">
        <v>1098</v>
      </c>
    </row>
  </sheetData>
  <mergeCells count="2">
    <mergeCell ref="A1:J1"/>
    <mergeCell ref="A2:J2"/>
  </mergeCells>
  <phoneticPr fontId="10" type="noConversion"/>
  <dataValidations count="1">
    <dataValidation type="list" allowBlank="1" showInputMessage="1" showErrorMessage="1" sqref="B6:B20">
      <formula1>"账项调整,报表调整,其他"</formula1>
    </dataValidation>
  </dataValidations>
  <hyperlinks>
    <hyperlink ref="J3" location="底稿目录!A1" display="H1-3"/>
  </hyperlinks>
  <printOptions horizontalCentered="1"/>
  <pageMargins left="0.51181102362204722" right="0.31496062992125984" top="0.55118110236220474" bottom="0.35433070866141736" header="0.51181102362204722" footer="0.19685039370078741"/>
  <pageSetup paperSize="9" scale="95" fitToHeight="50" orientation="landscape" blackAndWhite="1"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31"/>
  <sheetViews>
    <sheetView view="pageBreakPreview" zoomScaleSheetLayoutView="100" workbookViewId="0">
      <selection sqref="A1:J1"/>
    </sheetView>
  </sheetViews>
  <sheetFormatPr defaultColWidth="9" defaultRowHeight="19.95" customHeight="1"/>
  <cols>
    <col min="1" max="1" width="5.59765625" style="104" customWidth="1"/>
    <col min="2" max="6" width="13.3984375" style="104" customWidth="1"/>
    <col min="7" max="7" width="14.3984375" style="104" customWidth="1"/>
    <col min="8" max="10" width="16.5" style="104" customWidth="1"/>
    <col min="11" max="16384" width="9" style="104"/>
  </cols>
  <sheetData>
    <row r="1" spans="1:10" s="460" customFormat="1" ht="19.95" customHeight="1">
      <c r="A1" s="750" t="s">
        <v>1039</v>
      </c>
      <c r="B1" s="750"/>
      <c r="C1" s="750"/>
      <c r="D1" s="750"/>
      <c r="E1" s="750"/>
      <c r="F1" s="750"/>
      <c r="G1" s="750"/>
      <c r="H1" s="750"/>
      <c r="I1" s="750"/>
      <c r="J1" s="750"/>
    </row>
    <row r="2" spans="1:10" s="588" customFormat="1" ht="19.95" customHeight="1">
      <c r="A2" s="751" t="s">
        <v>1044</v>
      </c>
      <c r="B2" s="751"/>
      <c r="C2" s="751"/>
      <c r="D2" s="751"/>
      <c r="E2" s="751"/>
      <c r="F2" s="751"/>
      <c r="G2" s="751"/>
      <c r="H2" s="751"/>
      <c r="I2" s="751"/>
      <c r="J2" s="751"/>
    </row>
    <row r="3" spans="1:10" s="590" customFormat="1" ht="19.95" customHeight="1">
      <c r="A3" s="589" t="str">
        <f>底稿目录!A2</f>
        <v>被审计单位：</v>
      </c>
      <c r="D3" s="591"/>
      <c r="E3" s="592" t="str">
        <f>底稿目录!A4</f>
        <v>编制人：</v>
      </c>
      <c r="F3" s="593"/>
      <c r="G3" s="592" t="str">
        <f>底稿目录!A5</f>
        <v>编制日期：</v>
      </c>
      <c r="I3" s="594" t="s">
        <v>1066</v>
      </c>
      <c r="J3" s="595" t="s">
        <v>280</v>
      </c>
    </row>
    <row r="4" spans="1:10" s="590" customFormat="1" ht="19.95" customHeight="1">
      <c r="A4" s="589" t="str">
        <f>底稿目录!A3</f>
        <v>截止日：202X年12月31日</v>
      </c>
      <c r="D4" s="591"/>
      <c r="E4" s="592" t="str">
        <f>底稿目录!A6</f>
        <v>复核人：</v>
      </c>
      <c r="F4" s="593"/>
      <c r="G4" s="592" t="str">
        <f>底稿目录!A7</f>
        <v>复核日期：</v>
      </c>
      <c r="I4" s="594" t="s">
        <v>1065</v>
      </c>
      <c r="J4" s="596"/>
    </row>
    <row r="5" spans="1:10" s="590" customFormat="1" ht="19.95" customHeight="1">
      <c r="A5" s="597" t="s">
        <v>1131</v>
      </c>
      <c r="D5" s="591"/>
      <c r="E5" s="589"/>
      <c r="F5" s="591"/>
      <c r="H5" s="598"/>
      <c r="I5" s="589"/>
      <c r="J5" s="599"/>
    </row>
    <row r="6" spans="1:10" s="590" customFormat="1" ht="19.95" customHeight="1">
      <c r="A6" s="589" t="s">
        <v>1132</v>
      </c>
      <c r="D6" s="591"/>
      <c r="E6" s="589"/>
      <c r="F6" s="591"/>
      <c r="H6" s="598"/>
      <c r="I6" s="589"/>
      <c r="J6" s="599"/>
    </row>
    <row r="7" spans="1:10" s="590" customFormat="1" ht="19.95" customHeight="1">
      <c r="A7" s="589" t="s">
        <v>1133</v>
      </c>
      <c r="D7" s="591"/>
      <c r="E7" s="589"/>
      <c r="F7" s="591"/>
      <c r="H7" s="598"/>
      <c r="I7" s="589"/>
      <c r="J7" s="599"/>
    </row>
    <row r="8" spans="1:10" s="590" customFormat="1" ht="19.95" customHeight="1">
      <c r="A8" s="597" t="s">
        <v>431</v>
      </c>
      <c r="B8" s="597"/>
      <c r="D8" s="591"/>
      <c r="E8" s="589"/>
      <c r="F8" s="591"/>
      <c r="H8" s="598"/>
      <c r="I8" s="589"/>
      <c r="J8" s="599"/>
    </row>
    <row r="9" spans="1:10" s="590" customFormat="1" ht="19.95" customHeight="1">
      <c r="A9" s="589" t="s">
        <v>1134</v>
      </c>
      <c r="B9" s="589"/>
      <c r="C9" s="589"/>
      <c r="D9" s="589"/>
      <c r="E9" s="589"/>
      <c r="F9" s="589"/>
      <c r="G9" s="589"/>
      <c r="H9" s="598"/>
      <c r="I9" s="589"/>
      <c r="J9" s="599"/>
    </row>
    <row r="10" spans="1:10" ht="19.95" customHeight="1">
      <c r="A10" s="61" t="s">
        <v>1135</v>
      </c>
      <c r="D10" s="271"/>
      <c r="E10" s="61"/>
      <c r="F10" s="271"/>
      <c r="H10" s="105"/>
      <c r="I10" s="61"/>
      <c r="J10" s="103"/>
    </row>
    <row r="11" spans="1:10" s="68" customFormat="1" ht="19.95" customHeight="1">
      <c r="A11" s="67" t="s">
        <v>432</v>
      </c>
      <c r="B11" s="83"/>
      <c r="C11" s="83"/>
      <c r="D11" s="83"/>
      <c r="E11" s="83"/>
      <c r="F11" s="83"/>
      <c r="G11" s="83"/>
      <c r="H11" s="84"/>
      <c r="I11" s="85"/>
    </row>
    <row r="12" spans="1:10" ht="19.95" customHeight="1">
      <c r="A12" s="272" t="s">
        <v>418</v>
      </c>
      <c r="B12" s="272" t="s">
        <v>433</v>
      </c>
      <c r="C12" s="272" t="s">
        <v>434</v>
      </c>
      <c r="D12" s="272" t="s">
        <v>420</v>
      </c>
      <c r="E12" s="272" t="s">
        <v>435</v>
      </c>
      <c r="F12" s="272" t="s">
        <v>422</v>
      </c>
      <c r="G12" s="272" t="s">
        <v>436</v>
      </c>
      <c r="H12" s="272" t="s">
        <v>424</v>
      </c>
      <c r="I12" s="272" t="s">
        <v>425</v>
      </c>
      <c r="J12" s="272" t="s">
        <v>426</v>
      </c>
    </row>
    <row r="13" spans="1:10" ht="19.95" customHeight="1">
      <c r="A13" s="86">
        <v>1</v>
      </c>
      <c r="B13" s="86"/>
      <c r="C13" s="86"/>
      <c r="D13" s="402"/>
      <c r="E13" s="402"/>
      <c r="F13" s="402"/>
      <c r="G13" s="128">
        <f>D13-E13-F13</f>
        <v>0</v>
      </c>
      <c r="H13" s="86"/>
      <c r="I13" s="86"/>
      <c r="J13" s="273"/>
    </row>
    <row r="14" spans="1:10" ht="19.95" customHeight="1">
      <c r="A14" s="86">
        <v>2</v>
      </c>
      <c r="B14" s="86"/>
      <c r="C14" s="86"/>
      <c r="D14" s="402"/>
      <c r="E14" s="402"/>
      <c r="F14" s="402"/>
      <c r="G14" s="128">
        <f>D14-E14-F14</f>
        <v>0</v>
      </c>
      <c r="H14" s="86"/>
      <c r="I14" s="86"/>
      <c r="J14" s="273"/>
    </row>
    <row r="15" spans="1:10" ht="19.95" customHeight="1">
      <c r="A15" s="86">
        <v>3</v>
      </c>
      <c r="B15" s="86"/>
      <c r="C15" s="86"/>
      <c r="D15" s="402"/>
      <c r="E15" s="402"/>
      <c r="F15" s="402"/>
      <c r="G15" s="128">
        <f>D15-E15-F15</f>
        <v>0</v>
      </c>
      <c r="H15" s="86"/>
      <c r="I15" s="86"/>
      <c r="J15" s="273"/>
    </row>
    <row r="16" spans="1:10" ht="19.95" customHeight="1">
      <c r="A16" s="86" t="s">
        <v>11</v>
      </c>
      <c r="B16" s="86"/>
      <c r="C16" s="86"/>
      <c r="D16" s="402"/>
      <c r="E16" s="402"/>
      <c r="F16" s="402"/>
      <c r="G16" s="128">
        <f>D16-E16-F16</f>
        <v>0</v>
      </c>
      <c r="H16" s="86"/>
      <c r="I16" s="86"/>
      <c r="J16" s="273"/>
    </row>
    <row r="17" spans="1:12" s="106" customFormat="1" ht="19.95" customHeight="1">
      <c r="A17" s="272" t="s">
        <v>997</v>
      </c>
      <c r="B17" s="203"/>
      <c r="C17" s="203"/>
      <c r="D17" s="203">
        <f>SUM(D13:D16)</f>
        <v>0</v>
      </c>
      <c r="E17" s="203">
        <f>SUM(E13:E16)</f>
        <v>0</v>
      </c>
      <c r="F17" s="203">
        <f>SUM(F13:F16)</f>
        <v>0</v>
      </c>
      <c r="G17" s="203">
        <f>SUM(G13:G16)</f>
        <v>0</v>
      </c>
      <c r="H17" s="203"/>
      <c r="I17" s="203"/>
      <c r="J17" s="203"/>
    </row>
    <row r="18" spans="1:12" s="68" customFormat="1" ht="19.95" customHeight="1">
      <c r="A18" s="67" t="s">
        <v>437</v>
      </c>
      <c r="B18" s="83"/>
      <c r="C18" s="83"/>
      <c r="D18" s="83"/>
      <c r="E18" s="83"/>
      <c r="F18" s="83"/>
      <c r="G18" s="83"/>
      <c r="H18" s="84"/>
      <c r="I18" s="85"/>
    </row>
    <row r="19" spans="1:12" ht="19.95" customHeight="1">
      <c r="A19" s="272" t="s">
        <v>418</v>
      </c>
      <c r="B19" s="272" t="s">
        <v>361</v>
      </c>
      <c r="C19" s="272" t="s">
        <v>391</v>
      </c>
      <c r="D19" s="272" t="s">
        <v>420</v>
      </c>
      <c r="E19" s="272" t="s">
        <v>421</v>
      </c>
      <c r="F19" s="272" t="s">
        <v>422</v>
      </c>
      <c r="G19" s="272" t="s">
        <v>423</v>
      </c>
      <c r="H19" s="272" t="s">
        <v>424</v>
      </c>
      <c r="I19" s="272" t="s">
        <v>425</v>
      </c>
      <c r="J19" s="272" t="s">
        <v>426</v>
      </c>
    </row>
    <row r="20" spans="1:12" ht="19.95" customHeight="1">
      <c r="A20" s="86">
        <v>1</v>
      </c>
      <c r="B20" s="86"/>
      <c r="C20" s="86"/>
      <c r="D20" s="402"/>
      <c r="E20" s="402"/>
      <c r="F20" s="402"/>
      <c r="G20" s="128">
        <f>D20-E20-F20</f>
        <v>0</v>
      </c>
      <c r="H20" s="86"/>
      <c r="I20" s="86"/>
      <c r="J20" s="273"/>
    </row>
    <row r="21" spans="1:12" ht="19.95" customHeight="1">
      <c r="A21" s="86">
        <v>2</v>
      </c>
      <c r="B21" s="86"/>
      <c r="C21" s="86"/>
      <c r="D21" s="402"/>
      <c r="E21" s="402"/>
      <c r="F21" s="402"/>
      <c r="G21" s="128">
        <f>D21-E21-F21</f>
        <v>0</v>
      </c>
      <c r="H21" s="86"/>
      <c r="I21" s="86"/>
      <c r="J21" s="273"/>
    </row>
    <row r="22" spans="1:12" ht="19.95" customHeight="1">
      <c r="A22" s="86">
        <v>3</v>
      </c>
      <c r="B22" s="86"/>
      <c r="C22" s="86"/>
      <c r="D22" s="402"/>
      <c r="E22" s="402"/>
      <c r="F22" s="402"/>
      <c r="G22" s="128">
        <f>D22-E22-F22</f>
        <v>0</v>
      </c>
      <c r="H22" s="86"/>
      <c r="I22" s="86"/>
      <c r="J22" s="273"/>
    </row>
    <row r="23" spans="1:12" ht="19.95" customHeight="1">
      <c r="A23" s="86" t="s">
        <v>11</v>
      </c>
      <c r="B23" s="86"/>
      <c r="C23" s="86"/>
      <c r="D23" s="402"/>
      <c r="E23" s="402"/>
      <c r="F23" s="402"/>
      <c r="G23" s="128">
        <f>D23-E23-F23</f>
        <v>0</v>
      </c>
      <c r="H23" s="86"/>
      <c r="I23" s="86"/>
      <c r="J23" s="273"/>
    </row>
    <row r="24" spans="1:12" s="106" customFormat="1" ht="19.95" customHeight="1">
      <c r="A24" s="272" t="s">
        <v>998</v>
      </c>
      <c r="B24" s="203"/>
      <c r="C24" s="203"/>
      <c r="D24" s="203">
        <f>SUM(D20:D23)</f>
        <v>0</v>
      </c>
      <c r="E24" s="203">
        <f>SUM(E20:E23)</f>
        <v>0</v>
      </c>
      <c r="F24" s="203">
        <f>SUM(F20:F23)</f>
        <v>0</v>
      </c>
      <c r="G24" s="203">
        <f>SUM(G20:G23)</f>
        <v>0</v>
      </c>
      <c r="H24" s="203"/>
      <c r="I24" s="203"/>
      <c r="J24" s="203"/>
    </row>
    <row r="25" spans="1:12" ht="19.95" customHeight="1">
      <c r="A25" s="70" t="s">
        <v>428</v>
      </c>
      <c r="B25" s="61"/>
      <c r="C25" s="61"/>
      <c r="D25" s="61"/>
      <c r="E25" s="61"/>
      <c r="F25" s="61"/>
      <c r="G25" s="61"/>
      <c r="H25" s="61"/>
      <c r="I25" s="61"/>
      <c r="J25" s="61"/>
    </row>
    <row r="26" spans="1:12" ht="19.95" customHeight="1">
      <c r="A26" s="61"/>
      <c r="B26" s="61"/>
      <c r="C26" s="61"/>
      <c r="D26" s="61"/>
      <c r="E26" s="61"/>
      <c r="F26" s="61"/>
      <c r="G26" s="61"/>
      <c r="H26" s="61"/>
      <c r="I26" s="61"/>
      <c r="J26" s="61"/>
      <c r="K26" s="107"/>
      <c r="L26" s="107"/>
    </row>
    <row r="27" spans="1:12" ht="19.95" customHeight="1">
      <c r="A27" s="70" t="s">
        <v>438</v>
      </c>
      <c r="B27" s="61"/>
      <c r="C27" s="61"/>
      <c r="D27" s="61"/>
      <c r="E27" s="61"/>
      <c r="F27" s="61"/>
      <c r="G27" s="61"/>
      <c r="H27" s="61"/>
      <c r="I27" s="61"/>
      <c r="J27" s="61"/>
    </row>
    <row r="28" spans="1:12" ht="19.95" customHeight="1">
      <c r="A28" s="61"/>
      <c r="B28" s="61"/>
      <c r="C28" s="61"/>
      <c r="D28" s="61"/>
      <c r="E28" s="61"/>
      <c r="F28" s="61"/>
      <c r="G28" s="61"/>
      <c r="H28" s="61"/>
      <c r="I28" s="61"/>
      <c r="J28" s="61"/>
    </row>
    <row r="29" spans="1:12" ht="19.95" customHeight="1">
      <c r="A29" s="61"/>
      <c r="B29" s="61"/>
      <c r="C29" s="61"/>
      <c r="D29" s="61"/>
      <c r="E29" s="61"/>
      <c r="F29" s="61"/>
      <c r="G29" s="61"/>
      <c r="H29" s="61"/>
      <c r="I29" s="61"/>
      <c r="J29" s="61"/>
    </row>
    <row r="31" spans="1:12" ht="19.95" customHeight="1">
      <c r="A31" s="694" t="s">
        <v>1283</v>
      </c>
    </row>
  </sheetData>
  <mergeCells count="2">
    <mergeCell ref="A1:J1"/>
    <mergeCell ref="A2:J2"/>
  </mergeCells>
  <phoneticPr fontId="10" type="noConversion"/>
  <hyperlinks>
    <hyperlink ref="J3" location="底稿目录!A1" display="H1-4"/>
  </hyperlinks>
  <printOptions horizontalCentered="1"/>
  <pageMargins left="0.51181102362204722" right="0.31496062992125984" top="0.55118110236220474" bottom="0.35433070866141736" header="0.51181102362204722" footer="0.19685039370078741"/>
  <pageSetup paperSize="9" scale="85" fitToHeight="50"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P36"/>
  <sheetViews>
    <sheetView view="pageBreakPreview" zoomScaleSheetLayoutView="100" workbookViewId="0">
      <selection sqref="A1:K1"/>
    </sheetView>
  </sheetViews>
  <sheetFormatPr defaultColWidth="9" defaultRowHeight="13.8"/>
  <cols>
    <col min="1" max="1" width="7.8984375" style="89" customWidth="1"/>
    <col min="2" max="2" width="13.19921875" style="90" customWidth="1"/>
    <col min="3" max="3" width="11.3984375" style="90" customWidth="1"/>
    <col min="4" max="4" width="13.09765625" style="90" customWidth="1"/>
    <col min="5" max="5" width="10.5" style="90" customWidth="1"/>
    <col min="6" max="7" width="15.59765625" style="90" customWidth="1"/>
    <col min="8" max="11" width="14.59765625" style="90" customWidth="1"/>
    <col min="12" max="16384" width="9" style="90"/>
  </cols>
  <sheetData>
    <row r="1" spans="1:15" s="461" customFormat="1" ht="20.100000000000001" customHeight="1">
      <c r="A1" s="726" t="s">
        <v>1037</v>
      </c>
      <c r="B1" s="726"/>
      <c r="C1" s="726"/>
      <c r="D1" s="726"/>
      <c r="E1" s="726"/>
      <c r="F1" s="726"/>
      <c r="G1" s="726"/>
      <c r="H1" s="726"/>
      <c r="I1" s="726"/>
      <c r="J1" s="726"/>
      <c r="K1" s="726"/>
    </row>
    <row r="2" spans="1:15" s="462" customFormat="1" ht="24.9" customHeight="1">
      <c r="A2" s="727" t="s">
        <v>1045</v>
      </c>
      <c r="B2" s="727"/>
      <c r="C2" s="727"/>
      <c r="D2" s="727"/>
      <c r="E2" s="727"/>
      <c r="F2" s="727"/>
      <c r="G2" s="727"/>
      <c r="H2" s="727"/>
      <c r="I2" s="727"/>
      <c r="J2" s="727"/>
      <c r="K2" s="727"/>
    </row>
    <row r="3" spans="1:15" ht="20.100000000000001" customHeight="1">
      <c r="A3" s="2" t="str">
        <f>底稿目录!A2</f>
        <v>被审计单位：</v>
      </c>
      <c r="E3" s="2" t="str">
        <f>底稿目录!A4</f>
        <v>编制人：</v>
      </c>
      <c r="H3" s="2" t="str">
        <f>底稿目录!A5</f>
        <v>编制日期：</v>
      </c>
      <c r="I3" s="109"/>
      <c r="J3" s="476" t="s">
        <v>1066</v>
      </c>
      <c r="K3" s="455" t="s">
        <v>281</v>
      </c>
    </row>
    <row r="4" spans="1:15" ht="20.100000000000001" customHeight="1">
      <c r="A4" s="2" t="str">
        <f>底稿目录!A3</f>
        <v>截止日：202X年12月31日</v>
      </c>
      <c r="E4" s="90" t="str">
        <f>底稿目录!A6</f>
        <v>复核人：</v>
      </c>
      <c r="H4" s="90" t="str">
        <f>底稿目录!A7</f>
        <v>复核日期：</v>
      </c>
      <c r="I4" s="109"/>
      <c r="J4" s="476" t="s">
        <v>1065</v>
      </c>
      <c r="K4" s="153"/>
    </row>
    <row r="5" spans="1:15" s="305" customFormat="1" ht="22.8" customHeight="1">
      <c r="A5" s="600" t="s">
        <v>456</v>
      </c>
      <c r="B5" s="600"/>
      <c r="C5" s="600"/>
      <c r="D5" s="600"/>
      <c r="E5" s="600"/>
      <c r="F5" s="600"/>
      <c r="G5" s="600"/>
      <c r="H5" s="600"/>
      <c r="I5" s="600"/>
      <c r="J5" s="600"/>
      <c r="K5" s="600"/>
      <c r="L5" s="601"/>
      <c r="O5" s="602"/>
    </row>
    <row r="6" spans="1:15" s="305" customFormat="1" ht="18.600000000000001" customHeight="1">
      <c r="A6" s="583" t="s">
        <v>378</v>
      </c>
      <c r="B6" s="603"/>
      <c r="C6" s="603"/>
      <c r="D6" s="603"/>
      <c r="E6" s="603"/>
      <c r="F6" s="603"/>
      <c r="G6" s="603"/>
      <c r="H6" s="603"/>
      <c r="I6" s="603"/>
      <c r="J6" s="603"/>
      <c r="K6" s="604"/>
      <c r="L6" s="601"/>
      <c r="O6" s="602"/>
    </row>
    <row r="7" spans="1:15" s="305" customFormat="1" ht="18.600000000000001" customHeight="1">
      <c r="A7" s="583" t="s">
        <v>389</v>
      </c>
      <c r="B7" s="603"/>
      <c r="C7" s="603"/>
      <c r="D7" s="603"/>
      <c r="E7" s="603"/>
      <c r="F7" s="603"/>
      <c r="G7" s="603"/>
      <c r="H7" s="603"/>
      <c r="I7" s="603"/>
      <c r="J7" s="603"/>
      <c r="K7" s="604"/>
      <c r="L7" s="601"/>
      <c r="O7" s="602"/>
    </row>
    <row r="8" spans="1:15" s="59" customFormat="1" ht="20.100000000000001" customHeight="1">
      <c r="A8" s="91" t="s">
        <v>457</v>
      </c>
      <c r="I8" s="14"/>
      <c r="L8" s="78"/>
      <c r="O8" s="79"/>
    </row>
    <row r="9" spans="1:15" s="59" customFormat="1" ht="20.100000000000001" customHeight="1">
      <c r="A9" s="92" t="s">
        <v>442</v>
      </c>
      <c r="B9" s="92"/>
      <c r="I9" s="14"/>
      <c r="L9" s="78"/>
      <c r="O9" s="79"/>
    </row>
    <row r="10" spans="1:15" s="59" customFormat="1" ht="38.25" customHeight="1">
      <c r="A10" s="274" t="s">
        <v>465</v>
      </c>
      <c r="B10" s="238" t="s">
        <v>440</v>
      </c>
      <c r="C10" s="238" t="s">
        <v>443</v>
      </c>
      <c r="D10" s="238" t="s">
        <v>452</v>
      </c>
      <c r="E10" s="238" t="s">
        <v>453</v>
      </c>
      <c r="F10" s="275" t="s">
        <v>466</v>
      </c>
      <c r="G10" s="275" t="s">
        <v>444</v>
      </c>
      <c r="H10" s="275" t="s">
        <v>458</v>
      </c>
      <c r="I10" s="275" t="s">
        <v>467</v>
      </c>
      <c r="J10" s="275" t="s">
        <v>468</v>
      </c>
      <c r="K10" s="275" t="s">
        <v>459</v>
      </c>
      <c r="L10" s="78"/>
      <c r="O10" s="79"/>
    </row>
    <row r="11" spans="1:15" s="59" customFormat="1" ht="20.100000000000001" customHeight="1">
      <c r="A11" s="278">
        <v>1</v>
      </c>
      <c r="B11" s="276" t="s">
        <v>445</v>
      </c>
      <c r="C11" s="403"/>
      <c r="D11" s="288"/>
      <c r="E11" s="404"/>
      <c r="F11" s="405"/>
      <c r="G11" s="405"/>
      <c r="H11" s="405"/>
      <c r="I11" s="405"/>
      <c r="J11" s="405"/>
      <c r="K11" s="288"/>
      <c r="L11" s="78"/>
      <c r="O11" s="79"/>
    </row>
    <row r="12" spans="1:15" s="59" customFormat="1" ht="20.100000000000001" customHeight="1">
      <c r="A12" s="278">
        <v>2</v>
      </c>
      <c r="B12" s="276" t="s">
        <v>446</v>
      </c>
      <c r="C12" s="403"/>
      <c r="D12" s="288"/>
      <c r="E12" s="404"/>
      <c r="F12" s="405"/>
      <c r="G12" s="405"/>
      <c r="H12" s="405"/>
      <c r="I12" s="405"/>
      <c r="J12" s="405"/>
      <c r="K12" s="288"/>
      <c r="L12" s="78"/>
      <c r="O12" s="79"/>
    </row>
    <row r="13" spans="1:15" s="59" customFormat="1" ht="20.100000000000001" customHeight="1">
      <c r="A13" s="278">
        <v>3</v>
      </c>
      <c r="B13" s="276" t="s">
        <v>439</v>
      </c>
      <c r="C13" s="403"/>
      <c r="D13" s="288"/>
      <c r="E13" s="404"/>
      <c r="F13" s="405"/>
      <c r="G13" s="405"/>
      <c r="H13" s="405"/>
      <c r="I13" s="405"/>
      <c r="J13" s="405"/>
      <c r="K13" s="288"/>
      <c r="L13" s="78"/>
      <c r="O13" s="79"/>
    </row>
    <row r="14" spans="1:15" s="59" customFormat="1" ht="20.100000000000001" customHeight="1">
      <c r="A14" s="278">
        <v>4</v>
      </c>
      <c r="B14" s="276" t="s">
        <v>447</v>
      </c>
      <c r="C14" s="403"/>
      <c r="D14" s="288"/>
      <c r="E14" s="404"/>
      <c r="F14" s="405"/>
      <c r="G14" s="405"/>
      <c r="H14" s="405"/>
      <c r="I14" s="405"/>
      <c r="J14" s="405"/>
      <c r="K14" s="288"/>
      <c r="L14" s="78"/>
      <c r="O14" s="79"/>
    </row>
    <row r="15" spans="1:15" s="59" customFormat="1" ht="20.100000000000001" customHeight="1">
      <c r="A15" s="278">
        <v>5</v>
      </c>
      <c r="B15" s="276" t="s">
        <v>448</v>
      </c>
      <c r="C15" s="403"/>
      <c r="D15" s="288"/>
      <c r="E15" s="404"/>
      <c r="F15" s="405"/>
      <c r="G15" s="405"/>
      <c r="H15" s="405"/>
      <c r="I15" s="405"/>
      <c r="J15" s="405"/>
      <c r="K15" s="288"/>
      <c r="L15" s="78"/>
      <c r="O15" s="79"/>
    </row>
    <row r="16" spans="1:15" s="59" customFormat="1" ht="20.100000000000001" customHeight="1">
      <c r="A16" s="92" t="s">
        <v>460</v>
      </c>
      <c r="B16" s="92"/>
      <c r="C16" s="93"/>
      <c r="D16" s="93"/>
      <c r="E16" s="93"/>
      <c r="I16" s="14"/>
      <c r="L16" s="78"/>
      <c r="O16" s="79"/>
    </row>
    <row r="17" spans="1:16" s="59" customFormat="1" ht="20.100000000000001" customHeight="1">
      <c r="A17" s="752" t="s">
        <v>449</v>
      </c>
      <c r="B17" s="754" t="s">
        <v>440</v>
      </c>
      <c r="C17" s="728" t="s">
        <v>469</v>
      </c>
      <c r="D17" s="728"/>
      <c r="E17" s="728"/>
      <c r="F17" s="728" t="s">
        <v>464</v>
      </c>
      <c r="G17" s="728"/>
      <c r="H17" s="728"/>
      <c r="I17" s="728" t="s">
        <v>470</v>
      </c>
      <c r="J17" s="728"/>
      <c r="K17" s="728"/>
      <c r="L17" s="78"/>
      <c r="P17" s="79"/>
    </row>
    <row r="18" spans="1:16" s="59" customFormat="1" ht="20.100000000000001" customHeight="1">
      <c r="A18" s="753"/>
      <c r="B18" s="755"/>
      <c r="C18" s="238" t="s">
        <v>450</v>
      </c>
      <c r="D18" s="238" t="s">
        <v>461</v>
      </c>
      <c r="E18" s="238" t="s">
        <v>451</v>
      </c>
      <c r="F18" s="238" t="s">
        <v>471</v>
      </c>
      <c r="G18" s="238" t="s">
        <v>461</v>
      </c>
      <c r="H18" s="238" t="s">
        <v>453</v>
      </c>
      <c r="I18" s="238" t="s">
        <v>462</v>
      </c>
      <c r="J18" s="238" t="s">
        <v>461</v>
      </c>
      <c r="K18" s="238" t="s">
        <v>453</v>
      </c>
      <c r="L18" s="78"/>
      <c r="P18" s="79"/>
    </row>
    <row r="19" spans="1:16" s="59" customFormat="1" ht="20.100000000000001" customHeight="1">
      <c r="A19" s="278">
        <v>1</v>
      </c>
      <c r="B19" s="276" t="s">
        <v>445</v>
      </c>
      <c r="C19" s="403"/>
      <c r="D19" s="288"/>
      <c r="E19" s="404"/>
      <c r="F19" s="403"/>
      <c r="G19" s="288"/>
      <c r="H19" s="404"/>
      <c r="I19" s="403"/>
      <c r="J19" s="288"/>
      <c r="K19" s="404"/>
      <c r="L19" s="78"/>
      <c r="P19" s="79"/>
    </row>
    <row r="20" spans="1:16" s="59" customFormat="1" ht="20.100000000000001" customHeight="1">
      <c r="A20" s="278">
        <v>2</v>
      </c>
      <c r="B20" s="276" t="s">
        <v>446</v>
      </c>
      <c r="C20" s="403"/>
      <c r="D20" s="288"/>
      <c r="E20" s="404"/>
      <c r="F20" s="403"/>
      <c r="G20" s="288"/>
      <c r="H20" s="404"/>
      <c r="I20" s="403"/>
      <c r="J20" s="288"/>
      <c r="K20" s="404"/>
      <c r="L20" s="78"/>
      <c r="P20" s="79"/>
    </row>
    <row r="21" spans="1:16" s="59" customFormat="1" ht="20.100000000000001" customHeight="1">
      <c r="A21" s="278">
        <v>3</v>
      </c>
      <c r="B21" s="276" t="s">
        <v>439</v>
      </c>
      <c r="C21" s="403"/>
      <c r="D21" s="288"/>
      <c r="E21" s="404"/>
      <c r="F21" s="403"/>
      <c r="G21" s="288"/>
      <c r="H21" s="404"/>
      <c r="I21" s="403"/>
      <c r="J21" s="288"/>
      <c r="K21" s="404"/>
      <c r="L21" s="78"/>
      <c r="P21" s="79"/>
    </row>
    <row r="22" spans="1:16" s="59" customFormat="1" ht="20.100000000000001" customHeight="1">
      <c r="A22" s="278">
        <v>4</v>
      </c>
      <c r="B22" s="276" t="s">
        <v>447</v>
      </c>
      <c r="C22" s="403"/>
      <c r="D22" s="288"/>
      <c r="E22" s="404"/>
      <c r="F22" s="403"/>
      <c r="G22" s="288"/>
      <c r="H22" s="404"/>
      <c r="I22" s="403"/>
      <c r="J22" s="288"/>
      <c r="K22" s="404"/>
      <c r="L22" s="78"/>
      <c r="P22" s="79"/>
    </row>
    <row r="23" spans="1:16" s="59" customFormat="1" ht="20.100000000000001" customHeight="1">
      <c r="A23" s="278">
        <v>5</v>
      </c>
      <c r="B23" s="276" t="s">
        <v>448</v>
      </c>
      <c r="C23" s="403"/>
      <c r="D23" s="288"/>
      <c r="E23" s="404"/>
      <c r="F23" s="403"/>
      <c r="G23" s="288"/>
      <c r="H23" s="404"/>
      <c r="I23" s="403"/>
      <c r="J23" s="288"/>
      <c r="K23" s="404"/>
      <c r="L23" s="78"/>
      <c r="P23" s="79"/>
    </row>
    <row r="24" spans="1:16" s="59" customFormat="1" ht="20.100000000000001" customHeight="1">
      <c r="A24" s="89"/>
      <c r="B24" s="92" t="s">
        <v>463</v>
      </c>
      <c r="C24" s="93"/>
      <c r="D24" s="93"/>
      <c r="E24" s="93"/>
      <c r="I24" s="14"/>
      <c r="L24" s="78"/>
      <c r="O24" s="79"/>
    </row>
    <row r="25" spans="1:16" s="59" customFormat="1" ht="20.100000000000001" customHeight="1">
      <c r="A25" s="274" t="s">
        <v>472</v>
      </c>
      <c r="B25" s="238" t="s">
        <v>440</v>
      </c>
      <c r="C25" s="238" t="s">
        <v>454</v>
      </c>
      <c r="D25" s="238" t="s">
        <v>455</v>
      </c>
      <c r="E25" s="238" t="s">
        <v>453</v>
      </c>
      <c r="I25" s="14"/>
      <c r="L25" s="78"/>
      <c r="O25" s="79"/>
    </row>
    <row r="26" spans="1:16" s="59" customFormat="1" ht="20.100000000000001" customHeight="1">
      <c r="A26" s="278">
        <v>1</v>
      </c>
      <c r="B26" s="276" t="s">
        <v>445</v>
      </c>
      <c r="C26" s="403"/>
      <c r="D26" s="288"/>
      <c r="E26" s="404"/>
      <c r="I26" s="14"/>
      <c r="L26" s="78"/>
      <c r="O26" s="79"/>
    </row>
    <row r="27" spans="1:16" s="59" customFormat="1" ht="20.100000000000001" customHeight="1">
      <c r="A27" s="278">
        <v>2</v>
      </c>
      <c r="B27" s="276" t="s">
        <v>446</v>
      </c>
      <c r="C27" s="403"/>
      <c r="D27" s="288"/>
      <c r="E27" s="404"/>
      <c r="I27" s="14"/>
      <c r="L27" s="78"/>
      <c r="O27" s="79"/>
    </row>
    <row r="28" spans="1:16" s="59" customFormat="1" ht="20.100000000000001" customHeight="1">
      <c r="A28" s="278">
        <v>3</v>
      </c>
      <c r="B28" s="276" t="s">
        <v>439</v>
      </c>
      <c r="C28" s="403"/>
      <c r="D28" s="288"/>
      <c r="E28" s="404"/>
      <c r="I28" s="14"/>
      <c r="L28" s="78"/>
      <c r="O28" s="79"/>
    </row>
    <row r="29" spans="1:16" s="59" customFormat="1" ht="20.100000000000001" customHeight="1">
      <c r="A29" s="278">
        <v>4</v>
      </c>
      <c r="B29" s="276" t="s">
        <v>447</v>
      </c>
      <c r="C29" s="403"/>
      <c r="D29" s="288"/>
      <c r="E29" s="404"/>
      <c r="I29" s="14"/>
      <c r="L29" s="78"/>
      <c r="O29" s="79"/>
    </row>
    <row r="30" spans="1:16" s="59" customFormat="1" ht="20.100000000000001" customHeight="1">
      <c r="A30" s="278">
        <v>5</v>
      </c>
      <c r="B30" s="276" t="s">
        <v>448</v>
      </c>
      <c r="C30" s="403"/>
      <c r="D30" s="288"/>
      <c r="E30" s="404"/>
      <c r="I30" s="14"/>
      <c r="L30" s="78"/>
      <c r="O30" s="79"/>
    </row>
    <row r="31" spans="1:16" s="77" customFormat="1" ht="20.100000000000001" customHeight="1">
      <c r="A31" s="70" t="s">
        <v>473</v>
      </c>
    </row>
    <row r="32" spans="1:16" ht="20.100000000000001" customHeight="1">
      <c r="A32" s="61"/>
    </row>
    <row r="33" spans="1:1" ht="20.100000000000001" customHeight="1">
      <c r="A33" s="61"/>
    </row>
    <row r="34" spans="1:1" ht="20.100000000000001" customHeight="1">
      <c r="A34" s="70" t="s">
        <v>474</v>
      </c>
    </row>
    <row r="35" spans="1:1" ht="20.100000000000001" customHeight="1"/>
    <row r="36" spans="1:1" ht="20.100000000000001" customHeight="1"/>
  </sheetData>
  <mergeCells count="7">
    <mergeCell ref="I17:K17"/>
    <mergeCell ref="A1:K1"/>
    <mergeCell ref="A2:K2"/>
    <mergeCell ref="A17:A18"/>
    <mergeCell ref="B17:B18"/>
    <mergeCell ref="C17:E17"/>
    <mergeCell ref="F17:H17"/>
  </mergeCells>
  <phoneticPr fontId="10" type="noConversion"/>
  <dataValidations count="1">
    <dataValidation type="list" allowBlank="1" showInputMessage="1" showErrorMessage="1" sqref="F11:J15">
      <formula1>"√,×"</formula1>
    </dataValidation>
  </dataValidations>
  <hyperlinks>
    <hyperlink ref="K3" location="底稿目录!A1" display="H1-5"/>
  </hyperlinks>
  <printOptions horizontalCentered="1"/>
  <pageMargins left="0.7" right="0.7" top="0.75" bottom="0.75" header="0.3" footer="0.3"/>
  <pageSetup paperSize="9" scale="56" fitToHeight="50" orientation="portrait"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29"/>
  <sheetViews>
    <sheetView view="pageBreakPreview" zoomScaleSheetLayoutView="100" workbookViewId="0">
      <selection sqref="A1:F1"/>
    </sheetView>
  </sheetViews>
  <sheetFormatPr defaultColWidth="9" defaultRowHeight="19.95" customHeight="1"/>
  <cols>
    <col min="1" max="1" width="5.8984375" style="33" customWidth="1"/>
    <col min="2" max="2" width="31.69921875" style="33" customWidth="1"/>
    <col min="3" max="4" width="17.5" style="33" customWidth="1"/>
    <col min="5" max="5" width="12.8984375" style="33" customWidth="1"/>
    <col min="6" max="6" width="19" style="33" customWidth="1"/>
    <col min="7" max="16384" width="9" style="33"/>
  </cols>
  <sheetData>
    <row r="1" spans="1:20" s="13" customFormat="1" ht="19.95" customHeight="1">
      <c r="A1" s="756" t="s">
        <v>1039</v>
      </c>
      <c r="B1" s="756"/>
      <c r="C1" s="756"/>
      <c r="D1" s="756"/>
      <c r="E1" s="756"/>
      <c r="F1" s="756"/>
    </row>
    <row r="2" spans="1:20" s="458" customFormat="1" ht="19.95" customHeight="1">
      <c r="A2" s="757" t="s">
        <v>1046</v>
      </c>
      <c r="B2" s="757"/>
      <c r="C2" s="757"/>
      <c r="D2" s="757"/>
      <c r="E2" s="757"/>
      <c r="F2" s="757"/>
    </row>
    <row r="3" spans="1:20" s="2" customFormat="1" ht="19.95" customHeight="1">
      <c r="A3" s="2" t="str">
        <f>底稿目录!A2</f>
        <v>被审计单位：</v>
      </c>
      <c r="C3" s="2" t="str">
        <f>底稿目录!A4</f>
        <v>编制人：</v>
      </c>
      <c r="D3" s="2" t="str">
        <f>底稿目录!A5</f>
        <v>编制日期：</v>
      </c>
      <c r="E3" s="476" t="s">
        <v>1066</v>
      </c>
      <c r="F3" s="455" t="s">
        <v>282</v>
      </c>
    </row>
    <row r="4" spans="1:20" s="2" customFormat="1" ht="19.95" customHeight="1">
      <c r="A4" s="2" t="str">
        <f>底稿目录!A3</f>
        <v>截止日：202X年12月31日</v>
      </c>
      <c r="C4" s="2" t="str">
        <f>底稿目录!A6</f>
        <v>复核人：</v>
      </c>
      <c r="D4" s="2" t="str">
        <f>底稿目录!A7</f>
        <v>复核日期：</v>
      </c>
      <c r="E4" s="476" t="s">
        <v>1065</v>
      </c>
      <c r="F4" s="153"/>
    </row>
    <row r="5" spans="1:20" s="230" customFormat="1" ht="19.95" customHeight="1">
      <c r="A5" s="229" t="s">
        <v>475</v>
      </c>
      <c r="B5" s="229"/>
      <c r="C5" s="229"/>
      <c r="D5" s="229"/>
      <c r="E5" s="229"/>
      <c r="F5" s="229"/>
      <c r="G5" s="229"/>
      <c r="H5" s="229"/>
      <c r="I5" s="229"/>
      <c r="J5" s="229"/>
      <c r="K5" s="229"/>
      <c r="L5" s="229"/>
      <c r="M5" s="229"/>
      <c r="N5" s="229"/>
      <c r="O5" s="229"/>
      <c r="P5" s="229"/>
      <c r="Q5" s="229"/>
      <c r="R5" s="229"/>
      <c r="S5" s="229"/>
      <c r="T5" s="367"/>
    </row>
    <row r="6" spans="1:20" s="230" customFormat="1" ht="19.95" customHeight="1">
      <c r="A6" s="605" t="s">
        <v>1223</v>
      </c>
      <c r="B6" s="606"/>
      <c r="C6" s="606"/>
      <c r="D6" s="606"/>
      <c r="E6" s="606"/>
      <c r="F6" s="606"/>
      <c r="G6" s="229"/>
      <c r="H6" s="229"/>
      <c r="J6" s="229"/>
      <c r="K6" s="229"/>
      <c r="L6" s="229"/>
      <c r="M6" s="229"/>
      <c r="N6" s="229"/>
      <c r="O6" s="229"/>
      <c r="P6" s="229"/>
      <c r="Q6" s="229"/>
      <c r="R6" s="229"/>
      <c r="S6" s="229"/>
      <c r="T6" s="367"/>
    </row>
    <row r="7" spans="1:20" s="230" customFormat="1" ht="19.95" customHeight="1">
      <c r="A7" s="605" t="s">
        <v>1136</v>
      </c>
      <c r="B7" s="606"/>
      <c r="C7" s="606"/>
      <c r="D7" s="606"/>
      <c r="E7" s="606"/>
      <c r="F7" s="606"/>
      <c r="G7" s="229"/>
      <c r="H7" s="229"/>
      <c r="I7" s="229"/>
      <c r="J7" s="229"/>
      <c r="K7" s="229"/>
      <c r="L7" s="229"/>
      <c r="M7" s="229"/>
      <c r="N7" s="229"/>
      <c r="O7" s="229"/>
      <c r="P7" s="229"/>
      <c r="Q7" s="229"/>
      <c r="R7" s="229"/>
      <c r="S7" s="229"/>
      <c r="T7" s="367"/>
    </row>
    <row r="8" spans="1:20" s="230" customFormat="1" ht="19.95" customHeight="1">
      <c r="A8" s="605" t="s">
        <v>476</v>
      </c>
      <c r="B8" s="606"/>
      <c r="C8" s="606"/>
      <c r="D8" s="606"/>
      <c r="E8" s="606"/>
      <c r="F8" s="606"/>
      <c r="G8" s="229"/>
      <c r="H8" s="229"/>
      <c r="I8" s="229"/>
      <c r="J8" s="229"/>
      <c r="K8" s="229"/>
      <c r="L8" s="229"/>
      <c r="M8" s="229"/>
      <c r="N8" s="229"/>
      <c r="O8" s="229"/>
      <c r="P8" s="229"/>
      <c r="Q8" s="229"/>
      <c r="R8" s="229"/>
      <c r="S8" s="229"/>
      <c r="T8" s="367"/>
    </row>
    <row r="9" spans="1:20" s="25" customFormat="1" ht="19.95" customHeight="1">
      <c r="A9" s="57" t="s">
        <v>477</v>
      </c>
      <c r="B9" s="280"/>
      <c r="E9" s="280"/>
      <c r="F9" s="55"/>
      <c r="G9" s="280"/>
      <c r="H9" s="280"/>
      <c r="I9" s="280"/>
      <c r="J9" s="280"/>
      <c r="K9" s="280"/>
      <c r="L9" s="280"/>
      <c r="M9" s="280"/>
      <c r="N9" s="280"/>
      <c r="O9" s="280"/>
      <c r="P9" s="280"/>
      <c r="Q9" s="280"/>
      <c r="R9" s="280"/>
      <c r="S9" s="280"/>
      <c r="T9" s="279"/>
    </row>
    <row r="10" spans="1:20" s="31" customFormat="1" ht="19.95" customHeight="1">
      <c r="A10" s="281" t="s">
        <v>478</v>
      </c>
      <c r="B10" s="241" t="s">
        <v>479</v>
      </c>
      <c r="C10" s="607" t="s">
        <v>480</v>
      </c>
      <c r="D10" s="607" t="s">
        <v>258</v>
      </c>
      <c r="E10" s="607" t="s">
        <v>481</v>
      </c>
      <c r="F10" s="607" t="s">
        <v>482</v>
      </c>
    </row>
    <row r="11" spans="1:20" s="31" customFormat="1" ht="19.95" customHeight="1">
      <c r="A11" s="108">
        <v>1</v>
      </c>
      <c r="B11" s="233" t="s">
        <v>483</v>
      </c>
      <c r="C11" s="88"/>
      <c r="D11" s="88"/>
      <c r="E11" s="202">
        <f t="shared" ref="E11:E19" si="0">C11-D11</f>
        <v>0</v>
      </c>
      <c r="F11" s="406"/>
      <c r="G11" s="277"/>
    </row>
    <row r="12" spans="1:20" ht="19.95" customHeight="1">
      <c r="A12" s="108">
        <v>2</v>
      </c>
      <c r="B12" s="233" t="s">
        <v>484</v>
      </c>
      <c r="C12" s="88"/>
      <c r="D12" s="88"/>
      <c r="E12" s="202">
        <f t="shared" si="0"/>
        <v>0</v>
      </c>
      <c r="F12" s="406"/>
      <c r="G12" s="277"/>
    </row>
    <row r="13" spans="1:20" ht="19.95" customHeight="1">
      <c r="A13" s="108">
        <v>3</v>
      </c>
      <c r="B13" s="233" t="s">
        <v>485</v>
      </c>
      <c r="C13" s="88"/>
      <c r="D13" s="88"/>
      <c r="E13" s="202">
        <f t="shared" si="0"/>
        <v>0</v>
      </c>
      <c r="F13" s="406"/>
      <c r="G13" s="277"/>
    </row>
    <row r="14" spans="1:20" ht="19.95" customHeight="1">
      <c r="A14" s="108">
        <v>4</v>
      </c>
      <c r="B14" s="234" t="s">
        <v>486</v>
      </c>
      <c r="C14" s="88"/>
      <c r="D14" s="88"/>
      <c r="E14" s="202">
        <f t="shared" si="0"/>
        <v>0</v>
      </c>
      <c r="F14" s="406"/>
      <c r="G14" s="277"/>
    </row>
    <row r="15" spans="1:20" ht="19.95" customHeight="1">
      <c r="A15" s="108">
        <v>5</v>
      </c>
      <c r="B15" s="233" t="s">
        <v>487</v>
      </c>
      <c r="C15" s="88"/>
      <c r="D15" s="88"/>
      <c r="E15" s="202">
        <f t="shared" si="0"/>
        <v>0</v>
      </c>
      <c r="F15" s="406"/>
      <c r="G15" s="277"/>
    </row>
    <row r="16" spans="1:20" ht="19.95" customHeight="1">
      <c r="A16" s="108">
        <v>6</v>
      </c>
      <c r="B16" s="233" t="s">
        <v>488</v>
      </c>
      <c r="C16" s="88"/>
      <c r="D16" s="88"/>
      <c r="E16" s="202">
        <f t="shared" si="0"/>
        <v>0</v>
      </c>
      <c r="F16" s="406"/>
      <c r="G16" s="277"/>
    </row>
    <row r="17" spans="1:7" ht="19.95" customHeight="1">
      <c r="A17" s="108">
        <v>7</v>
      </c>
      <c r="B17" s="233" t="s">
        <v>489</v>
      </c>
      <c r="C17" s="88"/>
      <c r="D17" s="88"/>
      <c r="E17" s="202">
        <f t="shared" si="0"/>
        <v>0</v>
      </c>
      <c r="F17" s="406"/>
      <c r="G17" s="277"/>
    </row>
    <row r="18" spans="1:7" ht="19.95" customHeight="1">
      <c r="A18" s="108">
        <v>8</v>
      </c>
      <c r="B18" s="233" t="s">
        <v>490</v>
      </c>
      <c r="C18" s="88"/>
      <c r="D18" s="88"/>
      <c r="E18" s="202">
        <f t="shared" si="0"/>
        <v>0</v>
      </c>
      <c r="F18" s="406"/>
      <c r="G18" s="277"/>
    </row>
    <row r="19" spans="1:7" ht="19.95" customHeight="1">
      <c r="A19" s="108" t="s">
        <v>1289</v>
      </c>
      <c r="B19" s="233" t="s">
        <v>1137</v>
      </c>
      <c r="C19" s="88"/>
      <c r="D19" s="88"/>
      <c r="E19" s="202">
        <f t="shared" si="0"/>
        <v>0</v>
      </c>
      <c r="F19" s="406"/>
      <c r="G19" s="277"/>
    </row>
    <row r="20" spans="1:7" ht="19.95" customHeight="1">
      <c r="A20" s="156" t="s">
        <v>491</v>
      </c>
      <c r="B20" s="282"/>
      <c r="C20" s="18"/>
      <c r="D20" s="18"/>
      <c r="E20" s="18"/>
      <c r="F20" s="18"/>
    </row>
    <row r="21" spans="1:7" ht="19.95" customHeight="1">
      <c r="A21" s="2"/>
      <c r="B21" s="2"/>
      <c r="C21" s="2"/>
      <c r="D21" s="2"/>
      <c r="E21" s="2"/>
      <c r="F21" s="2"/>
      <c r="G21" s="277"/>
    </row>
    <row r="22" spans="1:7" ht="19.95" customHeight="1">
      <c r="A22" s="2"/>
      <c r="B22" s="2"/>
      <c r="C22" s="2"/>
      <c r="D22" s="2"/>
      <c r="E22" s="2"/>
      <c r="F22" s="2"/>
      <c r="G22" s="277"/>
    </row>
    <row r="23" spans="1:7" ht="19.95" customHeight="1">
      <c r="A23" s="2"/>
      <c r="B23" s="2"/>
      <c r="C23" s="2"/>
      <c r="D23" s="2"/>
      <c r="E23" s="2"/>
      <c r="F23" s="2"/>
      <c r="G23" s="277"/>
    </row>
    <row r="24" spans="1:7" ht="19.95" customHeight="1">
      <c r="A24" s="26" t="s">
        <v>492</v>
      </c>
      <c r="B24" s="2"/>
      <c r="C24" s="2"/>
      <c r="D24" s="2"/>
      <c r="E24" s="2"/>
      <c r="F24" s="2"/>
    </row>
    <row r="25" spans="1:7" ht="19.95" customHeight="1">
      <c r="A25" s="2"/>
      <c r="B25" s="2"/>
      <c r="C25" s="2"/>
      <c r="D25" s="2"/>
      <c r="E25" s="2"/>
      <c r="F25" s="2"/>
    </row>
    <row r="27" spans="1:7" ht="19.95" customHeight="1">
      <c r="A27" s="505" t="s">
        <v>1099</v>
      </c>
      <c r="B27" s="270"/>
    </row>
    <row r="28" spans="1:7" ht="19.95" customHeight="1">
      <c r="A28" s="21" t="s">
        <v>493</v>
      </c>
      <c r="B28" s="21"/>
    </row>
    <row r="29" spans="1:7" ht="19.95" customHeight="1">
      <c r="A29" s="21" t="s">
        <v>494</v>
      </c>
      <c r="B29" s="21"/>
    </row>
  </sheetData>
  <mergeCells count="2">
    <mergeCell ref="A1:F1"/>
    <mergeCell ref="A2:F2"/>
  </mergeCells>
  <phoneticPr fontId="10" type="noConversion"/>
  <hyperlinks>
    <hyperlink ref="F3" location="底稿目录!A1" display="H1-6"/>
  </hyperlinks>
  <printOptions horizontalCentered="1"/>
  <pageMargins left="0.51181102362204722" right="0.31496062992125984" top="0.55118110236220474" bottom="0.35433070866141736" header="0.51181102362204722" footer="0.19685039370078741"/>
  <pageSetup paperSize="9" scale="75" fitToHeight="50" orientation="portrait"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X61"/>
  <sheetViews>
    <sheetView view="pageBreakPreview" zoomScaleSheetLayoutView="100" workbookViewId="0">
      <selection sqref="A1:W1"/>
    </sheetView>
  </sheetViews>
  <sheetFormatPr defaultColWidth="9" defaultRowHeight="13.8"/>
  <cols>
    <col min="1" max="1" width="4.69921875" style="2" customWidth="1"/>
    <col min="2" max="2" width="12.19921875" style="2" customWidth="1"/>
    <col min="3" max="3" width="11.19921875" style="26" customWidth="1"/>
    <col min="4" max="4" width="12.5" style="2" customWidth="1"/>
    <col min="5" max="5" width="9" style="2" customWidth="1"/>
    <col min="6" max="8" width="9.09765625" style="2" customWidth="1"/>
    <col min="9" max="14" width="9.19921875" style="2" customWidth="1"/>
    <col min="15" max="15" width="6.8984375" style="2" customWidth="1"/>
    <col min="16" max="16" width="10.09765625" style="2" customWidth="1"/>
    <col min="17" max="17" width="8.296875" style="2" customWidth="1"/>
    <col min="18" max="18" width="6.59765625" style="2" customWidth="1"/>
    <col min="19" max="19" width="10.3984375" style="2" bestFit="1" customWidth="1"/>
    <col min="20" max="20" width="6.3984375" style="2" bestFit="1" customWidth="1"/>
    <col min="21" max="21" width="5" style="2" customWidth="1"/>
    <col min="22" max="22" width="9" style="2" customWidth="1"/>
    <col min="23" max="23" width="7.09765625" style="2" customWidth="1"/>
    <col min="24" max="16384" width="9" style="2"/>
  </cols>
  <sheetData>
    <row r="1" spans="1:24" s="27" customFormat="1" ht="20.100000000000001" customHeight="1">
      <c r="A1" s="756" t="s">
        <v>1039</v>
      </c>
      <c r="B1" s="756"/>
      <c r="C1" s="756"/>
      <c r="D1" s="756"/>
      <c r="E1" s="756"/>
      <c r="F1" s="756"/>
      <c r="G1" s="756"/>
      <c r="H1" s="756"/>
      <c r="I1" s="756"/>
      <c r="J1" s="756"/>
      <c r="K1" s="756"/>
      <c r="L1" s="756"/>
      <c r="M1" s="756"/>
      <c r="N1" s="756"/>
      <c r="O1" s="756"/>
      <c r="P1" s="756"/>
      <c r="Q1" s="756"/>
      <c r="R1" s="756"/>
      <c r="S1" s="756"/>
      <c r="T1" s="756"/>
      <c r="U1" s="756"/>
      <c r="V1" s="756"/>
      <c r="W1" s="756"/>
    </row>
    <row r="2" spans="1:24" s="463" customFormat="1" ht="24.9" customHeight="1">
      <c r="A2" s="757" t="s">
        <v>1047</v>
      </c>
      <c r="B2" s="757"/>
      <c r="C2" s="757"/>
      <c r="D2" s="757"/>
      <c r="E2" s="757"/>
      <c r="F2" s="757"/>
      <c r="G2" s="757"/>
      <c r="H2" s="757"/>
      <c r="I2" s="757"/>
      <c r="J2" s="757"/>
      <c r="K2" s="757"/>
      <c r="L2" s="757"/>
      <c r="M2" s="757"/>
      <c r="N2" s="757"/>
      <c r="O2" s="757"/>
      <c r="P2" s="757"/>
      <c r="Q2" s="757"/>
      <c r="R2" s="757"/>
      <c r="S2" s="757"/>
      <c r="T2" s="757"/>
      <c r="U2" s="757"/>
      <c r="V2" s="757"/>
      <c r="W2" s="757"/>
    </row>
    <row r="3" spans="1:24" ht="20.100000000000001" customHeight="1">
      <c r="A3" s="2" t="str">
        <f>底稿目录!A2</f>
        <v>被审计单位：</v>
      </c>
      <c r="B3" s="22"/>
      <c r="F3" s="2" t="str">
        <f>底稿目录!A4</f>
        <v>编制人：</v>
      </c>
      <c r="L3" s="103"/>
      <c r="M3" s="103"/>
      <c r="N3" s="2" t="str">
        <f>底稿目录!A5</f>
        <v>编制日期：</v>
      </c>
      <c r="O3" s="103"/>
      <c r="P3" s="103"/>
      <c r="Q3" s="103"/>
      <c r="R3" s="103"/>
      <c r="S3" s="103"/>
      <c r="T3" s="103"/>
      <c r="V3" s="476" t="s">
        <v>1066</v>
      </c>
      <c r="W3" s="455" t="s">
        <v>283</v>
      </c>
    </row>
    <row r="4" spans="1:24" ht="20.100000000000001" customHeight="1">
      <c r="A4" s="2" t="str">
        <f>底稿目录!A3</f>
        <v>截止日：202X年12月31日</v>
      </c>
      <c r="B4" s="22"/>
      <c r="F4" s="2" t="str">
        <f>底稿目录!A6</f>
        <v>复核人：</v>
      </c>
      <c r="L4" s="103"/>
      <c r="M4" s="103"/>
      <c r="N4" s="2" t="str">
        <f>底稿目录!A7</f>
        <v>复核日期：</v>
      </c>
      <c r="O4" s="103"/>
      <c r="P4" s="103"/>
      <c r="Q4" s="103"/>
      <c r="R4" s="103"/>
      <c r="S4" s="103"/>
      <c r="T4" s="103"/>
      <c r="V4" s="476" t="s">
        <v>1065</v>
      </c>
      <c r="W4" s="153"/>
    </row>
    <row r="5" spans="1:24" s="230" customFormat="1" ht="19.95" customHeight="1">
      <c r="A5" s="768" t="s">
        <v>1138</v>
      </c>
      <c r="B5" s="768"/>
      <c r="C5" s="768"/>
      <c r="D5" s="768"/>
      <c r="E5" s="768"/>
      <c r="F5" s="768"/>
      <c r="G5" s="768"/>
      <c r="H5" s="768"/>
      <c r="I5" s="768"/>
      <c r="J5" s="768"/>
      <c r="K5" s="768"/>
      <c r="L5" s="768"/>
      <c r="M5" s="768"/>
      <c r="N5" s="768"/>
      <c r="O5" s="768"/>
      <c r="P5" s="768"/>
      <c r="Q5" s="768"/>
      <c r="R5" s="768"/>
      <c r="S5" s="768"/>
      <c r="T5" s="768"/>
      <c r="U5" s="768"/>
      <c r="V5" s="768"/>
      <c r="W5" s="768"/>
    </row>
    <row r="6" spans="1:24" s="230" customFormat="1" ht="19.95" customHeight="1">
      <c r="A6" s="608" t="s">
        <v>1139</v>
      </c>
      <c r="B6" s="609"/>
      <c r="C6" s="609"/>
      <c r="D6" s="609"/>
      <c r="E6" s="609"/>
      <c r="F6" s="609"/>
      <c r="G6" s="609"/>
      <c r="H6" s="609"/>
      <c r="I6" s="609"/>
      <c r="J6" s="609"/>
      <c r="K6" s="609"/>
      <c r="L6" s="609"/>
      <c r="M6" s="609"/>
      <c r="N6" s="609"/>
      <c r="O6" s="609"/>
      <c r="P6" s="609"/>
      <c r="Q6" s="609"/>
      <c r="R6" s="609"/>
      <c r="S6" s="609"/>
      <c r="T6" s="609"/>
      <c r="U6" s="609"/>
      <c r="V6" s="609"/>
      <c r="W6" s="609"/>
    </row>
    <row r="7" spans="1:24" s="230" customFormat="1" ht="19.95" customHeight="1">
      <c r="A7" s="608" t="s">
        <v>1140</v>
      </c>
      <c r="B7" s="609"/>
      <c r="C7" s="609"/>
      <c r="D7" s="609"/>
      <c r="E7" s="609"/>
      <c r="F7" s="609"/>
      <c r="G7" s="609"/>
      <c r="H7" s="609"/>
      <c r="I7" s="609"/>
      <c r="J7" s="609"/>
      <c r="K7" s="609"/>
      <c r="L7" s="609"/>
      <c r="M7" s="609"/>
      <c r="N7" s="609"/>
      <c r="O7" s="609"/>
      <c r="P7" s="609"/>
      <c r="Q7" s="609"/>
      <c r="R7" s="609"/>
      <c r="S7" s="609"/>
      <c r="T7" s="609"/>
      <c r="U7" s="609"/>
      <c r="V7" s="609"/>
      <c r="W7" s="609"/>
    </row>
    <row r="8" spans="1:24" s="230" customFormat="1" ht="20.100000000000001" customHeight="1">
      <c r="A8" s="610" t="s">
        <v>515</v>
      </c>
      <c r="C8" s="610"/>
      <c r="D8" s="610"/>
      <c r="E8" s="610"/>
      <c r="F8" s="610"/>
      <c r="G8" s="610"/>
      <c r="H8" s="610"/>
      <c r="I8" s="610"/>
      <c r="J8" s="610"/>
      <c r="K8" s="610"/>
      <c r="L8" s="610"/>
      <c r="M8" s="610"/>
      <c r="N8" s="610"/>
      <c r="O8" s="610"/>
      <c r="P8" s="610"/>
      <c r="Q8" s="610"/>
      <c r="R8" s="610"/>
      <c r="S8" s="610"/>
      <c r="T8" s="610"/>
      <c r="U8" s="610"/>
    </row>
    <row r="9" spans="1:24" s="612" customFormat="1" ht="19.8" customHeight="1">
      <c r="A9" s="611" t="s">
        <v>269</v>
      </c>
      <c r="C9" s="613" t="s">
        <v>1238</v>
      </c>
      <c r="D9" s="614"/>
      <c r="E9" s="614"/>
      <c r="F9" s="611"/>
      <c r="G9" s="613"/>
      <c r="H9" s="614"/>
      <c r="I9" s="611" t="s">
        <v>263</v>
      </c>
      <c r="J9" s="613" t="s">
        <v>271</v>
      </c>
      <c r="K9" s="614"/>
      <c r="L9" s="614"/>
      <c r="M9" s="614"/>
      <c r="N9" s="614"/>
      <c r="O9" s="614"/>
      <c r="P9" s="614"/>
      <c r="Q9" s="614"/>
      <c r="R9" s="614"/>
      <c r="S9" s="615"/>
    </row>
    <row r="10" spans="1:24" s="612" customFormat="1" ht="19.95" customHeight="1">
      <c r="A10" s="611" t="s">
        <v>272</v>
      </c>
      <c r="C10" s="613" t="s">
        <v>273</v>
      </c>
      <c r="D10" s="614"/>
      <c r="E10" s="614"/>
      <c r="F10" s="611"/>
      <c r="G10" s="613"/>
      <c r="H10" s="614"/>
      <c r="I10" s="611" t="s">
        <v>270</v>
      </c>
      <c r="J10" s="613"/>
      <c r="K10" s="613" t="s">
        <v>274</v>
      </c>
      <c r="L10" s="613" t="s">
        <v>275</v>
      </c>
      <c r="M10" s="614"/>
      <c r="N10" s="613"/>
      <c r="O10" s="613"/>
      <c r="P10" s="614"/>
      <c r="Q10" s="614"/>
      <c r="R10" s="614"/>
      <c r="S10" s="615"/>
    </row>
    <row r="11" spans="1:24" s="612" customFormat="1" ht="19.95" customHeight="1">
      <c r="A11" s="611" t="s">
        <v>264</v>
      </c>
      <c r="C11" s="691" t="s">
        <v>1273</v>
      </c>
      <c r="D11" s="614"/>
      <c r="E11" s="614"/>
      <c r="F11" s="611"/>
      <c r="G11" s="613"/>
      <c r="H11" s="614"/>
      <c r="I11" s="611" t="s">
        <v>265</v>
      </c>
      <c r="J11" s="613" t="s">
        <v>276</v>
      </c>
      <c r="K11" s="614"/>
      <c r="L11" s="614"/>
      <c r="M11" s="614"/>
      <c r="N11" s="611"/>
      <c r="O11" s="613"/>
      <c r="P11" s="614"/>
      <c r="Q11" s="614"/>
      <c r="R11" s="614"/>
      <c r="S11" s="615"/>
    </row>
    <row r="12" spans="1:24" s="25" customFormat="1" ht="20.100000000000001" customHeight="1">
      <c r="A12" s="54" t="s">
        <v>517</v>
      </c>
      <c r="B12" s="283"/>
      <c r="C12" s="217"/>
      <c r="D12" s="23"/>
      <c r="E12" s="23"/>
      <c r="F12" s="23"/>
      <c r="G12" s="23"/>
      <c r="H12" s="23"/>
      <c r="I12" s="24"/>
      <c r="J12" s="24"/>
      <c r="K12" s="24"/>
      <c r="L12" s="24"/>
      <c r="M12" s="24"/>
      <c r="N12" s="24"/>
      <c r="O12" s="24"/>
      <c r="P12" s="24"/>
      <c r="Q12" s="24"/>
      <c r="R12" s="24"/>
      <c r="S12" s="24"/>
      <c r="T12" s="24"/>
      <c r="U12" s="24"/>
    </row>
    <row r="13" spans="1:24" s="25" customFormat="1" ht="20.100000000000001" customHeight="1">
      <c r="A13" s="503" t="s">
        <v>1096</v>
      </c>
      <c r="B13" s="283"/>
      <c r="C13" s="217"/>
      <c r="D13" s="23"/>
      <c r="E13" s="23"/>
      <c r="F13" s="23"/>
      <c r="G13" s="23"/>
      <c r="H13" s="23"/>
      <c r="I13" s="24"/>
      <c r="J13" s="24"/>
      <c r="K13" s="24"/>
      <c r="L13" s="24"/>
      <c r="M13" s="24"/>
      <c r="N13" s="24"/>
      <c r="O13" s="24"/>
      <c r="P13" s="24"/>
      <c r="Q13" s="24"/>
      <c r="R13" s="24"/>
      <c r="S13" s="24"/>
      <c r="T13" s="24"/>
      <c r="U13" s="24"/>
    </row>
    <row r="14" spans="1:24" s="566" customFormat="1" ht="20.100000000000001" customHeight="1">
      <c r="A14" s="766" t="s">
        <v>518</v>
      </c>
      <c r="B14" s="762" t="s">
        <v>380</v>
      </c>
      <c r="C14" s="762" t="s">
        <v>519</v>
      </c>
      <c r="D14" s="762" t="s">
        <v>419</v>
      </c>
      <c r="E14" s="762" t="s">
        <v>499</v>
      </c>
      <c r="F14" s="762" t="s">
        <v>520</v>
      </c>
      <c r="G14" s="762" t="s">
        <v>521</v>
      </c>
      <c r="H14" s="764" t="s">
        <v>522</v>
      </c>
      <c r="I14" s="766" t="s">
        <v>500</v>
      </c>
      <c r="J14" s="766"/>
      <c r="K14" s="766"/>
      <c r="L14" s="766"/>
      <c r="M14" s="766" t="s">
        <v>501</v>
      </c>
      <c r="N14" s="766"/>
      <c r="O14" s="766" t="s">
        <v>523</v>
      </c>
      <c r="P14" s="766"/>
      <c r="Q14" s="766"/>
      <c r="R14" s="767" t="s">
        <v>524</v>
      </c>
      <c r="S14" s="767"/>
      <c r="T14" s="767"/>
      <c r="U14" s="767" t="s">
        <v>259</v>
      </c>
      <c r="V14" s="767" t="s">
        <v>525</v>
      </c>
      <c r="W14" s="767" t="s">
        <v>526</v>
      </c>
      <c r="X14" s="616" t="s">
        <v>972</v>
      </c>
    </row>
    <row r="15" spans="1:24" s="566" customFormat="1" ht="31.8" customHeight="1">
      <c r="A15" s="766"/>
      <c r="B15" s="763"/>
      <c r="C15" s="763"/>
      <c r="D15" s="763"/>
      <c r="E15" s="763"/>
      <c r="F15" s="763"/>
      <c r="G15" s="763"/>
      <c r="H15" s="765"/>
      <c r="I15" s="578" t="s">
        <v>527</v>
      </c>
      <c r="J15" s="560" t="s">
        <v>503</v>
      </c>
      <c r="K15" s="560" t="s">
        <v>528</v>
      </c>
      <c r="L15" s="560" t="s">
        <v>529</v>
      </c>
      <c r="M15" s="560" t="s">
        <v>530</v>
      </c>
      <c r="N15" s="560" t="s">
        <v>531</v>
      </c>
      <c r="O15" s="560" t="s">
        <v>505</v>
      </c>
      <c r="P15" s="617" t="s">
        <v>533</v>
      </c>
      <c r="Q15" s="560" t="s">
        <v>506</v>
      </c>
      <c r="R15" s="618" t="s">
        <v>532</v>
      </c>
      <c r="S15" s="617" t="s">
        <v>533</v>
      </c>
      <c r="T15" s="617" t="s">
        <v>534</v>
      </c>
      <c r="U15" s="767"/>
      <c r="V15" s="767"/>
      <c r="W15" s="767"/>
    </row>
    <row r="16" spans="1:24" ht="20.100000000000001" customHeight="1">
      <c r="A16" s="110">
        <v>1</v>
      </c>
      <c r="B16" s="30"/>
      <c r="C16" s="273"/>
      <c r="D16" s="35"/>
      <c r="E16" s="407"/>
      <c r="F16" s="268"/>
      <c r="G16" s="273"/>
      <c r="H16" s="211"/>
      <c r="I16" s="408"/>
      <c r="J16" s="408"/>
      <c r="K16" s="408"/>
      <c r="L16" s="128">
        <f>I16-J16-K16</f>
        <v>0</v>
      </c>
      <c r="M16" s="409"/>
      <c r="N16" s="410"/>
      <c r="O16" s="410"/>
      <c r="P16" s="411"/>
      <c r="Q16" s="101"/>
      <c r="R16" s="410"/>
      <c r="S16" s="411"/>
      <c r="T16" s="101"/>
      <c r="U16" s="101"/>
      <c r="V16" s="273"/>
      <c r="W16" s="46"/>
    </row>
    <row r="17" spans="1:23" ht="20.100000000000001" customHeight="1">
      <c r="A17" s="110">
        <v>2</v>
      </c>
      <c r="B17" s="30"/>
      <c r="C17" s="273"/>
      <c r="D17" s="35"/>
      <c r="E17" s="407"/>
      <c r="F17" s="268"/>
      <c r="G17" s="273"/>
      <c r="H17" s="211"/>
      <c r="I17" s="408"/>
      <c r="J17" s="408"/>
      <c r="K17" s="408"/>
      <c r="L17" s="128">
        <f t="shared" ref="L17:L31" si="0">I17-J17-K17</f>
        <v>0</v>
      </c>
      <c r="M17" s="409"/>
      <c r="N17" s="410"/>
      <c r="O17" s="410"/>
      <c r="P17" s="411"/>
      <c r="Q17" s="101"/>
      <c r="R17" s="410"/>
      <c r="S17" s="411"/>
      <c r="T17" s="101"/>
      <c r="U17" s="101"/>
      <c r="V17" s="273"/>
      <c r="W17" s="46"/>
    </row>
    <row r="18" spans="1:23" ht="20.100000000000001" customHeight="1">
      <c r="A18" s="110">
        <v>3</v>
      </c>
      <c r="B18" s="30"/>
      <c r="C18" s="273"/>
      <c r="D18" s="35"/>
      <c r="E18" s="407"/>
      <c r="F18" s="268"/>
      <c r="G18" s="273"/>
      <c r="H18" s="211"/>
      <c r="I18" s="408"/>
      <c r="J18" s="408"/>
      <c r="K18" s="408"/>
      <c r="L18" s="128">
        <f t="shared" si="0"/>
        <v>0</v>
      </c>
      <c r="M18" s="409"/>
      <c r="N18" s="410"/>
      <c r="O18" s="410"/>
      <c r="P18" s="411"/>
      <c r="Q18" s="101"/>
      <c r="R18" s="410"/>
      <c r="S18" s="411"/>
      <c r="T18" s="101"/>
      <c r="U18" s="101"/>
      <c r="V18" s="273"/>
      <c r="W18" s="46"/>
    </row>
    <row r="19" spans="1:23" ht="20.100000000000001" customHeight="1">
      <c r="A19" s="110">
        <v>4</v>
      </c>
      <c r="B19" s="30"/>
      <c r="C19" s="273"/>
      <c r="D19" s="35"/>
      <c r="E19" s="407"/>
      <c r="F19" s="268"/>
      <c r="G19" s="273"/>
      <c r="H19" s="211"/>
      <c r="I19" s="408"/>
      <c r="J19" s="408"/>
      <c r="K19" s="408"/>
      <c r="L19" s="128">
        <f t="shared" si="0"/>
        <v>0</v>
      </c>
      <c r="M19" s="409"/>
      <c r="N19" s="410"/>
      <c r="O19" s="410"/>
      <c r="P19" s="411"/>
      <c r="Q19" s="101"/>
      <c r="R19" s="410"/>
      <c r="S19" s="411"/>
      <c r="T19" s="101"/>
      <c r="U19" s="101"/>
      <c r="V19" s="273"/>
      <c r="W19" s="46"/>
    </row>
    <row r="20" spans="1:23" ht="20.100000000000001" customHeight="1">
      <c r="A20" s="110">
        <v>5</v>
      </c>
      <c r="B20" s="30"/>
      <c r="C20" s="273"/>
      <c r="D20" s="35"/>
      <c r="E20" s="407"/>
      <c r="F20" s="268"/>
      <c r="G20" s="273"/>
      <c r="H20" s="211"/>
      <c r="I20" s="408"/>
      <c r="J20" s="408"/>
      <c r="K20" s="408"/>
      <c r="L20" s="128">
        <f t="shared" si="0"/>
        <v>0</v>
      </c>
      <c r="M20" s="409"/>
      <c r="N20" s="410"/>
      <c r="O20" s="410"/>
      <c r="P20" s="411"/>
      <c r="Q20" s="101"/>
      <c r="R20" s="410"/>
      <c r="S20" s="411"/>
      <c r="T20" s="101"/>
      <c r="U20" s="101"/>
      <c r="V20" s="273"/>
      <c r="W20" s="46"/>
    </row>
    <row r="21" spans="1:23" ht="20.100000000000001" customHeight="1">
      <c r="A21" s="110">
        <v>6</v>
      </c>
      <c r="B21" s="30"/>
      <c r="C21" s="273"/>
      <c r="D21" s="35"/>
      <c r="E21" s="407"/>
      <c r="F21" s="268"/>
      <c r="G21" s="273"/>
      <c r="H21" s="211"/>
      <c r="I21" s="408"/>
      <c r="J21" s="408"/>
      <c r="K21" s="408"/>
      <c r="L21" s="128">
        <f t="shared" si="0"/>
        <v>0</v>
      </c>
      <c r="M21" s="409"/>
      <c r="N21" s="410"/>
      <c r="O21" s="410"/>
      <c r="P21" s="411"/>
      <c r="Q21" s="101"/>
      <c r="R21" s="410"/>
      <c r="S21" s="411"/>
      <c r="T21" s="101"/>
      <c r="U21" s="101"/>
      <c r="V21" s="273"/>
      <c r="W21" s="46"/>
    </row>
    <row r="22" spans="1:23" ht="20.100000000000001" customHeight="1">
      <c r="A22" s="110">
        <v>7</v>
      </c>
      <c r="B22" s="30"/>
      <c r="C22" s="273"/>
      <c r="D22" s="35"/>
      <c r="E22" s="407"/>
      <c r="F22" s="268"/>
      <c r="G22" s="273"/>
      <c r="H22" s="211"/>
      <c r="I22" s="408"/>
      <c r="J22" s="408"/>
      <c r="K22" s="408"/>
      <c r="L22" s="128">
        <f t="shared" si="0"/>
        <v>0</v>
      </c>
      <c r="M22" s="409"/>
      <c r="N22" s="410"/>
      <c r="O22" s="410"/>
      <c r="P22" s="411"/>
      <c r="Q22" s="101"/>
      <c r="R22" s="410"/>
      <c r="S22" s="411"/>
      <c r="T22" s="101"/>
      <c r="U22" s="101"/>
      <c r="V22" s="273"/>
      <c r="W22" s="46"/>
    </row>
    <row r="23" spans="1:23" ht="20.100000000000001" customHeight="1">
      <c r="A23" s="110">
        <v>8</v>
      </c>
      <c r="B23" s="30"/>
      <c r="C23" s="273"/>
      <c r="D23" s="35"/>
      <c r="E23" s="407"/>
      <c r="F23" s="268"/>
      <c r="G23" s="273"/>
      <c r="H23" s="211"/>
      <c r="I23" s="408"/>
      <c r="J23" s="408"/>
      <c r="K23" s="408"/>
      <c r="L23" s="128">
        <f t="shared" si="0"/>
        <v>0</v>
      </c>
      <c r="M23" s="409"/>
      <c r="N23" s="410"/>
      <c r="O23" s="410"/>
      <c r="P23" s="411"/>
      <c r="Q23" s="101"/>
      <c r="R23" s="410"/>
      <c r="S23" s="411"/>
      <c r="T23" s="101"/>
      <c r="U23" s="101"/>
      <c r="V23" s="273"/>
      <c r="W23" s="46"/>
    </row>
    <row r="24" spans="1:23" ht="20.100000000000001" customHeight="1">
      <c r="A24" s="110">
        <v>9</v>
      </c>
      <c r="B24" s="30"/>
      <c r="C24" s="273"/>
      <c r="D24" s="35"/>
      <c r="E24" s="407"/>
      <c r="F24" s="268"/>
      <c r="G24" s="273"/>
      <c r="H24" s="211"/>
      <c r="I24" s="408"/>
      <c r="J24" s="408"/>
      <c r="K24" s="408"/>
      <c r="L24" s="128">
        <f t="shared" si="0"/>
        <v>0</v>
      </c>
      <c r="M24" s="409"/>
      <c r="N24" s="410"/>
      <c r="O24" s="410"/>
      <c r="P24" s="411"/>
      <c r="Q24" s="101"/>
      <c r="R24" s="410"/>
      <c r="S24" s="411"/>
      <c r="T24" s="101"/>
      <c r="U24" s="101"/>
      <c r="V24" s="273"/>
      <c r="W24" s="46"/>
    </row>
    <row r="25" spans="1:23" ht="20.100000000000001" customHeight="1">
      <c r="A25" s="110">
        <v>10</v>
      </c>
      <c r="B25" s="30"/>
      <c r="C25" s="273"/>
      <c r="D25" s="35"/>
      <c r="E25" s="407"/>
      <c r="F25" s="268"/>
      <c r="G25" s="273"/>
      <c r="H25" s="211"/>
      <c r="I25" s="408"/>
      <c r="J25" s="408"/>
      <c r="K25" s="408"/>
      <c r="L25" s="128">
        <f t="shared" si="0"/>
        <v>0</v>
      </c>
      <c r="M25" s="409"/>
      <c r="N25" s="410"/>
      <c r="O25" s="410"/>
      <c r="P25" s="411"/>
      <c r="Q25" s="101"/>
      <c r="R25" s="410"/>
      <c r="S25" s="411"/>
      <c r="T25" s="101"/>
      <c r="U25" s="101"/>
      <c r="V25" s="273"/>
      <c r="W25" s="46"/>
    </row>
    <row r="26" spans="1:23" ht="20.100000000000001" customHeight="1">
      <c r="A26" s="110">
        <v>11</v>
      </c>
      <c r="B26" s="30"/>
      <c r="C26" s="273"/>
      <c r="D26" s="35"/>
      <c r="E26" s="407"/>
      <c r="F26" s="268"/>
      <c r="G26" s="273"/>
      <c r="H26" s="211"/>
      <c r="I26" s="408"/>
      <c r="J26" s="408"/>
      <c r="K26" s="408"/>
      <c r="L26" s="128">
        <f t="shared" si="0"/>
        <v>0</v>
      </c>
      <c r="M26" s="409"/>
      <c r="N26" s="410"/>
      <c r="O26" s="410"/>
      <c r="P26" s="411"/>
      <c r="Q26" s="101"/>
      <c r="R26" s="410"/>
      <c r="S26" s="411"/>
      <c r="T26" s="101"/>
      <c r="U26" s="101"/>
      <c r="V26" s="273"/>
      <c r="W26" s="46"/>
    </row>
    <row r="27" spans="1:23" ht="20.100000000000001" customHeight="1">
      <c r="A27" s="110">
        <v>12</v>
      </c>
      <c r="B27" s="30"/>
      <c r="C27" s="273"/>
      <c r="D27" s="35"/>
      <c r="E27" s="407"/>
      <c r="F27" s="268"/>
      <c r="G27" s="273"/>
      <c r="H27" s="211"/>
      <c r="I27" s="408"/>
      <c r="J27" s="408"/>
      <c r="K27" s="408"/>
      <c r="L27" s="128">
        <f t="shared" si="0"/>
        <v>0</v>
      </c>
      <c r="M27" s="409"/>
      <c r="N27" s="410"/>
      <c r="O27" s="410"/>
      <c r="P27" s="411"/>
      <c r="Q27" s="101"/>
      <c r="R27" s="410"/>
      <c r="S27" s="411"/>
      <c r="T27" s="101"/>
      <c r="U27" s="101"/>
      <c r="V27" s="273"/>
      <c r="W27" s="46"/>
    </row>
    <row r="28" spans="1:23" ht="20.100000000000001" customHeight="1">
      <c r="A28" s="110">
        <v>13</v>
      </c>
      <c r="B28" s="30"/>
      <c r="C28" s="273"/>
      <c r="D28" s="35"/>
      <c r="E28" s="407"/>
      <c r="F28" s="268"/>
      <c r="G28" s="273"/>
      <c r="H28" s="211"/>
      <c r="I28" s="408"/>
      <c r="J28" s="408"/>
      <c r="K28" s="408"/>
      <c r="L28" s="128">
        <f t="shared" si="0"/>
        <v>0</v>
      </c>
      <c r="M28" s="409"/>
      <c r="N28" s="410"/>
      <c r="O28" s="410"/>
      <c r="P28" s="411"/>
      <c r="Q28" s="101"/>
      <c r="R28" s="410"/>
      <c r="S28" s="411"/>
      <c r="T28" s="101"/>
      <c r="U28" s="101"/>
      <c r="V28" s="273"/>
      <c r="W28" s="46"/>
    </row>
    <row r="29" spans="1:23" ht="20.100000000000001" customHeight="1">
      <c r="A29" s="110">
        <v>14</v>
      </c>
      <c r="B29" s="30"/>
      <c r="C29" s="273"/>
      <c r="D29" s="35"/>
      <c r="E29" s="407"/>
      <c r="F29" s="268"/>
      <c r="G29" s="273"/>
      <c r="H29" s="211"/>
      <c r="I29" s="408"/>
      <c r="J29" s="408"/>
      <c r="K29" s="408"/>
      <c r="L29" s="128">
        <f t="shared" si="0"/>
        <v>0</v>
      </c>
      <c r="M29" s="409"/>
      <c r="N29" s="410"/>
      <c r="O29" s="410"/>
      <c r="P29" s="411"/>
      <c r="Q29" s="101"/>
      <c r="R29" s="410"/>
      <c r="S29" s="411"/>
      <c r="T29" s="101"/>
      <c r="U29" s="101"/>
      <c r="V29" s="273"/>
      <c r="W29" s="46"/>
    </row>
    <row r="30" spans="1:23" ht="20.100000000000001" customHeight="1">
      <c r="A30" s="110">
        <v>15</v>
      </c>
      <c r="B30" s="30"/>
      <c r="C30" s="273"/>
      <c r="D30" s="35"/>
      <c r="E30" s="407"/>
      <c r="F30" s="268"/>
      <c r="G30" s="273"/>
      <c r="H30" s="211"/>
      <c r="I30" s="408"/>
      <c r="J30" s="408"/>
      <c r="K30" s="408"/>
      <c r="L30" s="128">
        <f t="shared" si="0"/>
        <v>0</v>
      </c>
      <c r="M30" s="409"/>
      <c r="N30" s="410"/>
      <c r="O30" s="410"/>
      <c r="P30" s="411"/>
      <c r="Q30" s="101"/>
      <c r="R30" s="410"/>
      <c r="S30" s="411"/>
      <c r="T30" s="101"/>
      <c r="U30" s="101"/>
      <c r="V30" s="273"/>
      <c r="W30" s="46"/>
    </row>
    <row r="31" spans="1:23" ht="20.100000000000001" customHeight="1">
      <c r="A31" s="110" t="s">
        <v>1270</v>
      </c>
      <c r="B31" s="30"/>
      <c r="C31" s="273"/>
      <c r="D31" s="35"/>
      <c r="E31" s="407"/>
      <c r="F31" s="268"/>
      <c r="G31" s="273"/>
      <c r="H31" s="211"/>
      <c r="I31" s="408"/>
      <c r="J31" s="408"/>
      <c r="K31" s="408"/>
      <c r="L31" s="128">
        <f t="shared" si="0"/>
        <v>0</v>
      </c>
      <c r="M31" s="409"/>
      <c r="N31" s="410"/>
      <c r="O31" s="410"/>
      <c r="P31" s="411"/>
      <c r="Q31" s="101"/>
      <c r="R31" s="410"/>
      <c r="S31" s="411"/>
      <c r="T31" s="101"/>
      <c r="U31" s="101"/>
      <c r="V31" s="273"/>
      <c r="W31" s="46"/>
    </row>
    <row r="32" spans="1:23" s="572" customFormat="1" ht="20.100000000000001" customHeight="1">
      <c r="A32" s="758" t="s">
        <v>1237</v>
      </c>
      <c r="B32" s="759"/>
      <c r="C32" s="759"/>
      <c r="D32" s="759"/>
      <c r="E32" s="759"/>
      <c r="F32" s="760"/>
      <c r="G32" s="561"/>
      <c r="H32" s="562"/>
      <c r="I32" s="567">
        <f>SUM(I16:I31)</f>
        <v>0</v>
      </c>
      <c r="J32" s="567">
        <f>SUM(J16:J31)</f>
        <v>0</v>
      </c>
      <c r="K32" s="567">
        <f>SUM(K16:K31)</f>
        <v>0</v>
      </c>
      <c r="L32" s="567">
        <f>SUM(L16:L31)</f>
        <v>0</v>
      </c>
      <c r="M32" s="567"/>
      <c r="N32" s="567"/>
      <c r="O32" s="567"/>
      <c r="P32" s="567"/>
      <c r="Q32" s="567">
        <f>SUM(Q16:Q31)</f>
        <v>0</v>
      </c>
      <c r="R32" s="567"/>
      <c r="S32" s="567"/>
      <c r="T32" s="567">
        <f>SUM(T16:T31)</f>
        <v>0</v>
      </c>
      <c r="U32" s="567"/>
      <c r="V32" s="571"/>
      <c r="W32" s="481"/>
    </row>
    <row r="33" spans="1:23" s="566" customFormat="1" ht="20.100000000000001" customHeight="1">
      <c r="A33" s="758" t="s">
        <v>507</v>
      </c>
      <c r="B33" s="759"/>
      <c r="C33" s="759"/>
      <c r="D33" s="759"/>
      <c r="E33" s="759"/>
      <c r="F33" s="760"/>
      <c r="G33" s="561"/>
      <c r="H33" s="562"/>
      <c r="I33" s="567">
        <f>'明细表H1-2'!N33</f>
        <v>0</v>
      </c>
      <c r="J33" s="561"/>
      <c r="K33" s="561"/>
      <c r="L33" s="563"/>
      <c r="M33" s="563"/>
      <c r="N33" s="563"/>
      <c r="O33" s="563"/>
      <c r="P33" s="563"/>
      <c r="Q33" s="563"/>
      <c r="R33" s="563"/>
      <c r="S33" s="563"/>
      <c r="T33" s="563"/>
      <c r="U33" s="563"/>
      <c r="V33" s="564"/>
      <c r="W33" s="565"/>
    </row>
    <row r="34" spans="1:23" s="566" customFormat="1" ht="20.100000000000001" customHeight="1">
      <c r="A34" s="761" t="s">
        <v>1284</v>
      </c>
      <c r="B34" s="759"/>
      <c r="C34" s="759"/>
      <c r="D34" s="759"/>
      <c r="E34" s="759"/>
      <c r="F34" s="760"/>
      <c r="G34" s="568"/>
      <c r="H34" s="569"/>
      <c r="I34" s="570">
        <f>IF(I32=0,0,I32/$I$33)</f>
        <v>0</v>
      </c>
      <c r="J34" s="568"/>
      <c r="K34" s="568"/>
      <c r="L34" s="563"/>
      <c r="M34" s="563"/>
      <c r="N34" s="563"/>
      <c r="O34" s="563"/>
      <c r="P34" s="563"/>
      <c r="Q34" s="563"/>
      <c r="R34" s="563"/>
      <c r="S34" s="563"/>
      <c r="T34" s="563"/>
      <c r="U34" s="563"/>
      <c r="V34" s="564"/>
      <c r="W34" s="565"/>
    </row>
    <row r="35" spans="1:23" ht="20.100000000000001" customHeight="1">
      <c r="A35" s="284" t="s">
        <v>535</v>
      </c>
      <c r="B35" s="18"/>
      <c r="C35" s="156"/>
      <c r="D35" s="18"/>
      <c r="E35" s="18"/>
      <c r="F35" s="18"/>
      <c r="G35" s="18"/>
      <c r="H35" s="18"/>
      <c r="I35" s="210"/>
      <c r="J35" s="210"/>
      <c r="K35" s="285"/>
      <c r="L35" s="210"/>
      <c r="M35" s="210"/>
      <c r="N35" s="210"/>
      <c r="O35" s="210"/>
      <c r="P35" s="210"/>
      <c r="Q35" s="210"/>
      <c r="R35" s="210"/>
      <c r="S35" s="210"/>
      <c r="T35" s="210"/>
      <c r="U35" s="210"/>
      <c r="V35" s="212"/>
    </row>
    <row r="36" spans="1:23" ht="20.100000000000001" customHeight="1">
      <c r="A36" s="690" t="s">
        <v>1286</v>
      </c>
      <c r="B36" s="688"/>
      <c r="C36" s="689"/>
      <c r="D36" s="687"/>
      <c r="E36" s="687"/>
      <c r="F36" s="687"/>
      <c r="G36" s="687"/>
      <c r="H36" s="686"/>
      <c r="K36" s="491"/>
      <c r="V36" s="28"/>
    </row>
    <row r="37" spans="1:23" ht="20.100000000000001" customHeight="1">
      <c r="A37" s="690" t="s">
        <v>1271</v>
      </c>
      <c r="B37" s="210"/>
      <c r="C37" s="494"/>
      <c r="D37" s="210"/>
      <c r="E37" s="210"/>
      <c r="F37" s="210"/>
      <c r="G37" s="210"/>
      <c r="K37" s="491"/>
      <c r="V37" s="28"/>
    </row>
    <row r="38" spans="1:23" ht="20.100000000000001" customHeight="1">
      <c r="A38" s="210"/>
      <c r="B38" s="210"/>
      <c r="C38" s="494"/>
      <c r="D38" s="210"/>
      <c r="E38" s="210"/>
      <c r="F38" s="210"/>
      <c r="G38" s="210"/>
      <c r="K38" s="491"/>
      <c r="V38" s="28"/>
    </row>
    <row r="39" spans="1:23" ht="20.100000000000001" customHeight="1">
      <c r="A39" s="26" t="s">
        <v>536</v>
      </c>
      <c r="K39" s="491"/>
      <c r="V39" s="28"/>
    </row>
    <row r="40" spans="1:23" ht="20.100000000000001" customHeight="1">
      <c r="K40" s="491"/>
      <c r="V40" s="28"/>
    </row>
    <row r="41" spans="1:23" ht="18" customHeight="1">
      <c r="A41" s="20"/>
      <c r="C41" s="36"/>
      <c r="D41" s="28"/>
      <c r="E41" s="28"/>
      <c r="F41" s="28"/>
      <c r="G41" s="28"/>
      <c r="H41" s="28"/>
      <c r="I41" s="28"/>
      <c r="J41" s="28"/>
      <c r="K41" s="28"/>
      <c r="L41" s="28"/>
      <c r="M41" s="28"/>
      <c r="N41" s="28"/>
      <c r="O41" s="28"/>
      <c r="P41" s="28"/>
      <c r="Q41" s="28"/>
      <c r="R41" s="28"/>
      <c r="S41" s="28"/>
      <c r="T41" s="28"/>
      <c r="U41" s="28"/>
      <c r="V41" s="28"/>
    </row>
    <row r="42" spans="1:23" ht="18" customHeight="1">
      <c r="A42" s="505" t="s">
        <v>1099</v>
      </c>
    </row>
    <row r="43" spans="1:23" ht="18" customHeight="1">
      <c r="A43" s="19" t="s">
        <v>508</v>
      </c>
    </row>
    <row r="44" spans="1:23" ht="18" customHeight="1">
      <c r="A44" s="19" t="s">
        <v>509</v>
      </c>
    </row>
    <row r="45" spans="1:23" ht="18" customHeight="1">
      <c r="A45" s="19" t="s">
        <v>510</v>
      </c>
    </row>
    <row r="46" spans="1:23" ht="18" customHeight="1">
      <c r="A46" s="19" t="s">
        <v>537</v>
      </c>
    </row>
    <row r="47" spans="1:23" ht="18" customHeight="1">
      <c r="A47" s="19" t="s">
        <v>511</v>
      </c>
    </row>
    <row r="48" spans="1:23" ht="18" customHeight="1">
      <c r="A48" s="19" t="s">
        <v>512</v>
      </c>
    </row>
    <row r="49" spans="1:21" s="25" customFormat="1" ht="18" customHeight="1">
      <c r="A49" s="19" t="s">
        <v>513</v>
      </c>
      <c r="C49" s="217"/>
      <c r="D49" s="23"/>
      <c r="E49" s="23"/>
      <c r="F49" s="23"/>
      <c r="G49" s="23"/>
      <c r="H49" s="23"/>
      <c r="I49" s="24"/>
      <c r="J49" s="24"/>
      <c r="K49" s="24"/>
      <c r="L49" s="24"/>
      <c r="M49" s="24"/>
      <c r="N49" s="24"/>
      <c r="O49" s="24"/>
      <c r="P49" s="24"/>
      <c r="Q49" s="24"/>
      <c r="R49" s="24"/>
      <c r="S49" s="24"/>
      <c r="T49" s="24"/>
      <c r="U49" s="24"/>
    </row>
    <row r="50" spans="1:21" s="25" customFormat="1" ht="18" customHeight="1">
      <c r="A50" s="19" t="s">
        <v>538</v>
      </c>
      <c r="C50" s="217"/>
      <c r="D50" s="23"/>
      <c r="E50" s="23"/>
      <c r="F50" s="23"/>
      <c r="G50" s="23"/>
      <c r="H50" s="23"/>
      <c r="I50" s="24"/>
      <c r="J50" s="24"/>
      <c r="K50" s="24"/>
      <c r="L50" s="24"/>
      <c r="M50" s="24"/>
      <c r="N50" s="24"/>
      <c r="O50" s="24"/>
      <c r="P50" s="24"/>
      <c r="Q50" s="24"/>
      <c r="R50" s="24"/>
      <c r="S50" s="24"/>
      <c r="T50" s="24"/>
      <c r="U50" s="24"/>
    </row>
    <row r="51" spans="1:21" s="25" customFormat="1" ht="18" customHeight="1">
      <c r="A51" s="21" t="s">
        <v>514</v>
      </c>
      <c r="C51" s="217"/>
      <c r="D51" s="23"/>
      <c r="E51" s="23"/>
      <c r="F51" s="23"/>
      <c r="G51" s="23"/>
      <c r="H51" s="23"/>
      <c r="I51" s="24"/>
      <c r="J51" s="24"/>
      <c r="K51" s="24"/>
      <c r="L51" s="24"/>
      <c r="M51" s="24"/>
      <c r="N51" s="24"/>
      <c r="O51" s="24"/>
      <c r="P51" s="24"/>
      <c r="Q51" s="24"/>
      <c r="R51" s="24"/>
      <c r="S51" s="24"/>
      <c r="T51" s="24"/>
      <c r="U51" s="24"/>
    </row>
    <row r="52" spans="1:21">
      <c r="A52" s="377" t="s">
        <v>1110</v>
      </c>
    </row>
    <row r="53" spans="1:21" s="59" customFormat="1" ht="16.5" customHeight="1">
      <c r="A53" s="21" t="s">
        <v>539</v>
      </c>
      <c r="C53" s="218"/>
      <c r="L53" s="14"/>
      <c r="M53" s="14"/>
      <c r="N53" s="14"/>
      <c r="O53" s="14"/>
      <c r="P53" s="14"/>
      <c r="Q53" s="14"/>
      <c r="R53" s="14"/>
      <c r="S53" s="14"/>
      <c r="T53" s="14"/>
      <c r="U53" s="14"/>
    </row>
    <row r="54" spans="1:21" ht="18" customHeight="1">
      <c r="A54" s="19" t="s">
        <v>540</v>
      </c>
    </row>
    <row r="55" spans="1:21" s="25" customFormat="1" ht="18" customHeight="1">
      <c r="A55" s="695" t="s">
        <v>1287</v>
      </c>
      <c r="C55" s="217"/>
      <c r="D55" s="23"/>
      <c r="E55" s="23"/>
      <c r="F55" s="23"/>
      <c r="G55" s="23"/>
      <c r="H55" s="23"/>
      <c r="I55" s="24"/>
      <c r="J55" s="24"/>
      <c r="K55" s="24"/>
      <c r="L55" s="24"/>
      <c r="M55" s="24"/>
      <c r="N55" s="24"/>
      <c r="O55" s="24"/>
      <c r="P55" s="24"/>
      <c r="Q55" s="24"/>
      <c r="R55" s="24"/>
      <c r="S55" s="24"/>
      <c r="T55" s="24"/>
      <c r="U55" s="24"/>
    </row>
    <row r="56" spans="1:21" s="25" customFormat="1" ht="18" customHeight="1">
      <c r="A56" s="696" t="s">
        <v>1288</v>
      </c>
      <c r="C56" s="217"/>
      <c r="D56" s="23"/>
      <c r="E56" s="23"/>
      <c r="F56" s="23"/>
      <c r="G56" s="23"/>
      <c r="H56" s="23"/>
      <c r="I56" s="24"/>
      <c r="J56" s="24"/>
      <c r="K56" s="24"/>
      <c r="L56" s="24"/>
      <c r="M56" s="24"/>
      <c r="N56" s="24"/>
      <c r="O56" s="24"/>
      <c r="P56" s="24"/>
      <c r="Q56" s="24"/>
      <c r="R56" s="24"/>
      <c r="S56" s="24"/>
      <c r="T56" s="24"/>
      <c r="U56" s="24"/>
    </row>
    <row r="57" spans="1:21" s="25" customFormat="1" ht="18" customHeight="1">
      <c r="A57" s="696"/>
      <c r="C57" s="217"/>
      <c r="D57" s="23"/>
      <c r="E57" s="23"/>
      <c r="F57" s="23"/>
      <c r="G57" s="23"/>
      <c r="H57" s="23"/>
      <c r="I57" s="24"/>
      <c r="J57" s="24"/>
      <c r="K57" s="24"/>
      <c r="L57" s="24"/>
      <c r="M57" s="24"/>
      <c r="N57" s="24"/>
      <c r="O57" s="24"/>
      <c r="P57" s="24"/>
      <c r="Q57" s="24"/>
      <c r="R57" s="24"/>
      <c r="S57" s="24"/>
      <c r="T57" s="24"/>
      <c r="U57" s="24"/>
    </row>
    <row r="58" spans="1:21" s="25" customFormat="1" ht="18" customHeight="1">
      <c r="A58" s="94"/>
      <c r="C58" s="217"/>
      <c r="D58" s="23"/>
      <c r="E58" s="23"/>
      <c r="F58" s="23"/>
      <c r="G58" s="23"/>
      <c r="H58" s="23"/>
      <c r="I58" s="24"/>
      <c r="J58" s="24"/>
      <c r="K58" s="24"/>
      <c r="L58" s="24"/>
      <c r="M58" s="24"/>
      <c r="N58" s="24"/>
      <c r="O58" s="24"/>
      <c r="P58" s="24"/>
      <c r="Q58" s="24"/>
      <c r="R58" s="24"/>
      <c r="S58" s="24"/>
      <c r="T58" s="24"/>
      <c r="U58" s="24"/>
    </row>
    <row r="59" spans="1:21" s="25" customFormat="1" ht="18" customHeight="1">
      <c r="A59" s="94"/>
      <c r="C59" s="217"/>
      <c r="D59" s="23"/>
      <c r="E59" s="23"/>
      <c r="F59" s="23"/>
      <c r="G59" s="23"/>
      <c r="H59" s="23"/>
      <c r="I59" s="24"/>
      <c r="J59" s="24"/>
      <c r="K59" s="24"/>
      <c r="L59" s="24"/>
      <c r="M59" s="24"/>
      <c r="N59" s="24"/>
      <c r="O59" s="24"/>
      <c r="P59" s="24"/>
      <c r="Q59" s="24"/>
      <c r="R59" s="24"/>
      <c r="S59" s="24"/>
      <c r="T59" s="24"/>
      <c r="U59" s="24"/>
    </row>
    <row r="60" spans="1:21" s="25" customFormat="1" ht="18" customHeight="1">
      <c r="A60" s="94"/>
      <c r="C60" s="217"/>
      <c r="D60" s="23"/>
      <c r="E60" s="23"/>
      <c r="F60" s="23"/>
      <c r="G60" s="23"/>
      <c r="H60" s="23"/>
      <c r="I60" s="24"/>
      <c r="J60" s="24"/>
      <c r="K60" s="24"/>
      <c r="L60" s="24"/>
      <c r="M60" s="24"/>
      <c r="N60" s="24"/>
      <c r="O60" s="24"/>
      <c r="P60" s="24"/>
      <c r="Q60" s="24"/>
      <c r="R60" s="24"/>
      <c r="S60" s="24"/>
      <c r="T60" s="24"/>
      <c r="U60" s="24"/>
    </row>
    <row r="61" spans="1:21">
      <c r="A61" s="286"/>
    </row>
  </sheetData>
  <mergeCells count="21">
    <mergeCell ref="A1:W1"/>
    <mergeCell ref="A2:W2"/>
    <mergeCell ref="A14:A15"/>
    <mergeCell ref="B14:B15"/>
    <mergeCell ref="C14:C15"/>
    <mergeCell ref="V14:V15"/>
    <mergeCell ref="D14:D15"/>
    <mergeCell ref="F14:F15"/>
    <mergeCell ref="E14:E15"/>
    <mergeCell ref="I14:L14"/>
    <mergeCell ref="M14:N14"/>
    <mergeCell ref="O14:Q14"/>
    <mergeCell ref="R14:T14"/>
    <mergeCell ref="U14:U15"/>
    <mergeCell ref="A5:W5"/>
    <mergeCell ref="W14:W15"/>
    <mergeCell ref="A33:F33"/>
    <mergeCell ref="A34:F34"/>
    <mergeCell ref="A32:F32"/>
    <mergeCell ref="G14:G15"/>
    <mergeCell ref="H14:H15"/>
  </mergeCells>
  <phoneticPr fontId="10" type="noConversion"/>
  <dataValidations count="2">
    <dataValidation type="list" allowBlank="1" showInputMessage="1" showErrorMessage="1" prompt="如要修改下列框的选项，单击“数据-数据有效性-设置-序列-来源”。" sqref="F16:F31">
      <formula1>"购置,在建工程转入,企业合并增加,其他增加"</formula1>
    </dataValidation>
    <dataValidation type="list" allowBlank="1" showInputMessage="1" showErrorMessage="1" prompt="如要修改下列框的选项，单击“数据-数据有效性-设置-序列-来源”。" sqref="B16:B31">
      <formula1>"房屋及建筑物,机器设备,运输设备,办公设备,其他设备"</formula1>
    </dataValidation>
  </dataValidations>
  <hyperlinks>
    <hyperlink ref="W3" location="底稿目录!A1" display="H1-7"/>
  </hyperlinks>
  <printOptions horizontalCentered="1"/>
  <pageMargins left="0.51181102362204722" right="0.31496062992125984" top="0.55118110236220474" bottom="0.35433070866141736" header="0.51181102362204722" footer="0.19685039370078741"/>
  <pageSetup paperSize="9" scale="60" fitToHeight="50" orientation="landscape" blackAndWhite="1"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AA43"/>
  <sheetViews>
    <sheetView view="pageBreakPreview" zoomScaleSheetLayoutView="100" workbookViewId="0">
      <selection sqref="A1:Z1"/>
    </sheetView>
  </sheetViews>
  <sheetFormatPr defaultColWidth="9" defaultRowHeight="19.95" customHeight="1"/>
  <cols>
    <col min="1" max="1" width="5.8984375" style="2" customWidth="1"/>
    <col min="2" max="4" width="12.3984375" style="2" customWidth="1"/>
    <col min="5" max="8" width="8.09765625" style="2" customWidth="1"/>
    <col min="9" max="11" width="8.69921875" style="2" customWidth="1"/>
    <col min="12" max="12" width="8.8984375" style="2" customWidth="1"/>
    <col min="13" max="13" width="10.8984375" style="2" customWidth="1"/>
    <col min="14" max="14" width="8.59765625" style="2" customWidth="1"/>
    <col min="15" max="15" width="10.8984375" style="2" customWidth="1"/>
    <col min="16" max="16" width="6.8984375" style="61" customWidth="1"/>
    <col min="17" max="17" width="8.3984375" style="61" customWidth="1"/>
    <col min="18" max="18" width="6.69921875" style="61" customWidth="1"/>
    <col min="19" max="19" width="7.296875" style="61" customWidth="1"/>
    <col min="20" max="20" width="5" style="61" customWidth="1"/>
    <col min="21" max="23" width="6.8984375" style="61" customWidth="1"/>
    <col min="24" max="24" width="9.09765625" style="61" customWidth="1"/>
    <col min="25" max="25" width="10.19921875" style="2" customWidth="1"/>
    <col min="26" max="16384" width="9" style="2"/>
  </cols>
  <sheetData>
    <row r="1" spans="1:27" s="27" customFormat="1" ht="19.95" customHeight="1">
      <c r="A1" s="756" t="s">
        <v>1039</v>
      </c>
      <c r="B1" s="756"/>
      <c r="C1" s="756"/>
      <c r="D1" s="756"/>
      <c r="E1" s="756"/>
      <c r="F1" s="756"/>
      <c r="G1" s="756"/>
      <c r="H1" s="756"/>
      <c r="I1" s="756"/>
      <c r="J1" s="756"/>
      <c r="K1" s="756"/>
      <c r="L1" s="756"/>
      <c r="M1" s="756"/>
      <c r="N1" s="756"/>
      <c r="O1" s="756"/>
      <c r="P1" s="756"/>
      <c r="Q1" s="756"/>
      <c r="R1" s="756"/>
      <c r="S1" s="756"/>
      <c r="T1" s="756"/>
      <c r="U1" s="756"/>
      <c r="V1" s="756"/>
      <c r="W1" s="756"/>
      <c r="X1" s="756"/>
      <c r="Y1" s="756"/>
      <c r="Z1" s="756"/>
    </row>
    <row r="2" spans="1:27" s="463" customFormat="1" ht="19.95" customHeight="1">
      <c r="A2" s="757" t="s">
        <v>1048</v>
      </c>
      <c r="B2" s="757"/>
      <c r="C2" s="757"/>
      <c r="D2" s="757"/>
      <c r="E2" s="757"/>
      <c r="F2" s="757"/>
      <c r="G2" s="757"/>
      <c r="H2" s="757"/>
      <c r="I2" s="757"/>
      <c r="J2" s="757"/>
      <c r="K2" s="757"/>
      <c r="L2" s="757"/>
      <c r="M2" s="757"/>
      <c r="N2" s="757"/>
      <c r="O2" s="757"/>
      <c r="P2" s="757"/>
      <c r="Q2" s="757"/>
      <c r="R2" s="757"/>
      <c r="S2" s="757"/>
      <c r="T2" s="757"/>
      <c r="U2" s="757"/>
      <c r="V2" s="757"/>
      <c r="W2" s="757"/>
      <c r="X2" s="757"/>
      <c r="Y2" s="757"/>
      <c r="Z2" s="757"/>
    </row>
    <row r="3" spans="1:27" ht="19.95" customHeight="1">
      <c r="A3" s="2" t="str">
        <f>底稿目录!A2</f>
        <v>被审计单位：</v>
      </c>
      <c r="B3" s="22"/>
      <c r="F3" s="2" t="str">
        <f>底稿目录!A4</f>
        <v>编制人：</v>
      </c>
      <c r="J3" s="14"/>
      <c r="K3" s="14"/>
      <c r="M3" s="111"/>
      <c r="O3" s="2" t="str">
        <f>底稿目录!A5</f>
        <v>编制日期：</v>
      </c>
      <c r="P3" s="66"/>
      <c r="Q3" s="66"/>
      <c r="Y3" s="476" t="s">
        <v>1066</v>
      </c>
      <c r="Z3" s="455" t="s">
        <v>284</v>
      </c>
    </row>
    <row r="4" spans="1:27" ht="19.95" customHeight="1">
      <c r="A4" s="2" t="str">
        <f>底稿目录!A3</f>
        <v>截止日：202X年12月31日</v>
      </c>
      <c r="B4" s="22"/>
      <c r="F4" s="2" t="str">
        <f>底稿目录!A6</f>
        <v>复核人：</v>
      </c>
      <c r="J4" s="14"/>
      <c r="K4" s="14"/>
      <c r="M4" s="111"/>
      <c r="O4" s="2" t="str">
        <f>底稿目录!A7</f>
        <v>复核日期：</v>
      </c>
      <c r="P4" s="66"/>
      <c r="Q4" s="66"/>
      <c r="Y4" s="476" t="s">
        <v>1065</v>
      </c>
      <c r="Z4" s="153"/>
    </row>
    <row r="5" spans="1:27" s="230" customFormat="1" ht="19.95" customHeight="1">
      <c r="A5" s="768" t="s">
        <v>1138</v>
      </c>
      <c r="B5" s="768"/>
      <c r="C5" s="768"/>
      <c r="D5" s="768"/>
      <c r="E5" s="768"/>
      <c r="F5" s="768"/>
      <c r="G5" s="768"/>
      <c r="H5" s="768"/>
      <c r="I5" s="768"/>
      <c r="J5" s="768"/>
      <c r="K5" s="768"/>
      <c r="L5" s="768"/>
      <c r="M5" s="768"/>
      <c r="N5" s="768"/>
      <c r="O5" s="768"/>
      <c r="P5" s="768"/>
      <c r="Q5" s="768"/>
      <c r="R5" s="768"/>
      <c r="S5" s="768"/>
      <c r="T5" s="768"/>
      <c r="U5" s="768"/>
      <c r="V5" s="768"/>
      <c r="W5" s="768"/>
      <c r="X5" s="768"/>
    </row>
    <row r="6" spans="1:27" s="230" customFormat="1" ht="19.95" customHeight="1">
      <c r="A6" s="608" t="s">
        <v>1141</v>
      </c>
      <c r="B6" s="609"/>
      <c r="C6" s="609"/>
      <c r="D6" s="609"/>
      <c r="E6" s="609"/>
      <c r="F6" s="609"/>
      <c r="G6" s="609"/>
      <c r="H6" s="609"/>
      <c r="I6" s="609"/>
      <c r="J6" s="609"/>
      <c r="K6" s="609"/>
      <c r="L6" s="609"/>
      <c r="M6" s="609"/>
      <c r="N6" s="609"/>
      <c r="O6" s="609"/>
      <c r="P6" s="609"/>
      <c r="Q6" s="609"/>
      <c r="R6" s="609"/>
      <c r="S6" s="609"/>
      <c r="T6" s="609"/>
      <c r="U6" s="609"/>
      <c r="V6" s="609"/>
      <c r="W6" s="609"/>
      <c r="X6" s="609"/>
    </row>
    <row r="7" spans="1:27" s="230" customFormat="1" ht="19.95" customHeight="1">
      <c r="A7" s="608" t="s">
        <v>1142</v>
      </c>
      <c r="B7" s="609"/>
      <c r="C7" s="609"/>
      <c r="D7" s="609"/>
      <c r="E7" s="609"/>
      <c r="F7" s="609"/>
      <c r="G7" s="609"/>
      <c r="H7" s="609"/>
      <c r="I7" s="609"/>
      <c r="J7" s="609"/>
      <c r="K7" s="609"/>
      <c r="L7" s="609"/>
      <c r="M7" s="609"/>
      <c r="N7" s="609"/>
      <c r="O7" s="609"/>
      <c r="P7" s="609"/>
      <c r="Q7" s="609"/>
      <c r="R7" s="609"/>
      <c r="S7" s="609"/>
      <c r="T7" s="609"/>
      <c r="U7" s="609"/>
      <c r="V7" s="609"/>
      <c r="W7" s="609"/>
      <c r="X7" s="609"/>
    </row>
    <row r="8" spans="1:27" s="25" customFormat="1" ht="19.95" customHeight="1">
      <c r="A8" s="573" t="s">
        <v>1246</v>
      </c>
      <c r="B8" s="23"/>
      <c r="C8" s="575" t="s">
        <v>1249</v>
      </c>
      <c r="D8" s="23"/>
      <c r="E8" s="23"/>
      <c r="F8" s="23"/>
      <c r="G8" s="23"/>
      <c r="H8" s="23"/>
      <c r="I8" s="24"/>
      <c r="J8" s="24"/>
      <c r="K8" s="24"/>
      <c r="L8" s="24"/>
      <c r="M8" s="24"/>
      <c r="N8" s="24"/>
      <c r="P8" s="68"/>
      <c r="Q8" s="68"/>
      <c r="R8" s="68"/>
      <c r="S8" s="68"/>
      <c r="T8" s="68"/>
      <c r="U8" s="68"/>
      <c r="V8" s="68"/>
      <c r="W8" s="68"/>
      <c r="X8" s="68"/>
    </row>
    <row r="9" spans="1:27" s="25" customFormat="1" ht="19.95" customHeight="1">
      <c r="A9" s="503" t="s">
        <v>1096</v>
      </c>
      <c r="B9" s="23"/>
      <c r="C9" s="23"/>
      <c r="D9" s="23"/>
      <c r="E9" s="23"/>
      <c r="F9" s="23"/>
      <c r="G9" s="23"/>
      <c r="H9" s="23"/>
      <c r="I9" s="24"/>
      <c r="J9" s="24"/>
      <c r="K9" s="24"/>
      <c r="L9" s="24"/>
      <c r="M9" s="24"/>
      <c r="N9" s="24"/>
      <c r="P9" s="68"/>
      <c r="Q9" s="68"/>
      <c r="R9" s="68"/>
      <c r="S9" s="68"/>
      <c r="T9" s="68"/>
      <c r="U9" s="68"/>
      <c r="V9" s="68"/>
      <c r="W9" s="68"/>
      <c r="X9" s="68"/>
    </row>
    <row r="10" spans="1:27" ht="19.95" customHeight="1">
      <c r="A10" s="739" t="s">
        <v>175</v>
      </c>
      <c r="B10" s="769" t="s">
        <v>542</v>
      </c>
      <c r="C10" s="769" t="s">
        <v>543</v>
      </c>
      <c r="D10" s="769" t="s">
        <v>419</v>
      </c>
      <c r="E10" s="769" t="s">
        <v>544</v>
      </c>
      <c r="F10" s="769" t="s">
        <v>545</v>
      </c>
      <c r="G10" s="769" t="s">
        <v>546</v>
      </c>
      <c r="H10" s="779" t="s">
        <v>522</v>
      </c>
      <c r="I10" s="739" t="s">
        <v>547</v>
      </c>
      <c r="J10" s="739"/>
      <c r="K10" s="739"/>
      <c r="L10" s="739"/>
      <c r="M10" s="739"/>
      <c r="N10" s="739"/>
      <c r="O10" s="739"/>
      <c r="P10" s="773" t="s">
        <v>548</v>
      </c>
      <c r="Q10" s="773"/>
      <c r="R10" s="782" t="s">
        <v>1244</v>
      </c>
      <c r="S10" s="782"/>
      <c r="T10" s="782"/>
      <c r="U10" s="782" t="s">
        <v>1245</v>
      </c>
      <c r="V10" s="782"/>
      <c r="W10" s="782"/>
      <c r="X10" s="782" t="s">
        <v>259</v>
      </c>
      <c r="Y10" s="739" t="s">
        <v>525</v>
      </c>
      <c r="Z10" s="739" t="s">
        <v>502</v>
      </c>
    </row>
    <row r="11" spans="1:27" ht="19.95" customHeight="1">
      <c r="A11" s="739"/>
      <c r="B11" s="770"/>
      <c r="C11" s="770"/>
      <c r="D11" s="770"/>
      <c r="E11" s="770"/>
      <c r="F11" s="770"/>
      <c r="G11" s="770"/>
      <c r="H11" s="780"/>
      <c r="I11" s="739" t="s">
        <v>549</v>
      </c>
      <c r="J11" s="739"/>
      <c r="K11" s="739"/>
      <c r="L11" s="739"/>
      <c r="M11" s="739" t="s">
        <v>550</v>
      </c>
      <c r="N11" s="739"/>
      <c r="O11" s="738" t="s">
        <v>551</v>
      </c>
      <c r="P11" s="774" t="s">
        <v>505</v>
      </c>
      <c r="Q11" s="776" t="s">
        <v>1115</v>
      </c>
      <c r="R11" s="783" t="s">
        <v>1241</v>
      </c>
      <c r="S11" s="783" t="s">
        <v>1242</v>
      </c>
      <c r="T11" s="783" t="s">
        <v>1243</v>
      </c>
      <c r="U11" s="783" t="s">
        <v>1241</v>
      </c>
      <c r="V11" s="785" t="s">
        <v>1097</v>
      </c>
      <c r="W11" s="783" t="s">
        <v>1243</v>
      </c>
      <c r="X11" s="782"/>
      <c r="Y11" s="739"/>
      <c r="Z11" s="739"/>
      <c r="AA11" s="377" t="s">
        <v>971</v>
      </c>
    </row>
    <row r="12" spans="1:27" ht="19.95" customHeight="1">
      <c r="A12" s="739"/>
      <c r="B12" s="771"/>
      <c r="C12" s="771"/>
      <c r="D12" s="771"/>
      <c r="E12" s="771"/>
      <c r="F12" s="771"/>
      <c r="G12" s="771"/>
      <c r="H12" s="781"/>
      <c r="I12" s="241" t="s">
        <v>527</v>
      </c>
      <c r="J12" s="241" t="s">
        <v>503</v>
      </c>
      <c r="K12" s="241" t="s">
        <v>430</v>
      </c>
      <c r="L12" s="241" t="s">
        <v>504</v>
      </c>
      <c r="M12" s="241" t="s">
        <v>552</v>
      </c>
      <c r="N12" s="241" t="s">
        <v>553</v>
      </c>
      <c r="O12" s="738"/>
      <c r="P12" s="775"/>
      <c r="Q12" s="775"/>
      <c r="R12" s="784"/>
      <c r="S12" s="784"/>
      <c r="T12" s="784"/>
      <c r="U12" s="784"/>
      <c r="V12" s="784"/>
      <c r="W12" s="784"/>
      <c r="X12" s="786"/>
      <c r="Y12" s="772"/>
      <c r="Z12" s="772"/>
    </row>
    <row r="13" spans="1:27" ht="19.95" customHeight="1">
      <c r="A13" s="110">
        <v>1</v>
      </c>
      <c r="B13" s="30"/>
      <c r="C13" s="273"/>
      <c r="D13" s="35"/>
      <c r="E13" s="268"/>
      <c r="F13" s="407"/>
      <c r="G13" s="273"/>
      <c r="H13" s="211"/>
      <c r="I13" s="408"/>
      <c r="J13" s="408"/>
      <c r="K13" s="408"/>
      <c r="L13" s="128">
        <f>I13-J13-K13</f>
        <v>0</v>
      </c>
      <c r="M13" s="408"/>
      <c r="N13" s="408"/>
      <c r="O13" s="213">
        <f>N13-M13-L13</f>
        <v>0</v>
      </c>
      <c r="P13" s="413"/>
      <c r="Q13" s="231"/>
      <c r="R13" s="413"/>
      <c r="S13" s="214"/>
      <c r="T13" s="292"/>
      <c r="U13" s="413"/>
      <c r="V13" s="214"/>
      <c r="W13" s="292"/>
      <c r="X13" s="292"/>
      <c r="Y13" s="414"/>
      <c r="Z13" s="231"/>
    </row>
    <row r="14" spans="1:27" ht="19.95" customHeight="1">
      <c r="A14" s="110">
        <v>2</v>
      </c>
      <c r="B14" s="30"/>
      <c r="C14" s="273"/>
      <c r="D14" s="35"/>
      <c r="E14" s="268"/>
      <c r="F14" s="407"/>
      <c r="G14" s="273"/>
      <c r="H14" s="211"/>
      <c r="I14" s="408"/>
      <c r="J14" s="408"/>
      <c r="K14" s="408"/>
      <c r="L14" s="128">
        <f t="shared" ref="L14:L27" si="0">I14-J14-K14</f>
        <v>0</v>
      </c>
      <c r="M14" s="408"/>
      <c r="N14" s="408"/>
      <c r="O14" s="213">
        <f t="shared" ref="O14:O27" si="1">N14-M14-L14</f>
        <v>0</v>
      </c>
      <c r="P14" s="413"/>
      <c r="Q14" s="231"/>
      <c r="R14" s="413"/>
      <c r="S14" s="214"/>
      <c r="T14" s="292"/>
      <c r="U14" s="413"/>
      <c r="V14" s="214"/>
      <c r="W14" s="292"/>
      <c r="X14" s="292"/>
      <c r="Y14" s="414"/>
      <c r="Z14" s="231"/>
    </row>
    <row r="15" spans="1:27" ht="19.95" customHeight="1">
      <c r="A15" s="110">
        <v>3</v>
      </c>
      <c r="B15" s="30"/>
      <c r="C15" s="273"/>
      <c r="D15" s="35"/>
      <c r="E15" s="268"/>
      <c r="F15" s="407"/>
      <c r="G15" s="273"/>
      <c r="H15" s="211"/>
      <c r="I15" s="408"/>
      <c r="J15" s="408"/>
      <c r="K15" s="408"/>
      <c r="L15" s="128">
        <f t="shared" si="0"/>
        <v>0</v>
      </c>
      <c r="M15" s="408"/>
      <c r="N15" s="408"/>
      <c r="O15" s="213">
        <f t="shared" si="1"/>
        <v>0</v>
      </c>
      <c r="P15" s="413"/>
      <c r="Q15" s="231"/>
      <c r="R15" s="413"/>
      <c r="S15" s="214"/>
      <c r="T15" s="292"/>
      <c r="U15" s="413"/>
      <c r="V15" s="214"/>
      <c r="W15" s="292"/>
      <c r="X15" s="292"/>
      <c r="Y15" s="414"/>
      <c r="Z15" s="231"/>
    </row>
    <row r="16" spans="1:27" ht="19.95" customHeight="1">
      <c r="A16" s="110">
        <v>4</v>
      </c>
      <c r="B16" s="30"/>
      <c r="C16" s="273"/>
      <c r="D16" s="35"/>
      <c r="E16" s="268"/>
      <c r="F16" s="407"/>
      <c r="G16" s="273"/>
      <c r="H16" s="211"/>
      <c r="I16" s="408"/>
      <c r="J16" s="408"/>
      <c r="K16" s="408"/>
      <c r="L16" s="128">
        <f t="shared" si="0"/>
        <v>0</v>
      </c>
      <c r="M16" s="408"/>
      <c r="N16" s="408"/>
      <c r="O16" s="213">
        <f t="shared" si="1"/>
        <v>0</v>
      </c>
      <c r="P16" s="413"/>
      <c r="Q16" s="231"/>
      <c r="R16" s="413"/>
      <c r="S16" s="214"/>
      <c r="T16" s="292"/>
      <c r="U16" s="413"/>
      <c r="V16" s="214"/>
      <c r="W16" s="292"/>
      <c r="X16" s="292"/>
      <c r="Y16" s="414"/>
      <c r="Z16" s="231"/>
    </row>
    <row r="17" spans="1:26" ht="19.95" customHeight="1">
      <c r="A17" s="110">
        <v>5</v>
      </c>
      <c r="B17" s="30"/>
      <c r="C17" s="273"/>
      <c r="D17" s="35"/>
      <c r="E17" s="268"/>
      <c r="F17" s="407"/>
      <c r="G17" s="273"/>
      <c r="H17" s="211"/>
      <c r="I17" s="408"/>
      <c r="J17" s="408"/>
      <c r="K17" s="408"/>
      <c r="L17" s="128">
        <f t="shared" ref="L17:L22" si="2">I17-J17-K17</f>
        <v>0</v>
      </c>
      <c r="M17" s="408"/>
      <c r="N17" s="408"/>
      <c r="O17" s="213">
        <f t="shared" ref="O17:O22" si="3">N17-M17-L17</f>
        <v>0</v>
      </c>
      <c r="P17" s="413"/>
      <c r="Q17" s="231"/>
      <c r="R17" s="413"/>
      <c r="S17" s="214"/>
      <c r="T17" s="292"/>
      <c r="U17" s="413"/>
      <c r="V17" s="214"/>
      <c r="W17" s="292"/>
      <c r="X17" s="292"/>
      <c r="Y17" s="414"/>
      <c r="Z17" s="231"/>
    </row>
    <row r="18" spans="1:26" ht="19.95" customHeight="1">
      <c r="A18" s="110">
        <v>6</v>
      </c>
      <c r="B18" s="30"/>
      <c r="C18" s="273"/>
      <c r="D18" s="35"/>
      <c r="E18" s="268"/>
      <c r="F18" s="407"/>
      <c r="G18" s="273"/>
      <c r="H18" s="211"/>
      <c r="I18" s="408"/>
      <c r="J18" s="408"/>
      <c r="K18" s="408"/>
      <c r="L18" s="128">
        <f t="shared" si="2"/>
        <v>0</v>
      </c>
      <c r="M18" s="408"/>
      <c r="N18" s="408"/>
      <c r="O18" s="213">
        <f t="shared" si="3"/>
        <v>0</v>
      </c>
      <c r="P18" s="413"/>
      <c r="Q18" s="231"/>
      <c r="R18" s="413"/>
      <c r="S18" s="214"/>
      <c r="T18" s="292"/>
      <c r="U18" s="413"/>
      <c r="V18" s="214"/>
      <c r="W18" s="292"/>
      <c r="X18" s="292"/>
      <c r="Y18" s="414"/>
      <c r="Z18" s="231"/>
    </row>
    <row r="19" spans="1:26" ht="19.95" customHeight="1">
      <c r="A19" s="110">
        <v>7</v>
      </c>
      <c r="B19" s="30"/>
      <c r="C19" s="273"/>
      <c r="D19" s="35"/>
      <c r="E19" s="268"/>
      <c r="F19" s="407"/>
      <c r="G19" s="273"/>
      <c r="H19" s="211"/>
      <c r="I19" s="408"/>
      <c r="J19" s="408"/>
      <c r="K19" s="408"/>
      <c r="L19" s="128">
        <f t="shared" si="2"/>
        <v>0</v>
      </c>
      <c r="M19" s="408"/>
      <c r="N19" s="408"/>
      <c r="O19" s="213">
        <f t="shared" si="3"/>
        <v>0</v>
      </c>
      <c r="P19" s="413"/>
      <c r="Q19" s="231"/>
      <c r="R19" s="413"/>
      <c r="S19" s="214"/>
      <c r="T19" s="292"/>
      <c r="U19" s="413"/>
      <c r="V19" s="214"/>
      <c r="W19" s="292"/>
      <c r="X19" s="292"/>
      <c r="Y19" s="414"/>
      <c r="Z19" s="231"/>
    </row>
    <row r="20" spans="1:26" ht="19.95" customHeight="1">
      <c r="A20" s="110">
        <v>8</v>
      </c>
      <c r="B20" s="30"/>
      <c r="C20" s="273"/>
      <c r="D20" s="35"/>
      <c r="E20" s="268"/>
      <c r="F20" s="407"/>
      <c r="G20" s="273"/>
      <c r="H20" s="211"/>
      <c r="I20" s="408"/>
      <c r="J20" s="408"/>
      <c r="K20" s="408"/>
      <c r="L20" s="128">
        <f t="shared" si="2"/>
        <v>0</v>
      </c>
      <c r="M20" s="408"/>
      <c r="N20" s="408"/>
      <c r="O20" s="213">
        <f t="shared" si="3"/>
        <v>0</v>
      </c>
      <c r="P20" s="413"/>
      <c r="Q20" s="231"/>
      <c r="R20" s="413"/>
      <c r="S20" s="214"/>
      <c r="T20" s="292"/>
      <c r="U20" s="413"/>
      <c r="V20" s="214"/>
      <c r="W20" s="292"/>
      <c r="X20" s="292"/>
      <c r="Y20" s="414"/>
      <c r="Z20" s="231"/>
    </row>
    <row r="21" spans="1:26" ht="19.95" customHeight="1">
      <c r="A21" s="110">
        <v>9</v>
      </c>
      <c r="B21" s="30"/>
      <c r="C21" s="273"/>
      <c r="D21" s="35"/>
      <c r="E21" s="268"/>
      <c r="F21" s="407"/>
      <c r="G21" s="273"/>
      <c r="H21" s="211"/>
      <c r="I21" s="408"/>
      <c r="J21" s="408"/>
      <c r="K21" s="408"/>
      <c r="L21" s="128">
        <f t="shared" si="2"/>
        <v>0</v>
      </c>
      <c r="M21" s="408"/>
      <c r="N21" s="408"/>
      <c r="O21" s="213">
        <f t="shared" si="3"/>
        <v>0</v>
      </c>
      <c r="P21" s="413"/>
      <c r="Q21" s="231"/>
      <c r="R21" s="413"/>
      <c r="S21" s="214"/>
      <c r="T21" s="292"/>
      <c r="U21" s="413"/>
      <c r="V21" s="214"/>
      <c r="W21" s="292"/>
      <c r="X21" s="292"/>
      <c r="Y21" s="414"/>
      <c r="Z21" s="231"/>
    </row>
    <row r="22" spans="1:26" ht="19.95" customHeight="1">
      <c r="A22" s="110">
        <v>10</v>
      </c>
      <c r="B22" s="30"/>
      <c r="C22" s="273"/>
      <c r="D22" s="35"/>
      <c r="E22" s="268"/>
      <c r="F22" s="407"/>
      <c r="G22" s="273"/>
      <c r="H22" s="211"/>
      <c r="I22" s="408"/>
      <c r="J22" s="408"/>
      <c r="K22" s="408"/>
      <c r="L22" s="128">
        <f t="shared" si="2"/>
        <v>0</v>
      </c>
      <c r="M22" s="408"/>
      <c r="N22" s="408"/>
      <c r="O22" s="213">
        <f t="shared" si="3"/>
        <v>0</v>
      </c>
      <c r="P22" s="413"/>
      <c r="Q22" s="231"/>
      <c r="R22" s="413"/>
      <c r="S22" s="214"/>
      <c r="T22" s="292"/>
      <c r="U22" s="413"/>
      <c r="V22" s="214"/>
      <c r="W22" s="292"/>
      <c r="X22" s="292"/>
      <c r="Y22" s="414"/>
      <c r="Z22" s="231"/>
    </row>
    <row r="23" spans="1:26" ht="19.95" customHeight="1">
      <c r="A23" s="110">
        <v>11</v>
      </c>
      <c r="B23" s="30"/>
      <c r="C23" s="273"/>
      <c r="D23" s="35"/>
      <c r="E23" s="268"/>
      <c r="F23" s="407"/>
      <c r="G23" s="273"/>
      <c r="H23" s="211"/>
      <c r="I23" s="408"/>
      <c r="J23" s="408"/>
      <c r="K23" s="408"/>
      <c r="L23" s="128">
        <f t="shared" si="0"/>
        <v>0</v>
      </c>
      <c r="M23" s="408"/>
      <c r="N23" s="408"/>
      <c r="O23" s="213">
        <f t="shared" si="1"/>
        <v>0</v>
      </c>
      <c r="P23" s="413"/>
      <c r="Q23" s="231"/>
      <c r="R23" s="413"/>
      <c r="S23" s="214"/>
      <c r="T23" s="292"/>
      <c r="U23" s="413"/>
      <c r="V23" s="214"/>
      <c r="W23" s="292"/>
      <c r="X23" s="292"/>
      <c r="Y23" s="414"/>
      <c r="Z23" s="231"/>
    </row>
    <row r="24" spans="1:26" ht="19.95" customHeight="1">
      <c r="A24" s="110">
        <v>12</v>
      </c>
      <c r="B24" s="30"/>
      <c r="C24" s="273"/>
      <c r="D24" s="35"/>
      <c r="E24" s="268"/>
      <c r="F24" s="407"/>
      <c r="G24" s="273"/>
      <c r="H24" s="211"/>
      <c r="I24" s="408"/>
      <c r="J24" s="408"/>
      <c r="K24" s="408"/>
      <c r="L24" s="128">
        <f t="shared" si="0"/>
        <v>0</v>
      </c>
      <c r="M24" s="408"/>
      <c r="N24" s="408"/>
      <c r="O24" s="213">
        <f t="shared" si="1"/>
        <v>0</v>
      </c>
      <c r="P24" s="413"/>
      <c r="Q24" s="231"/>
      <c r="R24" s="413"/>
      <c r="S24" s="214"/>
      <c r="T24" s="292"/>
      <c r="U24" s="413"/>
      <c r="V24" s="214"/>
      <c r="W24" s="292"/>
      <c r="X24" s="292"/>
      <c r="Y24" s="414"/>
      <c r="Z24" s="231"/>
    </row>
    <row r="25" spans="1:26" ht="19.95" customHeight="1">
      <c r="A25" s="110">
        <v>13</v>
      </c>
      <c r="B25" s="30"/>
      <c r="C25" s="273"/>
      <c r="D25" s="35"/>
      <c r="E25" s="268"/>
      <c r="F25" s="407"/>
      <c r="G25" s="273"/>
      <c r="H25" s="211"/>
      <c r="I25" s="408"/>
      <c r="J25" s="408"/>
      <c r="K25" s="408"/>
      <c r="L25" s="128">
        <f t="shared" si="0"/>
        <v>0</v>
      </c>
      <c r="M25" s="408"/>
      <c r="N25" s="408"/>
      <c r="O25" s="213">
        <f t="shared" si="1"/>
        <v>0</v>
      </c>
      <c r="P25" s="413"/>
      <c r="Q25" s="231"/>
      <c r="R25" s="413"/>
      <c r="S25" s="214"/>
      <c r="T25" s="292"/>
      <c r="U25" s="413"/>
      <c r="V25" s="214"/>
      <c r="W25" s="292"/>
      <c r="X25" s="292"/>
      <c r="Y25" s="414"/>
      <c r="Z25" s="231"/>
    </row>
    <row r="26" spans="1:26" ht="19.95" customHeight="1">
      <c r="A26" s="110">
        <v>14</v>
      </c>
      <c r="B26" s="30"/>
      <c r="C26" s="273"/>
      <c r="D26" s="35"/>
      <c r="E26" s="268"/>
      <c r="F26" s="407"/>
      <c r="G26" s="273"/>
      <c r="H26" s="211"/>
      <c r="I26" s="408"/>
      <c r="J26" s="408"/>
      <c r="K26" s="408"/>
      <c r="L26" s="128">
        <f t="shared" si="0"/>
        <v>0</v>
      </c>
      <c r="M26" s="408"/>
      <c r="N26" s="408"/>
      <c r="O26" s="213">
        <f t="shared" si="1"/>
        <v>0</v>
      </c>
      <c r="P26" s="413"/>
      <c r="Q26" s="231"/>
      <c r="R26" s="413"/>
      <c r="S26" s="214"/>
      <c r="T26" s="292"/>
      <c r="U26" s="413"/>
      <c r="V26" s="214"/>
      <c r="W26" s="292"/>
      <c r="X26" s="292"/>
      <c r="Y26" s="414"/>
      <c r="Z26" s="231"/>
    </row>
    <row r="27" spans="1:26" ht="19.95" customHeight="1">
      <c r="A27" s="110" t="s">
        <v>1270</v>
      </c>
      <c r="B27" s="30"/>
      <c r="C27" s="273"/>
      <c r="D27" s="35"/>
      <c r="E27" s="268"/>
      <c r="F27" s="407"/>
      <c r="G27" s="273"/>
      <c r="H27" s="211"/>
      <c r="I27" s="408"/>
      <c r="J27" s="408"/>
      <c r="K27" s="408"/>
      <c r="L27" s="128">
        <f t="shared" si="0"/>
        <v>0</v>
      </c>
      <c r="M27" s="408"/>
      <c r="N27" s="408"/>
      <c r="O27" s="213">
        <f t="shared" si="1"/>
        <v>0</v>
      </c>
      <c r="P27" s="413"/>
      <c r="Q27" s="231"/>
      <c r="R27" s="413"/>
      <c r="S27" s="214"/>
      <c r="T27" s="292"/>
      <c r="U27" s="413"/>
      <c r="V27" s="214"/>
      <c r="W27" s="292"/>
      <c r="X27" s="292"/>
      <c r="Y27" s="414"/>
      <c r="Z27" s="231"/>
    </row>
    <row r="28" spans="1:26" s="26" customFormat="1" ht="19.2" customHeight="1">
      <c r="A28" s="777" t="s">
        <v>1239</v>
      </c>
      <c r="B28" s="778"/>
      <c r="C28" s="778"/>
      <c r="D28" s="778"/>
      <c r="E28" s="778"/>
      <c r="F28" s="778"/>
      <c r="G28" s="778"/>
      <c r="H28" s="778"/>
      <c r="I28" s="203">
        <f t="shared" ref="I28:O28" si="4">SUM(I13:I27)</f>
        <v>0</v>
      </c>
      <c r="J28" s="203">
        <f t="shared" si="4"/>
        <v>0</v>
      </c>
      <c r="K28" s="203">
        <f t="shared" si="4"/>
        <v>0</v>
      </c>
      <c r="L28" s="203">
        <f t="shared" si="4"/>
        <v>0</v>
      </c>
      <c r="M28" s="203">
        <f t="shared" si="4"/>
        <v>0</v>
      </c>
      <c r="N28" s="203">
        <f t="shared" si="4"/>
        <v>0</v>
      </c>
      <c r="O28" s="412">
        <f t="shared" si="4"/>
        <v>0</v>
      </c>
      <c r="P28" s="297"/>
      <c r="Q28" s="297"/>
      <c r="R28" s="297"/>
      <c r="S28" s="297"/>
      <c r="T28" s="297"/>
      <c r="U28" s="297"/>
      <c r="V28" s="297"/>
      <c r="W28" s="297"/>
      <c r="X28" s="297"/>
      <c r="Y28" s="297"/>
      <c r="Z28" s="297"/>
    </row>
    <row r="29" spans="1:26" s="572" customFormat="1" ht="19.95" customHeight="1">
      <c r="A29" s="758" t="s">
        <v>1240</v>
      </c>
      <c r="B29" s="759"/>
      <c r="C29" s="759"/>
      <c r="D29" s="759"/>
      <c r="E29" s="759"/>
      <c r="F29" s="759"/>
      <c r="G29" s="759"/>
      <c r="H29" s="760"/>
      <c r="I29" s="619">
        <f>'明细表H1-2'!O33</f>
        <v>0</v>
      </c>
      <c r="J29" s="620"/>
      <c r="K29" s="620"/>
      <c r="L29" s="620"/>
      <c r="M29" s="620"/>
      <c r="N29" s="621"/>
      <c r="O29" s="622"/>
      <c r="P29" s="623"/>
      <c r="Q29" s="623"/>
      <c r="R29" s="623"/>
      <c r="S29" s="623"/>
      <c r="T29" s="623"/>
      <c r="U29" s="623"/>
      <c r="V29" s="623"/>
      <c r="W29" s="623"/>
      <c r="X29" s="623"/>
      <c r="Y29" s="623"/>
      <c r="Z29" s="623"/>
    </row>
    <row r="30" spans="1:26" s="572" customFormat="1" ht="19.95" customHeight="1">
      <c r="A30" s="761" t="s">
        <v>1284</v>
      </c>
      <c r="B30" s="759"/>
      <c r="C30" s="759"/>
      <c r="D30" s="759"/>
      <c r="E30" s="759"/>
      <c r="F30" s="759"/>
      <c r="G30" s="759"/>
      <c r="H30" s="760"/>
      <c r="I30" s="570">
        <f>IF(I28=0,0,I28/$I$29)</f>
        <v>0</v>
      </c>
      <c r="J30" s="621"/>
      <c r="K30" s="621"/>
      <c r="L30" s="621"/>
      <c r="M30" s="621"/>
      <c r="N30" s="621"/>
      <c r="O30" s="622"/>
      <c r="P30" s="623"/>
      <c r="Q30" s="623"/>
      <c r="R30" s="623"/>
      <c r="S30" s="623"/>
      <c r="T30" s="623"/>
      <c r="U30" s="623"/>
      <c r="V30" s="623"/>
      <c r="W30" s="623"/>
      <c r="X30" s="623"/>
      <c r="Y30" s="623"/>
      <c r="Z30" s="623"/>
    </row>
    <row r="31" spans="1:26" ht="19.95" customHeight="1">
      <c r="A31" s="574" t="s">
        <v>1247</v>
      </c>
      <c r="B31" s="18"/>
      <c r="C31" s="18"/>
      <c r="D31" s="18"/>
      <c r="E31" s="18"/>
      <c r="F31" s="18"/>
      <c r="G31" s="18"/>
      <c r="H31" s="18"/>
      <c r="I31" s="18"/>
      <c r="J31" s="18"/>
      <c r="K31" s="18"/>
      <c r="L31" s="287"/>
      <c r="M31" s="18"/>
      <c r="N31" s="210"/>
      <c r="O31" s="210"/>
      <c r="P31" s="59"/>
      <c r="Q31" s="59"/>
      <c r="R31" s="59"/>
      <c r="S31" s="59"/>
      <c r="T31" s="59"/>
      <c r="U31" s="59"/>
      <c r="V31" s="59"/>
      <c r="W31" s="59"/>
      <c r="X31" s="59"/>
      <c r="Y31" s="59"/>
      <c r="Z31" s="59"/>
    </row>
    <row r="32" spans="1:26" ht="19.95" customHeight="1">
      <c r="A32" s="690" t="s">
        <v>1285</v>
      </c>
      <c r="L32" s="491"/>
      <c r="P32" s="2"/>
      <c r="Q32" s="66"/>
      <c r="R32" s="69"/>
      <c r="S32" s="69"/>
      <c r="T32" s="69"/>
      <c r="U32" s="69"/>
      <c r="V32" s="69"/>
      <c r="W32" s="69"/>
      <c r="X32" s="69"/>
      <c r="Y32" s="28"/>
    </row>
    <row r="33" spans="1:25" s="26" customFormat="1" ht="19.95" customHeight="1">
      <c r="A33" s="690" t="s">
        <v>1271</v>
      </c>
      <c r="L33" s="491"/>
      <c r="Q33" s="66"/>
      <c r="R33" s="70"/>
      <c r="S33" s="71"/>
      <c r="T33" s="71"/>
      <c r="U33" s="71"/>
      <c r="V33" s="71"/>
      <c r="W33" s="71"/>
      <c r="X33" s="71"/>
      <c r="Y33" s="36"/>
    </row>
    <row r="34" spans="1:25" ht="19.95" customHeight="1">
      <c r="L34" s="491"/>
      <c r="P34" s="2"/>
      <c r="Q34" s="66"/>
      <c r="R34" s="66"/>
      <c r="S34" s="66"/>
      <c r="T34" s="66"/>
      <c r="U34" s="66"/>
      <c r="V34" s="66"/>
      <c r="W34" s="66"/>
      <c r="X34" s="66"/>
      <c r="Y34" s="28"/>
    </row>
    <row r="35" spans="1:25" ht="19.95" customHeight="1">
      <c r="L35" s="491"/>
      <c r="P35" s="2"/>
      <c r="Q35" s="66"/>
      <c r="R35" s="66"/>
      <c r="S35" s="66"/>
      <c r="T35" s="66"/>
      <c r="U35" s="66"/>
      <c r="V35" s="66"/>
      <c r="W35" s="66"/>
      <c r="X35" s="66"/>
      <c r="Y35" s="28"/>
    </row>
    <row r="36" spans="1:25" ht="19.95" customHeight="1">
      <c r="A36" s="29" t="s">
        <v>1248</v>
      </c>
      <c r="P36" s="66"/>
      <c r="Q36" s="66"/>
      <c r="R36" s="66"/>
      <c r="S36" s="66"/>
      <c r="T36" s="66"/>
      <c r="U36" s="66"/>
      <c r="V36" s="66"/>
      <c r="W36" s="66"/>
      <c r="X36" s="66"/>
      <c r="Y36" s="28"/>
    </row>
    <row r="37" spans="1:25" ht="19.95" customHeight="1">
      <c r="P37" s="66"/>
      <c r="Q37" s="66"/>
      <c r="R37" s="66"/>
      <c r="S37" s="66"/>
      <c r="T37" s="66"/>
      <c r="U37" s="66"/>
      <c r="V37" s="66"/>
      <c r="W37" s="66"/>
      <c r="X37" s="66"/>
      <c r="Y37" s="28"/>
    </row>
    <row r="38" spans="1:25" ht="19.95" customHeight="1">
      <c r="A38" s="20"/>
      <c r="C38" s="28"/>
      <c r="D38" s="28"/>
      <c r="E38" s="28"/>
      <c r="F38" s="28"/>
      <c r="G38" s="28"/>
      <c r="H38" s="28"/>
      <c r="I38" s="28"/>
      <c r="J38" s="28"/>
      <c r="K38" s="28"/>
      <c r="L38" s="28"/>
      <c r="M38" s="28"/>
      <c r="N38" s="28"/>
      <c r="O38" s="28"/>
      <c r="P38" s="66"/>
      <c r="Q38" s="66"/>
      <c r="R38" s="66"/>
      <c r="S38" s="66"/>
      <c r="T38" s="66"/>
      <c r="U38" s="66"/>
      <c r="V38" s="66"/>
      <c r="W38" s="66"/>
      <c r="X38" s="66"/>
      <c r="Y38" s="28"/>
    </row>
    <row r="39" spans="1:25" ht="19.95" customHeight="1">
      <c r="A39" s="20"/>
      <c r="C39" s="28"/>
      <c r="D39" s="28"/>
      <c r="E39" s="28"/>
      <c r="F39" s="28"/>
      <c r="G39" s="28"/>
      <c r="H39" s="28"/>
      <c r="I39" s="28"/>
      <c r="J39" s="28"/>
      <c r="K39" s="28"/>
      <c r="L39" s="28"/>
      <c r="M39" s="28"/>
      <c r="N39" s="28"/>
      <c r="O39" s="28"/>
      <c r="P39" s="66"/>
      <c r="Q39" s="66"/>
      <c r="R39" s="66"/>
      <c r="S39" s="66"/>
      <c r="T39" s="66"/>
      <c r="U39" s="66"/>
      <c r="V39" s="66"/>
      <c r="W39" s="66"/>
      <c r="X39" s="66"/>
      <c r="Y39" s="28"/>
    </row>
    <row r="40" spans="1:25" ht="19.95" customHeight="1">
      <c r="A40" s="505" t="s">
        <v>1099</v>
      </c>
    </row>
    <row r="41" spans="1:25" ht="19.95" customHeight="1">
      <c r="A41" s="19" t="s">
        <v>554</v>
      </c>
    </row>
    <row r="42" spans="1:25" ht="19.95" customHeight="1">
      <c r="A42" s="19" t="s">
        <v>555</v>
      </c>
    </row>
    <row r="43" spans="1:25" ht="19.95" customHeight="1">
      <c r="A43" s="19"/>
    </row>
  </sheetData>
  <mergeCells count="32">
    <mergeCell ref="A1:Z1"/>
    <mergeCell ref="A2:Z2"/>
    <mergeCell ref="A5:X5"/>
    <mergeCell ref="A28:H28"/>
    <mergeCell ref="A29:H29"/>
    <mergeCell ref="H10:H12"/>
    <mergeCell ref="R10:T10"/>
    <mergeCell ref="R11:R12"/>
    <mergeCell ref="S11:S12"/>
    <mergeCell ref="T11:T12"/>
    <mergeCell ref="Z10:Z12"/>
    <mergeCell ref="U11:U12"/>
    <mergeCell ref="U10:W10"/>
    <mergeCell ref="V11:V12"/>
    <mergeCell ref="W11:W12"/>
    <mergeCell ref="X10:X12"/>
    <mergeCell ref="A30:H30"/>
    <mergeCell ref="A10:A12"/>
    <mergeCell ref="B10:B12"/>
    <mergeCell ref="C10:C12"/>
    <mergeCell ref="Y10:Y12"/>
    <mergeCell ref="D10:D12"/>
    <mergeCell ref="E10:E12"/>
    <mergeCell ref="I11:L11"/>
    <mergeCell ref="M11:N11"/>
    <mergeCell ref="O11:O12"/>
    <mergeCell ref="F10:F12"/>
    <mergeCell ref="G10:G12"/>
    <mergeCell ref="P10:Q10"/>
    <mergeCell ref="I10:O10"/>
    <mergeCell ref="P11:P12"/>
    <mergeCell ref="Q11:Q12"/>
  </mergeCells>
  <phoneticPr fontId="10" type="noConversion"/>
  <dataValidations count="2">
    <dataValidation type="list" allowBlank="1" showInputMessage="1" showErrorMessage="1" prompt="如要修改下列框的选项，单击“数据-数据有效性-设置-序列-来源”。_x000a_" sqref="E13:E27">
      <formula1>"处置,其他减少"</formula1>
    </dataValidation>
    <dataValidation type="list" allowBlank="1" showInputMessage="1" showErrorMessage="1" prompt="如要修改下列框的选项，单击“数据-数据有效性-设置-序列-来源”。" sqref="B13:B27">
      <formula1>"房屋及建筑物,机器设备,运输设备,办公设备,其他设备"</formula1>
    </dataValidation>
  </dataValidations>
  <hyperlinks>
    <hyperlink ref="Z3" location="底稿目录!A1" display="H1-8"/>
  </hyperlinks>
  <printOptions horizontalCentered="1"/>
  <pageMargins left="0.51181102362204722" right="0.31496062992125984" top="0.55118110236220474" bottom="0.35433070866141736" header="0.51181102362204722" footer="0.19685039370078741"/>
  <pageSetup paperSize="9" scale="58" fitToHeight="50" orientation="landscape" blackAndWhite="1"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O58"/>
  <sheetViews>
    <sheetView view="pageBreakPreview" zoomScaleSheetLayoutView="100" workbookViewId="0">
      <selection sqref="A1:I1"/>
    </sheetView>
  </sheetViews>
  <sheetFormatPr defaultColWidth="9" defaultRowHeight="19.95" customHeight="1"/>
  <cols>
    <col min="1" max="2" width="11.8984375" style="22" customWidth="1"/>
    <col min="3" max="3" width="16.5" style="22" customWidth="1"/>
    <col min="4" max="8" width="11.8984375" style="22" customWidth="1"/>
    <col min="9" max="9" width="14" style="22" customWidth="1"/>
    <col min="10" max="10" width="6.19921875" style="22" customWidth="1"/>
    <col min="11" max="11" width="10.5" style="22" customWidth="1"/>
    <col min="12" max="12" width="9" style="22"/>
    <col min="13" max="13" width="7.09765625" style="22" customWidth="1"/>
    <col min="14" max="16384" width="9" style="22"/>
  </cols>
  <sheetData>
    <row r="1" spans="1:15" s="465" customFormat="1" ht="19.95" customHeight="1">
      <c r="A1" s="787" t="s">
        <v>1039</v>
      </c>
      <c r="B1" s="787"/>
      <c r="C1" s="787"/>
      <c r="D1" s="787"/>
      <c r="E1" s="787"/>
      <c r="F1" s="787"/>
      <c r="G1" s="787"/>
      <c r="H1" s="787"/>
      <c r="I1" s="787"/>
      <c r="J1" s="464"/>
      <c r="K1" s="464"/>
      <c r="L1" s="464"/>
      <c r="M1" s="464"/>
      <c r="N1" s="464"/>
      <c r="O1" s="464"/>
    </row>
    <row r="2" spans="1:15" s="467" customFormat="1" ht="19.95" customHeight="1">
      <c r="A2" s="788" t="s">
        <v>1049</v>
      </c>
      <c r="B2" s="788"/>
      <c r="C2" s="788"/>
      <c r="D2" s="788"/>
      <c r="E2" s="788"/>
      <c r="F2" s="788"/>
      <c r="G2" s="788"/>
      <c r="H2" s="788"/>
      <c r="I2" s="788"/>
      <c r="J2" s="466"/>
      <c r="K2" s="466"/>
      <c r="L2" s="466"/>
      <c r="M2" s="466"/>
      <c r="N2" s="466"/>
      <c r="O2" s="466"/>
    </row>
    <row r="3" spans="1:15" ht="19.95" customHeight="1">
      <c r="A3" s="2" t="str">
        <f>底稿目录!A2</f>
        <v>被审计单位：</v>
      </c>
      <c r="C3" s="2"/>
      <c r="D3" s="2" t="str">
        <f>底稿目录!A4</f>
        <v>编制人：</v>
      </c>
      <c r="F3" s="2" t="str">
        <f>底稿目录!A5</f>
        <v>编制日期：</v>
      </c>
      <c r="G3" s="112"/>
      <c r="H3" s="476" t="s">
        <v>1066</v>
      </c>
      <c r="I3" s="455" t="s">
        <v>285</v>
      </c>
      <c r="L3" s="2"/>
      <c r="M3" s="2"/>
    </row>
    <row r="4" spans="1:15" ht="19.95" customHeight="1">
      <c r="A4" s="2" t="str">
        <f>底稿目录!A3</f>
        <v>截止日：202X年12月31日</v>
      </c>
      <c r="C4" s="2"/>
      <c r="D4" s="2" t="str">
        <f>底稿目录!A6</f>
        <v>复核人：</v>
      </c>
      <c r="F4" s="2" t="str">
        <f>底稿目录!A7</f>
        <v>复核日期：</v>
      </c>
      <c r="G4" s="112"/>
      <c r="H4" s="476" t="s">
        <v>1065</v>
      </c>
      <c r="I4" s="153"/>
      <c r="L4" s="2"/>
      <c r="M4" s="2"/>
    </row>
    <row r="5" spans="1:15" s="97" customFormat="1" ht="19.95" customHeight="1">
      <c r="A5" s="92" t="s">
        <v>584</v>
      </c>
    </row>
    <row r="6" spans="1:15" s="97" customFormat="1" ht="19.95" customHeight="1">
      <c r="A6" s="92"/>
    </row>
    <row r="7" spans="1:15" s="97" customFormat="1" ht="19.95" customHeight="1">
      <c r="A7" s="92" t="s">
        <v>585</v>
      </c>
    </row>
    <row r="8" spans="1:15" s="97" customFormat="1" ht="19.95" customHeight="1">
      <c r="A8" s="92" t="s">
        <v>586</v>
      </c>
    </row>
    <row r="9" spans="1:15" s="97" customFormat="1" ht="19.95" customHeight="1">
      <c r="A9" s="97" t="s">
        <v>587</v>
      </c>
    </row>
    <row r="10" spans="1:15" s="97" customFormat="1" ht="19.95" customHeight="1">
      <c r="A10" s="97" t="s">
        <v>588</v>
      </c>
    </row>
    <row r="11" spans="1:15" s="97" customFormat="1" ht="19.95" customHeight="1">
      <c r="B11" s="114" t="s">
        <v>589</v>
      </c>
      <c r="C11" s="114" t="s">
        <v>556</v>
      </c>
      <c r="D11" s="114" t="s">
        <v>590</v>
      </c>
      <c r="E11" s="114" t="s">
        <v>16</v>
      </c>
    </row>
    <row r="12" spans="1:15" s="97" customFormat="1" ht="19.95" customHeight="1">
      <c r="B12" s="288"/>
      <c r="C12" s="288"/>
      <c r="D12" s="288"/>
      <c r="E12" s="288"/>
    </row>
    <row r="13" spans="1:15" s="97" customFormat="1" ht="19.95" customHeight="1">
      <c r="B13" s="288"/>
      <c r="C13" s="288"/>
      <c r="D13" s="288"/>
      <c r="E13" s="288"/>
    </row>
    <row r="14" spans="1:15" s="97" customFormat="1" ht="19.95" customHeight="1">
      <c r="B14" s="288"/>
      <c r="C14" s="288"/>
      <c r="D14" s="288"/>
      <c r="E14" s="288"/>
    </row>
    <row r="15" spans="1:15" s="97" customFormat="1" ht="19.95" customHeight="1">
      <c r="A15" s="92" t="s">
        <v>557</v>
      </c>
    </row>
    <row r="16" spans="1:15" s="98" customFormat="1" ht="19.95" customHeight="1">
      <c r="A16" s="97" t="s">
        <v>591</v>
      </c>
      <c r="B16" s="97"/>
      <c r="C16" s="97"/>
      <c r="D16" s="97"/>
      <c r="E16" s="97"/>
      <c r="F16" s="97"/>
      <c r="G16" s="97"/>
      <c r="H16" s="97"/>
      <c r="I16" s="97"/>
      <c r="J16" s="97"/>
      <c r="K16" s="97"/>
      <c r="L16" s="97"/>
    </row>
    <row r="17" spans="1:12" s="98" customFormat="1" ht="19.95" customHeight="1">
      <c r="A17" s="97" t="s">
        <v>592</v>
      </c>
      <c r="B17" s="97"/>
      <c r="C17" s="97"/>
      <c r="D17" s="97"/>
      <c r="E17" s="97"/>
      <c r="F17" s="97"/>
      <c r="G17" s="97"/>
      <c r="H17" s="97"/>
      <c r="I17" s="97"/>
      <c r="J17" s="97"/>
      <c r="K17" s="97"/>
      <c r="L17" s="97"/>
    </row>
    <row r="18" spans="1:12" s="98" customFormat="1" ht="19.95" customHeight="1">
      <c r="A18" s="97" t="s">
        <v>593</v>
      </c>
      <c r="B18" s="97"/>
      <c r="C18" s="97"/>
      <c r="D18" s="97"/>
      <c r="E18" s="97"/>
      <c r="F18" s="97" t="s">
        <v>558</v>
      </c>
      <c r="G18" s="97"/>
      <c r="H18" s="97"/>
      <c r="I18" s="97"/>
      <c r="J18" s="97"/>
      <c r="K18" s="97"/>
      <c r="L18" s="97"/>
    </row>
    <row r="19" spans="1:12" s="97" customFormat="1" ht="19.95" customHeight="1">
      <c r="A19" s="53" t="s">
        <v>559</v>
      </c>
    </row>
    <row r="20" spans="1:12" s="97" customFormat="1" ht="19.95" customHeight="1">
      <c r="A20" s="97" t="s">
        <v>560</v>
      </c>
    </row>
    <row r="21" spans="1:12" s="97" customFormat="1" ht="19.95" customHeight="1">
      <c r="A21" s="97" t="s">
        <v>561</v>
      </c>
    </row>
    <row r="22" spans="1:12" s="97" customFormat="1" ht="19.95" customHeight="1">
      <c r="A22" s="97" t="s">
        <v>562</v>
      </c>
    </row>
    <row r="23" spans="1:12" s="97" customFormat="1" ht="19.95" customHeight="1">
      <c r="A23" s="97" t="s">
        <v>594</v>
      </c>
      <c r="F23" s="97" t="s">
        <v>558</v>
      </c>
    </row>
    <row r="24" spans="1:12" s="97" customFormat="1" ht="19.95" customHeight="1">
      <c r="A24" s="97" t="s">
        <v>563</v>
      </c>
    </row>
    <row r="25" spans="1:12" s="97" customFormat="1" ht="19.95" customHeight="1">
      <c r="A25" s="92" t="s">
        <v>564</v>
      </c>
    </row>
    <row r="26" spans="1:12" s="97" customFormat="1" ht="19.95" customHeight="1">
      <c r="A26" s="97" t="s">
        <v>595</v>
      </c>
      <c r="F26" s="97" t="s">
        <v>565</v>
      </c>
    </row>
    <row r="27" spans="1:12" s="97" customFormat="1" ht="19.95" customHeight="1">
      <c r="A27" s="97" t="s">
        <v>566</v>
      </c>
      <c r="F27" s="97" t="s">
        <v>567</v>
      </c>
    </row>
    <row r="28" spans="1:12" s="97" customFormat="1" ht="19.95" customHeight="1">
      <c r="A28" s="97" t="s">
        <v>568</v>
      </c>
    </row>
    <row r="29" spans="1:12" s="97" customFormat="1" ht="19.95" customHeight="1">
      <c r="A29" s="53" t="s">
        <v>596</v>
      </c>
    </row>
    <row r="30" spans="1:12" s="97" customFormat="1" ht="19.95" customHeight="1">
      <c r="A30" s="92" t="s">
        <v>597</v>
      </c>
    </row>
    <row r="31" spans="1:12" s="97" customFormat="1" ht="19.95" customHeight="1"/>
    <row r="32" spans="1:12" s="97" customFormat="1" ht="19.95" customHeight="1">
      <c r="A32" s="53" t="s">
        <v>598</v>
      </c>
    </row>
    <row r="33" spans="1:12" s="289" customFormat="1" ht="19.95" customHeight="1">
      <c r="A33" s="92" t="s">
        <v>569</v>
      </c>
      <c r="B33" s="97"/>
      <c r="C33" s="97"/>
      <c r="D33" s="97"/>
      <c r="E33" s="97"/>
      <c r="F33" s="97"/>
      <c r="G33" s="97"/>
      <c r="H33" s="97"/>
      <c r="I33" s="97"/>
      <c r="J33" s="97"/>
      <c r="K33" s="97"/>
      <c r="L33" s="97"/>
    </row>
    <row r="34" spans="1:12" s="289" customFormat="1" ht="19.95" customHeight="1">
      <c r="A34" s="97" t="s">
        <v>570</v>
      </c>
      <c r="B34" s="97"/>
      <c r="C34" s="97"/>
      <c r="D34" s="97"/>
      <c r="E34" s="97"/>
      <c r="F34" s="97"/>
      <c r="G34" s="97"/>
      <c r="H34" s="97"/>
      <c r="I34" s="97"/>
      <c r="J34" s="97"/>
      <c r="K34" s="97"/>
      <c r="L34" s="97"/>
    </row>
    <row r="35" spans="1:12" s="289" customFormat="1" ht="19.95" customHeight="1">
      <c r="A35" s="97" t="s">
        <v>599</v>
      </c>
      <c r="B35" s="97"/>
      <c r="C35" s="97"/>
      <c r="D35" s="97"/>
      <c r="E35" s="97"/>
      <c r="F35" s="97" t="s">
        <v>571</v>
      </c>
      <c r="G35" s="97"/>
      <c r="H35" s="97"/>
      <c r="I35" s="97"/>
      <c r="J35" s="97"/>
      <c r="K35" s="97"/>
      <c r="L35" s="97"/>
    </row>
    <row r="36" spans="1:12" s="289" customFormat="1" ht="19.95" customHeight="1">
      <c r="A36" s="97" t="s">
        <v>600</v>
      </c>
      <c r="B36" s="97"/>
      <c r="C36" s="97"/>
      <c r="D36" s="97"/>
      <c r="E36" s="97"/>
      <c r="F36" s="97"/>
      <c r="G36" s="97"/>
      <c r="H36" s="97"/>
      <c r="I36" s="97"/>
      <c r="J36" s="97"/>
      <c r="K36" s="97"/>
      <c r="L36" s="97"/>
    </row>
    <row r="37" spans="1:12" s="289" customFormat="1" ht="19.95" customHeight="1">
      <c r="A37" s="97" t="s">
        <v>601</v>
      </c>
      <c r="B37" s="97"/>
      <c r="C37" s="97"/>
      <c r="D37" s="97"/>
      <c r="E37" s="97"/>
      <c r="F37" s="97"/>
      <c r="G37" s="97"/>
      <c r="H37" s="97"/>
      <c r="I37" s="97"/>
      <c r="J37" s="97"/>
      <c r="K37" s="97"/>
      <c r="L37" s="97"/>
    </row>
    <row r="38" spans="1:12" s="97" customFormat="1" ht="19.95" customHeight="1">
      <c r="A38" s="114" t="s">
        <v>602</v>
      </c>
      <c r="B38" s="114" t="s">
        <v>572</v>
      </c>
      <c r="C38" s="114" t="s">
        <v>603</v>
      </c>
      <c r="D38" s="114" t="s">
        <v>573</v>
      </c>
      <c r="E38" s="624" t="s">
        <v>574</v>
      </c>
      <c r="F38" s="624" t="s">
        <v>604</v>
      </c>
      <c r="G38" s="624" t="s">
        <v>605</v>
      </c>
      <c r="H38" s="624" t="s">
        <v>606</v>
      </c>
      <c r="I38" s="624" t="s">
        <v>607</v>
      </c>
    </row>
    <row r="39" spans="1:12" s="97" customFormat="1" ht="19.95" customHeight="1">
      <c r="A39" s="288"/>
      <c r="B39" s="403"/>
      <c r="C39" s="403"/>
      <c r="D39" s="403"/>
      <c r="E39" s="288"/>
      <c r="F39" s="403"/>
      <c r="G39" s="403"/>
      <c r="H39" s="403"/>
      <c r="I39" s="404"/>
    </row>
    <row r="40" spans="1:12" s="97" customFormat="1" ht="19.95" customHeight="1">
      <c r="A40" s="288"/>
      <c r="B40" s="403"/>
      <c r="C40" s="403"/>
      <c r="D40" s="403"/>
      <c r="E40" s="288"/>
      <c r="F40" s="403"/>
      <c r="G40" s="403"/>
      <c r="H40" s="403"/>
      <c r="I40" s="404"/>
    </row>
    <row r="41" spans="1:12" s="97" customFormat="1" ht="19.95" customHeight="1">
      <c r="A41" s="288"/>
      <c r="B41" s="288"/>
      <c r="C41" s="288"/>
      <c r="D41" s="288"/>
      <c r="E41" s="288"/>
      <c r="F41" s="288"/>
      <c r="G41" s="288"/>
      <c r="H41" s="288"/>
      <c r="I41" s="288"/>
    </row>
    <row r="42" spans="1:12" s="97" customFormat="1" ht="19.95" customHeight="1">
      <c r="A42" s="625" t="s">
        <v>1070</v>
      </c>
      <c r="B42" s="626">
        <f>SUM(B39:B41)</f>
        <v>0</v>
      </c>
      <c r="C42" s="626">
        <f t="shared" ref="C42:I42" si="0">SUM(C39:C41)</f>
        <v>0</v>
      </c>
      <c r="D42" s="626">
        <f t="shared" si="0"/>
        <v>0</v>
      </c>
      <c r="E42" s="626">
        <f t="shared" si="0"/>
        <v>0</v>
      </c>
      <c r="F42" s="626">
        <f t="shared" si="0"/>
        <v>0</v>
      </c>
      <c r="G42" s="626">
        <f t="shared" si="0"/>
        <v>0</v>
      </c>
      <c r="H42" s="626">
        <f t="shared" si="0"/>
        <v>0</v>
      </c>
      <c r="I42" s="626">
        <f t="shared" si="0"/>
        <v>0</v>
      </c>
    </row>
    <row r="43" spans="1:12" s="97" customFormat="1" ht="19.95" customHeight="1">
      <c r="A43" s="97" t="s">
        <v>608</v>
      </c>
    </row>
    <row r="44" spans="1:12" s="97" customFormat="1" ht="19.95" customHeight="1">
      <c r="A44" s="97" t="s">
        <v>575</v>
      </c>
    </row>
    <row r="45" spans="1:12" s="97" customFormat="1" ht="19.95" customHeight="1">
      <c r="A45" s="97" t="s">
        <v>576</v>
      </c>
    </row>
    <row r="46" spans="1:12" s="97" customFormat="1" ht="19.95" customHeight="1">
      <c r="A46" s="97" t="s">
        <v>609</v>
      </c>
      <c r="E46" s="97" t="s">
        <v>610</v>
      </c>
    </row>
    <row r="47" spans="1:12" s="97" customFormat="1" ht="19.95" customHeight="1">
      <c r="A47" s="97" t="s">
        <v>577</v>
      </c>
    </row>
    <row r="48" spans="1:12" s="97" customFormat="1" ht="19.95" customHeight="1">
      <c r="A48" s="97" t="s">
        <v>578</v>
      </c>
    </row>
    <row r="49" spans="1:12" s="97" customFormat="1" ht="19.95" customHeight="1">
      <c r="A49" s="97" t="s">
        <v>579</v>
      </c>
    </row>
    <row r="50" spans="1:12" s="97" customFormat="1" ht="19.95" customHeight="1">
      <c r="A50" s="97" t="s">
        <v>611</v>
      </c>
      <c r="G50" s="97" t="s">
        <v>580</v>
      </c>
      <c r="I50" s="627">
        <f>F42</f>
        <v>0</v>
      </c>
    </row>
    <row r="51" spans="1:12" s="97" customFormat="1" ht="19.95" customHeight="1">
      <c r="A51" s="97" t="s">
        <v>612</v>
      </c>
      <c r="G51" s="97" t="s">
        <v>580</v>
      </c>
      <c r="I51" s="415">
        <v>1</v>
      </c>
    </row>
    <row r="52" spans="1:12" s="97" customFormat="1" ht="19.95" customHeight="1">
      <c r="A52" s="97" t="s">
        <v>581</v>
      </c>
    </row>
    <row r="53" spans="1:12" s="97" customFormat="1" ht="19.95" customHeight="1">
      <c r="A53" s="97" t="s">
        <v>582</v>
      </c>
    </row>
    <row r="54" spans="1:12" s="97" customFormat="1" ht="19.95" customHeight="1"/>
    <row r="55" spans="1:12" s="97" customFormat="1" ht="19.95" customHeight="1">
      <c r="A55" s="97" t="s">
        <v>583</v>
      </c>
      <c r="D55" s="416">
        <v>235</v>
      </c>
    </row>
    <row r="56" spans="1:12" s="97" customFormat="1" ht="19.95" customHeight="1"/>
    <row r="57" spans="1:12" s="97" customFormat="1" ht="19.95" customHeight="1"/>
    <row r="58" spans="1:12" ht="19.95" customHeight="1">
      <c r="A58" s="97"/>
      <c r="B58" s="97"/>
      <c r="C58" s="97"/>
      <c r="D58" s="97"/>
      <c r="E58" s="97"/>
      <c r="F58" s="97"/>
      <c r="G58" s="97"/>
      <c r="H58" s="97"/>
      <c r="I58" s="97"/>
      <c r="J58" s="97"/>
      <c r="K58" s="97"/>
      <c r="L58" s="97"/>
    </row>
  </sheetData>
  <mergeCells count="2">
    <mergeCell ref="A1:I1"/>
    <mergeCell ref="A2:I2"/>
  </mergeCells>
  <phoneticPr fontId="10" type="noConversion"/>
  <hyperlinks>
    <hyperlink ref="I3" location="底稿目录!A1" display="H1-9"/>
  </hyperlinks>
  <printOptions horizontalCentered="1"/>
  <pageMargins left="0.51181102362204722" right="0.31496062992125984" top="0.55118110236220474" bottom="0.35433070866141736" header="0.51181102362204722" footer="0.19685039370078741"/>
  <pageSetup paperSize="9" scale="78" fitToHeight="50" orientation="portrait" blackAndWhite="1" r:id="rId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Q65"/>
  <sheetViews>
    <sheetView showZeros="0" view="pageBreakPreview" zoomScaleNormal="115" zoomScaleSheetLayoutView="100" workbookViewId="0">
      <selection sqref="A1:M1"/>
    </sheetView>
  </sheetViews>
  <sheetFormatPr defaultColWidth="9" defaultRowHeight="19.95" customHeight="1"/>
  <cols>
    <col min="1" max="1" width="16.5" style="22" customWidth="1"/>
    <col min="2" max="2" width="11.69921875" style="22" customWidth="1"/>
    <col min="3" max="3" width="9.5" style="22" customWidth="1"/>
    <col min="4" max="4" width="5" style="22" customWidth="1"/>
    <col min="5" max="5" width="9" style="22" customWidth="1"/>
    <col min="6" max="6" width="9.5" style="22" customWidth="1"/>
    <col min="7" max="7" width="11.8984375" style="22" customWidth="1"/>
    <col min="8" max="8" width="9.59765625" style="22" customWidth="1"/>
    <col min="9" max="9" width="9.296875" style="22" customWidth="1"/>
    <col min="10" max="10" width="12" style="22" customWidth="1"/>
    <col min="11" max="11" width="11.8984375" style="22" customWidth="1"/>
    <col min="12" max="12" width="15.09765625" style="22" customWidth="1"/>
    <col min="13" max="13" width="25.59765625" style="22" customWidth="1"/>
    <col min="14" max="16384" width="9" style="22"/>
  </cols>
  <sheetData>
    <row r="1" spans="1:17" s="465" customFormat="1" ht="19.95" customHeight="1">
      <c r="A1" s="787" t="s">
        <v>1039</v>
      </c>
      <c r="B1" s="794"/>
      <c r="C1" s="794"/>
      <c r="D1" s="794"/>
      <c r="E1" s="794"/>
      <c r="F1" s="794"/>
      <c r="G1" s="794"/>
      <c r="H1" s="794"/>
      <c r="I1" s="794"/>
      <c r="J1" s="794"/>
      <c r="K1" s="794"/>
      <c r="L1" s="794"/>
      <c r="M1" s="794"/>
    </row>
    <row r="2" spans="1:17" s="630" customFormat="1" ht="19.95" customHeight="1">
      <c r="A2" s="795" t="s">
        <v>1050</v>
      </c>
      <c r="B2" s="795"/>
      <c r="C2" s="795"/>
      <c r="D2" s="795"/>
      <c r="E2" s="795"/>
      <c r="F2" s="795"/>
      <c r="G2" s="795"/>
      <c r="H2" s="795"/>
      <c r="I2" s="795"/>
      <c r="J2" s="795"/>
      <c r="K2" s="795"/>
      <c r="L2" s="795"/>
      <c r="M2" s="795"/>
    </row>
    <row r="3" spans="1:17" s="631" customFormat="1" ht="19.95" customHeight="1">
      <c r="A3" s="308" t="str">
        <f>底稿目录!A2</f>
        <v>被审计单位：</v>
      </c>
      <c r="C3" s="308"/>
      <c r="D3" s="308"/>
      <c r="E3" s="308" t="str">
        <f>底稿目录!A4</f>
        <v>编制人：</v>
      </c>
      <c r="F3" s="632"/>
      <c r="I3" s="308" t="str">
        <f>底稿目录!A5</f>
        <v>编制日期：</v>
      </c>
      <c r="J3" s="599"/>
      <c r="L3" s="594" t="s">
        <v>1066</v>
      </c>
      <c r="M3" s="595" t="s">
        <v>286</v>
      </c>
    </row>
    <row r="4" spans="1:17" s="631" customFormat="1" ht="19.95" customHeight="1">
      <c r="A4" s="308" t="str">
        <f>底稿目录!A3</f>
        <v>截止日：202X年12月31日</v>
      </c>
      <c r="C4" s="308"/>
      <c r="D4" s="308"/>
      <c r="E4" s="308" t="str">
        <f>底稿目录!A6</f>
        <v>复核人：</v>
      </c>
      <c r="F4" s="632"/>
      <c r="G4" s="308"/>
      <c r="I4" s="308" t="str">
        <f>底稿目录!A7</f>
        <v>复核日期：</v>
      </c>
      <c r="J4" s="599"/>
      <c r="L4" s="594" t="s">
        <v>1065</v>
      </c>
      <c r="M4" s="596"/>
    </row>
    <row r="5" spans="1:17" s="634" customFormat="1" ht="19.95" customHeight="1">
      <c r="A5" s="633" t="s">
        <v>627</v>
      </c>
      <c r="B5" s="633"/>
      <c r="C5" s="633"/>
      <c r="D5" s="633"/>
      <c r="E5" s="633"/>
      <c r="F5" s="633"/>
      <c r="G5" s="633"/>
      <c r="H5" s="633"/>
      <c r="I5" s="633"/>
      <c r="J5" s="633"/>
      <c r="K5" s="633"/>
      <c r="L5" s="633"/>
      <c r="M5" s="633"/>
    </row>
    <row r="6" spans="1:17" s="634" customFormat="1" ht="19.95" customHeight="1">
      <c r="A6" s="635" t="s">
        <v>1149</v>
      </c>
      <c r="B6" s="609"/>
      <c r="C6" s="609"/>
      <c r="D6" s="609"/>
      <c r="E6" s="609"/>
      <c r="F6" s="609"/>
      <c r="G6" s="609"/>
      <c r="H6" s="609"/>
      <c r="I6" s="609"/>
      <c r="J6" s="609"/>
      <c r="K6" s="609"/>
      <c r="L6" s="609"/>
      <c r="M6" s="609"/>
    </row>
    <row r="7" spans="1:17" s="634" customFormat="1" ht="19.95" customHeight="1">
      <c r="A7" s="635" t="s">
        <v>267</v>
      </c>
      <c r="B7" s="609"/>
      <c r="C7" s="609"/>
      <c r="D7" s="609"/>
      <c r="E7" s="609"/>
      <c r="F7" s="609"/>
      <c r="G7" s="609"/>
      <c r="H7" s="609"/>
      <c r="I7" s="609"/>
      <c r="J7" s="609"/>
      <c r="K7" s="609"/>
      <c r="L7" s="609"/>
      <c r="M7" s="609"/>
    </row>
    <row r="8" spans="1:17" s="634" customFormat="1" ht="19.95" customHeight="1">
      <c r="A8" s="636" t="s">
        <v>495</v>
      </c>
      <c r="B8" s="636"/>
      <c r="C8" s="636"/>
      <c r="D8" s="636"/>
      <c r="E8" s="636"/>
      <c r="F8" s="636"/>
      <c r="G8" s="636"/>
      <c r="H8" s="636"/>
      <c r="I8" s="636"/>
      <c r="J8" s="636"/>
      <c r="K8" s="636"/>
      <c r="L8" s="636"/>
      <c r="M8" s="230"/>
    </row>
    <row r="9" spans="1:17" s="634" customFormat="1" ht="19.95" customHeight="1">
      <c r="A9" s="608" t="s">
        <v>628</v>
      </c>
      <c r="B9" s="637" t="s">
        <v>1148</v>
      </c>
      <c r="C9" s="612"/>
      <c r="D9" s="612"/>
      <c r="E9" s="612"/>
      <c r="F9" s="608"/>
      <c r="G9" s="608" t="s">
        <v>541</v>
      </c>
      <c r="H9" s="637" t="s">
        <v>629</v>
      </c>
      <c r="I9" s="612"/>
      <c r="J9" s="612"/>
      <c r="M9" s="612"/>
      <c r="N9" s="612"/>
      <c r="O9" s="612"/>
      <c r="P9" s="612"/>
      <c r="Q9" s="615"/>
    </row>
    <row r="10" spans="1:17" s="634" customFormat="1" ht="19.95" customHeight="1">
      <c r="A10" s="608" t="s">
        <v>496</v>
      </c>
      <c r="B10" s="637" t="s">
        <v>1150</v>
      </c>
      <c r="C10" s="612"/>
      <c r="D10" s="612"/>
      <c r="E10" s="612"/>
      <c r="F10" s="608"/>
      <c r="G10" s="608" t="s">
        <v>630</v>
      </c>
      <c r="H10" s="637" t="s">
        <v>631</v>
      </c>
      <c r="I10" s="637" t="s">
        <v>632</v>
      </c>
      <c r="M10" s="612"/>
      <c r="N10" s="612"/>
      <c r="O10" s="612"/>
      <c r="P10" s="612"/>
      <c r="Q10" s="615"/>
    </row>
    <row r="11" spans="1:17" s="634" customFormat="1" ht="19.95" customHeight="1">
      <c r="A11" s="608" t="s">
        <v>497</v>
      </c>
      <c r="B11" s="691" t="s">
        <v>1272</v>
      </c>
      <c r="C11" s="612"/>
      <c r="D11" s="612"/>
      <c r="E11" s="612"/>
      <c r="F11" s="608"/>
      <c r="G11" s="608" t="s">
        <v>516</v>
      </c>
      <c r="H11" s="637" t="s">
        <v>633</v>
      </c>
      <c r="I11" s="612"/>
      <c r="J11" s="612"/>
      <c r="M11" s="612"/>
      <c r="N11" s="612"/>
      <c r="O11" s="612"/>
      <c r="P11" s="612"/>
      <c r="Q11" s="615"/>
    </row>
    <row r="12" spans="1:17" s="634" customFormat="1" ht="19.95" customHeight="1">
      <c r="A12" s="636" t="s">
        <v>634</v>
      </c>
      <c r="B12" s="638"/>
      <c r="C12" s="638"/>
      <c r="D12" s="638"/>
      <c r="E12" s="639"/>
      <c r="F12" s="640"/>
      <c r="G12" s="230"/>
      <c r="H12" s="230"/>
      <c r="I12" s="230"/>
      <c r="J12" s="230"/>
      <c r="K12" s="230"/>
      <c r="L12" s="230"/>
      <c r="M12" s="230"/>
    </row>
    <row r="13" spans="1:17" s="631" customFormat="1" ht="19.95" customHeight="1">
      <c r="A13" s="308" t="s">
        <v>1143</v>
      </c>
      <c r="B13" s="641"/>
      <c r="C13" s="642" t="s">
        <v>1146</v>
      </c>
      <c r="D13" s="643" t="s">
        <v>1147</v>
      </c>
      <c r="E13" s="644"/>
      <c r="F13" s="644"/>
      <c r="G13" s="645"/>
      <c r="H13" s="645"/>
      <c r="I13" s="642" t="s">
        <v>1144</v>
      </c>
      <c r="J13" s="643" t="s">
        <v>1145</v>
      </c>
      <c r="L13" s="305" t="s">
        <v>635</v>
      </c>
      <c r="M13" s="305"/>
      <c r="N13" s="634"/>
      <c r="O13" s="634"/>
    </row>
    <row r="14" spans="1:17" s="59" customFormat="1" ht="19.95" customHeight="1">
      <c r="A14" s="456" t="s">
        <v>1033</v>
      </c>
      <c r="B14" s="218"/>
      <c r="C14" s="290"/>
      <c r="D14" s="290"/>
      <c r="E14" s="290"/>
      <c r="F14" s="290"/>
      <c r="M14" s="290"/>
    </row>
    <row r="15" spans="1:17" s="291" customFormat="1" ht="19.95" customHeight="1">
      <c r="A15" s="738" t="s">
        <v>613</v>
      </c>
      <c r="B15" s="738" t="s">
        <v>614</v>
      </c>
      <c r="C15" s="738" t="s">
        <v>615</v>
      </c>
      <c r="D15" s="738" t="s">
        <v>616</v>
      </c>
      <c r="E15" s="738" t="s">
        <v>617</v>
      </c>
      <c r="F15" s="791" t="s">
        <v>618</v>
      </c>
      <c r="G15" s="792"/>
      <c r="H15" s="789" t="s">
        <v>636</v>
      </c>
      <c r="I15" s="789" t="s">
        <v>637</v>
      </c>
      <c r="J15" s="789" t="s">
        <v>638</v>
      </c>
      <c r="K15" s="789" t="s">
        <v>639</v>
      </c>
      <c r="L15" s="789" t="s">
        <v>640</v>
      </c>
      <c r="M15" s="789" t="s">
        <v>1224</v>
      </c>
    </row>
    <row r="16" spans="1:17" s="291" customFormat="1" ht="19.95" customHeight="1">
      <c r="A16" s="738"/>
      <c r="B16" s="738"/>
      <c r="C16" s="738"/>
      <c r="D16" s="738"/>
      <c r="E16" s="738"/>
      <c r="F16" s="607" t="s">
        <v>620</v>
      </c>
      <c r="G16" s="607" t="s">
        <v>506</v>
      </c>
      <c r="H16" s="790"/>
      <c r="I16" s="790"/>
      <c r="J16" s="790"/>
      <c r="K16" s="790"/>
      <c r="L16" s="790"/>
      <c r="M16" s="790"/>
    </row>
    <row r="17" spans="1:13" s="59" customFormat="1" ht="19.95" customHeight="1">
      <c r="A17" s="214"/>
      <c r="B17" s="414"/>
      <c r="C17" s="417"/>
      <c r="D17" s="72"/>
      <c r="E17" s="292"/>
      <c r="F17" s="292"/>
      <c r="G17" s="292"/>
      <c r="H17" s="292"/>
      <c r="I17" s="292"/>
      <c r="J17" s="293">
        <f>I17-F17</f>
        <v>0</v>
      </c>
      <c r="K17" s="293">
        <f>I17-H17</f>
        <v>0</v>
      </c>
      <c r="L17" s="293">
        <f>H17-F17</f>
        <v>0</v>
      </c>
      <c r="M17" s="214"/>
    </row>
    <row r="18" spans="1:13" s="59" customFormat="1" ht="19.95" customHeight="1">
      <c r="A18" s="214"/>
      <c r="B18" s="414"/>
      <c r="C18" s="417"/>
      <c r="D18" s="72"/>
      <c r="E18" s="292"/>
      <c r="F18" s="292"/>
      <c r="G18" s="292"/>
      <c r="H18" s="292"/>
      <c r="I18" s="292"/>
      <c r="J18" s="293">
        <f t="shared" ref="J18:J26" si="0">I18-F18</f>
        <v>0</v>
      </c>
      <c r="K18" s="293">
        <f t="shared" ref="K18:K26" si="1">I18-H18</f>
        <v>0</v>
      </c>
      <c r="L18" s="293">
        <f t="shared" ref="L18:L26" si="2">H18-F18</f>
        <v>0</v>
      </c>
      <c r="M18" s="214"/>
    </row>
    <row r="19" spans="1:13" s="59" customFormat="1" ht="19.95" customHeight="1">
      <c r="A19" s="214"/>
      <c r="B19" s="414"/>
      <c r="C19" s="417"/>
      <c r="D19" s="72"/>
      <c r="E19" s="292"/>
      <c r="F19" s="292"/>
      <c r="G19" s="292"/>
      <c r="H19" s="292"/>
      <c r="I19" s="292"/>
      <c r="J19" s="293">
        <f t="shared" si="0"/>
        <v>0</v>
      </c>
      <c r="K19" s="293">
        <f t="shared" si="1"/>
        <v>0</v>
      </c>
      <c r="L19" s="293">
        <f t="shared" si="2"/>
        <v>0</v>
      </c>
      <c r="M19" s="214"/>
    </row>
    <row r="20" spans="1:13" s="59" customFormat="1" ht="19.95" customHeight="1">
      <c r="A20" s="214"/>
      <c r="B20" s="414"/>
      <c r="C20" s="417"/>
      <c r="D20" s="72"/>
      <c r="E20" s="292"/>
      <c r="F20" s="292"/>
      <c r="G20" s="292"/>
      <c r="H20" s="292"/>
      <c r="I20" s="292"/>
      <c r="J20" s="293">
        <f t="shared" si="0"/>
        <v>0</v>
      </c>
      <c r="K20" s="293">
        <f t="shared" si="1"/>
        <v>0</v>
      </c>
      <c r="L20" s="293">
        <f t="shared" si="2"/>
        <v>0</v>
      </c>
      <c r="M20" s="214"/>
    </row>
    <row r="21" spans="1:13" s="59" customFormat="1" ht="19.95" customHeight="1">
      <c r="A21" s="214"/>
      <c r="B21" s="414"/>
      <c r="C21" s="417"/>
      <c r="D21" s="72"/>
      <c r="E21" s="292"/>
      <c r="F21" s="292"/>
      <c r="G21" s="292"/>
      <c r="H21" s="292"/>
      <c r="I21" s="292"/>
      <c r="J21" s="293">
        <f t="shared" si="0"/>
        <v>0</v>
      </c>
      <c r="K21" s="293">
        <f t="shared" si="1"/>
        <v>0</v>
      </c>
      <c r="L21" s="293">
        <f t="shared" si="2"/>
        <v>0</v>
      </c>
      <c r="M21" s="214"/>
    </row>
    <row r="22" spans="1:13" s="59" customFormat="1" ht="19.95" customHeight="1">
      <c r="A22" s="214"/>
      <c r="B22" s="414"/>
      <c r="C22" s="417"/>
      <c r="D22" s="72"/>
      <c r="E22" s="292"/>
      <c r="F22" s="292"/>
      <c r="G22" s="292"/>
      <c r="H22" s="292"/>
      <c r="I22" s="292"/>
      <c r="J22" s="293">
        <f t="shared" si="0"/>
        <v>0</v>
      </c>
      <c r="K22" s="293">
        <f t="shared" si="1"/>
        <v>0</v>
      </c>
      <c r="L22" s="293">
        <f t="shared" si="2"/>
        <v>0</v>
      </c>
      <c r="M22" s="214"/>
    </row>
    <row r="23" spans="1:13" s="59" customFormat="1" ht="19.95" customHeight="1">
      <c r="A23" s="214"/>
      <c r="B23" s="414"/>
      <c r="C23" s="417"/>
      <c r="D23" s="72"/>
      <c r="E23" s="292"/>
      <c r="F23" s="292"/>
      <c r="G23" s="292"/>
      <c r="H23" s="292"/>
      <c r="I23" s="292"/>
      <c r="J23" s="293">
        <f t="shared" si="0"/>
        <v>0</v>
      </c>
      <c r="K23" s="293">
        <f t="shared" si="1"/>
        <v>0</v>
      </c>
      <c r="L23" s="293">
        <f t="shared" si="2"/>
        <v>0</v>
      </c>
      <c r="M23" s="214"/>
    </row>
    <row r="24" spans="1:13" s="59" customFormat="1" ht="19.95" customHeight="1">
      <c r="A24" s="214"/>
      <c r="B24" s="414"/>
      <c r="C24" s="417"/>
      <c r="D24" s="72"/>
      <c r="E24" s="292"/>
      <c r="F24" s="292"/>
      <c r="G24" s="292"/>
      <c r="H24" s="292"/>
      <c r="I24" s="292"/>
      <c r="J24" s="293">
        <f t="shared" si="0"/>
        <v>0</v>
      </c>
      <c r="K24" s="293">
        <f t="shared" si="1"/>
        <v>0</v>
      </c>
      <c r="L24" s="293">
        <f t="shared" si="2"/>
        <v>0</v>
      </c>
      <c r="M24" s="214"/>
    </row>
    <row r="25" spans="1:13" s="59" customFormat="1" ht="19.95" customHeight="1">
      <c r="A25" s="214"/>
      <c r="B25" s="414"/>
      <c r="C25" s="417"/>
      <c r="D25" s="72"/>
      <c r="E25" s="292"/>
      <c r="F25" s="292"/>
      <c r="G25" s="292"/>
      <c r="H25" s="292"/>
      <c r="I25" s="292"/>
      <c r="J25" s="293">
        <f t="shared" si="0"/>
        <v>0</v>
      </c>
      <c r="K25" s="293">
        <f t="shared" si="1"/>
        <v>0</v>
      </c>
      <c r="L25" s="293">
        <f t="shared" si="2"/>
        <v>0</v>
      </c>
      <c r="M25" s="214"/>
    </row>
    <row r="26" spans="1:13" s="59" customFormat="1" ht="19.95" customHeight="1">
      <c r="A26" s="214"/>
      <c r="B26" s="414"/>
      <c r="C26" s="417"/>
      <c r="D26" s="72"/>
      <c r="E26" s="292"/>
      <c r="F26" s="292"/>
      <c r="G26" s="292"/>
      <c r="H26" s="292"/>
      <c r="I26" s="292"/>
      <c r="J26" s="293">
        <f t="shared" si="0"/>
        <v>0</v>
      </c>
      <c r="K26" s="293">
        <f t="shared" si="1"/>
        <v>0</v>
      </c>
      <c r="L26" s="293">
        <f t="shared" si="2"/>
        <v>0</v>
      </c>
      <c r="M26" s="214"/>
    </row>
    <row r="27" spans="1:13" s="59" customFormat="1" ht="19.95" customHeight="1">
      <c r="A27" s="294" t="s">
        <v>411</v>
      </c>
      <c r="B27" s="294"/>
      <c r="C27" s="294"/>
      <c r="D27" s="295"/>
      <c r="E27" s="295"/>
      <c r="F27" s="296">
        <f t="shared" ref="F27:L27" si="3">SUM(F17:F26)</f>
        <v>0</v>
      </c>
      <c r="G27" s="296">
        <f t="shared" si="3"/>
        <v>0</v>
      </c>
      <c r="H27" s="296">
        <f t="shared" si="3"/>
        <v>0</v>
      </c>
      <c r="I27" s="296">
        <f t="shared" si="3"/>
        <v>0</v>
      </c>
      <c r="J27" s="296">
        <f t="shared" si="3"/>
        <v>0</v>
      </c>
      <c r="K27" s="296">
        <f t="shared" si="3"/>
        <v>0</v>
      </c>
      <c r="L27" s="296">
        <f t="shared" si="3"/>
        <v>0</v>
      </c>
      <c r="M27" s="297"/>
    </row>
    <row r="28" spans="1:13" s="646" customFormat="1" ht="19.95" customHeight="1">
      <c r="A28" s="799" t="s">
        <v>621</v>
      </c>
      <c r="B28" s="800"/>
      <c r="C28" s="800"/>
      <c r="D28" s="800"/>
      <c r="E28" s="801"/>
      <c r="F28" s="204"/>
      <c r="G28" s="132"/>
      <c r="H28" s="204"/>
      <c r="I28" s="204"/>
      <c r="J28" s="204"/>
      <c r="K28" s="204"/>
      <c r="L28" s="204"/>
      <c r="M28" s="204"/>
    </row>
    <row r="29" spans="1:13" s="646" customFormat="1" ht="19.95" customHeight="1">
      <c r="A29" s="799" t="s">
        <v>622</v>
      </c>
      <c r="B29" s="800"/>
      <c r="C29" s="800"/>
      <c r="D29" s="800"/>
      <c r="E29" s="801"/>
      <c r="F29" s="204"/>
      <c r="G29" s="647" t="e">
        <f>G27/G28</f>
        <v>#DIV/0!</v>
      </c>
      <c r="H29" s="204"/>
      <c r="I29" s="204"/>
      <c r="J29" s="204"/>
      <c r="K29" s="204"/>
      <c r="L29" s="204"/>
      <c r="M29" s="204"/>
    </row>
    <row r="30" spans="1:13" s="305" customFormat="1" ht="19.95" customHeight="1">
      <c r="A30" s="304"/>
      <c r="B30" s="304"/>
      <c r="C30" s="304"/>
      <c r="D30" s="304"/>
      <c r="E30" s="304"/>
      <c r="F30" s="303"/>
      <c r="G30" s="303"/>
      <c r="H30" s="303"/>
      <c r="I30" s="303"/>
      <c r="J30" s="303"/>
      <c r="K30" s="303"/>
      <c r="L30" s="303"/>
      <c r="M30" s="303"/>
    </row>
    <row r="31" spans="1:13" s="59" customFormat="1" ht="19.95" customHeight="1">
      <c r="A31" s="457" t="s">
        <v>1034</v>
      </c>
      <c r="B31" s="309"/>
      <c r="C31" s="298"/>
      <c r="D31" s="299"/>
      <c r="E31" s="299"/>
      <c r="F31" s="300"/>
      <c r="G31" s="301"/>
      <c r="H31" s="300"/>
      <c r="I31" s="300"/>
      <c r="J31" s="300"/>
      <c r="K31" s="301"/>
      <c r="L31" s="301"/>
      <c r="M31" s="302"/>
    </row>
    <row r="32" spans="1:13" s="646" customFormat="1" ht="19.95" customHeight="1">
      <c r="A32" s="738" t="s">
        <v>613</v>
      </c>
      <c r="B32" s="738" t="s">
        <v>614</v>
      </c>
      <c r="C32" s="738" t="s">
        <v>615</v>
      </c>
      <c r="D32" s="738" t="s">
        <v>641</v>
      </c>
      <c r="E32" s="738" t="s">
        <v>617</v>
      </c>
      <c r="F32" s="791" t="s">
        <v>618</v>
      </c>
      <c r="G32" s="792"/>
      <c r="H32" s="789" t="s">
        <v>642</v>
      </c>
      <c r="I32" s="789" t="s">
        <v>637</v>
      </c>
      <c r="J32" s="789" t="s">
        <v>638</v>
      </c>
      <c r="K32" s="789" t="s">
        <v>643</v>
      </c>
      <c r="L32" s="789" t="s">
        <v>640</v>
      </c>
      <c r="M32" s="793" t="s">
        <v>1151</v>
      </c>
    </row>
    <row r="33" spans="1:13" s="646" customFormat="1" ht="19.95" customHeight="1">
      <c r="A33" s="738"/>
      <c r="B33" s="738"/>
      <c r="C33" s="738"/>
      <c r="D33" s="738"/>
      <c r="E33" s="738"/>
      <c r="F33" s="607" t="s">
        <v>620</v>
      </c>
      <c r="G33" s="607" t="s">
        <v>506</v>
      </c>
      <c r="H33" s="790"/>
      <c r="I33" s="790"/>
      <c r="J33" s="790"/>
      <c r="K33" s="790"/>
      <c r="L33" s="790"/>
      <c r="M33" s="790"/>
    </row>
    <row r="34" spans="1:13" s="59" customFormat="1" ht="19.95" customHeight="1">
      <c r="A34" s="214"/>
      <c r="B34" s="414"/>
      <c r="C34" s="417"/>
      <c r="D34" s="72"/>
      <c r="E34" s="292"/>
      <c r="F34" s="292"/>
      <c r="G34" s="292"/>
      <c r="H34" s="292"/>
      <c r="I34" s="292"/>
      <c r="J34" s="293">
        <f t="shared" ref="J34:J44" si="4">I34-F34</f>
        <v>0</v>
      </c>
      <c r="K34" s="293">
        <f>I34-H34</f>
        <v>0</v>
      </c>
      <c r="L34" s="293">
        <f>H34-F34</f>
        <v>0</v>
      </c>
      <c r="M34" s="214"/>
    </row>
    <row r="35" spans="1:13" s="59" customFormat="1" ht="19.95" customHeight="1">
      <c r="A35" s="214"/>
      <c r="B35" s="414"/>
      <c r="C35" s="417"/>
      <c r="D35" s="72"/>
      <c r="E35" s="292"/>
      <c r="F35" s="292"/>
      <c r="G35" s="292"/>
      <c r="H35" s="292"/>
      <c r="I35" s="292"/>
      <c r="J35" s="293">
        <f t="shared" si="4"/>
        <v>0</v>
      </c>
      <c r="K35" s="293">
        <f t="shared" ref="K35:K44" si="5">I35-H35</f>
        <v>0</v>
      </c>
      <c r="L35" s="293">
        <f t="shared" ref="L35:L43" si="6">H35-F35</f>
        <v>0</v>
      </c>
      <c r="M35" s="214"/>
    </row>
    <row r="36" spans="1:13" s="59" customFormat="1" ht="19.95" customHeight="1">
      <c r="A36" s="214"/>
      <c r="B36" s="414"/>
      <c r="C36" s="417"/>
      <c r="D36" s="72"/>
      <c r="E36" s="292"/>
      <c r="F36" s="292"/>
      <c r="G36" s="292"/>
      <c r="H36" s="292"/>
      <c r="I36" s="292"/>
      <c r="J36" s="293">
        <f t="shared" si="4"/>
        <v>0</v>
      </c>
      <c r="K36" s="293">
        <f t="shared" si="5"/>
        <v>0</v>
      </c>
      <c r="L36" s="293">
        <f t="shared" si="6"/>
        <v>0</v>
      </c>
      <c r="M36" s="214"/>
    </row>
    <row r="37" spans="1:13" s="59" customFormat="1" ht="19.95" customHeight="1">
      <c r="A37" s="214"/>
      <c r="B37" s="414"/>
      <c r="C37" s="417"/>
      <c r="D37" s="72"/>
      <c r="E37" s="292"/>
      <c r="F37" s="292"/>
      <c r="G37" s="292"/>
      <c r="H37" s="292"/>
      <c r="I37" s="292"/>
      <c r="J37" s="293">
        <f t="shared" si="4"/>
        <v>0</v>
      </c>
      <c r="K37" s="293">
        <f t="shared" si="5"/>
        <v>0</v>
      </c>
      <c r="L37" s="293">
        <f t="shared" si="6"/>
        <v>0</v>
      </c>
      <c r="M37" s="214"/>
    </row>
    <row r="38" spans="1:13" s="59" customFormat="1" ht="19.95" customHeight="1">
      <c r="A38" s="214"/>
      <c r="B38" s="414"/>
      <c r="C38" s="417"/>
      <c r="D38" s="72"/>
      <c r="E38" s="292"/>
      <c r="F38" s="292"/>
      <c r="G38" s="292"/>
      <c r="H38" s="292"/>
      <c r="I38" s="292"/>
      <c r="J38" s="293">
        <f t="shared" si="4"/>
        <v>0</v>
      </c>
      <c r="K38" s="293">
        <f t="shared" si="5"/>
        <v>0</v>
      </c>
      <c r="L38" s="293">
        <f t="shared" si="6"/>
        <v>0</v>
      </c>
      <c r="M38" s="214"/>
    </row>
    <row r="39" spans="1:13" s="59" customFormat="1" ht="19.95" customHeight="1">
      <c r="A39" s="214"/>
      <c r="B39" s="414"/>
      <c r="C39" s="417"/>
      <c r="D39" s="72"/>
      <c r="E39" s="292"/>
      <c r="F39" s="292"/>
      <c r="G39" s="292"/>
      <c r="H39" s="292"/>
      <c r="I39" s="292"/>
      <c r="J39" s="293">
        <f t="shared" si="4"/>
        <v>0</v>
      </c>
      <c r="K39" s="293">
        <f t="shared" si="5"/>
        <v>0</v>
      </c>
      <c r="L39" s="293">
        <f t="shared" si="6"/>
        <v>0</v>
      </c>
      <c r="M39" s="214"/>
    </row>
    <row r="40" spans="1:13" s="59" customFormat="1" ht="19.95" customHeight="1">
      <c r="A40" s="214"/>
      <c r="B40" s="414"/>
      <c r="C40" s="417"/>
      <c r="D40" s="72"/>
      <c r="E40" s="292"/>
      <c r="F40" s="292"/>
      <c r="G40" s="292"/>
      <c r="H40" s="292"/>
      <c r="I40" s="292"/>
      <c r="J40" s="293">
        <f t="shared" si="4"/>
        <v>0</v>
      </c>
      <c r="K40" s="293">
        <f t="shared" si="5"/>
        <v>0</v>
      </c>
      <c r="L40" s="293">
        <f t="shared" si="6"/>
        <v>0</v>
      </c>
      <c r="M40" s="214"/>
    </row>
    <row r="41" spans="1:13" s="59" customFormat="1" ht="19.95" customHeight="1">
      <c r="A41" s="214"/>
      <c r="B41" s="414"/>
      <c r="C41" s="417"/>
      <c r="D41" s="72"/>
      <c r="E41" s="292"/>
      <c r="F41" s="292"/>
      <c r="G41" s="292"/>
      <c r="H41" s="292"/>
      <c r="I41" s="292"/>
      <c r="J41" s="293">
        <f t="shared" si="4"/>
        <v>0</v>
      </c>
      <c r="K41" s="293">
        <f t="shared" si="5"/>
        <v>0</v>
      </c>
      <c r="L41" s="293">
        <f t="shared" si="6"/>
        <v>0</v>
      </c>
      <c r="M41" s="214"/>
    </row>
    <row r="42" spans="1:13" s="59" customFormat="1" ht="19.95" customHeight="1">
      <c r="A42" s="214"/>
      <c r="B42" s="414"/>
      <c r="C42" s="417"/>
      <c r="D42" s="72"/>
      <c r="E42" s="292"/>
      <c r="F42" s="292"/>
      <c r="G42" s="292"/>
      <c r="H42" s="292"/>
      <c r="I42" s="292"/>
      <c r="J42" s="293">
        <f t="shared" si="4"/>
        <v>0</v>
      </c>
      <c r="K42" s="293">
        <f t="shared" si="5"/>
        <v>0</v>
      </c>
      <c r="L42" s="293">
        <f t="shared" si="6"/>
        <v>0</v>
      </c>
      <c r="M42" s="214"/>
    </row>
    <row r="43" spans="1:13" s="59" customFormat="1" ht="19.95" customHeight="1">
      <c r="A43" s="214"/>
      <c r="B43" s="414"/>
      <c r="C43" s="417"/>
      <c r="D43" s="72"/>
      <c r="E43" s="292"/>
      <c r="F43" s="292"/>
      <c r="G43" s="292"/>
      <c r="H43" s="292"/>
      <c r="I43" s="292"/>
      <c r="J43" s="293">
        <f t="shared" si="4"/>
        <v>0</v>
      </c>
      <c r="K43" s="293">
        <f t="shared" si="5"/>
        <v>0</v>
      </c>
      <c r="L43" s="293">
        <f t="shared" si="6"/>
        <v>0</v>
      </c>
      <c r="M43" s="214"/>
    </row>
    <row r="44" spans="1:13" s="59" customFormat="1" ht="19.95" customHeight="1">
      <c r="A44" s="214"/>
      <c r="B44" s="414"/>
      <c r="C44" s="417"/>
      <c r="D44" s="72"/>
      <c r="E44" s="292"/>
      <c r="F44" s="292"/>
      <c r="G44" s="292"/>
      <c r="H44" s="292"/>
      <c r="I44" s="292"/>
      <c r="J44" s="293">
        <f t="shared" si="4"/>
        <v>0</v>
      </c>
      <c r="K44" s="293">
        <f t="shared" si="5"/>
        <v>0</v>
      </c>
      <c r="L44" s="293">
        <f>H44-F44</f>
        <v>0</v>
      </c>
      <c r="M44" s="214"/>
    </row>
    <row r="45" spans="1:13" s="59" customFormat="1" ht="19.95" customHeight="1">
      <c r="A45" s="294" t="s">
        <v>411</v>
      </c>
      <c r="B45" s="294"/>
      <c r="C45" s="294"/>
      <c r="D45" s="295"/>
      <c r="E45" s="295"/>
      <c r="F45" s="296">
        <f t="shared" ref="F45:L45" si="7">SUM(F34:F44)</f>
        <v>0</v>
      </c>
      <c r="G45" s="296">
        <f t="shared" si="7"/>
        <v>0</v>
      </c>
      <c r="H45" s="296">
        <f t="shared" si="7"/>
        <v>0</v>
      </c>
      <c r="I45" s="296">
        <f t="shared" si="7"/>
        <v>0</v>
      </c>
      <c r="J45" s="296">
        <f t="shared" si="7"/>
        <v>0</v>
      </c>
      <c r="K45" s="296">
        <f t="shared" si="7"/>
        <v>0</v>
      </c>
      <c r="L45" s="296">
        <f t="shared" si="7"/>
        <v>0</v>
      </c>
      <c r="M45" s="297"/>
    </row>
    <row r="46" spans="1:13" s="566" customFormat="1" ht="19.95" customHeight="1">
      <c r="A46" s="796" t="s">
        <v>621</v>
      </c>
      <c r="B46" s="797"/>
      <c r="C46" s="797"/>
      <c r="D46" s="797"/>
      <c r="E46" s="798"/>
      <c r="F46" s="628"/>
      <c r="G46" s="132"/>
      <c r="H46" s="628"/>
      <c r="I46" s="628"/>
      <c r="J46" s="628"/>
      <c r="K46" s="628"/>
      <c r="L46" s="628"/>
      <c r="M46" s="628"/>
    </row>
    <row r="47" spans="1:13" s="566" customFormat="1" ht="19.95" customHeight="1">
      <c r="A47" s="796" t="s">
        <v>622</v>
      </c>
      <c r="B47" s="797"/>
      <c r="C47" s="797"/>
      <c r="D47" s="797"/>
      <c r="E47" s="798"/>
      <c r="F47" s="628"/>
      <c r="G47" s="629" t="e">
        <f>G45/G46</f>
        <v>#DIV/0!</v>
      </c>
      <c r="H47" s="628"/>
      <c r="I47" s="628"/>
      <c r="J47" s="628"/>
      <c r="K47" s="628"/>
      <c r="L47" s="628"/>
      <c r="M47" s="628"/>
    </row>
    <row r="48" spans="1:13" s="308" customFormat="1" ht="19.95" customHeight="1">
      <c r="A48" s="307"/>
      <c r="B48" s="307"/>
      <c r="C48" s="307"/>
      <c r="D48" s="307"/>
      <c r="E48" s="307"/>
      <c r="F48" s="306"/>
      <c r="G48" s="306"/>
      <c r="H48" s="306"/>
      <c r="I48" s="306"/>
      <c r="J48" s="306"/>
      <c r="K48" s="306"/>
      <c r="L48" s="306"/>
      <c r="M48" s="306"/>
    </row>
    <row r="49" spans="1:13" ht="19.95" customHeight="1">
      <c r="A49" s="156" t="s">
        <v>623</v>
      </c>
      <c r="B49" s="18"/>
      <c r="C49" s="18"/>
      <c r="D49" s="18"/>
      <c r="E49" s="18"/>
      <c r="F49" s="18"/>
      <c r="G49" s="18"/>
      <c r="H49" s="18"/>
      <c r="I49" s="18"/>
      <c r="J49" s="18"/>
      <c r="K49" s="18"/>
      <c r="L49" s="18"/>
      <c r="M49" s="18"/>
    </row>
    <row r="50" spans="1:13" ht="19.95" customHeight="1">
      <c r="A50" s="2"/>
      <c r="B50" s="2"/>
      <c r="C50" s="2"/>
      <c r="D50" s="2"/>
      <c r="E50" s="2"/>
      <c r="F50" s="2"/>
      <c r="G50" s="2"/>
      <c r="H50" s="2"/>
      <c r="I50" s="2"/>
      <c r="J50" s="2"/>
      <c r="K50" s="2"/>
      <c r="L50" s="2"/>
      <c r="M50" s="2"/>
    </row>
    <row r="51" spans="1:13" ht="19.95" customHeight="1">
      <c r="A51" s="2"/>
      <c r="B51" s="2"/>
      <c r="C51" s="2"/>
      <c r="D51" s="2"/>
      <c r="E51" s="2"/>
      <c r="F51" s="2"/>
      <c r="G51" s="2"/>
      <c r="H51" s="2"/>
      <c r="I51" s="2"/>
      <c r="J51" s="2"/>
      <c r="K51" s="2"/>
      <c r="L51" s="2"/>
      <c r="M51" s="2"/>
    </row>
    <row r="52" spans="1:13" ht="19.95" customHeight="1">
      <c r="A52" s="26" t="s">
        <v>536</v>
      </c>
      <c r="B52" s="2"/>
      <c r="C52" s="2"/>
      <c r="D52" s="2"/>
      <c r="E52" s="2"/>
      <c r="F52" s="2"/>
      <c r="G52" s="2"/>
      <c r="H52" s="2"/>
      <c r="I52" s="2"/>
      <c r="J52" s="2"/>
      <c r="K52" s="2"/>
      <c r="L52" s="2"/>
      <c r="M52" s="2"/>
    </row>
    <row r="53" spans="1:13" ht="19.95" customHeight="1">
      <c r="A53" s="2"/>
      <c r="B53" s="2"/>
      <c r="C53" s="2"/>
      <c r="D53" s="2"/>
      <c r="E53" s="2"/>
      <c r="F53" s="2"/>
      <c r="G53" s="2"/>
      <c r="H53" s="2"/>
      <c r="I53" s="2"/>
      <c r="J53" s="2"/>
      <c r="K53" s="2"/>
      <c r="L53" s="2"/>
      <c r="M53" s="2"/>
    </row>
    <row r="55" spans="1:13" ht="19.95" customHeight="1">
      <c r="A55" s="505" t="s">
        <v>1099</v>
      </c>
      <c r="B55" s="56"/>
      <c r="C55" s="56"/>
    </row>
    <row r="56" spans="1:13" ht="19.95" customHeight="1">
      <c r="A56" s="19" t="s">
        <v>644</v>
      </c>
      <c r="B56" s="19"/>
      <c r="C56" s="19"/>
      <c r="D56" s="2"/>
      <c r="E56" s="2"/>
      <c r="F56" s="2"/>
      <c r="G56" s="2"/>
      <c r="H56" s="2"/>
      <c r="I56" s="2"/>
      <c r="J56" s="2"/>
      <c r="K56" s="2"/>
      <c r="L56" s="2"/>
      <c r="M56" s="2"/>
    </row>
    <row r="57" spans="1:13" ht="19.95" customHeight="1">
      <c r="A57" s="19" t="s">
        <v>624</v>
      </c>
      <c r="B57" s="19"/>
      <c r="C57" s="19"/>
      <c r="D57" s="2"/>
      <c r="E57" s="2"/>
      <c r="F57" s="2"/>
      <c r="G57" s="2"/>
      <c r="H57" s="2"/>
      <c r="I57" s="2"/>
      <c r="J57" s="2"/>
      <c r="K57" s="2"/>
      <c r="L57" s="2"/>
      <c r="M57" s="2"/>
    </row>
    <row r="58" spans="1:13" ht="19.95" customHeight="1">
      <c r="A58" s="19" t="s">
        <v>625</v>
      </c>
      <c r="B58" s="19"/>
      <c r="C58" s="19"/>
      <c r="D58" s="2"/>
      <c r="E58" s="2"/>
      <c r="F58" s="2"/>
      <c r="G58" s="2"/>
      <c r="H58" s="2"/>
      <c r="I58" s="2"/>
      <c r="J58" s="2"/>
      <c r="K58" s="2"/>
      <c r="L58" s="2"/>
      <c r="M58" s="2"/>
    </row>
    <row r="59" spans="1:13" ht="19.95" customHeight="1">
      <c r="A59" s="19" t="s">
        <v>645</v>
      </c>
      <c r="B59" s="19"/>
      <c r="C59" s="19"/>
      <c r="D59" s="2"/>
      <c r="E59" s="2"/>
      <c r="F59" s="2"/>
      <c r="G59" s="2"/>
      <c r="H59" s="2"/>
      <c r="I59" s="2"/>
      <c r="J59" s="2"/>
      <c r="K59" s="2"/>
      <c r="L59" s="2"/>
      <c r="M59" s="2"/>
    </row>
    <row r="60" spans="1:13" ht="19.95" customHeight="1">
      <c r="A60" s="19" t="s">
        <v>626</v>
      </c>
      <c r="B60" s="19"/>
      <c r="C60" s="19"/>
      <c r="D60" s="2"/>
      <c r="E60" s="2"/>
      <c r="F60" s="2"/>
      <c r="G60" s="2"/>
      <c r="H60" s="2"/>
      <c r="I60" s="2"/>
      <c r="J60" s="2"/>
      <c r="K60" s="2"/>
      <c r="L60" s="2"/>
      <c r="M60" s="2"/>
    </row>
    <row r="61" spans="1:13" ht="19.95" customHeight="1">
      <c r="A61" s="19"/>
      <c r="B61" s="19"/>
      <c r="C61" s="19"/>
      <c r="D61" s="2"/>
      <c r="E61" s="2"/>
      <c r="F61" s="2"/>
      <c r="G61" s="2"/>
      <c r="H61" s="2"/>
      <c r="I61" s="2"/>
      <c r="J61" s="2"/>
      <c r="K61" s="2"/>
      <c r="L61" s="2"/>
      <c r="M61" s="2"/>
    </row>
    <row r="62" spans="1:13" ht="19.95" customHeight="1">
      <c r="A62" s="19"/>
      <c r="B62" s="19"/>
      <c r="C62" s="19"/>
      <c r="D62" s="2"/>
      <c r="E62" s="2"/>
      <c r="F62" s="2"/>
      <c r="G62" s="2"/>
      <c r="H62" s="2"/>
      <c r="I62" s="2"/>
      <c r="J62" s="2"/>
      <c r="K62" s="2"/>
      <c r="L62" s="2"/>
      <c r="M62" s="2"/>
    </row>
    <row r="63" spans="1:13" ht="19.95" customHeight="1">
      <c r="A63" s="19"/>
      <c r="B63" s="19"/>
      <c r="C63" s="19"/>
      <c r="D63" s="2"/>
      <c r="E63" s="2"/>
      <c r="F63" s="2"/>
      <c r="G63" s="2"/>
      <c r="H63" s="2"/>
      <c r="I63" s="2"/>
      <c r="J63" s="2"/>
      <c r="K63" s="2"/>
      <c r="L63" s="2"/>
      <c r="M63" s="2"/>
    </row>
    <row r="64" spans="1:13" ht="19.95" customHeight="1">
      <c r="A64" s="2"/>
      <c r="B64" s="2"/>
      <c r="C64" s="2"/>
      <c r="D64" s="2"/>
      <c r="E64" s="2"/>
      <c r="F64" s="2"/>
      <c r="G64" s="2"/>
      <c r="H64" s="2"/>
      <c r="I64" s="2"/>
      <c r="J64" s="2"/>
      <c r="K64" s="2"/>
      <c r="L64" s="2"/>
      <c r="M64" s="2"/>
    </row>
    <row r="65" spans="1:13" ht="19.95" customHeight="1">
      <c r="A65" s="2"/>
      <c r="B65" s="2"/>
      <c r="C65" s="2"/>
      <c r="D65" s="2"/>
      <c r="E65" s="2"/>
      <c r="F65" s="2"/>
      <c r="G65" s="2"/>
      <c r="H65" s="2"/>
      <c r="I65" s="2"/>
      <c r="J65" s="2"/>
      <c r="K65" s="2"/>
      <c r="L65" s="2"/>
      <c r="M65" s="2"/>
    </row>
  </sheetData>
  <mergeCells count="30">
    <mergeCell ref="A1:M1"/>
    <mergeCell ref="A2:M2"/>
    <mergeCell ref="A46:E46"/>
    <mergeCell ref="A47:E47"/>
    <mergeCell ref="J15:J16"/>
    <mergeCell ref="K15:K16"/>
    <mergeCell ref="C15:C16"/>
    <mergeCell ref="D15:D16"/>
    <mergeCell ref="E15:E16"/>
    <mergeCell ref="A15:A16"/>
    <mergeCell ref="B15:B16"/>
    <mergeCell ref="F15:G15"/>
    <mergeCell ref="H15:H16"/>
    <mergeCell ref="I15:I16"/>
    <mergeCell ref="A28:E28"/>
    <mergeCell ref="A29:E29"/>
    <mergeCell ref="L15:L16"/>
    <mergeCell ref="M15:M16"/>
    <mergeCell ref="A32:A33"/>
    <mergeCell ref="B32:B33"/>
    <mergeCell ref="C32:C33"/>
    <mergeCell ref="D32:D33"/>
    <mergeCell ref="E32:E33"/>
    <mergeCell ref="F32:G32"/>
    <mergeCell ref="H32:H33"/>
    <mergeCell ref="I32:I33"/>
    <mergeCell ref="J32:J33"/>
    <mergeCell ref="K32:K33"/>
    <mergeCell ref="L32:L33"/>
    <mergeCell ref="M32:M33"/>
  </mergeCells>
  <phoneticPr fontId="10" type="noConversion"/>
  <hyperlinks>
    <hyperlink ref="M3" location="底稿目录!A1" display="H1-10"/>
  </hyperlinks>
  <printOptions horizontalCentered="1"/>
  <pageMargins left="0.51181102362204722" right="0.31496062992125984" top="0.55118110236220474" bottom="0.35433070866141736" header="0.51181102362204722" footer="0.19685039370078741"/>
  <pageSetup paperSize="9" scale="74" fitToHeight="50" orientation="landscape" blackAndWhite="1" r:id="rId1"/>
  <headerFooter alignWithMargins="0">
    <oddFooter>&amp;C&amp;P/&amp;N</oddFooter>
  </headerFooter>
  <rowBreaks count="1" manualBreakCount="1">
    <brk id="30"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J125"/>
  <sheetViews>
    <sheetView view="pageBreakPreview" zoomScaleSheetLayoutView="100" workbookViewId="0">
      <selection sqref="A1:I1"/>
    </sheetView>
  </sheetViews>
  <sheetFormatPr defaultRowHeight="19.95" customHeight="1"/>
  <cols>
    <col min="1" max="1" width="9" style="33"/>
    <col min="2" max="2" width="15.19921875" style="33" customWidth="1"/>
    <col min="3" max="3" width="11.19921875" style="33" customWidth="1"/>
    <col min="4" max="4" width="10" style="33" customWidth="1"/>
    <col min="5" max="5" width="11.09765625" style="33" customWidth="1"/>
    <col min="6" max="9" width="9" style="33"/>
    <col min="10" max="11" width="8.796875" style="33"/>
    <col min="12" max="12" width="9.19921875" style="33" bestFit="1" customWidth="1"/>
    <col min="13" max="16384" width="8.796875" style="33"/>
  </cols>
  <sheetData>
    <row r="1" spans="1:9" s="468" customFormat="1" ht="19.95" customHeight="1">
      <c r="A1" s="787" t="s">
        <v>1039</v>
      </c>
      <c r="B1" s="794"/>
      <c r="C1" s="794"/>
      <c r="D1" s="794"/>
      <c r="E1" s="794"/>
      <c r="F1" s="794"/>
      <c r="G1" s="794"/>
      <c r="H1" s="794"/>
      <c r="I1" s="794"/>
    </row>
    <row r="2" spans="1:9" s="469" customFormat="1" ht="19.95" customHeight="1">
      <c r="A2" s="788" t="s">
        <v>1051</v>
      </c>
      <c r="B2" s="788"/>
      <c r="C2" s="788"/>
      <c r="D2" s="788"/>
      <c r="E2" s="788"/>
      <c r="F2" s="788"/>
      <c r="G2" s="788"/>
      <c r="H2" s="788"/>
      <c r="I2" s="788"/>
    </row>
    <row r="3" spans="1:9" ht="19.95" customHeight="1">
      <c r="A3" s="2" t="str">
        <f>底稿目录!A2</f>
        <v>被审计单位：</v>
      </c>
      <c r="B3" s="22"/>
      <c r="C3" s="2"/>
      <c r="D3" s="2" t="str">
        <f>底稿目录!A4</f>
        <v>编制人：</v>
      </c>
      <c r="F3" s="2" t="str">
        <f>底稿目录!A5</f>
        <v>编制日期：</v>
      </c>
      <c r="G3" s="103"/>
      <c r="H3" s="476" t="s">
        <v>1066</v>
      </c>
      <c r="I3" s="452" t="s">
        <v>287</v>
      </c>
    </row>
    <row r="4" spans="1:9" ht="19.95" customHeight="1">
      <c r="A4" s="2" t="str">
        <f>底稿目录!A3</f>
        <v>截止日：202X年12月31日</v>
      </c>
      <c r="B4" s="22"/>
      <c r="C4" s="2"/>
      <c r="D4" s="2" t="str">
        <f>底稿目录!A6</f>
        <v>复核人：</v>
      </c>
      <c r="F4" s="2" t="str">
        <f>底稿目录!A7</f>
        <v>复核日期：</v>
      </c>
      <c r="G4" s="103"/>
      <c r="H4" s="476" t="s">
        <v>1065</v>
      </c>
      <c r="I4" s="2"/>
    </row>
    <row r="5" spans="1:9" s="97" customFormat="1" ht="19.95" customHeight="1">
      <c r="A5" s="92" t="s">
        <v>108</v>
      </c>
    </row>
    <row r="6" spans="1:9" s="97" customFormat="1" ht="19.95" customHeight="1">
      <c r="A6" s="92"/>
    </row>
    <row r="7" spans="1:9" s="97" customFormat="1" ht="19.95" customHeight="1">
      <c r="A7" s="92" t="s">
        <v>646</v>
      </c>
    </row>
    <row r="8" spans="1:9" s="97" customFormat="1" ht="19.95" customHeight="1">
      <c r="A8" s="53" t="s">
        <v>647</v>
      </c>
    </row>
    <row r="9" spans="1:9" s="98" customFormat="1" ht="19.95" customHeight="1">
      <c r="A9" s="114" t="s">
        <v>648</v>
      </c>
      <c r="B9" s="114" t="s">
        <v>649</v>
      </c>
      <c r="C9" s="114" t="s">
        <v>650</v>
      </c>
      <c r="D9" s="114" t="s">
        <v>651</v>
      </c>
    </row>
    <row r="10" spans="1:9" s="97" customFormat="1" ht="19.95" customHeight="1">
      <c r="A10" s="113">
        <v>1</v>
      </c>
      <c r="B10" s="288"/>
      <c r="C10" s="288"/>
      <c r="D10" s="288"/>
    </row>
    <row r="11" spans="1:9" s="97" customFormat="1" ht="19.95" customHeight="1">
      <c r="A11" s="113">
        <v>2</v>
      </c>
      <c r="B11" s="288"/>
      <c r="C11" s="288"/>
      <c r="D11" s="288"/>
    </row>
    <row r="12" spans="1:9" s="97" customFormat="1" ht="19.95" customHeight="1">
      <c r="A12" s="113">
        <v>3</v>
      </c>
      <c r="B12" s="288"/>
      <c r="C12" s="288"/>
      <c r="D12" s="288"/>
    </row>
    <row r="13" spans="1:9" s="97" customFormat="1" ht="19.95" customHeight="1">
      <c r="A13" s="92" t="s">
        <v>109</v>
      </c>
    </row>
    <row r="14" spans="1:9" s="97" customFormat="1" ht="19.95" customHeight="1">
      <c r="A14" s="99" t="s">
        <v>175</v>
      </c>
      <c r="B14" s="92" t="s">
        <v>652</v>
      </c>
      <c r="C14" s="92"/>
      <c r="D14" s="92"/>
    </row>
    <row r="15" spans="1:9" s="97" customFormat="1" ht="19.95" customHeight="1">
      <c r="A15" s="99">
        <v>1</v>
      </c>
      <c r="B15" s="97" t="s">
        <v>653</v>
      </c>
      <c r="C15" s="92"/>
      <c r="D15" s="92"/>
    </row>
    <row r="16" spans="1:9" s="97" customFormat="1" ht="19.95" customHeight="1">
      <c r="A16" s="99">
        <v>2</v>
      </c>
      <c r="B16" s="97" t="s">
        <v>654</v>
      </c>
      <c r="C16" s="92"/>
      <c r="D16" s="92"/>
    </row>
    <row r="17" spans="1:10" s="97" customFormat="1" ht="19.95" customHeight="1">
      <c r="A17" s="99">
        <v>3</v>
      </c>
      <c r="B17" s="97" t="s">
        <v>655</v>
      </c>
      <c r="C17" s="92"/>
      <c r="D17" s="92"/>
    </row>
    <row r="18" spans="1:10" s="97" customFormat="1" ht="19.95" customHeight="1">
      <c r="A18" s="99">
        <v>4</v>
      </c>
      <c r="B18" s="97" t="s">
        <v>656</v>
      </c>
      <c r="C18" s="92"/>
      <c r="D18" s="92"/>
    </row>
    <row r="19" spans="1:10" s="97" customFormat="1" ht="19.95" customHeight="1">
      <c r="A19" s="99">
        <v>5</v>
      </c>
      <c r="B19" s="97" t="s">
        <v>657</v>
      </c>
      <c r="C19" s="92"/>
      <c r="D19" s="92"/>
    </row>
    <row r="20" spans="1:10" s="97" customFormat="1" ht="19.95" customHeight="1">
      <c r="A20" s="99">
        <v>6</v>
      </c>
      <c r="B20" s="97" t="s">
        <v>658</v>
      </c>
      <c r="C20" s="92"/>
      <c r="D20" s="92"/>
    </row>
    <row r="21" spans="1:10" s="97" customFormat="1" ht="19.95" customHeight="1">
      <c r="A21" s="99">
        <v>7</v>
      </c>
      <c r="B21" s="97" t="s">
        <v>659</v>
      </c>
      <c r="C21" s="92"/>
      <c r="D21" s="92"/>
    </row>
    <row r="22" spans="1:10" s="97" customFormat="1" ht="19.95" customHeight="1">
      <c r="A22" s="92" t="s">
        <v>110</v>
      </c>
    </row>
    <row r="23" spans="1:10" s="97" customFormat="1" ht="19.95" customHeight="1">
      <c r="A23" s="92" t="s">
        <v>660</v>
      </c>
    </row>
    <row r="24" spans="1:10" s="97" customFormat="1" ht="19.95" customHeight="1">
      <c r="A24" s="115" t="s">
        <v>518</v>
      </c>
      <c r="B24" s="116" t="s">
        <v>661</v>
      </c>
      <c r="C24" s="114" t="s">
        <v>662</v>
      </c>
      <c r="D24" s="116" t="s">
        <v>663</v>
      </c>
      <c r="E24" s="116" t="s">
        <v>664</v>
      </c>
    </row>
    <row r="25" spans="1:10" s="97" customFormat="1" ht="19.95" customHeight="1">
      <c r="A25" s="113">
        <v>1</v>
      </c>
      <c r="B25" s="288"/>
      <c r="C25" s="403"/>
      <c r="D25" s="288"/>
      <c r="E25" s="288"/>
    </row>
    <row r="26" spans="1:10" s="97" customFormat="1" ht="19.95" customHeight="1">
      <c r="A26" s="113">
        <v>2</v>
      </c>
      <c r="B26" s="288"/>
      <c r="C26" s="403"/>
      <c r="D26" s="288"/>
      <c r="E26" s="288"/>
    </row>
    <row r="27" spans="1:10" s="97" customFormat="1" ht="19.95" customHeight="1">
      <c r="A27" s="113">
        <v>3</v>
      </c>
      <c r="B27" s="288"/>
      <c r="C27" s="403"/>
      <c r="D27" s="288"/>
      <c r="E27" s="288"/>
    </row>
    <row r="28" spans="1:10" s="97" customFormat="1" ht="19.95" customHeight="1">
      <c r="A28" s="92" t="s">
        <v>111</v>
      </c>
    </row>
    <row r="29" spans="1:10" s="98" customFormat="1" ht="19.95" customHeight="1">
      <c r="A29" s="114" t="s">
        <v>999</v>
      </c>
      <c r="B29" s="114" t="s">
        <v>1000</v>
      </c>
      <c r="C29" s="114" t="s">
        <v>1001</v>
      </c>
      <c r="D29" s="97"/>
      <c r="E29" s="97"/>
    </row>
    <row r="30" spans="1:10" s="97" customFormat="1" ht="19.95" customHeight="1">
      <c r="A30" s="113">
        <v>1</v>
      </c>
      <c r="B30" s="288"/>
      <c r="C30" s="288"/>
      <c r="J30" s="98"/>
    </row>
    <row r="31" spans="1:10" s="97" customFormat="1" ht="19.95" customHeight="1">
      <c r="A31" s="113">
        <v>2</v>
      </c>
      <c r="B31" s="288"/>
      <c r="C31" s="288"/>
      <c r="J31" s="98"/>
    </row>
    <row r="32" spans="1:10" s="97" customFormat="1" ht="19.95" customHeight="1">
      <c r="A32" s="113">
        <v>3</v>
      </c>
      <c r="B32" s="288"/>
      <c r="C32" s="288"/>
      <c r="J32" s="98"/>
    </row>
    <row r="33" spans="1:8" s="97" customFormat="1" ht="19.95" customHeight="1">
      <c r="A33" s="92" t="s">
        <v>168</v>
      </c>
    </row>
    <row r="34" spans="1:8" s="97" customFormat="1" ht="19.95" customHeight="1">
      <c r="A34" s="97" t="s">
        <v>112</v>
      </c>
    </row>
    <row r="35" spans="1:8" s="97" customFormat="1" ht="19.95" customHeight="1">
      <c r="A35" s="97" t="s">
        <v>113</v>
      </c>
    </row>
    <row r="36" spans="1:8" s="97" customFormat="1" ht="19.95" customHeight="1">
      <c r="A36" s="97" t="s">
        <v>665</v>
      </c>
      <c r="G36" s="97" t="s">
        <v>666</v>
      </c>
    </row>
    <row r="37" spans="1:8" s="97" customFormat="1" ht="19.95" customHeight="1">
      <c r="A37" s="97" t="s">
        <v>667</v>
      </c>
      <c r="G37" s="97" t="s">
        <v>666</v>
      </c>
    </row>
    <row r="38" spans="1:8" s="97" customFormat="1" ht="19.95" customHeight="1">
      <c r="A38" s="97" t="s">
        <v>668</v>
      </c>
      <c r="G38" s="97" t="s">
        <v>669</v>
      </c>
    </row>
    <row r="39" spans="1:8" s="97" customFormat="1" ht="19.95" customHeight="1">
      <c r="A39" s="97" t="s">
        <v>670</v>
      </c>
      <c r="G39" s="97" t="s">
        <v>669</v>
      </c>
    </row>
    <row r="40" spans="1:8" s="97" customFormat="1" ht="19.95" customHeight="1">
      <c r="A40" s="92" t="s">
        <v>169</v>
      </c>
    </row>
    <row r="41" spans="1:8" s="97" customFormat="1" ht="19.95" customHeight="1">
      <c r="A41" s="97" t="s">
        <v>671</v>
      </c>
      <c r="E41" s="97" t="s">
        <v>672</v>
      </c>
      <c r="H41" s="97" t="s">
        <v>673</v>
      </c>
    </row>
    <row r="42" spans="1:8" s="97" customFormat="1" ht="19.95" customHeight="1">
      <c r="A42" s="92" t="s">
        <v>170</v>
      </c>
    </row>
    <row r="43" spans="1:8" s="97" customFormat="1" ht="19.95" customHeight="1">
      <c r="A43" s="97" t="s">
        <v>114</v>
      </c>
    </row>
    <row r="44" spans="1:8" s="97" customFormat="1" ht="19.95" customHeight="1">
      <c r="A44" s="97" t="s">
        <v>674</v>
      </c>
      <c r="E44" s="97" t="s">
        <v>675</v>
      </c>
      <c r="H44" s="97" t="s">
        <v>115</v>
      </c>
    </row>
    <row r="45" spans="1:8" s="97" customFormat="1" ht="19.95" customHeight="1">
      <c r="A45" s="97" t="s">
        <v>676</v>
      </c>
      <c r="E45" s="97" t="s">
        <v>677</v>
      </c>
      <c r="H45" s="97" t="s">
        <v>115</v>
      </c>
    </row>
    <row r="46" spans="1:8" s="97" customFormat="1" ht="19.95" customHeight="1">
      <c r="A46" s="97" t="s">
        <v>674</v>
      </c>
      <c r="E46" s="97" t="s">
        <v>678</v>
      </c>
      <c r="H46" s="97" t="s">
        <v>115</v>
      </c>
    </row>
    <row r="47" spans="1:8" s="97" customFormat="1" ht="19.95" customHeight="1">
      <c r="A47" s="97" t="s">
        <v>679</v>
      </c>
      <c r="D47" s="97" t="s">
        <v>116</v>
      </c>
    </row>
    <row r="48" spans="1:8" s="97" customFormat="1" ht="19.95" customHeight="1">
      <c r="A48" s="97" t="s">
        <v>680</v>
      </c>
      <c r="D48" s="97" t="s">
        <v>681</v>
      </c>
      <c r="H48" s="97" t="s">
        <v>117</v>
      </c>
    </row>
    <row r="49" spans="1:8" s="97" customFormat="1" ht="19.95" customHeight="1">
      <c r="A49" s="97" t="s">
        <v>682</v>
      </c>
      <c r="D49" s="97" t="s">
        <v>683</v>
      </c>
      <c r="H49" s="97" t="s">
        <v>117</v>
      </c>
    </row>
    <row r="50" spans="1:8" s="97" customFormat="1" ht="19.95" customHeight="1">
      <c r="A50" s="97" t="s">
        <v>684</v>
      </c>
      <c r="D50" s="97" t="s">
        <v>683</v>
      </c>
      <c r="H50" s="97" t="s">
        <v>117</v>
      </c>
    </row>
    <row r="51" spans="1:8" s="97" customFormat="1" ht="19.95" customHeight="1">
      <c r="A51" s="97" t="s">
        <v>118</v>
      </c>
    </row>
    <row r="52" spans="1:8" s="97" customFormat="1" ht="19.95" customHeight="1">
      <c r="A52" s="92" t="s">
        <v>171</v>
      </c>
    </row>
    <row r="53" spans="1:8" s="97" customFormat="1" ht="19.95" customHeight="1">
      <c r="A53" s="97" t="s">
        <v>119</v>
      </c>
    </row>
    <row r="54" spans="1:8" s="97" customFormat="1" ht="19.95" customHeight="1">
      <c r="A54" s="97" t="s">
        <v>120</v>
      </c>
    </row>
    <row r="55" spans="1:8" s="97" customFormat="1" ht="19.95" customHeight="1">
      <c r="A55" s="97" t="s">
        <v>121</v>
      </c>
    </row>
    <row r="56" spans="1:8" s="97" customFormat="1" ht="19.95" customHeight="1">
      <c r="A56" s="97" t="s">
        <v>122</v>
      </c>
    </row>
    <row r="57" spans="1:8" s="97" customFormat="1" ht="19.95" customHeight="1">
      <c r="A57" s="97" t="s">
        <v>685</v>
      </c>
      <c r="D57" s="97" t="s">
        <v>116</v>
      </c>
    </row>
    <row r="58" spans="1:8" s="97" customFormat="1" ht="19.95" customHeight="1">
      <c r="A58" s="97" t="s">
        <v>686</v>
      </c>
      <c r="E58" s="97" t="s">
        <v>123</v>
      </c>
    </row>
    <row r="59" spans="1:8" s="97" customFormat="1" ht="19.95" customHeight="1">
      <c r="C59" s="97" t="s">
        <v>687</v>
      </c>
      <c r="H59" s="97" t="s">
        <v>124</v>
      </c>
    </row>
    <row r="60" spans="1:8" s="97" customFormat="1" ht="19.95" customHeight="1">
      <c r="A60" s="97" t="s">
        <v>688</v>
      </c>
      <c r="E60" s="97" t="s">
        <v>123</v>
      </c>
    </row>
    <row r="61" spans="1:8" s="97" customFormat="1" ht="19.95" customHeight="1">
      <c r="C61" s="97" t="s">
        <v>689</v>
      </c>
      <c r="H61" s="97" t="s">
        <v>124</v>
      </c>
    </row>
    <row r="62" spans="1:8" s="97" customFormat="1" ht="19.95" customHeight="1">
      <c r="A62" s="97" t="s">
        <v>125</v>
      </c>
      <c r="E62" s="97" t="s">
        <v>123</v>
      </c>
    </row>
    <row r="63" spans="1:8" s="97" customFormat="1" ht="19.95" customHeight="1">
      <c r="C63" s="97" t="s">
        <v>687</v>
      </c>
      <c r="H63" s="97" t="s">
        <v>124</v>
      </c>
    </row>
    <row r="64" spans="1:8" s="97" customFormat="1" ht="19.95" customHeight="1">
      <c r="A64" s="97" t="s">
        <v>126</v>
      </c>
    </row>
    <row r="65" spans="1:7" s="97" customFormat="1" ht="19.95" customHeight="1">
      <c r="A65" s="97" t="s">
        <v>127</v>
      </c>
    </row>
    <row r="66" spans="1:7" s="97" customFormat="1" ht="19.95" customHeight="1">
      <c r="A66" s="97" t="s">
        <v>690</v>
      </c>
      <c r="F66" s="97" t="s">
        <v>128</v>
      </c>
    </row>
    <row r="67" spans="1:7" s="97" customFormat="1" ht="19.95" customHeight="1">
      <c r="A67" s="97" t="s">
        <v>691</v>
      </c>
      <c r="G67" s="97" t="s">
        <v>129</v>
      </c>
    </row>
    <row r="68" spans="1:7" s="97" customFormat="1" ht="19.95" customHeight="1">
      <c r="A68" s="97" t="s">
        <v>130</v>
      </c>
    </row>
    <row r="69" spans="1:7" s="97" customFormat="1" ht="19.95" customHeight="1">
      <c r="A69" s="97" t="s">
        <v>131</v>
      </c>
    </row>
    <row r="70" spans="1:7" s="97" customFormat="1" ht="19.95" customHeight="1">
      <c r="A70" s="97" t="s">
        <v>132</v>
      </c>
    </row>
    <row r="71" spans="1:7" s="97" customFormat="1" ht="19.95" customHeight="1">
      <c r="A71" s="97" t="s">
        <v>133</v>
      </c>
    </row>
    <row r="72" spans="1:7" s="97" customFormat="1" ht="19.95" customHeight="1">
      <c r="A72" s="97" t="s">
        <v>134</v>
      </c>
    </row>
    <row r="73" spans="1:7" s="97" customFormat="1" ht="19.95" customHeight="1">
      <c r="A73" s="97" t="s">
        <v>135</v>
      </c>
    </row>
    <row r="74" spans="1:7" s="97" customFormat="1" ht="19.95" customHeight="1">
      <c r="A74" s="97" t="s">
        <v>692</v>
      </c>
    </row>
    <row r="75" spans="1:7" s="97" customFormat="1" ht="19.95" customHeight="1">
      <c r="A75" s="97" t="s">
        <v>693</v>
      </c>
    </row>
    <row r="76" spans="1:7" s="97" customFormat="1" ht="19.95" customHeight="1">
      <c r="A76" s="97" t="s">
        <v>136</v>
      </c>
    </row>
    <row r="77" spans="1:7" s="97" customFormat="1" ht="19.95" customHeight="1">
      <c r="A77" s="97" t="s">
        <v>137</v>
      </c>
    </row>
    <row r="78" spans="1:7" s="97" customFormat="1" ht="19.95" customHeight="1">
      <c r="A78" s="97" t="s">
        <v>138</v>
      </c>
    </row>
    <row r="79" spans="1:7" s="97" customFormat="1" ht="19.95" customHeight="1">
      <c r="A79" s="97" t="s">
        <v>694</v>
      </c>
      <c r="G79" s="97" t="s">
        <v>139</v>
      </c>
    </row>
    <row r="80" spans="1:7" s="97" customFormat="1" ht="19.95" customHeight="1">
      <c r="A80" s="97" t="s">
        <v>695</v>
      </c>
      <c r="G80" s="97" t="s">
        <v>139</v>
      </c>
    </row>
    <row r="81" spans="1:1" s="97" customFormat="1" ht="19.95" customHeight="1">
      <c r="A81" s="97" t="s">
        <v>140</v>
      </c>
    </row>
    <row r="82" spans="1:1" s="97" customFormat="1" ht="19.95" customHeight="1">
      <c r="A82" s="97" t="s">
        <v>141</v>
      </c>
    </row>
    <row r="83" spans="1:1" s="97" customFormat="1" ht="19.95" customHeight="1">
      <c r="A83" s="97" t="s">
        <v>142</v>
      </c>
    </row>
    <row r="84" spans="1:1" s="97" customFormat="1" ht="19.95" customHeight="1">
      <c r="A84" s="97" t="s">
        <v>143</v>
      </c>
    </row>
    <row r="85" spans="1:1" s="97" customFormat="1" ht="19.95" customHeight="1">
      <c r="A85" s="97" t="s">
        <v>144</v>
      </c>
    </row>
    <row r="86" spans="1:1" s="97" customFormat="1" ht="19.95" customHeight="1">
      <c r="A86" s="97" t="s">
        <v>145</v>
      </c>
    </row>
    <row r="87" spans="1:1" s="97" customFormat="1" ht="19.95" customHeight="1">
      <c r="A87" s="97" t="s">
        <v>146</v>
      </c>
    </row>
    <row r="88" spans="1:1" s="97" customFormat="1" ht="19.95" customHeight="1">
      <c r="A88" s="97" t="s">
        <v>696</v>
      </c>
    </row>
    <row r="89" spans="1:1" s="97" customFormat="1" ht="19.95" customHeight="1">
      <c r="A89" s="97" t="s">
        <v>697</v>
      </c>
    </row>
    <row r="90" spans="1:1" s="97" customFormat="1" ht="19.95" customHeight="1">
      <c r="A90" s="97" t="s">
        <v>698</v>
      </c>
    </row>
    <row r="91" spans="1:1" s="97" customFormat="1" ht="19.95" customHeight="1">
      <c r="A91" s="97" t="s">
        <v>147</v>
      </c>
    </row>
    <row r="92" spans="1:1" s="97" customFormat="1" ht="19.95" customHeight="1">
      <c r="A92" s="97" t="s">
        <v>148</v>
      </c>
    </row>
    <row r="93" spans="1:1" s="97" customFormat="1" ht="19.95" customHeight="1">
      <c r="A93" s="97" t="s">
        <v>149</v>
      </c>
    </row>
    <row r="94" spans="1:1" s="97" customFormat="1" ht="19.95" customHeight="1">
      <c r="A94" s="97" t="s">
        <v>699</v>
      </c>
    </row>
    <row r="95" spans="1:1" s="97" customFormat="1" ht="19.95" customHeight="1">
      <c r="A95" s="97" t="s">
        <v>150</v>
      </c>
    </row>
    <row r="96" spans="1:1" s="97" customFormat="1" ht="19.95" customHeight="1">
      <c r="A96" s="97" t="s">
        <v>151</v>
      </c>
    </row>
    <row r="97" spans="1:8" s="97" customFormat="1" ht="19.95" customHeight="1">
      <c r="A97" s="97" t="s">
        <v>152</v>
      </c>
    </row>
    <row r="98" spans="1:8" s="97" customFormat="1" ht="19.95" customHeight="1">
      <c r="A98" s="97" t="s">
        <v>153</v>
      </c>
    </row>
    <row r="99" spans="1:8" s="97" customFormat="1" ht="19.95" customHeight="1">
      <c r="A99" s="97" t="s">
        <v>154</v>
      </c>
    </row>
    <row r="100" spans="1:8" s="97" customFormat="1" ht="19.95" customHeight="1">
      <c r="A100" s="97" t="s">
        <v>155</v>
      </c>
    </row>
    <row r="101" spans="1:8" s="97" customFormat="1" ht="19.95" customHeight="1">
      <c r="A101" s="92" t="s">
        <v>172</v>
      </c>
    </row>
    <row r="102" spans="1:8" s="97" customFormat="1" ht="19.95" customHeight="1"/>
    <row r="103" spans="1:8" s="97" customFormat="1" ht="19.95" customHeight="1">
      <c r="A103" s="92" t="s">
        <v>173</v>
      </c>
    </row>
    <row r="104" spans="1:8" s="97" customFormat="1" ht="19.95" customHeight="1">
      <c r="A104" s="97" t="s">
        <v>700</v>
      </c>
      <c r="F104" s="97" t="s">
        <v>156</v>
      </c>
    </row>
    <row r="105" spans="1:8" s="97" customFormat="1" ht="19.95" customHeight="1">
      <c r="A105" s="97" t="s">
        <v>157</v>
      </c>
    </row>
    <row r="106" spans="1:8" s="97" customFormat="1" ht="19.95" customHeight="1">
      <c r="A106" s="97" t="s">
        <v>701</v>
      </c>
      <c r="C106" s="97" t="s">
        <v>702</v>
      </c>
      <c r="G106" s="97" t="s">
        <v>703</v>
      </c>
    </row>
    <row r="107" spans="1:8" s="97" customFormat="1" ht="19.95" customHeight="1">
      <c r="A107" s="97" t="s">
        <v>704</v>
      </c>
      <c r="E107" s="97" t="s">
        <v>705</v>
      </c>
      <c r="H107" s="97" t="s">
        <v>706</v>
      </c>
    </row>
    <row r="108" spans="1:8" s="97" customFormat="1" ht="19.95" customHeight="1">
      <c r="A108" s="97" t="s">
        <v>158</v>
      </c>
    </row>
    <row r="109" spans="1:8" s="97" customFormat="1" ht="19.95" customHeight="1">
      <c r="A109" s="97" t="s">
        <v>159</v>
      </c>
    </row>
    <row r="110" spans="1:8" s="97" customFormat="1" ht="19.95" customHeight="1">
      <c r="A110" s="97" t="s">
        <v>707</v>
      </c>
      <c r="G110" s="97" t="s">
        <v>107</v>
      </c>
    </row>
    <row r="111" spans="1:8" s="97" customFormat="1" ht="19.95" customHeight="1">
      <c r="A111" s="97" t="s">
        <v>160</v>
      </c>
    </row>
    <row r="112" spans="1:8" s="97" customFormat="1" ht="19.95" customHeight="1">
      <c r="A112" s="97" t="s">
        <v>708</v>
      </c>
      <c r="C112" s="97" t="s">
        <v>709</v>
      </c>
      <c r="G112" s="97" t="s">
        <v>710</v>
      </c>
    </row>
    <row r="113" spans="1:9" s="97" customFormat="1" ht="19.95" customHeight="1">
      <c r="A113" s="97" t="s">
        <v>711</v>
      </c>
      <c r="D113" s="97" t="s">
        <v>712</v>
      </c>
      <c r="G113" s="97" t="s">
        <v>713</v>
      </c>
    </row>
    <row r="114" spans="1:9" s="97" customFormat="1" ht="19.95" customHeight="1">
      <c r="A114" s="92" t="s">
        <v>174</v>
      </c>
    </row>
    <row r="115" spans="1:9" s="97" customFormat="1" ht="19.95" customHeight="1">
      <c r="A115" s="97" t="s">
        <v>161</v>
      </c>
    </row>
    <row r="116" spans="1:9" s="97" customFormat="1" ht="19.95" customHeight="1">
      <c r="A116" s="97" t="s">
        <v>162</v>
      </c>
    </row>
    <row r="117" spans="1:9" s="97" customFormat="1" ht="19.95" customHeight="1">
      <c r="A117" s="97" t="s">
        <v>163</v>
      </c>
    </row>
    <row r="118" spans="1:9" s="97" customFormat="1" ht="19.95" customHeight="1">
      <c r="A118" s="97" t="s">
        <v>164</v>
      </c>
    </row>
    <row r="119" spans="1:9" s="97" customFormat="1" ht="19.95" customHeight="1">
      <c r="A119" s="97" t="s">
        <v>165</v>
      </c>
    </row>
    <row r="120" spans="1:9" s="97" customFormat="1" ht="19.95" customHeight="1">
      <c r="A120" s="97" t="s">
        <v>166</v>
      </c>
    </row>
    <row r="121" spans="1:9" s="97" customFormat="1" ht="19.95" customHeight="1">
      <c r="A121" s="97" t="s">
        <v>167</v>
      </c>
    </row>
    <row r="122" spans="1:9" s="97" customFormat="1" ht="19.95" customHeight="1">
      <c r="G122" s="97" t="s">
        <v>714</v>
      </c>
    </row>
    <row r="123" spans="1:9" s="97" customFormat="1" ht="19.95" customHeight="1">
      <c r="G123" s="97" t="s">
        <v>715</v>
      </c>
    </row>
    <row r="124" spans="1:9" ht="19.95" customHeight="1">
      <c r="A124" s="97"/>
      <c r="B124" s="97"/>
      <c r="C124" s="97"/>
      <c r="D124" s="97"/>
      <c r="E124" s="97"/>
      <c r="F124" s="97"/>
      <c r="G124" s="97"/>
      <c r="H124" s="97"/>
      <c r="I124" s="97"/>
    </row>
    <row r="125" spans="1:9" ht="19.95" customHeight="1">
      <c r="A125" s="97"/>
      <c r="B125" s="97"/>
      <c r="C125" s="97"/>
      <c r="D125" s="97"/>
      <c r="E125" s="97"/>
      <c r="F125" s="97"/>
      <c r="G125" s="97"/>
      <c r="H125" s="97"/>
      <c r="I125" s="97"/>
    </row>
  </sheetData>
  <mergeCells count="2">
    <mergeCell ref="A1:I1"/>
    <mergeCell ref="A2:I2"/>
  </mergeCells>
  <phoneticPr fontId="10" type="noConversion"/>
  <hyperlinks>
    <hyperlink ref="I3" location="底稿目录!A1" display="H1-11"/>
  </hyperlinks>
  <printOptions horizontalCentered="1"/>
  <pageMargins left="0.51181102362204722" right="0.31496062992125984" top="0.55118110236220474" bottom="0.35433070866141736" header="0.51181102362204722" footer="0.19685039370078741"/>
  <pageSetup paperSize="9" scale="66" fitToHeight="2" orientation="portrait" blackAndWhite="1" r:id="rId1"/>
  <headerFooter alignWithMargins="0">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AB68"/>
  <sheetViews>
    <sheetView showZeros="0" view="pageBreakPreview" zoomScaleNormal="100" zoomScaleSheetLayoutView="100" workbookViewId="0">
      <selection sqref="A1:S1"/>
    </sheetView>
  </sheetViews>
  <sheetFormatPr defaultColWidth="9" defaultRowHeight="19.95" customHeight="1"/>
  <cols>
    <col min="1" max="1" width="13.19921875" style="2" customWidth="1"/>
    <col min="2" max="2" width="11.69921875" style="2" customWidth="1"/>
    <col min="3" max="3" width="11.3984375" style="2" customWidth="1"/>
    <col min="4" max="4" width="10" style="2" customWidth="1"/>
    <col min="5" max="5" width="11.8984375" style="2" customWidth="1"/>
    <col min="6" max="6" width="10.3984375" style="2" customWidth="1"/>
    <col min="7" max="7" width="9" style="2"/>
    <col min="8" max="8" width="7.8984375" style="2" customWidth="1"/>
    <col min="9" max="9" width="7.09765625" style="2" bestFit="1" customWidth="1"/>
    <col min="10" max="10" width="9" style="2"/>
    <col min="11" max="11" width="7.59765625" style="61" customWidth="1"/>
    <col min="12" max="13" width="8.3984375" style="2" customWidth="1"/>
    <col min="14" max="14" width="6.3984375" style="2" customWidth="1"/>
    <col min="15" max="15" width="8.8984375" style="2" bestFit="1" customWidth="1"/>
    <col min="16" max="16" width="10.09765625" style="2" bestFit="1" customWidth="1"/>
    <col min="17" max="17" width="8.19921875" style="2" customWidth="1"/>
    <col min="18" max="18" width="10.09765625" style="2" bestFit="1" customWidth="1"/>
    <col min="19" max="19" width="9.5" style="2" bestFit="1" customWidth="1"/>
    <col min="20" max="16384" width="9" style="2"/>
  </cols>
  <sheetData>
    <row r="1" spans="1:28" s="13" customFormat="1" ht="19.95" customHeight="1">
      <c r="A1" s="745" t="s">
        <v>1039</v>
      </c>
      <c r="B1" s="745"/>
      <c r="C1" s="745"/>
      <c r="D1" s="745"/>
      <c r="E1" s="745"/>
      <c r="F1" s="745"/>
      <c r="G1" s="745"/>
      <c r="H1" s="745"/>
      <c r="I1" s="745"/>
      <c r="J1" s="745"/>
      <c r="K1" s="745"/>
      <c r="L1" s="745"/>
      <c r="M1" s="745"/>
      <c r="N1" s="745"/>
      <c r="O1" s="745"/>
      <c r="P1" s="745"/>
      <c r="Q1" s="745"/>
      <c r="R1" s="745"/>
      <c r="S1" s="745"/>
    </row>
    <row r="2" spans="1:28" s="458" customFormat="1" ht="19.95" customHeight="1">
      <c r="A2" s="746" t="s">
        <v>1052</v>
      </c>
      <c r="B2" s="746"/>
      <c r="C2" s="746"/>
      <c r="D2" s="746"/>
      <c r="E2" s="746"/>
      <c r="F2" s="746"/>
      <c r="G2" s="746"/>
      <c r="H2" s="746"/>
      <c r="I2" s="746"/>
      <c r="J2" s="746"/>
      <c r="K2" s="746"/>
      <c r="L2" s="746"/>
      <c r="M2" s="746"/>
      <c r="N2" s="746"/>
      <c r="O2" s="746"/>
      <c r="P2" s="746"/>
      <c r="Q2" s="746"/>
      <c r="R2" s="746"/>
      <c r="S2" s="746"/>
    </row>
    <row r="3" spans="1:28" ht="19.95" customHeight="1">
      <c r="A3" s="2" t="str">
        <f>底稿目录!A2</f>
        <v>被审计单位：</v>
      </c>
      <c r="B3" s="22"/>
      <c r="F3" s="14"/>
      <c r="G3" s="2" t="str">
        <f>底稿目录!A4</f>
        <v>编制人：</v>
      </c>
      <c r="M3" s="2" t="str">
        <f>底稿目录!A5</f>
        <v>编制日期：</v>
      </c>
      <c r="R3" s="181" t="s">
        <v>785</v>
      </c>
      <c r="S3" s="452" t="s">
        <v>288</v>
      </c>
    </row>
    <row r="4" spans="1:28" ht="19.95" customHeight="1">
      <c r="A4" s="2" t="str">
        <f>底稿目录!A3</f>
        <v>截止日：202X年12月31日</v>
      </c>
      <c r="B4" s="22"/>
      <c r="F4" s="14"/>
      <c r="G4" s="2" t="str">
        <f>底稿目录!A6</f>
        <v>复核人：</v>
      </c>
      <c r="M4" s="2" t="str">
        <f>底稿目录!A7</f>
        <v>复核日期：</v>
      </c>
      <c r="R4" s="475" t="s">
        <v>1064</v>
      </c>
    </row>
    <row r="5" spans="1:28" s="308" customFormat="1" ht="19.95" customHeight="1">
      <c r="A5" s="229" t="s">
        <v>716</v>
      </c>
      <c r="B5" s="605"/>
      <c r="G5" s="632"/>
      <c r="K5" s="589"/>
      <c r="L5" s="587"/>
      <c r="V5" s="585"/>
      <c r="W5" s="585"/>
      <c r="X5" s="585"/>
      <c r="Y5" s="585"/>
      <c r="Z5" s="585"/>
      <c r="AA5" s="585"/>
      <c r="AB5" s="585"/>
    </row>
    <row r="6" spans="1:28" ht="19.95" customHeight="1">
      <c r="A6" s="58" t="s">
        <v>379</v>
      </c>
      <c r="B6" s="59"/>
      <c r="G6" s="14"/>
      <c r="L6" s="9"/>
      <c r="V6" s="181"/>
      <c r="W6" s="181"/>
      <c r="X6" s="181"/>
      <c r="Y6" s="181"/>
      <c r="Z6" s="181"/>
      <c r="AA6" s="181"/>
      <c r="AB6" s="181"/>
    </row>
    <row r="7" spans="1:28" s="142" customFormat="1" ht="19.95" customHeight="1">
      <c r="A7" s="311" t="s">
        <v>717</v>
      </c>
      <c r="B7" s="648"/>
      <c r="C7" s="311" t="s">
        <v>718</v>
      </c>
      <c r="D7" s="648"/>
      <c r="E7" s="312" t="s">
        <v>719</v>
      </c>
      <c r="I7" s="37"/>
      <c r="K7" s="62"/>
      <c r="M7" s="37"/>
      <c r="P7" s="2"/>
      <c r="Q7" s="2"/>
    </row>
    <row r="8" spans="1:28" s="649" customFormat="1" ht="24">
      <c r="A8" s="546" t="s">
        <v>1178</v>
      </c>
      <c r="B8" s="546" t="s">
        <v>1179</v>
      </c>
      <c r="C8" s="546" t="s">
        <v>1163</v>
      </c>
      <c r="D8" s="547" t="s">
        <v>1153</v>
      </c>
      <c r="E8" s="550" t="s">
        <v>1164</v>
      </c>
      <c r="F8" s="550" t="s">
        <v>1180</v>
      </c>
      <c r="G8" s="548" t="s">
        <v>1181</v>
      </c>
      <c r="H8" s="548" t="s">
        <v>1152</v>
      </c>
      <c r="I8" s="549" t="s">
        <v>1182</v>
      </c>
      <c r="J8" s="550" t="s">
        <v>1183</v>
      </c>
      <c r="K8" s="552" t="s">
        <v>1177</v>
      </c>
      <c r="L8" s="548" t="s">
        <v>1184</v>
      </c>
      <c r="M8" s="549" t="s">
        <v>1158</v>
      </c>
      <c r="N8" s="549" t="s">
        <v>1185</v>
      </c>
      <c r="O8" s="550" t="s">
        <v>1186</v>
      </c>
      <c r="P8" s="550" t="s">
        <v>1187</v>
      </c>
      <c r="Q8" s="550" t="s">
        <v>1188</v>
      </c>
      <c r="R8" s="550" t="s">
        <v>1189</v>
      </c>
      <c r="S8" s="550" t="s">
        <v>1190</v>
      </c>
    </row>
    <row r="9" spans="1:28" s="42" customFormat="1" ht="19.95" customHeight="1">
      <c r="A9" s="215">
        <f>'明细表H1-2'!A13</f>
        <v>0</v>
      </c>
      <c r="B9" s="215">
        <f>'明细表H1-2'!B13</f>
        <v>0</v>
      </c>
      <c r="C9" s="215">
        <f>'明细表H1-2'!C13</f>
        <v>0</v>
      </c>
      <c r="D9" s="43"/>
      <c r="E9" s="128">
        <f>'明细表H1-2'!P13</f>
        <v>0</v>
      </c>
      <c r="F9" s="128">
        <f>'明细表H1-2'!AE13</f>
        <v>0</v>
      </c>
      <c r="G9" s="44"/>
      <c r="H9" s="150"/>
      <c r="I9" s="41"/>
      <c r="J9" s="39"/>
      <c r="K9" s="128">
        <f>IF(H9=0,0,IF(RIGHT(H9,1)&lt;&gt;"年",H9*12,IF(LEN(H9)=3,VALUE(LEFT(H9,2))*12,IF(LEN(H9)=2,VALUE(LEFT(H9,1))*12,"??"))))</f>
        <v>0</v>
      </c>
      <c r="L9" s="205">
        <f>DATE((YEAR(G9)+H9),MONTH(G9),DAY(G9))</f>
        <v>0</v>
      </c>
      <c r="M9" s="128">
        <f>MIN((YEAR(L9)-YEAR(G9))*12+(MONTH(L9)-MONTH(G9)),(YEAR($D$7)-YEAR(G9))*12+MONTH($D$7)-MONTH(G9),H9*12)</f>
        <v>0</v>
      </c>
      <c r="N9" s="128">
        <f>IF(YEAR(L9)=YEAR($D$7),12-(MONTH($D$7)-MONTH(L9)),(IF(L9&lt;$B$7,0,IF($D$7&gt;L9,MIN(MONTH($D$7),DATEDIF(DATE(YEAR(G9),MONTH(G9),"1"),$D$7,"M")-DATEDIF(DATE(YEAR(G9),MONTH(G9),"1"),DATEDIF(YEAR(L9),MONTH(L9),"1"),"M")),MIN(DATEDIF(DATE(YEAR(G9),MONTH(G9),"1"),$D$7,"m"),MONTH($D$7))))))</f>
        <v>12</v>
      </c>
      <c r="O9" s="128">
        <f>IF(K9=0,0,ROUND(((1-I9)/K9)*E9,4))</f>
        <v>0</v>
      </c>
      <c r="P9" s="128">
        <f>ROUND(O9*N9,2)</f>
        <v>0</v>
      </c>
      <c r="Q9" s="128">
        <f>ROUND(J9-O9,2)</f>
        <v>0</v>
      </c>
      <c r="R9" s="128">
        <f>ROUND(O9*M9,2)</f>
        <v>0</v>
      </c>
      <c r="S9" s="128">
        <f>ROUND(F9-R9,2)</f>
        <v>0</v>
      </c>
    </row>
    <row r="10" spans="1:28" s="42" customFormat="1" ht="19.95" customHeight="1">
      <c r="A10" s="215">
        <f>'明细表H1-2'!A14</f>
        <v>0</v>
      </c>
      <c r="B10" s="215">
        <f>'明细表H1-2'!B14</f>
        <v>0</v>
      </c>
      <c r="C10" s="215">
        <f>'明细表H1-2'!C14</f>
        <v>0</v>
      </c>
      <c r="D10" s="43"/>
      <c r="E10" s="128">
        <f>'明细表H1-2'!P14</f>
        <v>0</v>
      </c>
      <c r="F10" s="128">
        <f>'明细表H1-2'!AE14</f>
        <v>0</v>
      </c>
      <c r="G10" s="44"/>
      <c r="H10" s="150"/>
      <c r="I10" s="41"/>
      <c r="J10" s="39"/>
      <c r="K10" s="128">
        <f t="shared" ref="K10:K28" si="0">IF(H10=0,0,IF(RIGHT(H10,1)&lt;&gt;"年",H10*12,IF(LEN(H10)=3,VALUE(LEFT(H10,2))*12,IF(LEN(H10)=2,VALUE(LEFT(H10,1))*12,"??"))))</f>
        <v>0</v>
      </c>
      <c r="L10" s="205">
        <f t="shared" ref="L10:L28" si="1">DATE((YEAR(G10)+H10),MONTH(G10),DAY(G10))</f>
        <v>0</v>
      </c>
      <c r="M10" s="128">
        <f t="shared" ref="M10:M28" si="2">MIN((YEAR(L10)-YEAR(G10))*12+(MONTH(L10)-MONTH(G10)),(YEAR($D$7)-YEAR(G10))*12+MONTH($D$7)-MONTH(G10),H10*12)</f>
        <v>0</v>
      </c>
      <c r="N10" s="128">
        <f t="shared" ref="N10:N28" si="3">IF(YEAR(L10)=YEAR($D$7),12-(MONTH($D$7)-MONTH(L10)),(IF(L10&lt;$B$7,0,IF($D$7&gt;L10,MIN(MONTH($D$7),DATEDIF(DATE(YEAR(G10),MONTH(G10),"1"),$D$7,"M")-DATEDIF(DATE(YEAR(G10),MONTH(G10),"1"),DATEDIF(YEAR(L10),MONTH(L10),"1"),"M")),MIN(DATEDIF(DATE(YEAR(G10),MONTH(G10),"1"),$D$7,"m"),MONTH($D$7))))))</f>
        <v>12</v>
      </c>
      <c r="O10" s="128">
        <f t="shared" ref="O10:O28" si="4">IF(K10=0,0,ROUND(((1-I10)/K10)*E10,4))</f>
        <v>0</v>
      </c>
      <c r="P10" s="128">
        <f t="shared" ref="P10:P28" si="5">ROUND(O10*N10,2)</f>
        <v>0</v>
      </c>
      <c r="Q10" s="128">
        <f t="shared" ref="Q10:Q28" si="6">ROUND(J10-O10,2)</f>
        <v>0</v>
      </c>
      <c r="R10" s="128">
        <f t="shared" ref="R10:R28" si="7">ROUND(O10*M10,2)</f>
        <v>0</v>
      </c>
      <c r="S10" s="128">
        <f>ROUND(F10-R10,2)</f>
        <v>0</v>
      </c>
    </row>
    <row r="11" spans="1:28" ht="19.95" customHeight="1">
      <c r="A11" s="215">
        <f>'明细表H1-2'!A15</f>
        <v>0</v>
      </c>
      <c r="B11" s="215">
        <f>'明细表H1-2'!B15</f>
        <v>0</v>
      </c>
      <c r="C11" s="215">
        <f>'明细表H1-2'!C15</f>
        <v>0</v>
      </c>
      <c r="D11" s="43"/>
      <c r="E11" s="128">
        <f>'明细表H1-2'!P15</f>
        <v>0</v>
      </c>
      <c r="F11" s="128">
        <f>'明细表H1-2'!AE15</f>
        <v>0</v>
      </c>
      <c r="G11" s="44"/>
      <c r="H11" s="150"/>
      <c r="I11" s="41"/>
      <c r="J11" s="39"/>
      <c r="K11" s="128">
        <f t="shared" si="0"/>
        <v>0</v>
      </c>
      <c r="L11" s="205">
        <f t="shared" si="1"/>
        <v>0</v>
      </c>
      <c r="M11" s="128">
        <f t="shared" si="2"/>
        <v>0</v>
      </c>
      <c r="N11" s="128">
        <f t="shared" si="3"/>
        <v>12</v>
      </c>
      <c r="O11" s="128">
        <f t="shared" si="4"/>
        <v>0</v>
      </c>
      <c r="P11" s="128">
        <f t="shared" si="5"/>
        <v>0</v>
      </c>
      <c r="Q11" s="128">
        <f t="shared" si="6"/>
        <v>0</v>
      </c>
      <c r="R11" s="128">
        <f t="shared" si="7"/>
        <v>0</v>
      </c>
      <c r="S11" s="128">
        <f t="shared" ref="S11:S28" si="8">ROUND(F11-R11,2)</f>
        <v>0</v>
      </c>
    </row>
    <row r="12" spans="1:28" ht="19.95" customHeight="1">
      <c r="A12" s="215">
        <f>'明细表H1-2'!A16</f>
        <v>0</v>
      </c>
      <c r="B12" s="215">
        <f>'明细表H1-2'!B16</f>
        <v>0</v>
      </c>
      <c r="C12" s="215">
        <f>'明细表H1-2'!C16</f>
        <v>0</v>
      </c>
      <c r="D12" s="43"/>
      <c r="E12" s="128">
        <f>'明细表H1-2'!P16</f>
        <v>0</v>
      </c>
      <c r="F12" s="128">
        <f>'明细表H1-2'!AE16</f>
        <v>0</v>
      </c>
      <c r="G12" s="44"/>
      <c r="H12" s="150"/>
      <c r="I12" s="41"/>
      <c r="J12" s="39"/>
      <c r="K12" s="128">
        <f t="shared" si="0"/>
        <v>0</v>
      </c>
      <c r="L12" s="205">
        <f t="shared" si="1"/>
        <v>0</v>
      </c>
      <c r="M12" s="128">
        <f t="shared" si="2"/>
        <v>0</v>
      </c>
      <c r="N12" s="128">
        <f t="shared" si="3"/>
        <v>12</v>
      </c>
      <c r="O12" s="128">
        <f t="shared" si="4"/>
        <v>0</v>
      </c>
      <c r="P12" s="128">
        <f t="shared" si="5"/>
        <v>0</v>
      </c>
      <c r="Q12" s="128">
        <f t="shared" si="6"/>
        <v>0</v>
      </c>
      <c r="R12" s="128">
        <f t="shared" si="7"/>
        <v>0</v>
      </c>
      <c r="S12" s="128">
        <f t="shared" si="8"/>
        <v>0</v>
      </c>
    </row>
    <row r="13" spans="1:28" ht="19.95" customHeight="1">
      <c r="A13" s="215">
        <f>'明细表H1-2'!A17</f>
        <v>0</v>
      </c>
      <c r="B13" s="215">
        <f>'明细表H1-2'!B17</f>
        <v>0</v>
      </c>
      <c r="C13" s="215">
        <f>'明细表H1-2'!C17</f>
        <v>0</v>
      </c>
      <c r="D13" s="43"/>
      <c r="E13" s="128">
        <f>'明细表H1-2'!P17</f>
        <v>0</v>
      </c>
      <c r="F13" s="128">
        <f>'明细表H1-2'!AE17</f>
        <v>0</v>
      </c>
      <c r="G13" s="44"/>
      <c r="H13" s="150"/>
      <c r="I13" s="41"/>
      <c r="J13" s="39"/>
      <c r="K13" s="128">
        <f t="shared" si="0"/>
        <v>0</v>
      </c>
      <c r="L13" s="205">
        <f t="shared" si="1"/>
        <v>0</v>
      </c>
      <c r="M13" s="128">
        <f t="shared" si="2"/>
        <v>0</v>
      </c>
      <c r="N13" s="128">
        <f t="shared" si="3"/>
        <v>12</v>
      </c>
      <c r="O13" s="128">
        <f t="shared" si="4"/>
        <v>0</v>
      </c>
      <c r="P13" s="128">
        <f t="shared" si="5"/>
        <v>0</v>
      </c>
      <c r="Q13" s="128">
        <f t="shared" si="6"/>
        <v>0</v>
      </c>
      <c r="R13" s="128">
        <f t="shared" si="7"/>
        <v>0</v>
      </c>
      <c r="S13" s="128">
        <f t="shared" si="8"/>
        <v>0</v>
      </c>
    </row>
    <row r="14" spans="1:28" ht="19.95" customHeight="1">
      <c r="A14" s="215">
        <f>'明细表H1-2'!A18</f>
        <v>0</v>
      </c>
      <c r="B14" s="215">
        <f>'明细表H1-2'!B18</f>
        <v>0</v>
      </c>
      <c r="C14" s="215">
        <f>'明细表H1-2'!C18</f>
        <v>0</v>
      </c>
      <c r="D14" s="43"/>
      <c r="E14" s="128">
        <f>'明细表H1-2'!P18</f>
        <v>0</v>
      </c>
      <c r="F14" s="128">
        <f>'明细表H1-2'!AE18</f>
        <v>0</v>
      </c>
      <c r="G14" s="44"/>
      <c r="H14" s="150"/>
      <c r="I14" s="41"/>
      <c r="J14" s="39"/>
      <c r="K14" s="128">
        <f t="shared" si="0"/>
        <v>0</v>
      </c>
      <c r="L14" s="205">
        <f t="shared" si="1"/>
        <v>0</v>
      </c>
      <c r="M14" s="128">
        <f t="shared" si="2"/>
        <v>0</v>
      </c>
      <c r="N14" s="128">
        <f t="shared" si="3"/>
        <v>12</v>
      </c>
      <c r="O14" s="128">
        <f t="shared" si="4"/>
        <v>0</v>
      </c>
      <c r="P14" s="128">
        <f t="shared" si="5"/>
        <v>0</v>
      </c>
      <c r="Q14" s="128">
        <f t="shared" si="6"/>
        <v>0</v>
      </c>
      <c r="R14" s="128">
        <f t="shared" si="7"/>
        <v>0</v>
      </c>
      <c r="S14" s="128">
        <f t="shared" si="8"/>
        <v>0</v>
      </c>
    </row>
    <row r="15" spans="1:28" ht="19.95" customHeight="1">
      <c r="A15" s="215">
        <f>'明细表H1-2'!A19</f>
        <v>0</v>
      </c>
      <c r="B15" s="215">
        <f>'明细表H1-2'!B19</f>
        <v>0</v>
      </c>
      <c r="C15" s="215">
        <f>'明细表H1-2'!C19</f>
        <v>0</v>
      </c>
      <c r="D15" s="43"/>
      <c r="E15" s="128">
        <f>'明细表H1-2'!P19</f>
        <v>0</v>
      </c>
      <c r="F15" s="128">
        <f>'明细表H1-2'!AE19</f>
        <v>0</v>
      </c>
      <c r="G15" s="44"/>
      <c r="H15" s="150"/>
      <c r="I15" s="41"/>
      <c r="J15" s="39"/>
      <c r="K15" s="128">
        <f t="shared" si="0"/>
        <v>0</v>
      </c>
      <c r="L15" s="205">
        <f t="shared" si="1"/>
        <v>0</v>
      </c>
      <c r="M15" s="128">
        <f t="shared" si="2"/>
        <v>0</v>
      </c>
      <c r="N15" s="128">
        <f t="shared" si="3"/>
        <v>12</v>
      </c>
      <c r="O15" s="128">
        <f t="shared" si="4"/>
        <v>0</v>
      </c>
      <c r="P15" s="128">
        <f t="shared" si="5"/>
        <v>0</v>
      </c>
      <c r="Q15" s="128">
        <f t="shared" si="6"/>
        <v>0</v>
      </c>
      <c r="R15" s="128">
        <f t="shared" si="7"/>
        <v>0</v>
      </c>
      <c r="S15" s="128">
        <f t="shared" si="8"/>
        <v>0</v>
      </c>
    </row>
    <row r="16" spans="1:28" ht="19.95" customHeight="1">
      <c r="A16" s="215">
        <f>'明细表H1-2'!A20</f>
        <v>0</v>
      </c>
      <c r="B16" s="215">
        <f>'明细表H1-2'!B20</f>
        <v>0</v>
      </c>
      <c r="C16" s="215">
        <f>'明细表H1-2'!C20</f>
        <v>0</v>
      </c>
      <c r="D16" s="43"/>
      <c r="E16" s="128">
        <f>'明细表H1-2'!P20</f>
        <v>0</v>
      </c>
      <c r="F16" s="128">
        <f>'明细表H1-2'!AE20</f>
        <v>0</v>
      </c>
      <c r="G16" s="44"/>
      <c r="H16" s="150"/>
      <c r="I16" s="41"/>
      <c r="J16" s="39"/>
      <c r="K16" s="128">
        <f t="shared" si="0"/>
        <v>0</v>
      </c>
      <c r="L16" s="205">
        <f t="shared" si="1"/>
        <v>0</v>
      </c>
      <c r="M16" s="128">
        <f t="shared" si="2"/>
        <v>0</v>
      </c>
      <c r="N16" s="128">
        <f t="shared" si="3"/>
        <v>12</v>
      </c>
      <c r="O16" s="128">
        <f t="shared" si="4"/>
        <v>0</v>
      </c>
      <c r="P16" s="128">
        <f t="shared" si="5"/>
        <v>0</v>
      </c>
      <c r="Q16" s="128">
        <f t="shared" si="6"/>
        <v>0</v>
      </c>
      <c r="R16" s="128">
        <f t="shared" si="7"/>
        <v>0</v>
      </c>
      <c r="S16" s="128">
        <f t="shared" si="8"/>
        <v>0</v>
      </c>
    </row>
    <row r="17" spans="1:19" ht="19.95" customHeight="1">
      <c r="A17" s="215">
        <f>'明细表H1-2'!A21</f>
        <v>0</v>
      </c>
      <c r="B17" s="215">
        <f>'明细表H1-2'!B21</f>
        <v>0</v>
      </c>
      <c r="C17" s="215">
        <f>'明细表H1-2'!C21</f>
        <v>0</v>
      </c>
      <c r="D17" s="43"/>
      <c r="E17" s="128">
        <f>'明细表H1-2'!P21</f>
        <v>0</v>
      </c>
      <c r="F17" s="128">
        <f>'明细表H1-2'!AE21</f>
        <v>0</v>
      </c>
      <c r="G17" s="44"/>
      <c r="H17" s="150"/>
      <c r="I17" s="41"/>
      <c r="J17" s="39"/>
      <c r="K17" s="128">
        <f t="shared" si="0"/>
        <v>0</v>
      </c>
      <c r="L17" s="205">
        <f t="shared" si="1"/>
        <v>0</v>
      </c>
      <c r="M17" s="128">
        <f t="shared" si="2"/>
        <v>0</v>
      </c>
      <c r="N17" s="128">
        <f t="shared" si="3"/>
        <v>12</v>
      </c>
      <c r="O17" s="128">
        <f t="shared" si="4"/>
        <v>0</v>
      </c>
      <c r="P17" s="128">
        <f t="shared" si="5"/>
        <v>0</v>
      </c>
      <c r="Q17" s="128">
        <f t="shared" si="6"/>
        <v>0</v>
      </c>
      <c r="R17" s="128">
        <f t="shared" si="7"/>
        <v>0</v>
      </c>
      <c r="S17" s="128">
        <f t="shared" si="8"/>
        <v>0</v>
      </c>
    </row>
    <row r="18" spans="1:19" ht="19.95" customHeight="1">
      <c r="A18" s="215">
        <f>'明细表H1-2'!A22</f>
        <v>0</v>
      </c>
      <c r="B18" s="215">
        <f>'明细表H1-2'!B22</f>
        <v>0</v>
      </c>
      <c r="C18" s="215">
        <f>'明细表H1-2'!C22</f>
        <v>0</v>
      </c>
      <c r="D18" s="43"/>
      <c r="E18" s="128">
        <f>'明细表H1-2'!P22</f>
        <v>0</v>
      </c>
      <c r="F18" s="128">
        <f>'明细表H1-2'!AE22</f>
        <v>0</v>
      </c>
      <c r="G18" s="44"/>
      <c r="H18" s="150"/>
      <c r="I18" s="41"/>
      <c r="J18" s="39"/>
      <c r="K18" s="128">
        <f t="shared" si="0"/>
        <v>0</v>
      </c>
      <c r="L18" s="205">
        <f t="shared" si="1"/>
        <v>0</v>
      </c>
      <c r="M18" s="128">
        <f t="shared" si="2"/>
        <v>0</v>
      </c>
      <c r="N18" s="128">
        <f t="shared" si="3"/>
        <v>12</v>
      </c>
      <c r="O18" s="128">
        <f t="shared" si="4"/>
        <v>0</v>
      </c>
      <c r="P18" s="128">
        <f t="shared" si="5"/>
        <v>0</v>
      </c>
      <c r="Q18" s="128">
        <f t="shared" si="6"/>
        <v>0</v>
      </c>
      <c r="R18" s="128">
        <f t="shared" si="7"/>
        <v>0</v>
      </c>
      <c r="S18" s="128">
        <f t="shared" si="8"/>
        <v>0</v>
      </c>
    </row>
    <row r="19" spans="1:19" ht="19.95" customHeight="1">
      <c r="A19" s="215">
        <f>'明细表H1-2'!A23</f>
        <v>0</v>
      </c>
      <c r="B19" s="215">
        <f>'明细表H1-2'!B23</f>
        <v>0</v>
      </c>
      <c r="C19" s="215">
        <f>'明细表H1-2'!C23</f>
        <v>0</v>
      </c>
      <c r="D19" s="43"/>
      <c r="E19" s="128">
        <f>'明细表H1-2'!P23</f>
        <v>0</v>
      </c>
      <c r="F19" s="128">
        <f>'明细表H1-2'!AE23</f>
        <v>0</v>
      </c>
      <c r="G19" s="44"/>
      <c r="H19" s="150"/>
      <c r="I19" s="41"/>
      <c r="J19" s="39"/>
      <c r="K19" s="128">
        <f t="shared" si="0"/>
        <v>0</v>
      </c>
      <c r="L19" s="205">
        <f t="shared" si="1"/>
        <v>0</v>
      </c>
      <c r="M19" s="128">
        <f t="shared" si="2"/>
        <v>0</v>
      </c>
      <c r="N19" s="128">
        <f t="shared" si="3"/>
        <v>12</v>
      </c>
      <c r="O19" s="128">
        <f t="shared" si="4"/>
        <v>0</v>
      </c>
      <c r="P19" s="128">
        <f t="shared" si="5"/>
        <v>0</v>
      </c>
      <c r="Q19" s="128">
        <f t="shared" si="6"/>
        <v>0</v>
      </c>
      <c r="R19" s="128">
        <f t="shared" si="7"/>
        <v>0</v>
      </c>
      <c r="S19" s="128">
        <f t="shared" si="8"/>
        <v>0</v>
      </c>
    </row>
    <row r="20" spans="1:19" ht="19.95" customHeight="1">
      <c r="A20" s="215">
        <f>'明细表H1-2'!A24</f>
        <v>0</v>
      </c>
      <c r="B20" s="215">
        <f>'明细表H1-2'!B24</f>
        <v>0</v>
      </c>
      <c r="C20" s="215">
        <f>'明细表H1-2'!C24</f>
        <v>0</v>
      </c>
      <c r="D20" s="43"/>
      <c r="E20" s="128">
        <f>'明细表H1-2'!P24</f>
        <v>0</v>
      </c>
      <c r="F20" s="128">
        <f>'明细表H1-2'!AE24</f>
        <v>0</v>
      </c>
      <c r="G20" s="44"/>
      <c r="H20" s="150"/>
      <c r="I20" s="41"/>
      <c r="J20" s="39"/>
      <c r="K20" s="128">
        <f t="shared" si="0"/>
        <v>0</v>
      </c>
      <c r="L20" s="205">
        <f t="shared" si="1"/>
        <v>0</v>
      </c>
      <c r="M20" s="128">
        <f t="shared" si="2"/>
        <v>0</v>
      </c>
      <c r="N20" s="128">
        <f t="shared" si="3"/>
        <v>12</v>
      </c>
      <c r="O20" s="128">
        <f t="shared" si="4"/>
        <v>0</v>
      </c>
      <c r="P20" s="128">
        <f t="shared" si="5"/>
        <v>0</v>
      </c>
      <c r="Q20" s="128">
        <f t="shared" si="6"/>
        <v>0</v>
      </c>
      <c r="R20" s="128">
        <f t="shared" si="7"/>
        <v>0</v>
      </c>
      <c r="S20" s="128">
        <f t="shared" si="8"/>
        <v>0</v>
      </c>
    </row>
    <row r="21" spans="1:19" ht="19.95" customHeight="1">
      <c r="A21" s="215">
        <f>'明细表H1-2'!A25</f>
        <v>0</v>
      </c>
      <c r="B21" s="215">
        <f>'明细表H1-2'!B25</f>
        <v>0</v>
      </c>
      <c r="C21" s="215">
        <f>'明细表H1-2'!C25</f>
        <v>0</v>
      </c>
      <c r="D21" s="43"/>
      <c r="E21" s="128">
        <f>'明细表H1-2'!P25</f>
        <v>0</v>
      </c>
      <c r="F21" s="128">
        <f>'明细表H1-2'!AE25</f>
        <v>0</v>
      </c>
      <c r="G21" s="44"/>
      <c r="H21" s="150"/>
      <c r="I21" s="41"/>
      <c r="J21" s="39"/>
      <c r="K21" s="128">
        <f t="shared" si="0"/>
        <v>0</v>
      </c>
      <c r="L21" s="205">
        <f t="shared" si="1"/>
        <v>0</v>
      </c>
      <c r="M21" s="128">
        <f t="shared" si="2"/>
        <v>0</v>
      </c>
      <c r="N21" s="128">
        <f t="shared" si="3"/>
        <v>12</v>
      </c>
      <c r="O21" s="128">
        <f t="shared" si="4"/>
        <v>0</v>
      </c>
      <c r="P21" s="128">
        <f t="shared" si="5"/>
        <v>0</v>
      </c>
      <c r="Q21" s="128">
        <f t="shared" si="6"/>
        <v>0</v>
      </c>
      <c r="R21" s="128">
        <f t="shared" si="7"/>
        <v>0</v>
      </c>
      <c r="S21" s="128">
        <f t="shared" si="8"/>
        <v>0</v>
      </c>
    </row>
    <row r="22" spans="1:19" ht="19.95" customHeight="1">
      <c r="A22" s="215">
        <f>'明细表H1-2'!A26</f>
        <v>0</v>
      </c>
      <c r="B22" s="215">
        <f>'明细表H1-2'!B26</f>
        <v>0</v>
      </c>
      <c r="C22" s="215">
        <f>'明细表H1-2'!C26</f>
        <v>0</v>
      </c>
      <c r="D22" s="43"/>
      <c r="E22" s="128">
        <f>'明细表H1-2'!P26</f>
        <v>0</v>
      </c>
      <c r="F22" s="128">
        <f>'明细表H1-2'!AE26</f>
        <v>0</v>
      </c>
      <c r="G22" s="44"/>
      <c r="H22" s="150"/>
      <c r="I22" s="41"/>
      <c r="J22" s="39"/>
      <c r="K22" s="128">
        <f t="shared" si="0"/>
        <v>0</v>
      </c>
      <c r="L22" s="205">
        <f t="shared" si="1"/>
        <v>0</v>
      </c>
      <c r="M22" s="128">
        <f t="shared" si="2"/>
        <v>0</v>
      </c>
      <c r="N22" s="128">
        <f t="shared" si="3"/>
        <v>12</v>
      </c>
      <c r="O22" s="128">
        <f t="shared" si="4"/>
        <v>0</v>
      </c>
      <c r="P22" s="128">
        <f t="shared" si="5"/>
        <v>0</v>
      </c>
      <c r="Q22" s="128">
        <f t="shared" si="6"/>
        <v>0</v>
      </c>
      <c r="R22" s="128">
        <f t="shared" si="7"/>
        <v>0</v>
      </c>
      <c r="S22" s="128">
        <f t="shared" si="8"/>
        <v>0</v>
      </c>
    </row>
    <row r="23" spans="1:19" ht="19.95" customHeight="1">
      <c r="A23" s="215">
        <f>'明细表H1-2'!A27</f>
        <v>0</v>
      </c>
      <c r="B23" s="215">
        <f>'明细表H1-2'!B27</f>
        <v>0</v>
      </c>
      <c r="C23" s="215">
        <f>'明细表H1-2'!C27</f>
        <v>0</v>
      </c>
      <c r="D23" s="43"/>
      <c r="E23" s="128">
        <f>'明细表H1-2'!P27</f>
        <v>0</v>
      </c>
      <c r="F23" s="128">
        <f>'明细表H1-2'!AE27</f>
        <v>0</v>
      </c>
      <c r="G23" s="44"/>
      <c r="H23" s="150"/>
      <c r="I23" s="41"/>
      <c r="J23" s="39"/>
      <c r="K23" s="128">
        <f t="shared" si="0"/>
        <v>0</v>
      </c>
      <c r="L23" s="205">
        <f t="shared" si="1"/>
        <v>0</v>
      </c>
      <c r="M23" s="128">
        <f t="shared" si="2"/>
        <v>0</v>
      </c>
      <c r="N23" s="128">
        <f t="shared" si="3"/>
        <v>12</v>
      </c>
      <c r="O23" s="128">
        <f t="shared" si="4"/>
        <v>0</v>
      </c>
      <c r="P23" s="128">
        <f t="shared" si="5"/>
        <v>0</v>
      </c>
      <c r="Q23" s="128">
        <f t="shared" si="6"/>
        <v>0</v>
      </c>
      <c r="R23" s="128">
        <f t="shared" si="7"/>
        <v>0</v>
      </c>
      <c r="S23" s="128">
        <f t="shared" si="8"/>
        <v>0</v>
      </c>
    </row>
    <row r="24" spans="1:19" ht="19.95" customHeight="1">
      <c r="A24" s="215">
        <f>'明细表H1-2'!A28</f>
        <v>0</v>
      </c>
      <c r="B24" s="215">
        <f>'明细表H1-2'!B28</f>
        <v>0</v>
      </c>
      <c r="C24" s="215">
        <f>'明细表H1-2'!C28</f>
        <v>0</v>
      </c>
      <c r="D24" s="43"/>
      <c r="E24" s="128">
        <f>'明细表H1-2'!P28</f>
        <v>0</v>
      </c>
      <c r="F24" s="128">
        <f>'明细表H1-2'!AE28</f>
        <v>0</v>
      </c>
      <c r="G24" s="44"/>
      <c r="H24" s="150"/>
      <c r="I24" s="41"/>
      <c r="J24" s="39"/>
      <c r="K24" s="128">
        <f t="shared" si="0"/>
        <v>0</v>
      </c>
      <c r="L24" s="205">
        <f t="shared" si="1"/>
        <v>0</v>
      </c>
      <c r="M24" s="128">
        <f t="shared" si="2"/>
        <v>0</v>
      </c>
      <c r="N24" s="128">
        <f t="shared" si="3"/>
        <v>12</v>
      </c>
      <c r="O24" s="128">
        <f t="shared" si="4"/>
        <v>0</v>
      </c>
      <c r="P24" s="128">
        <f t="shared" si="5"/>
        <v>0</v>
      </c>
      <c r="Q24" s="128">
        <f t="shared" si="6"/>
        <v>0</v>
      </c>
      <c r="R24" s="128">
        <f t="shared" si="7"/>
        <v>0</v>
      </c>
      <c r="S24" s="128">
        <f t="shared" si="8"/>
        <v>0</v>
      </c>
    </row>
    <row r="25" spans="1:19" ht="19.95" customHeight="1">
      <c r="A25" s="215">
        <f>'明细表H1-2'!A29</f>
        <v>0</v>
      </c>
      <c r="B25" s="215">
        <f>'明细表H1-2'!B29</f>
        <v>0</v>
      </c>
      <c r="C25" s="215">
        <f>'明细表H1-2'!C29</f>
        <v>0</v>
      </c>
      <c r="D25" s="43"/>
      <c r="E25" s="128">
        <f>'明细表H1-2'!P29</f>
        <v>0</v>
      </c>
      <c r="F25" s="128">
        <f>'明细表H1-2'!AE29</f>
        <v>0</v>
      </c>
      <c r="G25" s="44"/>
      <c r="H25" s="150"/>
      <c r="I25" s="41"/>
      <c r="J25" s="39"/>
      <c r="K25" s="128">
        <f t="shared" si="0"/>
        <v>0</v>
      </c>
      <c r="L25" s="205">
        <f t="shared" si="1"/>
        <v>0</v>
      </c>
      <c r="M25" s="128">
        <f t="shared" si="2"/>
        <v>0</v>
      </c>
      <c r="N25" s="128">
        <f t="shared" si="3"/>
        <v>12</v>
      </c>
      <c r="O25" s="128">
        <f t="shared" si="4"/>
        <v>0</v>
      </c>
      <c r="P25" s="128">
        <f t="shared" si="5"/>
        <v>0</v>
      </c>
      <c r="Q25" s="128">
        <f t="shared" si="6"/>
        <v>0</v>
      </c>
      <c r="R25" s="128">
        <f t="shared" si="7"/>
        <v>0</v>
      </c>
      <c r="S25" s="128">
        <f t="shared" si="8"/>
        <v>0</v>
      </c>
    </row>
    <row r="26" spans="1:19" ht="19.95" customHeight="1">
      <c r="A26" s="215">
        <f>'明细表H1-2'!A30</f>
        <v>0</v>
      </c>
      <c r="B26" s="215">
        <f>'明细表H1-2'!B30</f>
        <v>0</v>
      </c>
      <c r="C26" s="215">
        <f>'明细表H1-2'!C30</f>
        <v>0</v>
      </c>
      <c r="D26" s="43"/>
      <c r="E26" s="128">
        <f>'明细表H1-2'!P30</f>
        <v>0</v>
      </c>
      <c r="F26" s="128">
        <f>'明细表H1-2'!AE30</f>
        <v>0</v>
      </c>
      <c r="G26" s="44"/>
      <c r="H26" s="150"/>
      <c r="I26" s="41"/>
      <c r="J26" s="39"/>
      <c r="K26" s="128">
        <f t="shared" si="0"/>
        <v>0</v>
      </c>
      <c r="L26" s="205">
        <f t="shared" si="1"/>
        <v>0</v>
      </c>
      <c r="M26" s="128">
        <f t="shared" si="2"/>
        <v>0</v>
      </c>
      <c r="N26" s="128">
        <f t="shared" si="3"/>
        <v>12</v>
      </c>
      <c r="O26" s="128">
        <f t="shared" si="4"/>
        <v>0</v>
      </c>
      <c r="P26" s="128">
        <f t="shared" si="5"/>
        <v>0</v>
      </c>
      <c r="Q26" s="128">
        <f t="shared" si="6"/>
        <v>0</v>
      </c>
      <c r="R26" s="128">
        <f t="shared" si="7"/>
        <v>0</v>
      </c>
      <c r="S26" s="128">
        <f t="shared" si="8"/>
        <v>0</v>
      </c>
    </row>
    <row r="27" spans="1:19" ht="19.95" customHeight="1">
      <c r="A27" s="215">
        <f>'明细表H1-2'!A31</f>
        <v>0</v>
      </c>
      <c r="B27" s="215">
        <f>'明细表H1-2'!B31</f>
        <v>0</v>
      </c>
      <c r="C27" s="215">
        <f>'明细表H1-2'!C31</f>
        <v>0</v>
      </c>
      <c r="D27" s="43"/>
      <c r="E27" s="128">
        <f>'明细表H1-2'!P31</f>
        <v>0</v>
      </c>
      <c r="F27" s="128">
        <f>'明细表H1-2'!AE31</f>
        <v>0</v>
      </c>
      <c r="G27" s="44"/>
      <c r="H27" s="150"/>
      <c r="I27" s="41"/>
      <c r="J27" s="39"/>
      <c r="K27" s="128">
        <f t="shared" si="0"/>
        <v>0</v>
      </c>
      <c r="L27" s="205">
        <f t="shared" si="1"/>
        <v>0</v>
      </c>
      <c r="M27" s="128">
        <f t="shared" si="2"/>
        <v>0</v>
      </c>
      <c r="N27" s="128">
        <f t="shared" si="3"/>
        <v>12</v>
      </c>
      <c r="O27" s="128">
        <f t="shared" si="4"/>
        <v>0</v>
      </c>
      <c r="P27" s="128">
        <f t="shared" si="5"/>
        <v>0</v>
      </c>
      <c r="Q27" s="128">
        <f t="shared" si="6"/>
        <v>0</v>
      </c>
      <c r="R27" s="128">
        <f t="shared" si="7"/>
        <v>0</v>
      </c>
      <c r="S27" s="128">
        <f t="shared" si="8"/>
        <v>0</v>
      </c>
    </row>
    <row r="28" spans="1:19" ht="19.95" customHeight="1">
      <c r="A28" s="215">
        <f>'明细表H1-2'!A32</f>
        <v>0</v>
      </c>
      <c r="B28" s="215">
        <f>'明细表H1-2'!B32</f>
        <v>0</v>
      </c>
      <c r="C28" s="215">
        <f>'明细表H1-2'!C32</f>
        <v>0</v>
      </c>
      <c r="D28" s="43"/>
      <c r="E28" s="128">
        <f>'明细表H1-2'!P32</f>
        <v>0</v>
      </c>
      <c r="F28" s="128">
        <f>'明细表H1-2'!AE32</f>
        <v>0</v>
      </c>
      <c r="G28" s="44"/>
      <c r="H28" s="150"/>
      <c r="I28" s="41"/>
      <c r="J28" s="39"/>
      <c r="K28" s="128">
        <f t="shared" si="0"/>
        <v>0</v>
      </c>
      <c r="L28" s="205">
        <f t="shared" si="1"/>
        <v>0</v>
      </c>
      <c r="M28" s="128">
        <f t="shared" si="2"/>
        <v>0</v>
      </c>
      <c r="N28" s="128">
        <f t="shared" si="3"/>
        <v>12</v>
      </c>
      <c r="O28" s="128">
        <f t="shared" si="4"/>
        <v>0</v>
      </c>
      <c r="P28" s="128">
        <f t="shared" si="5"/>
        <v>0</v>
      </c>
      <c r="Q28" s="128">
        <f t="shared" si="6"/>
        <v>0</v>
      </c>
      <c r="R28" s="128">
        <f t="shared" si="7"/>
        <v>0</v>
      </c>
      <c r="S28" s="128">
        <f t="shared" si="8"/>
        <v>0</v>
      </c>
    </row>
    <row r="29" spans="1:19" s="653" customFormat="1" ht="19.95" customHeight="1">
      <c r="A29" s="215" t="str">
        <f>'明细表H1-2'!A33</f>
        <v>合计</v>
      </c>
      <c r="B29" s="215"/>
      <c r="C29" s="215"/>
      <c r="D29" s="208"/>
      <c r="E29" s="128">
        <f>SUM(E9:E28)</f>
        <v>0</v>
      </c>
      <c r="F29" s="128">
        <f>SUM(F9:F28)</f>
        <v>0</v>
      </c>
      <c r="G29" s="650"/>
      <c r="H29" s="651"/>
      <c r="I29" s="652"/>
      <c r="J29" s="208"/>
      <c r="K29" s="651"/>
      <c r="L29" s="651"/>
      <c r="M29" s="651"/>
      <c r="N29" s="651"/>
      <c r="O29" s="128">
        <f>SUM(O9:O28)</f>
        <v>0</v>
      </c>
      <c r="P29" s="128">
        <f>SUM(P9:P28)</f>
        <v>0</v>
      </c>
      <c r="Q29" s="128">
        <f>SUM(Q9:Q28)</f>
        <v>0</v>
      </c>
      <c r="R29" s="128">
        <f>SUM(R9:R28)</f>
        <v>0</v>
      </c>
      <c r="S29" s="128">
        <f>SUM(S9:S28)</f>
        <v>0</v>
      </c>
    </row>
    <row r="30" spans="1:19" ht="19.95" customHeight="1">
      <c r="A30" s="117" t="str">
        <f>'明细表H1-2'!A34</f>
        <v>其中：</v>
      </c>
      <c r="B30" s="117"/>
      <c r="C30" s="117"/>
      <c r="D30" s="39"/>
      <c r="E30" s="46"/>
      <c r="F30" s="46"/>
      <c r="G30" s="45"/>
      <c r="H30" s="46"/>
      <c r="I30" s="47"/>
      <c r="J30" s="43"/>
      <c r="K30" s="46"/>
      <c r="L30" s="46"/>
      <c r="M30" s="46"/>
      <c r="N30" s="46"/>
      <c r="O30" s="46"/>
      <c r="P30" s="46"/>
      <c r="Q30" s="46"/>
      <c r="R30" s="46"/>
      <c r="S30" s="46"/>
    </row>
    <row r="31" spans="1:19" s="566" customFormat="1" ht="19.95" customHeight="1">
      <c r="A31" s="802" t="str">
        <f>'明细表H1-2'!A35</f>
        <v>房屋及建筑物</v>
      </c>
      <c r="B31" s="803"/>
      <c r="C31" s="803"/>
      <c r="D31" s="804"/>
      <c r="E31" s="563">
        <f>SUMPRODUCT(($A$9:$A$28=$A31)*(E$9:E$28))</f>
        <v>0</v>
      </c>
      <c r="F31" s="563">
        <f>SUMPRODUCT(($A$9:$A$28=$A31)*(F$9:F$28))</f>
        <v>0</v>
      </c>
      <c r="G31" s="576"/>
      <c r="H31" s="576"/>
      <c r="I31" s="576"/>
      <c r="J31" s="576"/>
      <c r="K31" s="576"/>
      <c r="L31" s="576"/>
      <c r="M31" s="576"/>
      <c r="N31" s="576"/>
      <c r="O31" s="576"/>
      <c r="P31" s="576"/>
      <c r="Q31" s="576"/>
      <c r="R31" s="576"/>
      <c r="S31" s="128">
        <f>SUMPRODUCT(($A$9:$A$28=$A31)*(S$9:S$28))</f>
        <v>0</v>
      </c>
    </row>
    <row r="32" spans="1:19" s="566" customFormat="1" ht="19.95" customHeight="1">
      <c r="A32" s="802" t="str">
        <f>'明细表H1-2'!A36</f>
        <v>机器设备</v>
      </c>
      <c r="B32" s="803"/>
      <c r="C32" s="803"/>
      <c r="D32" s="804"/>
      <c r="E32" s="563">
        <f t="shared" ref="E32:F35" si="9">SUMPRODUCT(($A$9:$A$28=$A32)*(E$9:E$28))</f>
        <v>0</v>
      </c>
      <c r="F32" s="563">
        <f t="shared" si="9"/>
        <v>0</v>
      </c>
      <c r="G32" s="576"/>
      <c r="H32" s="576"/>
      <c r="I32" s="576"/>
      <c r="J32" s="576"/>
      <c r="K32" s="576"/>
      <c r="L32" s="576"/>
      <c r="M32" s="576"/>
      <c r="N32" s="576"/>
      <c r="O32" s="576"/>
      <c r="P32" s="576"/>
      <c r="Q32" s="576"/>
      <c r="R32" s="576"/>
      <c r="S32" s="128">
        <f>SUMPRODUCT(($A$9:$A$28=$A32)*(S$9:S$28))</f>
        <v>0</v>
      </c>
    </row>
    <row r="33" spans="1:19" s="566" customFormat="1" ht="19.95" customHeight="1">
      <c r="A33" s="802" t="str">
        <f>'明细表H1-2'!A37</f>
        <v>运输设备</v>
      </c>
      <c r="B33" s="803"/>
      <c r="C33" s="803"/>
      <c r="D33" s="804"/>
      <c r="E33" s="563">
        <f t="shared" si="9"/>
        <v>0</v>
      </c>
      <c r="F33" s="563">
        <f t="shared" si="9"/>
        <v>0</v>
      </c>
      <c r="G33" s="576"/>
      <c r="H33" s="576"/>
      <c r="I33" s="576"/>
      <c r="J33" s="576"/>
      <c r="K33" s="576"/>
      <c r="L33" s="576"/>
      <c r="M33" s="576"/>
      <c r="N33" s="576"/>
      <c r="O33" s="576"/>
      <c r="P33" s="576"/>
      <c r="Q33" s="576"/>
      <c r="R33" s="576"/>
      <c r="S33" s="128">
        <f>SUMPRODUCT(($A$9:$A$28=$A33)*(S$9:S$28))</f>
        <v>0</v>
      </c>
    </row>
    <row r="34" spans="1:19" s="566" customFormat="1" ht="19.95" customHeight="1">
      <c r="A34" s="802" t="str">
        <f>'明细表H1-2'!A38</f>
        <v>办公设备</v>
      </c>
      <c r="B34" s="803"/>
      <c r="C34" s="803"/>
      <c r="D34" s="804"/>
      <c r="E34" s="563">
        <f t="shared" si="9"/>
        <v>0</v>
      </c>
      <c r="F34" s="563">
        <f t="shared" si="9"/>
        <v>0</v>
      </c>
      <c r="G34" s="576"/>
      <c r="H34" s="576"/>
      <c r="I34" s="576"/>
      <c r="J34" s="576"/>
      <c r="K34" s="576"/>
      <c r="L34" s="576"/>
      <c r="M34" s="576"/>
      <c r="N34" s="576"/>
      <c r="O34" s="576"/>
      <c r="P34" s="576"/>
      <c r="Q34" s="576"/>
      <c r="R34" s="576"/>
      <c r="S34" s="128">
        <f>SUMPRODUCT(($A$9:$A$28=$A34)*(S$9:S$28))</f>
        <v>0</v>
      </c>
    </row>
    <row r="35" spans="1:19" s="566" customFormat="1" ht="19.95" customHeight="1">
      <c r="A35" s="802" t="str">
        <f>'明细表H1-2'!A39</f>
        <v>其他设备</v>
      </c>
      <c r="B35" s="803"/>
      <c r="C35" s="803"/>
      <c r="D35" s="804"/>
      <c r="E35" s="563">
        <f t="shared" si="9"/>
        <v>0</v>
      </c>
      <c r="F35" s="563">
        <f t="shared" si="9"/>
        <v>0</v>
      </c>
      <c r="G35" s="576"/>
      <c r="H35" s="576"/>
      <c r="I35" s="576"/>
      <c r="J35" s="576"/>
      <c r="K35" s="576"/>
      <c r="L35" s="576"/>
      <c r="M35" s="576"/>
      <c r="N35" s="576"/>
      <c r="O35" s="576"/>
      <c r="P35" s="576"/>
      <c r="Q35" s="576"/>
      <c r="R35" s="576"/>
      <c r="S35" s="128">
        <f>SUMPRODUCT(($A$9:$A$28=$A35)*(S$9:S$28))</f>
        <v>0</v>
      </c>
    </row>
    <row r="36" spans="1:19" ht="19.95" customHeight="1">
      <c r="A36" s="156" t="s">
        <v>428</v>
      </c>
      <c r="B36" s="18"/>
      <c r="C36" s="18"/>
      <c r="D36" s="18"/>
      <c r="E36" s="18"/>
      <c r="F36" s="18"/>
      <c r="G36" s="18"/>
      <c r="H36" s="18"/>
      <c r="I36" s="18"/>
      <c r="J36" s="18"/>
      <c r="K36" s="63"/>
      <c r="L36" s="18"/>
      <c r="M36" s="18"/>
      <c r="N36" s="18"/>
      <c r="O36" s="18"/>
      <c r="P36" s="18"/>
      <c r="Q36" s="18"/>
      <c r="R36" s="18"/>
      <c r="S36" s="18"/>
    </row>
    <row r="37" spans="1:19" ht="19.95" customHeight="1">
      <c r="A37" s="232" t="s">
        <v>722</v>
      </c>
    </row>
    <row r="39" spans="1:19" ht="19.95" customHeight="1">
      <c r="A39" s="26" t="s">
        <v>376</v>
      </c>
    </row>
    <row r="44" spans="1:19" s="19" customFormat="1" ht="19.95" customHeight="1">
      <c r="A44" s="505" t="s">
        <v>1099</v>
      </c>
      <c r="K44" s="64"/>
    </row>
    <row r="45" spans="1:19" s="19" customFormat="1" ht="19.95" customHeight="1">
      <c r="A45" s="316" t="s">
        <v>723</v>
      </c>
      <c r="K45" s="64"/>
    </row>
    <row r="46" spans="1:19" s="19" customFormat="1" ht="19.95" customHeight="1">
      <c r="A46" s="19" t="s">
        <v>724</v>
      </c>
      <c r="K46" s="64"/>
    </row>
    <row r="47" spans="1:19" s="19" customFormat="1" ht="19.95" customHeight="1">
      <c r="A47" s="19" t="s">
        <v>725</v>
      </c>
      <c r="K47" s="64"/>
    </row>
    <row r="48" spans="1:19" s="19" customFormat="1" ht="19.95" customHeight="1">
      <c r="A48" s="19" t="s">
        <v>726</v>
      </c>
      <c r="K48" s="64"/>
    </row>
    <row r="49" spans="1:11" s="19" customFormat="1" ht="19.95" customHeight="1">
      <c r="A49" s="19" t="s">
        <v>727</v>
      </c>
      <c r="K49" s="64"/>
    </row>
    <row r="50" spans="1:11" s="19" customFormat="1" ht="19.95" customHeight="1">
      <c r="A50" s="19" t="s">
        <v>728</v>
      </c>
      <c r="K50" s="64"/>
    </row>
    <row r="51" spans="1:11" ht="19.95" customHeight="1">
      <c r="A51" s="19" t="s">
        <v>729</v>
      </c>
    </row>
    <row r="52" spans="1:11" ht="19.95" customHeight="1">
      <c r="A52" s="19" t="s">
        <v>730</v>
      </c>
    </row>
    <row r="53" spans="1:11" ht="19.95" customHeight="1">
      <c r="A53" s="19" t="s">
        <v>731</v>
      </c>
    </row>
    <row r="54" spans="1:11" ht="19.95" customHeight="1">
      <c r="A54" s="19" t="s">
        <v>732</v>
      </c>
    </row>
    <row r="55" spans="1:11" ht="19.95" customHeight="1">
      <c r="A55" s="19"/>
    </row>
    <row r="56" spans="1:11" ht="19.95" customHeight="1">
      <c r="A56" s="19" t="s">
        <v>733</v>
      </c>
    </row>
    <row r="57" spans="1:11" ht="19.95" customHeight="1">
      <c r="A57" s="19" t="s">
        <v>734</v>
      </c>
    </row>
    <row r="58" spans="1:11" ht="19.95" customHeight="1">
      <c r="A58" s="19" t="s">
        <v>735</v>
      </c>
    </row>
    <row r="59" spans="1:11" ht="19.95" customHeight="1">
      <c r="A59" s="19" t="s">
        <v>736</v>
      </c>
    </row>
    <row r="64" spans="1:11" ht="19.95" customHeight="1">
      <c r="A64" s="317" t="s">
        <v>737</v>
      </c>
    </row>
    <row r="65" spans="1:1" ht="19.95" customHeight="1">
      <c r="A65" s="318" t="s">
        <v>738</v>
      </c>
    </row>
    <row r="66" spans="1:1" ht="19.95" customHeight="1">
      <c r="A66" s="318" t="s">
        <v>739</v>
      </c>
    </row>
    <row r="67" spans="1:1" ht="19.95" customHeight="1">
      <c r="A67" s="318" t="s">
        <v>740</v>
      </c>
    </row>
    <row r="68" spans="1:1" ht="19.95" customHeight="1">
      <c r="A68" s="318" t="s">
        <v>741</v>
      </c>
    </row>
  </sheetData>
  <mergeCells count="7">
    <mergeCell ref="A1:S1"/>
    <mergeCell ref="A35:D35"/>
    <mergeCell ref="A2:S2"/>
    <mergeCell ref="A31:D31"/>
    <mergeCell ref="A32:D32"/>
    <mergeCell ref="A33:D33"/>
    <mergeCell ref="A34:D34"/>
  </mergeCells>
  <phoneticPr fontId="14" type="noConversion"/>
  <hyperlinks>
    <hyperlink ref="S3" location="底稿目录!A1" display="H1-12"/>
  </hyperlinks>
  <printOptions horizontalCentered="1"/>
  <pageMargins left="0.51181102362204722" right="0.31496062992125984" top="0.55118110236220474" bottom="0.35433070866141736" header="0.51181102362204722" footer="0.19685039370078741"/>
  <pageSetup paperSize="9" scale="64" fitToHeight="50" orientation="landscape" blackAndWhite="1" r:id="rId1"/>
  <headerFooter alignWithMargins="0">
    <oddFooter>&amp;C&amp;P/&amp;N</oddFooter>
  </headerFooter>
  <ignoredErrors>
    <ignoredError sqref="A35 A32:C34 A31" unlocked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AB48"/>
  <sheetViews>
    <sheetView showZeros="0" view="pageBreakPreview" zoomScaleSheetLayoutView="100" workbookViewId="0">
      <selection sqref="A1:Y1"/>
    </sheetView>
  </sheetViews>
  <sheetFormatPr defaultColWidth="9" defaultRowHeight="19.95" customHeight="1"/>
  <cols>
    <col min="1" max="1" width="14.19921875" style="2" customWidth="1"/>
    <col min="2" max="2" width="11.5" style="2" customWidth="1"/>
    <col min="3" max="3" width="11.09765625" style="2" customWidth="1"/>
    <col min="4" max="4" width="9" style="2"/>
    <col min="5" max="6" width="11.5" style="2" customWidth="1"/>
    <col min="7" max="7" width="9" style="2"/>
    <col min="8" max="8" width="8.09765625" style="2" customWidth="1"/>
    <col min="9" max="9" width="4.8984375" style="2" customWidth="1"/>
    <col min="10" max="10" width="6.3984375" style="2" bestFit="1" customWidth="1"/>
    <col min="11" max="11" width="8.8984375" style="2" customWidth="1"/>
    <col min="12" max="12" width="6.5" style="141" customWidth="1"/>
    <col min="13" max="13" width="8.19921875" style="2" customWidth="1"/>
    <col min="14" max="15" width="6.3984375" style="2" customWidth="1"/>
    <col min="16" max="16" width="4.69921875" style="2" customWidth="1"/>
    <col min="17" max="17" width="8.3984375" style="2" customWidth="1"/>
    <col min="18" max="18" width="6.3984375" style="2" customWidth="1"/>
    <col min="19" max="19" width="8.8984375" style="2" bestFit="1" customWidth="1"/>
    <col min="20" max="21" width="8.8984375" style="2" customWidth="1"/>
    <col min="22" max="22" width="10.09765625" style="2" bestFit="1" customWidth="1"/>
    <col min="23" max="23" width="8.19921875" style="2" customWidth="1"/>
    <col min="24" max="24" width="10.09765625" style="2" bestFit="1" customWidth="1"/>
    <col min="25" max="25" width="9.5" style="2" bestFit="1" customWidth="1"/>
    <col min="26" max="16384" width="9" style="2"/>
  </cols>
  <sheetData>
    <row r="1" spans="1:28" s="13" customFormat="1" ht="19.95" customHeight="1">
      <c r="A1" s="745" t="s">
        <v>1039</v>
      </c>
      <c r="B1" s="745"/>
      <c r="C1" s="745"/>
      <c r="D1" s="745"/>
      <c r="E1" s="745"/>
      <c r="F1" s="745"/>
      <c r="G1" s="745"/>
      <c r="H1" s="745"/>
      <c r="I1" s="745"/>
      <c r="J1" s="745"/>
      <c r="K1" s="745"/>
      <c r="L1" s="745"/>
      <c r="M1" s="745"/>
      <c r="N1" s="745"/>
      <c r="O1" s="745"/>
      <c r="P1" s="745"/>
      <c r="Q1" s="745"/>
      <c r="R1" s="745"/>
      <c r="S1" s="745"/>
      <c r="T1" s="745"/>
      <c r="U1" s="745"/>
      <c r="V1" s="745"/>
      <c r="W1" s="745"/>
      <c r="X1" s="745"/>
      <c r="Y1" s="745"/>
    </row>
    <row r="2" spans="1:28" s="458" customFormat="1" ht="19.95" customHeight="1">
      <c r="A2" s="746" t="s">
        <v>1053</v>
      </c>
      <c r="B2" s="746"/>
      <c r="C2" s="746"/>
      <c r="D2" s="746"/>
      <c r="E2" s="746"/>
      <c r="F2" s="746"/>
      <c r="G2" s="746"/>
      <c r="H2" s="746"/>
      <c r="I2" s="746"/>
      <c r="J2" s="746"/>
      <c r="K2" s="746"/>
      <c r="L2" s="746"/>
      <c r="M2" s="746"/>
      <c r="N2" s="746"/>
      <c r="O2" s="746"/>
      <c r="P2" s="746"/>
      <c r="Q2" s="746"/>
      <c r="R2" s="746"/>
      <c r="S2" s="746"/>
      <c r="T2" s="746"/>
      <c r="U2" s="746"/>
      <c r="V2" s="746"/>
      <c r="W2" s="746"/>
      <c r="X2" s="746"/>
      <c r="Y2" s="746"/>
    </row>
    <row r="3" spans="1:28" ht="19.95" customHeight="1">
      <c r="A3" s="2" t="str">
        <f>底稿目录!A2</f>
        <v>被审计单位：</v>
      </c>
      <c r="B3" s="22"/>
      <c r="F3" s="14"/>
      <c r="G3" s="2" t="str">
        <f>底稿目录!A4</f>
        <v>编制人：</v>
      </c>
      <c r="R3" s="2" t="str">
        <f>底稿目录!A5</f>
        <v>编制日期：</v>
      </c>
      <c r="T3" s="103"/>
      <c r="X3" s="181" t="s">
        <v>785</v>
      </c>
      <c r="Y3" s="452" t="s">
        <v>288</v>
      </c>
    </row>
    <row r="4" spans="1:28" ht="19.95" customHeight="1">
      <c r="A4" s="2" t="str">
        <f>底稿目录!A3</f>
        <v>截止日：202X年12月31日</v>
      </c>
      <c r="B4" s="22"/>
      <c r="F4" s="14"/>
      <c r="G4" s="2" t="str">
        <f>底稿目录!A6</f>
        <v>复核人：</v>
      </c>
      <c r="R4" s="2" t="str">
        <f>底稿目录!A7</f>
        <v>复核日期：</v>
      </c>
      <c r="T4" s="103"/>
      <c r="X4" s="475" t="s">
        <v>1064</v>
      </c>
    </row>
    <row r="5" spans="1:28" s="308" customFormat="1" ht="19.95" customHeight="1">
      <c r="A5" s="229" t="s">
        <v>742</v>
      </c>
      <c r="B5" s="605"/>
      <c r="G5" s="632"/>
      <c r="K5" s="589"/>
      <c r="L5" s="654"/>
      <c r="V5" s="585"/>
      <c r="W5" s="585"/>
      <c r="X5" s="585"/>
      <c r="Y5" s="585"/>
      <c r="Z5" s="585"/>
      <c r="AA5" s="585"/>
      <c r="AB5" s="585"/>
    </row>
    <row r="6" spans="1:28" ht="19.95" customHeight="1">
      <c r="A6" s="58" t="s">
        <v>743</v>
      </c>
      <c r="B6" s="59"/>
      <c r="G6" s="14"/>
      <c r="K6" s="61"/>
      <c r="L6" s="319"/>
      <c r="V6" s="181"/>
      <c r="W6" s="181"/>
      <c r="X6" s="181"/>
      <c r="Y6" s="181"/>
      <c r="Z6" s="181"/>
      <c r="AA6" s="181"/>
      <c r="AB6" s="181"/>
    </row>
    <row r="7" spans="1:28" s="142" customFormat="1" ht="19.95" customHeight="1">
      <c r="A7" s="311" t="s">
        <v>744</v>
      </c>
      <c r="B7" s="648"/>
      <c r="C7" s="311" t="s">
        <v>745</v>
      </c>
      <c r="D7" s="648"/>
      <c r="E7" s="545" t="s">
        <v>746</v>
      </c>
      <c r="F7" s="648"/>
      <c r="G7" s="312" t="s">
        <v>747</v>
      </c>
      <c r="J7" s="37"/>
      <c r="N7" s="37"/>
      <c r="O7" s="37"/>
      <c r="P7" s="37"/>
      <c r="Q7" s="37"/>
      <c r="R7" s="37"/>
      <c r="V7" s="2"/>
      <c r="W7" s="2"/>
    </row>
    <row r="8" spans="1:28" s="553" customFormat="1" ht="60">
      <c r="A8" s="546" t="s">
        <v>1159</v>
      </c>
      <c r="B8" s="546" t="s">
        <v>1162</v>
      </c>
      <c r="C8" s="546" t="s">
        <v>1163</v>
      </c>
      <c r="D8" s="547" t="s">
        <v>1153</v>
      </c>
      <c r="E8" s="547" t="s">
        <v>1164</v>
      </c>
      <c r="F8" s="547" t="s">
        <v>1154</v>
      </c>
      <c r="G8" s="550" t="s">
        <v>1160</v>
      </c>
      <c r="H8" s="548" t="s">
        <v>1155</v>
      </c>
      <c r="I8" s="548" t="s">
        <v>1152</v>
      </c>
      <c r="J8" s="549" t="s">
        <v>1156</v>
      </c>
      <c r="K8" s="550" t="s">
        <v>1165</v>
      </c>
      <c r="L8" s="551" t="s">
        <v>1166</v>
      </c>
      <c r="M8" s="548" t="s">
        <v>1157</v>
      </c>
      <c r="N8" s="549" t="s">
        <v>1158</v>
      </c>
      <c r="O8" s="549" t="s">
        <v>1167</v>
      </c>
      <c r="P8" s="549" t="s">
        <v>1168</v>
      </c>
      <c r="Q8" s="549" t="s">
        <v>1169</v>
      </c>
      <c r="R8" s="549" t="s">
        <v>1170</v>
      </c>
      <c r="S8" s="548" t="s">
        <v>1161</v>
      </c>
      <c r="T8" s="548" t="s">
        <v>1171</v>
      </c>
      <c r="U8" s="548" t="s">
        <v>1172</v>
      </c>
      <c r="V8" s="550" t="s">
        <v>1173</v>
      </c>
      <c r="W8" s="550" t="s">
        <v>1174</v>
      </c>
      <c r="X8" s="550" t="s">
        <v>1175</v>
      </c>
      <c r="Y8" s="550" t="s">
        <v>1176</v>
      </c>
    </row>
    <row r="9" spans="1:28" s="42" customFormat="1" ht="19.95" customHeight="1">
      <c r="A9" s="216">
        <f>'明细表H1-2'!A13</f>
        <v>0</v>
      </c>
      <c r="B9" s="216">
        <f>'明细表H1-2'!B13</f>
        <v>0</v>
      </c>
      <c r="C9" s="216">
        <f>'明细表H1-2'!C13</f>
        <v>0</v>
      </c>
      <c r="D9" s="43"/>
      <c r="E9" s="208">
        <f>'明细表H1-2'!P13</f>
        <v>0</v>
      </c>
      <c r="F9" s="208">
        <f>'明细表H1-2'!AE13</f>
        <v>0</v>
      </c>
      <c r="G9" s="208">
        <f>'明细表H1-2'!AT13</f>
        <v>0</v>
      </c>
      <c r="H9" s="40"/>
      <c r="I9" s="418"/>
      <c r="J9" s="41"/>
      <c r="K9" s="39"/>
      <c r="L9" s="419">
        <f>IF(I9=0,0,IF(RIGHT(I9,1)&lt;&gt;"年",I9*12,IF(LEN(I9)=3,VALUE(LEFT(I9,2))*12,IF(LEN(I9)=2,VALUE(LEFT(I9,1))*12,"??"))))</f>
        <v>0</v>
      </c>
      <c r="M9" s="207">
        <f>IF(DAY(H9)=1,IF(H9=0,0,DATE(YEAR(H9),MONTH(H9)+L9,DAY(H9))),IF(H9=0,0,DATE(YEAR(H9),MONTH(H9)+L9,DAY(H9)-1)))</f>
        <v>0</v>
      </c>
      <c r="N9" s="204">
        <f>MIN(IF(AND(DAY(H9)=31,DAY($D$7)=30),IF(H9=0,0,IF(M9&gt;$D$7,VALUE(DATEDIF(H9,MIN($D$7,M9),"m"))+1,VALUE(DATEDIF(H9,MIN($D$7,M9),"m")+2))),IF(H9=0,0,IF(M9&gt;$D$7,DATEDIF(H9,MIN($D$7,M9),"m"),VALUE(DATEDIF(H9,MIN($D$7,M9),"m")+1)))),L9)</f>
        <v>0</v>
      </c>
      <c r="O9" s="204">
        <f>IF(AND(DAY(H9)=31,DAY($F$7)=30),MIN(IF(H9=0,0,IF($F$7&gt;H9,VALUE(DATEDIF(H9,$F$7,"m"))+1,0)),N9+1),MIN(IF(H9=0,0,IF($F$7&gt;H9,DATEDIF(H9,$F$7,"m"),0)),N9))</f>
        <v>0</v>
      </c>
      <c r="P9" s="204">
        <f>IF(OR(H9=0,M9&lt;$B$7),0,IF(AND(H9&lt;$B$7,M9&gt;$D$7),VALUE(DATEDIF($B$7,$D$7,"m")+1),IF(AND(H9&lt;$B$7,M9&lt;=$D$7),VALUE(DATEDIF($B$7,M9,"m")+1),IF(AND(H9&gt;=$B$7,M9&gt;$D$7),VALUE(DATEDIF(H9,$D$7,"m")),IF(AND(H9&gt;=$B$7,M9&lt;=$D$7),VALUE(DATEDIF(H9,M9,"m")+1),)))))</f>
        <v>0</v>
      </c>
      <c r="Q9" s="204">
        <f>IF(AND(YEAR(H9)=YEAR($D$7),DAY(H9)=31,DAY($D$7)=30),IF(H9&gt;$F$7,0,P9-R9+1),IF(H9&gt;$F$7,0,P9-R9))</f>
        <v>0</v>
      </c>
      <c r="R9" s="204">
        <f>IF(AND(DAY($F$7)=31,DAY($D$7)=30),IF(H9=0,0,IF($F$7&lt;$B$7,P9,VALUE(DATEDIF(MAX(H9,$F$7),MIN(M9,$D$7),"m")))+1),IF(H9=0,0,IF($F$7&lt;$B$7,P9,DATEDIF(MAX(H9,$F$7),MIN(M9,$D$7),"m"))))</f>
        <v>0</v>
      </c>
      <c r="S9" s="208">
        <f>IF(L9=0,0,ROUND(((1-J9)/L9)*E9,4))</f>
        <v>0</v>
      </c>
      <c r="T9" s="208">
        <f>ROUND(S9*O9,2)</f>
        <v>0</v>
      </c>
      <c r="U9" s="208">
        <f>IF((E9*(1-J9)-T9-G9)&gt;0,(E9*(1-J9)-T9-G9)/(L9-O9),0)</f>
        <v>0</v>
      </c>
      <c r="V9" s="208">
        <f>ROUND(S9*Q9,2)+ROUND(U9*R9,2)</f>
        <v>0</v>
      </c>
      <c r="W9" s="208">
        <f>ROUND(K9-U9,2)</f>
        <v>0</v>
      </c>
      <c r="X9" s="208">
        <f>ROUND(S9*O9,2)+ROUND(U9*(N9-O9),2)</f>
        <v>0</v>
      </c>
      <c r="Y9" s="208">
        <f>ROUND(F9-X9,2)</f>
        <v>0</v>
      </c>
    </row>
    <row r="10" spans="1:28" s="42" customFormat="1" ht="19.95" customHeight="1">
      <c r="A10" s="216">
        <f>'明细表H1-2'!A14</f>
        <v>0</v>
      </c>
      <c r="B10" s="216">
        <f>'明细表H1-2'!B14</f>
        <v>0</v>
      </c>
      <c r="C10" s="216">
        <f>'明细表H1-2'!C14</f>
        <v>0</v>
      </c>
      <c r="D10" s="43"/>
      <c r="E10" s="208">
        <f>'明细表H1-2'!P14</f>
        <v>0</v>
      </c>
      <c r="F10" s="208">
        <f>'明细表H1-2'!AE14</f>
        <v>0</v>
      </c>
      <c r="G10" s="208">
        <f>'明细表H1-2'!AT14</f>
        <v>0</v>
      </c>
      <c r="H10" s="40"/>
      <c r="I10" s="418"/>
      <c r="J10" s="41"/>
      <c r="K10" s="39"/>
      <c r="L10" s="419">
        <f t="shared" ref="L10:L24" si="0">IF(I10=0,0,IF(RIGHT(I10,1)&lt;&gt;"年",I10*12,IF(LEN(I10)=3,VALUE(LEFT(I10,2))*12,IF(LEN(I10)=2,VALUE(LEFT(I10,1))*12,"??"))))</f>
        <v>0</v>
      </c>
      <c r="M10" s="207">
        <f t="shared" ref="M10:M21" si="1">IF(DAY(H10)=1,IF(H10=0,0,DATE(YEAR(H10),MONTH(H10)+L10,DAY(H10))),IF(H10=0,0,DATE(YEAR(H10),MONTH(H10)+L10,DAY(H10)-1)))</f>
        <v>0</v>
      </c>
      <c r="N10" s="204">
        <f t="shared" ref="N10:N28" si="2">MIN(IF(AND(DAY(H10)=31,DAY($D$7)=30),IF(H10=0,0,IF(M10&gt;$D$7,VALUE(DATEDIF(H10,MIN($D$7,M10),"m"))+1,VALUE(DATEDIF(H10,MIN($D$7,M10),"m")+2))),IF(H10=0,0,IF(M10&gt;$D$7,DATEDIF(H10,MIN($D$7,M10),"m"),VALUE(DATEDIF(H10,MIN($D$7,M10),"m")+1)))),L10)</f>
        <v>0</v>
      </c>
      <c r="O10" s="204">
        <f t="shared" ref="O10:O28" si="3">IF(AND(DAY(H10)=31,DAY($F$7)=30),MIN(IF(H10=0,0,IF($F$7&gt;H10,VALUE(DATEDIF(H10,$F$7,"m"))+1,0)),N10+1),MIN(IF(H10=0,0,IF($F$7&gt;H10,DATEDIF(H10,$F$7,"m"),0)),N10))</f>
        <v>0</v>
      </c>
      <c r="P10" s="204">
        <f t="shared" ref="P10:P28" si="4">IF(OR(H10=0,M10&lt;$B$7),0,IF(AND(H10&lt;$B$7,M10&gt;$D$7),VALUE(DATEDIF($B$7,$D$7,"m")+1),IF(AND(H10&lt;$B$7,M10&lt;=$D$7),VALUE(DATEDIF($B$7,M10,"m")+1),IF(AND(H10&gt;=$B$7,M10&gt;$D$7),VALUE(DATEDIF(H10,$D$7,"m")),IF(AND(H10&gt;=$B$7,M10&lt;=$D$7),VALUE(DATEDIF(H10,M10,"m")+1),)))))</f>
        <v>0</v>
      </c>
      <c r="Q10" s="204">
        <f t="shared" ref="Q10:Q28" si="5">IF(AND(YEAR(H10)=YEAR($D$7),DAY(H10)=31,DAY($D$7)=30),IF(H10&gt;$F$7,0,P10-R10+1),IF(H10&gt;$F$7,0,P10-R10))</f>
        <v>0</v>
      </c>
      <c r="R10" s="204">
        <f t="shared" ref="R10:R28" si="6">IF(AND(DAY($F$7)=31,DAY($D$7)=30),IF(H10=0,0,IF($F$7&lt;$B$7,P10,VALUE(DATEDIF(MAX(H10,$F$7),MIN(M10,$D$7),"m")))+1),IF(H10=0,0,IF($F$7&lt;$B$7,P10,DATEDIF(MAX(H10,$F$7),MIN(M10,$D$7),"m"))))</f>
        <v>0</v>
      </c>
      <c r="S10" s="208">
        <f t="shared" ref="S10:S28" si="7">IF(L10=0,0,ROUND(((1-J10)/L10)*E10,4))</f>
        <v>0</v>
      </c>
      <c r="T10" s="208">
        <f t="shared" ref="T10:T28" si="8">ROUND(S10*O10,2)</f>
        <v>0</v>
      </c>
      <c r="U10" s="208">
        <f>IF((E10*(1-J10)-T10-G10)&gt;0,(E10*(1-J10)-T10-G10)/(L10-O10),0)</f>
        <v>0</v>
      </c>
      <c r="V10" s="208">
        <f t="shared" ref="V10:V28" si="9">ROUND(S10*Q10,2)+ROUND(U10*R10,2)</f>
        <v>0</v>
      </c>
      <c r="W10" s="208">
        <f t="shared" ref="W10:W28" si="10">ROUND(K10-U10,2)</f>
        <v>0</v>
      </c>
      <c r="X10" s="208">
        <f t="shared" ref="X10:X28" si="11">ROUND(S10*O10,2)+ROUND(U10*(N10-O10),2)</f>
        <v>0</v>
      </c>
      <c r="Y10" s="208">
        <f t="shared" ref="Y10:Y28" si="12">ROUND(F10-X10,2)</f>
        <v>0</v>
      </c>
    </row>
    <row r="11" spans="1:28" ht="19.95" customHeight="1">
      <c r="A11" s="216">
        <f>'明细表H1-2'!A15</f>
        <v>0</v>
      </c>
      <c r="B11" s="216">
        <f>'明细表H1-2'!B15</f>
        <v>0</v>
      </c>
      <c r="C11" s="216">
        <f>'明细表H1-2'!C15</f>
        <v>0</v>
      </c>
      <c r="D11" s="17"/>
      <c r="E11" s="208">
        <f>'明细表H1-2'!P15</f>
        <v>0</v>
      </c>
      <c r="F11" s="208">
        <f>'明细表H1-2'!AE15</f>
        <v>0</v>
      </c>
      <c r="G11" s="208">
        <f>'明细表H1-2'!AT15</f>
        <v>0</v>
      </c>
      <c r="H11" s="40"/>
      <c r="I11" s="418"/>
      <c r="J11" s="41"/>
      <c r="K11" s="39"/>
      <c r="L11" s="419">
        <f t="shared" si="0"/>
        <v>0</v>
      </c>
      <c r="M11" s="207">
        <f t="shared" si="1"/>
        <v>0</v>
      </c>
      <c r="N11" s="204">
        <f t="shared" si="2"/>
        <v>0</v>
      </c>
      <c r="O11" s="204">
        <f t="shared" si="3"/>
        <v>0</v>
      </c>
      <c r="P11" s="204">
        <f t="shared" si="4"/>
        <v>0</v>
      </c>
      <c r="Q11" s="204">
        <f t="shared" si="5"/>
        <v>0</v>
      </c>
      <c r="R11" s="204">
        <f t="shared" si="6"/>
        <v>0</v>
      </c>
      <c r="S11" s="208">
        <f t="shared" si="7"/>
        <v>0</v>
      </c>
      <c r="T11" s="208">
        <f t="shared" si="8"/>
        <v>0</v>
      </c>
      <c r="U11" s="208">
        <f t="shared" ref="U11:U28" si="13">IF((E11*(1-J11)-T11-G11)&gt;0,(E11*(1-J11)-T11-G11)/(L11-O11),0)</f>
        <v>0</v>
      </c>
      <c r="V11" s="208">
        <f t="shared" si="9"/>
        <v>0</v>
      </c>
      <c r="W11" s="208">
        <f t="shared" si="10"/>
        <v>0</v>
      </c>
      <c r="X11" s="208">
        <f t="shared" si="11"/>
        <v>0</v>
      </c>
      <c r="Y11" s="208">
        <f t="shared" si="12"/>
        <v>0</v>
      </c>
    </row>
    <row r="12" spans="1:28" ht="19.95" customHeight="1">
      <c r="A12" s="216">
        <f>'明细表H1-2'!A16</f>
        <v>0</v>
      </c>
      <c r="B12" s="216">
        <f>'明细表H1-2'!B16</f>
        <v>0</v>
      </c>
      <c r="C12" s="216">
        <f>'明细表H1-2'!C16</f>
        <v>0</v>
      </c>
      <c r="D12" s="17"/>
      <c r="E12" s="208">
        <f>'明细表H1-2'!P16</f>
        <v>0</v>
      </c>
      <c r="F12" s="208">
        <f>'明细表H1-2'!AE16</f>
        <v>0</v>
      </c>
      <c r="G12" s="208">
        <f>'明细表H1-2'!AT16</f>
        <v>0</v>
      </c>
      <c r="H12" s="40"/>
      <c r="I12" s="418"/>
      <c r="J12" s="41"/>
      <c r="K12" s="39"/>
      <c r="L12" s="419">
        <f t="shared" si="0"/>
        <v>0</v>
      </c>
      <c r="M12" s="207">
        <f t="shared" si="1"/>
        <v>0</v>
      </c>
      <c r="N12" s="204">
        <f t="shared" si="2"/>
        <v>0</v>
      </c>
      <c r="O12" s="204">
        <f t="shared" si="3"/>
        <v>0</v>
      </c>
      <c r="P12" s="204">
        <f t="shared" si="4"/>
        <v>0</v>
      </c>
      <c r="Q12" s="204">
        <f t="shared" si="5"/>
        <v>0</v>
      </c>
      <c r="R12" s="204">
        <f t="shared" si="6"/>
        <v>0</v>
      </c>
      <c r="S12" s="208">
        <f t="shared" si="7"/>
        <v>0</v>
      </c>
      <c r="T12" s="208">
        <f t="shared" si="8"/>
        <v>0</v>
      </c>
      <c r="U12" s="208">
        <f t="shared" si="13"/>
        <v>0</v>
      </c>
      <c r="V12" s="208">
        <f t="shared" si="9"/>
        <v>0</v>
      </c>
      <c r="W12" s="208">
        <f t="shared" si="10"/>
        <v>0</v>
      </c>
      <c r="X12" s="208">
        <f t="shared" si="11"/>
        <v>0</v>
      </c>
      <c r="Y12" s="208">
        <f t="shared" si="12"/>
        <v>0</v>
      </c>
    </row>
    <row r="13" spans="1:28" ht="19.95" customHeight="1">
      <c r="A13" s="216">
        <f>'明细表H1-2'!A17</f>
        <v>0</v>
      </c>
      <c r="B13" s="216">
        <f>'明细表H1-2'!B17</f>
        <v>0</v>
      </c>
      <c r="C13" s="216">
        <f>'明细表H1-2'!C17</f>
        <v>0</v>
      </c>
      <c r="D13" s="17"/>
      <c r="E13" s="208">
        <f>'明细表H1-2'!P17</f>
        <v>0</v>
      </c>
      <c r="F13" s="208">
        <f>'明细表H1-2'!AE17</f>
        <v>0</v>
      </c>
      <c r="G13" s="208">
        <f>'明细表H1-2'!AT17</f>
        <v>0</v>
      </c>
      <c r="H13" s="40"/>
      <c r="I13" s="418"/>
      <c r="J13" s="41"/>
      <c r="K13" s="39"/>
      <c r="L13" s="419">
        <f t="shared" si="0"/>
        <v>0</v>
      </c>
      <c r="M13" s="207">
        <f t="shared" si="1"/>
        <v>0</v>
      </c>
      <c r="N13" s="204">
        <f t="shared" si="2"/>
        <v>0</v>
      </c>
      <c r="O13" s="204">
        <f t="shared" si="3"/>
        <v>0</v>
      </c>
      <c r="P13" s="204">
        <f t="shared" si="4"/>
        <v>0</v>
      </c>
      <c r="Q13" s="204">
        <f t="shared" si="5"/>
        <v>0</v>
      </c>
      <c r="R13" s="204">
        <f t="shared" si="6"/>
        <v>0</v>
      </c>
      <c r="S13" s="208">
        <f t="shared" si="7"/>
        <v>0</v>
      </c>
      <c r="T13" s="208">
        <f t="shared" si="8"/>
        <v>0</v>
      </c>
      <c r="U13" s="208">
        <f t="shared" si="13"/>
        <v>0</v>
      </c>
      <c r="V13" s="208">
        <f t="shared" si="9"/>
        <v>0</v>
      </c>
      <c r="W13" s="208">
        <f t="shared" si="10"/>
        <v>0</v>
      </c>
      <c r="X13" s="208">
        <f t="shared" si="11"/>
        <v>0</v>
      </c>
      <c r="Y13" s="208">
        <f t="shared" si="12"/>
        <v>0</v>
      </c>
    </row>
    <row r="14" spans="1:28" ht="19.95" customHeight="1">
      <c r="A14" s="216">
        <f>'明细表H1-2'!A18</f>
        <v>0</v>
      </c>
      <c r="B14" s="216">
        <f>'明细表H1-2'!B18</f>
        <v>0</v>
      </c>
      <c r="C14" s="216">
        <f>'明细表H1-2'!C18</f>
        <v>0</v>
      </c>
      <c r="D14" s="17"/>
      <c r="E14" s="208">
        <f>'明细表H1-2'!P18</f>
        <v>0</v>
      </c>
      <c r="F14" s="208">
        <f>'明细表H1-2'!AE18</f>
        <v>0</v>
      </c>
      <c r="G14" s="208">
        <f>'明细表H1-2'!AT18</f>
        <v>0</v>
      </c>
      <c r="H14" s="40"/>
      <c r="I14" s="418"/>
      <c r="J14" s="41"/>
      <c r="K14" s="39"/>
      <c r="L14" s="419">
        <f t="shared" si="0"/>
        <v>0</v>
      </c>
      <c r="M14" s="207">
        <f t="shared" si="1"/>
        <v>0</v>
      </c>
      <c r="N14" s="204">
        <f t="shared" si="2"/>
        <v>0</v>
      </c>
      <c r="O14" s="204">
        <f t="shared" si="3"/>
        <v>0</v>
      </c>
      <c r="P14" s="204">
        <f t="shared" si="4"/>
        <v>0</v>
      </c>
      <c r="Q14" s="204">
        <f t="shared" si="5"/>
        <v>0</v>
      </c>
      <c r="R14" s="204">
        <f t="shared" si="6"/>
        <v>0</v>
      </c>
      <c r="S14" s="208">
        <f t="shared" si="7"/>
        <v>0</v>
      </c>
      <c r="T14" s="208">
        <f t="shared" si="8"/>
        <v>0</v>
      </c>
      <c r="U14" s="208">
        <f t="shared" si="13"/>
        <v>0</v>
      </c>
      <c r="V14" s="208">
        <f t="shared" si="9"/>
        <v>0</v>
      </c>
      <c r="W14" s="208">
        <f t="shared" si="10"/>
        <v>0</v>
      </c>
      <c r="X14" s="208">
        <f t="shared" si="11"/>
        <v>0</v>
      </c>
      <c r="Y14" s="208">
        <f t="shared" si="12"/>
        <v>0</v>
      </c>
    </row>
    <row r="15" spans="1:28" ht="19.95" customHeight="1">
      <c r="A15" s="216">
        <f>'明细表H1-2'!A19</f>
        <v>0</v>
      </c>
      <c r="B15" s="216">
        <f>'明细表H1-2'!B19</f>
        <v>0</v>
      </c>
      <c r="C15" s="216">
        <f>'明细表H1-2'!C19</f>
        <v>0</v>
      </c>
      <c r="D15" s="17"/>
      <c r="E15" s="208">
        <f>'明细表H1-2'!P19</f>
        <v>0</v>
      </c>
      <c r="F15" s="208">
        <f>'明细表H1-2'!AE19</f>
        <v>0</v>
      </c>
      <c r="G15" s="208">
        <f>'明细表H1-2'!AT19</f>
        <v>0</v>
      </c>
      <c r="H15" s="40"/>
      <c r="I15" s="418"/>
      <c r="J15" s="41"/>
      <c r="K15" s="39"/>
      <c r="L15" s="419">
        <f>IF(I15=0,0,IF(RIGHT(I15,1)&lt;&gt;"年",I15*12,IF(LEN(I15)=3,VALUE(LEFT(I15,2))*12,IF(LEN(I15)=2,VALUE(LEFT(I15,1))*12,"??"))))</f>
        <v>0</v>
      </c>
      <c r="M15" s="207">
        <f t="shared" si="1"/>
        <v>0</v>
      </c>
      <c r="N15" s="204">
        <f t="shared" si="2"/>
        <v>0</v>
      </c>
      <c r="O15" s="204">
        <f t="shared" si="3"/>
        <v>0</v>
      </c>
      <c r="P15" s="204">
        <f t="shared" si="4"/>
        <v>0</v>
      </c>
      <c r="Q15" s="204">
        <f t="shared" si="5"/>
        <v>0</v>
      </c>
      <c r="R15" s="204">
        <f t="shared" si="6"/>
        <v>0</v>
      </c>
      <c r="S15" s="208">
        <f t="shared" si="7"/>
        <v>0</v>
      </c>
      <c r="T15" s="208">
        <f t="shared" si="8"/>
        <v>0</v>
      </c>
      <c r="U15" s="208">
        <f t="shared" si="13"/>
        <v>0</v>
      </c>
      <c r="V15" s="208">
        <f t="shared" si="9"/>
        <v>0</v>
      </c>
      <c r="W15" s="208">
        <f t="shared" si="10"/>
        <v>0</v>
      </c>
      <c r="X15" s="208">
        <f t="shared" si="11"/>
        <v>0</v>
      </c>
      <c r="Y15" s="208">
        <f t="shared" si="12"/>
        <v>0</v>
      </c>
    </row>
    <row r="16" spans="1:28" ht="19.95" customHeight="1">
      <c r="A16" s="216">
        <f>'明细表H1-2'!A20</f>
        <v>0</v>
      </c>
      <c r="B16" s="216">
        <f>'明细表H1-2'!B20</f>
        <v>0</v>
      </c>
      <c r="C16" s="216">
        <f>'明细表H1-2'!C20</f>
        <v>0</v>
      </c>
      <c r="D16" s="17"/>
      <c r="E16" s="208">
        <f>'明细表H1-2'!P20</f>
        <v>0</v>
      </c>
      <c r="F16" s="208">
        <f>'明细表H1-2'!AE20</f>
        <v>0</v>
      </c>
      <c r="G16" s="208">
        <f>'明细表H1-2'!AT20</f>
        <v>0</v>
      </c>
      <c r="H16" s="40"/>
      <c r="I16" s="418"/>
      <c r="J16" s="41"/>
      <c r="K16" s="39"/>
      <c r="L16" s="419">
        <f t="shared" si="0"/>
        <v>0</v>
      </c>
      <c r="M16" s="207">
        <f t="shared" si="1"/>
        <v>0</v>
      </c>
      <c r="N16" s="204">
        <f t="shared" si="2"/>
        <v>0</v>
      </c>
      <c r="O16" s="204">
        <f t="shared" si="3"/>
        <v>0</v>
      </c>
      <c r="P16" s="204">
        <f t="shared" si="4"/>
        <v>0</v>
      </c>
      <c r="Q16" s="204">
        <f t="shared" si="5"/>
        <v>0</v>
      </c>
      <c r="R16" s="204">
        <f t="shared" si="6"/>
        <v>0</v>
      </c>
      <c r="S16" s="208">
        <f t="shared" si="7"/>
        <v>0</v>
      </c>
      <c r="T16" s="208">
        <f t="shared" si="8"/>
        <v>0</v>
      </c>
      <c r="U16" s="208">
        <f t="shared" si="13"/>
        <v>0</v>
      </c>
      <c r="V16" s="208">
        <f t="shared" si="9"/>
        <v>0</v>
      </c>
      <c r="W16" s="208">
        <f t="shared" si="10"/>
        <v>0</v>
      </c>
      <c r="X16" s="208">
        <f t="shared" si="11"/>
        <v>0</v>
      </c>
      <c r="Y16" s="208">
        <f t="shared" si="12"/>
        <v>0</v>
      </c>
    </row>
    <row r="17" spans="1:25" ht="19.95" customHeight="1">
      <c r="A17" s="216">
        <f>'明细表H1-2'!A21</f>
        <v>0</v>
      </c>
      <c r="B17" s="216">
        <f>'明细表H1-2'!B21</f>
        <v>0</v>
      </c>
      <c r="C17" s="216">
        <f>'明细表H1-2'!C21</f>
        <v>0</v>
      </c>
      <c r="D17" s="17"/>
      <c r="E17" s="208">
        <f>'明细表H1-2'!P21</f>
        <v>0</v>
      </c>
      <c r="F17" s="208">
        <f>'明细表H1-2'!AE21</f>
        <v>0</v>
      </c>
      <c r="G17" s="208">
        <f>'明细表H1-2'!AT21</f>
        <v>0</v>
      </c>
      <c r="H17" s="40"/>
      <c r="I17" s="418"/>
      <c r="J17" s="41"/>
      <c r="K17" s="39"/>
      <c r="L17" s="419">
        <f t="shared" si="0"/>
        <v>0</v>
      </c>
      <c r="M17" s="207">
        <f t="shared" si="1"/>
        <v>0</v>
      </c>
      <c r="N17" s="204">
        <f t="shared" si="2"/>
        <v>0</v>
      </c>
      <c r="O17" s="204">
        <f t="shared" si="3"/>
        <v>0</v>
      </c>
      <c r="P17" s="204">
        <f t="shared" si="4"/>
        <v>0</v>
      </c>
      <c r="Q17" s="204">
        <f t="shared" si="5"/>
        <v>0</v>
      </c>
      <c r="R17" s="204">
        <f t="shared" si="6"/>
        <v>0</v>
      </c>
      <c r="S17" s="208">
        <f t="shared" si="7"/>
        <v>0</v>
      </c>
      <c r="T17" s="208">
        <f t="shared" si="8"/>
        <v>0</v>
      </c>
      <c r="U17" s="208">
        <f t="shared" si="13"/>
        <v>0</v>
      </c>
      <c r="V17" s="208">
        <f t="shared" si="9"/>
        <v>0</v>
      </c>
      <c r="W17" s="208">
        <f t="shared" si="10"/>
        <v>0</v>
      </c>
      <c r="X17" s="208">
        <f t="shared" si="11"/>
        <v>0</v>
      </c>
      <c r="Y17" s="208">
        <f t="shared" si="12"/>
        <v>0</v>
      </c>
    </row>
    <row r="18" spans="1:25" ht="19.95" customHeight="1">
      <c r="A18" s="216">
        <f>'明细表H1-2'!A22</f>
        <v>0</v>
      </c>
      <c r="B18" s="216">
        <f>'明细表H1-2'!B22</f>
        <v>0</v>
      </c>
      <c r="C18" s="216">
        <f>'明细表H1-2'!C22</f>
        <v>0</v>
      </c>
      <c r="D18" s="17"/>
      <c r="E18" s="208">
        <f>'明细表H1-2'!P22</f>
        <v>0</v>
      </c>
      <c r="F18" s="208">
        <f>'明细表H1-2'!AE22</f>
        <v>0</v>
      </c>
      <c r="G18" s="208">
        <f>'明细表H1-2'!AT22</f>
        <v>0</v>
      </c>
      <c r="H18" s="40"/>
      <c r="I18" s="418"/>
      <c r="J18" s="41"/>
      <c r="K18" s="39"/>
      <c r="L18" s="419">
        <f t="shared" si="0"/>
        <v>0</v>
      </c>
      <c r="M18" s="207">
        <f t="shared" si="1"/>
        <v>0</v>
      </c>
      <c r="N18" s="204">
        <f t="shared" si="2"/>
        <v>0</v>
      </c>
      <c r="O18" s="204">
        <f t="shared" si="3"/>
        <v>0</v>
      </c>
      <c r="P18" s="204">
        <f t="shared" si="4"/>
        <v>0</v>
      </c>
      <c r="Q18" s="204">
        <f t="shared" si="5"/>
        <v>0</v>
      </c>
      <c r="R18" s="204">
        <f t="shared" si="6"/>
        <v>0</v>
      </c>
      <c r="S18" s="208">
        <f t="shared" si="7"/>
        <v>0</v>
      </c>
      <c r="T18" s="208">
        <f t="shared" si="8"/>
        <v>0</v>
      </c>
      <c r="U18" s="208">
        <f t="shared" si="13"/>
        <v>0</v>
      </c>
      <c r="V18" s="208">
        <f t="shared" si="9"/>
        <v>0</v>
      </c>
      <c r="W18" s="208">
        <f t="shared" si="10"/>
        <v>0</v>
      </c>
      <c r="X18" s="208">
        <f t="shared" si="11"/>
        <v>0</v>
      </c>
      <c r="Y18" s="208">
        <f t="shared" si="12"/>
        <v>0</v>
      </c>
    </row>
    <row r="19" spans="1:25" ht="19.95" customHeight="1">
      <c r="A19" s="216">
        <f>'明细表H1-2'!A23</f>
        <v>0</v>
      </c>
      <c r="B19" s="216">
        <f>'明细表H1-2'!B23</f>
        <v>0</v>
      </c>
      <c r="C19" s="216">
        <f>'明细表H1-2'!C23</f>
        <v>0</v>
      </c>
      <c r="D19" s="17"/>
      <c r="E19" s="208">
        <f>'明细表H1-2'!P23</f>
        <v>0</v>
      </c>
      <c r="F19" s="208">
        <f>'明细表H1-2'!AE23</f>
        <v>0</v>
      </c>
      <c r="G19" s="208">
        <f>'明细表H1-2'!AT23</f>
        <v>0</v>
      </c>
      <c r="H19" s="40"/>
      <c r="I19" s="418"/>
      <c r="J19" s="41"/>
      <c r="K19" s="39"/>
      <c r="L19" s="419">
        <f t="shared" si="0"/>
        <v>0</v>
      </c>
      <c r="M19" s="207">
        <f t="shared" si="1"/>
        <v>0</v>
      </c>
      <c r="N19" s="204">
        <f t="shared" si="2"/>
        <v>0</v>
      </c>
      <c r="O19" s="204">
        <f t="shared" si="3"/>
        <v>0</v>
      </c>
      <c r="P19" s="204">
        <f t="shared" si="4"/>
        <v>0</v>
      </c>
      <c r="Q19" s="204">
        <f t="shared" si="5"/>
        <v>0</v>
      </c>
      <c r="R19" s="204">
        <f t="shared" si="6"/>
        <v>0</v>
      </c>
      <c r="S19" s="208">
        <f t="shared" si="7"/>
        <v>0</v>
      </c>
      <c r="T19" s="208">
        <f t="shared" si="8"/>
        <v>0</v>
      </c>
      <c r="U19" s="208">
        <f t="shared" si="13"/>
        <v>0</v>
      </c>
      <c r="V19" s="208">
        <f t="shared" si="9"/>
        <v>0</v>
      </c>
      <c r="W19" s="208">
        <f t="shared" si="10"/>
        <v>0</v>
      </c>
      <c r="X19" s="208">
        <f t="shared" si="11"/>
        <v>0</v>
      </c>
      <c r="Y19" s="208">
        <f t="shared" si="12"/>
        <v>0</v>
      </c>
    </row>
    <row r="20" spans="1:25" ht="19.95" customHeight="1">
      <c r="A20" s="216">
        <f>'明细表H1-2'!A24</f>
        <v>0</v>
      </c>
      <c r="B20" s="216">
        <f>'明细表H1-2'!B24</f>
        <v>0</v>
      </c>
      <c r="C20" s="216">
        <f>'明细表H1-2'!C24</f>
        <v>0</v>
      </c>
      <c r="D20" s="17"/>
      <c r="E20" s="208">
        <f>'明细表H1-2'!P24</f>
        <v>0</v>
      </c>
      <c r="F20" s="208">
        <f>'明细表H1-2'!AE24</f>
        <v>0</v>
      </c>
      <c r="G20" s="208">
        <f>'明细表H1-2'!AT24</f>
        <v>0</v>
      </c>
      <c r="H20" s="40"/>
      <c r="I20" s="418"/>
      <c r="J20" s="41"/>
      <c r="K20" s="39"/>
      <c r="L20" s="419">
        <f t="shared" si="0"/>
        <v>0</v>
      </c>
      <c r="M20" s="207">
        <f t="shared" si="1"/>
        <v>0</v>
      </c>
      <c r="N20" s="204">
        <f t="shared" si="2"/>
        <v>0</v>
      </c>
      <c r="O20" s="204">
        <f t="shared" si="3"/>
        <v>0</v>
      </c>
      <c r="P20" s="204">
        <f t="shared" si="4"/>
        <v>0</v>
      </c>
      <c r="Q20" s="204">
        <f t="shared" si="5"/>
        <v>0</v>
      </c>
      <c r="R20" s="204">
        <f t="shared" si="6"/>
        <v>0</v>
      </c>
      <c r="S20" s="208">
        <f t="shared" si="7"/>
        <v>0</v>
      </c>
      <c r="T20" s="208">
        <f t="shared" si="8"/>
        <v>0</v>
      </c>
      <c r="U20" s="208">
        <f t="shared" si="13"/>
        <v>0</v>
      </c>
      <c r="V20" s="208">
        <f t="shared" si="9"/>
        <v>0</v>
      </c>
      <c r="W20" s="208">
        <f t="shared" si="10"/>
        <v>0</v>
      </c>
      <c r="X20" s="208">
        <f t="shared" si="11"/>
        <v>0</v>
      </c>
      <c r="Y20" s="208">
        <f t="shared" si="12"/>
        <v>0</v>
      </c>
    </row>
    <row r="21" spans="1:25" ht="19.95" customHeight="1">
      <c r="A21" s="216">
        <f>'明细表H1-2'!A25</f>
        <v>0</v>
      </c>
      <c r="B21" s="216">
        <f>'明细表H1-2'!B25</f>
        <v>0</v>
      </c>
      <c r="C21" s="216">
        <f>'明细表H1-2'!C25</f>
        <v>0</v>
      </c>
      <c r="D21" s="17"/>
      <c r="E21" s="208">
        <f>'明细表H1-2'!P25</f>
        <v>0</v>
      </c>
      <c r="F21" s="208">
        <f>'明细表H1-2'!AE25</f>
        <v>0</v>
      </c>
      <c r="G21" s="208">
        <f>'明细表H1-2'!AT25</f>
        <v>0</v>
      </c>
      <c r="H21" s="40"/>
      <c r="I21" s="418"/>
      <c r="J21" s="41"/>
      <c r="K21" s="39"/>
      <c r="L21" s="419">
        <f t="shared" si="0"/>
        <v>0</v>
      </c>
      <c r="M21" s="207">
        <f t="shared" si="1"/>
        <v>0</v>
      </c>
      <c r="N21" s="204">
        <f t="shared" si="2"/>
        <v>0</v>
      </c>
      <c r="O21" s="204">
        <f t="shared" si="3"/>
        <v>0</v>
      </c>
      <c r="P21" s="204">
        <f t="shared" si="4"/>
        <v>0</v>
      </c>
      <c r="Q21" s="204">
        <f t="shared" si="5"/>
        <v>0</v>
      </c>
      <c r="R21" s="204">
        <f t="shared" si="6"/>
        <v>0</v>
      </c>
      <c r="S21" s="208">
        <f t="shared" si="7"/>
        <v>0</v>
      </c>
      <c r="T21" s="208">
        <f t="shared" si="8"/>
        <v>0</v>
      </c>
      <c r="U21" s="208">
        <f t="shared" si="13"/>
        <v>0</v>
      </c>
      <c r="V21" s="208">
        <f t="shared" si="9"/>
        <v>0</v>
      </c>
      <c r="W21" s="208">
        <f t="shared" si="10"/>
        <v>0</v>
      </c>
      <c r="X21" s="208">
        <f t="shared" si="11"/>
        <v>0</v>
      </c>
      <c r="Y21" s="208">
        <f t="shared" si="12"/>
        <v>0</v>
      </c>
    </row>
    <row r="22" spans="1:25" ht="19.95" customHeight="1">
      <c r="A22" s="216">
        <f>'明细表H1-2'!A26</f>
        <v>0</v>
      </c>
      <c r="B22" s="216">
        <f>'明细表H1-2'!B26</f>
        <v>0</v>
      </c>
      <c r="C22" s="216">
        <f>'明细表H1-2'!C26</f>
        <v>0</v>
      </c>
      <c r="D22" s="17"/>
      <c r="E22" s="208">
        <f>'明细表H1-2'!P26</f>
        <v>0</v>
      </c>
      <c r="F22" s="208">
        <f>'明细表H1-2'!AE26</f>
        <v>0</v>
      </c>
      <c r="G22" s="208">
        <f>'明细表H1-2'!AT26</f>
        <v>0</v>
      </c>
      <c r="H22" s="40"/>
      <c r="I22" s="418"/>
      <c r="J22" s="41"/>
      <c r="K22" s="39"/>
      <c r="L22" s="419">
        <f t="shared" si="0"/>
        <v>0</v>
      </c>
      <c r="M22" s="207">
        <f t="shared" ref="M22:M28" si="14">IF(DAY(H22)=1,IF(H22=0,0,DATE(YEAR(H22),MONTH(H22)+L22,DAY(H22))),IF(H22=0,0,DATE(YEAR(H22),MONTH(H22)+L22,DAY(H22)-1)))</f>
        <v>0</v>
      </c>
      <c r="N22" s="204">
        <f t="shared" si="2"/>
        <v>0</v>
      </c>
      <c r="O22" s="204">
        <f t="shared" si="3"/>
        <v>0</v>
      </c>
      <c r="P22" s="204">
        <f t="shared" si="4"/>
        <v>0</v>
      </c>
      <c r="Q22" s="204">
        <f t="shared" si="5"/>
        <v>0</v>
      </c>
      <c r="R22" s="204">
        <f t="shared" si="6"/>
        <v>0</v>
      </c>
      <c r="S22" s="208">
        <f t="shared" si="7"/>
        <v>0</v>
      </c>
      <c r="T22" s="208">
        <f t="shared" si="8"/>
        <v>0</v>
      </c>
      <c r="U22" s="208">
        <f t="shared" si="13"/>
        <v>0</v>
      </c>
      <c r="V22" s="208">
        <f t="shared" si="9"/>
        <v>0</v>
      </c>
      <c r="W22" s="208">
        <f t="shared" si="10"/>
        <v>0</v>
      </c>
      <c r="X22" s="208">
        <f t="shared" si="11"/>
        <v>0</v>
      </c>
      <c r="Y22" s="208">
        <f t="shared" si="12"/>
        <v>0</v>
      </c>
    </row>
    <row r="23" spans="1:25" ht="19.95" customHeight="1">
      <c r="A23" s="216">
        <f>'明细表H1-2'!A27</f>
        <v>0</v>
      </c>
      <c r="B23" s="216">
        <f>'明细表H1-2'!B27</f>
        <v>0</v>
      </c>
      <c r="C23" s="216">
        <f>'明细表H1-2'!C27</f>
        <v>0</v>
      </c>
      <c r="D23" s="17"/>
      <c r="E23" s="208">
        <f>'明细表H1-2'!P27</f>
        <v>0</v>
      </c>
      <c r="F23" s="208">
        <f>'明细表H1-2'!AE27</f>
        <v>0</v>
      </c>
      <c r="G23" s="208">
        <f>'明细表H1-2'!AT27</f>
        <v>0</v>
      </c>
      <c r="H23" s="40"/>
      <c r="I23" s="418"/>
      <c r="J23" s="41"/>
      <c r="K23" s="39"/>
      <c r="L23" s="419">
        <f t="shared" si="0"/>
        <v>0</v>
      </c>
      <c r="M23" s="207">
        <f t="shared" si="14"/>
        <v>0</v>
      </c>
      <c r="N23" s="204">
        <f t="shared" si="2"/>
        <v>0</v>
      </c>
      <c r="O23" s="204">
        <f t="shared" si="3"/>
        <v>0</v>
      </c>
      <c r="P23" s="204">
        <f t="shared" si="4"/>
        <v>0</v>
      </c>
      <c r="Q23" s="204">
        <f t="shared" si="5"/>
        <v>0</v>
      </c>
      <c r="R23" s="204">
        <f t="shared" si="6"/>
        <v>0</v>
      </c>
      <c r="S23" s="208">
        <f t="shared" si="7"/>
        <v>0</v>
      </c>
      <c r="T23" s="208">
        <f t="shared" si="8"/>
        <v>0</v>
      </c>
      <c r="U23" s="208">
        <f t="shared" si="13"/>
        <v>0</v>
      </c>
      <c r="V23" s="208">
        <f t="shared" si="9"/>
        <v>0</v>
      </c>
      <c r="W23" s="208">
        <f t="shared" si="10"/>
        <v>0</v>
      </c>
      <c r="X23" s="208">
        <f t="shared" si="11"/>
        <v>0</v>
      </c>
      <c r="Y23" s="208">
        <f t="shared" si="12"/>
        <v>0</v>
      </c>
    </row>
    <row r="24" spans="1:25" ht="19.95" customHeight="1">
      <c r="A24" s="216">
        <f>'明细表H1-2'!A28</f>
        <v>0</v>
      </c>
      <c r="B24" s="216">
        <f>'明细表H1-2'!B28</f>
        <v>0</v>
      </c>
      <c r="C24" s="216">
        <f>'明细表H1-2'!C28</f>
        <v>0</v>
      </c>
      <c r="D24" s="17"/>
      <c r="E24" s="208">
        <f>'明细表H1-2'!P28</f>
        <v>0</v>
      </c>
      <c r="F24" s="208">
        <f>'明细表H1-2'!AE28</f>
        <v>0</v>
      </c>
      <c r="G24" s="208">
        <f>'明细表H1-2'!AT28</f>
        <v>0</v>
      </c>
      <c r="H24" s="40"/>
      <c r="I24" s="418"/>
      <c r="J24" s="41"/>
      <c r="K24" s="39"/>
      <c r="L24" s="419">
        <f t="shared" si="0"/>
        <v>0</v>
      </c>
      <c r="M24" s="207">
        <f t="shared" si="14"/>
        <v>0</v>
      </c>
      <c r="N24" s="204">
        <f t="shared" si="2"/>
        <v>0</v>
      </c>
      <c r="O24" s="204">
        <f t="shared" si="3"/>
        <v>0</v>
      </c>
      <c r="P24" s="204">
        <f t="shared" si="4"/>
        <v>0</v>
      </c>
      <c r="Q24" s="204">
        <f t="shared" si="5"/>
        <v>0</v>
      </c>
      <c r="R24" s="204">
        <f t="shared" si="6"/>
        <v>0</v>
      </c>
      <c r="S24" s="208">
        <f t="shared" si="7"/>
        <v>0</v>
      </c>
      <c r="T24" s="208">
        <f t="shared" si="8"/>
        <v>0</v>
      </c>
      <c r="U24" s="208">
        <f t="shared" si="13"/>
        <v>0</v>
      </c>
      <c r="V24" s="208">
        <f t="shared" si="9"/>
        <v>0</v>
      </c>
      <c r="W24" s="208">
        <f t="shared" si="10"/>
        <v>0</v>
      </c>
      <c r="X24" s="208">
        <f t="shared" si="11"/>
        <v>0</v>
      </c>
      <c r="Y24" s="208">
        <f t="shared" si="12"/>
        <v>0</v>
      </c>
    </row>
    <row r="25" spans="1:25" ht="19.95" customHeight="1">
      <c r="A25" s="216">
        <f>'明细表H1-2'!A29</f>
        <v>0</v>
      </c>
      <c r="B25" s="216">
        <f>'明细表H1-2'!B29</f>
        <v>0</v>
      </c>
      <c r="C25" s="216">
        <f>'明细表H1-2'!C29</f>
        <v>0</v>
      </c>
      <c r="D25" s="17"/>
      <c r="E25" s="208">
        <f>'明细表H1-2'!P29</f>
        <v>0</v>
      </c>
      <c r="F25" s="208">
        <f>'明细表H1-2'!AE29</f>
        <v>0</v>
      </c>
      <c r="G25" s="208">
        <f>'明细表H1-2'!AT29</f>
        <v>0</v>
      </c>
      <c r="H25" s="40"/>
      <c r="I25" s="418"/>
      <c r="J25" s="41"/>
      <c r="K25" s="39"/>
      <c r="L25" s="419">
        <f>IF(I25=0,0,IF(RIGHT(I25,1)&lt;&gt;"年",I25*12,IF(LEN(I25)=3,VALUE(LEFT(I25,2))*12,IF(LEN(I25)=2,VALUE(LEFT(I25,1))*12,"??"))))</f>
        <v>0</v>
      </c>
      <c r="M25" s="207">
        <f t="shared" si="14"/>
        <v>0</v>
      </c>
      <c r="N25" s="204">
        <f t="shared" si="2"/>
        <v>0</v>
      </c>
      <c r="O25" s="204">
        <f t="shared" si="3"/>
        <v>0</v>
      </c>
      <c r="P25" s="204">
        <f t="shared" si="4"/>
        <v>0</v>
      </c>
      <c r="Q25" s="204">
        <f t="shared" si="5"/>
        <v>0</v>
      </c>
      <c r="R25" s="204">
        <f t="shared" si="6"/>
        <v>0</v>
      </c>
      <c r="S25" s="208">
        <f t="shared" si="7"/>
        <v>0</v>
      </c>
      <c r="T25" s="208">
        <f t="shared" si="8"/>
        <v>0</v>
      </c>
      <c r="U25" s="208">
        <f t="shared" si="13"/>
        <v>0</v>
      </c>
      <c r="V25" s="208">
        <f t="shared" si="9"/>
        <v>0</v>
      </c>
      <c r="W25" s="208">
        <f t="shared" si="10"/>
        <v>0</v>
      </c>
      <c r="X25" s="208">
        <f t="shared" si="11"/>
        <v>0</v>
      </c>
      <c r="Y25" s="208">
        <f t="shared" si="12"/>
        <v>0</v>
      </c>
    </row>
    <row r="26" spans="1:25" ht="19.95" customHeight="1">
      <c r="A26" s="216">
        <f>'明细表H1-2'!A30</f>
        <v>0</v>
      </c>
      <c r="B26" s="216">
        <f>'明细表H1-2'!B30</f>
        <v>0</v>
      </c>
      <c r="C26" s="216">
        <f>'明细表H1-2'!C30</f>
        <v>0</v>
      </c>
      <c r="D26" s="17"/>
      <c r="E26" s="208">
        <f>'明细表H1-2'!P30</f>
        <v>0</v>
      </c>
      <c r="F26" s="208">
        <f>'明细表H1-2'!AE30</f>
        <v>0</v>
      </c>
      <c r="G26" s="208">
        <f>'明细表H1-2'!AT30</f>
        <v>0</v>
      </c>
      <c r="H26" s="40"/>
      <c r="I26" s="418"/>
      <c r="J26" s="41"/>
      <c r="K26" s="39"/>
      <c r="L26" s="419">
        <f>IF(I26=0,0,IF(RIGHT(I26,1)&lt;&gt;"年",I26*12,IF(LEN(I26)=3,VALUE(LEFT(I26,2))*12,IF(LEN(I26)=2,VALUE(LEFT(I26,1))*12,"??"))))</f>
        <v>0</v>
      </c>
      <c r="M26" s="207">
        <f t="shared" si="14"/>
        <v>0</v>
      </c>
      <c r="N26" s="204">
        <f t="shared" si="2"/>
        <v>0</v>
      </c>
      <c r="O26" s="204">
        <f t="shared" si="3"/>
        <v>0</v>
      </c>
      <c r="P26" s="204">
        <f t="shared" si="4"/>
        <v>0</v>
      </c>
      <c r="Q26" s="204">
        <f t="shared" si="5"/>
        <v>0</v>
      </c>
      <c r="R26" s="204">
        <f t="shared" si="6"/>
        <v>0</v>
      </c>
      <c r="S26" s="208">
        <f t="shared" si="7"/>
        <v>0</v>
      </c>
      <c r="T26" s="208">
        <f t="shared" si="8"/>
        <v>0</v>
      </c>
      <c r="U26" s="208">
        <f t="shared" si="13"/>
        <v>0</v>
      </c>
      <c r="V26" s="208">
        <f t="shared" si="9"/>
        <v>0</v>
      </c>
      <c r="W26" s="208">
        <f t="shared" si="10"/>
        <v>0</v>
      </c>
      <c r="X26" s="208">
        <f t="shared" si="11"/>
        <v>0</v>
      </c>
      <c r="Y26" s="208">
        <f t="shared" si="12"/>
        <v>0</v>
      </c>
    </row>
    <row r="27" spans="1:25" ht="19.95" customHeight="1">
      <c r="A27" s="216">
        <f>'明细表H1-2'!A31</f>
        <v>0</v>
      </c>
      <c r="B27" s="216">
        <f>'明细表H1-2'!B31</f>
        <v>0</v>
      </c>
      <c r="C27" s="216">
        <f>'明细表H1-2'!C31</f>
        <v>0</v>
      </c>
      <c r="D27" s="17"/>
      <c r="E27" s="208">
        <f>'明细表H1-2'!P31</f>
        <v>0</v>
      </c>
      <c r="F27" s="208">
        <f>'明细表H1-2'!AE31</f>
        <v>0</v>
      </c>
      <c r="G27" s="208">
        <f>'明细表H1-2'!AT31</f>
        <v>0</v>
      </c>
      <c r="H27" s="40"/>
      <c r="I27" s="418"/>
      <c r="J27" s="41"/>
      <c r="K27" s="39"/>
      <c r="L27" s="419">
        <f>IF(I27=0,0,IF(RIGHT(I27,1)&lt;&gt;"年",I27*12,IF(LEN(I27)=3,VALUE(LEFT(I27,2))*12,IF(LEN(I27)=2,VALUE(LEFT(I27,1))*12,"??"))))</f>
        <v>0</v>
      </c>
      <c r="M27" s="207">
        <f t="shared" si="14"/>
        <v>0</v>
      </c>
      <c r="N27" s="204">
        <f t="shared" si="2"/>
        <v>0</v>
      </c>
      <c r="O27" s="204">
        <f t="shared" si="3"/>
        <v>0</v>
      </c>
      <c r="P27" s="204">
        <f t="shared" si="4"/>
        <v>0</v>
      </c>
      <c r="Q27" s="204">
        <f t="shared" si="5"/>
        <v>0</v>
      </c>
      <c r="R27" s="204">
        <f t="shared" si="6"/>
        <v>0</v>
      </c>
      <c r="S27" s="208">
        <f t="shared" si="7"/>
        <v>0</v>
      </c>
      <c r="T27" s="208">
        <f t="shared" si="8"/>
        <v>0</v>
      </c>
      <c r="U27" s="208">
        <f t="shared" si="13"/>
        <v>0</v>
      </c>
      <c r="V27" s="208">
        <f t="shared" si="9"/>
        <v>0</v>
      </c>
      <c r="W27" s="208">
        <f t="shared" si="10"/>
        <v>0</v>
      </c>
      <c r="X27" s="208">
        <f t="shared" si="11"/>
        <v>0</v>
      </c>
      <c r="Y27" s="208">
        <f t="shared" si="12"/>
        <v>0</v>
      </c>
    </row>
    <row r="28" spans="1:25" ht="19.95" customHeight="1">
      <c r="A28" s="216">
        <f>'明细表H1-2'!A32</f>
        <v>0</v>
      </c>
      <c r="B28" s="216">
        <f>'明细表H1-2'!B32</f>
        <v>0</v>
      </c>
      <c r="C28" s="216">
        <f>'明细表H1-2'!C32</f>
        <v>0</v>
      </c>
      <c r="D28" s="17"/>
      <c r="E28" s="208">
        <f>'明细表H1-2'!P32</f>
        <v>0</v>
      </c>
      <c r="F28" s="208">
        <f>'明细表H1-2'!AE32</f>
        <v>0</v>
      </c>
      <c r="G28" s="208">
        <f>'明细表H1-2'!AT32</f>
        <v>0</v>
      </c>
      <c r="H28" s="40"/>
      <c r="I28" s="418"/>
      <c r="J28" s="41"/>
      <c r="K28" s="39"/>
      <c r="L28" s="419">
        <f>IF(I28=0,0,IF(RIGHT(I28,1)&lt;&gt;"年",I28*12,IF(LEN(I28)=3,VALUE(LEFT(I28,2))*12,IF(LEN(I28)=2,VALUE(LEFT(I28,1))*12,"??"))))</f>
        <v>0</v>
      </c>
      <c r="M28" s="207">
        <f t="shared" si="14"/>
        <v>0</v>
      </c>
      <c r="N28" s="204">
        <f t="shared" si="2"/>
        <v>0</v>
      </c>
      <c r="O28" s="204">
        <f t="shared" si="3"/>
        <v>0</v>
      </c>
      <c r="P28" s="204">
        <f t="shared" si="4"/>
        <v>0</v>
      </c>
      <c r="Q28" s="204">
        <f t="shared" si="5"/>
        <v>0</v>
      </c>
      <c r="R28" s="204">
        <f t="shared" si="6"/>
        <v>0</v>
      </c>
      <c r="S28" s="208">
        <f t="shared" si="7"/>
        <v>0</v>
      </c>
      <c r="T28" s="208">
        <f t="shared" si="8"/>
        <v>0</v>
      </c>
      <c r="U28" s="208">
        <f t="shared" si="13"/>
        <v>0</v>
      </c>
      <c r="V28" s="208">
        <f t="shared" si="9"/>
        <v>0</v>
      </c>
      <c r="W28" s="208">
        <f t="shared" si="10"/>
        <v>0</v>
      </c>
      <c r="X28" s="208">
        <f t="shared" si="11"/>
        <v>0</v>
      </c>
      <c r="Y28" s="208">
        <f t="shared" si="12"/>
        <v>0</v>
      </c>
    </row>
    <row r="29" spans="1:25" s="659" customFormat="1" ht="19.95" customHeight="1">
      <c r="A29" s="655" t="str">
        <f>'明细表H1-2'!A33</f>
        <v>合计</v>
      </c>
      <c r="B29" s="655"/>
      <c r="C29" s="655"/>
      <c r="D29" s="656"/>
      <c r="E29" s="206">
        <f>SUM(E9:E28)</f>
        <v>0</v>
      </c>
      <c r="F29" s="206">
        <f>SUM(F9:F28)</f>
        <v>0</v>
      </c>
      <c r="G29" s="206">
        <f>SUM(G9:G28)</f>
        <v>0</v>
      </c>
      <c r="H29" s="657"/>
      <c r="I29" s="559"/>
      <c r="J29" s="658"/>
      <c r="K29" s="206"/>
      <c r="L29" s="208"/>
      <c r="M29" s="208"/>
      <c r="N29" s="208"/>
      <c r="O29" s="208"/>
      <c r="P29" s="208"/>
      <c r="Q29" s="208"/>
      <c r="R29" s="208"/>
      <c r="S29" s="206">
        <f t="shared" ref="S29:Y29" si="15">SUM(S9:S28)</f>
        <v>0</v>
      </c>
      <c r="T29" s="206">
        <f t="shared" si="15"/>
        <v>0</v>
      </c>
      <c r="U29" s="206">
        <f t="shared" si="15"/>
        <v>0</v>
      </c>
      <c r="V29" s="206">
        <f t="shared" si="15"/>
        <v>0</v>
      </c>
      <c r="W29" s="206">
        <f t="shared" si="15"/>
        <v>0</v>
      </c>
      <c r="X29" s="206">
        <f t="shared" si="15"/>
        <v>0</v>
      </c>
      <c r="Y29" s="206">
        <f t="shared" si="15"/>
        <v>0</v>
      </c>
    </row>
    <row r="30" spans="1:25" ht="19.95" customHeight="1">
      <c r="A30" s="118" t="str">
        <f>'明细表H1-2'!A34</f>
        <v>其中：</v>
      </c>
      <c r="B30" s="118"/>
      <c r="C30" s="118"/>
      <c r="D30" s="17"/>
      <c r="E30" s="39"/>
      <c r="F30" s="39"/>
      <c r="G30" s="39"/>
      <c r="H30" s="39"/>
      <c r="I30" s="46"/>
      <c r="J30" s="48"/>
      <c r="K30" s="39"/>
      <c r="L30" s="39"/>
      <c r="M30" s="39"/>
      <c r="N30" s="39"/>
      <c r="O30" s="39"/>
      <c r="P30" s="39"/>
      <c r="Q30" s="39"/>
      <c r="R30" s="39"/>
      <c r="S30" s="39"/>
      <c r="T30" s="39"/>
      <c r="U30" s="39"/>
      <c r="V30" s="39"/>
      <c r="W30" s="39"/>
      <c r="X30" s="39"/>
      <c r="Y30" s="39"/>
    </row>
    <row r="31" spans="1:25" s="572" customFormat="1" ht="19.95" customHeight="1">
      <c r="A31" s="805" t="str">
        <f>'明细表H1-2'!A35</f>
        <v>房屋及建筑物</v>
      </c>
      <c r="B31" s="806"/>
      <c r="C31" s="806"/>
      <c r="D31" s="807"/>
      <c r="E31" s="577">
        <f>SUMPRODUCT(($A$9:$A$28=$A31)*(E$9:E$28))</f>
        <v>0</v>
      </c>
      <c r="F31" s="577">
        <f>SUMPRODUCT(($A$9:$A$28=$A31)*(F$9:F$28))</f>
        <v>0</v>
      </c>
      <c r="G31" s="577">
        <f>SUMPRODUCT(($A$9:$A$28=$A31)*(G$9:G$28))</f>
        <v>0</v>
      </c>
      <c r="H31" s="478"/>
      <c r="I31" s="578"/>
      <c r="J31" s="480"/>
      <c r="K31" s="577"/>
      <c r="L31" s="579"/>
      <c r="M31" s="579"/>
      <c r="N31" s="579"/>
      <c r="O31" s="579"/>
      <c r="P31" s="579"/>
      <c r="Q31" s="579"/>
      <c r="R31" s="579"/>
      <c r="S31" s="579"/>
      <c r="T31" s="579"/>
      <c r="U31" s="579"/>
      <c r="V31" s="579"/>
      <c r="W31" s="579"/>
      <c r="X31" s="579"/>
      <c r="Y31" s="580">
        <f>SUMPRODUCT(($A$9:$A$28=$A31)*(Y$9:Y$28))</f>
        <v>0</v>
      </c>
    </row>
    <row r="32" spans="1:25" s="572" customFormat="1" ht="19.95" customHeight="1">
      <c r="A32" s="805" t="str">
        <f>'明细表H1-2'!A36</f>
        <v>机器设备</v>
      </c>
      <c r="B32" s="806"/>
      <c r="C32" s="806"/>
      <c r="D32" s="807"/>
      <c r="E32" s="577">
        <f t="shared" ref="E32:G35" si="16">SUMPRODUCT(($A$9:$A$28=$A32)*(E$9:E$28))</f>
        <v>0</v>
      </c>
      <c r="F32" s="577">
        <f t="shared" si="16"/>
        <v>0</v>
      </c>
      <c r="G32" s="577">
        <f t="shared" si="16"/>
        <v>0</v>
      </c>
      <c r="H32" s="478"/>
      <c r="I32" s="578"/>
      <c r="J32" s="480"/>
      <c r="K32" s="577"/>
      <c r="L32" s="579"/>
      <c r="M32" s="579"/>
      <c r="N32" s="579"/>
      <c r="O32" s="579"/>
      <c r="P32" s="579"/>
      <c r="Q32" s="579"/>
      <c r="R32" s="579"/>
      <c r="S32" s="579"/>
      <c r="T32" s="579"/>
      <c r="U32" s="579"/>
      <c r="V32" s="579"/>
      <c r="W32" s="579"/>
      <c r="X32" s="579"/>
      <c r="Y32" s="580">
        <f>SUMPRODUCT(($A$9:$A$28=$A32)*(Y$9:Y$28))</f>
        <v>0</v>
      </c>
    </row>
    <row r="33" spans="1:25" s="572" customFormat="1" ht="19.95" customHeight="1">
      <c r="A33" s="805" t="str">
        <f>'明细表H1-2'!A37</f>
        <v>运输设备</v>
      </c>
      <c r="B33" s="806"/>
      <c r="C33" s="806"/>
      <c r="D33" s="807"/>
      <c r="E33" s="577">
        <f t="shared" si="16"/>
        <v>0</v>
      </c>
      <c r="F33" s="577">
        <f t="shared" si="16"/>
        <v>0</v>
      </c>
      <c r="G33" s="577">
        <f t="shared" si="16"/>
        <v>0</v>
      </c>
      <c r="H33" s="478"/>
      <c r="I33" s="578"/>
      <c r="J33" s="480"/>
      <c r="K33" s="577"/>
      <c r="L33" s="579"/>
      <c r="M33" s="579"/>
      <c r="N33" s="579"/>
      <c r="O33" s="579"/>
      <c r="P33" s="579"/>
      <c r="Q33" s="579"/>
      <c r="R33" s="579"/>
      <c r="S33" s="579"/>
      <c r="T33" s="579"/>
      <c r="U33" s="579"/>
      <c r="V33" s="579"/>
      <c r="W33" s="579"/>
      <c r="X33" s="579"/>
      <c r="Y33" s="580">
        <f>SUMPRODUCT(($A$9:$A$28=$A33)*(Y$9:Y$28))</f>
        <v>0</v>
      </c>
    </row>
    <row r="34" spans="1:25" s="572" customFormat="1" ht="19.95" customHeight="1">
      <c r="A34" s="805" t="str">
        <f>'明细表H1-2'!A38</f>
        <v>办公设备</v>
      </c>
      <c r="B34" s="806"/>
      <c r="C34" s="806"/>
      <c r="D34" s="807"/>
      <c r="E34" s="577">
        <f t="shared" si="16"/>
        <v>0</v>
      </c>
      <c r="F34" s="577">
        <f t="shared" si="16"/>
        <v>0</v>
      </c>
      <c r="G34" s="577">
        <f t="shared" si="16"/>
        <v>0</v>
      </c>
      <c r="H34" s="478"/>
      <c r="I34" s="578"/>
      <c r="J34" s="480"/>
      <c r="K34" s="577"/>
      <c r="L34" s="579"/>
      <c r="M34" s="579"/>
      <c r="N34" s="579"/>
      <c r="O34" s="579"/>
      <c r="P34" s="579"/>
      <c r="Q34" s="579"/>
      <c r="R34" s="579"/>
      <c r="S34" s="579"/>
      <c r="T34" s="579"/>
      <c r="U34" s="579"/>
      <c r="V34" s="579"/>
      <c r="W34" s="579"/>
      <c r="X34" s="579"/>
      <c r="Y34" s="580">
        <f>SUMPRODUCT(($A$9:$A$28=$A34)*(Y$9:Y$28))</f>
        <v>0</v>
      </c>
    </row>
    <row r="35" spans="1:25" s="572" customFormat="1" ht="19.95" customHeight="1">
      <c r="A35" s="805" t="str">
        <f>'明细表H1-2'!A39</f>
        <v>其他设备</v>
      </c>
      <c r="B35" s="806"/>
      <c r="C35" s="806"/>
      <c r="D35" s="807"/>
      <c r="E35" s="577">
        <f t="shared" si="16"/>
        <v>0</v>
      </c>
      <c r="F35" s="577">
        <f t="shared" si="16"/>
        <v>0</v>
      </c>
      <c r="G35" s="577">
        <f t="shared" si="16"/>
        <v>0</v>
      </c>
      <c r="H35" s="478"/>
      <c r="I35" s="578"/>
      <c r="J35" s="480"/>
      <c r="K35" s="577"/>
      <c r="L35" s="579"/>
      <c r="M35" s="579"/>
      <c r="N35" s="579"/>
      <c r="O35" s="579"/>
      <c r="P35" s="579"/>
      <c r="Q35" s="579"/>
      <c r="R35" s="579"/>
      <c r="S35" s="579"/>
      <c r="T35" s="579"/>
      <c r="U35" s="579"/>
      <c r="V35" s="579"/>
      <c r="W35" s="579"/>
      <c r="X35" s="579"/>
      <c r="Y35" s="580">
        <f>SUMPRODUCT(($A$9:$A$28=$A35)*(Y$9:Y$28))</f>
        <v>0</v>
      </c>
    </row>
    <row r="36" spans="1:25" ht="19.95" customHeight="1">
      <c r="A36" s="156" t="s">
        <v>428</v>
      </c>
      <c r="B36" s="18"/>
      <c r="C36" s="18"/>
      <c r="D36" s="18"/>
      <c r="E36" s="18"/>
      <c r="F36" s="18"/>
      <c r="G36" s="18"/>
      <c r="H36" s="18"/>
      <c r="I36" s="18"/>
      <c r="J36" s="18"/>
      <c r="K36" s="18"/>
      <c r="L36" s="143"/>
      <c r="M36" s="18"/>
      <c r="N36" s="18"/>
      <c r="O36" s="18"/>
      <c r="P36" s="18"/>
      <c r="Q36" s="18"/>
      <c r="R36" s="18"/>
      <c r="S36" s="18"/>
      <c r="T36" s="18"/>
      <c r="U36" s="18"/>
      <c r="V36" s="18"/>
      <c r="W36" s="18"/>
      <c r="X36" s="18"/>
      <c r="Y36" s="18"/>
    </row>
    <row r="37" spans="1:25" ht="19.95" customHeight="1">
      <c r="A37" s="232" t="s">
        <v>722</v>
      </c>
    </row>
    <row r="40" spans="1:25" ht="19.95" customHeight="1">
      <c r="A40" s="26" t="s">
        <v>376</v>
      </c>
    </row>
    <row r="44" spans="1:25" ht="19.95" customHeight="1">
      <c r="A44" s="505"/>
    </row>
    <row r="45" spans="1:25" ht="19.95" customHeight="1">
      <c r="A45" s="318"/>
    </row>
    <row r="46" spans="1:25" ht="19.95" customHeight="1">
      <c r="A46" s="318"/>
    </row>
    <row r="47" spans="1:25" ht="19.95" customHeight="1">
      <c r="A47" s="318"/>
    </row>
    <row r="48" spans="1:25" ht="19.95" customHeight="1">
      <c r="A48" s="318"/>
    </row>
  </sheetData>
  <mergeCells count="7">
    <mergeCell ref="A1:Y1"/>
    <mergeCell ref="A35:D35"/>
    <mergeCell ref="A2:Y2"/>
    <mergeCell ref="A31:D31"/>
    <mergeCell ref="A32:D32"/>
    <mergeCell ref="A33:D33"/>
    <mergeCell ref="A34:D34"/>
  </mergeCells>
  <phoneticPr fontId="10" type="noConversion"/>
  <hyperlinks>
    <hyperlink ref="Y3" location="底稿目录!A1" display="H1-12"/>
  </hyperlinks>
  <printOptions horizontalCentered="1"/>
  <pageMargins left="0.51181102362204722" right="0.31496062992125984" top="0.55118110236220474" bottom="0.35433070866141736" header="0.51181102362204722" footer="0.19685039370078741"/>
  <pageSetup paperSize="9" scale="59" fitToHeight="50" orientation="landscape" blackAndWhite="1" r:id="rId1"/>
  <headerFooter alignWithMargins="0">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AC50"/>
  <sheetViews>
    <sheetView showZeros="0" view="pageBreakPreview" zoomScaleSheetLayoutView="100" workbookViewId="0">
      <selection sqref="A1:AA1"/>
    </sheetView>
  </sheetViews>
  <sheetFormatPr defaultColWidth="9" defaultRowHeight="19.95" customHeight="1"/>
  <cols>
    <col min="1" max="1" width="14.19921875" style="2" customWidth="1"/>
    <col min="2" max="2" width="11.5" style="2" customWidth="1"/>
    <col min="3" max="3" width="11.09765625" style="2" customWidth="1"/>
    <col min="4" max="4" width="9" style="2"/>
    <col min="5" max="5" width="11.5" style="2" customWidth="1"/>
    <col min="6" max="7" width="8.69921875" style="2" customWidth="1"/>
    <col min="8" max="9" width="8.09765625" style="2" customWidth="1"/>
    <col min="10" max="10" width="8" style="2" customWidth="1"/>
    <col min="11" max="11" width="4.8984375" style="141" customWidth="1"/>
    <col min="12" max="12" width="6" style="2" customWidth="1"/>
    <col min="13" max="13" width="6.19921875" style="2" customWidth="1"/>
    <col min="14" max="14" width="5.5" style="141" customWidth="1"/>
    <col min="15" max="15" width="8" style="103" customWidth="1"/>
    <col min="16" max="16" width="8.19921875" style="103" customWidth="1"/>
    <col min="17" max="17" width="8.19921875" style="2" customWidth="1"/>
    <col min="18" max="18" width="4.8984375" style="2" customWidth="1"/>
    <col min="19" max="19" width="12.8984375" style="2" customWidth="1"/>
    <col min="20" max="20" width="12" style="2" customWidth="1"/>
    <col min="21" max="22" width="8.8984375" style="2" customWidth="1"/>
    <col min="23" max="23" width="7.8984375" style="2" customWidth="1"/>
    <col min="24" max="25" width="8.19921875" style="2" customWidth="1"/>
    <col min="26" max="26" width="8.69921875" style="147" customWidth="1"/>
    <col min="27" max="27" width="8.09765625" style="2" customWidth="1"/>
    <col min="28" max="16384" width="9" style="2"/>
  </cols>
  <sheetData>
    <row r="1" spans="1:29" s="13" customFormat="1" ht="19.95" customHeight="1">
      <c r="A1" s="745" t="s">
        <v>1039</v>
      </c>
      <c r="B1" s="745"/>
      <c r="C1" s="745"/>
      <c r="D1" s="745"/>
      <c r="E1" s="745"/>
      <c r="F1" s="745"/>
      <c r="G1" s="745"/>
      <c r="H1" s="745"/>
      <c r="I1" s="745"/>
      <c r="J1" s="745"/>
      <c r="K1" s="745"/>
      <c r="L1" s="745"/>
      <c r="M1" s="745"/>
      <c r="N1" s="745"/>
      <c r="O1" s="745"/>
      <c r="P1" s="745"/>
      <c r="Q1" s="745"/>
      <c r="R1" s="745"/>
      <c r="S1" s="745"/>
      <c r="T1" s="745"/>
      <c r="U1" s="745"/>
      <c r="V1" s="745"/>
      <c r="W1" s="745"/>
      <c r="X1" s="745"/>
      <c r="Y1" s="745"/>
      <c r="Z1" s="745"/>
      <c r="AA1" s="745"/>
    </row>
    <row r="2" spans="1:29" s="458" customFormat="1" ht="19.95" customHeight="1">
      <c r="A2" s="746" t="s">
        <v>1054</v>
      </c>
      <c r="B2" s="746"/>
      <c r="C2" s="746"/>
      <c r="D2" s="746"/>
      <c r="E2" s="746"/>
      <c r="F2" s="746"/>
      <c r="G2" s="746"/>
      <c r="H2" s="746"/>
      <c r="I2" s="746"/>
      <c r="J2" s="746"/>
      <c r="K2" s="746"/>
      <c r="L2" s="746"/>
      <c r="M2" s="746"/>
      <c r="N2" s="746"/>
      <c r="O2" s="746"/>
      <c r="P2" s="746"/>
      <c r="Q2" s="746"/>
      <c r="R2" s="746"/>
      <c r="S2" s="746"/>
      <c r="T2" s="746"/>
      <c r="U2" s="746"/>
      <c r="V2" s="746"/>
      <c r="W2" s="746"/>
      <c r="X2" s="746"/>
      <c r="Y2" s="746"/>
      <c r="Z2" s="746"/>
      <c r="AA2" s="746"/>
    </row>
    <row r="3" spans="1:29" ht="19.95" customHeight="1">
      <c r="A3" s="2" t="str">
        <f>底稿目录!A2</f>
        <v>被审计单位：</v>
      </c>
      <c r="B3" s="22"/>
      <c r="F3" s="14"/>
      <c r="G3" s="2" t="str">
        <f>底稿目录!A4</f>
        <v>编制人：</v>
      </c>
      <c r="T3" s="2" t="str">
        <f>底稿目录!A5</f>
        <v>编制日期：</v>
      </c>
      <c r="U3" s="103"/>
      <c r="Z3" s="181" t="s">
        <v>785</v>
      </c>
      <c r="AA3" s="452" t="s">
        <v>288</v>
      </c>
    </row>
    <row r="4" spans="1:29" ht="19.95" customHeight="1">
      <c r="A4" s="2" t="str">
        <f>底稿目录!A3</f>
        <v>截止日：202X年12月31日</v>
      </c>
      <c r="B4" s="22"/>
      <c r="F4" s="14"/>
      <c r="G4" s="141" t="str">
        <f>底稿目录!A6</f>
        <v>复核人：</v>
      </c>
      <c r="T4" s="2" t="str">
        <f>底稿目录!A7</f>
        <v>复核日期：</v>
      </c>
      <c r="U4" s="103"/>
      <c r="Z4" s="475" t="s">
        <v>1064</v>
      </c>
    </row>
    <row r="5" spans="1:29" s="308" customFormat="1" ht="19.95" customHeight="1">
      <c r="A5" s="229" t="s">
        <v>751</v>
      </c>
      <c r="B5" s="605"/>
      <c r="G5" s="632"/>
      <c r="K5" s="589"/>
      <c r="L5" s="589"/>
      <c r="M5" s="587"/>
      <c r="N5" s="660"/>
      <c r="O5" s="599"/>
      <c r="P5" s="599"/>
      <c r="W5" s="585"/>
      <c r="X5" s="585"/>
      <c r="Y5" s="585"/>
      <c r="Z5" s="661"/>
      <c r="AA5" s="585"/>
      <c r="AB5" s="585"/>
      <c r="AC5" s="585"/>
    </row>
    <row r="6" spans="1:29" ht="19.95" customHeight="1">
      <c r="A6" s="58" t="s">
        <v>379</v>
      </c>
      <c r="B6" s="59"/>
      <c r="G6" s="14"/>
      <c r="L6" s="61"/>
      <c r="M6" s="9"/>
      <c r="W6" s="181"/>
      <c r="X6" s="181"/>
      <c r="Y6" s="181"/>
      <c r="Z6" s="321"/>
      <c r="AA6" s="181"/>
      <c r="AB6" s="181"/>
      <c r="AC6" s="181"/>
    </row>
    <row r="7" spans="1:29" s="142" customFormat="1" ht="19.95" customHeight="1">
      <c r="A7" s="311" t="s">
        <v>752</v>
      </c>
      <c r="B7" s="648"/>
      <c r="C7" s="311" t="s">
        <v>753</v>
      </c>
      <c r="D7" s="648"/>
      <c r="E7" s="545" t="s">
        <v>746</v>
      </c>
      <c r="F7" s="648"/>
      <c r="G7" s="312" t="s">
        <v>754</v>
      </c>
      <c r="K7" s="144"/>
      <c r="O7" s="145"/>
      <c r="P7" s="145"/>
      <c r="Q7" s="37"/>
      <c r="R7" s="37"/>
      <c r="S7" s="37"/>
      <c r="U7" s="219" t="s">
        <v>755</v>
      </c>
      <c r="V7" s="219"/>
      <c r="W7" s="220"/>
      <c r="X7" s="220"/>
      <c r="Y7" s="219"/>
      <c r="Z7" s="221"/>
      <c r="AA7" s="219"/>
    </row>
    <row r="8" spans="1:29" s="38" customFormat="1" ht="36">
      <c r="A8" s="313" t="s">
        <v>380</v>
      </c>
      <c r="B8" s="313" t="s">
        <v>543</v>
      </c>
      <c r="C8" s="313" t="s">
        <v>498</v>
      </c>
      <c r="D8" s="547" t="s">
        <v>1153</v>
      </c>
      <c r="E8" s="547" t="s">
        <v>1254</v>
      </c>
      <c r="F8" s="554" t="s">
        <v>756</v>
      </c>
      <c r="G8" s="314" t="s">
        <v>757</v>
      </c>
      <c r="H8" s="314" t="s">
        <v>758</v>
      </c>
      <c r="I8" s="314" t="s">
        <v>759</v>
      </c>
      <c r="J8" s="314" t="s">
        <v>748</v>
      </c>
      <c r="K8" s="320" t="s">
        <v>720</v>
      </c>
      <c r="L8" s="315" t="s">
        <v>760</v>
      </c>
      <c r="M8" s="320" t="s">
        <v>761</v>
      </c>
      <c r="N8" s="320" t="s">
        <v>721</v>
      </c>
      <c r="O8" s="314" t="s">
        <v>762</v>
      </c>
      <c r="P8" s="314" t="s">
        <v>763</v>
      </c>
      <c r="Q8" s="315" t="s">
        <v>764</v>
      </c>
      <c r="R8" s="315" t="s">
        <v>749</v>
      </c>
      <c r="S8" s="315" t="s">
        <v>765</v>
      </c>
      <c r="T8" s="315" t="s">
        <v>766</v>
      </c>
      <c r="U8" s="314" t="s">
        <v>767</v>
      </c>
      <c r="V8" s="314" t="s">
        <v>750</v>
      </c>
      <c r="W8" s="314" t="s">
        <v>768</v>
      </c>
      <c r="X8" s="315" t="s">
        <v>769</v>
      </c>
      <c r="Y8" s="315" t="s">
        <v>770</v>
      </c>
      <c r="Z8" s="315" t="s">
        <v>771</v>
      </c>
      <c r="AA8" s="315" t="s">
        <v>772</v>
      </c>
    </row>
    <row r="9" spans="1:29" s="42" customFormat="1" ht="19.95" customHeight="1">
      <c r="A9" s="216">
        <f>'明细表H1-2'!A13</f>
        <v>0</v>
      </c>
      <c r="B9" s="216">
        <f>'明细表H1-2'!B13</f>
        <v>0</v>
      </c>
      <c r="C9" s="216">
        <f>'明细表H1-2'!C13</f>
        <v>0</v>
      </c>
      <c r="D9" s="43"/>
      <c r="E9" s="208">
        <f>'明细表H1-2'!P13</f>
        <v>0</v>
      </c>
      <c r="F9" s="208">
        <f>'明细表H1-2'!AB13</f>
        <v>0</v>
      </c>
      <c r="G9" s="208">
        <f>'明细表H1-2'!AE13</f>
        <v>0</v>
      </c>
      <c r="H9" s="208">
        <f>'明细表H1-2'!AQ13</f>
        <v>0</v>
      </c>
      <c r="I9" s="208">
        <f>'明细表H1-2'!AT13</f>
        <v>0</v>
      </c>
      <c r="J9" s="40"/>
      <c r="K9" s="418"/>
      <c r="L9" s="41"/>
      <c r="M9" s="39"/>
      <c r="N9" s="420">
        <f>IF(K9=0,0,IF(RIGHT(K9,1)&lt;&gt;"年",K9*12,IF(LEN(K9)=3,VALUE(LEFT(K9,2))*12,IF(LEN(K9)=2,VALUE(LEFT(K9,1))*12,"??"))))</f>
        <v>0</v>
      </c>
      <c r="O9" s="207">
        <f>IF(DAY(J9)=1,IF(J9=0,0,DATE(YEAR(J9),MONTH(J9)+N9,DAY(J9))),IF(J9=0,0,DATE(YEAR(J9),MONTH(J9)+N9,DAY(J9)-1)))</f>
        <v>0</v>
      </c>
      <c r="P9" s="208" t="e">
        <f>MIN(IF(AND(DAY(J9)=31,DAY($B$7-1)=30),IF(J9=0,0,IF(O9&gt;($B$7-1),VALUE(DATEDIF(J9,MIN(($B$7-1),O9),"m"))+1,VALUE(DATEDIF(J9,MIN(($B$7-1),O9),"m")+2))),IF(J9=0,0,IF(O9&gt;($B$7-1),DATEDIF(J9,MIN(($B$7-1),O9),"m"),VALUE(DATEDIF(J9,MIN(($B$7-1),O9),"m")+1)))),N9)</f>
        <v>#NUM!</v>
      </c>
      <c r="Q9" s="208">
        <f>MIN(IF(AND(DAY(J9)=31,DAY($D$7)=30),IF(J9=0,0,IF(O9&gt;$D$7,VALUE(DATEDIF(J9,MIN($D$7,O9),"m"))+1,VALUE(DATEDIF(J9,MIN($D$7,O9),"m")+2))),IF(J9=0,0,IF(O9&gt;$D$7,DATEDIF(J9,MIN($D$7,O9),"m"),VALUE(DATEDIF(J9,MIN($D$7,O9),"m")+1)))),N9)</f>
        <v>0</v>
      </c>
      <c r="R9" s="208">
        <f>IF(OR(J9=0,O9&lt;$B$7),0,IF(AND(J9&lt;$B$7,O9&gt;$D$7),VALUE(DATEDIF($B$7,$D$7,"m")+1),IF(AND(J9&lt;$B$7,O9&lt;=$D$7),VALUE(DATEDIF($B$7,O9,"m")+1),IF(AND(J9&gt;=$B$7,O9&gt;$D$7),VALUE(DATEDIF(J9,$D$7,"m")),IF(AND(J9&gt;=$B$7,O9&lt;=$D$7),VALUE(DATEDIF(J9,O9,"m")+1),)))))</f>
        <v>0</v>
      </c>
      <c r="S9" s="208">
        <f>IF(AND(YEAR(J9)=YEAR($D$7),DAY(J9)=31,DAY($D$7)=30),IF(J9&gt;$F$7,0,R9-T9+1),IF(J9&gt;$F$7,0,R9-T9))</f>
        <v>0</v>
      </c>
      <c r="T9" s="208">
        <f>IF(AND(DAY($F$7)=31,DAY($D$7)=30),IF(J9=0,0,IF($F$7&lt;$B$7,R9,VALUE(DATEDIF(MAX(J9,$F$7),MIN(O9,$D$7),"m")))+1),IF(J9=0,0,IF($F$7&lt;$B$7,R9,DATEDIF(MAX(J9,$F$7),MIN(O9,$D$7),"m"))))</f>
        <v>0</v>
      </c>
      <c r="U9" s="208">
        <f t="shared" ref="U9:U28" si="0">IF(N9=0,0,ROUND((E9*(1-L9)-F9-H9)/(N9-P9),2))</f>
        <v>0</v>
      </c>
      <c r="V9" s="208">
        <f t="shared" ref="V9:V28" si="1">ROUND(U9*S9,2)+F9</f>
        <v>0</v>
      </c>
      <c r="W9" s="208">
        <f t="shared" ref="W9:W28" si="2">IF((E9*(1-L9)-V9-I9)&gt;0,(E9*(1-L9)-V9-I9)/(N9-P9-S9),0)</f>
        <v>0</v>
      </c>
      <c r="X9" s="208">
        <f t="shared" ref="X9:X28" si="3">ROUND(U9*S9,2)+ROUND(W9*T9,2)</f>
        <v>0</v>
      </c>
      <c r="Y9" s="208">
        <f t="shared" ref="Y9:Y28" si="4">ROUND(M9-W9,2)</f>
        <v>0</v>
      </c>
      <c r="Z9" s="208">
        <f t="shared" ref="Z9:Z28" si="5">F9+X9</f>
        <v>0</v>
      </c>
      <c r="AA9" s="208">
        <f t="shared" ref="AA9:AA28" si="6">ROUND(G9-Z9,2)</f>
        <v>0</v>
      </c>
    </row>
    <row r="10" spans="1:29" s="42" customFormat="1" ht="19.95" customHeight="1">
      <c r="A10" s="216">
        <f>'明细表H1-2'!A14</f>
        <v>0</v>
      </c>
      <c r="B10" s="216">
        <f>'明细表H1-2'!B14</f>
        <v>0</v>
      </c>
      <c r="C10" s="216">
        <f>'明细表H1-2'!C14</f>
        <v>0</v>
      </c>
      <c r="D10" s="43"/>
      <c r="E10" s="208">
        <f>'明细表H1-2'!P14</f>
        <v>0</v>
      </c>
      <c r="F10" s="208">
        <f>'明细表H1-2'!AB14</f>
        <v>0</v>
      </c>
      <c r="G10" s="208">
        <f>'明细表H1-2'!AE14</f>
        <v>0</v>
      </c>
      <c r="H10" s="208">
        <f>'明细表H1-2'!AQ14</f>
        <v>0</v>
      </c>
      <c r="I10" s="208">
        <f>'明细表H1-2'!AT14</f>
        <v>0</v>
      </c>
      <c r="J10" s="40"/>
      <c r="K10" s="418"/>
      <c r="L10" s="41"/>
      <c r="M10" s="39"/>
      <c r="N10" s="420">
        <f>IF(K10=0,0,IF(RIGHT(K10,1)&lt;&gt;"年",K10*12,IF(LEN(K10)=3,VALUE(LEFT(K10,2))*12,IF(LEN(K10)=2,VALUE(LEFT(K10,1))*12,"??"))))</f>
        <v>0</v>
      </c>
      <c r="O10" s="207">
        <f>IF(DAY(J10)=1,IF(J10=0,0,DATE(YEAR(J10),MONTH(J10)+N10,DAY(J10))),IF(J10=0,0,DATE(YEAR(J10),MONTH(J10)+N10,DAY(J10)-1)))</f>
        <v>0</v>
      </c>
      <c r="P10" s="208" t="e">
        <f>MIN(IF(AND(DAY(J10)=31,DAY($B$7-1)=30),IF(J10=0,0,IF(O10&gt;($B$7-1),VALUE(DATEDIF(J10,MIN(($B$7-1),O10),"m"))+1,VALUE(DATEDIF(J10,MIN(($B$7-1),O10),"m")+2))),IF(J10=0,0,IF(O10&gt;($B$7-1),DATEDIF(J10,MIN(($B$7-1),O10),"m"),VALUE(DATEDIF(J10,MIN(($B$7-1),O10),"m")+1)))),N10)</f>
        <v>#NUM!</v>
      </c>
      <c r="Q10" s="208">
        <f>MIN(IF(AND(DAY(J10)=31,DAY($D$7)=30),IF(J10=0,0,IF(O10&gt;$D$7,VALUE(DATEDIF(J10,MIN($D$7,O10),"m"))+1,VALUE(DATEDIF(J10,MIN($D$7,O10),"m")+2))),IF(J10=0,0,IF(O10&gt;$D$7,DATEDIF(J10,MIN($D$7,O10),"m"),VALUE(DATEDIF(J10,MIN($D$7,O10),"m")+1)))),N10)</f>
        <v>0</v>
      </c>
      <c r="R10" s="208">
        <f t="shared" ref="R10:R18" si="7">IF(OR(J10=0,O10&lt;$B$7),0,IF(AND(J10&lt;$B$7,O10&gt;$D$7),VALUE(DATEDIF($B$7,$D$7,"m")+1),IF(AND(J10&lt;$B$7,O10&lt;=$D$7),VALUE(DATEDIF($B$7,O10,"m")+1),IF(AND(J10&gt;=$B$7,O10&gt;$D$7),VALUE(DATEDIF(J10,$D$7,"m")),IF(AND(J10&gt;=$B$7,O10&lt;=$D$7),VALUE(DATEDIF(J10,O10,"m")+1),)))))</f>
        <v>0</v>
      </c>
      <c r="S10" s="208">
        <f t="shared" ref="S10:S18" si="8">IF(AND(YEAR(J10)=YEAR($D$7),DAY(J10)=31,DAY($D$7)=30),IF(J10&gt;$F$7,0,R10-T10+1),IF(J10&gt;$F$7,0,R10-T10))</f>
        <v>0</v>
      </c>
      <c r="T10" s="208">
        <f t="shared" ref="T10:T18" si="9">IF(AND(DAY($F$7)=31,DAY($D$7)=30),IF(J10=0,0,IF($F$7&lt;$B$7,R10,VALUE(DATEDIF(MAX(J10,$F$7),MIN(O10,$D$7),"m")))+1),IF(J10=0,0,IF($F$7&lt;$B$7,R10,DATEDIF(MAX(J10,$F$7),MIN(O10,$D$7),"m"))))</f>
        <v>0</v>
      </c>
      <c r="U10" s="208">
        <f t="shared" si="0"/>
        <v>0</v>
      </c>
      <c r="V10" s="208">
        <f t="shared" si="1"/>
        <v>0</v>
      </c>
      <c r="W10" s="208">
        <f t="shared" si="2"/>
        <v>0</v>
      </c>
      <c r="X10" s="208">
        <f t="shared" si="3"/>
        <v>0</v>
      </c>
      <c r="Y10" s="208">
        <f t="shared" si="4"/>
        <v>0</v>
      </c>
      <c r="Z10" s="208">
        <f t="shared" si="5"/>
        <v>0</v>
      </c>
      <c r="AA10" s="208">
        <f t="shared" si="6"/>
        <v>0</v>
      </c>
    </row>
    <row r="11" spans="1:29" s="42" customFormat="1" ht="19.95" customHeight="1">
      <c r="A11" s="216">
        <f>'明细表H1-2'!A15</f>
        <v>0</v>
      </c>
      <c r="B11" s="216">
        <f>'明细表H1-2'!B15</f>
        <v>0</v>
      </c>
      <c r="C11" s="216">
        <f>'明细表H1-2'!C15</f>
        <v>0</v>
      </c>
      <c r="D11" s="43"/>
      <c r="E11" s="208">
        <f>'明细表H1-2'!P15</f>
        <v>0</v>
      </c>
      <c r="F11" s="208">
        <f>'明细表H1-2'!AB15</f>
        <v>0</v>
      </c>
      <c r="G11" s="208">
        <f>'明细表H1-2'!AE15</f>
        <v>0</v>
      </c>
      <c r="H11" s="208">
        <f>'明细表H1-2'!AQ15</f>
        <v>0</v>
      </c>
      <c r="I11" s="208">
        <f>'明细表H1-2'!AT15</f>
        <v>0</v>
      </c>
      <c r="J11" s="40"/>
      <c r="K11" s="418"/>
      <c r="L11" s="41"/>
      <c r="M11" s="39"/>
      <c r="N11" s="420">
        <f>IF(K11=0,0,IF(RIGHT(K11,1)&lt;&gt;"年",K11*12,IF(LEN(K11)=3,VALUE(LEFT(K11,2))*12,IF(LEN(K11)=2,VALUE(LEFT(K11,1))*12,"??"))))</f>
        <v>0</v>
      </c>
      <c r="O11" s="207">
        <f>IF(DAY(J11)=1,IF(J11=0,0,DATE(YEAR(J11),MONTH(J11)+N11,DAY(J11))),IF(J11=0,0,DATE(YEAR(J11),MONTH(J11)+N11,DAY(J11)-1)))</f>
        <v>0</v>
      </c>
      <c r="P11" s="208" t="e">
        <f>MIN(IF(AND(DAY(J11)=31,DAY($B$7-1)=30),IF(J11=0,0,IF(O11&gt;($B$7-1),VALUE(DATEDIF(J11,MIN(($B$7-1),O11),"m"))+1,VALUE(DATEDIF(J11,MIN(($B$7-1),O11),"m")+2))),IF(J11=0,0,IF(O11&gt;($B$7-1),DATEDIF(J11,MIN(($B$7-1),O11),"m"),VALUE(DATEDIF(J11,MIN(($B$7-1),O11),"m")+1)))),N11)</f>
        <v>#NUM!</v>
      </c>
      <c r="Q11" s="208">
        <f t="shared" ref="Q11:Q18" si="10">MIN(IF(AND(DAY(J11)=31,DAY($D$7)=30),IF(J11=0,0,IF(O11&gt;$D$7,VALUE(DATEDIF(J11,MIN($D$7,O11),"m"))+1,VALUE(DATEDIF(J11,MIN($D$7,O11),"m")+2))),IF(J11=0,0,IF(O11&gt;$D$7,DATEDIF(J11,MIN($D$7,O11),"m"),VALUE(DATEDIF(J11,MIN($D$7,O11),"m")+1)))),N11)</f>
        <v>0</v>
      </c>
      <c r="R11" s="208">
        <f t="shared" si="7"/>
        <v>0</v>
      </c>
      <c r="S11" s="208">
        <f t="shared" si="8"/>
        <v>0</v>
      </c>
      <c r="T11" s="208">
        <f t="shared" si="9"/>
        <v>0</v>
      </c>
      <c r="U11" s="208">
        <f t="shared" si="0"/>
        <v>0</v>
      </c>
      <c r="V11" s="208">
        <f t="shared" si="1"/>
        <v>0</v>
      </c>
      <c r="W11" s="208">
        <f t="shared" si="2"/>
        <v>0</v>
      </c>
      <c r="X11" s="208">
        <f t="shared" si="3"/>
        <v>0</v>
      </c>
      <c r="Y11" s="208">
        <f t="shared" si="4"/>
        <v>0</v>
      </c>
      <c r="Z11" s="208">
        <f t="shared" si="5"/>
        <v>0</v>
      </c>
      <c r="AA11" s="208">
        <f t="shared" si="6"/>
        <v>0</v>
      </c>
    </row>
    <row r="12" spans="1:29" s="42" customFormat="1" ht="19.95" customHeight="1">
      <c r="A12" s="216">
        <f>'明细表H1-2'!A16</f>
        <v>0</v>
      </c>
      <c r="B12" s="216">
        <f>'明细表H1-2'!B16</f>
        <v>0</v>
      </c>
      <c r="C12" s="216">
        <f>'明细表H1-2'!C16</f>
        <v>0</v>
      </c>
      <c r="D12" s="43"/>
      <c r="E12" s="208">
        <f>'明细表H1-2'!P16</f>
        <v>0</v>
      </c>
      <c r="F12" s="208">
        <f>'明细表H1-2'!AB16</f>
        <v>0</v>
      </c>
      <c r="G12" s="208">
        <f>'明细表H1-2'!AE16</f>
        <v>0</v>
      </c>
      <c r="H12" s="208">
        <f>'明细表H1-2'!AQ16</f>
        <v>0</v>
      </c>
      <c r="I12" s="208">
        <f>'明细表H1-2'!AT16</f>
        <v>0</v>
      </c>
      <c r="J12" s="40"/>
      <c r="K12" s="418"/>
      <c r="L12" s="41"/>
      <c r="M12" s="39"/>
      <c r="N12" s="420">
        <f>IF(K12=0,0,IF(RIGHT(K12,1)&lt;&gt;"年",K12*12,IF(LEN(K12)=3,VALUE(LEFT(K12,2))*12,IF(LEN(K12)=2,VALUE(LEFT(K12,1))*12,"??"))))</f>
        <v>0</v>
      </c>
      <c r="O12" s="207">
        <f>IF(DAY(J12)=1,IF(J12=0,0,DATE(YEAR(J12),MONTH(J12)+N12,DAY(J12))),IF(J12=0,0,DATE(YEAR(J12),MONTH(J12)+N12,DAY(J12)-1)))</f>
        <v>0</v>
      </c>
      <c r="P12" s="208" t="e">
        <f>MIN(IF(AND(DAY(J12)=31,DAY($B$7-1)=30),IF(J12=0,0,IF(O12&gt;($B$7-1),VALUE(DATEDIF(J12,MIN(($B$7-1),O12),"m"))+1,VALUE(DATEDIF(J12,MIN(($B$7-1),O12),"m")+2))),IF(J12=0,0,IF(O12&gt;($B$7-1),DATEDIF(J12,MIN(($B$7-1),O12),"m"),VALUE(DATEDIF(J12,MIN(($B$7-1),O12),"m")+1)))),N12)</f>
        <v>#NUM!</v>
      </c>
      <c r="Q12" s="208">
        <f t="shared" si="10"/>
        <v>0</v>
      </c>
      <c r="R12" s="208">
        <f t="shared" si="7"/>
        <v>0</v>
      </c>
      <c r="S12" s="208">
        <f t="shared" si="8"/>
        <v>0</v>
      </c>
      <c r="T12" s="208">
        <f t="shared" si="9"/>
        <v>0</v>
      </c>
      <c r="U12" s="208">
        <f t="shared" si="0"/>
        <v>0</v>
      </c>
      <c r="V12" s="208">
        <f t="shared" si="1"/>
        <v>0</v>
      </c>
      <c r="W12" s="208">
        <f t="shared" si="2"/>
        <v>0</v>
      </c>
      <c r="X12" s="208">
        <f t="shared" si="3"/>
        <v>0</v>
      </c>
      <c r="Y12" s="208">
        <f t="shared" si="4"/>
        <v>0</v>
      </c>
      <c r="Z12" s="208">
        <f t="shared" si="5"/>
        <v>0</v>
      </c>
      <c r="AA12" s="208">
        <f t="shared" si="6"/>
        <v>0</v>
      </c>
    </row>
    <row r="13" spans="1:29" s="42" customFormat="1" ht="19.95" customHeight="1">
      <c r="A13" s="216">
        <f>'明细表H1-2'!A17</f>
        <v>0</v>
      </c>
      <c r="B13" s="216">
        <f>'明细表H1-2'!B17</f>
        <v>0</v>
      </c>
      <c r="C13" s="216">
        <f>'明细表H1-2'!C17</f>
        <v>0</v>
      </c>
      <c r="D13" s="43"/>
      <c r="E13" s="208">
        <f>'明细表H1-2'!P17</f>
        <v>0</v>
      </c>
      <c r="F13" s="208">
        <f>'明细表H1-2'!AB17</f>
        <v>0</v>
      </c>
      <c r="G13" s="208">
        <f>'明细表H1-2'!AE17</f>
        <v>0</v>
      </c>
      <c r="H13" s="208">
        <f>'明细表H1-2'!AQ17</f>
        <v>0</v>
      </c>
      <c r="I13" s="208">
        <f>'明细表H1-2'!AT17</f>
        <v>0</v>
      </c>
      <c r="J13" s="40"/>
      <c r="K13" s="418"/>
      <c r="L13" s="41"/>
      <c r="M13" s="39"/>
      <c r="N13" s="420">
        <f t="shared" ref="N13:N28" si="11">IF(K13=0,0,IF(RIGHT(K13,1)&lt;&gt;"年",K13*12,IF(LEN(K13)=3,VALUE(LEFT(K13,2))*12,IF(LEN(K13)=2,VALUE(LEFT(K13,1))*12,"??"))))</f>
        <v>0</v>
      </c>
      <c r="O13" s="207">
        <f t="shared" ref="O13:O28" si="12">IF(DAY(J13)=1,IF(J13=0,0,DATE(YEAR(J13),MONTH(J13)+N13,DAY(J13))),IF(J13=0,0,DATE(YEAR(J13),MONTH(J13)+N13,DAY(J13)-1)))</f>
        <v>0</v>
      </c>
      <c r="P13" s="208" t="e">
        <f t="shared" ref="P13:P28" si="13">MIN(IF(AND(DAY(J13)=31,DAY($B$7-1)=30),IF(J13=0,0,IF(O13&gt;($B$7-1),VALUE(DATEDIF(J13,MIN(($B$7-1),O13),"m"))+1,VALUE(DATEDIF(J13,MIN(($B$7-1),O13),"m")+2))),IF(J13=0,0,IF(O13&gt;($B$7-1),DATEDIF(J13,MIN(($B$7-1),O13),"m"),VALUE(DATEDIF(J13,MIN(($B$7-1),O13),"m")+1)))),N13)</f>
        <v>#NUM!</v>
      </c>
      <c r="Q13" s="208">
        <f t="shared" si="10"/>
        <v>0</v>
      </c>
      <c r="R13" s="208">
        <f t="shared" si="7"/>
        <v>0</v>
      </c>
      <c r="S13" s="208">
        <f t="shared" si="8"/>
        <v>0</v>
      </c>
      <c r="T13" s="208">
        <f t="shared" si="9"/>
        <v>0</v>
      </c>
      <c r="U13" s="208">
        <f t="shared" si="0"/>
        <v>0</v>
      </c>
      <c r="V13" s="208">
        <f t="shared" si="1"/>
        <v>0</v>
      </c>
      <c r="W13" s="208">
        <f t="shared" si="2"/>
        <v>0</v>
      </c>
      <c r="X13" s="208">
        <f t="shared" si="3"/>
        <v>0</v>
      </c>
      <c r="Y13" s="208">
        <f t="shared" si="4"/>
        <v>0</v>
      </c>
      <c r="Z13" s="208">
        <f t="shared" si="5"/>
        <v>0</v>
      </c>
      <c r="AA13" s="208">
        <f t="shared" si="6"/>
        <v>0</v>
      </c>
    </row>
    <row r="14" spans="1:29" s="42" customFormat="1" ht="19.95" customHeight="1">
      <c r="A14" s="216">
        <f>'明细表H1-2'!A18</f>
        <v>0</v>
      </c>
      <c r="B14" s="216">
        <f>'明细表H1-2'!B18</f>
        <v>0</v>
      </c>
      <c r="C14" s="216">
        <f>'明细表H1-2'!C18</f>
        <v>0</v>
      </c>
      <c r="D14" s="43"/>
      <c r="E14" s="208">
        <f>'明细表H1-2'!P18</f>
        <v>0</v>
      </c>
      <c r="F14" s="208">
        <f>'明细表H1-2'!AB18</f>
        <v>0</v>
      </c>
      <c r="G14" s="208">
        <f>'明细表H1-2'!AE18</f>
        <v>0</v>
      </c>
      <c r="H14" s="208">
        <f>'明细表H1-2'!AQ18</f>
        <v>0</v>
      </c>
      <c r="I14" s="208">
        <f>'明细表H1-2'!AT18</f>
        <v>0</v>
      </c>
      <c r="J14" s="40"/>
      <c r="K14" s="418"/>
      <c r="L14" s="41"/>
      <c r="M14" s="39"/>
      <c r="N14" s="420">
        <f t="shared" si="11"/>
        <v>0</v>
      </c>
      <c r="O14" s="207">
        <f t="shared" si="12"/>
        <v>0</v>
      </c>
      <c r="P14" s="208" t="e">
        <f>MIN(IF(AND(DAY(J14)=31,DAY($B$7-1)=30),IF(J14=0,0,IF(O14&gt;($B$7-1),VALUE(DATEDIF(J14,MIN(($B$7-1),O14),"m"))+1,VALUE(DATEDIF(J14,MIN(($B$7-1),O14),"m")+2))),IF(J14=0,0,IF(O14&gt;($B$7-1),DATEDIF(J14,MIN(($B$7-1),O14),"m"),VALUE(DATEDIF(J14,MIN(($B$7-1),O14),"m")+1)))),N14)</f>
        <v>#NUM!</v>
      </c>
      <c r="Q14" s="208">
        <f t="shared" si="10"/>
        <v>0</v>
      </c>
      <c r="R14" s="208">
        <f t="shared" si="7"/>
        <v>0</v>
      </c>
      <c r="S14" s="208">
        <f t="shared" si="8"/>
        <v>0</v>
      </c>
      <c r="T14" s="208">
        <f t="shared" si="9"/>
        <v>0</v>
      </c>
      <c r="U14" s="208">
        <f t="shared" si="0"/>
        <v>0</v>
      </c>
      <c r="V14" s="208">
        <f t="shared" si="1"/>
        <v>0</v>
      </c>
      <c r="W14" s="208">
        <f t="shared" si="2"/>
        <v>0</v>
      </c>
      <c r="X14" s="208">
        <f t="shared" si="3"/>
        <v>0</v>
      </c>
      <c r="Y14" s="208">
        <f t="shared" si="4"/>
        <v>0</v>
      </c>
      <c r="Z14" s="208">
        <f t="shared" si="5"/>
        <v>0</v>
      </c>
      <c r="AA14" s="208">
        <f t="shared" si="6"/>
        <v>0</v>
      </c>
    </row>
    <row r="15" spans="1:29" s="42" customFormat="1" ht="19.95" customHeight="1">
      <c r="A15" s="216">
        <f>'明细表H1-2'!A19</f>
        <v>0</v>
      </c>
      <c r="B15" s="216">
        <f>'明细表H1-2'!B19</f>
        <v>0</v>
      </c>
      <c r="C15" s="216">
        <f>'明细表H1-2'!C19</f>
        <v>0</v>
      </c>
      <c r="D15" s="43"/>
      <c r="E15" s="208">
        <f>'明细表H1-2'!P19</f>
        <v>0</v>
      </c>
      <c r="F15" s="208">
        <f>'明细表H1-2'!AB19</f>
        <v>0</v>
      </c>
      <c r="G15" s="208">
        <f>'明细表H1-2'!AE19</f>
        <v>0</v>
      </c>
      <c r="H15" s="208">
        <f>'明细表H1-2'!AQ19</f>
        <v>0</v>
      </c>
      <c r="I15" s="208">
        <f>'明细表H1-2'!AT19</f>
        <v>0</v>
      </c>
      <c r="J15" s="40"/>
      <c r="K15" s="418"/>
      <c r="L15" s="41"/>
      <c r="M15" s="39"/>
      <c r="N15" s="420">
        <f t="shared" si="11"/>
        <v>0</v>
      </c>
      <c r="O15" s="207">
        <f t="shared" si="12"/>
        <v>0</v>
      </c>
      <c r="P15" s="208" t="e">
        <f t="shared" si="13"/>
        <v>#NUM!</v>
      </c>
      <c r="Q15" s="208">
        <f t="shared" si="10"/>
        <v>0</v>
      </c>
      <c r="R15" s="208">
        <f t="shared" si="7"/>
        <v>0</v>
      </c>
      <c r="S15" s="208">
        <f t="shared" si="8"/>
        <v>0</v>
      </c>
      <c r="T15" s="208">
        <f t="shared" si="9"/>
        <v>0</v>
      </c>
      <c r="U15" s="208">
        <f t="shared" si="0"/>
        <v>0</v>
      </c>
      <c r="V15" s="208">
        <f t="shared" si="1"/>
        <v>0</v>
      </c>
      <c r="W15" s="208">
        <f t="shared" si="2"/>
        <v>0</v>
      </c>
      <c r="X15" s="208">
        <f t="shared" si="3"/>
        <v>0</v>
      </c>
      <c r="Y15" s="208">
        <f t="shared" si="4"/>
        <v>0</v>
      </c>
      <c r="Z15" s="208">
        <f t="shared" si="5"/>
        <v>0</v>
      </c>
      <c r="AA15" s="208">
        <f t="shared" si="6"/>
        <v>0</v>
      </c>
    </row>
    <row r="16" spans="1:29" s="42" customFormat="1" ht="19.95" customHeight="1">
      <c r="A16" s="216">
        <f>'明细表H1-2'!A20</f>
        <v>0</v>
      </c>
      <c r="B16" s="216">
        <f>'明细表H1-2'!B20</f>
        <v>0</v>
      </c>
      <c r="C16" s="216">
        <f>'明细表H1-2'!C20</f>
        <v>0</v>
      </c>
      <c r="D16" s="43"/>
      <c r="E16" s="208">
        <f>'明细表H1-2'!P20</f>
        <v>0</v>
      </c>
      <c r="F16" s="208">
        <f>'明细表H1-2'!AB20</f>
        <v>0</v>
      </c>
      <c r="G16" s="208">
        <f>'明细表H1-2'!AE20</f>
        <v>0</v>
      </c>
      <c r="H16" s="208">
        <f>'明细表H1-2'!AQ20</f>
        <v>0</v>
      </c>
      <c r="I16" s="208">
        <f>'明细表H1-2'!AT20</f>
        <v>0</v>
      </c>
      <c r="J16" s="40"/>
      <c r="K16" s="418"/>
      <c r="L16" s="41"/>
      <c r="M16" s="39"/>
      <c r="N16" s="420">
        <f t="shared" si="11"/>
        <v>0</v>
      </c>
      <c r="O16" s="207">
        <f t="shared" si="12"/>
        <v>0</v>
      </c>
      <c r="P16" s="208" t="e">
        <f t="shared" si="13"/>
        <v>#NUM!</v>
      </c>
      <c r="Q16" s="208">
        <f t="shared" si="10"/>
        <v>0</v>
      </c>
      <c r="R16" s="208">
        <f t="shared" si="7"/>
        <v>0</v>
      </c>
      <c r="S16" s="208">
        <f t="shared" si="8"/>
        <v>0</v>
      </c>
      <c r="T16" s="208">
        <f t="shared" si="9"/>
        <v>0</v>
      </c>
      <c r="U16" s="208">
        <f t="shared" si="0"/>
        <v>0</v>
      </c>
      <c r="V16" s="208">
        <f t="shared" si="1"/>
        <v>0</v>
      </c>
      <c r="W16" s="208">
        <f t="shared" si="2"/>
        <v>0</v>
      </c>
      <c r="X16" s="208">
        <f t="shared" si="3"/>
        <v>0</v>
      </c>
      <c r="Y16" s="208">
        <f t="shared" si="4"/>
        <v>0</v>
      </c>
      <c r="Z16" s="208">
        <f t="shared" si="5"/>
        <v>0</v>
      </c>
      <c r="AA16" s="208">
        <f t="shared" si="6"/>
        <v>0</v>
      </c>
    </row>
    <row r="17" spans="1:27" s="42" customFormat="1" ht="19.95" customHeight="1">
      <c r="A17" s="216">
        <f>'明细表H1-2'!A21</f>
        <v>0</v>
      </c>
      <c r="B17" s="216">
        <f>'明细表H1-2'!B21</f>
        <v>0</v>
      </c>
      <c r="C17" s="216">
        <f>'明细表H1-2'!C21</f>
        <v>0</v>
      </c>
      <c r="D17" s="43"/>
      <c r="E17" s="208">
        <f>'明细表H1-2'!P21</f>
        <v>0</v>
      </c>
      <c r="F17" s="208">
        <f>'明细表H1-2'!AB21</f>
        <v>0</v>
      </c>
      <c r="G17" s="208">
        <f>'明细表H1-2'!AE21</f>
        <v>0</v>
      </c>
      <c r="H17" s="208">
        <f>'明细表H1-2'!AQ21</f>
        <v>0</v>
      </c>
      <c r="I17" s="208">
        <f>'明细表H1-2'!AT21</f>
        <v>0</v>
      </c>
      <c r="J17" s="40"/>
      <c r="K17" s="418"/>
      <c r="L17" s="41"/>
      <c r="M17" s="39"/>
      <c r="N17" s="420">
        <f t="shared" si="11"/>
        <v>0</v>
      </c>
      <c r="O17" s="207">
        <f t="shared" si="12"/>
        <v>0</v>
      </c>
      <c r="P17" s="208" t="e">
        <f t="shared" si="13"/>
        <v>#NUM!</v>
      </c>
      <c r="Q17" s="208">
        <f t="shared" si="10"/>
        <v>0</v>
      </c>
      <c r="R17" s="208">
        <f t="shared" si="7"/>
        <v>0</v>
      </c>
      <c r="S17" s="208">
        <f t="shared" si="8"/>
        <v>0</v>
      </c>
      <c r="T17" s="208">
        <f t="shared" si="9"/>
        <v>0</v>
      </c>
      <c r="U17" s="208">
        <f t="shared" si="0"/>
        <v>0</v>
      </c>
      <c r="V17" s="208">
        <f t="shared" si="1"/>
        <v>0</v>
      </c>
      <c r="W17" s="208">
        <f t="shared" si="2"/>
        <v>0</v>
      </c>
      <c r="X17" s="208">
        <f t="shared" si="3"/>
        <v>0</v>
      </c>
      <c r="Y17" s="208">
        <f t="shared" si="4"/>
        <v>0</v>
      </c>
      <c r="Z17" s="208">
        <f t="shared" si="5"/>
        <v>0</v>
      </c>
      <c r="AA17" s="208">
        <f t="shared" si="6"/>
        <v>0</v>
      </c>
    </row>
    <row r="18" spans="1:27" s="42" customFormat="1" ht="19.95" customHeight="1">
      <c r="A18" s="216">
        <f>'明细表H1-2'!A22</f>
        <v>0</v>
      </c>
      <c r="B18" s="216">
        <f>'明细表H1-2'!B22</f>
        <v>0</v>
      </c>
      <c r="C18" s="216">
        <f>'明细表H1-2'!C22</f>
        <v>0</v>
      </c>
      <c r="D18" s="43"/>
      <c r="E18" s="208">
        <f>'明细表H1-2'!P22</f>
        <v>0</v>
      </c>
      <c r="F18" s="208">
        <f>'明细表H1-2'!AB22</f>
        <v>0</v>
      </c>
      <c r="G18" s="208">
        <f>'明细表H1-2'!AE22</f>
        <v>0</v>
      </c>
      <c r="H18" s="208">
        <f>'明细表H1-2'!AQ22</f>
        <v>0</v>
      </c>
      <c r="I18" s="208">
        <f>'明细表H1-2'!AT22</f>
        <v>0</v>
      </c>
      <c r="J18" s="40"/>
      <c r="K18" s="418"/>
      <c r="L18" s="41"/>
      <c r="M18" s="39"/>
      <c r="N18" s="420">
        <f t="shared" si="11"/>
        <v>0</v>
      </c>
      <c r="O18" s="207">
        <f t="shared" si="12"/>
        <v>0</v>
      </c>
      <c r="P18" s="208" t="e">
        <f t="shared" si="13"/>
        <v>#NUM!</v>
      </c>
      <c r="Q18" s="208">
        <f t="shared" si="10"/>
        <v>0</v>
      </c>
      <c r="R18" s="208">
        <f t="shared" si="7"/>
        <v>0</v>
      </c>
      <c r="S18" s="208">
        <f t="shared" si="8"/>
        <v>0</v>
      </c>
      <c r="T18" s="208">
        <f t="shared" si="9"/>
        <v>0</v>
      </c>
      <c r="U18" s="208">
        <f t="shared" si="0"/>
        <v>0</v>
      </c>
      <c r="V18" s="208">
        <f t="shared" si="1"/>
        <v>0</v>
      </c>
      <c r="W18" s="208">
        <f t="shared" si="2"/>
        <v>0</v>
      </c>
      <c r="X18" s="208">
        <f t="shared" si="3"/>
        <v>0</v>
      </c>
      <c r="Y18" s="208">
        <f t="shared" si="4"/>
        <v>0</v>
      </c>
      <c r="Z18" s="208">
        <f t="shared" si="5"/>
        <v>0</v>
      </c>
      <c r="AA18" s="208">
        <f t="shared" si="6"/>
        <v>0</v>
      </c>
    </row>
    <row r="19" spans="1:27" s="42" customFormat="1" ht="19.95" customHeight="1">
      <c r="A19" s="216">
        <f>'明细表H1-2'!A23</f>
        <v>0</v>
      </c>
      <c r="B19" s="216">
        <f>'明细表H1-2'!B23</f>
        <v>0</v>
      </c>
      <c r="C19" s="216">
        <f>'明细表H1-2'!C23</f>
        <v>0</v>
      </c>
      <c r="D19" s="43"/>
      <c r="E19" s="208">
        <f>'明细表H1-2'!P23</f>
        <v>0</v>
      </c>
      <c r="F19" s="208">
        <f>'明细表H1-2'!AB23</f>
        <v>0</v>
      </c>
      <c r="G19" s="208">
        <f>'明细表H1-2'!AE23</f>
        <v>0</v>
      </c>
      <c r="H19" s="208">
        <f>'明细表H1-2'!AQ23</f>
        <v>0</v>
      </c>
      <c r="I19" s="208">
        <f>'明细表H1-2'!AT23</f>
        <v>0</v>
      </c>
      <c r="J19" s="40"/>
      <c r="K19" s="418"/>
      <c r="L19" s="41"/>
      <c r="M19" s="39"/>
      <c r="N19" s="420">
        <f t="shared" si="11"/>
        <v>0</v>
      </c>
      <c r="O19" s="207">
        <f t="shared" si="12"/>
        <v>0</v>
      </c>
      <c r="P19" s="208" t="e">
        <f>MIN(IF(AND(DAY(J19)=31,DAY($B$7-1)=30),IF(J19=0,0,IF(O19&gt;($B$7-1),VALUE(DATEDIF(J19,MIN(($B$7-1),O19),"m"))+1,VALUE(DATEDIF(J19,MIN(($B$7-1),O19),"m")+2))),IF(J19=0,0,IF(O19&gt;($B$7-1),DATEDIF(J19,MIN(($B$7-1),O19),"m"),VALUE(DATEDIF(J19,MIN(($B$7-1),O19),"m")+1)))),N19)</f>
        <v>#NUM!</v>
      </c>
      <c r="Q19" s="208">
        <f>MIN(IF(AND(DAY(J19)=31,DAY($D$7)=30),IF(J19=0,0,IF(O19&gt;$D$7,VALUE(DATEDIF(J19,MIN($D$7,O19),"m"))+1,VALUE(DATEDIF(J19,MIN($D$7,O19),"m")+2))),IF(J19=0,0,IF(O19&gt;$D$7,DATEDIF(J19,MIN($D$7,O19),"m"),VALUE(DATEDIF(J19,MIN($D$7,O19),"m")+1)))),N19)</f>
        <v>0</v>
      </c>
      <c r="R19" s="208">
        <f>IF(OR(J19=0,O19&lt;$B$7),0,IF(AND(J19&lt;$B$7,O19&gt;$D$7),VALUE(DATEDIF($B$7,$D$7,"m")+1),IF(AND(J19&lt;$B$7,O19&lt;=$D$7),VALUE(DATEDIF($B$7,O19,"m")+1),IF(AND(J19&gt;=$B$7,O19&gt;$D$7),VALUE(DATEDIF(J19,$D$7,"m")),IF(AND(J19&gt;=$B$7,O19&lt;=$D$7),VALUE(DATEDIF(J19,O19,"m")+1),)))))</f>
        <v>0</v>
      </c>
      <c r="S19" s="208">
        <f>IF(AND(YEAR(J19)=YEAR($D$7),DAY(J19)=31,DAY($D$7)=30),IF(J19&gt;$F$7,0,R19-T19+1),IF(J19&gt;$F$7,0,R19-T19))</f>
        <v>0</v>
      </c>
      <c r="T19" s="208">
        <f>IF(AND(DAY($F$7)=31,DAY($D$7)=30),IF(J19=0,0,IF($F$7&lt;$B$7,R19,VALUE(DATEDIF(MAX(J19,$F$7),MIN(O19,$D$7),"m")))+1),IF(J19=0,0,IF($F$7&lt;$B$7,R19,DATEDIF(MAX(J19,$F$7),MIN(O19,$D$7),"m"))))</f>
        <v>0</v>
      </c>
      <c r="U19" s="208">
        <f t="shared" si="0"/>
        <v>0</v>
      </c>
      <c r="V19" s="208">
        <f t="shared" si="1"/>
        <v>0</v>
      </c>
      <c r="W19" s="208">
        <f t="shared" si="2"/>
        <v>0</v>
      </c>
      <c r="X19" s="208">
        <f t="shared" si="3"/>
        <v>0</v>
      </c>
      <c r="Y19" s="208">
        <f t="shared" si="4"/>
        <v>0</v>
      </c>
      <c r="Z19" s="208">
        <f t="shared" si="5"/>
        <v>0</v>
      </c>
      <c r="AA19" s="208">
        <f t="shared" si="6"/>
        <v>0</v>
      </c>
    </row>
    <row r="20" spans="1:27" s="42" customFormat="1" ht="19.95" customHeight="1">
      <c r="A20" s="216">
        <f>'明细表H1-2'!A24</f>
        <v>0</v>
      </c>
      <c r="B20" s="216">
        <f>'明细表H1-2'!B24</f>
        <v>0</v>
      </c>
      <c r="C20" s="216">
        <f>'明细表H1-2'!C24</f>
        <v>0</v>
      </c>
      <c r="D20" s="43"/>
      <c r="E20" s="208">
        <f>'明细表H1-2'!P24</f>
        <v>0</v>
      </c>
      <c r="F20" s="208">
        <f>'明细表H1-2'!AB24</f>
        <v>0</v>
      </c>
      <c r="G20" s="208">
        <f>'明细表H1-2'!AE24</f>
        <v>0</v>
      </c>
      <c r="H20" s="208">
        <f>'明细表H1-2'!AQ24</f>
        <v>0</v>
      </c>
      <c r="I20" s="208">
        <f>'明细表H1-2'!AT24</f>
        <v>0</v>
      </c>
      <c r="J20" s="40"/>
      <c r="K20" s="418"/>
      <c r="L20" s="41"/>
      <c r="M20" s="39"/>
      <c r="N20" s="420">
        <f t="shared" si="11"/>
        <v>0</v>
      </c>
      <c r="O20" s="207">
        <f t="shared" si="12"/>
        <v>0</v>
      </c>
      <c r="P20" s="208" t="e">
        <f t="shared" si="13"/>
        <v>#NUM!</v>
      </c>
      <c r="Q20" s="208">
        <f t="shared" ref="Q20:Q28" si="14">MIN(IF(AND(DAY(J20)=31,DAY($D$7)=30),IF(J20=0,0,IF(O20&gt;$D$7,VALUE(DATEDIF(J20,MIN($D$7,O20),"m"))+1,VALUE(DATEDIF(J20,MIN($D$7,O20),"m")+2))),IF(J20=0,0,IF(O20&gt;$D$7,DATEDIF(J20,MIN($D$7,O20),"m"),VALUE(DATEDIF(J20,MIN($D$7,O20),"m")+1)))),N20)</f>
        <v>0</v>
      </c>
      <c r="R20" s="208">
        <f t="shared" ref="R20:R28" si="15">IF(OR(J20=0,O20&lt;$B$7),0,IF(AND(J20&lt;$B$7,O20&gt;$D$7),VALUE(DATEDIF($B$7,$D$7,"m")+1),IF(AND(J20&lt;$B$7,O20&lt;=$D$7),VALUE(DATEDIF($B$7,O20,"m")+1),IF(AND(J20&gt;=$B$7,O20&gt;$D$7),VALUE(DATEDIF(J20,$D$7,"m")),IF(AND(J20&gt;=$B$7,O20&lt;=$D$7),VALUE(DATEDIF(J20,O20,"m")+1),)))))</f>
        <v>0</v>
      </c>
      <c r="S20" s="208">
        <f t="shared" ref="S20:S28" si="16">IF(AND(YEAR(J20)=YEAR($D$7),DAY(J20)=31,DAY($D$7)=30),IF(J20&gt;$F$7,0,R20-T20+1),IF(J20&gt;$F$7,0,R20-T20))</f>
        <v>0</v>
      </c>
      <c r="T20" s="208">
        <f t="shared" ref="T20:T28" si="17">IF(AND(DAY($F$7)=31,DAY($D$7)=30),IF(J20=0,0,IF($F$7&lt;$B$7,R20,VALUE(DATEDIF(MAX(J20,$F$7),MIN(O20,$D$7),"m")))+1),IF(J20=0,0,IF($F$7&lt;$B$7,R20,DATEDIF(MAX(J20,$F$7),MIN(O20,$D$7),"m"))))</f>
        <v>0</v>
      </c>
      <c r="U20" s="208">
        <f t="shared" si="0"/>
        <v>0</v>
      </c>
      <c r="V20" s="208">
        <f t="shared" si="1"/>
        <v>0</v>
      </c>
      <c r="W20" s="208">
        <f t="shared" si="2"/>
        <v>0</v>
      </c>
      <c r="X20" s="208">
        <f t="shared" si="3"/>
        <v>0</v>
      </c>
      <c r="Y20" s="208">
        <f t="shared" si="4"/>
        <v>0</v>
      </c>
      <c r="Z20" s="208">
        <f t="shared" si="5"/>
        <v>0</v>
      </c>
      <c r="AA20" s="208">
        <f t="shared" si="6"/>
        <v>0</v>
      </c>
    </row>
    <row r="21" spans="1:27" s="42" customFormat="1" ht="19.95" customHeight="1">
      <c r="A21" s="216">
        <f>'明细表H1-2'!A25</f>
        <v>0</v>
      </c>
      <c r="B21" s="216">
        <f>'明细表H1-2'!B25</f>
        <v>0</v>
      </c>
      <c r="C21" s="216">
        <f>'明细表H1-2'!C25</f>
        <v>0</v>
      </c>
      <c r="D21" s="43"/>
      <c r="E21" s="208">
        <f>'明细表H1-2'!P25</f>
        <v>0</v>
      </c>
      <c r="F21" s="208">
        <f>'明细表H1-2'!AB25</f>
        <v>0</v>
      </c>
      <c r="G21" s="208">
        <f>'明细表H1-2'!AE25</f>
        <v>0</v>
      </c>
      <c r="H21" s="208">
        <f>'明细表H1-2'!AQ25</f>
        <v>0</v>
      </c>
      <c r="I21" s="208">
        <f>'明细表H1-2'!AT25</f>
        <v>0</v>
      </c>
      <c r="J21" s="40"/>
      <c r="K21" s="418"/>
      <c r="L21" s="41"/>
      <c r="M21" s="39"/>
      <c r="N21" s="420">
        <f t="shared" si="11"/>
        <v>0</v>
      </c>
      <c r="O21" s="207">
        <f t="shared" si="12"/>
        <v>0</v>
      </c>
      <c r="P21" s="208" t="e">
        <f t="shared" si="13"/>
        <v>#NUM!</v>
      </c>
      <c r="Q21" s="208">
        <f t="shared" si="14"/>
        <v>0</v>
      </c>
      <c r="R21" s="208">
        <f t="shared" si="15"/>
        <v>0</v>
      </c>
      <c r="S21" s="208">
        <f t="shared" si="16"/>
        <v>0</v>
      </c>
      <c r="T21" s="208">
        <f t="shared" si="17"/>
        <v>0</v>
      </c>
      <c r="U21" s="208">
        <f t="shared" si="0"/>
        <v>0</v>
      </c>
      <c r="V21" s="208">
        <f t="shared" si="1"/>
        <v>0</v>
      </c>
      <c r="W21" s="208">
        <f t="shared" si="2"/>
        <v>0</v>
      </c>
      <c r="X21" s="208">
        <f t="shared" si="3"/>
        <v>0</v>
      </c>
      <c r="Y21" s="208">
        <f t="shared" si="4"/>
        <v>0</v>
      </c>
      <c r="Z21" s="208">
        <f t="shared" si="5"/>
        <v>0</v>
      </c>
      <c r="AA21" s="208">
        <f t="shared" si="6"/>
        <v>0</v>
      </c>
    </row>
    <row r="22" spans="1:27" s="42" customFormat="1" ht="19.95" customHeight="1">
      <c r="A22" s="216">
        <f>'明细表H1-2'!A26</f>
        <v>0</v>
      </c>
      <c r="B22" s="216">
        <f>'明细表H1-2'!B26</f>
        <v>0</v>
      </c>
      <c r="C22" s="216">
        <f>'明细表H1-2'!C26</f>
        <v>0</v>
      </c>
      <c r="D22" s="43"/>
      <c r="E22" s="208">
        <f>'明细表H1-2'!P26</f>
        <v>0</v>
      </c>
      <c r="F22" s="208">
        <f>'明细表H1-2'!AB26</f>
        <v>0</v>
      </c>
      <c r="G22" s="208">
        <f>'明细表H1-2'!AE26</f>
        <v>0</v>
      </c>
      <c r="H22" s="208">
        <f>'明细表H1-2'!AQ26</f>
        <v>0</v>
      </c>
      <c r="I22" s="208">
        <f>'明细表H1-2'!AT26</f>
        <v>0</v>
      </c>
      <c r="J22" s="40"/>
      <c r="K22" s="418"/>
      <c r="L22" s="41"/>
      <c r="M22" s="39"/>
      <c r="N22" s="420">
        <f t="shared" si="11"/>
        <v>0</v>
      </c>
      <c r="O22" s="207">
        <f t="shared" si="12"/>
        <v>0</v>
      </c>
      <c r="P22" s="208" t="e">
        <f t="shared" si="13"/>
        <v>#NUM!</v>
      </c>
      <c r="Q22" s="208">
        <f t="shared" si="14"/>
        <v>0</v>
      </c>
      <c r="R22" s="208">
        <f t="shared" si="15"/>
        <v>0</v>
      </c>
      <c r="S22" s="208">
        <f t="shared" si="16"/>
        <v>0</v>
      </c>
      <c r="T22" s="208">
        <f t="shared" si="17"/>
        <v>0</v>
      </c>
      <c r="U22" s="208">
        <f t="shared" si="0"/>
        <v>0</v>
      </c>
      <c r="V22" s="208">
        <f t="shared" si="1"/>
        <v>0</v>
      </c>
      <c r="W22" s="208">
        <f t="shared" si="2"/>
        <v>0</v>
      </c>
      <c r="X22" s="208">
        <f t="shared" si="3"/>
        <v>0</v>
      </c>
      <c r="Y22" s="208">
        <f t="shared" si="4"/>
        <v>0</v>
      </c>
      <c r="Z22" s="208">
        <f t="shared" si="5"/>
        <v>0</v>
      </c>
      <c r="AA22" s="208">
        <f t="shared" si="6"/>
        <v>0</v>
      </c>
    </row>
    <row r="23" spans="1:27" s="42" customFormat="1" ht="19.95" customHeight="1">
      <c r="A23" s="216">
        <f>'明细表H1-2'!A27</f>
        <v>0</v>
      </c>
      <c r="B23" s="216">
        <f>'明细表H1-2'!B27</f>
        <v>0</v>
      </c>
      <c r="C23" s="216">
        <f>'明细表H1-2'!C27</f>
        <v>0</v>
      </c>
      <c r="D23" s="43"/>
      <c r="E23" s="208">
        <f>'明细表H1-2'!P27</f>
        <v>0</v>
      </c>
      <c r="F23" s="208">
        <f>'明细表H1-2'!AB27</f>
        <v>0</v>
      </c>
      <c r="G23" s="208">
        <f>'明细表H1-2'!AE27</f>
        <v>0</v>
      </c>
      <c r="H23" s="208">
        <f>'明细表H1-2'!AQ27</f>
        <v>0</v>
      </c>
      <c r="I23" s="208">
        <f>'明细表H1-2'!AT27</f>
        <v>0</v>
      </c>
      <c r="J23" s="40"/>
      <c r="K23" s="418"/>
      <c r="L23" s="41"/>
      <c r="M23" s="39"/>
      <c r="N23" s="420">
        <f t="shared" si="11"/>
        <v>0</v>
      </c>
      <c r="O23" s="207">
        <f t="shared" si="12"/>
        <v>0</v>
      </c>
      <c r="P23" s="208" t="e">
        <f t="shared" si="13"/>
        <v>#NUM!</v>
      </c>
      <c r="Q23" s="208">
        <f t="shared" si="14"/>
        <v>0</v>
      </c>
      <c r="R23" s="208">
        <f t="shared" si="15"/>
        <v>0</v>
      </c>
      <c r="S23" s="208">
        <f t="shared" si="16"/>
        <v>0</v>
      </c>
      <c r="T23" s="208">
        <f t="shared" si="17"/>
        <v>0</v>
      </c>
      <c r="U23" s="208">
        <f t="shared" si="0"/>
        <v>0</v>
      </c>
      <c r="V23" s="208">
        <f t="shared" si="1"/>
        <v>0</v>
      </c>
      <c r="W23" s="208">
        <f t="shared" si="2"/>
        <v>0</v>
      </c>
      <c r="X23" s="208">
        <f t="shared" si="3"/>
        <v>0</v>
      </c>
      <c r="Y23" s="208">
        <f t="shared" si="4"/>
        <v>0</v>
      </c>
      <c r="Z23" s="208">
        <f t="shared" si="5"/>
        <v>0</v>
      </c>
      <c r="AA23" s="208">
        <f t="shared" si="6"/>
        <v>0</v>
      </c>
    </row>
    <row r="24" spans="1:27" s="42" customFormat="1" ht="19.95" customHeight="1">
      <c r="A24" s="216">
        <f>'明细表H1-2'!A28</f>
        <v>0</v>
      </c>
      <c r="B24" s="216">
        <f>'明细表H1-2'!B28</f>
        <v>0</v>
      </c>
      <c r="C24" s="216">
        <f>'明细表H1-2'!C28</f>
        <v>0</v>
      </c>
      <c r="D24" s="43"/>
      <c r="E24" s="208">
        <f>'明细表H1-2'!P28</f>
        <v>0</v>
      </c>
      <c r="F24" s="208">
        <f>'明细表H1-2'!AB28</f>
        <v>0</v>
      </c>
      <c r="G24" s="208">
        <f>'明细表H1-2'!AE28</f>
        <v>0</v>
      </c>
      <c r="H24" s="208">
        <f>'明细表H1-2'!AQ28</f>
        <v>0</v>
      </c>
      <c r="I24" s="208">
        <f>'明细表H1-2'!AT28</f>
        <v>0</v>
      </c>
      <c r="J24" s="40"/>
      <c r="K24" s="418"/>
      <c r="L24" s="41"/>
      <c r="M24" s="39"/>
      <c r="N24" s="420">
        <f>IF(K24=0,0,IF(RIGHT(K24,1)&lt;&gt;"年",K24*12,IF(LEN(K24)=3,VALUE(LEFT(K24,2))*12,IF(LEN(K24)=2,VALUE(LEFT(K24,1))*12,"??"))))</f>
        <v>0</v>
      </c>
      <c r="O24" s="207">
        <f>IF(DAY(J24)=1,IF(J24=0,0,DATE(YEAR(J24),MONTH(J24)+N24,DAY(J24))),IF(J24=0,0,DATE(YEAR(J24),MONTH(J24)+N24,DAY(J24)-1)))</f>
        <v>0</v>
      </c>
      <c r="P24" s="208" t="e">
        <f>MIN(IF(AND(DAY(J24)=31,DAY($B$7-1)=30),IF(J24=0,0,IF(O24&gt;($B$7-1),VALUE(DATEDIF(J24,MIN(($B$7-1),O24),"m"))+1,VALUE(DATEDIF(J24,MIN(($B$7-1),O24),"m")+2))),IF(J24=0,0,IF(O24&gt;($B$7-1),DATEDIF(J24,MIN(($B$7-1),O24),"m"),VALUE(DATEDIF(J24,MIN(($B$7-1),O24),"m")+1)))),N24)</f>
        <v>#NUM!</v>
      </c>
      <c r="Q24" s="208">
        <f t="shared" si="14"/>
        <v>0</v>
      </c>
      <c r="R24" s="208">
        <f t="shared" si="15"/>
        <v>0</v>
      </c>
      <c r="S24" s="208">
        <f t="shared" si="16"/>
        <v>0</v>
      </c>
      <c r="T24" s="208">
        <f t="shared" si="17"/>
        <v>0</v>
      </c>
      <c r="U24" s="208">
        <f t="shared" si="0"/>
        <v>0</v>
      </c>
      <c r="V24" s="208">
        <f t="shared" si="1"/>
        <v>0</v>
      </c>
      <c r="W24" s="208">
        <f t="shared" si="2"/>
        <v>0</v>
      </c>
      <c r="X24" s="208">
        <f t="shared" si="3"/>
        <v>0</v>
      </c>
      <c r="Y24" s="208">
        <f t="shared" si="4"/>
        <v>0</v>
      </c>
      <c r="Z24" s="208">
        <f t="shared" si="5"/>
        <v>0</v>
      </c>
      <c r="AA24" s="208">
        <f t="shared" si="6"/>
        <v>0</v>
      </c>
    </row>
    <row r="25" spans="1:27" s="42" customFormat="1" ht="19.95" customHeight="1">
      <c r="A25" s="216">
        <f>'明细表H1-2'!A29</f>
        <v>0</v>
      </c>
      <c r="B25" s="216">
        <f>'明细表H1-2'!B29</f>
        <v>0</v>
      </c>
      <c r="C25" s="216">
        <f>'明细表H1-2'!C29</f>
        <v>0</v>
      </c>
      <c r="D25" s="43"/>
      <c r="E25" s="208">
        <f>'明细表H1-2'!P29</f>
        <v>0</v>
      </c>
      <c r="F25" s="208">
        <f>'明细表H1-2'!AB29</f>
        <v>0</v>
      </c>
      <c r="G25" s="208">
        <f>'明细表H1-2'!AE29</f>
        <v>0</v>
      </c>
      <c r="H25" s="208">
        <f>'明细表H1-2'!AQ29</f>
        <v>0</v>
      </c>
      <c r="I25" s="208">
        <f>'明细表H1-2'!AT29</f>
        <v>0</v>
      </c>
      <c r="J25" s="40"/>
      <c r="K25" s="418"/>
      <c r="L25" s="41"/>
      <c r="M25" s="39"/>
      <c r="N25" s="420">
        <f t="shared" si="11"/>
        <v>0</v>
      </c>
      <c r="O25" s="207">
        <f t="shared" si="12"/>
        <v>0</v>
      </c>
      <c r="P25" s="208" t="e">
        <f t="shared" si="13"/>
        <v>#NUM!</v>
      </c>
      <c r="Q25" s="208">
        <f t="shared" si="14"/>
        <v>0</v>
      </c>
      <c r="R25" s="208">
        <f t="shared" si="15"/>
        <v>0</v>
      </c>
      <c r="S25" s="208">
        <f t="shared" si="16"/>
        <v>0</v>
      </c>
      <c r="T25" s="208">
        <f t="shared" si="17"/>
        <v>0</v>
      </c>
      <c r="U25" s="208">
        <f t="shared" si="0"/>
        <v>0</v>
      </c>
      <c r="V25" s="208">
        <f t="shared" si="1"/>
        <v>0</v>
      </c>
      <c r="W25" s="208">
        <f t="shared" si="2"/>
        <v>0</v>
      </c>
      <c r="X25" s="208">
        <f t="shared" si="3"/>
        <v>0</v>
      </c>
      <c r="Y25" s="208">
        <f t="shared" si="4"/>
        <v>0</v>
      </c>
      <c r="Z25" s="208">
        <f t="shared" si="5"/>
        <v>0</v>
      </c>
      <c r="AA25" s="208">
        <f t="shared" si="6"/>
        <v>0</v>
      </c>
    </row>
    <row r="26" spans="1:27" s="42" customFormat="1" ht="19.95" customHeight="1">
      <c r="A26" s="216">
        <f>'明细表H1-2'!A30</f>
        <v>0</v>
      </c>
      <c r="B26" s="216">
        <f>'明细表H1-2'!B30</f>
        <v>0</v>
      </c>
      <c r="C26" s="216">
        <f>'明细表H1-2'!C30</f>
        <v>0</v>
      </c>
      <c r="D26" s="43"/>
      <c r="E26" s="208">
        <f>'明细表H1-2'!P30</f>
        <v>0</v>
      </c>
      <c r="F26" s="208">
        <f>'明细表H1-2'!AB30</f>
        <v>0</v>
      </c>
      <c r="G26" s="208">
        <f>'明细表H1-2'!AE30</f>
        <v>0</v>
      </c>
      <c r="H26" s="208">
        <f>'明细表H1-2'!AQ30</f>
        <v>0</v>
      </c>
      <c r="I26" s="208">
        <f>'明细表H1-2'!AT30</f>
        <v>0</v>
      </c>
      <c r="J26" s="40"/>
      <c r="K26" s="418"/>
      <c r="L26" s="41"/>
      <c r="M26" s="39"/>
      <c r="N26" s="420">
        <f t="shared" si="11"/>
        <v>0</v>
      </c>
      <c r="O26" s="207">
        <f t="shared" si="12"/>
        <v>0</v>
      </c>
      <c r="P26" s="208" t="e">
        <f t="shared" si="13"/>
        <v>#NUM!</v>
      </c>
      <c r="Q26" s="208">
        <f t="shared" si="14"/>
        <v>0</v>
      </c>
      <c r="R26" s="208">
        <f t="shared" si="15"/>
        <v>0</v>
      </c>
      <c r="S26" s="208">
        <f t="shared" si="16"/>
        <v>0</v>
      </c>
      <c r="T26" s="208">
        <f t="shared" si="17"/>
        <v>0</v>
      </c>
      <c r="U26" s="208">
        <f t="shared" si="0"/>
        <v>0</v>
      </c>
      <c r="V26" s="208">
        <f t="shared" si="1"/>
        <v>0</v>
      </c>
      <c r="W26" s="208">
        <f t="shared" si="2"/>
        <v>0</v>
      </c>
      <c r="X26" s="208">
        <f t="shared" si="3"/>
        <v>0</v>
      </c>
      <c r="Y26" s="208">
        <f t="shared" si="4"/>
        <v>0</v>
      </c>
      <c r="Z26" s="208">
        <f t="shared" si="5"/>
        <v>0</v>
      </c>
      <c r="AA26" s="208">
        <f t="shared" si="6"/>
        <v>0</v>
      </c>
    </row>
    <row r="27" spans="1:27" s="42" customFormat="1" ht="19.95" customHeight="1">
      <c r="A27" s="216">
        <f>'明细表H1-2'!A31</f>
        <v>0</v>
      </c>
      <c r="B27" s="216">
        <f>'明细表H1-2'!B31</f>
        <v>0</v>
      </c>
      <c r="C27" s="216">
        <f>'明细表H1-2'!C31</f>
        <v>0</v>
      </c>
      <c r="D27" s="43"/>
      <c r="E27" s="208">
        <f>'明细表H1-2'!P31</f>
        <v>0</v>
      </c>
      <c r="F27" s="208">
        <f>'明细表H1-2'!AB31</f>
        <v>0</v>
      </c>
      <c r="G27" s="208">
        <f>'明细表H1-2'!AE31</f>
        <v>0</v>
      </c>
      <c r="H27" s="208">
        <f>'明细表H1-2'!AQ31</f>
        <v>0</v>
      </c>
      <c r="I27" s="208">
        <f>'明细表H1-2'!AT31</f>
        <v>0</v>
      </c>
      <c r="J27" s="40"/>
      <c r="K27" s="418"/>
      <c r="L27" s="41"/>
      <c r="M27" s="39"/>
      <c r="N27" s="420">
        <f t="shared" si="11"/>
        <v>0</v>
      </c>
      <c r="O27" s="207">
        <f t="shared" si="12"/>
        <v>0</v>
      </c>
      <c r="P27" s="208" t="e">
        <f t="shared" si="13"/>
        <v>#NUM!</v>
      </c>
      <c r="Q27" s="208">
        <f t="shared" si="14"/>
        <v>0</v>
      </c>
      <c r="R27" s="208">
        <f t="shared" si="15"/>
        <v>0</v>
      </c>
      <c r="S27" s="208">
        <f t="shared" si="16"/>
        <v>0</v>
      </c>
      <c r="T27" s="208">
        <f t="shared" si="17"/>
        <v>0</v>
      </c>
      <c r="U27" s="208">
        <f t="shared" si="0"/>
        <v>0</v>
      </c>
      <c r="V27" s="208">
        <f t="shared" si="1"/>
        <v>0</v>
      </c>
      <c r="W27" s="208">
        <f t="shared" si="2"/>
        <v>0</v>
      </c>
      <c r="X27" s="208">
        <f t="shared" si="3"/>
        <v>0</v>
      </c>
      <c r="Y27" s="208">
        <f t="shared" si="4"/>
        <v>0</v>
      </c>
      <c r="Z27" s="208">
        <f t="shared" si="5"/>
        <v>0</v>
      </c>
      <c r="AA27" s="208">
        <f t="shared" si="6"/>
        <v>0</v>
      </c>
    </row>
    <row r="28" spans="1:27" s="42" customFormat="1" ht="19.95" customHeight="1">
      <c r="A28" s="216">
        <f>'明细表H1-2'!A32</f>
        <v>0</v>
      </c>
      <c r="B28" s="216">
        <f>'明细表H1-2'!B32</f>
        <v>0</v>
      </c>
      <c r="C28" s="216">
        <f>'明细表H1-2'!C32</f>
        <v>0</v>
      </c>
      <c r="D28" s="43"/>
      <c r="E28" s="208">
        <f>'明细表H1-2'!P32</f>
        <v>0</v>
      </c>
      <c r="F28" s="208">
        <f>'明细表H1-2'!AB32</f>
        <v>0</v>
      </c>
      <c r="G28" s="208">
        <f>'明细表H1-2'!AE32</f>
        <v>0</v>
      </c>
      <c r="H28" s="208">
        <f>'明细表H1-2'!AQ32</f>
        <v>0</v>
      </c>
      <c r="I28" s="208">
        <f>'明细表H1-2'!AT32</f>
        <v>0</v>
      </c>
      <c r="J28" s="40"/>
      <c r="K28" s="418"/>
      <c r="L28" s="41"/>
      <c r="M28" s="39"/>
      <c r="N28" s="420">
        <f t="shared" si="11"/>
        <v>0</v>
      </c>
      <c r="O28" s="207">
        <f t="shared" si="12"/>
        <v>0</v>
      </c>
      <c r="P28" s="208" t="e">
        <f t="shared" si="13"/>
        <v>#NUM!</v>
      </c>
      <c r="Q28" s="208">
        <f t="shared" si="14"/>
        <v>0</v>
      </c>
      <c r="R28" s="208">
        <f t="shared" si="15"/>
        <v>0</v>
      </c>
      <c r="S28" s="208">
        <f t="shared" si="16"/>
        <v>0</v>
      </c>
      <c r="T28" s="208">
        <f t="shared" si="17"/>
        <v>0</v>
      </c>
      <c r="U28" s="208">
        <f t="shared" si="0"/>
        <v>0</v>
      </c>
      <c r="V28" s="208">
        <f t="shared" si="1"/>
        <v>0</v>
      </c>
      <c r="W28" s="208">
        <f t="shared" si="2"/>
        <v>0</v>
      </c>
      <c r="X28" s="208">
        <f t="shared" si="3"/>
        <v>0</v>
      </c>
      <c r="Y28" s="208">
        <f t="shared" si="4"/>
        <v>0</v>
      </c>
      <c r="Z28" s="208">
        <f t="shared" si="5"/>
        <v>0</v>
      </c>
      <c r="AA28" s="208">
        <f t="shared" si="6"/>
        <v>0</v>
      </c>
    </row>
    <row r="29" spans="1:27" s="26" customFormat="1" ht="19.95" customHeight="1">
      <c r="A29" s="811" t="s">
        <v>411</v>
      </c>
      <c r="B29" s="812"/>
      <c r="C29" s="812"/>
      <c r="D29" s="813"/>
      <c r="E29" s="206">
        <f>SUM(E9:E28)</f>
        <v>0</v>
      </c>
      <c r="F29" s="206">
        <f>SUM(F9:F28)</f>
        <v>0</v>
      </c>
      <c r="G29" s="206">
        <f>SUM(G9:G28)</f>
        <v>0</v>
      </c>
      <c r="H29" s="206">
        <f>SUM(H9:H28)</f>
        <v>0</v>
      </c>
      <c r="I29" s="206">
        <f>SUM(I9:I28)</f>
        <v>0</v>
      </c>
      <c r="J29" s="478"/>
      <c r="K29" s="479"/>
      <c r="L29" s="480"/>
      <c r="M29" s="481"/>
      <c r="N29" s="482"/>
      <c r="O29" s="482">
        <f>IF(J29=0,0,DATE(YEAR(J29),MONTH(J29)+N29,DAY(J29)-1))</f>
        <v>0</v>
      </c>
      <c r="P29" s="482"/>
      <c r="Q29" s="662"/>
      <c r="R29" s="662"/>
      <c r="S29" s="663"/>
      <c r="T29" s="663"/>
      <c r="U29" s="206">
        <f t="shared" ref="U29:AA29" si="18">SUM(U9:U28)</f>
        <v>0</v>
      </c>
      <c r="V29" s="206">
        <f t="shared" si="18"/>
        <v>0</v>
      </c>
      <c r="W29" s="206">
        <f t="shared" si="18"/>
        <v>0</v>
      </c>
      <c r="X29" s="206">
        <f t="shared" si="18"/>
        <v>0</v>
      </c>
      <c r="Y29" s="206">
        <f t="shared" si="18"/>
        <v>0</v>
      </c>
      <c r="Z29" s="206">
        <f t="shared" si="18"/>
        <v>0</v>
      </c>
      <c r="AA29" s="206">
        <f t="shared" si="18"/>
        <v>0</v>
      </c>
    </row>
    <row r="30" spans="1:27" s="26" customFormat="1" ht="19.95" customHeight="1">
      <c r="A30" s="808" t="str">
        <f>'明细表H1-2'!A34</f>
        <v>其中：</v>
      </c>
      <c r="B30" s="809"/>
      <c r="C30" s="809"/>
      <c r="D30" s="810"/>
      <c r="E30" s="206"/>
      <c r="F30" s="206"/>
      <c r="G30" s="206"/>
      <c r="H30" s="206"/>
      <c r="I30" s="206"/>
      <c r="J30" s="478"/>
      <c r="K30" s="479"/>
      <c r="L30" s="480"/>
      <c r="M30" s="481"/>
      <c r="N30" s="482"/>
      <c r="O30" s="482"/>
      <c r="P30" s="482"/>
      <c r="Q30" s="662"/>
      <c r="R30" s="662"/>
      <c r="S30" s="663"/>
      <c r="T30" s="663"/>
      <c r="U30" s="663"/>
      <c r="V30" s="663"/>
      <c r="W30" s="663"/>
      <c r="X30" s="663"/>
      <c r="Y30" s="663"/>
      <c r="Z30" s="663"/>
      <c r="AA30" s="663"/>
    </row>
    <row r="31" spans="1:27" s="26" customFormat="1" ht="19.95" customHeight="1">
      <c r="A31" s="808" t="str">
        <f>'明细表H1-2'!A35</f>
        <v>房屋及建筑物</v>
      </c>
      <c r="B31" s="809"/>
      <c r="C31" s="809"/>
      <c r="D31" s="810"/>
      <c r="E31" s="206">
        <f t="shared" ref="E31:I35" si="19">SUMPRODUCT(($A$9:$A$28=$A31)*(E$9:E$28))</f>
        <v>0</v>
      </c>
      <c r="F31" s="206">
        <f t="shared" si="19"/>
        <v>0</v>
      </c>
      <c r="G31" s="206">
        <f t="shared" si="19"/>
        <v>0</v>
      </c>
      <c r="H31" s="206">
        <f t="shared" si="19"/>
        <v>0</v>
      </c>
      <c r="I31" s="206">
        <f t="shared" si="19"/>
        <v>0</v>
      </c>
      <c r="J31" s="478"/>
      <c r="K31" s="479"/>
      <c r="L31" s="480"/>
      <c r="M31" s="481"/>
      <c r="N31" s="482"/>
      <c r="O31" s="482"/>
      <c r="P31" s="482"/>
      <c r="Q31" s="662"/>
      <c r="R31" s="662"/>
      <c r="S31" s="663"/>
      <c r="T31" s="663"/>
      <c r="U31" s="206">
        <f t="shared" ref="U31:Z35" si="20">SUMPRODUCT(($A$9:$A$28=$A31)*(U$9:U$28))</f>
        <v>0</v>
      </c>
      <c r="V31" s="206">
        <f t="shared" si="20"/>
        <v>0</v>
      </c>
      <c r="W31" s="206">
        <f t="shared" si="20"/>
        <v>0</v>
      </c>
      <c r="X31" s="206">
        <f t="shared" si="20"/>
        <v>0</v>
      </c>
      <c r="Y31" s="206">
        <f t="shared" si="20"/>
        <v>0</v>
      </c>
      <c r="Z31" s="206">
        <f t="shared" si="20"/>
        <v>0</v>
      </c>
      <c r="AA31" s="206">
        <f>SUMPRODUCT(($A$9:$A$28=$A31)*(AA$9:AA$28))</f>
        <v>0</v>
      </c>
    </row>
    <row r="32" spans="1:27" s="26" customFormat="1" ht="19.95" customHeight="1">
      <c r="A32" s="808" t="str">
        <f>'明细表H1-2'!A36</f>
        <v>机器设备</v>
      </c>
      <c r="B32" s="809"/>
      <c r="C32" s="809"/>
      <c r="D32" s="810"/>
      <c r="E32" s="206">
        <f t="shared" si="19"/>
        <v>0</v>
      </c>
      <c r="F32" s="206">
        <f t="shared" si="19"/>
        <v>0</v>
      </c>
      <c r="G32" s="206">
        <f t="shared" si="19"/>
        <v>0</v>
      </c>
      <c r="H32" s="206">
        <f t="shared" si="19"/>
        <v>0</v>
      </c>
      <c r="I32" s="206">
        <f t="shared" si="19"/>
        <v>0</v>
      </c>
      <c r="J32" s="478"/>
      <c r="K32" s="479"/>
      <c r="L32" s="480"/>
      <c r="M32" s="481"/>
      <c r="N32" s="482"/>
      <c r="O32" s="482"/>
      <c r="P32" s="482"/>
      <c r="Q32" s="662"/>
      <c r="R32" s="662"/>
      <c r="S32" s="663"/>
      <c r="T32" s="663"/>
      <c r="U32" s="206">
        <f t="shared" si="20"/>
        <v>0</v>
      </c>
      <c r="V32" s="206">
        <f t="shared" si="20"/>
        <v>0</v>
      </c>
      <c r="W32" s="206">
        <f t="shared" si="20"/>
        <v>0</v>
      </c>
      <c r="X32" s="206">
        <f t="shared" si="20"/>
        <v>0</v>
      </c>
      <c r="Y32" s="206">
        <f t="shared" si="20"/>
        <v>0</v>
      </c>
      <c r="Z32" s="206">
        <f t="shared" si="20"/>
        <v>0</v>
      </c>
      <c r="AA32" s="206">
        <f>SUMPRODUCT(($A$9:$A$28=$A32)*(AA$9:AA$28))</f>
        <v>0</v>
      </c>
    </row>
    <row r="33" spans="1:27" s="26" customFormat="1" ht="19.95" customHeight="1">
      <c r="A33" s="808" t="str">
        <f>'明细表H1-2'!A37</f>
        <v>运输设备</v>
      </c>
      <c r="B33" s="809"/>
      <c r="C33" s="809"/>
      <c r="D33" s="810"/>
      <c r="E33" s="206">
        <f t="shared" si="19"/>
        <v>0</v>
      </c>
      <c r="F33" s="206">
        <f t="shared" si="19"/>
        <v>0</v>
      </c>
      <c r="G33" s="206">
        <f t="shared" si="19"/>
        <v>0</v>
      </c>
      <c r="H33" s="206">
        <f t="shared" si="19"/>
        <v>0</v>
      </c>
      <c r="I33" s="206">
        <f t="shared" si="19"/>
        <v>0</v>
      </c>
      <c r="J33" s="478"/>
      <c r="K33" s="479"/>
      <c r="L33" s="480"/>
      <c r="M33" s="481"/>
      <c r="N33" s="482"/>
      <c r="O33" s="482"/>
      <c r="P33" s="482"/>
      <c r="Q33" s="662"/>
      <c r="R33" s="662"/>
      <c r="S33" s="663"/>
      <c r="T33" s="663"/>
      <c r="U33" s="206">
        <f t="shared" si="20"/>
        <v>0</v>
      </c>
      <c r="V33" s="206">
        <f t="shared" si="20"/>
        <v>0</v>
      </c>
      <c r="W33" s="206">
        <f t="shared" si="20"/>
        <v>0</v>
      </c>
      <c r="X33" s="206">
        <f t="shared" si="20"/>
        <v>0</v>
      </c>
      <c r="Y33" s="206">
        <f t="shared" si="20"/>
        <v>0</v>
      </c>
      <c r="Z33" s="206">
        <f t="shared" si="20"/>
        <v>0</v>
      </c>
      <c r="AA33" s="206">
        <f>SUMPRODUCT(($A$9:$A$28=$A33)*(AA$9:AA$28))</f>
        <v>0</v>
      </c>
    </row>
    <row r="34" spans="1:27" s="26" customFormat="1" ht="19.95" customHeight="1">
      <c r="A34" s="808" t="str">
        <f>'明细表H1-2'!A38</f>
        <v>办公设备</v>
      </c>
      <c r="B34" s="809"/>
      <c r="C34" s="809"/>
      <c r="D34" s="810"/>
      <c r="E34" s="206">
        <f t="shared" si="19"/>
        <v>0</v>
      </c>
      <c r="F34" s="206">
        <f t="shared" si="19"/>
        <v>0</v>
      </c>
      <c r="G34" s="206">
        <f t="shared" si="19"/>
        <v>0</v>
      </c>
      <c r="H34" s="206">
        <f t="shared" si="19"/>
        <v>0</v>
      </c>
      <c r="I34" s="206">
        <f t="shared" si="19"/>
        <v>0</v>
      </c>
      <c r="J34" s="478"/>
      <c r="K34" s="479"/>
      <c r="L34" s="480"/>
      <c r="M34" s="481"/>
      <c r="N34" s="482"/>
      <c r="O34" s="482"/>
      <c r="P34" s="482"/>
      <c r="Q34" s="662"/>
      <c r="R34" s="662"/>
      <c r="S34" s="663"/>
      <c r="T34" s="663"/>
      <c r="U34" s="206">
        <f t="shared" si="20"/>
        <v>0</v>
      </c>
      <c r="V34" s="206">
        <f t="shared" si="20"/>
        <v>0</v>
      </c>
      <c r="W34" s="206">
        <f t="shared" si="20"/>
        <v>0</v>
      </c>
      <c r="X34" s="206">
        <f t="shared" si="20"/>
        <v>0</v>
      </c>
      <c r="Y34" s="206">
        <f t="shared" si="20"/>
        <v>0</v>
      </c>
      <c r="Z34" s="206">
        <f t="shared" si="20"/>
        <v>0</v>
      </c>
      <c r="AA34" s="206">
        <f>SUMPRODUCT(($A$9:$A$28=$A34)*(AA$9:AA$28))</f>
        <v>0</v>
      </c>
    </row>
    <row r="35" spans="1:27" s="26" customFormat="1" ht="19.95" customHeight="1">
      <c r="A35" s="808" t="str">
        <f>'明细表H1-2'!A39</f>
        <v>其他设备</v>
      </c>
      <c r="B35" s="809"/>
      <c r="C35" s="809"/>
      <c r="D35" s="810"/>
      <c r="E35" s="206">
        <f t="shared" si="19"/>
        <v>0</v>
      </c>
      <c r="F35" s="206">
        <f t="shared" si="19"/>
        <v>0</v>
      </c>
      <c r="G35" s="206">
        <f t="shared" si="19"/>
        <v>0</v>
      </c>
      <c r="H35" s="206">
        <f t="shared" si="19"/>
        <v>0</v>
      </c>
      <c r="I35" s="206">
        <f t="shared" si="19"/>
        <v>0</v>
      </c>
      <c r="J35" s="478"/>
      <c r="K35" s="479"/>
      <c r="L35" s="480"/>
      <c r="M35" s="481"/>
      <c r="N35" s="482"/>
      <c r="O35" s="482"/>
      <c r="P35" s="482"/>
      <c r="Q35" s="662"/>
      <c r="R35" s="662"/>
      <c r="S35" s="663"/>
      <c r="T35" s="663"/>
      <c r="U35" s="206">
        <f t="shared" si="20"/>
        <v>0</v>
      </c>
      <c r="V35" s="206">
        <f t="shared" si="20"/>
        <v>0</v>
      </c>
      <c r="W35" s="206">
        <f t="shared" si="20"/>
        <v>0</v>
      </c>
      <c r="X35" s="206">
        <f t="shared" si="20"/>
        <v>0</v>
      </c>
      <c r="Y35" s="206">
        <f t="shared" si="20"/>
        <v>0</v>
      </c>
      <c r="Z35" s="206">
        <f t="shared" si="20"/>
        <v>0</v>
      </c>
      <c r="AA35" s="206">
        <f>SUMPRODUCT(($A$9:$A$28=$A35)*(AA$9:AA$28))</f>
        <v>0</v>
      </c>
    </row>
    <row r="36" spans="1:27" ht="19.95" customHeight="1">
      <c r="A36" s="156" t="s">
        <v>428</v>
      </c>
      <c r="B36" s="18"/>
      <c r="C36" s="18"/>
      <c r="D36" s="18"/>
      <c r="E36" s="18"/>
      <c r="F36" s="18"/>
      <c r="G36" s="18"/>
      <c r="H36" s="18"/>
      <c r="I36" s="18"/>
      <c r="J36" s="18"/>
      <c r="K36" s="143"/>
      <c r="L36" s="18"/>
      <c r="M36" s="18"/>
      <c r="N36" s="143"/>
      <c r="O36" s="146"/>
      <c r="P36" s="146"/>
      <c r="Q36" s="18"/>
      <c r="R36" s="18"/>
      <c r="S36" s="18"/>
      <c r="T36" s="18"/>
      <c r="U36" s="18"/>
      <c r="V36" s="18"/>
      <c r="W36" s="18"/>
      <c r="X36" s="18"/>
      <c r="Y36" s="18"/>
      <c r="Z36" s="148"/>
    </row>
    <row r="37" spans="1:27" ht="19.95" customHeight="1">
      <c r="A37" s="232" t="s">
        <v>722</v>
      </c>
      <c r="Z37" s="149"/>
    </row>
    <row r="38" spans="1:27" ht="19.95" customHeight="1">
      <c r="Z38" s="149"/>
    </row>
    <row r="39" spans="1:27" ht="19.95" customHeight="1">
      <c r="A39" s="26" t="s">
        <v>376</v>
      </c>
      <c r="Z39" s="149"/>
    </row>
    <row r="40" spans="1:27" ht="19.95" customHeight="1">
      <c r="Z40" s="149"/>
    </row>
    <row r="41" spans="1:27" ht="19.95" customHeight="1">
      <c r="Z41" s="149"/>
    </row>
    <row r="46" spans="1:27" ht="19.95" customHeight="1">
      <c r="A46" s="310"/>
    </row>
    <row r="47" spans="1:27" ht="19.95" customHeight="1">
      <c r="A47" s="318"/>
    </row>
    <row r="48" spans="1:27" ht="19.95" customHeight="1">
      <c r="A48" s="318"/>
    </row>
    <row r="49" spans="1:1" ht="19.95" customHeight="1">
      <c r="A49" s="318"/>
    </row>
    <row r="50" spans="1:1" ht="19.95" customHeight="1">
      <c r="A50" s="318"/>
    </row>
  </sheetData>
  <mergeCells count="9">
    <mergeCell ref="A2:AA2"/>
    <mergeCell ref="A1:AA1"/>
    <mergeCell ref="A35:D35"/>
    <mergeCell ref="A31:D31"/>
    <mergeCell ref="A29:D29"/>
    <mergeCell ref="A30:D30"/>
    <mergeCell ref="A32:D32"/>
    <mergeCell ref="A33:D33"/>
    <mergeCell ref="A34:D34"/>
  </mergeCells>
  <phoneticPr fontId="10" type="noConversion"/>
  <hyperlinks>
    <hyperlink ref="AA3" location="底稿目录!A1" display="H1-12"/>
  </hyperlinks>
  <printOptions horizontalCentered="1"/>
  <pageMargins left="0.51181102362204722" right="0.31496062992125984" top="0.55118110236220474" bottom="0.35433070866141736" header="0.51181102362204722" footer="0.19685039370078741"/>
  <pageSetup paperSize="9" scale="55" fitToHeight="50" orientation="landscape" blackAndWhite="1" r:id="rId1"/>
  <headerFooter alignWithMargins="0">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K23"/>
  <sheetViews>
    <sheetView view="pageBreakPreview" zoomScaleSheetLayoutView="100" workbookViewId="0">
      <selection sqref="A1:J1"/>
    </sheetView>
  </sheetViews>
  <sheetFormatPr defaultColWidth="9" defaultRowHeight="19.95" customHeight="1"/>
  <cols>
    <col min="1" max="1" width="12.296875" style="97" customWidth="1"/>
    <col min="2" max="2" width="16.3984375" style="97" customWidth="1"/>
    <col min="3" max="3" width="15.69921875" style="97" customWidth="1"/>
    <col min="4" max="4" width="14.796875" style="97" customWidth="1"/>
    <col min="5" max="5" width="12.3984375" style="97" customWidth="1"/>
    <col min="6" max="6" width="14" style="97" customWidth="1"/>
    <col min="7" max="7" width="13.69921875" style="97" customWidth="1"/>
    <col min="8" max="8" width="13.8984375" style="97" customWidth="1"/>
    <col min="9" max="9" width="12.3984375" style="97" customWidth="1"/>
    <col min="10" max="10" width="16" style="97" customWidth="1"/>
    <col min="11" max="16384" width="9" style="97"/>
  </cols>
  <sheetData>
    <row r="1" spans="1:11" s="470" customFormat="1" ht="19.95" customHeight="1">
      <c r="A1" s="726" t="s">
        <v>1037</v>
      </c>
      <c r="B1" s="726"/>
      <c r="C1" s="726"/>
      <c r="D1" s="726"/>
      <c r="E1" s="726"/>
      <c r="F1" s="726"/>
      <c r="G1" s="726"/>
      <c r="H1" s="726"/>
      <c r="I1" s="726"/>
      <c r="J1" s="726"/>
    </row>
    <row r="2" spans="1:11" s="471" customFormat="1" ht="19.95" customHeight="1">
      <c r="A2" s="727" t="s">
        <v>1055</v>
      </c>
      <c r="B2" s="727"/>
      <c r="C2" s="727"/>
      <c r="D2" s="727"/>
      <c r="E2" s="727"/>
      <c r="F2" s="727"/>
      <c r="G2" s="727"/>
      <c r="H2" s="727"/>
      <c r="I2" s="727"/>
      <c r="J2" s="727"/>
    </row>
    <row r="3" spans="1:11" ht="19.95" customHeight="1">
      <c r="A3" s="90" t="str">
        <f>底稿目录!A2</f>
        <v>被审计单位：</v>
      </c>
      <c r="B3" s="90"/>
      <c r="C3" s="90"/>
      <c r="D3" s="90" t="str">
        <f>底稿目录!A4</f>
        <v>编制人：</v>
      </c>
      <c r="E3" s="90"/>
      <c r="G3" s="90" t="str">
        <f>底稿目录!A5</f>
        <v>编制日期：</v>
      </c>
      <c r="H3" s="109"/>
      <c r="I3" s="181" t="s">
        <v>785</v>
      </c>
      <c r="J3" s="452" t="s">
        <v>289</v>
      </c>
    </row>
    <row r="4" spans="1:11" ht="19.95" customHeight="1">
      <c r="A4" s="90" t="str">
        <f>底稿目录!A3</f>
        <v>截止日：202X年12月31日</v>
      </c>
      <c r="B4" s="90"/>
      <c r="C4" s="90"/>
      <c r="D4" s="90" t="str">
        <f>底稿目录!A6</f>
        <v>复核人：</v>
      </c>
      <c r="E4" s="90"/>
      <c r="F4" s="90"/>
      <c r="G4" s="90" t="str">
        <f>底稿目录!A7</f>
        <v>复核日期：</v>
      </c>
      <c r="H4" s="109"/>
      <c r="I4" s="475" t="s">
        <v>1064</v>
      </c>
      <c r="J4" s="2"/>
    </row>
    <row r="5" spans="1:11" s="664" customFormat="1" ht="19.95" customHeight="1">
      <c r="A5" s="229" t="s">
        <v>773</v>
      </c>
      <c r="B5" s="605"/>
      <c r="C5" s="308"/>
      <c r="D5" s="308"/>
      <c r="E5" s="308"/>
      <c r="F5" s="308"/>
      <c r="G5" s="632"/>
      <c r="H5" s="308"/>
      <c r="I5" s="308"/>
      <c r="J5" s="308"/>
      <c r="K5" s="589"/>
    </row>
    <row r="6" spans="1:11" ht="19.95" customHeight="1">
      <c r="A6" s="58" t="s">
        <v>441</v>
      </c>
      <c r="B6" s="59"/>
      <c r="C6" s="59"/>
      <c r="D6" s="59"/>
      <c r="E6" s="59"/>
      <c r="F6" s="59"/>
      <c r="G6" s="59"/>
      <c r="H6" s="14"/>
      <c r="I6" s="59"/>
      <c r="J6" s="59"/>
    </row>
    <row r="7" spans="1:11" ht="19.95" customHeight="1">
      <c r="A7" s="241" t="s">
        <v>780</v>
      </c>
      <c r="B7" s="241" t="s">
        <v>774</v>
      </c>
      <c r="C7" s="241" t="s">
        <v>775</v>
      </c>
      <c r="D7" s="241" t="s">
        <v>776</v>
      </c>
      <c r="E7" s="241" t="s">
        <v>782</v>
      </c>
      <c r="F7" s="241" t="s">
        <v>777</v>
      </c>
      <c r="G7" s="241" t="s">
        <v>778</v>
      </c>
      <c r="H7" s="241" t="s">
        <v>101</v>
      </c>
      <c r="I7" s="241" t="s">
        <v>781</v>
      </c>
      <c r="J7" s="241" t="s">
        <v>779</v>
      </c>
    </row>
    <row r="8" spans="1:11" ht="19.95" customHeight="1">
      <c r="A8" s="581">
        <v>1</v>
      </c>
      <c r="B8" s="322" t="s">
        <v>445</v>
      </c>
      <c r="C8" s="96"/>
      <c r="D8" s="96"/>
      <c r="E8" s="96"/>
      <c r="F8" s="96"/>
      <c r="G8" s="96"/>
      <c r="H8" s="96"/>
      <c r="I8" s="128">
        <f>SUM(C8:H8)</f>
        <v>0</v>
      </c>
      <c r="J8" s="421"/>
    </row>
    <row r="9" spans="1:11" ht="19.95" customHeight="1">
      <c r="A9" s="581">
        <v>2</v>
      </c>
      <c r="B9" s="322" t="s">
        <v>446</v>
      </c>
      <c r="C9" s="96"/>
      <c r="D9" s="96"/>
      <c r="E9" s="96"/>
      <c r="F9" s="96"/>
      <c r="G9" s="96"/>
      <c r="H9" s="96"/>
      <c r="I9" s="128">
        <f>SUM(C9:H9)</f>
        <v>0</v>
      </c>
      <c r="J9" s="421"/>
    </row>
    <row r="10" spans="1:11" ht="19.95" customHeight="1">
      <c r="A10" s="581">
        <v>3</v>
      </c>
      <c r="B10" s="322" t="s">
        <v>439</v>
      </c>
      <c r="C10" s="96"/>
      <c r="D10" s="96"/>
      <c r="E10" s="96"/>
      <c r="F10" s="96"/>
      <c r="G10" s="96"/>
      <c r="H10" s="96"/>
      <c r="I10" s="128">
        <f>SUM(C10:H10)</f>
        <v>0</v>
      </c>
      <c r="J10" s="421"/>
    </row>
    <row r="11" spans="1:11" ht="19.95" customHeight="1">
      <c r="A11" s="581">
        <v>4</v>
      </c>
      <c r="B11" s="322" t="s">
        <v>447</v>
      </c>
      <c r="C11" s="96"/>
      <c r="D11" s="96"/>
      <c r="E11" s="96"/>
      <c r="F11" s="96"/>
      <c r="G11" s="96"/>
      <c r="H11" s="96"/>
      <c r="I11" s="128">
        <f>SUM(C11:H11)</f>
        <v>0</v>
      </c>
      <c r="J11" s="421"/>
    </row>
    <row r="12" spans="1:11" ht="19.95" customHeight="1">
      <c r="A12" s="582">
        <v>5</v>
      </c>
      <c r="B12" s="496" t="s">
        <v>448</v>
      </c>
      <c r="C12" s="497"/>
      <c r="D12" s="497"/>
      <c r="E12" s="497"/>
      <c r="F12" s="497"/>
      <c r="G12" s="497"/>
      <c r="H12" s="497"/>
      <c r="I12" s="167">
        <f>SUM(C12:H12)</f>
        <v>0</v>
      </c>
      <c r="J12" s="498"/>
    </row>
    <row r="13" spans="1:11" ht="19.95" customHeight="1">
      <c r="A13" s="738" t="s">
        <v>411</v>
      </c>
      <c r="B13" s="738"/>
      <c r="C13" s="128">
        <f>SUM(C8:C12)</f>
        <v>0</v>
      </c>
      <c r="D13" s="128">
        <f t="shared" ref="D13:I13" si="0">SUM(D8:D12)</f>
        <v>0</v>
      </c>
      <c r="E13" s="128">
        <f t="shared" si="0"/>
        <v>0</v>
      </c>
      <c r="F13" s="128">
        <f t="shared" si="0"/>
        <v>0</v>
      </c>
      <c r="G13" s="128">
        <f t="shared" si="0"/>
        <v>0</v>
      </c>
      <c r="H13" s="128">
        <f t="shared" si="0"/>
        <v>0</v>
      </c>
      <c r="I13" s="128">
        <f t="shared" si="0"/>
        <v>0</v>
      </c>
      <c r="J13" s="34"/>
    </row>
    <row r="14" spans="1:11" ht="27.6">
      <c r="A14" s="499"/>
      <c r="B14" s="500" t="s">
        <v>1093</v>
      </c>
      <c r="C14" s="502" t="s">
        <v>1095</v>
      </c>
      <c r="D14" s="502" t="s">
        <v>1094</v>
      </c>
      <c r="E14" s="502" t="s">
        <v>1094</v>
      </c>
      <c r="F14" s="502" t="s">
        <v>1094</v>
      </c>
      <c r="G14" s="502" t="s">
        <v>1094</v>
      </c>
      <c r="H14" s="502" t="s">
        <v>1094</v>
      </c>
      <c r="I14" s="501"/>
      <c r="J14" s="501"/>
    </row>
    <row r="15" spans="1:11" ht="19.95" customHeight="1">
      <c r="A15" s="494" t="s">
        <v>783</v>
      </c>
      <c r="B15" s="495"/>
      <c r="C15" s="495"/>
      <c r="D15" s="495"/>
      <c r="E15" s="495"/>
      <c r="F15" s="495"/>
      <c r="G15" s="495"/>
      <c r="H15" s="495"/>
      <c r="I15" s="495"/>
      <c r="J15" s="495"/>
    </row>
    <row r="16" spans="1:11" ht="19.95" customHeight="1">
      <c r="A16" s="2"/>
    </row>
    <row r="17" spans="1:1" ht="19.95" customHeight="1">
      <c r="A17" s="26" t="s">
        <v>784</v>
      </c>
    </row>
    <row r="18" spans="1:1" ht="19.95" customHeight="1">
      <c r="A18" s="90"/>
    </row>
    <row r="21" spans="1:1" ht="19.95" customHeight="1">
      <c r="A21" s="323"/>
    </row>
    <row r="22" spans="1:1" ht="19.95" customHeight="1">
      <c r="A22" s="318"/>
    </row>
    <row r="23" spans="1:1" ht="19.95" customHeight="1">
      <c r="A23" s="318"/>
    </row>
  </sheetData>
  <mergeCells count="3">
    <mergeCell ref="A1:J1"/>
    <mergeCell ref="A2:J2"/>
    <mergeCell ref="A13:B13"/>
  </mergeCells>
  <phoneticPr fontId="10" type="noConversion"/>
  <hyperlinks>
    <hyperlink ref="J3" location="底稿目录!A1" display="H1-12"/>
  </hyperlinks>
  <printOptions horizontalCentered="1"/>
  <pageMargins left="0.51181102362204722" right="0.31496062992125984" top="0.55118110236220474" bottom="0.35433070866141736" header="0.51181102362204722" footer="0.19685039370078741"/>
  <pageSetup paperSize="9" scale="91" fitToHeight="50" orientation="landscape" blackAndWhite="1" r:id="rId1"/>
  <headerFooter alignWithMargins="0">
    <oddFooter>&amp;C&amp;P/&amp;N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G40"/>
  <sheetViews>
    <sheetView view="pageBreakPreview" zoomScaleSheetLayoutView="100" workbookViewId="0">
      <selection sqref="A1:M1"/>
    </sheetView>
  </sheetViews>
  <sheetFormatPr defaultColWidth="9" defaultRowHeight="19.95" customHeight="1"/>
  <cols>
    <col min="1" max="1" width="14.09765625" style="2" customWidth="1"/>
    <col min="2" max="3" width="10" style="2" customWidth="1"/>
    <col min="4" max="4" width="13.19921875" style="2" customWidth="1"/>
    <col min="5" max="5" width="12.19921875" style="2" customWidth="1"/>
    <col min="6" max="6" width="13.69921875" style="2" customWidth="1"/>
    <col min="7" max="7" width="13.09765625" style="2" customWidth="1"/>
    <col min="8" max="8" width="14" style="2" customWidth="1"/>
    <col min="9" max="12" width="12.5" style="2" customWidth="1"/>
    <col min="13" max="13" width="12.69921875" style="2" customWidth="1"/>
    <col min="14" max="16384" width="9" style="2"/>
  </cols>
  <sheetData>
    <row r="1" spans="1:33" s="13" customFormat="1" ht="19.95" customHeight="1">
      <c r="A1" s="745" t="s">
        <v>1039</v>
      </c>
      <c r="B1" s="745"/>
      <c r="C1" s="745"/>
      <c r="D1" s="745"/>
      <c r="E1" s="745"/>
      <c r="F1" s="745"/>
      <c r="G1" s="745"/>
      <c r="H1" s="745"/>
      <c r="I1" s="745"/>
      <c r="J1" s="745"/>
      <c r="K1" s="745"/>
      <c r="L1" s="745"/>
      <c r="M1" s="745"/>
    </row>
    <row r="2" spans="1:33" s="458" customFormat="1" ht="19.95" customHeight="1">
      <c r="A2" s="746" t="s">
        <v>1056</v>
      </c>
      <c r="B2" s="746"/>
      <c r="C2" s="746"/>
      <c r="D2" s="746"/>
      <c r="E2" s="746"/>
      <c r="F2" s="746"/>
      <c r="G2" s="746"/>
      <c r="H2" s="746"/>
      <c r="I2" s="746"/>
      <c r="J2" s="746"/>
      <c r="K2" s="746"/>
      <c r="L2" s="746"/>
      <c r="M2" s="746"/>
    </row>
    <row r="3" spans="1:33" ht="19.95" customHeight="1">
      <c r="A3" s="2" t="str">
        <f>底稿目录!A2</f>
        <v>被审计单位：</v>
      </c>
      <c r="F3" s="2" t="str">
        <f>底稿目录!A4</f>
        <v>编制人：</v>
      </c>
      <c r="I3" s="2" t="str">
        <f>底稿目录!A5</f>
        <v>编制日期：</v>
      </c>
      <c r="L3" s="181" t="s">
        <v>785</v>
      </c>
      <c r="M3" s="452" t="s">
        <v>311</v>
      </c>
    </row>
    <row r="4" spans="1:33" ht="19.95" customHeight="1">
      <c r="A4" s="2" t="str">
        <f>底稿目录!A3</f>
        <v>截止日：202X年12月31日</v>
      </c>
      <c r="F4" s="2" t="str">
        <f>底稿目录!A6</f>
        <v>复核人：</v>
      </c>
      <c r="H4" s="59"/>
      <c r="I4" s="2" t="str">
        <f>底稿目录!A7</f>
        <v>复核日期：</v>
      </c>
      <c r="L4" s="475" t="s">
        <v>1064</v>
      </c>
    </row>
    <row r="5" spans="1:33" s="308" customFormat="1" ht="19.95" customHeight="1">
      <c r="A5" s="229" t="s">
        <v>786</v>
      </c>
      <c r="B5" s="605"/>
      <c r="G5" s="632"/>
      <c r="I5" s="632"/>
      <c r="J5" s="632"/>
      <c r="K5" s="632"/>
      <c r="L5" s="632"/>
      <c r="P5" s="589"/>
      <c r="Q5" s="587"/>
      <c r="AA5" s="585"/>
      <c r="AB5" s="585"/>
      <c r="AC5" s="585"/>
      <c r="AD5" s="585"/>
      <c r="AE5" s="585"/>
      <c r="AF5" s="585"/>
      <c r="AG5" s="585"/>
    </row>
    <row r="6" spans="1:33" ht="19.95" customHeight="1">
      <c r="A6" s="58" t="s">
        <v>743</v>
      </c>
      <c r="B6" s="59"/>
      <c r="C6" s="59"/>
      <c r="I6" s="14"/>
      <c r="J6" s="14"/>
      <c r="K6" s="14"/>
      <c r="L6" s="14"/>
      <c r="P6" s="61"/>
      <c r="Q6" s="9"/>
      <c r="AA6" s="181"/>
      <c r="AB6" s="181"/>
      <c r="AC6" s="181"/>
      <c r="AD6" s="181"/>
      <c r="AE6" s="181"/>
      <c r="AF6" s="181"/>
      <c r="AG6" s="181"/>
    </row>
    <row r="7" spans="1:33" s="73" customFormat="1" ht="19.95" customHeight="1">
      <c r="A7" s="738" t="s">
        <v>380</v>
      </c>
      <c r="B7" s="738" t="s">
        <v>13</v>
      </c>
      <c r="C7" s="769" t="s">
        <v>787</v>
      </c>
      <c r="D7" s="769" t="s">
        <v>788</v>
      </c>
      <c r="E7" s="738" t="s">
        <v>789</v>
      </c>
      <c r="F7" s="814" t="s">
        <v>790</v>
      </c>
      <c r="G7" s="815"/>
      <c r="H7" s="816"/>
      <c r="I7" s="769" t="s">
        <v>791</v>
      </c>
      <c r="J7" s="769" t="s">
        <v>792</v>
      </c>
      <c r="K7" s="769" t="s">
        <v>793</v>
      </c>
      <c r="L7" s="738" t="s">
        <v>794</v>
      </c>
      <c r="M7" s="738" t="s">
        <v>426</v>
      </c>
    </row>
    <row r="8" spans="1:33" ht="24">
      <c r="A8" s="738"/>
      <c r="B8" s="738"/>
      <c r="C8" s="770"/>
      <c r="D8" s="771"/>
      <c r="E8" s="738"/>
      <c r="F8" s="241" t="s">
        <v>795</v>
      </c>
      <c r="G8" s="241" t="s">
        <v>796</v>
      </c>
      <c r="H8" s="241" t="s">
        <v>797</v>
      </c>
      <c r="I8" s="771"/>
      <c r="J8" s="771" t="s">
        <v>798</v>
      </c>
      <c r="K8" s="771"/>
      <c r="L8" s="738"/>
      <c r="M8" s="738"/>
    </row>
    <row r="9" spans="1:33" ht="19.95" customHeight="1">
      <c r="A9" s="738"/>
      <c r="B9" s="738"/>
      <c r="C9" s="771"/>
      <c r="D9" s="241" t="s">
        <v>799</v>
      </c>
      <c r="E9" s="241" t="s">
        <v>800</v>
      </c>
      <c r="F9" s="241" t="s">
        <v>801</v>
      </c>
      <c r="G9" s="241" t="s">
        <v>802</v>
      </c>
      <c r="H9" s="241" t="s">
        <v>803</v>
      </c>
      <c r="I9" s="558" t="s">
        <v>804</v>
      </c>
      <c r="J9" s="241" t="s">
        <v>805</v>
      </c>
      <c r="K9" s="241" t="s">
        <v>806</v>
      </c>
      <c r="L9" s="738"/>
      <c r="M9" s="738"/>
    </row>
    <row r="10" spans="1:33" ht="19.95" customHeight="1">
      <c r="A10" s="80"/>
      <c r="B10" s="74"/>
      <c r="C10" s="379"/>
      <c r="D10" s="49"/>
      <c r="E10" s="483"/>
      <c r="F10" s="483"/>
      <c r="G10" s="483"/>
      <c r="H10" s="208">
        <f>MAX(F10,G10)</f>
        <v>0</v>
      </c>
      <c r="I10" s="208">
        <f>IF(E10&gt;H10,E10-H10,0)</f>
        <v>0</v>
      </c>
      <c r="J10" s="43"/>
      <c r="K10" s="208">
        <f>I10-J10</f>
        <v>0</v>
      </c>
      <c r="L10" s="422"/>
      <c r="M10" s="74"/>
    </row>
    <row r="11" spans="1:33" ht="19.95" customHeight="1">
      <c r="A11" s="80"/>
      <c r="B11" s="74"/>
      <c r="C11" s="379"/>
      <c r="D11" s="49"/>
      <c r="E11" s="483"/>
      <c r="F11" s="483"/>
      <c r="G11" s="483"/>
      <c r="H11" s="208">
        <f t="shared" ref="H11:H21" si="0">MAX(F11,G11)</f>
        <v>0</v>
      </c>
      <c r="I11" s="208">
        <f t="shared" ref="I11:I21" si="1">IF(E11&gt;H11,E11-H11,0)</f>
        <v>0</v>
      </c>
      <c r="J11" s="43"/>
      <c r="K11" s="208">
        <f t="shared" ref="K11:K21" si="2">I11-J11</f>
        <v>0</v>
      </c>
      <c r="L11" s="422"/>
      <c r="M11" s="74"/>
    </row>
    <row r="12" spans="1:33" ht="19.95" customHeight="1">
      <c r="A12" s="80"/>
      <c r="B12" s="74"/>
      <c r="C12" s="379"/>
      <c r="D12" s="49"/>
      <c r="E12" s="483"/>
      <c r="F12" s="483"/>
      <c r="G12" s="483"/>
      <c r="H12" s="208">
        <f t="shared" si="0"/>
        <v>0</v>
      </c>
      <c r="I12" s="208">
        <f t="shared" si="1"/>
        <v>0</v>
      </c>
      <c r="J12" s="43"/>
      <c r="K12" s="208">
        <f t="shared" si="2"/>
        <v>0</v>
      </c>
      <c r="L12" s="422"/>
      <c r="M12" s="74"/>
    </row>
    <row r="13" spans="1:33" ht="19.95" customHeight="1">
      <c r="A13" s="80"/>
      <c r="B13" s="74"/>
      <c r="C13" s="379"/>
      <c r="D13" s="49"/>
      <c r="E13" s="483"/>
      <c r="F13" s="483"/>
      <c r="G13" s="483"/>
      <c r="H13" s="208">
        <f t="shared" si="0"/>
        <v>0</v>
      </c>
      <c r="I13" s="208">
        <f t="shared" si="1"/>
        <v>0</v>
      </c>
      <c r="J13" s="43"/>
      <c r="K13" s="208">
        <f t="shared" si="2"/>
        <v>0</v>
      </c>
      <c r="L13" s="422"/>
      <c r="M13" s="74"/>
    </row>
    <row r="14" spans="1:33" ht="19.95" customHeight="1">
      <c r="A14" s="80"/>
      <c r="B14" s="74"/>
      <c r="C14" s="379"/>
      <c r="D14" s="49"/>
      <c r="E14" s="483"/>
      <c r="F14" s="483"/>
      <c r="G14" s="483"/>
      <c r="H14" s="208">
        <f t="shared" si="0"/>
        <v>0</v>
      </c>
      <c r="I14" s="208">
        <f t="shared" si="1"/>
        <v>0</v>
      </c>
      <c r="J14" s="43"/>
      <c r="K14" s="208">
        <f t="shared" si="2"/>
        <v>0</v>
      </c>
      <c r="L14" s="422"/>
      <c r="M14" s="74"/>
    </row>
    <row r="15" spans="1:33" ht="19.95" customHeight="1">
      <c r="A15" s="80"/>
      <c r="B15" s="74"/>
      <c r="C15" s="379"/>
      <c r="D15" s="49"/>
      <c r="E15" s="483"/>
      <c r="F15" s="483"/>
      <c r="G15" s="483"/>
      <c r="H15" s="208">
        <f t="shared" si="0"/>
        <v>0</v>
      </c>
      <c r="I15" s="208">
        <f t="shared" si="1"/>
        <v>0</v>
      </c>
      <c r="J15" s="43"/>
      <c r="K15" s="208">
        <f t="shared" si="2"/>
        <v>0</v>
      </c>
      <c r="L15" s="422"/>
      <c r="M15" s="74"/>
    </row>
    <row r="16" spans="1:33" ht="19.95" customHeight="1">
      <c r="A16" s="80"/>
      <c r="B16" s="74"/>
      <c r="C16" s="379"/>
      <c r="D16" s="49"/>
      <c r="E16" s="483"/>
      <c r="F16" s="483"/>
      <c r="G16" s="483"/>
      <c r="H16" s="208">
        <f t="shared" si="0"/>
        <v>0</v>
      </c>
      <c r="I16" s="208">
        <f t="shared" si="1"/>
        <v>0</v>
      </c>
      <c r="J16" s="43"/>
      <c r="K16" s="208">
        <f t="shared" si="2"/>
        <v>0</v>
      </c>
      <c r="L16" s="422"/>
      <c r="M16" s="74"/>
    </row>
    <row r="17" spans="1:13" ht="19.95" customHeight="1">
      <c r="A17" s="80"/>
      <c r="B17" s="74"/>
      <c r="C17" s="379"/>
      <c r="D17" s="49"/>
      <c r="E17" s="483"/>
      <c r="F17" s="483"/>
      <c r="G17" s="483"/>
      <c r="H17" s="208">
        <f t="shared" si="0"/>
        <v>0</v>
      </c>
      <c r="I17" s="208">
        <f t="shared" si="1"/>
        <v>0</v>
      </c>
      <c r="J17" s="43"/>
      <c r="K17" s="208">
        <f t="shared" si="2"/>
        <v>0</v>
      </c>
      <c r="L17" s="422"/>
      <c r="M17" s="74"/>
    </row>
    <row r="18" spans="1:13" ht="19.95" customHeight="1">
      <c r="A18" s="80"/>
      <c r="B18" s="74"/>
      <c r="C18" s="379"/>
      <c r="D18" s="49"/>
      <c r="E18" s="483"/>
      <c r="F18" s="483"/>
      <c r="G18" s="483"/>
      <c r="H18" s="208">
        <f t="shared" si="0"/>
        <v>0</v>
      </c>
      <c r="I18" s="208">
        <f t="shared" si="1"/>
        <v>0</v>
      </c>
      <c r="J18" s="43"/>
      <c r="K18" s="208">
        <f t="shared" si="2"/>
        <v>0</v>
      </c>
      <c r="L18" s="422"/>
      <c r="M18" s="74"/>
    </row>
    <row r="19" spans="1:13" ht="19.95" customHeight="1">
      <c r="A19" s="80"/>
      <c r="B19" s="74"/>
      <c r="C19" s="379"/>
      <c r="D19" s="49"/>
      <c r="E19" s="483"/>
      <c r="F19" s="483"/>
      <c r="G19" s="483"/>
      <c r="H19" s="208">
        <f t="shared" si="0"/>
        <v>0</v>
      </c>
      <c r="I19" s="208">
        <f t="shared" si="1"/>
        <v>0</v>
      </c>
      <c r="J19" s="43"/>
      <c r="K19" s="208">
        <f t="shared" si="2"/>
        <v>0</v>
      </c>
      <c r="L19" s="422"/>
      <c r="M19" s="74"/>
    </row>
    <row r="20" spans="1:13" ht="19.95" customHeight="1">
      <c r="A20" s="80"/>
      <c r="B20" s="74"/>
      <c r="C20" s="379"/>
      <c r="D20" s="49"/>
      <c r="E20" s="483"/>
      <c r="F20" s="483"/>
      <c r="G20" s="483"/>
      <c r="H20" s="208">
        <f t="shared" si="0"/>
        <v>0</v>
      </c>
      <c r="I20" s="208">
        <f t="shared" si="1"/>
        <v>0</v>
      </c>
      <c r="J20" s="43"/>
      <c r="K20" s="208">
        <f t="shared" si="2"/>
        <v>0</v>
      </c>
      <c r="L20" s="422"/>
      <c r="M20" s="74"/>
    </row>
    <row r="21" spans="1:13" ht="19.95" customHeight="1">
      <c r="A21" s="80"/>
      <c r="B21" s="74"/>
      <c r="C21" s="379"/>
      <c r="D21" s="49"/>
      <c r="E21" s="483"/>
      <c r="F21" s="483"/>
      <c r="G21" s="483"/>
      <c r="H21" s="208">
        <f t="shared" si="0"/>
        <v>0</v>
      </c>
      <c r="I21" s="208">
        <f t="shared" si="1"/>
        <v>0</v>
      </c>
      <c r="J21" s="43"/>
      <c r="K21" s="208">
        <f t="shared" si="2"/>
        <v>0</v>
      </c>
      <c r="L21" s="422"/>
      <c r="M21" s="74"/>
    </row>
    <row r="22" spans="1:13" s="26" customFormat="1" ht="19.95" customHeight="1">
      <c r="A22" s="821" t="s">
        <v>411</v>
      </c>
      <c r="B22" s="821"/>
      <c r="C22" s="821"/>
      <c r="D22" s="821"/>
      <c r="E22" s="487">
        <f t="shared" ref="E22:K22" si="3">SUM(E10:E21)</f>
        <v>0</v>
      </c>
      <c r="F22" s="206">
        <f t="shared" si="3"/>
        <v>0</v>
      </c>
      <c r="G22" s="206">
        <f t="shared" si="3"/>
        <v>0</v>
      </c>
      <c r="H22" s="206">
        <f t="shared" si="3"/>
        <v>0</v>
      </c>
      <c r="I22" s="206">
        <f t="shared" si="3"/>
        <v>0</v>
      </c>
      <c r="J22" s="206">
        <f t="shared" si="3"/>
        <v>0</v>
      </c>
      <c r="K22" s="206">
        <f t="shared" si="3"/>
        <v>0</v>
      </c>
      <c r="L22" s="485"/>
      <c r="M22" s="485"/>
    </row>
    <row r="23" spans="1:13" s="26" customFormat="1" ht="19.95" customHeight="1">
      <c r="A23" s="818" t="s">
        <v>1067</v>
      </c>
      <c r="B23" s="819"/>
      <c r="C23" s="819"/>
      <c r="D23" s="820"/>
      <c r="E23" s="484"/>
      <c r="F23" s="484"/>
      <c r="G23" s="484"/>
      <c r="H23" s="484"/>
      <c r="I23" s="484"/>
      <c r="J23" s="484"/>
      <c r="K23" s="484"/>
      <c r="L23" s="485"/>
      <c r="M23" s="486"/>
    </row>
    <row r="24" spans="1:13" s="26" customFormat="1" ht="19.95" customHeight="1">
      <c r="A24" s="817" t="str">
        <f>底稿目录!A9</f>
        <v>房屋及建筑物</v>
      </c>
      <c r="B24" s="817"/>
      <c r="C24" s="817"/>
      <c r="D24" s="817"/>
      <c r="E24" s="487">
        <f t="shared" ref="E24:K24" si="4">SUMPRODUCT(($A$10:$A$21=$A24)*(E$10:E$21))</f>
        <v>0</v>
      </c>
      <c r="F24" s="487">
        <f t="shared" si="4"/>
        <v>0</v>
      </c>
      <c r="G24" s="487">
        <f t="shared" si="4"/>
        <v>0</v>
      </c>
      <c r="H24" s="487">
        <f t="shared" si="4"/>
        <v>0</v>
      </c>
      <c r="I24" s="487">
        <f t="shared" si="4"/>
        <v>0</v>
      </c>
      <c r="J24" s="487">
        <f t="shared" si="4"/>
        <v>0</v>
      </c>
      <c r="K24" s="487">
        <f t="shared" si="4"/>
        <v>0</v>
      </c>
      <c r="L24" s="488"/>
      <c r="M24" s="486"/>
    </row>
    <row r="25" spans="1:13" s="26" customFormat="1" ht="19.95" customHeight="1">
      <c r="A25" s="817" t="str">
        <f>底稿目录!A10</f>
        <v>机器设备</v>
      </c>
      <c r="B25" s="817"/>
      <c r="C25" s="817"/>
      <c r="D25" s="817"/>
      <c r="E25" s="487">
        <f t="shared" ref="E25:K28" si="5">SUMPRODUCT(($A$10:$A$21=$A25)*(E$10:E$21))</f>
        <v>0</v>
      </c>
      <c r="F25" s="487">
        <f t="shared" si="5"/>
        <v>0</v>
      </c>
      <c r="G25" s="487">
        <f t="shared" si="5"/>
        <v>0</v>
      </c>
      <c r="H25" s="487">
        <f t="shared" si="5"/>
        <v>0</v>
      </c>
      <c r="I25" s="487">
        <f t="shared" si="5"/>
        <v>0</v>
      </c>
      <c r="J25" s="487">
        <f t="shared" si="5"/>
        <v>0</v>
      </c>
      <c r="K25" s="487">
        <f t="shared" si="5"/>
        <v>0</v>
      </c>
      <c r="L25" s="488"/>
      <c r="M25" s="486"/>
    </row>
    <row r="26" spans="1:13" s="26" customFormat="1" ht="19.95" customHeight="1">
      <c r="A26" s="817" t="str">
        <f>底稿目录!A11</f>
        <v>运输设备</v>
      </c>
      <c r="B26" s="817"/>
      <c r="C26" s="817"/>
      <c r="D26" s="817"/>
      <c r="E26" s="487">
        <f t="shared" si="5"/>
        <v>0</v>
      </c>
      <c r="F26" s="487">
        <f t="shared" si="5"/>
        <v>0</v>
      </c>
      <c r="G26" s="487">
        <f t="shared" si="5"/>
        <v>0</v>
      </c>
      <c r="H26" s="487">
        <f t="shared" si="5"/>
        <v>0</v>
      </c>
      <c r="I26" s="487">
        <f t="shared" si="5"/>
        <v>0</v>
      </c>
      <c r="J26" s="487">
        <f t="shared" si="5"/>
        <v>0</v>
      </c>
      <c r="K26" s="487">
        <f t="shared" si="5"/>
        <v>0</v>
      </c>
      <c r="L26" s="488"/>
      <c r="M26" s="486"/>
    </row>
    <row r="27" spans="1:13" s="26" customFormat="1" ht="19.95" customHeight="1">
      <c r="A27" s="817" t="str">
        <f>底稿目录!A12</f>
        <v>办公设备</v>
      </c>
      <c r="B27" s="817"/>
      <c r="C27" s="817"/>
      <c r="D27" s="817"/>
      <c r="E27" s="487">
        <f t="shared" si="5"/>
        <v>0</v>
      </c>
      <c r="F27" s="487">
        <f t="shared" si="5"/>
        <v>0</v>
      </c>
      <c r="G27" s="487">
        <f t="shared" si="5"/>
        <v>0</v>
      </c>
      <c r="H27" s="487">
        <f t="shared" si="5"/>
        <v>0</v>
      </c>
      <c r="I27" s="487">
        <f t="shared" si="5"/>
        <v>0</v>
      </c>
      <c r="J27" s="487">
        <f t="shared" si="5"/>
        <v>0</v>
      </c>
      <c r="K27" s="487">
        <f t="shared" si="5"/>
        <v>0</v>
      </c>
      <c r="L27" s="488"/>
      <c r="M27" s="486"/>
    </row>
    <row r="28" spans="1:13" s="26" customFormat="1" ht="19.95" customHeight="1">
      <c r="A28" s="817" t="str">
        <f>底稿目录!A13</f>
        <v>其他设备</v>
      </c>
      <c r="B28" s="817"/>
      <c r="C28" s="817"/>
      <c r="D28" s="817"/>
      <c r="E28" s="487">
        <f>SUMPRODUCT(($A$10:$A$21=$A28)*(E$10:E$21))</f>
        <v>0</v>
      </c>
      <c r="F28" s="487">
        <f t="shared" si="5"/>
        <v>0</v>
      </c>
      <c r="G28" s="487">
        <f t="shared" si="5"/>
        <v>0</v>
      </c>
      <c r="H28" s="487">
        <f t="shared" si="5"/>
        <v>0</v>
      </c>
      <c r="I28" s="487">
        <f t="shared" si="5"/>
        <v>0</v>
      </c>
      <c r="J28" s="487">
        <f t="shared" si="5"/>
        <v>0</v>
      </c>
      <c r="K28" s="487">
        <f t="shared" si="5"/>
        <v>0</v>
      </c>
      <c r="L28" s="489"/>
      <c r="M28" s="490"/>
    </row>
    <row r="29" spans="1:13" ht="19.95" customHeight="1">
      <c r="A29" s="26" t="s">
        <v>428</v>
      </c>
      <c r="E29" s="18"/>
      <c r="F29" s="18"/>
      <c r="G29" s="18"/>
      <c r="H29" s="18"/>
      <c r="I29" s="18"/>
      <c r="J29" s="18"/>
      <c r="K29" s="18"/>
      <c r="L29" s="18"/>
      <c r="M29" s="18"/>
    </row>
    <row r="32" spans="1:13" ht="19.95" customHeight="1">
      <c r="A32" s="26" t="s">
        <v>429</v>
      </c>
    </row>
    <row r="36" spans="1:1" ht="19.95" customHeight="1">
      <c r="A36" s="310" t="s">
        <v>1100</v>
      </c>
    </row>
    <row r="37" spans="1:1" ht="19.95" customHeight="1">
      <c r="A37" s="318" t="s">
        <v>1101</v>
      </c>
    </row>
    <row r="38" spans="1:1" ht="19.95" customHeight="1">
      <c r="A38" s="318" t="s">
        <v>1104</v>
      </c>
    </row>
    <row r="39" spans="1:1" ht="19.95" customHeight="1">
      <c r="A39" s="318" t="s">
        <v>1102</v>
      </c>
    </row>
    <row r="40" spans="1:1" ht="19.95" customHeight="1">
      <c r="A40" s="318" t="s">
        <v>1103</v>
      </c>
    </row>
  </sheetData>
  <mergeCells count="20">
    <mergeCell ref="A26:D26"/>
    <mergeCell ref="A27:D27"/>
    <mergeCell ref="A28:D28"/>
    <mergeCell ref="A23:D23"/>
    <mergeCell ref="A7:A9"/>
    <mergeCell ref="A22:D22"/>
    <mergeCell ref="A24:D24"/>
    <mergeCell ref="A25:D25"/>
    <mergeCell ref="B7:B9"/>
    <mergeCell ref="D7:D8"/>
    <mergeCell ref="C7:C9"/>
    <mergeCell ref="J7:J8"/>
    <mergeCell ref="K7:K8"/>
    <mergeCell ref="A1:M1"/>
    <mergeCell ref="A2:M2"/>
    <mergeCell ref="E7:E8"/>
    <mergeCell ref="M7:M9"/>
    <mergeCell ref="F7:H7"/>
    <mergeCell ref="I7:I8"/>
    <mergeCell ref="L7:L9"/>
  </mergeCells>
  <phoneticPr fontId="10" type="noConversion"/>
  <dataValidations count="1">
    <dataValidation type="list" allowBlank="1" showInputMessage="1" showErrorMessage="1" sqref="C10:C21">
      <formula1>"√,×"</formula1>
    </dataValidation>
  </dataValidations>
  <hyperlinks>
    <hyperlink ref="M3" location="底稿目录!A1" display="H1-12"/>
  </hyperlinks>
  <printOptions horizontalCentered="1"/>
  <pageMargins left="0.51181102362204722" right="0.31496062992125984" top="0.55118110236220474" bottom="0.35433070866141736" header="0.51181102362204722" footer="0.19685039370078741"/>
  <pageSetup paperSize="9" scale="75" fitToHeight="50" orientation="landscape" blackAndWhite="1" r:id="rId1"/>
  <headerFooter alignWithMargins="0">
    <oddFooter>&amp;C&amp;P/&amp;N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AB88"/>
  <sheetViews>
    <sheetView view="pageBreakPreview" zoomScaleNormal="115" zoomScaleSheetLayoutView="100" workbookViewId="0">
      <selection sqref="A1:O1"/>
    </sheetView>
  </sheetViews>
  <sheetFormatPr defaultColWidth="9" defaultRowHeight="19.95" customHeight="1"/>
  <cols>
    <col min="1" max="1" width="18.69921875" style="2" customWidth="1"/>
    <col min="2" max="2" width="8.8984375" style="2" customWidth="1"/>
    <col min="3" max="3" width="8.5" style="2" customWidth="1"/>
    <col min="4" max="4" width="8.8984375" style="2" customWidth="1"/>
    <col min="5" max="5" width="8" style="2" customWidth="1"/>
    <col min="6" max="6" width="7.8984375" style="2" customWidth="1"/>
    <col min="7" max="7" width="7.3984375" style="2" customWidth="1"/>
    <col min="8" max="8" width="8.8984375" style="2" customWidth="1"/>
    <col min="9" max="9" width="9.19921875" style="2" customWidth="1"/>
    <col min="10" max="10" width="6.59765625" style="2" customWidth="1"/>
    <col min="11" max="11" width="9.69921875" style="2" customWidth="1"/>
    <col min="12" max="12" width="8.59765625" style="2" customWidth="1"/>
    <col min="13" max="13" width="10.09765625" style="2" customWidth="1"/>
    <col min="14" max="14" width="9.69921875" style="2" customWidth="1"/>
    <col min="15" max="15" width="5.19921875" style="2" bestFit="1" customWidth="1"/>
    <col min="16" max="16384" width="9" style="2"/>
  </cols>
  <sheetData>
    <row r="1" spans="1:28" s="13" customFormat="1" ht="19.95" customHeight="1">
      <c r="A1" s="745" t="s">
        <v>1039</v>
      </c>
      <c r="B1" s="824"/>
      <c r="C1" s="824"/>
      <c r="D1" s="824"/>
      <c r="E1" s="824"/>
      <c r="F1" s="824"/>
      <c r="G1" s="824"/>
      <c r="H1" s="824"/>
      <c r="I1" s="824"/>
      <c r="J1" s="824"/>
      <c r="K1" s="824"/>
      <c r="L1" s="824"/>
      <c r="M1" s="824"/>
      <c r="N1" s="824"/>
      <c r="O1" s="824"/>
    </row>
    <row r="2" spans="1:28" s="458" customFormat="1" ht="19.95" customHeight="1">
      <c r="A2" s="746" t="s">
        <v>1057</v>
      </c>
      <c r="B2" s="746"/>
      <c r="C2" s="746"/>
      <c r="D2" s="746"/>
      <c r="E2" s="746"/>
      <c r="F2" s="746"/>
      <c r="G2" s="746"/>
      <c r="H2" s="746"/>
      <c r="I2" s="746"/>
      <c r="J2" s="746"/>
      <c r="K2" s="746"/>
      <c r="L2" s="746"/>
      <c r="M2" s="746"/>
      <c r="N2" s="746"/>
      <c r="O2" s="746"/>
    </row>
    <row r="3" spans="1:28" ht="19.95" customHeight="1">
      <c r="A3" s="2" t="str">
        <f>底稿目录!A2</f>
        <v>被审计单位：</v>
      </c>
      <c r="B3" s="22"/>
      <c r="E3" s="2" t="str">
        <f>底稿目录!A4</f>
        <v>编制人：</v>
      </c>
      <c r="F3" s="14"/>
      <c r="I3" s="2" t="str">
        <f>底稿目录!A5</f>
        <v>编制日期：</v>
      </c>
      <c r="J3" s="103"/>
      <c r="N3" s="181" t="s">
        <v>785</v>
      </c>
      <c r="O3" s="452" t="s">
        <v>312</v>
      </c>
    </row>
    <row r="4" spans="1:28" ht="19.95" customHeight="1">
      <c r="A4" s="2" t="str">
        <f>底稿目录!A3</f>
        <v>截止日：202X年12月31日</v>
      </c>
      <c r="B4" s="22"/>
      <c r="E4" s="2" t="str">
        <f>底稿目录!A6</f>
        <v>复核人：</v>
      </c>
      <c r="F4" s="14"/>
      <c r="I4" s="2" t="str">
        <f>底稿目录!A7</f>
        <v>复核日期：</v>
      </c>
      <c r="J4" s="103"/>
      <c r="N4" s="475" t="s">
        <v>1064</v>
      </c>
    </row>
    <row r="5" spans="1:28" s="308" customFormat="1" ht="19.95" customHeight="1">
      <c r="A5" s="229" t="s">
        <v>742</v>
      </c>
      <c r="B5" s="605"/>
      <c r="G5" s="632"/>
      <c r="I5" s="632"/>
      <c r="K5" s="589"/>
      <c r="L5" s="587"/>
      <c r="V5" s="585"/>
      <c r="W5" s="585"/>
      <c r="X5" s="585"/>
      <c r="Y5" s="585"/>
      <c r="Z5" s="585"/>
      <c r="AA5" s="585"/>
      <c r="AB5" s="585"/>
    </row>
    <row r="6" spans="1:28" s="308" customFormat="1" ht="19.95" customHeight="1">
      <c r="A6" s="586" t="s">
        <v>379</v>
      </c>
      <c r="B6" s="305"/>
      <c r="G6" s="632"/>
      <c r="K6" s="589"/>
      <c r="L6" s="587"/>
      <c r="V6" s="585"/>
      <c r="W6" s="585"/>
      <c r="X6" s="585"/>
      <c r="Y6" s="585"/>
      <c r="Z6" s="585"/>
      <c r="AA6" s="585"/>
      <c r="AB6" s="585"/>
    </row>
    <row r="7" spans="1:28" ht="19.95" customHeight="1">
      <c r="A7" s="26" t="s">
        <v>817</v>
      </c>
      <c r="G7" s="14"/>
    </row>
    <row r="8" spans="1:28" ht="19.95" customHeight="1">
      <c r="A8" s="738" t="s">
        <v>13</v>
      </c>
      <c r="B8" s="75" t="s">
        <v>818</v>
      </c>
      <c r="C8" s="75"/>
      <c r="D8" s="75"/>
      <c r="E8" s="75"/>
      <c r="F8" s="75"/>
      <c r="G8" s="76"/>
      <c r="H8" s="75" t="s">
        <v>819</v>
      </c>
      <c r="I8" s="75"/>
      <c r="J8" s="75"/>
      <c r="K8" s="75"/>
      <c r="L8" s="75"/>
      <c r="M8" s="75"/>
      <c r="N8" s="738" t="s">
        <v>820</v>
      </c>
      <c r="O8" s="738" t="s">
        <v>821</v>
      </c>
    </row>
    <row r="9" spans="1:28" ht="24">
      <c r="A9" s="738"/>
      <c r="B9" s="241" t="s">
        <v>15</v>
      </c>
      <c r="C9" s="241" t="s">
        <v>822</v>
      </c>
      <c r="D9" s="241" t="s">
        <v>807</v>
      </c>
      <c r="E9" s="241" t="s">
        <v>822</v>
      </c>
      <c r="F9" s="241" t="s">
        <v>823</v>
      </c>
      <c r="G9" s="241" t="s">
        <v>824</v>
      </c>
      <c r="H9" s="241" t="s">
        <v>825</v>
      </c>
      <c r="I9" s="241" t="s">
        <v>808</v>
      </c>
      <c r="J9" s="241" t="s">
        <v>826</v>
      </c>
      <c r="K9" s="241" t="s">
        <v>17</v>
      </c>
      <c r="L9" s="241" t="s">
        <v>18</v>
      </c>
      <c r="M9" s="241" t="s">
        <v>827</v>
      </c>
      <c r="N9" s="738"/>
      <c r="O9" s="738"/>
    </row>
    <row r="10" spans="1:28" ht="19.95" customHeight="1">
      <c r="A10" s="16"/>
      <c r="B10" s="49"/>
      <c r="C10" s="50"/>
      <c r="D10" s="49"/>
      <c r="E10" s="50"/>
      <c r="F10" s="49"/>
      <c r="G10" s="50"/>
      <c r="H10" s="49"/>
      <c r="I10" s="49"/>
      <c r="J10" s="49"/>
      <c r="K10" s="49"/>
      <c r="L10" s="49"/>
      <c r="M10" s="204">
        <f>SUM(H10:L10)</f>
        <v>0</v>
      </c>
      <c r="N10" s="204">
        <f>IF(B10&gt;0,B10,IF(D10&gt;0,D10,F10))-M10</f>
        <v>0</v>
      </c>
      <c r="O10" s="16"/>
    </row>
    <row r="11" spans="1:28" ht="19.95" customHeight="1">
      <c r="A11" s="16"/>
      <c r="B11" s="49"/>
      <c r="C11" s="50"/>
      <c r="D11" s="49"/>
      <c r="E11" s="50"/>
      <c r="F11" s="49"/>
      <c r="G11" s="50"/>
      <c r="H11" s="49"/>
      <c r="I11" s="49"/>
      <c r="J11" s="49"/>
      <c r="K11" s="49"/>
      <c r="L11" s="49"/>
      <c r="M11" s="204">
        <f>SUM(H11:L11)</f>
        <v>0</v>
      </c>
      <c r="N11" s="204">
        <f>IF(B11&gt;0,B11,IF(D11&gt;0,D11,F11))-M11</f>
        <v>0</v>
      </c>
      <c r="O11" s="16"/>
    </row>
    <row r="12" spans="1:28" ht="19.95" customHeight="1">
      <c r="A12" s="16"/>
      <c r="B12" s="49"/>
      <c r="C12" s="50"/>
      <c r="D12" s="49"/>
      <c r="E12" s="50"/>
      <c r="F12" s="49"/>
      <c r="G12" s="50"/>
      <c r="H12" s="49"/>
      <c r="I12" s="49"/>
      <c r="J12" s="49"/>
      <c r="K12" s="49"/>
      <c r="L12" s="49"/>
      <c r="M12" s="204">
        <f>SUM(H12:L12)</f>
        <v>0</v>
      </c>
      <c r="N12" s="204">
        <f>IF(B12&gt;0,B12,IF(D12&gt;0,D12,F12))-M12</f>
        <v>0</v>
      </c>
      <c r="O12" s="16"/>
    </row>
    <row r="13" spans="1:28" s="26" customFormat="1" ht="19.95" customHeight="1">
      <c r="A13" s="133" t="s">
        <v>1002</v>
      </c>
      <c r="B13" s="206">
        <f>SUM(B10:B12)</f>
        <v>0</v>
      </c>
      <c r="C13" s="206"/>
      <c r="D13" s="206">
        <f>SUM(D10:D12)</f>
        <v>0</v>
      </c>
      <c r="E13" s="206"/>
      <c r="F13" s="206">
        <f>SUM(F10:F12)</f>
        <v>0</v>
      </c>
      <c r="G13" s="206"/>
      <c r="H13" s="206">
        <f t="shared" ref="H13:N13" si="0">SUM(H10:H12)</f>
        <v>0</v>
      </c>
      <c r="I13" s="206">
        <f t="shared" si="0"/>
        <v>0</v>
      </c>
      <c r="J13" s="206">
        <f t="shared" si="0"/>
        <v>0</v>
      </c>
      <c r="K13" s="206">
        <f t="shared" si="0"/>
        <v>0</v>
      </c>
      <c r="L13" s="206">
        <f t="shared" si="0"/>
        <v>0</v>
      </c>
      <c r="M13" s="206">
        <f t="shared" si="0"/>
        <v>0</v>
      </c>
      <c r="N13" s="206">
        <f t="shared" si="0"/>
        <v>0</v>
      </c>
      <c r="O13" s="423"/>
      <c r="P13" s="424"/>
    </row>
    <row r="14" spans="1:28" s="28" customFormat="1" ht="19.95" customHeight="1">
      <c r="A14" s="36" t="s">
        <v>19</v>
      </c>
    </row>
    <row r="15" spans="1:28" s="28" customFormat="1" ht="19.95" customHeight="1"/>
    <row r="16" spans="1:28" ht="19.95" customHeight="1">
      <c r="A16" s="26" t="s">
        <v>20</v>
      </c>
      <c r="G16" s="14"/>
    </row>
    <row r="17" spans="1:15" ht="19.95" customHeight="1">
      <c r="A17" s="738" t="s">
        <v>21</v>
      </c>
      <c r="B17" s="75" t="s">
        <v>22</v>
      </c>
      <c r="C17" s="75"/>
      <c r="D17" s="75"/>
      <c r="E17" s="75"/>
      <c r="F17" s="75"/>
      <c r="G17" s="75" t="s">
        <v>23</v>
      </c>
      <c r="H17" s="75"/>
      <c r="I17" s="823" t="s">
        <v>24</v>
      </c>
      <c r="J17" s="823" t="s">
        <v>25</v>
      </c>
      <c r="K17" s="823" t="s">
        <v>26</v>
      </c>
      <c r="L17" s="738" t="s">
        <v>27</v>
      </c>
      <c r="M17" s="738"/>
      <c r="N17" s="738" t="s">
        <v>28</v>
      </c>
      <c r="O17" s="738" t="s">
        <v>14</v>
      </c>
    </row>
    <row r="18" spans="1:15" ht="19.95" customHeight="1">
      <c r="A18" s="738"/>
      <c r="B18" s="241" t="s">
        <v>828</v>
      </c>
      <c r="C18" s="241" t="s">
        <v>29</v>
      </c>
      <c r="D18" s="241" t="s">
        <v>30</v>
      </c>
      <c r="E18" s="241" t="s">
        <v>31</v>
      </c>
      <c r="F18" s="241" t="s">
        <v>829</v>
      </c>
      <c r="G18" s="241" t="s">
        <v>32</v>
      </c>
      <c r="H18" s="241" t="s">
        <v>830</v>
      </c>
      <c r="I18" s="823"/>
      <c r="J18" s="823"/>
      <c r="K18" s="823"/>
      <c r="L18" s="738"/>
      <c r="M18" s="738"/>
      <c r="N18" s="738"/>
      <c r="O18" s="738"/>
    </row>
    <row r="19" spans="1:15" ht="19.95" customHeight="1">
      <c r="A19" s="16" t="s">
        <v>33</v>
      </c>
      <c r="B19" s="49"/>
      <c r="C19" s="49"/>
      <c r="D19" s="49"/>
      <c r="E19" s="49"/>
      <c r="F19" s="49"/>
      <c r="G19" s="204">
        <f>F19</f>
        <v>0</v>
      </c>
      <c r="H19" s="51"/>
      <c r="I19" s="51"/>
      <c r="J19" s="51"/>
      <c r="K19" s="51"/>
      <c r="L19" s="17"/>
      <c r="M19" s="121"/>
      <c r="N19" s="132"/>
      <c r="O19" s="822"/>
    </row>
    <row r="20" spans="1:15" ht="19.95" customHeight="1">
      <c r="A20" s="16" t="s">
        <v>34</v>
      </c>
      <c r="B20" s="425" t="e">
        <f>1/(1+$K$24)^1</f>
        <v>#DIV/0!</v>
      </c>
      <c r="C20" s="425" t="e">
        <f>1/(1+$K$24)^2</f>
        <v>#DIV/0!</v>
      </c>
      <c r="D20" s="425" t="e">
        <f>1/(1+$K$24)^3</f>
        <v>#DIV/0!</v>
      </c>
      <c r="E20" s="425" t="e">
        <f>1/(1+$K$24)^4</f>
        <v>#DIV/0!</v>
      </c>
      <c r="F20" s="425" t="e">
        <f>1/(1+$K$24)^5</f>
        <v>#DIV/0!</v>
      </c>
      <c r="G20" s="425" t="e">
        <f>(1+H19)/((J24-H19)*(1+K24)^5)</f>
        <v>#DIV/0!</v>
      </c>
      <c r="H20" s="324" t="s">
        <v>831</v>
      </c>
      <c r="I20" s="49"/>
      <c r="J20" s="134"/>
      <c r="K20" s="135"/>
      <c r="L20" s="136"/>
      <c r="M20" s="135"/>
      <c r="N20" s="132"/>
      <c r="O20" s="822"/>
    </row>
    <row r="21" spans="1:15" ht="19.95" customHeight="1">
      <c r="A21" s="16" t="s">
        <v>35</v>
      </c>
      <c r="B21" s="208" t="e">
        <f t="shared" ref="B21:G21" si="1">B19*B20</f>
        <v>#DIV/0!</v>
      </c>
      <c r="C21" s="208" t="e">
        <f t="shared" si="1"/>
        <v>#DIV/0!</v>
      </c>
      <c r="D21" s="208" t="e">
        <f t="shared" si="1"/>
        <v>#DIV/0!</v>
      </c>
      <c r="E21" s="208" t="e">
        <f t="shared" si="1"/>
        <v>#DIV/0!</v>
      </c>
      <c r="F21" s="208" t="e">
        <f t="shared" si="1"/>
        <v>#DIV/0!</v>
      </c>
      <c r="G21" s="208" t="e">
        <f t="shared" si="1"/>
        <v>#DIV/0!</v>
      </c>
      <c r="H21" s="324" t="s">
        <v>832</v>
      </c>
      <c r="I21" s="49"/>
      <c r="J21" s="134"/>
      <c r="K21" s="135"/>
      <c r="L21" s="136"/>
      <c r="M21" s="135"/>
      <c r="N21" s="204" t="e">
        <f>SUM(B21:G21)</f>
        <v>#DIV/0!</v>
      </c>
      <c r="O21" s="822"/>
    </row>
    <row r="22" spans="1:15" ht="19.95" customHeight="1">
      <c r="A22" s="738" t="s">
        <v>36</v>
      </c>
      <c r="B22" s="241" t="s">
        <v>37</v>
      </c>
      <c r="C22" s="738" t="s">
        <v>38</v>
      </c>
      <c r="D22" s="738" t="s">
        <v>39</v>
      </c>
      <c r="E22" s="738" t="s">
        <v>833</v>
      </c>
      <c r="F22" s="738" t="s">
        <v>82</v>
      </c>
      <c r="G22" s="738" t="s">
        <v>40</v>
      </c>
      <c r="H22" s="738" t="s">
        <v>810</v>
      </c>
      <c r="I22" s="738" t="s">
        <v>41</v>
      </c>
      <c r="J22" s="738" t="s">
        <v>42</v>
      </c>
      <c r="K22" s="738" t="s">
        <v>809</v>
      </c>
      <c r="L22" s="739" t="s">
        <v>43</v>
      </c>
      <c r="M22" s="739"/>
      <c r="N22" s="738" t="s">
        <v>44</v>
      </c>
      <c r="O22" s="738" t="s">
        <v>14</v>
      </c>
    </row>
    <row r="23" spans="1:15" ht="19.95" customHeight="1">
      <c r="A23" s="738"/>
      <c r="B23" s="241" t="s">
        <v>45</v>
      </c>
      <c r="C23" s="738"/>
      <c r="D23" s="738"/>
      <c r="E23" s="738"/>
      <c r="F23" s="738"/>
      <c r="G23" s="738"/>
      <c r="H23" s="738"/>
      <c r="I23" s="738"/>
      <c r="J23" s="738"/>
      <c r="K23" s="738"/>
      <c r="L23" s="241" t="s">
        <v>46</v>
      </c>
      <c r="M23" s="95" t="s">
        <v>47</v>
      </c>
      <c r="N23" s="738"/>
      <c r="O23" s="738"/>
    </row>
    <row r="24" spans="1:15" ht="19.95" customHeight="1">
      <c r="A24" s="16" t="s">
        <v>48</v>
      </c>
      <c r="B24" s="52"/>
      <c r="C24" s="49"/>
      <c r="D24" s="49"/>
      <c r="E24" s="32"/>
      <c r="F24" s="32"/>
      <c r="G24" s="50"/>
      <c r="H24" s="32"/>
      <c r="I24" s="204">
        <f>F24+G24*(H24-F24)</f>
        <v>0</v>
      </c>
      <c r="J24" s="204" t="e">
        <f>((C24*E24*(1-B24)+D24*I24))/(C24+D24)</f>
        <v>#DIV/0!</v>
      </c>
      <c r="K24" s="204" t="e">
        <f>J24/(1-(B24+L24))</f>
        <v>#DIV/0!</v>
      </c>
      <c r="L24" s="32"/>
      <c r="M24" s="46"/>
      <c r="N24" s="204" t="e">
        <f>MAX(N13,N21)</f>
        <v>#DIV/0!</v>
      </c>
      <c r="O24" s="52"/>
    </row>
    <row r="25" spans="1:15" s="28" customFormat="1" ht="19.95" customHeight="1">
      <c r="A25" s="36" t="s">
        <v>19</v>
      </c>
    </row>
    <row r="26" spans="1:15" s="28" customFormat="1" ht="19.95" customHeight="1"/>
    <row r="27" spans="1:15" s="28" customFormat="1" ht="19.95" customHeight="1">
      <c r="A27" s="26" t="s">
        <v>49</v>
      </c>
    </row>
    <row r="28" spans="1:15" s="28" customFormat="1" ht="19.95" customHeight="1">
      <c r="A28" s="100"/>
      <c r="B28" s="209" t="e">
        <f>N24</f>
        <v>#DIV/0!</v>
      </c>
      <c r="C28" s="28" t="s">
        <v>50</v>
      </c>
    </row>
    <row r="29" spans="1:15" s="28" customFormat="1" ht="19.95" customHeight="1">
      <c r="A29" s="36" t="s">
        <v>428</v>
      </c>
      <c r="B29" s="65"/>
    </row>
    <row r="30" spans="1:15" s="28" customFormat="1" ht="19.95" customHeight="1">
      <c r="A30" s="100"/>
      <c r="B30" s="65"/>
    </row>
    <row r="31" spans="1:15" s="28" customFormat="1" ht="19.95" customHeight="1">
      <c r="A31" s="100"/>
      <c r="B31" s="65"/>
    </row>
    <row r="32" spans="1:15" s="28" customFormat="1" ht="19.95" customHeight="1">
      <c r="A32" s="36" t="s">
        <v>376</v>
      </c>
      <c r="B32" s="65"/>
    </row>
    <row r="33" spans="1:1" s="28" customFormat="1" ht="19.95" customHeight="1"/>
    <row r="34" spans="1:1" s="28" customFormat="1" ht="19.95" customHeight="1"/>
    <row r="35" spans="1:1" s="28" customFormat="1" ht="19.95" customHeight="1"/>
    <row r="36" spans="1:1" s="28" customFormat="1" ht="19.95" customHeight="1">
      <c r="A36" s="506" t="s">
        <v>1105</v>
      </c>
    </row>
    <row r="37" spans="1:1" s="28" customFormat="1" ht="19.95" customHeight="1">
      <c r="A37" s="53" t="s">
        <v>51</v>
      </c>
    </row>
    <row r="38" spans="1:1" s="28" customFormat="1" ht="19.95" customHeight="1">
      <c r="A38" s="53"/>
    </row>
    <row r="39" spans="1:1" s="28" customFormat="1" ht="19.95" customHeight="1">
      <c r="A39" s="53" t="s">
        <v>52</v>
      </c>
    </row>
    <row r="40" spans="1:1" s="28" customFormat="1" ht="19.95" customHeight="1">
      <c r="A40" s="53" t="s">
        <v>53</v>
      </c>
    </row>
    <row r="41" spans="1:1" s="28" customFormat="1" ht="19.95" customHeight="1">
      <c r="A41" s="53" t="s">
        <v>54</v>
      </c>
    </row>
    <row r="42" spans="1:1" s="28" customFormat="1" ht="19.95" customHeight="1">
      <c r="A42" s="53" t="s">
        <v>55</v>
      </c>
    </row>
    <row r="43" spans="1:1" s="28" customFormat="1" ht="19.95" customHeight="1">
      <c r="A43" s="53" t="s">
        <v>56</v>
      </c>
    </row>
    <row r="44" spans="1:1" s="28" customFormat="1" ht="19.95" customHeight="1"/>
    <row r="45" spans="1:1" s="28" customFormat="1" ht="19.95" customHeight="1">
      <c r="A45" s="53" t="s">
        <v>57</v>
      </c>
    </row>
    <row r="46" spans="1:1" s="28" customFormat="1" ht="19.95" customHeight="1">
      <c r="A46" s="33"/>
    </row>
    <row r="47" spans="1:1" s="28" customFormat="1" ht="19.95" customHeight="1">
      <c r="A47" s="53"/>
    </row>
    <row r="48" spans="1:1" s="28" customFormat="1" ht="19.95" customHeight="1">
      <c r="A48" s="53"/>
    </row>
    <row r="49" spans="1:5" s="28" customFormat="1" ht="19.95" customHeight="1">
      <c r="A49" s="53"/>
    </row>
    <row r="50" spans="1:5" s="28" customFormat="1" ht="19.95" customHeight="1">
      <c r="A50" s="53" t="s">
        <v>58</v>
      </c>
    </row>
    <row r="51" spans="1:5" s="28" customFormat="1" ht="19.95" customHeight="1">
      <c r="A51" s="53" t="s">
        <v>59</v>
      </c>
    </row>
    <row r="52" spans="1:5" s="28" customFormat="1" ht="19.95" customHeight="1">
      <c r="A52" s="53" t="s">
        <v>60</v>
      </c>
    </row>
    <row r="53" spans="1:5" s="28" customFormat="1" ht="19.95" customHeight="1">
      <c r="A53" s="53" t="s">
        <v>61</v>
      </c>
    </row>
    <row r="54" spans="1:5" s="28" customFormat="1" ht="19.95" customHeight="1">
      <c r="A54" s="53" t="s">
        <v>62</v>
      </c>
    </row>
    <row r="55" spans="1:5" s="28" customFormat="1" ht="19.95" customHeight="1">
      <c r="A55" s="53" t="s">
        <v>63</v>
      </c>
    </row>
    <row r="56" spans="1:5" s="28" customFormat="1" ht="19.95" customHeight="1">
      <c r="A56" s="53" t="s">
        <v>64</v>
      </c>
    </row>
    <row r="57" spans="1:5" s="28" customFormat="1" ht="19.95" customHeight="1">
      <c r="A57" s="120" t="s">
        <v>65</v>
      </c>
    </row>
    <row r="59" spans="1:5" s="28" customFormat="1" ht="19.95" customHeight="1">
      <c r="A59" s="53" t="s">
        <v>66</v>
      </c>
    </row>
    <row r="60" spans="1:5" s="28" customFormat="1" ht="19.95" customHeight="1">
      <c r="A60" s="53" t="s">
        <v>67</v>
      </c>
    </row>
    <row r="61" spans="1:5" s="28" customFormat="1" ht="19.95" customHeight="1">
      <c r="A61" s="53" t="s">
        <v>68</v>
      </c>
    </row>
    <row r="62" spans="1:5" s="28" customFormat="1" ht="19.95" customHeight="1">
      <c r="E62" s="33"/>
    </row>
    <row r="63" spans="1:5" s="28" customFormat="1" ht="19.95" customHeight="1"/>
    <row r="64" spans="1:5" s="28" customFormat="1" ht="19.95" customHeight="1"/>
    <row r="65" spans="1:1" s="28" customFormat="1" ht="19.95" customHeight="1">
      <c r="A65" s="28" t="s">
        <v>69</v>
      </c>
    </row>
    <row r="66" spans="1:1" s="28" customFormat="1" ht="19.95" customHeight="1">
      <c r="A66" s="28" t="s">
        <v>70</v>
      </c>
    </row>
    <row r="67" spans="1:1" s="28" customFormat="1" ht="19.95" customHeight="1">
      <c r="A67" s="26" t="s">
        <v>71</v>
      </c>
    </row>
    <row r="68" spans="1:1" s="28" customFormat="1" ht="19.95" customHeight="1">
      <c r="A68" s="2" t="s">
        <v>72</v>
      </c>
    </row>
    <row r="69" spans="1:1" s="28" customFormat="1" ht="19.95" customHeight="1">
      <c r="A69" s="2" t="s">
        <v>73</v>
      </c>
    </row>
    <row r="70" spans="1:1" s="28" customFormat="1" ht="19.95" customHeight="1">
      <c r="A70" s="2" t="s">
        <v>74</v>
      </c>
    </row>
    <row r="71" spans="1:1" ht="19.95" customHeight="1">
      <c r="A71" s="26" t="s">
        <v>75</v>
      </c>
    </row>
    <row r="72" spans="1:1" ht="19.95" customHeight="1">
      <c r="A72" s="2" t="s">
        <v>76</v>
      </c>
    </row>
    <row r="73" spans="1:1" ht="19.95" customHeight="1">
      <c r="A73" s="2" t="s">
        <v>77</v>
      </c>
    </row>
    <row r="74" spans="1:1" ht="19.95" customHeight="1">
      <c r="A74" s="26" t="s">
        <v>78</v>
      </c>
    </row>
    <row r="75" spans="1:1" ht="19.95" customHeight="1">
      <c r="A75" s="2" t="s">
        <v>79</v>
      </c>
    </row>
    <row r="76" spans="1:1" ht="19.95" customHeight="1">
      <c r="A76" s="2" t="s">
        <v>80</v>
      </c>
    </row>
    <row r="77" spans="1:1" ht="19.95" customHeight="1">
      <c r="A77" s="2" t="s">
        <v>81</v>
      </c>
    </row>
    <row r="78" spans="1:1" ht="19.95" customHeight="1">
      <c r="A78" s="26" t="s">
        <v>82</v>
      </c>
    </row>
    <row r="79" spans="1:1" ht="19.95" customHeight="1">
      <c r="A79" s="2" t="s">
        <v>83</v>
      </c>
    </row>
    <row r="80" spans="1:1" ht="19.95" customHeight="1">
      <c r="A80" s="26" t="s">
        <v>810</v>
      </c>
    </row>
    <row r="81" spans="1:1" ht="19.95" customHeight="1">
      <c r="A81" s="2" t="s">
        <v>811</v>
      </c>
    </row>
    <row r="82" spans="1:1" ht="19.95" customHeight="1">
      <c r="A82" s="2" t="s">
        <v>812</v>
      </c>
    </row>
    <row r="83" spans="1:1" ht="19.95" customHeight="1">
      <c r="A83" s="26" t="s">
        <v>40</v>
      </c>
    </row>
    <row r="84" spans="1:1" ht="19.95" customHeight="1">
      <c r="A84" s="2" t="s">
        <v>813</v>
      </c>
    </row>
    <row r="85" spans="1:1" ht="19.95" customHeight="1">
      <c r="A85" s="2" t="s">
        <v>814</v>
      </c>
    </row>
    <row r="86" spans="1:1" ht="19.95" customHeight="1">
      <c r="A86" s="2" t="s">
        <v>815</v>
      </c>
    </row>
    <row r="87" spans="1:1" s="28" customFormat="1" ht="19.95" customHeight="1"/>
    <row r="88" spans="1:1" s="28" customFormat="1" ht="19.95" customHeight="1">
      <c r="A88" s="53" t="s">
        <v>816</v>
      </c>
    </row>
  </sheetData>
  <mergeCells count="26">
    <mergeCell ref="A1:O1"/>
    <mergeCell ref="A2:O2"/>
    <mergeCell ref="A8:A9"/>
    <mergeCell ref="N8:N9"/>
    <mergeCell ref="O8:O9"/>
    <mergeCell ref="N17:N18"/>
    <mergeCell ref="O17:O18"/>
    <mergeCell ref="O19:O21"/>
    <mergeCell ref="A22:A23"/>
    <mergeCell ref="C22:C23"/>
    <mergeCell ref="D22:D23"/>
    <mergeCell ref="E22:E23"/>
    <mergeCell ref="F22:F23"/>
    <mergeCell ref="G22:G23"/>
    <mergeCell ref="A17:A18"/>
    <mergeCell ref="I17:I18"/>
    <mergeCell ref="J17:J18"/>
    <mergeCell ref="K17:K18"/>
    <mergeCell ref="L17:M18"/>
    <mergeCell ref="O22:O23"/>
    <mergeCell ref="N22:N23"/>
    <mergeCell ref="H22:H23"/>
    <mergeCell ref="I22:I23"/>
    <mergeCell ref="J22:J23"/>
    <mergeCell ref="K22:K23"/>
    <mergeCell ref="L22:M22"/>
  </mergeCells>
  <phoneticPr fontId="10" type="noConversion"/>
  <dataValidations count="2">
    <dataValidation allowBlank="1" showInputMessage="1" showErrorMessage="1" prompt="可使用万德（Wind）的BETA计算器计算β系数。" sqref="G24 JC24 SY24 ACU24 AMQ24 AWM24 BGI24 BQE24 CAA24 CJW24 CTS24 DDO24 DNK24 DXG24 EHC24 EQY24 FAU24 FKQ24 FUM24 GEI24 GOE24 GYA24 HHW24 HRS24 IBO24 ILK24 IVG24 JFC24 JOY24 JYU24 KIQ24 KSM24 LCI24 LME24 LWA24 MFW24 MPS24 MZO24 NJK24 NTG24 ODC24 OMY24 OWU24 PGQ24 PQM24 QAI24 QKE24 QUA24 RDW24 RNS24 RXO24 SHK24 SRG24 TBC24 TKY24 TUU24 UEQ24 UOM24 UYI24 VIE24 VSA24 WBW24 WLS24 WVO24"/>
    <dataValidation allowBlank="1" showInputMessage="1" showErrorMessage="1" prompt="可使用万德（Wind）的WACC计算器取数。" sqref="H24 JD24 SZ24 ACV24 AMR24 AWN24 BGJ24 BQF24 CAB24 CJX24 CTT24 DDP24 DNL24 DXH24 EHD24 EQZ24 FAV24 FKR24 FUN24 GEJ24 GOF24 GYB24 HHX24 HRT24 IBP24 ILL24 IVH24 JFD24 JOZ24 JYV24 KIR24 KSN24 LCJ24 LMF24 LWB24 MFX24 MPT24 MZP24 NJL24 NTH24 ODD24 OMZ24 OWV24 PGR24 PQN24 QAJ24 QKF24 QUB24 RDX24 RNT24 RXP24 SHL24 SRH24 TBD24 TKZ24 TUV24 UER24 UON24 UYJ24 VIF24 VSB24 WBX24 WLT24 WVP24 E24:F24 JA24:JB24 SW24:SX24 ACS24:ACT24 AMO24:AMP24 AWK24:AWL24 BGG24:BGH24 BQC24:BQD24 BZY24:BZZ24 CJU24:CJV24 CTQ24:CTR24 DDM24:DDN24 DNI24:DNJ24 DXE24:DXF24 EHA24:EHB24 EQW24:EQX24 FAS24:FAT24 FKO24:FKP24 FUK24:FUL24 GEG24:GEH24 GOC24:GOD24 GXY24:GXZ24 HHU24:HHV24 HRQ24:HRR24 IBM24:IBN24 ILI24:ILJ24 IVE24:IVF24 JFA24:JFB24 JOW24:JOX24 JYS24:JYT24 KIO24:KIP24 KSK24:KSL24 LCG24:LCH24 LMC24:LMD24 LVY24:LVZ24 MFU24:MFV24 MPQ24:MPR24 MZM24:MZN24 NJI24:NJJ24 NTE24:NTF24 ODA24:ODB24 OMW24:OMX24 OWS24:OWT24 PGO24:PGP24 PQK24:PQL24 QAG24:QAH24 QKC24:QKD24 QTY24:QTZ24 RDU24:RDV24 RNQ24:RNR24 RXM24:RXN24 SHI24:SHJ24 SRE24:SRF24 TBA24:TBB24 TKW24:TKX24 TUS24:TUT24 UEO24:UEP24 UOK24:UOL24 UYG24:UYH24 VIC24:VID24 VRY24:VRZ24 WBU24:WBV24 WLQ24:WLR24 WVM24:WVN24"/>
  </dataValidations>
  <hyperlinks>
    <hyperlink ref="O3" location="底稿目录!A1" display="H1-12"/>
  </hyperlinks>
  <printOptions horizontalCentered="1"/>
  <pageMargins left="0.70866141732283472" right="0.70866141732283472" top="0.74803149606299213" bottom="0.74803149606299213" header="0.31496062992125984" footer="0.31496062992125984"/>
  <pageSetup paperSize="9" scale="75" fitToHeight="50" orientation="landscape" blackAndWhite="1" r:id="rId1"/>
  <headerFooter alignWithMargins="0">
    <oddFooter>&amp;C&amp;P/&amp;N</oddFooter>
  </headerFooter>
  <drawing r:id="rId2"/>
  <legacyDrawing r:id="rId3"/>
  <oleObjects>
    <mc:AlternateContent xmlns:mc="http://schemas.openxmlformats.org/markup-compatibility/2006">
      <mc:Choice Requires="x14">
        <oleObject progId="Equation.3" shapeId="7169" r:id="rId4">
          <objectPr defaultSize="0" autoPict="0" r:id="rId5">
            <anchor moveWithCells="1" sizeWithCells="1">
              <from>
                <xdr:col>0</xdr:col>
                <xdr:colOff>99060</xdr:colOff>
                <xdr:row>55</xdr:row>
                <xdr:rowOff>45720</xdr:rowOff>
              </from>
              <to>
                <xdr:col>3</xdr:col>
                <xdr:colOff>0</xdr:colOff>
                <xdr:row>57</xdr:row>
                <xdr:rowOff>137160</xdr:rowOff>
              </to>
            </anchor>
          </objectPr>
        </oleObject>
      </mc:Choice>
      <mc:Fallback>
        <oleObject progId="Equation.3" shapeId="7169" r:id="rId4"/>
      </mc:Fallback>
    </mc:AlternateContent>
    <mc:AlternateContent xmlns:mc="http://schemas.openxmlformats.org/markup-compatibility/2006">
      <mc:Choice Requires="x14">
        <oleObject progId="Equation.3" shapeId="7170" r:id="rId6">
          <objectPr defaultSize="0" autoPict="0" r:id="rId7">
            <anchor moveWithCells="1" sizeWithCells="1">
              <from>
                <xdr:col>3</xdr:col>
                <xdr:colOff>655320</xdr:colOff>
                <xdr:row>55</xdr:row>
                <xdr:rowOff>144780</xdr:rowOff>
              </from>
              <to>
                <xdr:col>7</xdr:col>
                <xdr:colOff>198120</xdr:colOff>
                <xdr:row>57</xdr:row>
                <xdr:rowOff>76200</xdr:rowOff>
              </to>
            </anchor>
          </objectPr>
        </oleObject>
      </mc:Choice>
      <mc:Fallback>
        <oleObject progId="Equation.3" shapeId="7170" r:id="rId6"/>
      </mc:Fallback>
    </mc:AlternateContent>
    <mc:AlternateContent xmlns:mc="http://schemas.openxmlformats.org/markup-compatibility/2006">
      <mc:Choice Requires="x14">
        <oleObject progId="Equation.3" shapeId="7171" r:id="rId8">
          <objectPr defaultSize="0" autoPict="0" r:id="rId9">
            <anchor moveWithCells="1" sizeWithCells="1">
              <from>
                <xdr:col>0</xdr:col>
                <xdr:colOff>99060</xdr:colOff>
                <xdr:row>61</xdr:row>
                <xdr:rowOff>30480</xdr:rowOff>
              </from>
              <to>
                <xdr:col>3</xdr:col>
                <xdr:colOff>541020</xdr:colOff>
                <xdr:row>63</xdr:row>
                <xdr:rowOff>160020</xdr:rowOff>
              </to>
            </anchor>
          </objectPr>
        </oleObject>
      </mc:Choice>
      <mc:Fallback>
        <oleObject progId="Equation.3" shapeId="7171" r:id="rId8"/>
      </mc:Fallback>
    </mc:AlternateContent>
    <mc:AlternateContent xmlns:mc="http://schemas.openxmlformats.org/markup-compatibility/2006">
      <mc:Choice Requires="x14">
        <oleObject progId="Equation.3" shapeId="7172" r:id="rId10">
          <objectPr defaultSize="0" autoPict="0" r:id="rId7">
            <anchor moveWithCells="1" sizeWithCells="1">
              <from>
                <xdr:col>3</xdr:col>
                <xdr:colOff>655320</xdr:colOff>
                <xdr:row>61</xdr:row>
                <xdr:rowOff>144780</xdr:rowOff>
              </from>
              <to>
                <xdr:col>7</xdr:col>
                <xdr:colOff>198120</xdr:colOff>
                <xdr:row>63</xdr:row>
                <xdr:rowOff>76200</xdr:rowOff>
              </to>
            </anchor>
          </objectPr>
        </oleObject>
      </mc:Choice>
      <mc:Fallback>
        <oleObject progId="Equation.3" shapeId="7172" r:id="rId10"/>
      </mc:Fallback>
    </mc:AlternateContent>
    <mc:AlternateContent xmlns:mc="http://schemas.openxmlformats.org/markup-compatibility/2006">
      <mc:Choice Requires="x14">
        <oleObject progId="Equation.3" shapeId="7173" r:id="rId11">
          <objectPr defaultSize="0" autoPict="0" r:id="rId12">
            <anchor moveWithCells="1" sizeWithCells="1">
              <from>
                <xdr:col>0</xdr:col>
                <xdr:colOff>0</xdr:colOff>
                <xdr:row>45</xdr:row>
                <xdr:rowOff>0</xdr:rowOff>
              </from>
              <to>
                <xdr:col>7</xdr:col>
                <xdr:colOff>480060</xdr:colOff>
                <xdr:row>48</xdr:row>
                <xdr:rowOff>30480</xdr:rowOff>
              </to>
            </anchor>
          </objectPr>
        </oleObject>
      </mc:Choice>
      <mc:Fallback>
        <oleObject progId="Equation.3" shapeId="7173" r:id="rId11"/>
      </mc:Fallback>
    </mc:AlternateContent>
  </oleObjec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V98"/>
  <sheetViews>
    <sheetView view="pageBreakPreview" zoomScaleSheetLayoutView="100" workbookViewId="0">
      <selection sqref="A1:V1"/>
    </sheetView>
  </sheetViews>
  <sheetFormatPr defaultColWidth="9" defaultRowHeight="19.95" customHeight="1"/>
  <cols>
    <col min="1" max="1" width="12.296875" style="2" customWidth="1"/>
    <col min="2" max="6" width="11" style="2" customWidth="1"/>
    <col min="7" max="7" width="13.3984375" style="2" customWidth="1"/>
    <col min="8" max="8" width="14.19921875" style="2" customWidth="1"/>
    <col min="9" max="9" width="8.09765625" style="2" customWidth="1"/>
    <col min="10" max="10" width="11.8984375" style="2" customWidth="1"/>
    <col min="11" max="11" width="12.19921875" style="2" customWidth="1"/>
    <col min="12" max="12" width="9.3984375" style="2" customWidth="1"/>
    <col min="13" max="13" width="11.3984375" style="2" customWidth="1"/>
    <col min="14" max="14" width="7.59765625" style="2" customWidth="1"/>
    <col min="15" max="15" width="8.5" style="2" customWidth="1"/>
    <col min="16" max="16" width="11.296875" style="2" customWidth="1"/>
    <col min="17" max="17" width="11.19921875" style="2" customWidth="1"/>
    <col min="18" max="18" width="8.796875" style="2" customWidth="1"/>
    <col min="19" max="19" width="7" style="2" customWidth="1"/>
    <col min="20" max="21" width="9" style="2"/>
    <col min="22" max="22" width="9.09765625" style="2" customWidth="1"/>
    <col min="23" max="16384" width="9" style="2"/>
  </cols>
  <sheetData>
    <row r="1" spans="1:22" s="27" customFormat="1" ht="19.95" customHeight="1">
      <c r="A1" s="756" t="s">
        <v>1039</v>
      </c>
      <c r="B1" s="829"/>
      <c r="C1" s="829"/>
      <c r="D1" s="829"/>
      <c r="E1" s="829"/>
      <c r="F1" s="829"/>
      <c r="G1" s="829"/>
      <c r="H1" s="829"/>
      <c r="I1" s="829"/>
      <c r="J1" s="829"/>
      <c r="K1" s="829"/>
      <c r="L1" s="829"/>
      <c r="M1" s="829"/>
      <c r="N1" s="829"/>
      <c r="O1" s="829"/>
      <c r="P1" s="829"/>
      <c r="Q1" s="829"/>
      <c r="R1" s="829"/>
      <c r="S1" s="829"/>
      <c r="T1" s="829"/>
      <c r="U1" s="829"/>
      <c r="V1" s="829"/>
    </row>
    <row r="2" spans="1:22" s="463" customFormat="1" ht="19.95" customHeight="1">
      <c r="A2" s="757" t="s">
        <v>1058</v>
      </c>
      <c r="B2" s="757"/>
      <c r="C2" s="757"/>
      <c r="D2" s="757"/>
      <c r="E2" s="757"/>
      <c r="F2" s="757"/>
      <c r="G2" s="757"/>
      <c r="H2" s="757"/>
      <c r="I2" s="757"/>
      <c r="J2" s="757"/>
      <c r="K2" s="757"/>
      <c r="L2" s="757"/>
      <c r="M2" s="757"/>
      <c r="N2" s="757"/>
      <c r="O2" s="757"/>
      <c r="P2" s="757"/>
      <c r="Q2" s="757"/>
      <c r="R2" s="757"/>
      <c r="S2" s="757"/>
      <c r="T2" s="757"/>
      <c r="U2" s="757"/>
      <c r="V2" s="757"/>
    </row>
    <row r="3" spans="1:22" ht="19.95" customHeight="1">
      <c r="A3" s="2" t="str">
        <f>底稿目录!A2</f>
        <v>被审计单位：</v>
      </c>
      <c r="G3" s="22"/>
      <c r="J3" s="2" t="str">
        <f>底稿目录!A4</f>
        <v>编制人：</v>
      </c>
      <c r="O3" s="2" t="str">
        <f>底稿目录!A5</f>
        <v>编制日期：</v>
      </c>
      <c r="U3" s="181" t="s">
        <v>785</v>
      </c>
      <c r="V3" s="452" t="s">
        <v>293</v>
      </c>
    </row>
    <row r="4" spans="1:22" ht="19.95" customHeight="1">
      <c r="A4" s="2" t="str">
        <f>底稿目录!A3</f>
        <v>截止日：202X年12月31日</v>
      </c>
      <c r="G4" s="22"/>
      <c r="J4" s="2" t="str">
        <f>底稿目录!A6</f>
        <v>复核人：</v>
      </c>
      <c r="O4" s="2" t="str">
        <f>底稿目录!A7</f>
        <v>复核日期：</v>
      </c>
      <c r="U4" s="475" t="s">
        <v>1064</v>
      </c>
    </row>
    <row r="5" spans="1:22" s="230" customFormat="1" ht="19.95" customHeight="1">
      <c r="A5" s="229" t="s">
        <v>834</v>
      </c>
      <c r="B5" s="229"/>
      <c r="C5" s="229"/>
      <c r="D5" s="229"/>
      <c r="E5" s="229"/>
      <c r="F5" s="229"/>
      <c r="G5" s="665"/>
      <c r="H5" s="665"/>
      <c r="I5" s="665"/>
      <c r="J5" s="665"/>
      <c r="L5" s="665"/>
      <c r="M5" s="665"/>
      <c r="N5" s="665"/>
      <c r="O5" s="665"/>
      <c r="P5" s="665"/>
      <c r="Q5" s="665"/>
      <c r="R5" s="665"/>
      <c r="S5" s="665"/>
      <c r="T5" s="308"/>
    </row>
    <row r="6" spans="1:22" s="230" customFormat="1" ht="19.95" customHeight="1">
      <c r="A6" s="229" t="s">
        <v>835</v>
      </c>
      <c r="B6" s="665"/>
      <c r="D6" s="665"/>
      <c r="E6" s="665"/>
      <c r="F6" s="665"/>
      <c r="H6" s="665"/>
      <c r="I6" s="665"/>
      <c r="J6" s="665"/>
      <c r="L6" s="665"/>
      <c r="M6" s="665"/>
      <c r="N6" s="665"/>
      <c r="O6" s="665"/>
      <c r="P6" s="665"/>
      <c r="Q6" s="665"/>
      <c r="R6" s="665"/>
      <c r="S6" s="665"/>
      <c r="T6" s="308"/>
    </row>
    <row r="7" spans="1:22" s="666" customFormat="1" ht="19.95" customHeight="1">
      <c r="A7" s="825" t="s">
        <v>1195</v>
      </c>
      <c r="B7" s="825" t="s">
        <v>1196</v>
      </c>
      <c r="C7" s="826" t="s">
        <v>1197</v>
      </c>
      <c r="D7" s="827"/>
      <c r="E7" s="827"/>
      <c r="F7" s="828"/>
      <c r="G7" s="825" t="s">
        <v>1198</v>
      </c>
      <c r="H7" s="825"/>
      <c r="I7" s="825"/>
      <c r="J7" s="825"/>
      <c r="K7" s="825"/>
      <c r="L7" s="825"/>
      <c r="M7" s="825"/>
      <c r="N7" s="825"/>
      <c r="O7" s="825"/>
      <c r="P7" s="825"/>
      <c r="Q7" s="825"/>
      <c r="R7" s="825"/>
      <c r="S7" s="826" t="s">
        <v>1199</v>
      </c>
      <c r="T7" s="827"/>
      <c r="U7" s="827"/>
      <c r="V7" s="828"/>
    </row>
    <row r="8" spans="1:22" s="670" customFormat="1" ht="36">
      <c r="A8" s="825"/>
      <c r="B8" s="825"/>
      <c r="C8" s="667" t="s">
        <v>1200</v>
      </c>
      <c r="D8" s="668" t="s">
        <v>1201</v>
      </c>
      <c r="E8" s="667" t="s">
        <v>1202</v>
      </c>
      <c r="F8" s="667" t="s">
        <v>1203</v>
      </c>
      <c r="G8" s="669" t="s">
        <v>1194</v>
      </c>
      <c r="H8" s="669" t="s">
        <v>1204</v>
      </c>
      <c r="I8" s="669" t="s">
        <v>1205</v>
      </c>
      <c r="J8" s="669" t="s">
        <v>1191</v>
      </c>
      <c r="K8" s="669" t="s">
        <v>1206</v>
      </c>
      <c r="L8" s="669" t="s">
        <v>1207</v>
      </c>
      <c r="M8" s="669" t="s">
        <v>1208</v>
      </c>
      <c r="N8" s="669" t="s">
        <v>1209</v>
      </c>
      <c r="O8" s="669" t="s">
        <v>1210</v>
      </c>
      <c r="P8" s="669" t="s">
        <v>1211</v>
      </c>
      <c r="Q8" s="669" t="s">
        <v>1212</v>
      </c>
      <c r="R8" s="669" t="s">
        <v>1213</v>
      </c>
      <c r="S8" s="669" t="s">
        <v>1192</v>
      </c>
      <c r="T8" s="669" t="s">
        <v>1214</v>
      </c>
      <c r="U8" s="669" t="s">
        <v>1193</v>
      </c>
      <c r="V8" s="669" t="s">
        <v>1215</v>
      </c>
    </row>
    <row r="9" spans="1:22" ht="19.95" customHeight="1">
      <c r="A9" s="371"/>
      <c r="B9" s="371"/>
      <c r="C9" s="408"/>
      <c r="D9" s="408"/>
      <c r="E9" s="408"/>
      <c r="F9" s="408">
        <f>C9-D9-E9</f>
        <v>0</v>
      </c>
      <c r="G9" s="426"/>
      <c r="H9" s="371"/>
      <c r="I9" s="371"/>
      <c r="J9" s="371"/>
      <c r="K9" s="427"/>
      <c r="L9" s="428"/>
      <c r="M9" s="428"/>
      <c r="N9" s="429"/>
      <c r="O9" s="430"/>
      <c r="P9" s="371"/>
      <c r="Q9" s="371"/>
      <c r="R9" s="426"/>
      <c r="S9" s="431"/>
      <c r="T9" s="432"/>
      <c r="U9" s="433"/>
      <c r="V9" s="434"/>
    </row>
    <row r="10" spans="1:22" ht="19.95" customHeight="1">
      <c r="A10" s="371"/>
      <c r="B10" s="371"/>
      <c r="C10" s="408"/>
      <c r="D10" s="408"/>
      <c r="E10" s="408"/>
      <c r="F10" s="408">
        <f t="shared" ref="F10:F16" si="0">C10-D10-E10</f>
        <v>0</v>
      </c>
      <c r="G10" s="426"/>
      <c r="H10" s="371"/>
      <c r="I10" s="371"/>
      <c r="J10" s="371"/>
      <c r="K10" s="427"/>
      <c r="L10" s="428"/>
      <c r="M10" s="428"/>
      <c r="N10" s="429"/>
      <c r="O10" s="430"/>
      <c r="P10" s="371"/>
      <c r="Q10" s="371"/>
      <c r="R10" s="426"/>
      <c r="S10" s="431"/>
      <c r="T10" s="432"/>
      <c r="U10" s="433"/>
      <c r="V10" s="434"/>
    </row>
    <row r="11" spans="1:22" ht="19.95" customHeight="1">
      <c r="A11" s="371"/>
      <c r="B11" s="371"/>
      <c r="C11" s="408"/>
      <c r="D11" s="408"/>
      <c r="E11" s="408"/>
      <c r="F11" s="408">
        <f t="shared" si="0"/>
        <v>0</v>
      </c>
      <c r="G11" s="426"/>
      <c r="H11" s="371"/>
      <c r="I11" s="371"/>
      <c r="J11" s="371"/>
      <c r="K11" s="427"/>
      <c r="L11" s="428"/>
      <c r="M11" s="428"/>
      <c r="N11" s="429"/>
      <c r="O11" s="430"/>
      <c r="P11" s="371"/>
      <c r="Q11" s="371"/>
      <c r="R11" s="426"/>
      <c r="S11" s="431"/>
      <c r="T11" s="432"/>
      <c r="U11" s="433"/>
      <c r="V11" s="434"/>
    </row>
    <row r="12" spans="1:22" ht="19.95" customHeight="1">
      <c r="A12" s="371"/>
      <c r="B12" s="371"/>
      <c r="C12" s="408"/>
      <c r="D12" s="408"/>
      <c r="E12" s="408"/>
      <c r="F12" s="408">
        <f t="shared" si="0"/>
        <v>0</v>
      </c>
      <c r="G12" s="426"/>
      <c r="H12" s="371"/>
      <c r="I12" s="371"/>
      <c r="J12" s="371"/>
      <c r="K12" s="427"/>
      <c r="L12" s="428"/>
      <c r="M12" s="428"/>
      <c r="N12" s="429"/>
      <c r="O12" s="430"/>
      <c r="P12" s="371"/>
      <c r="Q12" s="371"/>
      <c r="R12" s="426"/>
      <c r="S12" s="431"/>
      <c r="T12" s="432"/>
      <c r="U12" s="433"/>
      <c r="V12" s="434"/>
    </row>
    <row r="13" spans="1:22" ht="19.95" customHeight="1">
      <c r="A13" s="371"/>
      <c r="B13" s="371"/>
      <c r="C13" s="408"/>
      <c r="D13" s="408"/>
      <c r="E13" s="408"/>
      <c r="F13" s="408">
        <f t="shared" si="0"/>
        <v>0</v>
      </c>
      <c r="G13" s="426"/>
      <c r="H13" s="371"/>
      <c r="I13" s="371"/>
      <c r="J13" s="371"/>
      <c r="K13" s="427"/>
      <c r="L13" s="428"/>
      <c r="M13" s="428"/>
      <c r="N13" s="429"/>
      <c r="O13" s="430"/>
      <c r="P13" s="371"/>
      <c r="Q13" s="371"/>
      <c r="R13" s="426"/>
      <c r="S13" s="431"/>
      <c r="T13" s="432"/>
      <c r="U13" s="433"/>
      <c r="V13" s="434"/>
    </row>
    <row r="14" spans="1:22" ht="19.95" customHeight="1">
      <c r="A14" s="371"/>
      <c r="B14" s="371"/>
      <c r="C14" s="408"/>
      <c r="D14" s="408"/>
      <c r="E14" s="408"/>
      <c r="F14" s="408">
        <f t="shared" si="0"/>
        <v>0</v>
      </c>
      <c r="G14" s="426"/>
      <c r="H14" s="371"/>
      <c r="I14" s="371"/>
      <c r="J14" s="371"/>
      <c r="K14" s="427"/>
      <c r="L14" s="428"/>
      <c r="M14" s="428"/>
      <c r="N14" s="429"/>
      <c r="O14" s="430"/>
      <c r="P14" s="371"/>
      <c r="Q14" s="371"/>
      <c r="R14" s="426"/>
      <c r="S14" s="431"/>
      <c r="T14" s="432"/>
      <c r="U14" s="433"/>
      <c r="V14" s="434"/>
    </row>
    <row r="15" spans="1:22" ht="19.95" customHeight="1">
      <c r="A15" s="371"/>
      <c r="B15" s="371"/>
      <c r="C15" s="408"/>
      <c r="D15" s="408"/>
      <c r="E15" s="408"/>
      <c r="F15" s="408">
        <f t="shared" si="0"/>
        <v>0</v>
      </c>
      <c r="G15" s="426"/>
      <c r="H15" s="371"/>
      <c r="I15" s="371"/>
      <c r="J15" s="371"/>
      <c r="K15" s="427"/>
      <c r="L15" s="428"/>
      <c r="M15" s="428"/>
      <c r="N15" s="429"/>
      <c r="O15" s="430"/>
      <c r="P15" s="371"/>
      <c r="Q15" s="371"/>
      <c r="R15" s="426"/>
      <c r="S15" s="431"/>
      <c r="T15" s="432"/>
      <c r="U15" s="433"/>
      <c r="V15" s="434"/>
    </row>
    <row r="16" spans="1:22" ht="19.95" customHeight="1">
      <c r="A16" s="371"/>
      <c r="B16" s="371"/>
      <c r="C16" s="408"/>
      <c r="D16" s="408"/>
      <c r="E16" s="408"/>
      <c r="F16" s="408">
        <f t="shared" si="0"/>
        <v>0</v>
      </c>
      <c r="G16" s="426"/>
      <c r="H16" s="371"/>
      <c r="I16" s="371"/>
      <c r="J16" s="371"/>
      <c r="K16" s="427"/>
      <c r="L16" s="428"/>
      <c r="M16" s="428"/>
      <c r="N16" s="429"/>
      <c r="O16" s="430"/>
      <c r="P16" s="371"/>
      <c r="Q16" s="371"/>
      <c r="R16" s="426"/>
      <c r="S16" s="431"/>
      <c r="T16" s="432"/>
      <c r="U16" s="433"/>
      <c r="V16" s="434"/>
    </row>
    <row r="17" spans="1:22" ht="19.95" customHeight="1">
      <c r="A17" s="327" t="s">
        <v>427</v>
      </c>
      <c r="B17" s="327"/>
      <c r="C17" s="296">
        <f>SUM(C9:C16)</f>
        <v>0</v>
      </c>
      <c r="D17" s="296">
        <f>SUM(D9:D16)</f>
        <v>0</v>
      </c>
      <c r="E17" s="296">
        <f>SUM(E9:E16)</f>
        <v>0</v>
      </c>
      <c r="F17" s="296">
        <f>SUM(F9:F16)</f>
        <v>0</v>
      </c>
      <c r="G17" s="327"/>
      <c r="H17" s="327"/>
      <c r="I17" s="327"/>
      <c r="J17" s="327"/>
      <c r="K17" s="327"/>
      <c r="L17" s="327"/>
      <c r="M17" s="327"/>
      <c r="N17" s="327"/>
      <c r="O17" s="327"/>
      <c r="P17" s="327"/>
      <c r="Q17" s="327"/>
      <c r="R17" s="327"/>
      <c r="S17" s="327"/>
      <c r="T17" s="327"/>
      <c r="U17" s="327"/>
      <c r="V17" s="327"/>
    </row>
    <row r="18" spans="1:22" ht="19.95" customHeight="1">
      <c r="A18" s="57" t="s">
        <v>839</v>
      </c>
      <c r="B18" s="57"/>
      <c r="C18" s="57"/>
      <c r="D18" s="57"/>
      <c r="E18" s="57"/>
      <c r="F18" s="57"/>
      <c r="G18" s="328"/>
      <c r="H18" s="328"/>
      <c r="I18" s="328"/>
      <c r="J18" s="328"/>
      <c r="K18" s="328"/>
      <c r="L18" s="328"/>
      <c r="M18" s="328"/>
      <c r="N18" s="328"/>
      <c r="O18" s="328"/>
      <c r="P18" s="328"/>
      <c r="Q18" s="328"/>
      <c r="R18" s="328"/>
      <c r="S18" s="328"/>
    </row>
    <row r="19" spans="1:22" ht="19.95" customHeight="1">
      <c r="A19" s="340" t="s">
        <v>1091</v>
      </c>
      <c r="B19" s="329"/>
      <c r="C19" s="329"/>
      <c r="D19" s="329"/>
      <c r="E19" s="329"/>
      <c r="F19" s="329"/>
      <c r="H19" s="328"/>
      <c r="I19" s="328"/>
      <c r="J19" s="328"/>
      <c r="K19" s="328"/>
      <c r="L19" s="328"/>
      <c r="M19" s="328"/>
      <c r="N19" s="328"/>
      <c r="O19" s="328"/>
      <c r="P19" s="328"/>
      <c r="Q19" s="328"/>
      <c r="R19" s="328"/>
      <c r="S19" s="328"/>
    </row>
    <row r="20" spans="1:22" ht="19.95" customHeight="1">
      <c r="A20" s="493" t="s">
        <v>1092</v>
      </c>
      <c r="B20" s="330"/>
      <c r="C20" s="330"/>
      <c r="D20" s="330"/>
      <c r="E20" s="330"/>
      <c r="F20" s="330"/>
      <c r="H20" s="330"/>
      <c r="I20" s="330"/>
      <c r="J20" s="330"/>
      <c r="K20" s="330"/>
      <c r="L20" s="330"/>
      <c r="M20" s="330"/>
      <c r="N20" s="330"/>
      <c r="O20" s="330"/>
      <c r="P20" s="330"/>
      <c r="Q20" s="330"/>
      <c r="R20" s="330"/>
      <c r="S20" s="330"/>
    </row>
    <row r="21" spans="1:22" ht="19.95" customHeight="1">
      <c r="A21" s="328"/>
      <c r="B21" s="328"/>
      <c r="C21" s="328"/>
      <c r="D21" s="328"/>
      <c r="E21" s="328"/>
      <c r="F21" s="328"/>
      <c r="H21" s="328"/>
      <c r="I21" s="328"/>
      <c r="J21" s="328"/>
      <c r="K21" s="328"/>
      <c r="L21" s="328"/>
      <c r="M21" s="328"/>
      <c r="N21" s="328"/>
      <c r="O21" s="328"/>
      <c r="P21" s="328"/>
      <c r="Q21" s="328"/>
      <c r="R21" s="328"/>
      <c r="S21" s="328"/>
    </row>
    <row r="22" spans="1:22" ht="19.95" customHeight="1">
      <c r="A22" s="60"/>
      <c r="C22" s="329"/>
      <c r="D22" s="329"/>
      <c r="E22" s="329"/>
      <c r="F22" s="329"/>
      <c r="H22" s="330"/>
      <c r="I22" s="330"/>
      <c r="J22" s="330"/>
      <c r="K22" s="330"/>
      <c r="L22" s="330"/>
      <c r="M22" s="330"/>
      <c r="N22" s="330"/>
      <c r="O22" s="330"/>
      <c r="P22" s="330"/>
      <c r="Q22" s="330"/>
      <c r="R22" s="330"/>
      <c r="S22" s="330"/>
    </row>
    <row r="23" spans="1:22" ht="19.95" customHeight="1">
      <c r="A23" s="60"/>
      <c r="B23" s="60"/>
      <c r="C23" s="60"/>
      <c r="D23" s="60"/>
      <c r="E23" s="60"/>
      <c r="F23" s="60"/>
      <c r="G23" s="331"/>
      <c r="H23" s="330"/>
      <c r="I23" s="330"/>
      <c r="J23" s="330"/>
      <c r="K23" s="330"/>
      <c r="L23" s="330"/>
      <c r="M23" s="330"/>
      <c r="N23" s="330"/>
      <c r="O23" s="330"/>
      <c r="P23" s="330"/>
      <c r="Q23" s="330"/>
      <c r="R23" s="330"/>
      <c r="S23" s="330"/>
    </row>
    <row r="24" spans="1:22" ht="19.95" customHeight="1">
      <c r="A24" s="57" t="s">
        <v>841</v>
      </c>
      <c r="B24" s="57"/>
      <c r="C24" s="57"/>
      <c r="D24" s="57"/>
      <c r="E24" s="57"/>
      <c r="F24" s="57"/>
      <c r="G24" s="331"/>
      <c r="H24" s="330"/>
      <c r="I24" s="330"/>
      <c r="J24" s="330"/>
      <c r="K24" s="330"/>
      <c r="L24" s="330"/>
      <c r="M24" s="330"/>
      <c r="N24" s="330"/>
      <c r="O24" s="330"/>
      <c r="P24" s="330"/>
      <c r="Q24" s="330"/>
      <c r="R24" s="330"/>
      <c r="S24" s="330"/>
    </row>
    <row r="25" spans="1:22" ht="19.95" customHeight="1">
      <c r="A25" s="60"/>
      <c r="B25" s="60"/>
      <c r="C25" s="60"/>
      <c r="D25" s="60"/>
      <c r="E25" s="60"/>
      <c r="F25" s="60"/>
      <c r="G25" s="331"/>
      <c r="H25" s="330"/>
      <c r="I25" s="330"/>
      <c r="J25" s="330"/>
      <c r="K25" s="330"/>
      <c r="L25" s="330"/>
      <c r="M25" s="330"/>
      <c r="N25" s="330"/>
      <c r="O25" s="330"/>
      <c r="P25" s="330"/>
      <c r="Q25" s="330"/>
      <c r="R25" s="330"/>
      <c r="S25" s="330"/>
    </row>
    <row r="26" spans="1:22" ht="19.95" customHeight="1">
      <c r="A26" s="60"/>
      <c r="B26" s="60"/>
      <c r="C26" s="60"/>
      <c r="D26" s="60"/>
      <c r="E26" s="60"/>
      <c r="F26" s="60"/>
      <c r="G26" s="331"/>
      <c r="H26" s="330"/>
      <c r="I26" s="330"/>
      <c r="J26" s="330"/>
      <c r="K26" s="330"/>
      <c r="L26" s="330"/>
      <c r="M26" s="330"/>
      <c r="N26" s="330"/>
      <c r="O26" s="330"/>
      <c r="P26" s="330"/>
      <c r="Q26" s="330"/>
      <c r="R26" s="330"/>
      <c r="S26" s="330"/>
    </row>
    <row r="27" spans="1:22" ht="19.95" customHeight="1">
      <c r="A27" s="57"/>
      <c r="B27" s="57"/>
      <c r="C27" s="57"/>
      <c r="D27" s="57"/>
      <c r="E27" s="57"/>
      <c r="F27" s="57"/>
      <c r="G27" s="332"/>
      <c r="H27" s="332"/>
      <c r="I27" s="332"/>
      <c r="J27" s="332"/>
      <c r="K27" s="332"/>
      <c r="L27" s="332"/>
      <c r="M27" s="332"/>
      <c r="N27" s="332"/>
      <c r="O27" s="332"/>
      <c r="P27" s="332"/>
      <c r="Q27" s="332"/>
      <c r="R27" s="332"/>
      <c r="S27" s="332"/>
    </row>
    <row r="28" spans="1:22" ht="19.95" customHeight="1">
      <c r="A28" s="332"/>
      <c r="B28" s="332"/>
      <c r="C28" s="332"/>
      <c r="D28" s="332"/>
      <c r="E28" s="332"/>
      <c r="F28" s="332"/>
      <c r="G28" s="332"/>
      <c r="H28" s="332"/>
      <c r="I28" s="332"/>
      <c r="J28" s="332"/>
      <c r="K28" s="332"/>
      <c r="L28" s="332"/>
      <c r="M28" s="332"/>
      <c r="N28" s="332"/>
      <c r="O28" s="332"/>
      <c r="P28" s="332"/>
      <c r="Q28" s="332"/>
      <c r="R28" s="332"/>
      <c r="S28" s="332"/>
    </row>
    <row r="29" spans="1:22" ht="19.95" customHeight="1">
      <c r="A29" s="332"/>
      <c r="B29" s="332"/>
      <c r="C29" s="332"/>
      <c r="D29" s="332"/>
      <c r="E29" s="332"/>
      <c r="F29" s="332"/>
      <c r="G29" s="332"/>
      <c r="H29" s="332"/>
      <c r="I29" s="332"/>
      <c r="J29" s="332"/>
      <c r="K29" s="332"/>
      <c r="L29" s="332"/>
      <c r="M29" s="332"/>
      <c r="N29" s="332"/>
      <c r="O29" s="332"/>
      <c r="P29" s="332"/>
      <c r="Q29" s="332"/>
      <c r="R29" s="332"/>
      <c r="S29" s="332"/>
    </row>
    <row r="30" spans="1:22" ht="19.95" customHeight="1">
      <c r="A30" s="325" t="s">
        <v>836</v>
      </c>
      <c r="B30" s="332"/>
      <c r="C30" s="332"/>
      <c r="D30" s="332"/>
      <c r="E30" s="332"/>
      <c r="F30" s="332"/>
      <c r="G30" s="332"/>
      <c r="H30" s="332"/>
      <c r="I30" s="332"/>
      <c r="J30" s="332"/>
      <c r="K30" s="332"/>
      <c r="L30" s="332"/>
      <c r="M30" s="332"/>
      <c r="N30" s="332"/>
      <c r="O30" s="332"/>
      <c r="P30" s="332"/>
      <c r="Q30" s="332"/>
      <c r="R30" s="332"/>
      <c r="S30" s="332"/>
    </row>
    <row r="31" spans="1:22" ht="19.95" customHeight="1">
      <c r="A31" s="333"/>
      <c r="B31" s="332"/>
      <c r="C31" s="332"/>
      <c r="D31" s="332"/>
      <c r="E31" s="332"/>
      <c r="F31" s="332"/>
      <c r="G31" s="332"/>
      <c r="H31" s="332"/>
      <c r="I31" s="332"/>
      <c r="J31" s="332"/>
      <c r="K31" s="332"/>
      <c r="L31" s="332"/>
      <c r="M31" s="332"/>
      <c r="N31" s="332"/>
      <c r="O31" s="332"/>
      <c r="P31" s="332"/>
      <c r="Q31" s="332"/>
      <c r="R31" s="332"/>
      <c r="S31" s="332"/>
    </row>
    <row r="32" spans="1:22" ht="19.95" customHeight="1">
      <c r="A32" s="334"/>
      <c r="B32" s="332"/>
      <c r="C32" s="332"/>
      <c r="D32" s="332"/>
      <c r="E32" s="332"/>
      <c r="F32" s="332"/>
      <c r="G32" s="332"/>
      <c r="H32" s="332"/>
      <c r="I32" s="332"/>
      <c r="J32" s="332"/>
      <c r="K32" s="332"/>
      <c r="L32" s="332"/>
      <c r="M32" s="332"/>
      <c r="N32" s="332"/>
      <c r="O32" s="332"/>
      <c r="P32" s="332"/>
      <c r="Q32" s="332"/>
      <c r="R32" s="332"/>
      <c r="S32" s="332"/>
    </row>
    <row r="33" spans="1:19" ht="19.95" customHeight="1">
      <c r="A33" s="335"/>
      <c r="B33" s="332"/>
      <c r="C33" s="332"/>
      <c r="D33" s="332"/>
      <c r="E33" s="332"/>
      <c r="F33" s="332"/>
      <c r="G33" s="332"/>
      <c r="H33" s="332"/>
      <c r="I33" s="332"/>
      <c r="J33" s="332"/>
      <c r="K33" s="332"/>
      <c r="L33" s="332"/>
      <c r="M33" s="332"/>
      <c r="N33" s="332"/>
      <c r="O33" s="332"/>
      <c r="P33" s="332"/>
      <c r="Q33" s="332"/>
      <c r="R33" s="332"/>
      <c r="S33" s="332"/>
    </row>
    <row r="34" spans="1:19" ht="19.95" customHeight="1">
      <c r="A34" s="335"/>
      <c r="B34" s="332"/>
      <c r="C34" s="332"/>
      <c r="D34" s="332"/>
      <c r="E34" s="332"/>
      <c r="F34" s="332"/>
      <c r="G34" s="332"/>
      <c r="H34" s="332"/>
      <c r="I34" s="332"/>
      <c r="J34" s="332"/>
      <c r="K34" s="332"/>
      <c r="L34" s="332"/>
      <c r="M34" s="332"/>
      <c r="N34" s="332"/>
      <c r="O34" s="332"/>
      <c r="P34" s="332"/>
      <c r="Q34" s="332"/>
      <c r="R34" s="332"/>
      <c r="S34" s="332"/>
    </row>
    <row r="35" spans="1:19" ht="19.95" customHeight="1">
      <c r="A35" s="332"/>
      <c r="B35" s="332"/>
      <c r="C35" s="332"/>
      <c r="D35" s="332"/>
      <c r="E35" s="332"/>
      <c r="F35" s="332"/>
      <c r="G35" s="332"/>
      <c r="H35" s="332"/>
      <c r="I35" s="332"/>
      <c r="J35" s="332"/>
      <c r="K35" s="332"/>
      <c r="L35" s="332"/>
      <c r="M35" s="332"/>
      <c r="N35" s="332"/>
      <c r="O35" s="332"/>
      <c r="P35" s="332"/>
      <c r="Q35" s="332"/>
      <c r="R35" s="332"/>
      <c r="S35" s="332"/>
    </row>
    <row r="36" spans="1:19" ht="19.95" customHeight="1">
      <c r="A36" s="332"/>
      <c r="B36" s="332"/>
      <c r="C36" s="332"/>
      <c r="D36" s="332"/>
      <c r="E36" s="332"/>
      <c r="F36" s="332"/>
      <c r="G36" s="332"/>
      <c r="H36" s="332"/>
      <c r="I36" s="332"/>
      <c r="J36" s="332"/>
      <c r="K36" s="332"/>
      <c r="L36" s="332"/>
      <c r="M36" s="332"/>
      <c r="N36" s="332"/>
      <c r="O36" s="332"/>
      <c r="P36" s="332"/>
      <c r="Q36" s="332"/>
      <c r="R36" s="332"/>
      <c r="S36" s="332"/>
    </row>
    <row r="37" spans="1:19" ht="19.95" customHeight="1">
      <c r="A37" s="332"/>
      <c r="B37" s="332"/>
      <c r="C37" s="332"/>
      <c r="D37" s="332"/>
      <c r="E37" s="332"/>
      <c r="F37" s="332"/>
      <c r="G37" s="332"/>
      <c r="H37" s="332"/>
      <c r="I37" s="332"/>
      <c r="J37" s="332"/>
      <c r="K37" s="332"/>
      <c r="L37" s="332"/>
      <c r="M37" s="332"/>
      <c r="N37" s="332"/>
      <c r="O37" s="332"/>
      <c r="P37" s="332"/>
      <c r="Q37" s="332"/>
      <c r="R37" s="332"/>
      <c r="S37" s="332"/>
    </row>
    <row r="38" spans="1:19" ht="19.95" customHeight="1">
      <c r="A38" s="332"/>
      <c r="B38" s="332"/>
      <c r="C38" s="332"/>
      <c r="D38" s="332"/>
      <c r="E38" s="332"/>
      <c r="F38" s="332"/>
      <c r="G38" s="332"/>
      <c r="H38" s="332"/>
      <c r="I38" s="332"/>
      <c r="J38" s="332"/>
      <c r="K38" s="332"/>
      <c r="L38" s="332"/>
      <c r="M38" s="332"/>
      <c r="N38" s="332"/>
      <c r="O38" s="332"/>
      <c r="P38" s="332"/>
      <c r="Q38" s="332"/>
      <c r="R38" s="332"/>
      <c r="S38" s="332"/>
    </row>
    <row r="39" spans="1:19" ht="19.95" customHeight="1">
      <c r="A39" s="332"/>
      <c r="B39" s="332"/>
      <c r="C39" s="332"/>
      <c r="D39" s="332"/>
      <c r="E39" s="332"/>
      <c r="F39" s="332"/>
      <c r="G39" s="332"/>
      <c r="H39" s="332"/>
      <c r="I39" s="332"/>
      <c r="J39" s="332"/>
      <c r="K39" s="332"/>
      <c r="L39" s="332"/>
      <c r="M39" s="332"/>
      <c r="N39" s="332"/>
      <c r="O39" s="332"/>
      <c r="P39" s="332"/>
      <c r="Q39" s="332"/>
      <c r="R39" s="332"/>
      <c r="S39" s="332"/>
    </row>
    <row r="40" spans="1:19" ht="19.95" customHeight="1">
      <c r="A40" s="332"/>
      <c r="B40" s="332"/>
      <c r="C40" s="332"/>
      <c r="D40" s="332"/>
      <c r="E40" s="332"/>
      <c r="F40" s="332"/>
      <c r="G40" s="332"/>
      <c r="H40" s="332"/>
      <c r="I40" s="332"/>
      <c r="J40" s="332"/>
      <c r="K40" s="332"/>
      <c r="L40" s="332"/>
      <c r="M40" s="332"/>
      <c r="N40" s="332"/>
      <c r="O40" s="332"/>
      <c r="P40" s="332"/>
      <c r="Q40" s="332"/>
      <c r="R40" s="332"/>
      <c r="S40" s="332"/>
    </row>
    <row r="41" spans="1:19" ht="19.95" customHeight="1">
      <c r="A41" s="332"/>
      <c r="B41" s="332"/>
      <c r="C41" s="332"/>
      <c r="D41" s="332"/>
      <c r="E41" s="332"/>
      <c r="F41" s="332"/>
      <c r="G41" s="332"/>
      <c r="H41" s="332"/>
      <c r="I41" s="332"/>
      <c r="J41" s="332"/>
      <c r="K41" s="332"/>
      <c r="L41" s="332"/>
      <c r="M41" s="332"/>
      <c r="N41" s="332"/>
      <c r="O41" s="332"/>
      <c r="P41" s="332"/>
      <c r="Q41" s="332"/>
      <c r="R41" s="332"/>
      <c r="S41" s="332"/>
    </row>
    <row r="42" spans="1:19" ht="19.95" customHeight="1">
      <c r="A42" s="332"/>
      <c r="B42" s="332"/>
      <c r="C42" s="332"/>
      <c r="D42" s="332"/>
      <c r="E42" s="332"/>
      <c r="F42" s="332"/>
      <c r="G42" s="332"/>
      <c r="H42" s="332"/>
      <c r="I42" s="332"/>
      <c r="J42" s="332"/>
      <c r="K42" s="332"/>
      <c r="L42" s="332"/>
      <c r="M42" s="332"/>
      <c r="N42" s="332"/>
      <c r="O42" s="332"/>
      <c r="P42" s="332"/>
      <c r="Q42" s="332"/>
      <c r="R42" s="332"/>
      <c r="S42" s="332"/>
    </row>
    <row r="43" spans="1:19" ht="19.95" customHeight="1">
      <c r="A43" s="332"/>
      <c r="B43" s="332"/>
      <c r="C43" s="332"/>
      <c r="D43" s="332"/>
      <c r="E43" s="332"/>
      <c r="F43" s="332"/>
      <c r="G43" s="332"/>
      <c r="H43" s="332"/>
      <c r="I43" s="332"/>
      <c r="J43" s="332"/>
      <c r="K43" s="332"/>
      <c r="L43" s="332"/>
      <c r="M43" s="332"/>
      <c r="N43" s="332"/>
      <c r="O43" s="332"/>
      <c r="P43" s="332"/>
      <c r="Q43" s="332"/>
      <c r="R43" s="332"/>
      <c r="S43" s="332"/>
    </row>
    <row r="44" spans="1:19" ht="19.95" customHeight="1">
      <c r="A44" s="332"/>
      <c r="B44" s="332"/>
      <c r="C44" s="332"/>
      <c r="D44" s="332"/>
      <c r="E44" s="332"/>
      <c r="F44" s="332"/>
      <c r="G44" s="332"/>
      <c r="H44" s="332"/>
      <c r="I44" s="332"/>
      <c r="J44" s="332"/>
      <c r="K44" s="332"/>
      <c r="L44" s="332"/>
      <c r="M44" s="332"/>
      <c r="N44" s="332"/>
      <c r="O44" s="332"/>
      <c r="P44" s="332"/>
      <c r="Q44" s="332"/>
      <c r="R44" s="332"/>
      <c r="S44" s="332"/>
    </row>
    <row r="45" spans="1:19" ht="19.95" customHeight="1">
      <c r="A45" s="332"/>
      <c r="B45" s="332"/>
      <c r="C45" s="332"/>
      <c r="D45" s="332"/>
      <c r="E45" s="332"/>
      <c r="F45" s="332"/>
      <c r="G45" s="332"/>
      <c r="H45" s="332"/>
      <c r="I45" s="332"/>
      <c r="J45" s="332"/>
      <c r="K45" s="332"/>
      <c r="L45" s="332"/>
      <c r="M45" s="332"/>
      <c r="N45" s="332"/>
      <c r="O45" s="332"/>
      <c r="P45" s="332"/>
      <c r="Q45" s="332"/>
      <c r="R45" s="332"/>
      <c r="S45" s="332"/>
    </row>
    <row r="46" spans="1:19" ht="19.95" customHeight="1">
      <c r="A46" s="332"/>
      <c r="B46" s="332"/>
      <c r="C46" s="332"/>
      <c r="D46" s="332"/>
      <c r="E46" s="332"/>
      <c r="F46" s="332"/>
      <c r="G46" s="332"/>
      <c r="H46" s="332"/>
      <c r="I46" s="332"/>
      <c r="J46" s="332"/>
      <c r="K46" s="332"/>
      <c r="L46" s="332"/>
      <c r="M46" s="332"/>
      <c r="N46" s="332"/>
      <c r="O46" s="332"/>
      <c r="P46" s="332"/>
      <c r="Q46" s="332"/>
      <c r="R46" s="332"/>
      <c r="S46" s="332"/>
    </row>
    <row r="47" spans="1:19" ht="19.95" customHeight="1">
      <c r="A47" s="332"/>
      <c r="B47" s="332"/>
      <c r="C47" s="332"/>
      <c r="D47" s="332"/>
      <c r="E47" s="332"/>
      <c r="F47" s="332"/>
      <c r="G47" s="332"/>
      <c r="H47" s="332"/>
      <c r="I47" s="332"/>
      <c r="J47" s="332"/>
      <c r="K47" s="332"/>
      <c r="L47" s="332"/>
      <c r="M47" s="332"/>
      <c r="N47" s="332"/>
      <c r="O47" s="332"/>
      <c r="P47" s="332"/>
      <c r="Q47" s="332"/>
      <c r="R47" s="332"/>
      <c r="S47" s="332"/>
    </row>
    <row r="48" spans="1:19" ht="19.95" customHeight="1">
      <c r="A48" s="332"/>
      <c r="B48" s="332"/>
      <c r="C48" s="332"/>
      <c r="D48" s="332"/>
      <c r="E48" s="332"/>
      <c r="F48" s="332"/>
      <c r="G48" s="332"/>
      <c r="H48" s="332"/>
      <c r="I48" s="332"/>
      <c r="J48" s="332"/>
      <c r="K48" s="332"/>
      <c r="L48" s="332"/>
      <c r="M48" s="332"/>
      <c r="N48" s="332"/>
      <c r="O48" s="332"/>
      <c r="P48" s="332"/>
      <c r="Q48" s="332"/>
      <c r="R48" s="332"/>
      <c r="S48" s="332"/>
    </row>
    <row r="49" spans="1:19" ht="19.95" customHeight="1">
      <c r="A49" s="332"/>
      <c r="B49" s="332"/>
      <c r="C49" s="332"/>
      <c r="D49" s="332"/>
      <c r="E49" s="332"/>
      <c r="F49" s="332"/>
      <c r="G49" s="332"/>
      <c r="H49" s="332"/>
      <c r="I49" s="332"/>
      <c r="J49" s="332"/>
      <c r="K49" s="332"/>
      <c r="L49" s="332"/>
      <c r="M49" s="332"/>
      <c r="N49" s="332"/>
      <c r="O49" s="332"/>
      <c r="P49" s="332"/>
      <c r="Q49" s="332"/>
      <c r="R49" s="332"/>
      <c r="S49" s="332"/>
    </row>
    <row r="50" spans="1:19" ht="19.95" customHeight="1">
      <c r="A50" s="332"/>
      <c r="B50" s="332"/>
      <c r="C50" s="332"/>
      <c r="D50" s="332"/>
      <c r="E50" s="332"/>
      <c r="F50" s="332"/>
      <c r="G50" s="332"/>
      <c r="H50" s="332"/>
      <c r="I50" s="332"/>
      <c r="J50" s="332"/>
      <c r="K50" s="332"/>
      <c r="L50" s="332"/>
      <c r="M50" s="332"/>
      <c r="N50" s="332"/>
      <c r="O50" s="332"/>
      <c r="P50" s="332"/>
      <c r="Q50" s="332"/>
      <c r="R50" s="332"/>
      <c r="S50" s="332"/>
    </row>
    <row r="51" spans="1:19" ht="19.95" customHeight="1">
      <c r="A51" s="332"/>
      <c r="B51" s="332"/>
      <c r="C51" s="332"/>
      <c r="D51" s="332"/>
      <c r="E51" s="332"/>
      <c r="F51" s="332"/>
      <c r="G51" s="332"/>
      <c r="H51" s="332"/>
      <c r="I51" s="332"/>
      <c r="J51" s="332"/>
      <c r="K51" s="332"/>
      <c r="L51" s="332"/>
      <c r="M51" s="332"/>
      <c r="N51" s="332"/>
      <c r="O51" s="332"/>
      <c r="P51" s="332"/>
      <c r="Q51" s="332"/>
      <c r="R51" s="332"/>
      <c r="S51" s="332"/>
    </row>
    <row r="52" spans="1:19" ht="19.95" customHeight="1">
      <c r="A52" s="332"/>
      <c r="B52" s="332"/>
      <c r="C52" s="332"/>
      <c r="D52" s="332"/>
      <c r="E52" s="332"/>
      <c r="F52" s="332"/>
      <c r="G52" s="332"/>
      <c r="H52" s="332"/>
      <c r="I52" s="332"/>
      <c r="J52" s="332"/>
      <c r="K52" s="332"/>
      <c r="L52" s="332"/>
      <c r="M52" s="332"/>
      <c r="N52" s="332"/>
      <c r="O52" s="332"/>
      <c r="P52" s="332"/>
      <c r="Q52" s="332"/>
      <c r="R52" s="332"/>
      <c r="S52" s="332"/>
    </row>
    <row r="53" spans="1:19" ht="19.95" customHeight="1">
      <c r="A53" s="332"/>
      <c r="B53" s="332"/>
      <c r="C53" s="332"/>
      <c r="D53" s="332"/>
      <c r="E53" s="332"/>
      <c r="F53" s="332"/>
      <c r="G53" s="332"/>
      <c r="H53" s="332"/>
      <c r="I53" s="332"/>
      <c r="J53" s="332"/>
      <c r="K53" s="332"/>
      <c r="L53" s="332"/>
      <c r="M53" s="332"/>
      <c r="N53" s="332"/>
      <c r="O53" s="332"/>
      <c r="P53" s="332"/>
      <c r="Q53" s="332"/>
      <c r="R53" s="332"/>
      <c r="S53" s="332"/>
    </row>
    <row r="54" spans="1:19" ht="19.95" customHeight="1">
      <c r="A54" s="332"/>
      <c r="B54" s="332"/>
      <c r="C54" s="332"/>
      <c r="D54" s="332"/>
      <c r="E54" s="332"/>
      <c r="F54" s="332"/>
      <c r="G54" s="332"/>
      <c r="H54" s="332"/>
      <c r="I54" s="332"/>
      <c r="J54" s="332"/>
      <c r="K54" s="332"/>
      <c r="L54" s="332"/>
      <c r="M54" s="332"/>
      <c r="N54" s="332"/>
      <c r="O54" s="332"/>
      <c r="P54" s="332"/>
      <c r="Q54" s="332"/>
      <c r="R54" s="332"/>
      <c r="S54" s="332"/>
    </row>
    <row r="55" spans="1:19" ht="19.95" customHeight="1">
      <c r="A55" s="332"/>
      <c r="B55" s="332"/>
      <c r="C55" s="332"/>
      <c r="D55" s="332"/>
      <c r="E55" s="332"/>
      <c r="F55" s="332"/>
      <c r="G55" s="332"/>
      <c r="H55" s="332"/>
      <c r="I55" s="332"/>
      <c r="J55" s="332"/>
      <c r="K55" s="332"/>
      <c r="L55" s="332"/>
      <c r="M55" s="332"/>
      <c r="N55" s="332"/>
      <c r="O55" s="332"/>
      <c r="P55" s="332"/>
      <c r="Q55" s="332"/>
      <c r="R55" s="332"/>
      <c r="S55" s="332"/>
    </row>
    <row r="56" spans="1:19" ht="19.95" customHeight="1">
      <c r="A56" s="332"/>
      <c r="B56" s="332"/>
      <c r="C56" s="332"/>
      <c r="D56" s="332"/>
      <c r="E56" s="332"/>
      <c r="F56" s="332"/>
      <c r="G56" s="332"/>
      <c r="H56" s="332"/>
      <c r="I56" s="332"/>
      <c r="J56" s="332"/>
      <c r="K56" s="332"/>
      <c r="L56" s="332"/>
      <c r="M56" s="332"/>
      <c r="N56" s="332"/>
      <c r="O56" s="332"/>
      <c r="P56" s="332"/>
      <c r="Q56" s="332"/>
      <c r="R56" s="332"/>
      <c r="S56" s="332"/>
    </row>
    <row r="57" spans="1:19" ht="19.95" customHeight="1">
      <c r="A57" s="332"/>
      <c r="B57" s="332"/>
      <c r="C57" s="332"/>
      <c r="D57" s="332"/>
      <c r="E57" s="332"/>
      <c r="F57" s="332"/>
      <c r="G57" s="332"/>
      <c r="H57" s="332"/>
      <c r="I57" s="332"/>
      <c r="J57" s="332"/>
      <c r="K57" s="332"/>
      <c r="L57" s="332"/>
      <c r="M57" s="332"/>
      <c r="N57" s="332"/>
      <c r="O57" s="332"/>
      <c r="P57" s="332"/>
      <c r="Q57" s="332"/>
      <c r="R57" s="332"/>
      <c r="S57" s="332"/>
    </row>
    <row r="58" spans="1:19" ht="19.95" customHeight="1">
      <c r="A58" s="332"/>
      <c r="B58" s="332"/>
      <c r="C58" s="332"/>
      <c r="D58" s="332"/>
      <c r="E58" s="332"/>
      <c r="F58" s="332"/>
      <c r="G58" s="332"/>
      <c r="H58" s="332"/>
      <c r="I58" s="332"/>
      <c r="J58" s="332"/>
      <c r="K58" s="332"/>
      <c r="L58" s="332"/>
      <c r="M58" s="332"/>
      <c r="N58" s="332"/>
      <c r="O58" s="332"/>
      <c r="P58" s="332"/>
      <c r="Q58" s="332"/>
      <c r="R58" s="332"/>
      <c r="S58" s="332"/>
    </row>
    <row r="59" spans="1:19" ht="19.95" customHeight="1">
      <c r="A59" s="332"/>
      <c r="B59" s="332"/>
      <c r="C59" s="332"/>
      <c r="D59" s="332"/>
      <c r="E59" s="332"/>
      <c r="F59" s="332"/>
      <c r="G59" s="332"/>
      <c r="H59" s="332"/>
      <c r="I59" s="332"/>
      <c r="J59" s="332"/>
      <c r="K59" s="332"/>
      <c r="L59" s="332"/>
      <c r="M59" s="332"/>
      <c r="N59" s="332"/>
      <c r="O59" s="332"/>
      <c r="P59" s="332"/>
      <c r="Q59" s="332"/>
      <c r="R59" s="332"/>
      <c r="S59" s="332"/>
    </row>
    <row r="60" spans="1:19" ht="19.95" customHeight="1">
      <c r="A60" s="332"/>
      <c r="B60" s="332"/>
      <c r="C60" s="332"/>
      <c r="D60" s="332"/>
      <c r="E60" s="332"/>
      <c r="F60" s="332"/>
      <c r="G60" s="332"/>
      <c r="H60" s="332"/>
      <c r="I60" s="332"/>
      <c r="J60" s="332"/>
      <c r="K60" s="332"/>
      <c r="L60" s="332"/>
      <c r="M60" s="332"/>
      <c r="N60" s="332"/>
      <c r="O60" s="332"/>
      <c r="P60" s="332"/>
      <c r="Q60" s="332"/>
      <c r="R60" s="332"/>
      <c r="S60" s="332"/>
    </row>
    <row r="61" spans="1:19" ht="19.95" customHeight="1">
      <c r="A61" s="332"/>
      <c r="B61" s="332"/>
      <c r="C61" s="332"/>
      <c r="D61" s="332"/>
      <c r="E61" s="332"/>
      <c r="F61" s="332"/>
      <c r="G61" s="332"/>
      <c r="H61" s="332"/>
      <c r="I61" s="332"/>
      <c r="J61" s="332"/>
      <c r="K61" s="332"/>
      <c r="L61" s="332"/>
      <c r="M61" s="332"/>
      <c r="N61" s="332"/>
      <c r="O61" s="332"/>
      <c r="P61" s="332"/>
      <c r="Q61" s="332"/>
      <c r="R61" s="332"/>
      <c r="S61" s="332"/>
    </row>
    <row r="62" spans="1:19" ht="19.95" customHeight="1">
      <c r="A62" s="332"/>
      <c r="B62" s="332"/>
      <c r="C62" s="332"/>
      <c r="D62" s="332"/>
      <c r="E62" s="332"/>
      <c r="F62" s="332"/>
      <c r="G62" s="332"/>
      <c r="H62" s="332"/>
      <c r="I62" s="332"/>
      <c r="J62" s="332"/>
      <c r="K62" s="332"/>
      <c r="L62" s="332"/>
      <c r="M62" s="332"/>
      <c r="N62" s="332"/>
      <c r="O62" s="332"/>
      <c r="P62" s="332"/>
      <c r="Q62" s="332"/>
      <c r="R62" s="332"/>
      <c r="S62" s="332"/>
    </row>
    <row r="63" spans="1:19" ht="19.95" customHeight="1">
      <c r="A63" s="332"/>
      <c r="B63" s="332"/>
      <c r="C63" s="332"/>
      <c r="D63" s="332"/>
      <c r="E63" s="332"/>
      <c r="F63" s="332"/>
      <c r="G63" s="332"/>
      <c r="H63" s="332"/>
      <c r="I63" s="332"/>
      <c r="J63" s="332"/>
      <c r="K63" s="332"/>
      <c r="L63" s="332"/>
      <c r="M63" s="332"/>
      <c r="N63" s="332"/>
      <c r="O63" s="332"/>
      <c r="P63" s="332"/>
      <c r="Q63" s="332"/>
      <c r="R63" s="332"/>
      <c r="S63" s="332"/>
    </row>
    <row r="64" spans="1:19" ht="19.95" customHeight="1">
      <c r="A64" s="332"/>
      <c r="B64" s="332"/>
      <c r="C64" s="332"/>
      <c r="D64" s="332"/>
      <c r="E64" s="332"/>
      <c r="F64" s="332"/>
      <c r="G64" s="332"/>
      <c r="H64" s="332"/>
      <c r="I64" s="332"/>
      <c r="J64" s="332"/>
      <c r="K64" s="332"/>
      <c r="L64" s="332"/>
      <c r="M64" s="332"/>
      <c r="N64" s="332"/>
      <c r="O64" s="332"/>
      <c r="P64" s="332"/>
      <c r="Q64" s="332"/>
      <c r="R64" s="332"/>
      <c r="S64" s="332"/>
    </row>
    <row r="65" spans="1:19" ht="19.95" customHeight="1">
      <c r="A65" s="332"/>
      <c r="B65" s="332"/>
      <c r="C65" s="332"/>
      <c r="D65" s="332"/>
      <c r="E65" s="332"/>
      <c r="F65" s="332"/>
      <c r="G65" s="332"/>
      <c r="H65" s="332"/>
      <c r="I65" s="332"/>
      <c r="J65" s="332"/>
      <c r="K65" s="332"/>
      <c r="L65" s="332"/>
      <c r="M65" s="332"/>
      <c r="N65" s="332"/>
      <c r="O65" s="332"/>
      <c r="P65" s="332"/>
      <c r="Q65" s="332"/>
      <c r="R65" s="332"/>
      <c r="S65" s="332"/>
    </row>
    <row r="66" spans="1:19" ht="19.95" customHeight="1">
      <c r="A66" s="332"/>
      <c r="B66" s="332"/>
      <c r="C66" s="332"/>
      <c r="D66" s="332"/>
      <c r="E66" s="332"/>
      <c r="F66" s="332"/>
      <c r="G66" s="332"/>
      <c r="H66" s="332"/>
      <c r="I66" s="332"/>
      <c r="J66" s="332"/>
      <c r="K66" s="332"/>
      <c r="L66" s="332"/>
      <c r="M66" s="332"/>
      <c r="N66" s="332"/>
      <c r="O66" s="332"/>
      <c r="P66" s="332"/>
      <c r="Q66" s="332"/>
      <c r="R66" s="332"/>
      <c r="S66" s="332"/>
    </row>
    <row r="67" spans="1:19" ht="19.95" customHeight="1">
      <c r="A67" s="332"/>
      <c r="B67" s="332"/>
      <c r="C67" s="332"/>
      <c r="D67" s="332"/>
      <c r="E67" s="332"/>
      <c r="F67" s="332"/>
      <c r="G67" s="332"/>
      <c r="H67" s="332"/>
      <c r="I67" s="332"/>
      <c r="J67" s="332"/>
      <c r="K67" s="332"/>
      <c r="L67" s="332"/>
      <c r="M67" s="332"/>
      <c r="N67" s="332"/>
      <c r="O67" s="332"/>
      <c r="P67" s="332"/>
      <c r="Q67" s="332"/>
      <c r="R67" s="332"/>
      <c r="S67" s="332"/>
    </row>
    <row r="68" spans="1:19" ht="19.95" customHeight="1">
      <c r="A68" s="332"/>
      <c r="B68" s="332"/>
      <c r="C68" s="332"/>
      <c r="D68" s="332"/>
      <c r="E68" s="332"/>
      <c r="F68" s="332"/>
      <c r="G68" s="332"/>
      <c r="H68" s="332"/>
      <c r="I68" s="332"/>
      <c r="J68" s="332"/>
      <c r="K68" s="332"/>
      <c r="L68" s="332"/>
      <c r="M68" s="332"/>
      <c r="N68" s="332"/>
      <c r="O68" s="332"/>
      <c r="P68" s="332"/>
      <c r="Q68" s="332"/>
      <c r="R68" s="332"/>
      <c r="S68" s="332"/>
    </row>
    <row r="69" spans="1:19" ht="19.95" customHeight="1">
      <c r="A69" s="332"/>
      <c r="B69" s="332"/>
      <c r="C69" s="332"/>
      <c r="D69" s="332"/>
      <c r="E69" s="332"/>
      <c r="F69" s="332"/>
      <c r="G69" s="332"/>
      <c r="H69" s="332"/>
      <c r="I69" s="332"/>
      <c r="J69" s="332"/>
      <c r="K69" s="332"/>
      <c r="L69" s="332"/>
      <c r="M69" s="332"/>
      <c r="N69" s="332"/>
      <c r="O69" s="332"/>
      <c r="P69" s="332"/>
      <c r="Q69" s="332"/>
      <c r="R69" s="332"/>
      <c r="S69" s="332"/>
    </row>
    <row r="70" spans="1:19" ht="19.95" customHeight="1">
      <c r="A70" s="332"/>
      <c r="B70" s="332"/>
      <c r="C70" s="332"/>
      <c r="D70" s="332"/>
      <c r="E70" s="332"/>
      <c r="F70" s="332"/>
      <c r="G70" s="332"/>
      <c r="H70" s="332"/>
      <c r="I70" s="332"/>
      <c r="J70" s="332"/>
      <c r="K70" s="332"/>
      <c r="L70" s="332"/>
      <c r="M70" s="332"/>
      <c r="N70" s="332"/>
      <c r="O70" s="332"/>
      <c r="P70" s="332"/>
      <c r="Q70" s="332"/>
      <c r="R70" s="332"/>
      <c r="S70" s="332"/>
    </row>
    <row r="71" spans="1:19" ht="19.95" customHeight="1">
      <c r="A71" s="332"/>
      <c r="B71" s="332"/>
      <c r="C71" s="332"/>
      <c r="D71" s="332"/>
      <c r="E71" s="332"/>
      <c r="F71" s="332"/>
      <c r="G71" s="332"/>
      <c r="H71" s="332"/>
      <c r="I71" s="332"/>
      <c r="J71" s="332"/>
      <c r="K71" s="332"/>
      <c r="L71" s="332"/>
      <c r="M71" s="332"/>
      <c r="N71" s="332"/>
      <c r="O71" s="332"/>
      <c r="P71" s="332"/>
      <c r="Q71" s="332"/>
      <c r="R71" s="332"/>
      <c r="S71" s="332"/>
    </row>
    <row r="72" spans="1:19" ht="19.95" customHeight="1">
      <c r="A72" s="332"/>
      <c r="B72" s="332"/>
      <c r="C72" s="332"/>
      <c r="D72" s="332"/>
      <c r="E72" s="332"/>
      <c r="F72" s="332"/>
      <c r="G72" s="332"/>
      <c r="H72" s="332"/>
      <c r="I72" s="332"/>
      <c r="J72" s="332"/>
      <c r="K72" s="332"/>
      <c r="L72" s="332"/>
      <c r="M72" s="332"/>
      <c r="N72" s="332"/>
      <c r="O72" s="332"/>
      <c r="P72" s="332"/>
      <c r="Q72" s="332"/>
      <c r="R72" s="332"/>
      <c r="S72" s="332"/>
    </row>
    <row r="73" spans="1:19" ht="19.95" customHeight="1">
      <c r="A73" s="332"/>
      <c r="B73" s="332"/>
      <c r="C73" s="332"/>
      <c r="D73" s="332"/>
      <c r="E73" s="332"/>
      <c r="F73" s="332"/>
      <c r="G73" s="332"/>
      <c r="H73" s="332"/>
      <c r="I73" s="332"/>
      <c r="J73" s="332"/>
      <c r="K73" s="332"/>
      <c r="L73" s="332"/>
      <c r="M73" s="332"/>
      <c r="N73" s="332"/>
      <c r="O73" s="332"/>
      <c r="P73" s="332"/>
      <c r="Q73" s="332"/>
      <c r="R73" s="332"/>
      <c r="S73" s="332"/>
    </row>
    <row r="74" spans="1:19" ht="19.95" customHeight="1">
      <c r="A74" s="332"/>
      <c r="B74" s="332"/>
      <c r="C74" s="332"/>
      <c r="D74" s="332"/>
      <c r="E74" s="332"/>
      <c r="F74" s="332"/>
      <c r="G74" s="332"/>
      <c r="H74" s="332"/>
      <c r="I74" s="332"/>
      <c r="J74" s="332"/>
      <c r="K74" s="332"/>
      <c r="L74" s="332"/>
      <c r="M74" s="332"/>
      <c r="N74" s="332"/>
      <c r="O74" s="332"/>
      <c r="P74" s="332"/>
      <c r="Q74" s="332"/>
      <c r="R74" s="332"/>
      <c r="S74" s="332"/>
    </row>
    <row r="75" spans="1:19" ht="19.95" customHeight="1">
      <c r="A75" s="332"/>
      <c r="B75" s="332"/>
      <c r="C75" s="332"/>
      <c r="D75" s="332"/>
      <c r="E75" s="332"/>
      <c r="F75" s="332"/>
      <c r="G75" s="332"/>
      <c r="H75" s="332"/>
      <c r="I75" s="332"/>
      <c r="J75" s="332"/>
      <c r="K75" s="332"/>
      <c r="L75" s="332"/>
      <c r="M75" s="332"/>
      <c r="N75" s="332"/>
      <c r="O75" s="332"/>
      <c r="P75" s="332"/>
      <c r="Q75" s="332"/>
      <c r="R75" s="332"/>
      <c r="S75" s="332"/>
    </row>
    <row r="76" spans="1:19" ht="19.95" customHeight="1">
      <c r="A76" s="332"/>
      <c r="B76" s="332"/>
      <c r="C76" s="332"/>
      <c r="D76" s="332"/>
      <c r="E76" s="332"/>
      <c r="F76" s="332"/>
      <c r="G76" s="332"/>
      <c r="H76" s="332"/>
      <c r="I76" s="332"/>
      <c r="J76" s="332"/>
      <c r="K76" s="332"/>
      <c r="L76" s="332"/>
      <c r="M76" s="332"/>
      <c r="N76" s="332"/>
      <c r="O76" s="332"/>
      <c r="P76" s="332"/>
      <c r="Q76" s="332"/>
      <c r="R76" s="332"/>
      <c r="S76" s="332"/>
    </row>
    <row r="77" spans="1:19" ht="19.95" customHeight="1">
      <c r="A77" s="332"/>
      <c r="B77" s="332"/>
      <c r="C77" s="332"/>
      <c r="D77" s="332"/>
      <c r="E77" s="332"/>
      <c r="F77" s="332"/>
      <c r="G77" s="332"/>
      <c r="H77" s="332"/>
      <c r="I77" s="332"/>
      <c r="J77" s="332"/>
      <c r="K77" s="332"/>
      <c r="L77" s="332"/>
      <c r="M77" s="332"/>
      <c r="N77" s="332"/>
      <c r="O77" s="332"/>
      <c r="P77" s="332"/>
      <c r="Q77" s="332"/>
      <c r="R77" s="332"/>
      <c r="S77" s="332"/>
    </row>
    <row r="78" spans="1:19" ht="19.95" customHeight="1">
      <c r="A78" s="332"/>
      <c r="B78" s="332"/>
      <c r="C78" s="332"/>
      <c r="D78" s="332"/>
      <c r="E78" s="332"/>
      <c r="F78" s="332"/>
      <c r="G78" s="332"/>
      <c r="H78" s="332"/>
      <c r="I78" s="332"/>
      <c r="J78" s="332"/>
      <c r="K78" s="332"/>
      <c r="L78" s="332"/>
      <c r="M78" s="332"/>
      <c r="N78" s="332"/>
      <c r="O78" s="332"/>
      <c r="P78" s="332"/>
      <c r="Q78" s="332"/>
      <c r="R78" s="332"/>
      <c r="S78" s="332"/>
    </row>
    <row r="79" spans="1:19" ht="19.95" customHeight="1">
      <c r="A79" s="332"/>
      <c r="B79" s="332"/>
      <c r="C79" s="332"/>
      <c r="D79" s="332"/>
      <c r="E79" s="332"/>
      <c r="F79" s="332"/>
      <c r="G79" s="332"/>
      <c r="H79" s="332"/>
      <c r="I79" s="332"/>
      <c r="J79" s="332"/>
      <c r="K79" s="332"/>
      <c r="L79" s="332"/>
      <c r="M79" s="332"/>
      <c r="N79" s="332"/>
      <c r="O79" s="332"/>
      <c r="P79" s="332"/>
      <c r="Q79" s="332"/>
      <c r="R79" s="332"/>
      <c r="S79" s="332"/>
    </row>
    <row r="80" spans="1:19" ht="19.95" customHeight="1">
      <c r="A80" s="332"/>
      <c r="B80" s="332"/>
      <c r="C80" s="332"/>
      <c r="D80" s="332"/>
      <c r="E80" s="332"/>
      <c r="F80" s="332"/>
      <c r="G80" s="332"/>
      <c r="H80" s="332"/>
      <c r="I80" s="332"/>
      <c r="J80" s="332"/>
      <c r="K80" s="332"/>
      <c r="L80" s="332"/>
      <c r="M80" s="332"/>
      <c r="N80" s="332"/>
      <c r="O80" s="332"/>
      <c r="P80" s="332"/>
      <c r="Q80" s="332"/>
      <c r="R80" s="332"/>
      <c r="S80" s="332"/>
    </row>
    <row r="81" spans="1:19" ht="19.95" customHeight="1">
      <c r="A81" s="332"/>
      <c r="B81" s="332"/>
      <c r="C81" s="332"/>
      <c r="D81" s="332"/>
      <c r="E81" s="332"/>
      <c r="F81" s="332"/>
      <c r="G81" s="332"/>
      <c r="H81" s="332"/>
      <c r="I81" s="332"/>
      <c r="J81" s="332"/>
      <c r="K81" s="332"/>
      <c r="L81" s="332"/>
      <c r="M81" s="332"/>
      <c r="N81" s="332"/>
      <c r="O81" s="332"/>
      <c r="P81" s="332"/>
      <c r="Q81" s="332"/>
      <c r="R81" s="332"/>
      <c r="S81" s="332"/>
    </row>
    <row r="82" spans="1:19" ht="19.95" customHeight="1">
      <c r="A82" s="332"/>
      <c r="B82" s="332"/>
      <c r="C82" s="332"/>
      <c r="D82" s="332"/>
      <c r="E82" s="332"/>
      <c r="F82" s="332"/>
      <c r="G82" s="332"/>
      <c r="H82" s="332"/>
      <c r="I82" s="332"/>
      <c r="J82" s="332"/>
      <c r="K82" s="332"/>
      <c r="L82" s="332"/>
      <c r="M82" s="332"/>
      <c r="N82" s="332"/>
      <c r="O82" s="332"/>
      <c r="P82" s="332"/>
      <c r="Q82" s="332"/>
      <c r="R82" s="332"/>
      <c r="S82" s="332"/>
    </row>
    <row r="83" spans="1:19" ht="19.95" customHeight="1">
      <c r="A83" s="332"/>
      <c r="B83" s="332"/>
      <c r="C83" s="332"/>
      <c r="D83" s="332"/>
      <c r="E83" s="332"/>
      <c r="F83" s="332"/>
      <c r="G83" s="332"/>
      <c r="H83" s="332"/>
      <c r="I83" s="332"/>
      <c r="J83" s="332"/>
      <c r="K83" s="332"/>
      <c r="L83" s="332"/>
      <c r="M83" s="332"/>
      <c r="N83" s="332"/>
      <c r="O83" s="332"/>
      <c r="P83" s="332"/>
      <c r="Q83" s="332"/>
      <c r="R83" s="332"/>
      <c r="S83" s="332"/>
    </row>
    <row r="84" spans="1:19" ht="19.95" customHeight="1">
      <c r="A84" s="332"/>
      <c r="B84" s="332"/>
      <c r="C84" s="332"/>
      <c r="D84" s="332"/>
      <c r="E84" s="332"/>
      <c r="F84" s="332"/>
      <c r="G84" s="332"/>
      <c r="H84" s="332"/>
      <c r="I84" s="332"/>
      <c r="J84" s="332"/>
      <c r="K84" s="332"/>
      <c r="L84" s="332"/>
      <c r="M84" s="332"/>
      <c r="N84" s="332"/>
      <c r="O84" s="332"/>
      <c r="P84" s="332"/>
      <c r="Q84" s="332"/>
      <c r="R84" s="332"/>
      <c r="S84" s="332"/>
    </row>
    <row r="85" spans="1:19" ht="19.95" customHeight="1">
      <c r="A85" s="332"/>
      <c r="B85" s="332"/>
      <c r="C85" s="332"/>
      <c r="D85" s="332"/>
      <c r="E85" s="332"/>
      <c r="F85" s="332"/>
      <c r="G85" s="332"/>
      <c r="H85" s="332"/>
      <c r="I85" s="332"/>
      <c r="J85" s="332"/>
      <c r="K85" s="332"/>
      <c r="L85" s="332"/>
      <c r="M85" s="332"/>
      <c r="N85" s="332"/>
      <c r="O85" s="332"/>
      <c r="P85" s="332"/>
      <c r="Q85" s="332"/>
      <c r="R85" s="332"/>
      <c r="S85" s="332"/>
    </row>
    <row r="86" spans="1:19" ht="19.95" customHeight="1">
      <c r="A86" s="332"/>
      <c r="B86" s="332"/>
      <c r="C86" s="332"/>
      <c r="D86" s="332"/>
      <c r="E86" s="332"/>
      <c r="F86" s="332"/>
      <c r="G86" s="332"/>
      <c r="H86" s="332"/>
      <c r="I86" s="332"/>
      <c r="J86" s="332"/>
      <c r="K86" s="332"/>
      <c r="L86" s="332"/>
      <c r="M86" s="332"/>
      <c r="N86" s="332"/>
      <c r="O86" s="332"/>
      <c r="P86" s="332"/>
      <c r="Q86" s="332"/>
      <c r="R86" s="332"/>
      <c r="S86" s="332"/>
    </row>
    <row r="87" spans="1:19" ht="19.95" customHeight="1">
      <c r="A87" s="332"/>
      <c r="B87" s="332"/>
      <c r="C87" s="332"/>
      <c r="D87" s="332"/>
      <c r="E87" s="332"/>
      <c r="F87" s="332"/>
      <c r="G87" s="332"/>
      <c r="H87" s="332"/>
      <c r="I87" s="332"/>
      <c r="J87" s="332"/>
      <c r="K87" s="332"/>
      <c r="L87" s="332"/>
      <c r="M87" s="332"/>
      <c r="N87" s="332"/>
      <c r="O87" s="332"/>
      <c r="P87" s="332"/>
      <c r="Q87" s="332"/>
      <c r="R87" s="332"/>
      <c r="S87" s="332"/>
    </row>
    <row r="88" spans="1:19" ht="19.95" customHeight="1">
      <c r="A88" s="332"/>
      <c r="B88" s="332"/>
      <c r="C88" s="332"/>
      <c r="D88" s="332"/>
      <c r="E88" s="332"/>
      <c r="F88" s="332"/>
      <c r="G88" s="332"/>
      <c r="H88" s="332"/>
      <c r="I88" s="332"/>
      <c r="J88" s="332"/>
      <c r="K88" s="332"/>
      <c r="L88" s="332"/>
      <c r="M88" s="332"/>
      <c r="N88" s="332"/>
      <c r="O88" s="332"/>
      <c r="P88" s="332"/>
      <c r="Q88" s="332"/>
      <c r="R88" s="332"/>
      <c r="S88" s="332"/>
    </row>
    <row r="89" spans="1:19" ht="19.95" customHeight="1">
      <c r="A89" s="332"/>
      <c r="B89" s="332"/>
      <c r="C89" s="332"/>
      <c r="D89" s="332"/>
      <c r="E89" s="332"/>
      <c r="F89" s="332"/>
      <c r="G89" s="332"/>
      <c r="H89" s="332"/>
      <c r="I89" s="332"/>
      <c r="J89" s="332"/>
      <c r="K89" s="332"/>
      <c r="L89" s="332"/>
      <c r="M89" s="332"/>
      <c r="N89" s="332"/>
      <c r="O89" s="332"/>
      <c r="P89" s="332"/>
      <c r="Q89" s="332"/>
      <c r="R89" s="332"/>
      <c r="S89" s="332"/>
    </row>
    <row r="90" spans="1:19" ht="19.95" customHeight="1">
      <c r="A90" s="332"/>
      <c r="B90" s="332"/>
      <c r="C90" s="332"/>
      <c r="D90" s="332"/>
      <c r="E90" s="332"/>
      <c r="F90" s="332"/>
      <c r="G90" s="332"/>
      <c r="H90" s="332"/>
      <c r="I90" s="332"/>
      <c r="J90" s="332"/>
      <c r="K90" s="332"/>
      <c r="L90" s="332"/>
      <c r="M90" s="332"/>
      <c r="N90" s="332"/>
      <c r="O90" s="332"/>
      <c r="P90" s="332"/>
      <c r="Q90" s="332"/>
      <c r="R90" s="332"/>
      <c r="S90" s="332"/>
    </row>
    <row r="91" spans="1:19" ht="19.95" customHeight="1">
      <c r="A91" s="332"/>
      <c r="B91" s="332"/>
      <c r="C91" s="332"/>
      <c r="D91" s="332"/>
      <c r="E91" s="332"/>
      <c r="F91" s="332"/>
      <c r="G91" s="332"/>
      <c r="H91" s="332"/>
      <c r="I91" s="332"/>
      <c r="J91" s="332"/>
      <c r="K91" s="332"/>
      <c r="L91" s="332"/>
      <c r="M91" s="332"/>
      <c r="N91" s="332"/>
      <c r="O91" s="332"/>
      <c r="P91" s="332"/>
      <c r="Q91" s="332"/>
      <c r="R91" s="332"/>
      <c r="S91" s="332"/>
    </row>
    <row r="92" spans="1:19" ht="19.95" customHeight="1">
      <c r="A92" s="332"/>
      <c r="B92" s="332"/>
      <c r="C92" s="332"/>
      <c r="D92" s="332"/>
      <c r="E92" s="332"/>
      <c r="F92" s="332"/>
      <c r="G92" s="332"/>
      <c r="H92" s="332"/>
      <c r="I92" s="332"/>
      <c r="J92" s="332"/>
      <c r="K92" s="332"/>
      <c r="L92" s="332"/>
      <c r="M92" s="332"/>
      <c r="N92" s="332"/>
      <c r="O92" s="332"/>
      <c r="P92" s="332"/>
      <c r="Q92" s="332"/>
      <c r="R92" s="332"/>
      <c r="S92" s="332"/>
    </row>
    <row r="93" spans="1:19" ht="19.95" customHeight="1">
      <c r="A93" s="332"/>
      <c r="B93" s="332"/>
      <c r="C93" s="332"/>
      <c r="D93" s="332"/>
      <c r="E93" s="332"/>
      <c r="F93" s="332"/>
      <c r="G93" s="332"/>
      <c r="H93" s="332"/>
      <c r="I93" s="332"/>
      <c r="J93" s="332"/>
      <c r="K93" s="332"/>
      <c r="L93" s="332"/>
      <c r="M93" s="332"/>
      <c r="N93" s="332"/>
      <c r="O93" s="332"/>
      <c r="P93" s="332"/>
      <c r="Q93" s="332"/>
      <c r="R93" s="332"/>
      <c r="S93" s="332"/>
    </row>
    <row r="94" spans="1:19" ht="19.95" customHeight="1">
      <c r="A94" s="332"/>
      <c r="B94" s="332"/>
      <c r="C94" s="332"/>
      <c r="D94" s="332"/>
      <c r="E94" s="332"/>
      <c r="F94" s="332"/>
      <c r="G94" s="332"/>
      <c r="H94" s="332"/>
      <c r="I94" s="332"/>
      <c r="J94" s="332"/>
      <c r="K94" s="332"/>
      <c r="L94" s="332"/>
      <c r="M94" s="332"/>
      <c r="N94" s="332"/>
      <c r="O94" s="332"/>
      <c r="P94" s="332"/>
      <c r="Q94" s="332"/>
      <c r="R94" s="332"/>
      <c r="S94" s="332"/>
    </row>
    <row r="95" spans="1:19" ht="19.95" customHeight="1">
      <c r="A95" s="332"/>
      <c r="B95" s="332"/>
      <c r="C95" s="332"/>
      <c r="D95" s="332"/>
      <c r="E95" s="332"/>
      <c r="F95" s="332"/>
      <c r="G95" s="332"/>
      <c r="H95" s="332"/>
      <c r="I95" s="332"/>
      <c r="J95" s="332"/>
      <c r="K95" s="332"/>
      <c r="L95" s="332"/>
      <c r="M95" s="332"/>
      <c r="N95" s="332"/>
      <c r="O95" s="332"/>
      <c r="P95" s="332"/>
      <c r="Q95" s="332"/>
      <c r="R95" s="332"/>
      <c r="S95" s="332"/>
    </row>
    <row r="96" spans="1:19" ht="19.95" customHeight="1">
      <c r="A96" s="332"/>
      <c r="B96" s="332"/>
      <c r="C96" s="332"/>
      <c r="D96" s="332"/>
      <c r="E96" s="332"/>
      <c r="F96" s="332"/>
      <c r="G96" s="332"/>
      <c r="H96" s="332"/>
      <c r="I96" s="332"/>
      <c r="J96" s="332"/>
      <c r="K96" s="332"/>
      <c r="L96" s="332"/>
      <c r="M96" s="332"/>
      <c r="N96" s="332"/>
      <c r="O96" s="332"/>
      <c r="P96" s="332"/>
      <c r="Q96" s="332"/>
      <c r="R96" s="332"/>
      <c r="S96" s="332"/>
    </row>
    <row r="97" spans="1:19" ht="19.95" customHeight="1">
      <c r="A97" s="332"/>
      <c r="B97" s="332"/>
      <c r="C97" s="332"/>
      <c r="D97" s="332"/>
      <c r="E97" s="332"/>
      <c r="F97" s="332"/>
      <c r="G97" s="332"/>
      <c r="H97" s="332"/>
      <c r="I97" s="332"/>
      <c r="J97" s="332"/>
      <c r="K97" s="332"/>
      <c r="L97" s="332"/>
      <c r="M97" s="332"/>
      <c r="N97" s="332"/>
      <c r="O97" s="332"/>
      <c r="P97" s="332"/>
      <c r="Q97" s="332"/>
      <c r="R97" s="332"/>
      <c r="S97" s="332"/>
    </row>
    <row r="98" spans="1:19" ht="19.95" customHeight="1">
      <c r="A98" s="332"/>
      <c r="B98" s="332"/>
      <c r="C98" s="332"/>
      <c r="D98" s="332"/>
      <c r="E98" s="332"/>
      <c r="F98" s="332"/>
      <c r="G98" s="332"/>
      <c r="H98" s="332"/>
      <c r="I98" s="332"/>
      <c r="J98" s="332"/>
      <c r="K98" s="332"/>
      <c r="L98" s="332"/>
      <c r="M98" s="332"/>
      <c r="N98" s="332"/>
      <c r="O98" s="332"/>
      <c r="P98" s="332"/>
      <c r="Q98" s="332"/>
      <c r="R98" s="332"/>
      <c r="S98" s="332"/>
    </row>
  </sheetData>
  <mergeCells count="7">
    <mergeCell ref="G7:R7"/>
    <mergeCell ref="S7:V7"/>
    <mergeCell ref="A1:V1"/>
    <mergeCell ref="A2:V2"/>
    <mergeCell ref="B7:B8"/>
    <mergeCell ref="A7:A8"/>
    <mergeCell ref="C7:F7"/>
  </mergeCells>
  <phoneticPr fontId="10" type="noConversion"/>
  <dataValidations count="1">
    <dataValidation type="list" allowBlank="1" showInputMessage="1" showErrorMessage="1" sqref="S9:S16">
      <formula1>"√,X"</formula1>
    </dataValidation>
  </dataValidations>
  <hyperlinks>
    <hyperlink ref="V3" location="底稿目录!A1" display="H1-12"/>
  </hyperlinks>
  <printOptions horizontalCentered="1"/>
  <pageMargins left="0.51181102362204722" right="0.31496062992125984" top="0.55118110236220474" bottom="0.35433070866141736" header="0.51181102362204722" footer="0.19685039370078741"/>
  <pageSetup paperSize="9" scale="56" fitToHeight="50" orientation="landscape" blackAndWhite="1" r:id="rId1"/>
  <headerFooter alignWithMargins="0">
    <oddFooter>&amp;C&amp;P/&amp;N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R95"/>
  <sheetViews>
    <sheetView view="pageBreakPreview" zoomScaleSheetLayoutView="100" workbookViewId="0">
      <selection sqref="A1:R1"/>
    </sheetView>
  </sheetViews>
  <sheetFormatPr defaultColWidth="9" defaultRowHeight="19.95" customHeight="1"/>
  <cols>
    <col min="1" max="1" width="11.796875" style="2" customWidth="1"/>
    <col min="2" max="7" width="11" style="2" customWidth="1"/>
    <col min="8" max="8" width="12.19921875" style="2" customWidth="1"/>
    <col min="9" max="9" width="9.69921875" style="2" customWidth="1"/>
    <col min="10" max="13" width="11" style="2" customWidth="1"/>
    <col min="14" max="14" width="8.59765625" style="2" customWidth="1"/>
    <col min="15" max="15" width="10.5" style="2" customWidth="1"/>
    <col min="16" max="16" width="11" style="2" customWidth="1"/>
    <col min="17" max="17" width="9.796875" style="2" customWidth="1"/>
    <col min="18" max="18" width="10" style="2" customWidth="1"/>
    <col min="19" max="16384" width="9" style="2"/>
  </cols>
  <sheetData>
    <row r="1" spans="1:18" s="27" customFormat="1" ht="19.95" customHeight="1">
      <c r="A1" s="756" t="s">
        <v>1039</v>
      </c>
      <c r="B1" s="829"/>
      <c r="C1" s="829"/>
      <c r="D1" s="829"/>
      <c r="E1" s="829"/>
      <c r="F1" s="829"/>
      <c r="G1" s="829"/>
      <c r="H1" s="829"/>
      <c r="I1" s="829"/>
      <c r="J1" s="829"/>
      <c r="K1" s="829"/>
      <c r="L1" s="829"/>
      <c r="M1" s="829"/>
      <c r="N1" s="829"/>
      <c r="O1" s="829"/>
      <c r="P1" s="829"/>
      <c r="Q1" s="829"/>
      <c r="R1" s="829"/>
    </row>
    <row r="2" spans="1:18" s="463" customFormat="1" ht="19.95" customHeight="1">
      <c r="A2" s="757" t="s">
        <v>1059</v>
      </c>
      <c r="B2" s="757"/>
      <c r="C2" s="757"/>
      <c r="D2" s="757"/>
      <c r="E2" s="757"/>
      <c r="F2" s="757"/>
      <c r="G2" s="757"/>
      <c r="H2" s="757"/>
      <c r="I2" s="757"/>
      <c r="J2" s="757"/>
      <c r="K2" s="757"/>
      <c r="L2" s="757"/>
      <c r="M2" s="757"/>
      <c r="N2" s="757"/>
      <c r="O2" s="757"/>
      <c r="P2" s="757"/>
      <c r="Q2" s="757"/>
      <c r="R2" s="757"/>
    </row>
    <row r="3" spans="1:18" ht="19.95" customHeight="1">
      <c r="A3" s="2" t="str">
        <f>底稿目录!A2</f>
        <v>被审计单位：</v>
      </c>
      <c r="G3" s="2" t="str">
        <f>底稿目录!A4</f>
        <v>编制人：</v>
      </c>
      <c r="M3" s="2" t="str">
        <f>底稿目录!A5</f>
        <v>编制日期：</v>
      </c>
      <c r="Q3" s="181" t="s">
        <v>785</v>
      </c>
      <c r="R3" s="452" t="s">
        <v>313</v>
      </c>
    </row>
    <row r="4" spans="1:18" ht="19.95" customHeight="1">
      <c r="A4" s="2" t="str">
        <f>底稿目录!A3</f>
        <v>截止日：202X年12月31日</v>
      </c>
      <c r="G4" s="2" t="str">
        <f>底稿目录!A6</f>
        <v>复核人：</v>
      </c>
      <c r="M4" s="2" t="str">
        <f>底稿目录!A7</f>
        <v>复核日期：</v>
      </c>
      <c r="Q4" s="475" t="s">
        <v>1064</v>
      </c>
    </row>
    <row r="5" spans="1:18" s="230" customFormat="1" ht="19.95" customHeight="1">
      <c r="A5" s="229" t="s">
        <v>842</v>
      </c>
      <c r="B5" s="229"/>
      <c r="C5" s="229"/>
      <c r="D5" s="229"/>
      <c r="E5" s="229"/>
      <c r="F5" s="229"/>
      <c r="G5" s="229"/>
      <c r="H5" s="229"/>
      <c r="I5" s="229"/>
      <c r="J5" s="229"/>
      <c r="K5" s="229"/>
      <c r="L5" s="229"/>
      <c r="M5" s="229"/>
      <c r="N5" s="229"/>
      <c r="O5" s="229"/>
      <c r="P5" s="229"/>
      <c r="R5" s="665"/>
    </row>
    <row r="6" spans="1:18" s="25" customFormat="1" ht="19.95" customHeight="1">
      <c r="A6" s="57" t="s">
        <v>849</v>
      </c>
      <c r="B6" s="280"/>
      <c r="C6" s="280"/>
      <c r="D6" s="325" t="s">
        <v>836</v>
      </c>
      <c r="E6" s="280"/>
      <c r="F6" s="280"/>
      <c r="G6" s="280"/>
      <c r="H6" s="280"/>
      <c r="I6" s="280"/>
      <c r="J6" s="280"/>
      <c r="K6" s="280"/>
      <c r="L6" s="280"/>
      <c r="M6" s="280"/>
      <c r="N6" s="280"/>
      <c r="O6" s="280"/>
      <c r="P6" s="280"/>
      <c r="Q6" s="280"/>
      <c r="R6" s="280"/>
    </row>
    <row r="7" spans="1:18" ht="19.95" customHeight="1">
      <c r="A7" s="830" t="s">
        <v>850</v>
      </c>
      <c r="B7" s="830" t="s">
        <v>837</v>
      </c>
      <c r="C7" s="832" t="s">
        <v>843</v>
      </c>
      <c r="D7" s="832"/>
      <c r="E7" s="832"/>
      <c r="F7" s="833"/>
      <c r="G7" s="834" t="s">
        <v>851</v>
      </c>
      <c r="H7" s="832"/>
      <c r="I7" s="832"/>
      <c r="J7" s="832"/>
      <c r="K7" s="832"/>
      <c r="L7" s="832"/>
      <c r="M7" s="832"/>
      <c r="N7" s="834" t="s">
        <v>844</v>
      </c>
      <c r="O7" s="832"/>
      <c r="P7" s="833"/>
      <c r="Q7" s="834" t="s">
        <v>845</v>
      </c>
      <c r="R7" s="833"/>
    </row>
    <row r="8" spans="1:18" ht="30" customHeight="1">
      <c r="A8" s="831"/>
      <c r="B8" s="831"/>
      <c r="C8" s="336" t="s">
        <v>527</v>
      </c>
      <c r="D8" s="337" t="s">
        <v>852</v>
      </c>
      <c r="E8" s="336" t="s">
        <v>853</v>
      </c>
      <c r="F8" s="336" t="s">
        <v>504</v>
      </c>
      <c r="G8" s="260" t="s">
        <v>854</v>
      </c>
      <c r="H8" s="260" t="s">
        <v>855</v>
      </c>
      <c r="I8" s="260" t="s">
        <v>856</v>
      </c>
      <c r="J8" s="260" t="s">
        <v>857</v>
      </c>
      <c r="K8" s="260" t="s">
        <v>858</v>
      </c>
      <c r="L8" s="260" t="s">
        <v>846</v>
      </c>
      <c r="M8" s="260" t="s">
        <v>859</v>
      </c>
      <c r="N8" s="260" t="s">
        <v>860</v>
      </c>
      <c r="O8" s="336" t="s">
        <v>838</v>
      </c>
      <c r="P8" s="336" t="s">
        <v>861</v>
      </c>
      <c r="Q8" s="260" t="s">
        <v>862</v>
      </c>
      <c r="R8" s="260" t="s">
        <v>863</v>
      </c>
    </row>
    <row r="9" spans="1:18" ht="19.95" customHeight="1">
      <c r="A9" s="408"/>
      <c r="B9" s="408"/>
      <c r="C9" s="432"/>
      <c r="D9" s="432"/>
      <c r="E9" s="432"/>
      <c r="F9" s="235">
        <f>C9-D9-E9</f>
        <v>0</v>
      </c>
      <c r="G9" s="72"/>
      <c r="H9" s="435"/>
      <c r="I9" s="429"/>
      <c r="J9" s="435"/>
      <c r="K9" s="436"/>
      <c r="L9" s="429"/>
      <c r="M9" s="435"/>
      <c r="N9" s="429"/>
      <c r="O9" s="432"/>
      <c r="P9" s="402"/>
      <c r="Q9" s="437"/>
      <c r="R9" s="435"/>
    </row>
    <row r="10" spans="1:18" ht="19.95" customHeight="1">
      <c r="A10" s="408"/>
      <c r="B10" s="408"/>
      <c r="C10" s="432"/>
      <c r="D10" s="432"/>
      <c r="E10" s="432"/>
      <c r="F10" s="235">
        <f t="shared" ref="F10:F17" si="0">C10-D10-E10</f>
        <v>0</v>
      </c>
      <c r="G10" s="72"/>
      <c r="H10" s="435"/>
      <c r="I10" s="429"/>
      <c r="J10" s="435"/>
      <c r="K10" s="436"/>
      <c r="L10" s="429"/>
      <c r="M10" s="435"/>
      <c r="N10" s="429"/>
      <c r="O10" s="432"/>
      <c r="P10" s="402"/>
      <c r="Q10" s="437"/>
      <c r="R10" s="435"/>
    </row>
    <row r="11" spans="1:18" ht="19.95" customHeight="1">
      <c r="A11" s="408"/>
      <c r="B11" s="408"/>
      <c r="C11" s="432"/>
      <c r="D11" s="432"/>
      <c r="E11" s="432"/>
      <c r="F11" s="235">
        <f t="shared" si="0"/>
        <v>0</v>
      </c>
      <c r="G11" s="72"/>
      <c r="H11" s="435"/>
      <c r="I11" s="429"/>
      <c r="J11" s="435"/>
      <c r="K11" s="436"/>
      <c r="L11" s="429"/>
      <c r="M11" s="435"/>
      <c r="N11" s="429"/>
      <c r="O11" s="432"/>
      <c r="P11" s="402"/>
      <c r="Q11" s="437"/>
      <c r="R11" s="435"/>
    </row>
    <row r="12" spans="1:18" ht="19.95" customHeight="1">
      <c r="A12" s="408"/>
      <c r="B12" s="408"/>
      <c r="C12" s="432"/>
      <c r="D12" s="432"/>
      <c r="E12" s="432"/>
      <c r="F12" s="235">
        <f t="shared" si="0"/>
        <v>0</v>
      </c>
      <c r="G12" s="72"/>
      <c r="H12" s="435"/>
      <c r="I12" s="429"/>
      <c r="J12" s="435"/>
      <c r="K12" s="436"/>
      <c r="L12" s="429"/>
      <c r="M12" s="435"/>
      <c r="N12" s="429"/>
      <c r="O12" s="432"/>
      <c r="P12" s="402"/>
      <c r="Q12" s="437"/>
      <c r="R12" s="435"/>
    </row>
    <row r="13" spans="1:18" ht="19.95" customHeight="1">
      <c r="A13" s="408"/>
      <c r="B13" s="408"/>
      <c r="C13" s="432"/>
      <c r="D13" s="432"/>
      <c r="E13" s="432"/>
      <c r="F13" s="235">
        <f t="shared" si="0"/>
        <v>0</v>
      </c>
      <c r="G13" s="72"/>
      <c r="H13" s="435"/>
      <c r="I13" s="429"/>
      <c r="J13" s="435"/>
      <c r="K13" s="436"/>
      <c r="L13" s="429"/>
      <c r="M13" s="435"/>
      <c r="N13" s="429"/>
      <c r="O13" s="432"/>
      <c r="P13" s="402"/>
      <c r="Q13" s="437"/>
      <c r="R13" s="435"/>
    </row>
    <row r="14" spans="1:18" ht="19.95" customHeight="1">
      <c r="A14" s="408"/>
      <c r="B14" s="408"/>
      <c r="C14" s="432"/>
      <c r="D14" s="432"/>
      <c r="E14" s="432"/>
      <c r="F14" s="235">
        <f t="shared" si="0"/>
        <v>0</v>
      </c>
      <c r="G14" s="72"/>
      <c r="H14" s="435"/>
      <c r="I14" s="429"/>
      <c r="J14" s="435"/>
      <c r="K14" s="436"/>
      <c r="L14" s="429"/>
      <c r="M14" s="435"/>
      <c r="N14" s="429"/>
      <c r="O14" s="432"/>
      <c r="P14" s="402"/>
      <c r="Q14" s="437"/>
      <c r="R14" s="435"/>
    </row>
    <row r="15" spans="1:18" ht="19.95" customHeight="1">
      <c r="A15" s="408"/>
      <c r="B15" s="408"/>
      <c r="C15" s="432"/>
      <c r="D15" s="432"/>
      <c r="E15" s="432"/>
      <c r="F15" s="235">
        <f t="shared" si="0"/>
        <v>0</v>
      </c>
      <c r="G15" s="72"/>
      <c r="H15" s="435"/>
      <c r="I15" s="429"/>
      <c r="J15" s="435"/>
      <c r="K15" s="436"/>
      <c r="L15" s="429"/>
      <c r="M15" s="435"/>
      <c r="N15" s="429"/>
      <c r="O15" s="432"/>
      <c r="P15" s="402"/>
      <c r="Q15" s="437"/>
      <c r="R15" s="435"/>
    </row>
    <row r="16" spans="1:18" ht="19.95" customHeight="1">
      <c r="A16" s="408"/>
      <c r="B16" s="408"/>
      <c r="C16" s="432"/>
      <c r="D16" s="432"/>
      <c r="E16" s="432"/>
      <c r="F16" s="235">
        <f t="shared" si="0"/>
        <v>0</v>
      </c>
      <c r="G16" s="72"/>
      <c r="H16" s="435"/>
      <c r="I16" s="429"/>
      <c r="J16" s="435"/>
      <c r="K16" s="436"/>
      <c r="L16" s="429"/>
      <c r="M16" s="435"/>
      <c r="N16" s="429"/>
      <c r="O16" s="432"/>
      <c r="P16" s="402"/>
      <c r="Q16" s="437"/>
      <c r="R16" s="435"/>
    </row>
    <row r="17" spans="1:18" s="26" customFormat="1" ht="19.95" customHeight="1">
      <c r="A17" s="338" t="s">
        <v>1003</v>
      </c>
      <c r="B17" s="338"/>
      <c r="C17" s="438">
        <f>SUM(C9:C16)</f>
        <v>0</v>
      </c>
      <c r="D17" s="438">
        <f>SUM(D9:D16)</f>
        <v>0</v>
      </c>
      <c r="E17" s="438">
        <f>SUM(E9:E16)</f>
        <v>0</v>
      </c>
      <c r="F17" s="438">
        <f t="shared" si="0"/>
        <v>0</v>
      </c>
      <c r="G17" s="338"/>
      <c r="H17" s="338"/>
      <c r="I17" s="338"/>
      <c r="J17" s="338"/>
      <c r="K17" s="338"/>
      <c r="L17" s="338"/>
      <c r="M17" s="338"/>
      <c r="N17" s="338"/>
      <c r="O17" s="338"/>
      <c r="P17" s="338"/>
      <c r="Q17" s="338"/>
      <c r="R17" s="338"/>
    </row>
    <row r="18" spans="1:18" ht="19.95" customHeight="1">
      <c r="A18" s="57" t="s">
        <v>839</v>
      </c>
      <c r="B18" s="57"/>
      <c r="C18" s="57"/>
      <c r="D18" s="57"/>
      <c r="E18" s="57"/>
      <c r="F18" s="57"/>
      <c r="G18" s="57"/>
      <c r="H18" s="57"/>
      <c r="I18" s="57"/>
      <c r="J18" s="57"/>
      <c r="K18" s="57"/>
      <c r="L18" s="57"/>
      <c r="M18" s="57"/>
      <c r="N18" s="57"/>
      <c r="O18" s="57"/>
      <c r="P18" s="57"/>
      <c r="Q18" s="328"/>
      <c r="R18" s="328"/>
    </row>
    <row r="19" spans="1:18" ht="19.95" customHeight="1">
      <c r="A19" s="60">
        <v>1</v>
      </c>
      <c r="B19" s="329" t="s">
        <v>840</v>
      </c>
      <c r="C19" s="329"/>
      <c r="D19" s="329"/>
      <c r="E19" s="329"/>
      <c r="F19" s="329"/>
      <c r="G19" s="329"/>
      <c r="H19" s="329"/>
      <c r="I19" s="329"/>
      <c r="J19" s="329"/>
      <c r="K19" s="329"/>
      <c r="L19" s="329"/>
      <c r="M19" s="329"/>
      <c r="N19" s="329"/>
      <c r="O19" s="329"/>
      <c r="P19" s="329"/>
      <c r="Q19" s="328"/>
      <c r="R19" s="328"/>
    </row>
    <row r="20" spans="1:18" ht="19.95" customHeight="1">
      <c r="A20" s="328"/>
      <c r="B20" s="328"/>
      <c r="C20" s="328"/>
      <c r="D20" s="328"/>
      <c r="E20" s="328"/>
      <c r="F20" s="328"/>
      <c r="G20" s="328"/>
      <c r="H20" s="328"/>
      <c r="I20" s="328"/>
      <c r="J20" s="328"/>
      <c r="K20" s="328"/>
      <c r="L20" s="328"/>
      <c r="M20" s="328"/>
      <c r="N20" s="328"/>
      <c r="O20" s="328"/>
      <c r="P20" s="328"/>
      <c r="Q20" s="328"/>
      <c r="R20" s="328"/>
    </row>
    <row r="21" spans="1:18" ht="19.95" customHeight="1">
      <c r="A21" s="60" t="s">
        <v>100</v>
      </c>
      <c r="B21" s="329" t="s">
        <v>847</v>
      </c>
      <c r="C21" s="329"/>
      <c r="D21" s="329"/>
      <c r="E21" s="329"/>
      <c r="F21" s="329"/>
      <c r="G21" s="329"/>
      <c r="H21" s="329"/>
      <c r="I21" s="329"/>
      <c r="J21" s="329"/>
      <c r="K21" s="329"/>
      <c r="L21" s="329"/>
      <c r="M21" s="329"/>
      <c r="N21" s="329"/>
      <c r="O21" s="329"/>
      <c r="P21" s="329"/>
      <c r="Q21" s="330"/>
      <c r="R21" s="330"/>
    </row>
    <row r="22" spans="1:18" ht="19.95" customHeight="1">
      <c r="A22" s="60"/>
      <c r="B22" s="331"/>
      <c r="C22" s="331"/>
      <c r="D22" s="331"/>
      <c r="E22" s="331"/>
      <c r="F22" s="331"/>
      <c r="G22" s="331"/>
      <c r="H22" s="331"/>
      <c r="I22" s="331"/>
      <c r="J22" s="331"/>
      <c r="K22" s="331"/>
      <c r="L22" s="331"/>
      <c r="M22" s="331"/>
      <c r="N22" s="331"/>
      <c r="O22" s="331"/>
      <c r="P22" s="331"/>
      <c r="Q22" s="330"/>
      <c r="R22" s="330"/>
    </row>
    <row r="23" spans="1:18" ht="19.95" customHeight="1">
      <c r="A23" s="57" t="s">
        <v>841</v>
      </c>
      <c r="B23" s="57"/>
      <c r="C23" s="57"/>
      <c r="D23" s="57"/>
      <c r="E23" s="57"/>
      <c r="F23" s="57"/>
      <c r="G23" s="57"/>
      <c r="H23" s="57"/>
      <c r="I23" s="57"/>
      <c r="J23" s="57"/>
      <c r="K23" s="57"/>
      <c r="L23" s="57"/>
      <c r="M23" s="57"/>
      <c r="N23" s="57"/>
      <c r="O23" s="57"/>
      <c r="P23" s="57"/>
      <c r="Q23" s="330"/>
      <c r="R23" s="330"/>
    </row>
    <row r="24" spans="1:18" ht="19.95" customHeight="1">
      <c r="A24" s="60"/>
      <c r="B24" s="60"/>
      <c r="C24" s="60"/>
      <c r="D24" s="60"/>
      <c r="E24" s="60"/>
      <c r="F24" s="60"/>
      <c r="G24" s="60"/>
      <c r="H24" s="60"/>
      <c r="I24" s="60"/>
      <c r="J24" s="60"/>
      <c r="K24" s="60"/>
      <c r="L24" s="60"/>
      <c r="M24" s="60"/>
      <c r="N24" s="60"/>
      <c r="O24" s="60"/>
      <c r="P24" s="60"/>
      <c r="Q24" s="330"/>
      <c r="R24" s="330"/>
    </row>
    <row r="25" spans="1:18" ht="19.95" customHeight="1">
      <c r="A25" s="57"/>
      <c r="B25" s="57"/>
      <c r="C25" s="57"/>
      <c r="D25" s="57"/>
      <c r="E25" s="57"/>
      <c r="F25" s="57"/>
      <c r="G25" s="57"/>
      <c r="H25" s="57"/>
      <c r="I25" s="57"/>
      <c r="J25" s="57"/>
      <c r="K25" s="57"/>
      <c r="L25" s="57"/>
      <c r="M25" s="57"/>
      <c r="N25" s="57"/>
      <c r="O25" s="57"/>
      <c r="P25" s="57"/>
      <c r="Q25" s="328"/>
      <c r="R25" s="328"/>
    </row>
    <row r="26" spans="1:18" ht="19.95" customHeight="1">
      <c r="A26" s="507" t="s">
        <v>1099</v>
      </c>
      <c r="B26" s="328"/>
      <c r="C26" s="328"/>
      <c r="D26" s="328"/>
      <c r="E26" s="328"/>
      <c r="F26" s="328"/>
      <c r="G26" s="328"/>
      <c r="H26" s="328"/>
      <c r="I26" s="328"/>
      <c r="J26" s="328"/>
      <c r="K26" s="328"/>
      <c r="L26" s="328"/>
      <c r="M26" s="328"/>
      <c r="N26" s="328"/>
      <c r="O26" s="328"/>
      <c r="P26" s="328"/>
      <c r="Q26" s="328"/>
      <c r="R26" s="328"/>
    </row>
    <row r="27" spans="1:18" ht="19.95" customHeight="1">
      <c r="A27" s="339" t="s">
        <v>864</v>
      </c>
      <c r="B27" s="328"/>
      <c r="C27" s="328"/>
      <c r="D27" s="328"/>
      <c r="E27" s="328"/>
      <c r="F27" s="328"/>
      <c r="G27" s="328"/>
      <c r="H27" s="328"/>
      <c r="I27" s="328"/>
      <c r="J27" s="328"/>
      <c r="K27" s="328"/>
      <c r="L27" s="328"/>
      <c r="M27" s="328"/>
      <c r="N27" s="328"/>
      <c r="O27" s="328"/>
      <c r="P27" s="328"/>
      <c r="Q27" s="328"/>
      <c r="R27" s="328"/>
    </row>
    <row r="28" spans="1:18" ht="19.95" customHeight="1">
      <c r="A28" s="339" t="s">
        <v>865</v>
      </c>
      <c r="B28" s="328"/>
      <c r="C28" s="328"/>
      <c r="D28" s="328"/>
      <c r="E28" s="328"/>
      <c r="F28" s="328"/>
      <c r="G28" s="328"/>
      <c r="H28" s="328"/>
      <c r="I28" s="328"/>
      <c r="J28" s="328"/>
      <c r="K28" s="328"/>
      <c r="L28" s="328"/>
      <c r="M28" s="328"/>
      <c r="N28" s="328"/>
      <c r="O28" s="328"/>
      <c r="P28" s="328"/>
      <c r="Q28" s="328"/>
      <c r="R28" s="328"/>
    </row>
    <row r="29" spans="1:18" ht="19.95" customHeight="1">
      <c r="A29" s="340" t="s">
        <v>848</v>
      </c>
      <c r="B29" s="328"/>
      <c r="C29" s="328"/>
      <c r="D29" s="328"/>
      <c r="E29" s="328"/>
      <c r="F29" s="328"/>
      <c r="G29" s="328"/>
      <c r="H29" s="328"/>
      <c r="I29" s="328"/>
      <c r="J29" s="328"/>
      <c r="K29" s="328"/>
      <c r="L29" s="328"/>
      <c r="M29" s="328"/>
      <c r="N29" s="328"/>
      <c r="O29" s="328"/>
      <c r="P29" s="328"/>
      <c r="Q29" s="328"/>
      <c r="R29" s="328"/>
    </row>
    <row r="30" spans="1:18" ht="19.95" customHeight="1">
      <c r="A30" s="328"/>
      <c r="B30" s="328"/>
      <c r="C30" s="328"/>
      <c r="D30" s="328"/>
      <c r="E30" s="328"/>
      <c r="F30" s="328"/>
      <c r="G30" s="328"/>
      <c r="H30" s="328"/>
      <c r="I30" s="328"/>
      <c r="J30" s="328"/>
      <c r="K30" s="328"/>
      <c r="L30" s="328"/>
      <c r="M30" s="328"/>
      <c r="N30" s="328"/>
      <c r="O30" s="328"/>
      <c r="P30" s="328"/>
      <c r="Q30" s="328"/>
      <c r="R30" s="328"/>
    </row>
    <row r="31" spans="1:18" ht="19.95" customHeight="1">
      <c r="A31" s="325"/>
      <c r="B31" s="328"/>
      <c r="C31" s="328"/>
      <c r="D31" s="328"/>
      <c r="E31" s="328"/>
      <c r="F31" s="328"/>
      <c r="G31" s="328"/>
      <c r="H31" s="328"/>
      <c r="I31" s="328"/>
      <c r="J31" s="328"/>
      <c r="K31" s="328"/>
      <c r="L31" s="328"/>
      <c r="M31" s="328"/>
      <c r="N31" s="328"/>
      <c r="O31" s="328"/>
      <c r="P31" s="328"/>
      <c r="Q31" s="328"/>
      <c r="R31" s="328"/>
    </row>
    <row r="32" spans="1:18" ht="19.95" customHeight="1">
      <c r="A32" s="325"/>
      <c r="B32" s="328"/>
      <c r="C32" s="328"/>
      <c r="D32" s="328"/>
      <c r="E32" s="328"/>
      <c r="F32" s="328"/>
      <c r="G32" s="328"/>
      <c r="H32" s="328"/>
      <c r="I32" s="328"/>
      <c r="J32" s="328"/>
      <c r="K32" s="328"/>
      <c r="L32" s="328"/>
      <c r="M32" s="328"/>
      <c r="N32" s="328"/>
      <c r="O32" s="328"/>
      <c r="P32" s="328"/>
      <c r="Q32" s="328"/>
      <c r="R32" s="328"/>
    </row>
    <row r="33" spans="1:18" ht="19.95" customHeight="1">
      <c r="A33" s="325"/>
      <c r="B33" s="328"/>
      <c r="C33" s="328"/>
      <c r="D33" s="328"/>
      <c r="E33" s="328"/>
      <c r="F33" s="328"/>
      <c r="G33" s="328"/>
      <c r="H33" s="328"/>
      <c r="I33" s="328"/>
      <c r="J33" s="328"/>
      <c r="K33" s="328"/>
      <c r="L33" s="328"/>
      <c r="M33" s="328"/>
      <c r="N33" s="328"/>
      <c r="O33" s="328"/>
      <c r="P33" s="328"/>
      <c r="Q33" s="328"/>
      <c r="R33" s="328"/>
    </row>
    <row r="34" spans="1:18" ht="19.95" customHeight="1">
      <c r="A34" s="325"/>
      <c r="B34" s="328"/>
      <c r="C34" s="328"/>
      <c r="D34" s="328"/>
      <c r="E34" s="328"/>
      <c r="F34" s="328"/>
      <c r="G34" s="328"/>
      <c r="H34" s="328"/>
      <c r="I34" s="328"/>
      <c r="J34" s="328"/>
      <c r="K34" s="328"/>
      <c r="L34" s="328"/>
      <c r="M34" s="328"/>
      <c r="N34" s="328"/>
      <c r="O34" s="328"/>
      <c r="P34" s="328"/>
      <c r="Q34" s="328"/>
      <c r="R34" s="328"/>
    </row>
    <row r="35" spans="1:18" ht="19.95" customHeight="1">
      <c r="A35" s="325"/>
      <c r="B35" s="328"/>
      <c r="C35" s="328"/>
      <c r="D35" s="328"/>
      <c r="E35" s="328"/>
      <c r="F35" s="328"/>
      <c r="G35" s="328"/>
      <c r="H35" s="328"/>
      <c r="I35" s="328"/>
      <c r="J35" s="328"/>
      <c r="K35" s="328"/>
      <c r="L35" s="328"/>
      <c r="M35" s="328"/>
      <c r="N35" s="328"/>
      <c r="O35" s="328"/>
      <c r="P35" s="328"/>
      <c r="Q35" s="328"/>
      <c r="R35" s="328"/>
    </row>
    <row r="36" spans="1:18" ht="19.95" customHeight="1">
      <c r="A36" s="325"/>
      <c r="B36" s="328"/>
      <c r="C36" s="328"/>
      <c r="D36" s="328"/>
      <c r="E36" s="328"/>
      <c r="F36" s="328"/>
      <c r="G36" s="328"/>
      <c r="H36" s="328"/>
      <c r="I36" s="328"/>
      <c r="J36" s="328"/>
      <c r="K36" s="328"/>
      <c r="L36" s="328"/>
      <c r="M36" s="328"/>
      <c r="N36" s="328"/>
      <c r="O36" s="328"/>
      <c r="P36" s="328"/>
      <c r="Q36" s="328"/>
      <c r="R36" s="328"/>
    </row>
    <row r="37" spans="1:18" ht="19.95" customHeight="1">
      <c r="A37" s="328"/>
      <c r="B37" s="328"/>
      <c r="C37" s="328"/>
      <c r="D37" s="328"/>
      <c r="E37" s="328"/>
      <c r="F37" s="328"/>
      <c r="G37" s="328"/>
      <c r="H37" s="328"/>
      <c r="I37" s="328"/>
      <c r="J37" s="328"/>
      <c r="K37" s="328"/>
      <c r="L37" s="328"/>
      <c r="M37" s="328"/>
      <c r="N37" s="328"/>
      <c r="O37" s="328"/>
      <c r="P37" s="328"/>
      <c r="Q37" s="328"/>
      <c r="R37" s="328"/>
    </row>
    <row r="38" spans="1:18" ht="19.95" customHeight="1">
      <c r="A38" s="328"/>
      <c r="B38" s="328"/>
      <c r="C38" s="328"/>
      <c r="D38" s="328"/>
      <c r="E38" s="328"/>
      <c r="F38" s="328"/>
      <c r="G38" s="328"/>
      <c r="H38" s="328"/>
      <c r="I38" s="328"/>
      <c r="J38" s="328"/>
      <c r="K38" s="328"/>
      <c r="L38" s="328"/>
      <c r="M38" s="328"/>
      <c r="N38" s="328"/>
      <c r="O38" s="328"/>
      <c r="P38" s="328"/>
      <c r="Q38" s="328"/>
      <c r="R38" s="328"/>
    </row>
    <row r="39" spans="1:18" ht="19.95" customHeight="1">
      <c r="A39" s="328"/>
      <c r="B39" s="328"/>
      <c r="C39" s="328"/>
      <c r="D39" s="328"/>
      <c r="E39" s="328"/>
      <c r="F39" s="328"/>
      <c r="G39" s="328"/>
      <c r="H39" s="328"/>
      <c r="I39" s="328"/>
      <c r="J39" s="328"/>
      <c r="K39" s="328"/>
      <c r="L39" s="328"/>
      <c r="M39" s="328"/>
      <c r="N39" s="328"/>
      <c r="O39" s="328"/>
      <c r="P39" s="328"/>
      <c r="Q39" s="328"/>
      <c r="R39" s="328"/>
    </row>
    <row r="40" spans="1:18" ht="19.95" customHeight="1">
      <c r="A40" s="328"/>
      <c r="B40" s="328"/>
      <c r="C40" s="328"/>
      <c r="D40" s="328"/>
      <c r="E40" s="328"/>
      <c r="F40" s="328"/>
      <c r="G40" s="328"/>
      <c r="H40" s="328"/>
      <c r="I40" s="328"/>
      <c r="J40" s="328"/>
      <c r="K40" s="328"/>
      <c r="L40" s="328"/>
      <c r="M40" s="328"/>
      <c r="N40" s="328"/>
      <c r="O40" s="328"/>
      <c r="P40" s="328"/>
      <c r="Q40" s="328"/>
      <c r="R40" s="328"/>
    </row>
    <row r="41" spans="1:18" ht="19.95" customHeight="1">
      <c r="A41" s="328"/>
      <c r="B41" s="328"/>
      <c r="C41" s="328"/>
      <c r="D41" s="328"/>
      <c r="E41" s="328"/>
      <c r="F41" s="328"/>
      <c r="G41" s="328"/>
      <c r="H41" s="328"/>
      <c r="I41" s="328"/>
      <c r="J41" s="328"/>
      <c r="K41" s="328"/>
      <c r="L41" s="328"/>
      <c r="M41" s="328"/>
      <c r="N41" s="328"/>
      <c r="O41" s="328"/>
      <c r="P41" s="328"/>
      <c r="Q41" s="328"/>
      <c r="R41" s="328"/>
    </row>
    <row r="42" spans="1:18" ht="19.95" customHeight="1">
      <c r="A42" s="328"/>
      <c r="B42" s="328"/>
      <c r="C42" s="328"/>
      <c r="D42" s="328"/>
      <c r="E42" s="328"/>
      <c r="F42" s="328"/>
      <c r="G42" s="328"/>
      <c r="H42" s="328"/>
      <c r="I42" s="328"/>
      <c r="J42" s="328"/>
      <c r="K42" s="328"/>
      <c r="L42" s="328"/>
      <c r="M42" s="328"/>
      <c r="N42" s="328"/>
      <c r="O42" s="328"/>
      <c r="P42" s="328"/>
      <c r="Q42" s="328"/>
      <c r="R42" s="328"/>
    </row>
    <row r="43" spans="1:18" ht="19.95" customHeight="1">
      <c r="A43" s="328"/>
      <c r="B43" s="328"/>
      <c r="C43" s="328"/>
      <c r="D43" s="328"/>
      <c r="E43" s="328"/>
      <c r="F43" s="328"/>
      <c r="G43" s="328"/>
      <c r="H43" s="328"/>
      <c r="I43" s="328"/>
      <c r="J43" s="328"/>
      <c r="K43" s="328"/>
      <c r="L43" s="328"/>
      <c r="M43" s="328"/>
      <c r="N43" s="328"/>
      <c r="O43" s="328"/>
      <c r="P43" s="328"/>
      <c r="Q43" s="328"/>
      <c r="R43" s="328"/>
    </row>
    <row r="44" spans="1:18" ht="19.95" customHeight="1">
      <c r="A44" s="328"/>
      <c r="B44" s="328"/>
      <c r="C44" s="328"/>
      <c r="D44" s="328"/>
      <c r="E44" s="328"/>
      <c r="F44" s="328"/>
      <c r="G44" s="328"/>
      <c r="H44" s="328"/>
      <c r="I44" s="328"/>
      <c r="J44" s="328"/>
      <c r="K44" s="328"/>
      <c r="L44" s="328"/>
      <c r="M44" s="328"/>
      <c r="N44" s="328"/>
      <c r="O44" s="328"/>
      <c r="P44" s="328"/>
      <c r="Q44" s="328"/>
      <c r="R44" s="328"/>
    </row>
    <row r="45" spans="1:18" ht="19.95" customHeight="1">
      <c r="A45" s="328"/>
      <c r="B45" s="328"/>
      <c r="C45" s="328"/>
      <c r="D45" s="328"/>
      <c r="E45" s="328"/>
      <c r="F45" s="328"/>
      <c r="G45" s="328"/>
      <c r="H45" s="328"/>
      <c r="I45" s="328"/>
      <c r="J45" s="328"/>
      <c r="K45" s="328"/>
      <c r="L45" s="328"/>
      <c r="M45" s="328"/>
      <c r="N45" s="328"/>
      <c r="O45" s="328"/>
      <c r="P45" s="328"/>
      <c r="Q45" s="328"/>
      <c r="R45" s="328"/>
    </row>
    <row r="46" spans="1:18" ht="19.95" customHeight="1">
      <c r="A46" s="328"/>
      <c r="B46" s="328"/>
      <c r="C46" s="328"/>
      <c r="D46" s="328"/>
      <c r="E46" s="328"/>
      <c r="F46" s="328"/>
      <c r="G46" s="328"/>
      <c r="H46" s="328"/>
      <c r="I46" s="328"/>
      <c r="J46" s="328"/>
      <c r="K46" s="328"/>
      <c r="L46" s="328"/>
      <c r="M46" s="328"/>
      <c r="N46" s="328"/>
      <c r="O46" s="328"/>
      <c r="P46" s="328"/>
      <c r="Q46" s="328"/>
      <c r="R46" s="328"/>
    </row>
    <row r="47" spans="1:18" ht="19.95" customHeight="1">
      <c r="A47" s="328"/>
      <c r="B47" s="328"/>
      <c r="C47" s="328"/>
      <c r="D47" s="328"/>
      <c r="E47" s="328"/>
      <c r="F47" s="328"/>
      <c r="G47" s="328"/>
      <c r="H47" s="328"/>
      <c r="I47" s="328"/>
      <c r="J47" s="328"/>
      <c r="K47" s="328"/>
      <c r="L47" s="328"/>
      <c r="M47" s="328"/>
      <c r="N47" s="328"/>
      <c r="O47" s="328"/>
      <c r="P47" s="328"/>
      <c r="Q47" s="328"/>
      <c r="R47" s="328"/>
    </row>
    <row r="48" spans="1:18" ht="19.95" customHeight="1">
      <c r="A48" s="328"/>
      <c r="B48" s="328"/>
      <c r="C48" s="328"/>
      <c r="D48" s="328"/>
      <c r="E48" s="328"/>
      <c r="F48" s="328"/>
      <c r="G48" s="328"/>
      <c r="H48" s="328"/>
      <c r="I48" s="328"/>
      <c r="J48" s="328"/>
      <c r="K48" s="328"/>
      <c r="L48" s="328"/>
      <c r="M48" s="328"/>
      <c r="N48" s="328"/>
      <c r="O48" s="328"/>
      <c r="P48" s="328"/>
      <c r="Q48" s="328"/>
      <c r="R48" s="328"/>
    </row>
    <row r="49" spans="1:18" ht="19.95" customHeight="1">
      <c r="A49" s="328"/>
      <c r="B49" s="328"/>
      <c r="C49" s="328"/>
      <c r="D49" s="328"/>
      <c r="E49" s="328"/>
      <c r="F49" s="328"/>
      <c r="G49" s="328"/>
      <c r="H49" s="328"/>
      <c r="I49" s="328"/>
      <c r="J49" s="328"/>
      <c r="K49" s="328"/>
      <c r="L49" s="328"/>
      <c r="M49" s="328"/>
      <c r="N49" s="328"/>
      <c r="O49" s="328"/>
      <c r="P49" s="328"/>
      <c r="Q49" s="328"/>
      <c r="R49" s="328"/>
    </row>
    <row r="50" spans="1:18" ht="19.95" customHeight="1">
      <c r="A50" s="328"/>
      <c r="B50" s="328"/>
      <c r="C50" s="328"/>
      <c r="D50" s="328"/>
      <c r="E50" s="328"/>
      <c r="F50" s="328"/>
      <c r="G50" s="328"/>
      <c r="H50" s="328"/>
      <c r="I50" s="328"/>
      <c r="J50" s="328"/>
      <c r="K50" s="328"/>
      <c r="L50" s="328"/>
      <c r="M50" s="328"/>
      <c r="N50" s="328"/>
      <c r="O50" s="328"/>
      <c r="P50" s="328"/>
      <c r="Q50" s="328"/>
      <c r="R50" s="328"/>
    </row>
    <row r="51" spans="1:18" ht="19.95" customHeight="1">
      <c r="A51" s="328"/>
      <c r="B51" s="328"/>
      <c r="C51" s="328"/>
      <c r="D51" s="328"/>
      <c r="E51" s="328"/>
      <c r="F51" s="328"/>
      <c r="G51" s="328"/>
      <c r="H51" s="328"/>
      <c r="I51" s="328"/>
      <c r="J51" s="328"/>
      <c r="K51" s="328"/>
      <c r="L51" s="328"/>
      <c r="M51" s="328"/>
      <c r="N51" s="328"/>
      <c r="O51" s="328"/>
      <c r="P51" s="328"/>
      <c r="Q51" s="328"/>
      <c r="R51" s="328"/>
    </row>
    <row r="52" spans="1:18" ht="19.95" customHeight="1">
      <c r="A52" s="328"/>
      <c r="B52" s="328"/>
      <c r="C52" s="328"/>
      <c r="D52" s="328"/>
      <c r="E52" s="328"/>
      <c r="F52" s="328"/>
      <c r="G52" s="328"/>
      <c r="H52" s="328"/>
      <c r="I52" s="328"/>
      <c r="J52" s="328"/>
      <c r="K52" s="328"/>
      <c r="L52" s="328"/>
      <c r="M52" s="328"/>
      <c r="N52" s="328"/>
      <c r="O52" s="328"/>
      <c r="P52" s="328"/>
      <c r="Q52" s="328"/>
      <c r="R52" s="328"/>
    </row>
    <row r="53" spans="1:18" ht="19.95" customHeight="1">
      <c r="A53" s="328"/>
      <c r="B53" s="328"/>
      <c r="C53" s="328"/>
      <c r="D53" s="328"/>
      <c r="E53" s="328"/>
      <c r="F53" s="328"/>
      <c r="G53" s="328"/>
      <c r="H53" s="328"/>
      <c r="I53" s="328"/>
      <c r="J53" s="328"/>
      <c r="K53" s="328"/>
      <c r="L53" s="328"/>
      <c r="M53" s="328"/>
      <c r="N53" s="328"/>
      <c r="O53" s="328"/>
      <c r="P53" s="328"/>
      <c r="Q53" s="328"/>
      <c r="R53" s="328"/>
    </row>
    <row r="54" spans="1:18" ht="19.95" customHeight="1">
      <c r="A54" s="328"/>
      <c r="B54" s="328"/>
      <c r="C54" s="328"/>
      <c r="D54" s="328"/>
      <c r="E54" s="328"/>
      <c r="F54" s="328"/>
      <c r="G54" s="328"/>
      <c r="H54" s="328"/>
      <c r="I54" s="328"/>
      <c r="J54" s="328"/>
      <c r="K54" s="328"/>
      <c r="L54" s="328"/>
      <c r="M54" s="328"/>
      <c r="N54" s="328"/>
      <c r="O54" s="328"/>
      <c r="P54" s="328"/>
      <c r="Q54" s="328"/>
      <c r="R54" s="328"/>
    </row>
    <row r="55" spans="1:18" ht="19.95" customHeight="1">
      <c r="A55" s="328"/>
      <c r="B55" s="328"/>
      <c r="C55" s="328"/>
      <c r="D55" s="328"/>
      <c r="E55" s="328"/>
      <c r="F55" s="328"/>
      <c r="G55" s="328"/>
      <c r="H55" s="328"/>
      <c r="I55" s="328"/>
      <c r="J55" s="328"/>
      <c r="K55" s="328"/>
      <c r="L55" s="328"/>
      <c r="M55" s="328"/>
      <c r="N55" s="328"/>
      <c r="O55" s="328"/>
      <c r="P55" s="328"/>
      <c r="Q55" s="328"/>
      <c r="R55" s="328"/>
    </row>
    <row r="56" spans="1:18" ht="19.95" customHeight="1">
      <c r="A56" s="328"/>
      <c r="B56" s="328"/>
      <c r="C56" s="328"/>
      <c r="D56" s="328"/>
      <c r="E56" s="328"/>
      <c r="F56" s="328"/>
      <c r="G56" s="328"/>
      <c r="H56" s="328"/>
      <c r="I56" s="328"/>
      <c r="J56" s="328"/>
      <c r="K56" s="328"/>
      <c r="L56" s="328"/>
      <c r="M56" s="328"/>
      <c r="N56" s="328"/>
      <c r="O56" s="328"/>
      <c r="P56" s="328"/>
      <c r="Q56" s="328"/>
      <c r="R56" s="328"/>
    </row>
    <row r="57" spans="1:18" ht="19.95" customHeight="1">
      <c r="A57" s="328"/>
      <c r="B57" s="328"/>
      <c r="C57" s="328"/>
      <c r="D57" s="328"/>
      <c r="E57" s="328"/>
      <c r="F57" s="328"/>
      <c r="G57" s="328"/>
      <c r="H57" s="328"/>
      <c r="I57" s="328"/>
      <c r="J57" s="328"/>
      <c r="K57" s="328"/>
      <c r="L57" s="328"/>
      <c r="M57" s="328"/>
      <c r="N57" s="328"/>
      <c r="O57" s="328"/>
      <c r="P57" s="328"/>
      <c r="Q57" s="328"/>
      <c r="R57" s="328"/>
    </row>
    <row r="58" spans="1:18" ht="19.95" customHeight="1">
      <c r="A58" s="328"/>
      <c r="B58" s="328"/>
      <c r="C58" s="328"/>
      <c r="D58" s="328"/>
      <c r="E58" s="328"/>
      <c r="F58" s="328"/>
      <c r="G58" s="328"/>
      <c r="H58" s="328"/>
      <c r="I58" s="328"/>
      <c r="J58" s="328"/>
      <c r="K58" s="328"/>
      <c r="L58" s="328"/>
      <c r="M58" s="328"/>
      <c r="N58" s="328"/>
      <c r="O58" s="328"/>
      <c r="P58" s="328"/>
      <c r="Q58" s="328"/>
      <c r="R58" s="328"/>
    </row>
    <row r="59" spans="1:18" ht="19.95" customHeight="1">
      <c r="A59" s="328"/>
      <c r="B59" s="328"/>
      <c r="C59" s="328"/>
      <c r="D59" s="328"/>
      <c r="E59" s="328"/>
      <c r="F59" s="328"/>
      <c r="G59" s="328"/>
      <c r="H59" s="328"/>
      <c r="I59" s="328"/>
      <c r="J59" s="328"/>
      <c r="K59" s="328"/>
      <c r="L59" s="328"/>
      <c r="M59" s="328"/>
      <c r="N59" s="328"/>
      <c r="O59" s="328"/>
      <c r="P59" s="328"/>
      <c r="Q59" s="328"/>
      <c r="R59" s="328"/>
    </row>
    <row r="60" spans="1:18" ht="19.95" customHeight="1">
      <c r="A60" s="328"/>
      <c r="B60" s="328"/>
      <c r="C60" s="328"/>
      <c r="D60" s="328"/>
      <c r="E60" s="328"/>
      <c r="F60" s="328"/>
      <c r="G60" s="328"/>
      <c r="H60" s="328"/>
      <c r="I60" s="328"/>
      <c r="J60" s="328"/>
      <c r="K60" s="328"/>
      <c r="L60" s="328"/>
      <c r="M60" s="328"/>
      <c r="N60" s="328"/>
      <c r="O60" s="328"/>
      <c r="P60" s="328"/>
      <c r="Q60" s="328"/>
      <c r="R60" s="328"/>
    </row>
    <row r="61" spans="1:18" ht="19.95" customHeight="1">
      <c r="A61" s="328"/>
      <c r="B61" s="328"/>
      <c r="C61" s="328"/>
      <c r="D61" s="328"/>
      <c r="E61" s="328"/>
      <c r="F61" s="328"/>
      <c r="G61" s="328"/>
      <c r="H61" s="328"/>
      <c r="I61" s="328"/>
      <c r="J61" s="328"/>
      <c r="K61" s="328"/>
      <c r="L61" s="328"/>
      <c r="M61" s="328"/>
      <c r="N61" s="328"/>
      <c r="O61" s="328"/>
      <c r="P61" s="328"/>
      <c r="Q61" s="328"/>
      <c r="R61" s="328"/>
    </row>
    <row r="62" spans="1:18" ht="19.95" customHeight="1">
      <c r="A62" s="328"/>
      <c r="B62" s="328"/>
      <c r="C62" s="328"/>
      <c r="D62" s="328"/>
      <c r="E62" s="328"/>
      <c r="F62" s="328"/>
      <c r="G62" s="328"/>
      <c r="H62" s="328"/>
      <c r="I62" s="328"/>
      <c r="J62" s="328"/>
      <c r="K62" s="328"/>
      <c r="L62" s="328"/>
      <c r="M62" s="328"/>
      <c r="N62" s="328"/>
      <c r="O62" s="328"/>
      <c r="P62" s="328"/>
      <c r="Q62" s="328"/>
      <c r="R62" s="328"/>
    </row>
    <row r="63" spans="1:18" ht="19.95" customHeight="1">
      <c r="A63" s="328"/>
      <c r="B63" s="328"/>
      <c r="C63" s="328"/>
      <c r="D63" s="328"/>
      <c r="E63" s="328"/>
      <c r="F63" s="328"/>
      <c r="G63" s="328"/>
      <c r="H63" s="328"/>
      <c r="I63" s="328"/>
      <c r="J63" s="328"/>
      <c r="K63" s="328"/>
      <c r="L63" s="328"/>
      <c r="M63" s="328"/>
      <c r="N63" s="328"/>
      <c r="O63" s="328"/>
      <c r="P63" s="328"/>
      <c r="Q63" s="328"/>
      <c r="R63" s="328"/>
    </row>
    <row r="64" spans="1:18" ht="19.95" customHeight="1">
      <c r="A64" s="328"/>
      <c r="B64" s="328"/>
      <c r="C64" s="328"/>
      <c r="D64" s="328"/>
      <c r="E64" s="328"/>
      <c r="F64" s="328"/>
      <c r="G64" s="328"/>
      <c r="H64" s="328"/>
      <c r="I64" s="328"/>
      <c r="J64" s="328"/>
      <c r="K64" s="328"/>
      <c r="L64" s="328"/>
      <c r="M64" s="328"/>
      <c r="N64" s="328"/>
      <c r="O64" s="328"/>
      <c r="P64" s="328"/>
      <c r="Q64" s="328"/>
      <c r="R64" s="328"/>
    </row>
    <row r="65" spans="1:18" ht="19.95" customHeight="1">
      <c r="A65" s="328"/>
      <c r="B65" s="328"/>
      <c r="C65" s="328"/>
      <c r="D65" s="328"/>
      <c r="E65" s="328"/>
      <c r="F65" s="328"/>
      <c r="G65" s="328"/>
      <c r="H65" s="328"/>
      <c r="I65" s="328"/>
      <c r="J65" s="328"/>
      <c r="K65" s="328"/>
      <c r="L65" s="328"/>
      <c r="M65" s="328"/>
      <c r="N65" s="328"/>
      <c r="O65" s="328"/>
      <c r="P65" s="328"/>
      <c r="Q65" s="328"/>
      <c r="R65" s="328"/>
    </row>
    <row r="66" spans="1:18" ht="19.95" customHeight="1">
      <c r="A66" s="328"/>
      <c r="B66" s="328"/>
      <c r="C66" s="328"/>
      <c r="D66" s="328"/>
      <c r="E66" s="328"/>
      <c r="F66" s="328"/>
      <c r="G66" s="328"/>
      <c r="H66" s="328"/>
      <c r="I66" s="328"/>
      <c r="J66" s="328"/>
      <c r="K66" s="328"/>
      <c r="L66" s="328"/>
      <c r="M66" s="328"/>
      <c r="N66" s="328"/>
      <c r="O66" s="328"/>
      <c r="P66" s="328"/>
      <c r="Q66" s="328"/>
      <c r="R66" s="328"/>
    </row>
    <row r="67" spans="1:18" ht="19.95" customHeight="1">
      <c r="A67" s="328"/>
      <c r="B67" s="328"/>
      <c r="C67" s="328"/>
      <c r="D67" s="328"/>
      <c r="E67" s="328"/>
      <c r="F67" s="328"/>
      <c r="G67" s="328"/>
      <c r="H67" s="328"/>
      <c r="I67" s="328"/>
      <c r="J67" s="328"/>
      <c r="K67" s="328"/>
      <c r="L67" s="328"/>
      <c r="M67" s="328"/>
      <c r="N67" s="328"/>
      <c r="O67" s="328"/>
      <c r="P67" s="328"/>
      <c r="Q67" s="328"/>
      <c r="R67" s="328"/>
    </row>
    <row r="68" spans="1:18" ht="19.95" customHeight="1">
      <c r="A68" s="328"/>
      <c r="B68" s="328"/>
      <c r="C68" s="328"/>
      <c r="D68" s="328"/>
      <c r="E68" s="328"/>
      <c r="F68" s="328"/>
      <c r="G68" s="328"/>
      <c r="H68" s="328"/>
      <c r="I68" s="328"/>
      <c r="J68" s="328"/>
      <c r="K68" s="328"/>
      <c r="L68" s="328"/>
      <c r="M68" s="328"/>
      <c r="N68" s="328"/>
      <c r="O68" s="328"/>
      <c r="P68" s="328"/>
      <c r="Q68" s="328"/>
      <c r="R68" s="328"/>
    </row>
    <row r="69" spans="1:18" ht="19.95" customHeight="1">
      <c r="A69" s="328"/>
      <c r="B69" s="328"/>
      <c r="C69" s="328"/>
      <c r="D69" s="328"/>
      <c r="E69" s="328"/>
      <c r="F69" s="328"/>
      <c r="G69" s="328"/>
      <c r="H69" s="328"/>
      <c r="I69" s="328"/>
      <c r="J69" s="328"/>
      <c r="K69" s="328"/>
      <c r="L69" s="328"/>
      <c r="M69" s="328"/>
      <c r="N69" s="328"/>
      <c r="O69" s="328"/>
      <c r="P69" s="328"/>
      <c r="Q69" s="328"/>
      <c r="R69" s="328"/>
    </row>
    <row r="70" spans="1:18" ht="19.95" customHeight="1">
      <c r="A70" s="328"/>
      <c r="B70" s="328"/>
      <c r="C70" s="328"/>
      <c r="D70" s="328"/>
      <c r="E70" s="328"/>
      <c r="F70" s="328"/>
      <c r="G70" s="328"/>
      <c r="H70" s="328"/>
      <c r="I70" s="328"/>
      <c r="J70" s="328"/>
      <c r="K70" s="328"/>
      <c r="L70" s="328"/>
      <c r="M70" s="328"/>
      <c r="N70" s="328"/>
      <c r="O70" s="328"/>
      <c r="P70" s="328"/>
      <c r="Q70" s="328"/>
      <c r="R70" s="328"/>
    </row>
    <row r="71" spans="1:18" ht="19.95" customHeight="1">
      <c r="A71" s="328"/>
      <c r="B71" s="328"/>
      <c r="C71" s="328"/>
      <c r="D71" s="328"/>
      <c r="E71" s="328"/>
      <c r="F71" s="328"/>
      <c r="G71" s="328"/>
      <c r="H71" s="328"/>
      <c r="I71" s="328"/>
      <c r="J71" s="328"/>
      <c r="K71" s="328"/>
      <c r="L71" s="328"/>
      <c r="M71" s="328"/>
      <c r="N71" s="328"/>
      <c r="O71" s="328"/>
      <c r="P71" s="328"/>
      <c r="Q71" s="328"/>
      <c r="R71" s="328"/>
    </row>
    <row r="72" spans="1:18" ht="19.95" customHeight="1">
      <c r="A72" s="328"/>
      <c r="B72" s="328"/>
      <c r="C72" s="328"/>
      <c r="D72" s="328"/>
      <c r="E72" s="328"/>
      <c r="F72" s="328"/>
      <c r="G72" s="328"/>
      <c r="H72" s="328"/>
      <c r="I72" s="328"/>
      <c r="J72" s="328"/>
      <c r="K72" s="328"/>
      <c r="L72" s="328"/>
      <c r="M72" s="328"/>
      <c r="N72" s="328"/>
      <c r="O72" s="328"/>
      <c r="P72" s="328"/>
      <c r="Q72" s="328"/>
      <c r="R72" s="328"/>
    </row>
    <row r="73" spans="1:18" ht="19.95" customHeight="1">
      <c r="A73" s="328"/>
      <c r="B73" s="328"/>
      <c r="C73" s="328"/>
      <c r="D73" s="328"/>
      <c r="E73" s="328"/>
      <c r="F73" s="328"/>
      <c r="G73" s="328"/>
      <c r="H73" s="328"/>
      <c r="I73" s="328"/>
      <c r="J73" s="328"/>
      <c r="K73" s="328"/>
      <c r="L73" s="328"/>
      <c r="M73" s="328"/>
      <c r="N73" s="328"/>
      <c r="O73" s="328"/>
      <c r="P73" s="328"/>
      <c r="Q73" s="328"/>
      <c r="R73" s="328"/>
    </row>
    <row r="74" spans="1:18" ht="19.95" customHeight="1">
      <c r="A74" s="328"/>
      <c r="B74" s="328"/>
      <c r="C74" s="328"/>
      <c r="D74" s="328"/>
      <c r="E74" s="328"/>
      <c r="F74" s="328"/>
      <c r="G74" s="328"/>
      <c r="H74" s="328"/>
      <c r="I74" s="328"/>
      <c r="J74" s="328"/>
      <c r="K74" s="328"/>
      <c r="L74" s="328"/>
      <c r="M74" s="328"/>
      <c r="N74" s="328"/>
      <c r="O74" s="328"/>
      <c r="P74" s="328"/>
      <c r="Q74" s="328"/>
      <c r="R74" s="328"/>
    </row>
    <row r="75" spans="1:18" ht="19.95" customHeight="1">
      <c r="A75" s="328"/>
      <c r="B75" s="328"/>
      <c r="C75" s="328"/>
      <c r="D75" s="328"/>
      <c r="E75" s="328"/>
      <c r="F75" s="328"/>
      <c r="G75" s="328"/>
      <c r="H75" s="328"/>
      <c r="I75" s="328"/>
      <c r="J75" s="328"/>
      <c r="K75" s="328"/>
      <c r="L75" s="328"/>
      <c r="M75" s="328"/>
      <c r="N75" s="328"/>
      <c r="O75" s="328"/>
      <c r="P75" s="328"/>
      <c r="Q75" s="328"/>
      <c r="R75" s="328"/>
    </row>
    <row r="76" spans="1:18" ht="19.95" customHeight="1">
      <c r="A76" s="328"/>
      <c r="B76" s="328"/>
      <c r="C76" s="328"/>
      <c r="D76" s="328"/>
      <c r="E76" s="328"/>
      <c r="F76" s="328"/>
      <c r="G76" s="328"/>
      <c r="H76" s="328"/>
      <c r="I76" s="328"/>
      <c r="J76" s="328"/>
      <c r="K76" s="328"/>
      <c r="L76" s="328"/>
      <c r="M76" s="328"/>
      <c r="N76" s="328"/>
      <c r="O76" s="328"/>
      <c r="P76" s="328"/>
      <c r="Q76" s="328"/>
      <c r="R76" s="328"/>
    </row>
    <row r="77" spans="1:18" ht="19.95" customHeight="1">
      <c r="A77" s="328"/>
      <c r="B77" s="328"/>
      <c r="C77" s="328"/>
      <c r="D77" s="328"/>
      <c r="E77" s="328"/>
      <c r="F77" s="328"/>
      <c r="G77" s="328"/>
      <c r="H77" s="328"/>
      <c r="I77" s="328"/>
      <c r="J77" s="328"/>
      <c r="K77" s="328"/>
      <c r="L77" s="328"/>
      <c r="M77" s="328"/>
      <c r="N77" s="328"/>
      <c r="O77" s="328"/>
      <c r="P77" s="328"/>
      <c r="Q77" s="328"/>
      <c r="R77" s="328"/>
    </row>
    <row r="78" spans="1:18" ht="19.95" customHeight="1">
      <c r="A78" s="328"/>
      <c r="B78" s="328"/>
      <c r="C78" s="328"/>
      <c r="D78" s="328"/>
      <c r="E78" s="328"/>
      <c r="F78" s="328"/>
      <c r="G78" s="328"/>
      <c r="H78" s="328"/>
      <c r="I78" s="328"/>
      <c r="J78" s="328"/>
      <c r="K78" s="328"/>
      <c r="L78" s="328"/>
      <c r="M78" s="328"/>
      <c r="N78" s="328"/>
      <c r="O78" s="328"/>
      <c r="P78" s="328"/>
      <c r="Q78" s="328"/>
      <c r="R78" s="328"/>
    </row>
    <row r="79" spans="1:18" ht="19.95" customHeight="1">
      <c r="A79" s="328"/>
      <c r="B79" s="328"/>
      <c r="C79" s="328"/>
      <c r="D79" s="328"/>
      <c r="E79" s="328"/>
      <c r="F79" s="328"/>
      <c r="G79" s="328"/>
      <c r="H79" s="328"/>
      <c r="I79" s="328"/>
      <c r="J79" s="328"/>
      <c r="K79" s="328"/>
      <c r="L79" s="328"/>
      <c r="M79" s="328"/>
      <c r="N79" s="328"/>
      <c r="O79" s="328"/>
      <c r="P79" s="328"/>
      <c r="Q79" s="328"/>
      <c r="R79" s="328"/>
    </row>
    <row r="80" spans="1:18" ht="19.95" customHeight="1">
      <c r="A80" s="328"/>
      <c r="B80" s="328"/>
      <c r="C80" s="328"/>
      <c r="D80" s="328"/>
      <c r="E80" s="328"/>
      <c r="F80" s="328"/>
      <c r="G80" s="328"/>
      <c r="H80" s="328"/>
      <c r="I80" s="328"/>
      <c r="J80" s="328"/>
      <c r="K80" s="328"/>
      <c r="L80" s="328"/>
      <c r="M80" s="328"/>
      <c r="N80" s="328"/>
      <c r="O80" s="328"/>
      <c r="P80" s="328"/>
      <c r="Q80" s="328"/>
      <c r="R80" s="328"/>
    </row>
    <row r="81" spans="1:18" ht="19.95" customHeight="1">
      <c r="A81" s="328"/>
      <c r="B81" s="328"/>
      <c r="C81" s="328"/>
      <c r="D81" s="328"/>
      <c r="E81" s="328"/>
      <c r="F81" s="328"/>
      <c r="G81" s="328"/>
      <c r="H81" s="328"/>
      <c r="I81" s="328"/>
      <c r="J81" s="328"/>
      <c r="K81" s="328"/>
      <c r="L81" s="328"/>
      <c r="M81" s="328"/>
      <c r="N81" s="328"/>
      <c r="O81" s="328"/>
      <c r="P81" s="328"/>
      <c r="Q81" s="328"/>
      <c r="R81" s="328"/>
    </row>
    <row r="82" spans="1:18" ht="19.95" customHeight="1">
      <c r="A82" s="328"/>
      <c r="B82" s="328"/>
      <c r="C82" s="328"/>
      <c r="D82" s="328"/>
      <c r="E82" s="328"/>
      <c r="F82" s="328"/>
      <c r="G82" s="328"/>
      <c r="H82" s="328"/>
      <c r="I82" s="328"/>
      <c r="J82" s="328"/>
      <c r="K82" s="328"/>
      <c r="L82" s="328"/>
      <c r="M82" s="328"/>
      <c r="N82" s="328"/>
      <c r="O82" s="328"/>
      <c r="P82" s="328"/>
      <c r="Q82" s="328"/>
      <c r="R82" s="328"/>
    </row>
    <row r="83" spans="1:18" ht="19.95" customHeight="1">
      <c r="A83" s="328"/>
      <c r="B83" s="328"/>
      <c r="C83" s="328"/>
      <c r="D83" s="328"/>
      <c r="E83" s="328"/>
      <c r="F83" s="328"/>
      <c r="G83" s="328"/>
      <c r="H83" s="328"/>
      <c r="I83" s="328"/>
      <c r="J83" s="328"/>
      <c r="K83" s="328"/>
      <c r="L83" s="328"/>
      <c r="M83" s="328"/>
      <c r="N83" s="328"/>
      <c r="O83" s="328"/>
      <c r="P83" s="328"/>
      <c r="Q83" s="328"/>
      <c r="R83" s="328"/>
    </row>
    <row r="84" spans="1:18" ht="19.95" customHeight="1">
      <c r="A84" s="328"/>
      <c r="B84" s="328"/>
      <c r="C84" s="328"/>
      <c r="D84" s="328"/>
      <c r="E84" s="328"/>
      <c r="F84" s="328"/>
      <c r="G84" s="328"/>
      <c r="H84" s="328"/>
      <c r="I84" s="328"/>
      <c r="J84" s="328"/>
      <c r="K84" s="328"/>
      <c r="L84" s="328"/>
      <c r="M84" s="328"/>
      <c r="N84" s="328"/>
      <c r="O84" s="328"/>
      <c r="P84" s="328"/>
      <c r="Q84" s="328"/>
      <c r="R84" s="328"/>
    </row>
    <row r="85" spans="1:18" ht="19.95" customHeight="1">
      <c r="A85" s="328"/>
      <c r="B85" s="328"/>
      <c r="C85" s="328"/>
      <c r="D85" s="328"/>
      <c r="E85" s="328"/>
      <c r="F85" s="328"/>
      <c r="G85" s="328"/>
      <c r="H85" s="328"/>
      <c r="I85" s="328"/>
      <c r="J85" s="328"/>
      <c r="K85" s="328"/>
      <c r="L85" s="328"/>
      <c r="M85" s="328"/>
      <c r="N85" s="328"/>
      <c r="O85" s="328"/>
      <c r="P85" s="328"/>
      <c r="Q85" s="328"/>
      <c r="R85" s="328"/>
    </row>
    <row r="86" spans="1:18" ht="19.95" customHeight="1">
      <c r="A86" s="328"/>
      <c r="B86" s="328"/>
      <c r="C86" s="328"/>
      <c r="D86" s="328"/>
      <c r="E86" s="328"/>
      <c r="F86" s="328"/>
      <c r="G86" s="328"/>
      <c r="H86" s="328"/>
      <c r="I86" s="328"/>
      <c r="J86" s="328"/>
      <c r="K86" s="328"/>
      <c r="L86" s="328"/>
      <c r="M86" s="328"/>
      <c r="N86" s="328"/>
      <c r="O86" s="328"/>
      <c r="P86" s="328"/>
      <c r="Q86" s="328"/>
      <c r="R86" s="328"/>
    </row>
    <row r="87" spans="1:18" ht="19.95" customHeight="1">
      <c r="A87" s="328"/>
      <c r="B87" s="328"/>
      <c r="C87" s="328"/>
      <c r="D87" s="328"/>
      <c r="E87" s="328"/>
      <c r="F87" s="328"/>
      <c r="G87" s="328"/>
      <c r="H87" s="328"/>
      <c r="I87" s="328"/>
      <c r="J87" s="328"/>
      <c r="K87" s="328"/>
      <c r="L87" s="328"/>
      <c r="M87" s="328"/>
      <c r="N87" s="328"/>
      <c r="O87" s="328"/>
      <c r="P87" s="328"/>
      <c r="Q87" s="328"/>
      <c r="R87" s="328"/>
    </row>
    <row r="88" spans="1:18" ht="19.95" customHeight="1">
      <c r="A88" s="328"/>
      <c r="B88" s="328"/>
      <c r="C88" s="328"/>
      <c r="D88" s="328"/>
      <c r="E88" s="328"/>
      <c r="F88" s="328"/>
      <c r="G88" s="328"/>
      <c r="H88" s="328"/>
      <c r="I88" s="328"/>
      <c r="J88" s="328"/>
      <c r="K88" s="328"/>
      <c r="L88" s="328"/>
      <c r="M88" s="328"/>
      <c r="N88" s="328"/>
      <c r="O88" s="328"/>
      <c r="P88" s="328"/>
      <c r="Q88" s="328"/>
      <c r="R88" s="328"/>
    </row>
    <row r="89" spans="1:18" ht="19.95" customHeight="1">
      <c r="A89" s="328"/>
      <c r="B89" s="328"/>
      <c r="C89" s="328"/>
      <c r="D89" s="328"/>
      <c r="E89" s="328"/>
      <c r="F89" s="328"/>
      <c r="G89" s="328"/>
      <c r="H89" s="328"/>
      <c r="I89" s="328"/>
      <c r="J89" s="328"/>
      <c r="K89" s="328"/>
      <c r="L89" s="328"/>
      <c r="M89" s="328"/>
      <c r="N89" s="328"/>
      <c r="O89" s="328"/>
      <c r="P89" s="328"/>
      <c r="Q89" s="328"/>
      <c r="R89" s="328"/>
    </row>
    <row r="90" spans="1:18" ht="19.95" customHeight="1">
      <c r="A90" s="328"/>
      <c r="B90" s="328"/>
      <c r="C90" s="328"/>
      <c r="D90" s="328"/>
      <c r="E90" s="328"/>
      <c r="F90" s="328"/>
      <c r="G90" s="328"/>
      <c r="H90" s="328"/>
      <c r="I90" s="328"/>
      <c r="J90" s="328"/>
      <c r="K90" s="328"/>
      <c r="L90" s="328"/>
      <c r="M90" s="328"/>
      <c r="N90" s="328"/>
      <c r="O90" s="328"/>
      <c r="P90" s="328"/>
      <c r="Q90" s="328"/>
      <c r="R90" s="328"/>
    </row>
    <row r="91" spans="1:18" ht="19.95" customHeight="1">
      <c r="A91" s="328"/>
      <c r="B91" s="328"/>
      <c r="C91" s="328"/>
      <c r="D91" s="328"/>
      <c r="E91" s="328"/>
      <c r="F91" s="328"/>
      <c r="G91" s="328"/>
      <c r="H91" s="328"/>
      <c r="I91" s="328"/>
      <c r="J91" s="328"/>
      <c r="K91" s="328"/>
      <c r="L91" s="328"/>
      <c r="M91" s="328"/>
      <c r="N91" s="328"/>
      <c r="O91" s="328"/>
      <c r="P91" s="328"/>
      <c r="Q91" s="328"/>
      <c r="R91" s="328"/>
    </row>
    <row r="92" spans="1:18" ht="19.95" customHeight="1">
      <c r="A92" s="328"/>
      <c r="B92" s="328"/>
      <c r="C92" s="328"/>
      <c r="D92" s="328"/>
      <c r="E92" s="328"/>
      <c r="F92" s="328"/>
      <c r="G92" s="328"/>
      <c r="H92" s="328"/>
      <c r="I92" s="328"/>
      <c r="J92" s="328"/>
      <c r="K92" s="328"/>
      <c r="L92" s="328"/>
      <c r="M92" s="328"/>
      <c r="N92" s="328"/>
      <c r="O92" s="328"/>
      <c r="P92" s="328"/>
      <c r="Q92" s="328"/>
      <c r="R92" s="328"/>
    </row>
    <row r="93" spans="1:18" ht="19.95" customHeight="1">
      <c r="A93" s="328"/>
      <c r="B93" s="328"/>
      <c r="C93" s="328"/>
      <c r="D93" s="328"/>
      <c r="E93" s="328"/>
      <c r="F93" s="328"/>
      <c r="G93" s="328"/>
      <c r="H93" s="328"/>
      <c r="I93" s="328"/>
      <c r="J93" s="328"/>
      <c r="K93" s="328"/>
      <c r="L93" s="328"/>
      <c r="M93" s="328"/>
      <c r="N93" s="328"/>
      <c r="O93" s="328"/>
      <c r="P93" s="328"/>
      <c r="Q93" s="328"/>
      <c r="R93" s="328"/>
    </row>
    <row r="94" spans="1:18" ht="19.95" customHeight="1">
      <c r="A94" s="328"/>
      <c r="B94" s="328"/>
      <c r="C94" s="328"/>
      <c r="D94" s="328"/>
      <c r="E94" s="328"/>
      <c r="F94" s="328"/>
      <c r="G94" s="328"/>
      <c r="H94" s="328"/>
      <c r="I94" s="328"/>
      <c r="J94" s="328"/>
      <c r="K94" s="328"/>
      <c r="L94" s="328"/>
      <c r="M94" s="328"/>
      <c r="N94" s="328"/>
      <c r="O94" s="328"/>
      <c r="P94" s="328"/>
      <c r="Q94" s="328"/>
      <c r="R94" s="328"/>
    </row>
    <row r="95" spans="1:18" ht="19.95" customHeight="1">
      <c r="A95" s="328"/>
      <c r="B95" s="328"/>
      <c r="C95" s="328"/>
      <c r="D95" s="328"/>
      <c r="E95" s="328"/>
      <c r="F95" s="328"/>
      <c r="G95" s="328"/>
      <c r="H95" s="328"/>
      <c r="I95" s="328"/>
      <c r="J95" s="328"/>
      <c r="K95" s="328"/>
      <c r="L95" s="328"/>
      <c r="M95" s="328"/>
      <c r="N95" s="328"/>
      <c r="O95" s="328"/>
      <c r="P95" s="328"/>
      <c r="Q95" s="328"/>
      <c r="R95" s="328"/>
    </row>
  </sheetData>
  <mergeCells count="8">
    <mergeCell ref="B7:B8"/>
    <mergeCell ref="A1:R1"/>
    <mergeCell ref="A2:R2"/>
    <mergeCell ref="A7:A8"/>
    <mergeCell ref="C7:F7"/>
    <mergeCell ref="N7:P7"/>
    <mergeCell ref="G7:M7"/>
    <mergeCell ref="Q7:R7"/>
  </mergeCells>
  <phoneticPr fontId="10" type="noConversion"/>
  <dataValidations count="1">
    <dataValidation type="list" allowBlank="1" showInputMessage="1" showErrorMessage="1" sqref="N9:N16">
      <formula1>"√,X"</formula1>
    </dataValidation>
  </dataValidations>
  <hyperlinks>
    <hyperlink ref="R3" location="底稿目录!A1" display="H1-12"/>
  </hyperlinks>
  <printOptions horizontalCentered="1"/>
  <pageMargins left="0.51181102362204722" right="0.31496062992125984" top="0.55118110236220474" bottom="0.35433070866141736" header="0.51181102362204722" footer="0.19685039370078741"/>
  <pageSetup paperSize="9" scale="67" fitToHeight="50" orientation="landscape" blackAndWhite="1" r:id="rId1"/>
  <headerFooter alignWithMargins="0">
    <oddFooter>&amp;C&amp;P/&amp;N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O106"/>
  <sheetViews>
    <sheetView view="pageBreakPreview" zoomScaleSheetLayoutView="100" workbookViewId="0">
      <selection activeCell="B12" sqref="B12"/>
    </sheetView>
  </sheetViews>
  <sheetFormatPr defaultColWidth="9" defaultRowHeight="19.95" customHeight="1"/>
  <cols>
    <col min="1" max="1" width="16.8984375" style="141" customWidth="1"/>
    <col min="2" max="2" width="15.09765625" style="141" customWidth="1"/>
    <col min="3" max="3" width="9.19921875" style="141" customWidth="1"/>
    <col min="4" max="4" width="18.19921875" style="222" customWidth="1"/>
    <col min="5" max="5" width="11.796875" style="222" customWidth="1"/>
    <col min="6" max="6" width="13.69921875" style="222" customWidth="1"/>
    <col min="7" max="7" width="13" style="222" customWidth="1"/>
    <col min="8" max="8" width="12" style="222" customWidth="1"/>
    <col min="9" max="9" width="13.8984375" style="222" customWidth="1"/>
    <col min="10" max="10" width="13.09765625" style="141" customWidth="1"/>
    <col min="11" max="11" width="10" style="141" customWidth="1"/>
    <col min="12" max="12" width="10.69921875" style="141" customWidth="1"/>
    <col min="13" max="13" width="10" style="141" customWidth="1"/>
    <col min="14" max="14" width="10.3984375" style="141" customWidth="1"/>
    <col min="15" max="16384" width="9" style="141"/>
  </cols>
  <sheetData>
    <row r="1" spans="1:15" s="472" customFormat="1" ht="19.95" customHeight="1">
      <c r="A1" s="835" t="s">
        <v>1039</v>
      </c>
      <c r="B1" s="835"/>
      <c r="C1" s="835"/>
      <c r="D1" s="835"/>
      <c r="E1" s="835"/>
      <c r="F1" s="835"/>
      <c r="G1" s="835"/>
      <c r="H1" s="835"/>
      <c r="I1" s="835"/>
      <c r="J1" s="835"/>
      <c r="K1" s="835"/>
      <c r="L1" s="835"/>
      <c r="M1" s="835"/>
      <c r="N1" s="835"/>
      <c r="O1" s="835"/>
    </row>
    <row r="2" spans="1:15" s="473" customFormat="1" ht="19.95" customHeight="1">
      <c r="A2" s="836" t="s">
        <v>1060</v>
      </c>
      <c r="B2" s="836"/>
      <c r="C2" s="836"/>
      <c r="D2" s="836"/>
      <c r="E2" s="836"/>
      <c r="F2" s="836"/>
      <c r="G2" s="836"/>
      <c r="H2" s="836"/>
      <c r="I2" s="836"/>
      <c r="J2" s="836"/>
      <c r="K2" s="836"/>
      <c r="L2" s="836"/>
      <c r="M2" s="836"/>
      <c r="N2" s="836"/>
      <c r="O2" s="836"/>
    </row>
    <row r="3" spans="1:15" ht="19.95" customHeight="1">
      <c r="A3" s="141" t="str">
        <f>底稿目录!A2</f>
        <v>被审计单位：</v>
      </c>
      <c r="D3" s="141"/>
      <c r="F3" s="141" t="str">
        <f>底稿目录!A4</f>
        <v>编制人：</v>
      </c>
      <c r="G3" s="141"/>
      <c r="I3" s="141"/>
      <c r="J3" s="141" t="str">
        <f>底稿目录!A5</f>
        <v>编制日期：</v>
      </c>
      <c r="N3" s="181" t="s">
        <v>785</v>
      </c>
      <c r="O3" s="452" t="s">
        <v>314</v>
      </c>
    </row>
    <row r="4" spans="1:15" ht="19.95" customHeight="1">
      <c r="A4" s="141" t="str">
        <f>底稿目录!A3</f>
        <v>截止日：202X年12月31日</v>
      </c>
      <c r="D4" s="141"/>
      <c r="F4" s="141" t="str">
        <f>底稿目录!A6</f>
        <v>复核人：</v>
      </c>
      <c r="G4" s="141"/>
      <c r="I4" s="141"/>
      <c r="J4" s="141" t="str">
        <f>底稿目录!A7</f>
        <v>复核日期：</v>
      </c>
      <c r="N4" s="475" t="s">
        <v>1064</v>
      </c>
      <c r="O4" s="2"/>
    </row>
    <row r="5" spans="1:15" s="224" customFormat="1" ht="19.95" customHeight="1">
      <c r="A5" s="223" t="s">
        <v>360</v>
      </c>
      <c r="B5" s="223"/>
      <c r="C5" s="223"/>
      <c r="D5" s="341"/>
      <c r="E5" s="341"/>
      <c r="F5" s="341"/>
      <c r="G5" s="341"/>
      <c r="H5" s="342"/>
      <c r="I5" s="341"/>
      <c r="J5" s="342"/>
      <c r="K5" s="342"/>
      <c r="L5" s="342"/>
      <c r="N5" s="342"/>
    </row>
    <row r="6" spans="1:15" s="674" customFormat="1" ht="19.95" customHeight="1">
      <c r="A6" s="671" t="s">
        <v>879</v>
      </c>
      <c r="B6" s="671"/>
      <c r="C6" s="671"/>
      <c r="D6" s="672"/>
      <c r="E6" s="673"/>
      <c r="F6" s="673"/>
      <c r="G6" s="673"/>
      <c r="H6" s="673"/>
      <c r="I6" s="673"/>
      <c r="J6" s="671"/>
      <c r="K6" s="671"/>
      <c r="L6" s="671"/>
      <c r="M6" s="671"/>
      <c r="N6" s="671"/>
    </row>
    <row r="7" spans="1:15" s="674" customFormat="1" ht="19.95" customHeight="1">
      <c r="A7" s="671" t="s">
        <v>880</v>
      </c>
      <c r="B7" s="671"/>
      <c r="C7" s="671"/>
      <c r="D7" s="672"/>
      <c r="E7" s="673"/>
      <c r="F7" s="673"/>
      <c r="G7" s="673"/>
      <c r="H7" s="673"/>
      <c r="I7" s="673"/>
      <c r="J7" s="671"/>
      <c r="K7" s="671"/>
      <c r="L7" s="671"/>
      <c r="M7" s="671"/>
      <c r="N7" s="671"/>
    </row>
    <row r="8" spans="1:15" s="224" customFormat="1" ht="19.95" customHeight="1">
      <c r="A8" s="223" t="s">
        <v>835</v>
      </c>
      <c r="B8" s="342"/>
      <c r="C8" s="342"/>
      <c r="D8" s="225"/>
      <c r="E8" s="341"/>
      <c r="F8" s="341"/>
      <c r="G8" s="341"/>
      <c r="H8" s="341"/>
      <c r="I8" s="341"/>
      <c r="J8" s="342"/>
      <c r="K8" s="342"/>
      <c r="L8" s="342"/>
      <c r="M8" s="342"/>
      <c r="N8" s="342"/>
    </row>
    <row r="9" spans="1:15" s="224" customFormat="1" ht="19.95" customHeight="1">
      <c r="A9" s="342" t="s">
        <v>1090</v>
      </c>
      <c r="C9" s="343"/>
      <c r="D9" s="225"/>
      <c r="E9" s="341"/>
      <c r="F9" s="341"/>
      <c r="G9" s="341"/>
      <c r="H9" s="341"/>
      <c r="I9" s="341"/>
      <c r="J9" s="342"/>
      <c r="K9" s="342"/>
      <c r="L9" s="342"/>
      <c r="M9" s="342"/>
      <c r="N9" s="342"/>
    </row>
    <row r="10" spans="1:15" s="224" customFormat="1" ht="19.95" customHeight="1">
      <c r="A10" s="344" t="s">
        <v>1088</v>
      </c>
      <c r="C10" s="343"/>
      <c r="D10" s="225"/>
      <c r="F10" s="341"/>
      <c r="G10" s="341"/>
      <c r="H10" s="341"/>
      <c r="I10" s="341"/>
      <c r="J10" s="341"/>
      <c r="K10" s="342"/>
      <c r="L10" s="342"/>
      <c r="M10" s="342"/>
      <c r="N10" s="342"/>
    </row>
    <row r="11" spans="1:15" s="224" customFormat="1" ht="24">
      <c r="A11" s="345" t="s">
        <v>870</v>
      </c>
      <c r="B11" s="345" t="s">
        <v>881</v>
      </c>
      <c r="C11" s="345" t="s">
        <v>871</v>
      </c>
      <c r="D11" s="346" t="s">
        <v>866</v>
      </c>
      <c r="E11" s="346" t="s">
        <v>882</v>
      </c>
      <c r="F11" s="346" t="s">
        <v>883</v>
      </c>
      <c r="G11" s="346" t="s">
        <v>875</v>
      </c>
      <c r="H11" s="346" t="s">
        <v>867</v>
      </c>
      <c r="I11" s="346" t="s">
        <v>868</v>
      </c>
      <c r="J11" s="346" t="s">
        <v>869</v>
      </c>
      <c r="K11" s="346" t="s">
        <v>884</v>
      </c>
      <c r="L11" s="346" t="s">
        <v>14</v>
      </c>
      <c r="M11" s="346" t="s">
        <v>885</v>
      </c>
      <c r="N11" s="342"/>
    </row>
    <row r="12" spans="1:15" s="224" customFormat="1" ht="19.95" customHeight="1">
      <c r="A12" s="347"/>
      <c r="B12" s="693"/>
      <c r="C12" s="439"/>
      <c r="D12" s="439"/>
      <c r="E12" s="292"/>
      <c r="F12" s="432"/>
      <c r="G12" s="440"/>
      <c r="H12" s="441"/>
      <c r="I12" s="292"/>
      <c r="J12" s="348"/>
      <c r="K12" s="442"/>
      <c r="L12" s="348"/>
      <c r="M12" s="443"/>
      <c r="N12" s="342"/>
    </row>
    <row r="13" spans="1:15" s="224" customFormat="1" ht="19.95" customHeight="1">
      <c r="A13" s="347"/>
      <c r="B13" s="693"/>
      <c r="C13" s="439"/>
      <c r="D13" s="439"/>
      <c r="E13" s="292"/>
      <c r="F13" s="432"/>
      <c r="G13" s="440"/>
      <c r="H13" s="441"/>
      <c r="I13" s="292"/>
      <c r="J13" s="348"/>
      <c r="K13" s="442"/>
      <c r="L13" s="348"/>
      <c r="M13" s="443"/>
      <c r="N13" s="342"/>
    </row>
    <row r="14" spans="1:15" s="224" customFormat="1" ht="19.95" customHeight="1">
      <c r="A14" s="349"/>
      <c r="B14" s="693"/>
      <c r="C14" s="439"/>
      <c r="D14" s="439"/>
      <c r="E14" s="292"/>
      <c r="F14" s="432"/>
      <c r="G14" s="440"/>
      <c r="H14" s="441"/>
      <c r="I14" s="292"/>
      <c r="J14" s="348"/>
      <c r="K14" s="442"/>
      <c r="L14" s="348"/>
      <c r="M14" s="443"/>
      <c r="N14" s="342"/>
    </row>
    <row r="15" spans="1:15" s="224" customFormat="1" ht="19.95" customHeight="1">
      <c r="A15" s="349"/>
      <c r="B15" s="693"/>
      <c r="C15" s="439"/>
      <c r="D15" s="439"/>
      <c r="E15" s="292"/>
      <c r="F15" s="432"/>
      <c r="G15" s="440"/>
      <c r="H15" s="441"/>
      <c r="I15" s="292"/>
      <c r="J15" s="348"/>
      <c r="K15" s="442"/>
      <c r="L15" s="348"/>
      <c r="M15" s="443"/>
      <c r="N15" s="342"/>
    </row>
    <row r="16" spans="1:15" s="224" customFormat="1" ht="19.95" customHeight="1">
      <c r="A16" s="227"/>
      <c r="B16" s="693"/>
      <c r="C16" s="439"/>
      <c r="D16" s="439"/>
      <c r="E16" s="292"/>
      <c r="F16" s="432"/>
      <c r="G16" s="440"/>
      <c r="H16" s="441"/>
      <c r="I16" s="292"/>
      <c r="J16" s="348"/>
      <c r="K16" s="442"/>
      <c r="L16" s="348"/>
      <c r="M16" s="443"/>
      <c r="N16" s="342"/>
    </row>
    <row r="17" spans="1:15" s="224" customFormat="1" ht="19.95" customHeight="1">
      <c r="A17" s="349"/>
      <c r="B17" s="693"/>
      <c r="C17" s="439"/>
      <c r="D17" s="439"/>
      <c r="E17" s="292"/>
      <c r="F17" s="432"/>
      <c r="G17" s="440"/>
      <c r="H17" s="441"/>
      <c r="I17" s="292"/>
      <c r="J17" s="348"/>
      <c r="K17" s="442"/>
      <c r="L17" s="348"/>
      <c r="M17" s="443"/>
      <c r="N17" s="342"/>
    </row>
    <row r="18" spans="1:15" s="224" customFormat="1" ht="19.95" customHeight="1">
      <c r="A18" s="342"/>
      <c r="C18" s="343"/>
      <c r="D18" s="225"/>
      <c r="E18" s="341"/>
      <c r="F18" s="341"/>
      <c r="G18" s="341"/>
      <c r="H18" s="341"/>
      <c r="I18" s="341"/>
      <c r="J18" s="342"/>
      <c r="K18" s="342"/>
      <c r="L18" s="342"/>
      <c r="M18" s="342"/>
      <c r="N18" s="342"/>
    </row>
    <row r="19" spans="1:15" s="224" customFormat="1" ht="19.95" customHeight="1">
      <c r="A19" s="344" t="s">
        <v>1089</v>
      </c>
      <c r="C19" s="343"/>
      <c r="D19" s="225"/>
      <c r="E19" s="341"/>
      <c r="F19" s="341"/>
      <c r="G19" s="341"/>
      <c r="H19" s="341"/>
      <c r="I19" s="341"/>
      <c r="J19" s="341"/>
      <c r="K19" s="350"/>
      <c r="L19" s="342"/>
      <c r="M19" s="342"/>
      <c r="N19" s="342"/>
      <c r="O19" s="342"/>
    </row>
    <row r="20" spans="1:15" s="224" customFormat="1" ht="24">
      <c r="A20" s="345" t="s">
        <v>886</v>
      </c>
      <c r="B20" s="345" t="s">
        <v>881</v>
      </c>
      <c r="C20" s="345" t="s">
        <v>887</v>
      </c>
      <c r="D20" s="346" t="s">
        <v>888</v>
      </c>
      <c r="E20" s="346" t="s">
        <v>889</v>
      </c>
      <c r="F20" s="346" t="s">
        <v>872</v>
      </c>
      <c r="G20" s="346" t="s">
        <v>873</v>
      </c>
      <c r="H20" s="346" t="s">
        <v>874</v>
      </c>
      <c r="I20" s="346" t="s">
        <v>890</v>
      </c>
      <c r="J20" s="346" t="s">
        <v>891</v>
      </c>
      <c r="K20" s="346" t="s">
        <v>876</v>
      </c>
      <c r="L20" s="346" t="s">
        <v>892</v>
      </c>
      <c r="M20" s="346" t="s">
        <v>877</v>
      </c>
      <c r="N20" s="346" t="s">
        <v>14</v>
      </c>
      <c r="O20" s="346" t="s">
        <v>525</v>
      </c>
    </row>
    <row r="21" spans="1:15" s="224" customFormat="1" ht="19.95" customHeight="1">
      <c r="A21" s="349"/>
      <c r="B21" s="675"/>
      <c r="C21" s="347"/>
      <c r="D21" s="228"/>
      <c r="E21" s="444"/>
      <c r="F21" s="444"/>
      <c r="G21" s="444"/>
      <c r="H21" s="351">
        <f t="shared" ref="H21:H26" si="0">E21-F21-G21</f>
        <v>0</v>
      </c>
      <c r="I21" s="444"/>
      <c r="J21" s="440"/>
      <c r="K21" s="441"/>
      <c r="L21" s="348"/>
      <c r="M21" s="442"/>
      <c r="N21" s="348"/>
      <c r="O21" s="443"/>
    </row>
    <row r="22" spans="1:15" s="224" customFormat="1" ht="19.95" customHeight="1">
      <c r="A22" s="349"/>
      <c r="B22" s="675"/>
      <c r="C22" s="347"/>
      <c r="D22" s="228"/>
      <c r="E22" s="444"/>
      <c r="F22" s="444"/>
      <c r="G22" s="444"/>
      <c r="H22" s="351">
        <f t="shared" si="0"/>
        <v>0</v>
      </c>
      <c r="I22" s="444"/>
      <c r="J22" s="440"/>
      <c r="K22" s="441"/>
      <c r="L22" s="348"/>
      <c r="M22" s="442"/>
      <c r="N22" s="348"/>
      <c r="O22" s="443"/>
    </row>
    <row r="23" spans="1:15" s="224" customFormat="1" ht="19.95" customHeight="1">
      <c r="A23" s="349"/>
      <c r="B23" s="675"/>
      <c r="C23" s="347"/>
      <c r="D23" s="228"/>
      <c r="E23" s="444"/>
      <c r="F23" s="444"/>
      <c r="G23" s="444"/>
      <c r="H23" s="351">
        <f t="shared" si="0"/>
        <v>0</v>
      </c>
      <c r="I23" s="444"/>
      <c r="J23" s="440"/>
      <c r="K23" s="441"/>
      <c r="L23" s="348"/>
      <c r="M23" s="442"/>
      <c r="N23" s="348"/>
      <c r="O23" s="443"/>
    </row>
    <row r="24" spans="1:15" s="224" customFormat="1" ht="19.95" customHeight="1">
      <c r="A24" s="349"/>
      <c r="B24" s="675"/>
      <c r="C24" s="347"/>
      <c r="D24" s="228"/>
      <c r="E24" s="444"/>
      <c r="F24" s="444"/>
      <c r="G24" s="444"/>
      <c r="H24" s="351">
        <f t="shared" si="0"/>
        <v>0</v>
      </c>
      <c r="I24" s="444"/>
      <c r="J24" s="440"/>
      <c r="K24" s="441"/>
      <c r="L24" s="348"/>
      <c r="M24" s="442"/>
      <c r="N24" s="348"/>
      <c r="O24" s="443"/>
    </row>
    <row r="25" spans="1:15" s="224" customFormat="1" ht="19.95" customHeight="1">
      <c r="A25" s="349"/>
      <c r="B25" s="675"/>
      <c r="C25" s="347"/>
      <c r="D25" s="228"/>
      <c r="E25" s="444"/>
      <c r="F25" s="444"/>
      <c r="G25" s="444"/>
      <c r="H25" s="351">
        <f t="shared" si="0"/>
        <v>0</v>
      </c>
      <c r="I25" s="444"/>
      <c r="J25" s="440"/>
      <c r="K25" s="441"/>
      <c r="L25" s="348"/>
      <c r="M25" s="442"/>
      <c r="N25" s="348"/>
      <c r="O25" s="443"/>
    </row>
    <row r="26" spans="1:15" s="224" customFormat="1" ht="19.95" customHeight="1">
      <c r="A26" s="349"/>
      <c r="B26" s="675"/>
      <c r="C26" s="347"/>
      <c r="D26" s="228"/>
      <c r="E26" s="444"/>
      <c r="F26" s="444"/>
      <c r="G26" s="444"/>
      <c r="H26" s="351">
        <f t="shared" si="0"/>
        <v>0</v>
      </c>
      <c r="I26" s="444"/>
      <c r="J26" s="440"/>
      <c r="K26" s="441"/>
      <c r="L26" s="348"/>
      <c r="M26" s="442"/>
      <c r="N26" s="348"/>
      <c r="O26" s="443"/>
    </row>
    <row r="27" spans="1:15" s="224" customFormat="1" ht="19.95" customHeight="1">
      <c r="A27" s="342"/>
      <c r="C27" s="343"/>
      <c r="D27" s="225"/>
      <c r="E27" s="341"/>
      <c r="F27" s="341"/>
      <c r="G27" s="341"/>
      <c r="H27" s="341"/>
      <c r="I27" s="341"/>
      <c r="J27" s="341"/>
      <c r="K27" s="342"/>
      <c r="L27" s="342"/>
      <c r="M27" s="342"/>
      <c r="N27" s="342"/>
      <c r="O27" s="342"/>
    </row>
    <row r="28" spans="1:15" ht="19.95" customHeight="1">
      <c r="A28" s="223" t="s">
        <v>839</v>
      </c>
      <c r="B28" s="223"/>
      <c r="C28" s="223"/>
      <c r="D28" s="352"/>
      <c r="E28" s="352"/>
      <c r="F28" s="341"/>
      <c r="G28" s="352"/>
      <c r="H28" s="352"/>
      <c r="I28" s="352"/>
      <c r="J28" s="352"/>
      <c r="K28" s="342"/>
      <c r="L28" s="342"/>
      <c r="M28" s="342"/>
      <c r="N28" s="342"/>
      <c r="O28" s="342"/>
    </row>
    <row r="29" spans="1:15" ht="19.95" customHeight="1">
      <c r="A29" s="226"/>
      <c r="B29" s="353"/>
      <c r="C29" s="226"/>
      <c r="D29" s="141"/>
      <c r="E29" s="352"/>
      <c r="F29" s="352"/>
      <c r="G29" s="352"/>
      <c r="H29" s="352"/>
      <c r="I29" s="352"/>
      <c r="J29" s="352"/>
      <c r="K29" s="343"/>
      <c r="L29" s="343"/>
      <c r="M29" s="343"/>
      <c r="N29" s="343"/>
      <c r="O29" s="343"/>
    </row>
    <row r="30" spans="1:15" ht="19.95" customHeight="1">
      <c r="B30" s="354"/>
      <c r="D30" s="141"/>
      <c r="E30" s="354"/>
      <c r="F30" s="354"/>
      <c r="G30" s="354"/>
      <c r="H30" s="354"/>
      <c r="I30" s="354"/>
      <c r="J30" s="355"/>
      <c r="K30" s="355"/>
      <c r="L30" s="355"/>
      <c r="M30" s="355"/>
      <c r="N30" s="355"/>
    </row>
    <row r="31" spans="1:15" ht="19.95" customHeight="1">
      <c r="A31" s="226"/>
      <c r="B31" s="353"/>
      <c r="C31" s="226"/>
      <c r="D31" s="141"/>
      <c r="E31" s="354"/>
      <c r="F31" s="354"/>
      <c r="G31" s="354"/>
      <c r="H31" s="354"/>
      <c r="I31" s="354"/>
      <c r="J31" s="355"/>
      <c r="K31" s="355"/>
      <c r="L31" s="355"/>
      <c r="M31" s="355"/>
      <c r="N31" s="355"/>
    </row>
    <row r="32" spans="1:15" ht="19.95" customHeight="1">
      <c r="A32" s="226"/>
      <c r="B32" s="356"/>
      <c r="C32" s="226"/>
      <c r="D32" s="141"/>
      <c r="E32" s="354"/>
      <c r="F32" s="354"/>
      <c r="G32" s="354"/>
      <c r="H32" s="354"/>
      <c r="I32" s="354"/>
      <c r="J32" s="355"/>
      <c r="K32" s="355"/>
      <c r="L32" s="355"/>
      <c r="M32" s="355"/>
      <c r="N32" s="355"/>
    </row>
    <row r="33" spans="1:14" ht="19.95" customHeight="1">
      <c r="A33" s="223" t="s">
        <v>841</v>
      </c>
      <c r="B33" s="223"/>
      <c r="C33" s="223"/>
      <c r="D33" s="356"/>
      <c r="E33" s="354"/>
      <c r="F33" s="354"/>
      <c r="G33" s="354"/>
      <c r="H33" s="354"/>
      <c r="I33" s="354"/>
      <c r="J33" s="355"/>
      <c r="K33" s="355"/>
      <c r="L33" s="355"/>
      <c r="M33" s="355"/>
      <c r="N33" s="355"/>
    </row>
    <row r="34" spans="1:14" ht="19.95" customHeight="1">
      <c r="A34" s="226"/>
      <c r="B34" s="226"/>
      <c r="C34" s="226"/>
      <c r="D34" s="356"/>
      <c r="E34" s="354"/>
      <c r="F34" s="354"/>
      <c r="G34" s="354"/>
      <c r="H34" s="354"/>
      <c r="I34" s="354"/>
      <c r="J34" s="355"/>
      <c r="K34" s="355"/>
      <c r="L34" s="355"/>
      <c r="M34" s="355"/>
      <c r="N34" s="355"/>
    </row>
    <row r="35" spans="1:14" ht="19.95" customHeight="1">
      <c r="A35" s="223"/>
      <c r="B35" s="223"/>
      <c r="C35" s="223"/>
      <c r="D35" s="357"/>
      <c r="E35" s="357"/>
      <c r="F35" s="357"/>
      <c r="G35" s="357"/>
      <c r="H35" s="357"/>
      <c r="I35" s="357"/>
      <c r="J35" s="358"/>
      <c r="K35" s="358"/>
      <c r="L35" s="358"/>
      <c r="M35" s="358"/>
      <c r="N35" s="358"/>
    </row>
    <row r="36" spans="1:14" ht="19.95" customHeight="1">
      <c r="A36" s="358"/>
      <c r="B36" s="358"/>
      <c r="C36" s="358"/>
      <c r="D36" s="357"/>
      <c r="E36" s="357"/>
      <c r="F36" s="357"/>
      <c r="G36" s="357"/>
      <c r="H36" s="357"/>
      <c r="I36" s="357"/>
      <c r="J36" s="358"/>
      <c r="K36" s="358"/>
      <c r="L36" s="358"/>
      <c r="M36" s="358"/>
      <c r="N36" s="358"/>
    </row>
    <row r="37" spans="1:14" ht="19.95" customHeight="1">
      <c r="A37" s="359" t="s">
        <v>878</v>
      </c>
      <c r="B37" s="358"/>
      <c r="C37" s="358"/>
      <c r="D37" s="357"/>
      <c r="E37" s="357"/>
      <c r="F37" s="357"/>
      <c r="G37" s="357"/>
      <c r="H37" s="357"/>
      <c r="I37" s="357"/>
      <c r="J37" s="358"/>
      <c r="K37" s="358"/>
      <c r="L37" s="358"/>
      <c r="M37" s="358"/>
      <c r="N37" s="358"/>
    </row>
    <row r="38" spans="1:14" ht="19.95" customHeight="1">
      <c r="A38" s="358" t="s">
        <v>1280</v>
      </c>
      <c r="B38" s="358"/>
      <c r="C38" s="358"/>
      <c r="D38" s="357"/>
      <c r="E38" s="357"/>
      <c r="F38" s="357"/>
      <c r="G38" s="357"/>
      <c r="H38" s="357"/>
      <c r="I38" s="357"/>
      <c r="J38" s="358"/>
      <c r="K38" s="358"/>
      <c r="L38" s="358"/>
      <c r="M38" s="358"/>
      <c r="N38" s="358"/>
    </row>
    <row r="39" spans="1:14" ht="19.95" customHeight="1">
      <c r="A39" s="692" t="s">
        <v>1281</v>
      </c>
      <c r="B39" s="358"/>
      <c r="C39" s="358"/>
      <c r="D39" s="357"/>
      <c r="E39" s="357"/>
      <c r="F39" s="357"/>
      <c r="G39" s="357"/>
      <c r="H39" s="357"/>
      <c r="I39" s="357"/>
      <c r="J39" s="358"/>
      <c r="K39" s="358"/>
      <c r="L39" s="358"/>
      <c r="M39" s="358"/>
      <c r="N39" s="358"/>
    </row>
    <row r="40" spans="1:14" ht="19.95" customHeight="1">
      <c r="A40" s="692" t="s">
        <v>1282</v>
      </c>
      <c r="B40" s="358"/>
      <c r="C40" s="358"/>
      <c r="D40" s="357"/>
      <c r="E40" s="357"/>
      <c r="F40" s="357"/>
      <c r="G40" s="357"/>
      <c r="H40" s="357"/>
      <c r="I40" s="357"/>
      <c r="J40" s="358"/>
      <c r="K40" s="358"/>
      <c r="L40" s="358"/>
      <c r="M40" s="358"/>
      <c r="N40" s="358"/>
    </row>
    <row r="41" spans="1:14" ht="19.95" customHeight="1">
      <c r="A41" s="692" t="s">
        <v>1274</v>
      </c>
      <c r="B41" s="358"/>
      <c r="C41" s="358"/>
      <c r="D41" s="357"/>
      <c r="E41" s="357"/>
      <c r="F41" s="357"/>
      <c r="G41" s="357"/>
      <c r="H41" s="357"/>
      <c r="I41" s="357"/>
      <c r="J41" s="358"/>
      <c r="K41" s="358"/>
      <c r="L41" s="358"/>
      <c r="M41" s="358"/>
      <c r="N41" s="358"/>
    </row>
    <row r="42" spans="1:14" ht="19.95" customHeight="1">
      <c r="A42" s="692" t="s">
        <v>1275</v>
      </c>
      <c r="B42" s="358"/>
      <c r="C42" s="358"/>
      <c r="D42" s="357"/>
      <c r="E42" s="357"/>
      <c r="F42" s="357"/>
      <c r="G42" s="357"/>
      <c r="H42" s="357"/>
      <c r="I42" s="357"/>
      <c r="J42" s="358"/>
      <c r="K42" s="358"/>
      <c r="L42" s="358"/>
      <c r="M42" s="358"/>
      <c r="N42" s="358"/>
    </row>
    <row r="43" spans="1:14" ht="19.95" customHeight="1">
      <c r="A43" s="692" t="s">
        <v>1276</v>
      </c>
      <c r="B43" s="358"/>
      <c r="C43" s="358"/>
      <c r="D43" s="357"/>
      <c r="E43" s="357"/>
      <c r="F43" s="357"/>
      <c r="G43" s="357"/>
      <c r="H43" s="357"/>
      <c r="I43" s="357"/>
      <c r="J43" s="358"/>
      <c r="K43" s="358"/>
      <c r="L43" s="358"/>
      <c r="M43" s="358"/>
      <c r="N43" s="358"/>
    </row>
    <row r="44" spans="1:14" ht="19.95" customHeight="1">
      <c r="A44" s="210" t="s">
        <v>1277</v>
      </c>
      <c r="B44" s="358"/>
      <c r="C44" s="358"/>
      <c r="D44" s="357"/>
      <c r="E44" s="357"/>
      <c r="F44" s="357"/>
      <c r="G44" s="357"/>
      <c r="H44" s="357"/>
      <c r="I44" s="357"/>
      <c r="J44" s="358"/>
      <c r="K44" s="358"/>
      <c r="L44" s="358"/>
      <c r="M44" s="358"/>
      <c r="N44" s="358"/>
    </row>
    <row r="45" spans="1:14" ht="19.95" customHeight="1">
      <c r="A45" s="692" t="s">
        <v>1278</v>
      </c>
      <c r="B45" s="358"/>
      <c r="C45" s="358"/>
      <c r="D45" s="357"/>
      <c r="E45" s="357"/>
      <c r="F45" s="357"/>
      <c r="G45" s="357"/>
      <c r="H45" s="357"/>
      <c r="I45" s="357"/>
      <c r="J45" s="358"/>
      <c r="K45" s="358"/>
      <c r="L45" s="358"/>
      <c r="M45" s="358"/>
      <c r="N45" s="358"/>
    </row>
    <row r="46" spans="1:14" ht="19.95" customHeight="1">
      <c r="A46" s="692" t="s">
        <v>1279</v>
      </c>
      <c r="B46" s="358"/>
      <c r="C46" s="358"/>
      <c r="D46" s="357"/>
      <c r="E46" s="357"/>
      <c r="F46" s="357"/>
      <c r="G46" s="357"/>
      <c r="H46" s="357"/>
      <c r="I46" s="357"/>
      <c r="J46" s="358"/>
      <c r="K46" s="358"/>
      <c r="L46" s="358"/>
      <c r="M46" s="358"/>
      <c r="N46" s="358"/>
    </row>
    <row r="47" spans="1:14" ht="19.95" customHeight="1">
      <c r="A47" s="358"/>
      <c r="B47" s="358"/>
      <c r="C47" s="358"/>
      <c r="D47" s="357"/>
      <c r="E47" s="357"/>
      <c r="F47" s="357"/>
      <c r="G47" s="357"/>
      <c r="H47" s="357"/>
      <c r="I47" s="357"/>
      <c r="J47" s="358"/>
      <c r="K47" s="358"/>
      <c r="L47" s="358"/>
      <c r="M47" s="358"/>
      <c r="N47" s="358"/>
    </row>
    <row r="48" spans="1:14" ht="19.95" customHeight="1">
      <c r="A48" s="358"/>
      <c r="B48" s="358"/>
      <c r="C48" s="358"/>
      <c r="D48" s="357"/>
      <c r="E48" s="357"/>
      <c r="F48" s="357"/>
      <c r="G48" s="357"/>
      <c r="H48" s="357"/>
      <c r="I48" s="357"/>
      <c r="J48" s="358"/>
      <c r="K48" s="358"/>
      <c r="L48" s="358"/>
      <c r="M48" s="358"/>
      <c r="N48" s="358"/>
    </row>
    <row r="49" spans="1:14" ht="19.95" customHeight="1">
      <c r="A49" s="358"/>
      <c r="B49" s="358"/>
      <c r="C49" s="358"/>
      <c r="D49" s="357"/>
      <c r="E49" s="357"/>
      <c r="F49" s="357"/>
      <c r="G49" s="357"/>
      <c r="H49" s="357"/>
      <c r="I49" s="357"/>
      <c r="J49" s="358"/>
      <c r="K49" s="358"/>
      <c r="L49" s="358"/>
      <c r="M49" s="358"/>
      <c r="N49" s="358"/>
    </row>
    <row r="50" spans="1:14" ht="19.95" customHeight="1">
      <c r="A50" s="358"/>
      <c r="B50" s="358"/>
      <c r="C50" s="358"/>
      <c r="D50" s="357"/>
      <c r="E50" s="357"/>
      <c r="F50" s="357"/>
      <c r="G50" s="357"/>
      <c r="H50" s="357"/>
      <c r="I50" s="357"/>
      <c r="J50" s="358"/>
      <c r="K50" s="358"/>
      <c r="L50" s="358"/>
      <c r="M50" s="358"/>
      <c r="N50" s="358"/>
    </row>
    <row r="51" spans="1:14" ht="19.95" customHeight="1">
      <c r="A51" s="358"/>
      <c r="B51" s="358"/>
      <c r="C51" s="358"/>
      <c r="D51" s="357"/>
      <c r="E51" s="357"/>
      <c r="F51" s="357"/>
      <c r="G51" s="357"/>
      <c r="H51" s="357"/>
      <c r="I51" s="357"/>
      <c r="J51" s="358"/>
      <c r="K51" s="358"/>
      <c r="L51" s="358"/>
      <c r="M51" s="358"/>
      <c r="N51" s="358"/>
    </row>
    <row r="52" spans="1:14" ht="19.95" customHeight="1">
      <c r="A52" s="358"/>
      <c r="B52" s="358"/>
      <c r="C52" s="358"/>
      <c r="D52" s="357"/>
      <c r="E52" s="357"/>
      <c r="F52" s="357"/>
      <c r="G52" s="357"/>
      <c r="H52" s="357"/>
      <c r="I52" s="357"/>
      <c r="J52" s="358"/>
      <c r="K52" s="358"/>
      <c r="L52" s="358"/>
      <c r="M52" s="358"/>
      <c r="N52" s="358"/>
    </row>
    <row r="53" spans="1:14" ht="19.95" customHeight="1">
      <c r="A53" s="358"/>
      <c r="B53" s="358"/>
      <c r="C53" s="358"/>
      <c r="D53" s="357"/>
      <c r="E53" s="357"/>
      <c r="F53" s="357"/>
      <c r="G53" s="357"/>
      <c r="H53" s="357"/>
      <c r="I53" s="357"/>
      <c r="J53" s="358"/>
      <c r="K53" s="358"/>
      <c r="L53" s="358"/>
      <c r="M53" s="358"/>
      <c r="N53" s="358"/>
    </row>
    <row r="54" spans="1:14" ht="19.95" customHeight="1">
      <c r="A54" s="358"/>
      <c r="B54" s="358"/>
      <c r="C54" s="358"/>
      <c r="D54" s="357"/>
      <c r="E54" s="357"/>
      <c r="F54" s="357"/>
      <c r="G54" s="357"/>
      <c r="H54" s="357"/>
      <c r="I54" s="357"/>
      <c r="J54" s="358"/>
      <c r="K54" s="358"/>
      <c r="L54" s="358"/>
      <c r="M54" s="358"/>
      <c r="N54" s="358"/>
    </row>
    <row r="55" spans="1:14" ht="19.95" customHeight="1">
      <c r="A55" s="358"/>
      <c r="B55" s="358"/>
      <c r="C55" s="358"/>
      <c r="D55" s="357"/>
      <c r="E55" s="357"/>
      <c r="F55" s="357"/>
      <c r="G55" s="357"/>
      <c r="H55" s="357"/>
      <c r="I55" s="357"/>
      <c r="J55" s="358"/>
      <c r="K55" s="358"/>
      <c r="L55" s="358"/>
      <c r="M55" s="358"/>
      <c r="N55" s="358"/>
    </row>
    <row r="56" spans="1:14" ht="19.95" customHeight="1">
      <c r="A56" s="358"/>
      <c r="B56" s="358"/>
      <c r="C56" s="358"/>
      <c r="D56" s="357"/>
      <c r="E56" s="357"/>
      <c r="F56" s="357"/>
      <c r="G56" s="357"/>
      <c r="H56" s="357"/>
      <c r="I56" s="357"/>
      <c r="J56" s="358"/>
      <c r="K56" s="358"/>
      <c r="L56" s="358"/>
      <c r="M56" s="358"/>
      <c r="N56" s="358"/>
    </row>
    <row r="57" spans="1:14" ht="19.95" customHeight="1">
      <c r="A57" s="358"/>
      <c r="B57" s="358"/>
      <c r="C57" s="358"/>
      <c r="D57" s="357"/>
      <c r="E57" s="357"/>
      <c r="F57" s="357"/>
      <c r="G57" s="357"/>
      <c r="H57" s="357"/>
      <c r="I57" s="357"/>
      <c r="J57" s="358"/>
      <c r="K57" s="358"/>
      <c r="L57" s="358"/>
      <c r="M57" s="358"/>
      <c r="N57" s="358"/>
    </row>
    <row r="58" spans="1:14" ht="19.95" customHeight="1">
      <c r="A58" s="358"/>
      <c r="B58" s="358"/>
      <c r="C58" s="358"/>
      <c r="D58" s="357"/>
      <c r="E58" s="357"/>
      <c r="F58" s="357"/>
      <c r="G58" s="357"/>
      <c r="H58" s="357"/>
      <c r="I58" s="357"/>
      <c r="J58" s="358"/>
      <c r="K58" s="358"/>
      <c r="L58" s="358"/>
      <c r="M58" s="358"/>
      <c r="N58" s="358"/>
    </row>
    <row r="59" spans="1:14" ht="19.95" customHeight="1">
      <c r="A59" s="358"/>
      <c r="B59" s="358"/>
      <c r="C59" s="358"/>
      <c r="D59" s="357"/>
      <c r="E59" s="357"/>
      <c r="F59" s="357"/>
      <c r="G59" s="357"/>
      <c r="H59" s="357"/>
      <c r="I59" s="357"/>
      <c r="J59" s="358"/>
      <c r="K59" s="358"/>
      <c r="L59" s="358"/>
      <c r="M59" s="358"/>
      <c r="N59" s="358"/>
    </row>
    <row r="60" spans="1:14" ht="19.95" customHeight="1">
      <c r="A60" s="358"/>
      <c r="B60" s="358"/>
      <c r="C60" s="358"/>
      <c r="D60" s="357"/>
      <c r="E60" s="357"/>
      <c r="F60" s="357"/>
      <c r="G60" s="357"/>
      <c r="H60" s="357"/>
      <c r="I60" s="357"/>
      <c r="J60" s="358"/>
      <c r="K60" s="358"/>
      <c r="L60" s="358"/>
      <c r="M60" s="358"/>
      <c r="N60" s="358"/>
    </row>
    <row r="61" spans="1:14" ht="19.95" customHeight="1">
      <c r="A61" s="358"/>
      <c r="B61" s="358"/>
      <c r="C61" s="358"/>
      <c r="D61" s="357"/>
      <c r="E61" s="357"/>
      <c r="F61" s="357"/>
      <c r="G61" s="357"/>
      <c r="H61" s="357"/>
      <c r="I61" s="357"/>
      <c r="J61" s="358"/>
      <c r="K61" s="358"/>
      <c r="L61" s="358"/>
      <c r="M61" s="358"/>
      <c r="N61" s="358"/>
    </row>
    <row r="62" spans="1:14" ht="19.95" customHeight="1">
      <c r="A62" s="358"/>
      <c r="B62" s="358"/>
      <c r="C62" s="358"/>
      <c r="D62" s="357"/>
      <c r="E62" s="357"/>
      <c r="F62" s="357"/>
      <c r="G62" s="357"/>
      <c r="H62" s="357"/>
      <c r="I62" s="357"/>
      <c r="J62" s="358"/>
      <c r="K62" s="358"/>
      <c r="L62" s="358"/>
      <c r="M62" s="358"/>
      <c r="N62" s="358"/>
    </row>
    <row r="63" spans="1:14" ht="19.95" customHeight="1">
      <c r="A63" s="358"/>
      <c r="B63" s="358"/>
      <c r="C63" s="358"/>
      <c r="D63" s="357"/>
      <c r="E63" s="357"/>
      <c r="F63" s="357"/>
      <c r="G63" s="357"/>
      <c r="H63" s="357"/>
      <c r="I63" s="357"/>
      <c r="J63" s="358"/>
      <c r="K63" s="358"/>
      <c r="L63" s="358"/>
      <c r="M63" s="358"/>
      <c r="N63" s="358"/>
    </row>
    <row r="64" spans="1:14" ht="19.95" customHeight="1">
      <c r="A64" s="358"/>
      <c r="B64" s="358"/>
      <c r="C64" s="358"/>
      <c r="D64" s="357"/>
      <c r="E64" s="357"/>
      <c r="F64" s="357"/>
      <c r="G64" s="357"/>
      <c r="H64" s="357"/>
      <c r="I64" s="357"/>
      <c r="J64" s="358"/>
      <c r="K64" s="358"/>
      <c r="L64" s="358"/>
      <c r="M64" s="358"/>
      <c r="N64" s="358"/>
    </row>
    <row r="65" spans="1:14" ht="19.95" customHeight="1">
      <c r="A65" s="358"/>
      <c r="B65" s="358"/>
      <c r="C65" s="358"/>
      <c r="D65" s="357"/>
      <c r="E65" s="357"/>
      <c r="F65" s="357"/>
      <c r="G65" s="357"/>
      <c r="H65" s="357"/>
      <c r="I65" s="357"/>
      <c r="J65" s="358"/>
      <c r="K65" s="358"/>
      <c r="L65" s="358"/>
      <c r="M65" s="358"/>
      <c r="N65" s="358"/>
    </row>
    <row r="66" spans="1:14" ht="19.95" customHeight="1">
      <c r="A66" s="358"/>
      <c r="B66" s="358"/>
      <c r="C66" s="358"/>
      <c r="D66" s="357"/>
      <c r="E66" s="357"/>
      <c r="F66" s="357"/>
      <c r="G66" s="357"/>
      <c r="H66" s="357"/>
      <c r="I66" s="357"/>
      <c r="J66" s="358"/>
      <c r="K66" s="358"/>
      <c r="L66" s="358"/>
      <c r="M66" s="358"/>
      <c r="N66" s="358"/>
    </row>
    <row r="67" spans="1:14" ht="19.95" customHeight="1">
      <c r="A67" s="358"/>
      <c r="B67" s="358"/>
      <c r="C67" s="358"/>
      <c r="D67" s="357"/>
      <c r="E67" s="357"/>
      <c r="F67" s="357"/>
      <c r="G67" s="357"/>
      <c r="H67" s="357"/>
      <c r="I67" s="357"/>
      <c r="J67" s="358"/>
      <c r="K67" s="358"/>
      <c r="L67" s="358"/>
      <c r="M67" s="358"/>
      <c r="N67" s="358"/>
    </row>
    <row r="68" spans="1:14" ht="19.95" customHeight="1">
      <c r="A68" s="358"/>
      <c r="B68" s="358"/>
      <c r="C68" s="358"/>
      <c r="D68" s="357"/>
      <c r="E68" s="357"/>
      <c r="F68" s="357"/>
      <c r="G68" s="357"/>
      <c r="H68" s="357"/>
      <c r="I68" s="357"/>
      <c r="J68" s="358"/>
      <c r="K68" s="358"/>
      <c r="L68" s="358"/>
      <c r="M68" s="358"/>
      <c r="N68" s="358"/>
    </row>
    <row r="69" spans="1:14" ht="19.95" customHeight="1">
      <c r="A69" s="358"/>
      <c r="B69" s="358"/>
      <c r="C69" s="358"/>
      <c r="D69" s="357"/>
      <c r="E69" s="357"/>
      <c r="F69" s="357"/>
      <c r="G69" s="357"/>
      <c r="H69" s="357"/>
      <c r="I69" s="357"/>
      <c r="J69" s="358"/>
      <c r="K69" s="358"/>
      <c r="L69" s="358"/>
      <c r="M69" s="358"/>
      <c r="N69" s="358"/>
    </row>
    <row r="70" spans="1:14" ht="19.95" customHeight="1">
      <c r="A70" s="358"/>
      <c r="B70" s="358"/>
      <c r="C70" s="358"/>
      <c r="D70" s="357"/>
      <c r="E70" s="357"/>
      <c r="F70" s="357"/>
      <c r="G70" s="357"/>
      <c r="H70" s="357"/>
      <c r="I70" s="357"/>
      <c r="J70" s="358"/>
      <c r="K70" s="358"/>
      <c r="L70" s="358"/>
      <c r="M70" s="358"/>
      <c r="N70" s="358"/>
    </row>
    <row r="71" spans="1:14" ht="19.95" customHeight="1">
      <c r="A71" s="358"/>
      <c r="B71" s="358"/>
      <c r="C71" s="358"/>
      <c r="D71" s="357"/>
      <c r="E71" s="357"/>
      <c r="F71" s="357"/>
      <c r="G71" s="357"/>
      <c r="H71" s="357"/>
      <c r="I71" s="357"/>
      <c r="J71" s="358"/>
      <c r="K71" s="358"/>
      <c r="L71" s="358"/>
      <c r="M71" s="358"/>
      <c r="N71" s="358"/>
    </row>
    <row r="72" spans="1:14" ht="19.95" customHeight="1">
      <c r="A72" s="358"/>
      <c r="B72" s="358"/>
      <c r="C72" s="358"/>
      <c r="D72" s="357"/>
      <c r="E72" s="357"/>
      <c r="F72" s="357"/>
      <c r="G72" s="357"/>
      <c r="H72" s="357"/>
      <c r="I72" s="357"/>
      <c r="J72" s="358"/>
      <c r="K72" s="358"/>
      <c r="L72" s="358"/>
      <c r="M72" s="358"/>
      <c r="N72" s="358"/>
    </row>
    <row r="73" spans="1:14" ht="19.95" customHeight="1">
      <c r="A73" s="358"/>
      <c r="B73" s="358"/>
      <c r="C73" s="358"/>
      <c r="D73" s="357"/>
      <c r="E73" s="357"/>
      <c r="F73" s="357"/>
      <c r="G73" s="357"/>
      <c r="H73" s="357"/>
      <c r="I73" s="357"/>
      <c r="J73" s="358"/>
      <c r="K73" s="358"/>
      <c r="L73" s="358"/>
      <c r="M73" s="358"/>
      <c r="N73" s="358"/>
    </row>
    <row r="74" spans="1:14" ht="19.95" customHeight="1">
      <c r="A74" s="358"/>
      <c r="B74" s="358"/>
      <c r="C74" s="358"/>
      <c r="D74" s="357"/>
      <c r="E74" s="357"/>
      <c r="F74" s="357"/>
      <c r="G74" s="357"/>
      <c r="H74" s="357"/>
      <c r="I74" s="357"/>
      <c r="J74" s="358"/>
      <c r="K74" s="358"/>
      <c r="L74" s="358"/>
      <c r="M74" s="358"/>
      <c r="N74" s="358"/>
    </row>
    <row r="75" spans="1:14" ht="19.95" customHeight="1">
      <c r="A75" s="358"/>
      <c r="B75" s="358"/>
      <c r="C75" s="358"/>
      <c r="D75" s="357"/>
      <c r="E75" s="357"/>
      <c r="F75" s="357"/>
      <c r="G75" s="357"/>
      <c r="H75" s="357"/>
      <c r="I75" s="357"/>
      <c r="J75" s="358"/>
      <c r="K75" s="358"/>
      <c r="L75" s="358"/>
      <c r="M75" s="358"/>
      <c r="N75" s="358"/>
    </row>
    <row r="76" spans="1:14" ht="19.95" customHeight="1">
      <c r="A76" s="358"/>
      <c r="B76" s="358"/>
      <c r="C76" s="358"/>
      <c r="D76" s="357"/>
      <c r="E76" s="357"/>
      <c r="F76" s="357"/>
      <c r="G76" s="357"/>
      <c r="H76" s="357"/>
      <c r="I76" s="357"/>
      <c r="J76" s="358"/>
      <c r="K76" s="358"/>
      <c r="L76" s="358"/>
      <c r="M76" s="358"/>
      <c r="N76" s="358"/>
    </row>
    <row r="77" spans="1:14" ht="19.95" customHeight="1">
      <c r="A77" s="358"/>
      <c r="B77" s="358"/>
      <c r="C77" s="358"/>
      <c r="D77" s="357"/>
      <c r="E77" s="357"/>
      <c r="F77" s="357"/>
      <c r="G77" s="357"/>
      <c r="H77" s="357"/>
      <c r="I77" s="357"/>
      <c r="J77" s="358"/>
      <c r="K77" s="358"/>
      <c r="L77" s="358"/>
      <c r="M77" s="358"/>
      <c r="N77" s="358"/>
    </row>
    <row r="78" spans="1:14" ht="19.95" customHeight="1">
      <c r="A78" s="358"/>
      <c r="B78" s="358"/>
      <c r="C78" s="358"/>
      <c r="D78" s="357"/>
      <c r="E78" s="357"/>
      <c r="F78" s="357"/>
      <c r="G78" s="357"/>
      <c r="H78" s="357"/>
      <c r="I78" s="357"/>
      <c r="J78" s="358"/>
      <c r="K78" s="358"/>
      <c r="L78" s="358"/>
      <c r="M78" s="358"/>
      <c r="N78" s="358"/>
    </row>
    <row r="79" spans="1:14" ht="19.95" customHeight="1">
      <c r="A79" s="358"/>
      <c r="B79" s="358"/>
      <c r="C79" s="358"/>
      <c r="D79" s="357"/>
      <c r="E79" s="357"/>
      <c r="F79" s="357"/>
      <c r="G79" s="357"/>
      <c r="H79" s="357"/>
      <c r="I79" s="357"/>
      <c r="J79" s="358"/>
      <c r="K79" s="358"/>
      <c r="L79" s="358"/>
      <c r="M79" s="358"/>
      <c r="N79" s="358"/>
    </row>
    <row r="80" spans="1:14" ht="19.95" customHeight="1">
      <c r="A80" s="358"/>
      <c r="B80" s="358"/>
      <c r="C80" s="358"/>
      <c r="D80" s="357"/>
      <c r="E80" s="357"/>
      <c r="F80" s="357"/>
      <c r="G80" s="357"/>
      <c r="H80" s="357"/>
      <c r="I80" s="357"/>
      <c r="J80" s="358"/>
      <c r="K80" s="358"/>
      <c r="L80" s="358"/>
      <c r="M80" s="358"/>
      <c r="N80" s="358"/>
    </row>
    <row r="81" spans="1:14" ht="19.95" customHeight="1">
      <c r="A81" s="358"/>
      <c r="B81" s="358"/>
      <c r="C81" s="358"/>
      <c r="D81" s="357"/>
      <c r="E81" s="357"/>
      <c r="F81" s="357"/>
      <c r="G81" s="357"/>
      <c r="H81" s="357"/>
      <c r="I81" s="357"/>
      <c r="J81" s="358"/>
      <c r="K81" s="358"/>
      <c r="L81" s="358"/>
      <c r="M81" s="358"/>
      <c r="N81" s="358"/>
    </row>
    <row r="82" spans="1:14" ht="19.95" customHeight="1">
      <c r="A82" s="358"/>
      <c r="B82" s="358"/>
      <c r="C82" s="358"/>
      <c r="D82" s="357"/>
      <c r="E82" s="357"/>
      <c r="F82" s="357"/>
      <c r="G82" s="357"/>
      <c r="H82" s="357"/>
      <c r="I82" s="357"/>
      <c r="J82" s="358"/>
      <c r="K82" s="358"/>
      <c r="L82" s="358"/>
      <c r="M82" s="358"/>
      <c r="N82" s="358"/>
    </row>
    <row r="83" spans="1:14" ht="19.95" customHeight="1">
      <c r="A83" s="358"/>
      <c r="B83" s="358"/>
      <c r="C83" s="358"/>
      <c r="D83" s="357"/>
      <c r="E83" s="357"/>
      <c r="F83" s="357"/>
      <c r="G83" s="357"/>
      <c r="H83" s="357"/>
      <c r="I83" s="357"/>
      <c r="J83" s="358"/>
      <c r="K83" s="358"/>
      <c r="L83" s="358"/>
      <c r="M83" s="358"/>
      <c r="N83" s="358"/>
    </row>
    <row r="84" spans="1:14" ht="19.95" customHeight="1">
      <c r="A84" s="358"/>
      <c r="B84" s="358"/>
      <c r="C84" s="358"/>
      <c r="D84" s="357"/>
      <c r="E84" s="357"/>
      <c r="F84" s="357"/>
      <c r="G84" s="357"/>
      <c r="H84" s="357"/>
      <c r="I84" s="357"/>
      <c r="J84" s="358"/>
      <c r="K84" s="358"/>
      <c r="L84" s="358"/>
      <c r="M84" s="358"/>
      <c r="N84" s="358"/>
    </row>
    <row r="85" spans="1:14" ht="19.95" customHeight="1">
      <c r="A85" s="358"/>
      <c r="B85" s="358"/>
      <c r="C85" s="358"/>
      <c r="D85" s="357"/>
      <c r="E85" s="357"/>
      <c r="F85" s="357"/>
      <c r="G85" s="357"/>
      <c r="H85" s="357"/>
      <c r="I85" s="357"/>
      <c r="J85" s="358"/>
      <c r="K85" s="358"/>
      <c r="L85" s="358"/>
      <c r="M85" s="358"/>
      <c r="N85" s="358"/>
    </row>
    <row r="86" spans="1:14" ht="19.95" customHeight="1">
      <c r="A86" s="358"/>
      <c r="B86" s="358"/>
      <c r="C86" s="358"/>
      <c r="D86" s="357"/>
      <c r="E86" s="357"/>
      <c r="F86" s="357"/>
      <c r="G86" s="357"/>
      <c r="H86" s="357"/>
      <c r="I86" s="357"/>
      <c r="J86" s="358"/>
      <c r="K86" s="358"/>
      <c r="L86" s="358"/>
      <c r="M86" s="358"/>
      <c r="N86" s="358"/>
    </row>
    <row r="87" spans="1:14" ht="19.95" customHeight="1">
      <c r="A87" s="358"/>
      <c r="B87" s="358"/>
      <c r="C87" s="358"/>
      <c r="D87" s="357"/>
      <c r="E87" s="357"/>
      <c r="F87" s="357"/>
      <c r="G87" s="357"/>
      <c r="H87" s="357"/>
      <c r="I87" s="357"/>
      <c r="J87" s="358"/>
      <c r="K87" s="358"/>
      <c r="L87" s="358"/>
      <c r="M87" s="358"/>
      <c r="N87" s="358"/>
    </row>
    <row r="88" spans="1:14" ht="19.95" customHeight="1">
      <c r="A88" s="358"/>
      <c r="B88" s="358"/>
      <c r="C88" s="358"/>
      <c r="D88" s="357"/>
      <c r="E88" s="357"/>
      <c r="F88" s="357"/>
      <c r="G88" s="357"/>
      <c r="H88" s="357"/>
      <c r="I88" s="357"/>
      <c r="J88" s="358"/>
      <c r="K88" s="358"/>
      <c r="L88" s="358"/>
      <c r="M88" s="358"/>
      <c r="N88" s="358"/>
    </row>
    <row r="89" spans="1:14" ht="19.95" customHeight="1">
      <c r="A89" s="358"/>
      <c r="B89" s="358"/>
      <c r="C89" s="358"/>
      <c r="D89" s="357"/>
      <c r="E89" s="357"/>
      <c r="F89" s="357"/>
      <c r="G89" s="357"/>
      <c r="H89" s="357"/>
      <c r="I89" s="357"/>
      <c r="J89" s="358"/>
      <c r="K89" s="358"/>
      <c r="L89" s="358"/>
      <c r="M89" s="358"/>
      <c r="N89" s="358"/>
    </row>
    <row r="90" spans="1:14" ht="19.95" customHeight="1">
      <c r="A90" s="358"/>
      <c r="B90" s="358"/>
      <c r="C90" s="358"/>
      <c r="D90" s="357"/>
      <c r="E90" s="357"/>
      <c r="F90" s="357"/>
      <c r="G90" s="357"/>
      <c r="H90" s="357"/>
      <c r="I90" s="357"/>
      <c r="J90" s="358"/>
      <c r="K90" s="358"/>
      <c r="L90" s="358"/>
      <c r="M90" s="358"/>
      <c r="N90" s="358"/>
    </row>
    <row r="91" spans="1:14" ht="19.95" customHeight="1">
      <c r="A91" s="358"/>
      <c r="B91" s="358"/>
      <c r="C91" s="358"/>
      <c r="D91" s="357"/>
      <c r="E91" s="357"/>
      <c r="F91" s="357"/>
      <c r="G91" s="357"/>
      <c r="H91" s="357"/>
      <c r="I91" s="357"/>
      <c r="J91" s="358"/>
      <c r="K91" s="358"/>
      <c r="L91" s="358"/>
      <c r="M91" s="358"/>
      <c r="N91" s="358"/>
    </row>
    <row r="92" spans="1:14" ht="19.95" customHeight="1">
      <c r="A92" s="358"/>
      <c r="B92" s="358"/>
      <c r="C92" s="358"/>
      <c r="D92" s="357"/>
      <c r="E92" s="357"/>
      <c r="F92" s="357"/>
      <c r="G92" s="357"/>
      <c r="H92" s="357"/>
      <c r="I92" s="357"/>
      <c r="J92" s="358"/>
      <c r="K92" s="358"/>
      <c r="L92" s="358"/>
      <c r="M92" s="358"/>
      <c r="N92" s="358"/>
    </row>
    <row r="93" spans="1:14" ht="19.95" customHeight="1">
      <c r="A93" s="358"/>
      <c r="B93" s="358"/>
      <c r="C93" s="358"/>
      <c r="D93" s="357"/>
      <c r="E93" s="357"/>
      <c r="F93" s="357"/>
      <c r="G93" s="357"/>
      <c r="H93" s="357"/>
      <c r="I93" s="357"/>
      <c r="J93" s="358"/>
      <c r="K93" s="358"/>
      <c r="L93" s="358"/>
      <c r="M93" s="358"/>
      <c r="N93" s="358"/>
    </row>
    <row r="94" spans="1:14" ht="19.95" customHeight="1">
      <c r="A94" s="358"/>
      <c r="B94" s="358"/>
      <c r="C94" s="358"/>
      <c r="D94" s="357"/>
      <c r="E94" s="357"/>
      <c r="F94" s="357"/>
      <c r="G94" s="357"/>
      <c r="H94" s="357"/>
      <c r="I94" s="357"/>
      <c r="J94" s="358"/>
      <c r="K94" s="358"/>
      <c r="L94" s="358"/>
      <c r="M94" s="358"/>
      <c r="N94" s="358"/>
    </row>
    <row r="95" spans="1:14" ht="19.95" customHeight="1">
      <c r="A95" s="358"/>
      <c r="B95" s="358"/>
      <c r="C95" s="358"/>
      <c r="D95" s="357"/>
      <c r="E95" s="357"/>
      <c r="F95" s="357"/>
      <c r="G95" s="357"/>
      <c r="H95" s="357"/>
      <c r="I95" s="357"/>
      <c r="J95" s="358"/>
      <c r="K95" s="358"/>
      <c r="L95" s="358"/>
      <c r="M95" s="358"/>
      <c r="N95" s="358"/>
    </row>
    <row r="96" spans="1:14" ht="19.95" customHeight="1">
      <c r="A96" s="358"/>
      <c r="B96" s="358"/>
      <c r="C96" s="358"/>
      <c r="D96" s="357"/>
      <c r="E96" s="357"/>
      <c r="F96" s="357"/>
      <c r="G96" s="357"/>
      <c r="H96" s="357"/>
      <c r="I96" s="357"/>
      <c r="J96" s="358"/>
      <c r="K96" s="358"/>
      <c r="L96" s="358"/>
      <c r="M96" s="358"/>
      <c r="N96" s="358"/>
    </row>
    <row r="97" spans="1:14" ht="19.95" customHeight="1">
      <c r="A97" s="358"/>
      <c r="B97" s="358"/>
      <c r="C97" s="358"/>
      <c r="D97" s="357"/>
      <c r="E97" s="357"/>
      <c r="F97" s="357"/>
      <c r="G97" s="357"/>
      <c r="H97" s="357"/>
      <c r="I97" s="357"/>
      <c r="J97" s="358"/>
      <c r="K97" s="358"/>
      <c r="L97" s="358"/>
      <c r="M97" s="358"/>
      <c r="N97" s="358"/>
    </row>
    <row r="98" spans="1:14" ht="19.95" customHeight="1">
      <c r="A98" s="358"/>
      <c r="B98" s="358"/>
      <c r="C98" s="358"/>
      <c r="D98" s="357"/>
      <c r="E98" s="357"/>
      <c r="F98" s="357"/>
      <c r="G98" s="357"/>
      <c r="H98" s="357"/>
      <c r="I98" s="357"/>
      <c r="J98" s="358"/>
      <c r="K98" s="358"/>
      <c r="L98" s="358"/>
      <c r="M98" s="358"/>
      <c r="N98" s="358"/>
    </row>
    <row r="99" spans="1:14" ht="19.95" customHeight="1">
      <c r="A99" s="358"/>
      <c r="B99" s="358"/>
      <c r="C99" s="358"/>
      <c r="D99" s="357"/>
      <c r="E99" s="357"/>
      <c r="F99" s="357"/>
      <c r="G99" s="357"/>
      <c r="H99" s="357"/>
      <c r="I99" s="357"/>
      <c r="J99" s="358"/>
      <c r="K99" s="358"/>
      <c r="L99" s="358"/>
      <c r="M99" s="358"/>
      <c r="N99" s="358"/>
    </row>
    <row r="100" spans="1:14" ht="19.95" customHeight="1">
      <c r="A100" s="358"/>
      <c r="B100" s="358"/>
      <c r="C100" s="358"/>
      <c r="D100" s="357"/>
      <c r="E100" s="357"/>
      <c r="F100" s="357"/>
      <c r="G100" s="357"/>
      <c r="H100" s="357"/>
      <c r="I100" s="357"/>
      <c r="J100" s="358"/>
      <c r="K100" s="358"/>
      <c r="L100" s="358"/>
      <c r="M100" s="358"/>
      <c r="N100" s="358"/>
    </row>
    <row r="101" spans="1:14" ht="19.95" customHeight="1">
      <c r="A101" s="358"/>
      <c r="B101" s="358"/>
      <c r="C101" s="358"/>
      <c r="D101" s="357"/>
      <c r="E101" s="357"/>
      <c r="F101" s="357"/>
      <c r="G101" s="357"/>
      <c r="H101" s="357"/>
      <c r="I101" s="357"/>
      <c r="J101" s="358"/>
      <c r="K101" s="358"/>
      <c r="L101" s="358"/>
      <c r="M101" s="358"/>
      <c r="N101" s="358"/>
    </row>
    <row r="102" spans="1:14" ht="19.95" customHeight="1">
      <c r="A102" s="358"/>
      <c r="B102" s="358"/>
      <c r="C102" s="358"/>
      <c r="D102" s="357"/>
      <c r="E102" s="357"/>
      <c r="F102" s="357"/>
      <c r="G102" s="357"/>
      <c r="H102" s="357"/>
      <c r="I102" s="357"/>
      <c r="J102" s="358"/>
      <c r="K102" s="358"/>
      <c r="L102" s="358"/>
      <c r="M102" s="358"/>
      <c r="N102" s="358"/>
    </row>
    <row r="103" spans="1:14" ht="19.95" customHeight="1">
      <c r="A103" s="358"/>
      <c r="B103" s="358"/>
      <c r="C103" s="358"/>
      <c r="D103" s="357"/>
      <c r="E103" s="357"/>
      <c r="F103" s="357"/>
      <c r="G103" s="357"/>
      <c r="H103" s="357"/>
      <c r="I103" s="357"/>
      <c r="J103" s="358"/>
      <c r="K103" s="358"/>
      <c r="L103" s="358"/>
      <c r="M103" s="358"/>
      <c r="N103" s="358"/>
    </row>
    <row r="104" spans="1:14" ht="19.95" customHeight="1">
      <c r="A104" s="358"/>
      <c r="B104" s="358"/>
      <c r="C104" s="358"/>
      <c r="D104" s="357"/>
      <c r="E104" s="357"/>
      <c r="F104" s="357"/>
      <c r="G104" s="357"/>
      <c r="H104" s="357"/>
      <c r="I104" s="357"/>
      <c r="J104" s="358"/>
      <c r="K104" s="358"/>
      <c r="L104" s="358"/>
      <c r="M104" s="358"/>
      <c r="N104" s="358"/>
    </row>
    <row r="105" spans="1:14" ht="19.95" customHeight="1">
      <c r="A105" s="358"/>
      <c r="B105" s="358"/>
      <c r="C105" s="358"/>
      <c r="D105" s="357"/>
      <c r="E105" s="357"/>
      <c r="F105" s="357"/>
      <c r="G105" s="357"/>
      <c r="H105" s="357"/>
      <c r="I105" s="357"/>
      <c r="J105" s="358"/>
      <c r="K105" s="358"/>
      <c r="L105" s="358"/>
      <c r="M105" s="358"/>
      <c r="N105" s="358"/>
    </row>
    <row r="106" spans="1:14" ht="19.95" customHeight="1">
      <c r="A106" s="358"/>
      <c r="B106" s="358"/>
      <c r="C106" s="358"/>
      <c r="D106" s="357"/>
      <c r="E106" s="357"/>
      <c r="F106" s="357"/>
      <c r="G106" s="357"/>
      <c r="H106" s="357"/>
      <c r="I106" s="357"/>
      <c r="J106" s="358"/>
      <c r="K106" s="358"/>
      <c r="L106" s="358"/>
      <c r="M106" s="358"/>
      <c r="N106" s="358"/>
    </row>
  </sheetData>
  <mergeCells count="2">
    <mergeCell ref="A1:O1"/>
    <mergeCell ref="A2:O2"/>
  </mergeCells>
  <phoneticPr fontId="10" type="noConversion"/>
  <dataValidations count="2">
    <dataValidation type="list" allowBlank="1" showInputMessage="1" showErrorMessage="1" sqref="B21:B26">
      <formula1>$A$39:$A$46</formula1>
    </dataValidation>
    <dataValidation type="list" allowBlank="1" showInputMessage="1" showErrorMessage="1" sqref="B12:B17">
      <formula1>$A$39:$A$46</formula1>
    </dataValidation>
  </dataValidations>
  <hyperlinks>
    <hyperlink ref="O3" location="底稿目录!A1" display="H1-12"/>
  </hyperlinks>
  <printOptions horizontalCentered="1"/>
  <pageMargins left="0.51181102362204722" right="0.31496062992125984" top="0.55118110236220474" bottom="0.35433070866141736" header="0.51181102362204722" footer="0.19685039370078741"/>
  <pageSetup paperSize="9" scale="69" fitToHeight="50" orientation="landscape" blackAndWhite="1" r:id="rId1"/>
  <headerFooter alignWithMargins="0">
    <oddFooter>&amp;C&amp;P/&amp;N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Y93"/>
  <sheetViews>
    <sheetView view="pageBreakPreview" zoomScaleSheetLayoutView="100" workbookViewId="0">
      <selection sqref="A1:V1"/>
    </sheetView>
  </sheetViews>
  <sheetFormatPr defaultColWidth="9" defaultRowHeight="19.95" customHeight="1"/>
  <cols>
    <col min="1" max="1" width="6.59765625" style="2" customWidth="1"/>
    <col min="2" max="2" width="14.19921875" style="2" customWidth="1"/>
    <col min="3" max="3" width="11.59765625" style="2" customWidth="1"/>
    <col min="4" max="4" width="10.09765625" style="2" customWidth="1"/>
    <col min="5" max="5" width="15.59765625" style="22" customWidth="1"/>
    <col min="6" max="6" width="12.69921875" style="2" customWidth="1"/>
    <col min="7" max="9" width="10.09765625" style="2" customWidth="1"/>
    <col min="10" max="10" width="10.19921875" style="2" customWidth="1"/>
    <col min="11" max="11" width="10.09765625" style="2" customWidth="1"/>
    <col min="12" max="12" width="9.8984375" style="2" customWidth="1"/>
    <col min="13" max="13" width="6.69921875" style="2" customWidth="1"/>
    <col min="14" max="14" width="9.3984375" style="2" customWidth="1"/>
    <col min="15" max="15" width="15.8984375" style="2" customWidth="1"/>
    <col min="16" max="16" width="14.19921875" style="2" customWidth="1"/>
    <col min="17" max="17" width="9.09765625" style="2" customWidth="1"/>
    <col min="18" max="18" width="10.19921875" style="2" customWidth="1"/>
    <col min="19" max="19" width="11.59765625" style="2" customWidth="1"/>
    <col min="20" max="20" width="13.8984375" style="2" customWidth="1"/>
    <col min="21" max="21" width="9" style="2" customWidth="1"/>
    <col min="22" max="22" width="12.69921875" style="22" customWidth="1"/>
    <col min="23" max="23" width="9" style="2"/>
    <col min="24" max="24" width="9.09765625" style="2" customWidth="1"/>
    <col min="25" max="16384" width="9" style="2"/>
  </cols>
  <sheetData>
    <row r="1" spans="1:25" s="27" customFormat="1" ht="19.95" customHeight="1">
      <c r="A1" s="756" t="s">
        <v>1039</v>
      </c>
      <c r="B1" s="829"/>
      <c r="C1" s="829"/>
      <c r="D1" s="829"/>
      <c r="E1" s="829"/>
      <c r="F1" s="829"/>
      <c r="G1" s="829"/>
      <c r="H1" s="829"/>
      <c r="I1" s="829"/>
      <c r="J1" s="829"/>
      <c r="K1" s="829"/>
      <c r="L1" s="829"/>
      <c r="M1" s="829"/>
      <c r="N1" s="829"/>
      <c r="O1" s="829"/>
      <c r="P1" s="829"/>
      <c r="Q1" s="829"/>
      <c r="R1" s="829"/>
      <c r="S1" s="829"/>
      <c r="T1" s="829"/>
      <c r="U1" s="829"/>
      <c r="V1" s="829"/>
    </row>
    <row r="2" spans="1:25" s="463" customFormat="1" ht="19.95" customHeight="1">
      <c r="A2" s="757" t="s">
        <v>1061</v>
      </c>
      <c r="B2" s="757"/>
      <c r="C2" s="757"/>
      <c r="D2" s="757"/>
      <c r="E2" s="757"/>
      <c r="F2" s="757"/>
      <c r="G2" s="757"/>
      <c r="H2" s="757"/>
      <c r="I2" s="757"/>
      <c r="J2" s="757"/>
      <c r="K2" s="757"/>
      <c r="L2" s="757"/>
      <c r="M2" s="757"/>
      <c r="N2" s="757"/>
      <c r="O2" s="757"/>
      <c r="P2" s="757"/>
      <c r="Q2" s="757"/>
      <c r="R2" s="757"/>
      <c r="S2" s="757"/>
      <c r="T2" s="757"/>
      <c r="U2" s="757"/>
      <c r="V2" s="757"/>
    </row>
    <row r="3" spans="1:25" ht="19.95" customHeight="1">
      <c r="A3" s="2" t="str">
        <f>底稿目录!A2</f>
        <v>被审计单位：</v>
      </c>
      <c r="E3" s="2"/>
      <c r="G3" s="2" t="str">
        <f>底稿目录!A4</f>
        <v>编制人：</v>
      </c>
      <c r="N3" s="2" t="str">
        <f>底稿目录!A5</f>
        <v>编制日期：</v>
      </c>
      <c r="P3" s="103"/>
      <c r="U3" s="181" t="s">
        <v>785</v>
      </c>
      <c r="V3" s="452" t="s">
        <v>297</v>
      </c>
    </row>
    <row r="4" spans="1:25" ht="19.95" customHeight="1">
      <c r="A4" s="2" t="str">
        <f>底稿目录!A3</f>
        <v>截止日：202X年12月31日</v>
      </c>
      <c r="E4" s="2"/>
      <c r="G4" s="2" t="str">
        <f>底稿目录!A6</f>
        <v>复核人：</v>
      </c>
      <c r="N4" s="2" t="str">
        <f>底稿目录!A7</f>
        <v>复核日期：</v>
      </c>
      <c r="P4" s="103"/>
      <c r="U4" s="475" t="s">
        <v>1064</v>
      </c>
      <c r="V4" s="2"/>
    </row>
    <row r="5" spans="1:25" s="230" customFormat="1" ht="19.95" customHeight="1">
      <c r="A5" s="229" t="s">
        <v>900</v>
      </c>
      <c r="B5" s="229"/>
      <c r="C5" s="229"/>
      <c r="D5" s="229"/>
      <c r="E5" s="367"/>
      <c r="F5" s="229"/>
      <c r="G5" s="229"/>
      <c r="H5" s="229"/>
      <c r="I5" s="229"/>
      <c r="J5" s="229"/>
      <c r="K5" s="229"/>
      <c r="L5" s="229"/>
      <c r="M5" s="229"/>
      <c r="N5" s="229"/>
      <c r="O5" s="229"/>
      <c r="P5" s="229"/>
      <c r="Q5" s="229"/>
      <c r="R5" s="229"/>
      <c r="S5" s="229"/>
      <c r="T5" s="229"/>
      <c r="U5" s="229"/>
      <c r="V5" s="367"/>
    </row>
    <row r="6" spans="1:25" s="230" customFormat="1" ht="19.95" customHeight="1">
      <c r="A6" s="229" t="s">
        <v>835</v>
      </c>
      <c r="B6" s="665"/>
      <c r="D6" s="665"/>
      <c r="E6" s="634"/>
      <c r="F6" s="665"/>
      <c r="G6" s="665"/>
      <c r="H6" s="665"/>
      <c r="I6" s="665"/>
      <c r="J6" s="665"/>
      <c r="K6" s="665"/>
      <c r="L6" s="665"/>
      <c r="M6" s="665"/>
      <c r="N6" s="665"/>
      <c r="O6" s="665"/>
      <c r="P6" s="665"/>
      <c r="Q6" s="665"/>
      <c r="R6" s="665"/>
      <c r="S6" s="665"/>
      <c r="T6" s="665"/>
      <c r="U6" s="665"/>
      <c r="V6" s="367"/>
    </row>
    <row r="7" spans="1:25" s="20" customFormat="1" ht="19.95" customHeight="1">
      <c r="A7" s="769" t="s">
        <v>175</v>
      </c>
      <c r="B7" s="772" t="s">
        <v>419</v>
      </c>
      <c r="C7" s="772" t="s">
        <v>871</v>
      </c>
      <c r="D7" s="772" t="s">
        <v>893</v>
      </c>
      <c r="E7" s="772" t="s">
        <v>901</v>
      </c>
      <c r="F7" s="772" t="s">
        <v>902</v>
      </c>
      <c r="G7" s="772" t="s">
        <v>903</v>
      </c>
      <c r="H7" s="769" t="s">
        <v>904</v>
      </c>
      <c r="I7" s="769" t="s">
        <v>905</v>
      </c>
      <c r="J7" s="811" t="s">
        <v>906</v>
      </c>
      <c r="K7" s="812"/>
      <c r="L7" s="812"/>
      <c r="M7" s="812"/>
      <c r="N7" s="812"/>
      <c r="O7" s="812"/>
      <c r="P7" s="812"/>
      <c r="Q7" s="813"/>
      <c r="R7" s="811" t="s">
        <v>896</v>
      </c>
      <c r="S7" s="812"/>
      <c r="T7" s="812"/>
      <c r="U7" s="813"/>
      <c r="V7" s="772" t="s">
        <v>907</v>
      </c>
      <c r="W7" s="360"/>
      <c r="X7" s="360"/>
      <c r="Y7" s="360"/>
    </row>
    <row r="8" spans="1:25" s="20" customFormat="1" ht="31.8" customHeight="1">
      <c r="A8" s="771"/>
      <c r="B8" s="837"/>
      <c r="C8" s="837"/>
      <c r="D8" s="837"/>
      <c r="E8" s="837"/>
      <c r="F8" s="837"/>
      <c r="G8" s="837"/>
      <c r="H8" s="771"/>
      <c r="I8" s="771"/>
      <c r="J8" s="241" t="s">
        <v>908</v>
      </c>
      <c r="K8" s="241" t="s">
        <v>909</v>
      </c>
      <c r="L8" s="240" t="s">
        <v>910</v>
      </c>
      <c r="M8" s="240" t="s">
        <v>897</v>
      </c>
      <c r="N8" s="240" t="s">
        <v>898</v>
      </c>
      <c r="O8" s="241" t="s">
        <v>911</v>
      </c>
      <c r="P8" s="241" t="s">
        <v>912</v>
      </c>
      <c r="Q8" s="241" t="s">
        <v>619</v>
      </c>
      <c r="R8" s="240" t="s">
        <v>913</v>
      </c>
      <c r="S8" s="241" t="s">
        <v>899</v>
      </c>
      <c r="T8" s="241" t="s">
        <v>914</v>
      </c>
      <c r="U8" s="241" t="s">
        <v>619</v>
      </c>
      <c r="V8" s="837"/>
      <c r="W8" s="360"/>
      <c r="X8" s="360"/>
      <c r="Y8" s="360"/>
    </row>
    <row r="9" spans="1:25" ht="19.95" customHeight="1">
      <c r="A9" s="110">
        <v>1</v>
      </c>
      <c r="B9" s="17"/>
      <c r="C9" s="17"/>
      <c r="D9" s="17"/>
      <c r="E9" s="17"/>
      <c r="F9" s="122"/>
      <c r="G9" s="122"/>
      <c r="H9" s="292"/>
      <c r="I9" s="72"/>
      <c r="J9" s="117"/>
      <c r="K9" s="676"/>
      <c r="L9" s="117"/>
      <c r="M9" s="677"/>
      <c r="N9" s="215" t="e">
        <f>J9*(1-M9)/L9/12</f>
        <v>#DIV/0!</v>
      </c>
      <c r="O9" s="128" t="e">
        <f>I9*N9</f>
        <v>#DIV/0!</v>
      </c>
      <c r="P9" s="292"/>
      <c r="Q9" s="128" t="e">
        <f>O9-P9</f>
        <v>#DIV/0!</v>
      </c>
      <c r="R9" s="292"/>
      <c r="S9" s="128">
        <f>I9*R9</f>
        <v>0</v>
      </c>
      <c r="T9" s="72"/>
      <c r="U9" s="128">
        <f>S9-T9</f>
        <v>0</v>
      </c>
      <c r="V9" s="17"/>
      <c r="W9" s="280"/>
      <c r="X9" s="280"/>
      <c r="Y9" s="280"/>
    </row>
    <row r="10" spans="1:25" ht="19.95" customHeight="1">
      <c r="A10" s="110">
        <v>2</v>
      </c>
      <c r="B10" s="17"/>
      <c r="C10" s="17"/>
      <c r="D10" s="17"/>
      <c r="E10" s="17"/>
      <c r="F10" s="122"/>
      <c r="G10" s="122"/>
      <c r="H10" s="292"/>
      <c r="I10" s="72"/>
      <c r="J10" s="117"/>
      <c r="K10" s="676"/>
      <c r="L10" s="117"/>
      <c r="M10" s="677"/>
      <c r="N10" s="215"/>
      <c r="O10" s="128">
        <f t="shared" ref="O10:O16" si="0">I10*N10</f>
        <v>0</v>
      </c>
      <c r="P10" s="292"/>
      <c r="Q10" s="128">
        <f t="shared" ref="Q10:Q16" si="1">O10-P10</f>
        <v>0</v>
      </c>
      <c r="R10" s="292"/>
      <c r="S10" s="128">
        <f t="shared" ref="S10:S16" si="2">I10*R10</f>
        <v>0</v>
      </c>
      <c r="T10" s="72"/>
      <c r="U10" s="128">
        <f t="shared" ref="U10:U16" si="3">S10-T10</f>
        <v>0</v>
      </c>
      <c r="V10" s="17"/>
      <c r="W10" s="280"/>
      <c r="X10" s="280"/>
      <c r="Y10" s="280"/>
    </row>
    <row r="11" spans="1:25" ht="19.95" customHeight="1">
      <c r="A11" s="110">
        <v>3</v>
      </c>
      <c r="B11" s="17"/>
      <c r="C11" s="17"/>
      <c r="D11" s="17"/>
      <c r="E11" s="17"/>
      <c r="F11" s="122"/>
      <c r="G11" s="122"/>
      <c r="H11" s="292"/>
      <c r="I11" s="72"/>
      <c r="J11" s="117"/>
      <c r="K11" s="676"/>
      <c r="L11" s="117"/>
      <c r="M11" s="677"/>
      <c r="N11" s="215"/>
      <c r="O11" s="128">
        <f t="shared" si="0"/>
        <v>0</v>
      </c>
      <c r="P11" s="292"/>
      <c r="Q11" s="128">
        <f t="shared" si="1"/>
        <v>0</v>
      </c>
      <c r="R11" s="292"/>
      <c r="S11" s="128">
        <f t="shared" si="2"/>
        <v>0</v>
      </c>
      <c r="T11" s="72"/>
      <c r="U11" s="128">
        <f t="shared" si="3"/>
        <v>0</v>
      </c>
      <c r="V11" s="17"/>
      <c r="W11" s="280"/>
      <c r="X11" s="280"/>
      <c r="Y11" s="280"/>
    </row>
    <row r="12" spans="1:25" ht="19.95" customHeight="1">
      <c r="A12" s="110">
        <v>4</v>
      </c>
      <c r="B12" s="17"/>
      <c r="C12" s="17"/>
      <c r="D12" s="17"/>
      <c r="E12" s="17"/>
      <c r="F12" s="122"/>
      <c r="G12" s="122"/>
      <c r="H12" s="292"/>
      <c r="I12" s="72"/>
      <c r="J12" s="72"/>
      <c r="K12" s="292"/>
      <c r="L12" s="72"/>
      <c r="M12" s="87"/>
      <c r="N12" s="215"/>
      <c r="O12" s="128">
        <f t="shared" si="0"/>
        <v>0</v>
      </c>
      <c r="P12" s="292"/>
      <c r="Q12" s="128">
        <f t="shared" si="1"/>
        <v>0</v>
      </c>
      <c r="R12" s="292"/>
      <c r="S12" s="128">
        <f t="shared" si="2"/>
        <v>0</v>
      </c>
      <c r="T12" s="72"/>
      <c r="U12" s="128">
        <f t="shared" si="3"/>
        <v>0</v>
      </c>
      <c r="V12" s="17"/>
      <c r="W12" s="280"/>
      <c r="X12" s="280"/>
      <c r="Y12" s="280"/>
    </row>
    <row r="13" spans="1:25" ht="19.95" customHeight="1">
      <c r="A13" s="110">
        <v>5</v>
      </c>
      <c r="B13" s="17"/>
      <c r="C13" s="17"/>
      <c r="D13" s="17"/>
      <c r="E13" s="17"/>
      <c r="F13" s="122"/>
      <c r="G13" s="122"/>
      <c r="H13" s="292"/>
      <c r="I13" s="72"/>
      <c r="J13" s="72"/>
      <c r="K13" s="292"/>
      <c r="L13" s="72"/>
      <c r="M13" s="87"/>
      <c r="N13" s="215"/>
      <c r="O13" s="128">
        <f t="shared" si="0"/>
        <v>0</v>
      </c>
      <c r="P13" s="292"/>
      <c r="Q13" s="128">
        <f t="shared" si="1"/>
        <v>0</v>
      </c>
      <c r="R13" s="292"/>
      <c r="S13" s="128">
        <f t="shared" si="2"/>
        <v>0</v>
      </c>
      <c r="T13" s="72"/>
      <c r="U13" s="128">
        <f t="shared" si="3"/>
        <v>0</v>
      </c>
      <c r="V13" s="17"/>
      <c r="W13" s="280"/>
      <c r="X13" s="280"/>
      <c r="Y13" s="280"/>
    </row>
    <row r="14" spans="1:25" ht="19.95" customHeight="1">
      <c r="A14" s="110">
        <v>6</v>
      </c>
      <c r="B14" s="17"/>
      <c r="C14" s="17"/>
      <c r="D14" s="17"/>
      <c r="E14" s="17"/>
      <c r="F14" s="122"/>
      <c r="G14" s="122"/>
      <c r="H14" s="292"/>
      <c r="I14" s="72"/>
      <c r="J14" s="72"/>
      <c r="K14" s="292"/>
      <c r="L14" s="72"/>
      <c r="M14" s="87"/>
      <c r="N14" s="215"/>
      <c r="O14" s="128">
        <f t="shared" si="0"/>
        <v>0</v>
      </c>
      <c r="P14" s="292"/>
      <c r="Q14" s="128">
        <f t="shared" si="1"/>
        <v>0</v>
      </c>
      <c r="R14" s="292"/>
      <c r="S14" s="128">
        <f t="shared" si="2"/>
        <v>0</v>
      </c>
      <c r="T14" s="72"/>
      <c r="U14" s="128">
        <f t="shared" si="3"/>
        <v>0</v>
      </c>
      <c r="V14" s="17"/>
      <c r="W14" s="280"/>
      <c r="X14" s="280"/>
      <c r="Y14" s="280"/>
    </row>
    <row r="15" spans="1:25" ht="19.95" customHeight="1">
      <c r="A15" s="110">
        <v>7</v>
      </c>
      <c r="B15" s="17"/>
      <c r="C15" s="17"/>
      <c r="D15" s="17"/>
      <c r="E15" s="17"/>
      <c r="F15" s="122"/>
      <c r="G15" s="122"/>
      <c r="H15" s="292"/>
      <c r="I15" s="72"/>
      <c r="J15" s="72"/>
      <c r="K15" s="292"/>
      <c r="L15" s="72"/>
      <c r="M15" s="87"/>
      <c r="N15" s="215"/>
      <c r="O15" s="128">
        <f t="shared" si="0"/>
        <v>0</v>
      </c>
      <c r="P15" s="292"/>
      <c r="Q15" s="128">
        <f t="shared" si="1"/>
        <v>0</v>
      </c>
      <c r="R15" s="292"/>
      <c r="S15" s="128">
        <f t="shared" si="2"/>
        <v>0</v>
      </c>
      <c r="T15" s="72"/>
      <c r="U15" s="128">
        <f t="shared" si="3"/>
        <v>0</v>
      </c>
      <c r="V15" s="17"/>
      <c r="W15" s="280"/>
      <c r="X15" s="280"/>
      <c r="Y15" s="280"/>
    </row>
    <row r="16" spans="1:25" ht="19.95" customHeight="1">
      <c r="A16" s="110">
        <v>8</v>
      </c>
      <c r="B16" s="17"/>
      <c r="C16" s="17"/>
      <c r="D16" s="17"/>
      <c r="E16" s="17"/>
      <c r="F16" s="122"/>
      <c r="G16" s="122"/>
      <c r="H16" s="292"/>
      <c r="I16" s="72"/>
      <c r="J16" s="72"/>
      <c r="K16" s="292"/>
      <c r="L16" s="72"/>
      <c r="M16" s="87"/>
      <c r="N16" s="215"/>
      <c r="O16" s="128">
        <f t="shared" si="0"/>
        <v>0</v>
      </c>
      <c r="P16" s="292"/>
      <c r="Q16" s="128">
        <f t="shared" si="1"/>
        <v>0</v>
      </c>
      <c r="R16" s="292"/>
      <c r="S16" s="128">
        <f t="shared" si="2"/>
        <v>0</v>
      </c>
      <c r="T16" s="72"/>
      <c r="U16" s="128">
        <f t="shared" si="3"/>
        <v>0</v>
      </c>
      <c r="V16" s="17"/>
      <c r="W16" s="280"/>
      <c r="X16" s="280"/>
      <c r="Y16" s="280"/>
    </row>
    <row r="17" spans="1:25" ht="19.95" customHeight="1">
      <c r="A17" s="57" t="s">
        <v>915</v>
      </c>
      <c r="B17" s="57"/>
      <c r="C17" s="57"/>
      <c r="D17" s="57"/>
      <c r="E17" s="361"/>
      <c r="F17" s="57"/>
      <c r="G17" s="57"/>
      <c r="H17" s="57"/>
      <c r="I17" s="57"/>
      <c r="J17" s="57"/>
      <c r="K17" s="57"/>
      <c r="L17" s="57"/>
      <c r="M17" s="57"/>
      <c r="N17" s="57"/>
      <c r="O17" s="57"/>
      <c r="P17" s="57"/>
      <c r="Q17" s="57"/>
      <c r="R17" s="57"/>
      <c r="S17" s="57"/>
      <c r="T17" s="57"/>
      <c r="U17" s="57"/>
      <c r="V17" s="361"/>
      <c r="W17" s="280"/>
      <c r="X17" s="280"/>
      <c r="Y17" s="280"/>
    </row>
    <row r="18" spans="1:25" ht="19.95" customHeight="1">
      <c r="A18" s="60"/>
      <c r="B18" s="60"/>
      <c r="C18" s="329"/>
      <c r="D18" s="60"/>
      <c r="E18" s="2"/>
      <c r="F18" s="60"/>
      <c r="G18" s="60"/>
      <c r="H18" s="60"/>
      <c r="I18" s="60"/>
      <c r="J18" s="60"/>
      <c r="K18" s="60"/>
      <c r="L18" s="60"/>
      <c r="M18" s="60"/>
      <c r="N18" s="60"/>
      <c r="O18" s="60"/>
      <c r="P18" s="60"/>
      <c r="Q18" s="60"/>
      <c r="R18" s="60"/>
      <c r="S18" s="60"/>
      <c r="T18" s="60"/>
      <c r="U18" s="60"/>
      <c r="V18" s="361"/>
    </row>
    <row r="19" spans="1:25" ht="19.95" customHeight="1">
      <c r="A19" s="60"/>
      <c r="B19" s="60"/>
      <c r="C19" s="329"/>
      <c r="E19" s="2"/>
      <c r="V19" s="362"/>
    </row>
    <row r="20" spans="1:25" ht="19.95" customHeight="1">
      <c r="A20" s="60"/>
      <c r="B20" s="60"/>
      <c r="C20" s="329"/>
      <c r="D20" s="328"/>
      <c r="E20" s="2"/>
      <c r="F20" s="328"/>
      <c r="G20" s="328"/>
      <c r="H20" s="328"/>
      <c r="I20" s="328"/>
      <c r="J20" s="328"/>
      <c r="K20" s="328"/>
      <c r="L20" s="328"/>
      <c r="M20" s="328"/>
      <c r="N20" s="328"/>
      <c r="O20" s="328"/>
      <c r="P20" s="328"/>
      <c r="Q20" s="328"/>
      <c r="R20" s="328"/>
      <c r="S20" s="328"/>
      <c r="T20" s="328"/>
      <c r="U20" s="328"/>
      <c r="V20" s="361"/>
    </row>
    <row r="21" spans="1:25" ht="19.95" customHeight="1">
      <c r="A21" s="60"/>
      <c r="B21" s="60"/>
      <c r="C21" s="329"/>
      <c r="D21" s="60"/>
      <c r="E21" s="2"/>
      <c r="F21" s="60"/>
      <c r="G21" s="60"/>
      <c r="H21" s="60"/>
      <c r="I21" s="60"/>
      <c r="J21" s="60"/>
      <c r="K21" s="60"/>
      <c r="L21" s="60"/>
      <c r="M21" s="60"/>
      <c r="N21" s="60"/>
      <c r="O21" s="60"/>
      <c r="P21" s="60"/>
      <c r="Q21" s="60"/>
      <c r="R21" s="60"/>
      <c r="S21" s="60"/>
      <c r="T21" s="60"/>
      <c r="U21" s="60"/>
      <c r="V21" s="362"/>
    </row>
    <row r="22" spans="1:25" ht="19.95" customHeight="1">
      <c r="A22" s="57" t="s">
        <v>841</v>
      </c>
      <c r="B22" s="57"/>
      <c r="C22" s="57"/>
      <c r="D22" s="57"/>
      <c r="E22" s="363"/>
      <c r="F22" s="57"/>
      <c r="G22" s="57"/>
      <c r="H22" s="57"/>
      <c r="I22" s="57"/>
      <c r="J22" s="57"/>
      <c r="K22" s="57"/>
      <c r="L22" s="57"/>
      <c r="M22" s="57"/>
      <c r="N22" s="57"/>
      <c r="O22" s="57"/>
      <c r="P22" s="57"/>
      <c r="Q22" s="57"/>
      <c r="R22" s="57"/>
      <c r="S22" s="57"/>
      <c r="T22" s="57"/>
      <c r="U22" s="57"/>
      <c r="V22" s="362"/>
    </row>
    <row r="23" spans="1:25" ht="19.95" customHeight="1">
      <c r="A23" s="60"/>
      <c r="B23" s="60"/>
      <c r="C23" s="60"/>
      <c r="D23" s="60"/>
      <c r="E23" s="363"/>
      <c r="F23" s="60"/>
      <c r="G23" s="60"/>
      <c r="H23" s="60"/>
      <c r="I23" s="60"/>
      <c r="J23" s="60"/>
      <c r="K23" s="60"/>
      <c r="L23" s="60"/>
      <c r="M23" s="60"/>
      <c r="N23" s="60"/>
      <c r="O23" s="60"/>
      <c r="P23" s="60"/>
      <c r="Q23" s="60"/>
      <c r="R23" s="60"/>
      <c r="S23" s="60"/>
      <c r="T23" s="60"/>
      <c r="U23" s="60"/>
      <c r="V23" s="362"/>
    </row>
    <row r="24" spans="1:25" ht="19.95" customHeight="1">
      <c r="A24" s="60"/>
      <c r="B24" s="60"/>
      <c r="C24" s="60"/>
      <c r="D24" s="60"/>
      <c r="E24" s="363"/>
      <c r="F24" s="60"/>
      <c r="G24" s="60"/>
      <c r="H24" s="60"/>
      <c r="I24" s="60"/>
      <c r="J24" s="60"/>
      <c r="K24" s="60"/>
      <c r="L24" s="60"/>
      <c r="M24" s="60"/>
      <c r="N24" s="60"/>
      <c r="O24" s="60"/>
      <c r="P24" s="60"/>
      <c r="Q24" s="60"/>
      <c r="R24" s="60"/>
      <c r="S24" s="60"/>
      <c r="T24" s="60"/>
      <c r="U24" s="60"/>
      <c r="V24" s="362"/>
    </row>
    <row r="25" spans="1:25" ht="19.95" customHeight="1">
      <c r="A25" s="57"/>
      <c r="B25" s="57"/>
      <c r="C25" s="57"/>
      <c r="D25" s="57"/>
      <c r="E25" s="364"/>
      <c r="F25" s="57"/>
      <c r="G25" s="57"/>
      <c r="H25" s="57"/>
      <c r="I25" s="57"/>
      <c r="J25" s="57"/>
      <c r="K25" s="57"/>
      <c r="L25" s="57"/>
      <c r="M25" s="57"/>
      <c r="N25" s="57"/>
      <c r="O25" s="57"/>
      <c r="P25" s="57"/>
      <c r="Q25" s="57"/>
      <c r="R25" s="57"/>
      <c r="S25" s="57"/>
      <c r="T25" s="57"/>
      <c r="U25" s="57"/>
      <c r="V25" s="364"/>
    </row>
    <row r="26" spans="1:25" ht="19.95" customHeight="1">
      <c r="A26" s="332"/>
      <c r="B26" s="332"/>
      <c r="C26" s="332"/>
      <c r="D26" s="332"/>
      <c r="E26" s="364"/>
      <c r="F26" s="332"/>
      <c r="G26" s="332"/>
      <c r="H26" s="332"/>
      <c r="I26" s="332"/>
      <c r="J26" s="332"/>
      <c r="K26" s="332"/>
      <c r="L26" s="332"/>
      <c r="M26" s="332"/>
      <c r="N26" s="332"/>
      <c r="O26" s="332"/>
      <c r="P26" s="332"/>
      <c r="Q26" s="332"/>
      <c r="R26" s="332"/>
      <c r="S26" s="332"/>
      <c r="T26" s="332"/>
      <c r="U26" s="332"/>
      <c r="V26" s="364"/>
    </row>
    <row r="27" spans="1:25" ht="19.95" customHeight="1">
      <c r="A27" s="332"/>
      <c r="B27" s="332"/>
      <c r="C27" s="332"/>
      <c r="D27" s="332"/>
      <c r="E27" s="364"/>
      <c r="F27" s="332"/>
      <c r="G27" s="332"/>
      <c r="H27" s="332"/>
      <c r="I27" s="332"/>
      <c r="J27" s="332"/>
      <c r="K27" s="332"/>
      <c r="L27" s="332"/>
      <c r="M27" s="332"/>
      <c r="N27" s="332"/>
      <c r="O27" s="332"/>
      <c r="P27" s="332"/>
      <c r="Q27" s="332"/>
      <c r="R27" s="332"/>
      <c r="S27" s="332"/>
      <c r="T27" s="332"/>
      <c r="U27" s="332"/>
      <c r="V27" s="364"/>
    </row>
    <row r="28" spans="1:25" ht="19.95" customHeight="1">
      <c r="A28" s="365"/>
      <c r="B28" s="332"/>
      <c r="C28" s="332"/>
      <c r="D28" s="332"/>
      <c r="E28" s="364"/>
      <c r="F28" s="332"/>
      <c r="G28" s="332"/>
      <c r="H28" s="332"/>
      <c r="I28" s="332"/>
      <c r="J28" s="332"/>
      <c r="K28" s="332"/>
      <c r="L28" s="332"/>
      <c r="M28" s="332"/>
      <c r="N28" s="332"/>
      <c r="O28" s="332"/>
      <c r="P28" s="332"/>
      <c r="Q28" s="332"/>
      <c r="R28" s="332"/>
      <c r="S28" s="332"/>
      <c r="T28" s="332"/>
      <c r="U28" s="332"/>
      <c r="V28" s="364"/>
    </row>
    <row r="29" spans="1:25" ht="19.95" customHeight="1">
      <c r="A29" s="366"/>
      <c r="B29" s="332"/>
      <c r="C29" s="332"/>
      <c r="D29" s="332"/>
      <c r="E29" s="364"/>
      <c r="F29" s="332"/>
      <c r="G29" s="332"/>
      <c r="H29" s="332"/>
      <c r="I29" s="332"/>
      <c r="J29" s="332"/>
      <c r="K29" s="332"/>
      <c r="L29" s="332"/>
      <c r="M29" s="332"/>
      <c r="N29" s="332"/>
      <c r="O29" s="332"/>
      <c r="P29" s="332"/>
      <c r="Q29" s="332"/>
      <c r="R29" s="332"/>
      <c r="S29" s="332"/>
      <c r="T29" s="332"/>
      <c r="U29" s="332"/>
      <c r="V29" s="364"/>
    </row>
    <row r="30" spans="1:25" ht="19.95" customHeight="1">
      <c r="A30" s="366"/>
      <c r="B30" s="332"/>
      <c r="C30" s="332"/>
      <c r="D30" s="332"/>
      <c r="E30" s="364"/>
      <c r="F30" s="332"/>
      <c r="G30" s="332"/>
      <c r="H30" s="332"/>
      <c r="I30" s="332"/>
      <c r="J30" s="332"/>
      <c r="K30" s="332"/>
      <c r="L30" s="332"/>
      <c r="M30" s="332"/>
      <c r="N30" s="332"/>
      <c r="O30" s="332"/>
      <c r="P30" s="332"/>
      <c r="Q30" s="332"/>
      <c r="R30" s="332"/>
      <c r="S30" s="332"/>
      <c r="T30" s="332"/>
      <c r="U30" s="332"/>
      <c r="V30" s="364"/>
    </row>
    <row r="31" spans="1:25" ht="19.95" customHeight="1">
      <c r="A31" s="332"/>
      <c r="B31" s="332"/>
      <c r="C31" s="332"/>
      <c r="D31" s="332"/>
      <c r="E31" s="364"/>
      <c r="F31" s="332"/>
      <c r="G31" s="332"/>
      <c r="H31" s="332"/>
      <c r="I31" s="332"/>
      <c r="J31" s="332"/>
      <c r="K31" s="332"/>
      <c r="L31" s="332"/>
      <c r="M31" s="332"/>
      <c r="N31" s="332"/>
      <c r="O31" s="332"/>
      <c r="P31" s="332"/>
      <c r="Q31" s="332"/>
      <c r="R31" s="332"/>
      <c r="S31" s="332"/>
      <c r="T31" s="332"/>
      <c r="U31" s="332"/>
      <c r="V31" s="364"/>
    </row>
    <row r="32" spans="1:25" ht="19.95" customHeight="1">
      <c r="A32" s="332"/>
      <c r="B32" s="332"/>
      <c r="C32" s="332"/>
      <c r="D32" s="332"/>
      <c r="E32" s="364"/>
      <c r="F32" s="332"/>
      <c r="G32" s="332"/>
      <c r="H32" s="332"/>
      <c r="I32" s="332"/>
      <c r="J32" s="332"/>
      <c r="K32" s="332"/>
      <c r="L32" s="332"/>
      <c r="M32" s="332"/>
      <c r="N32" s="332"/>
      <c r="O32" s="332"/>
      <c r="P32" s="332"/>
      <c r="Q32" s="332"/>
      <c r="R32" s="332"/>
      <c r="S32" s="332"/>
      <c r="T32" s="332"/>
      <c r="U32" s="332"/>
      <c r="V32" s="364"/>
    </row>
    <row r="33" spans="1:22" ht="19.95" customHeight="1">
      <c r="A33" s="332"/>
      <c r="B33" s="332"/>
      <c r="C33" s="332"/>
      <c r="D33" s="332"/>
      <c r="E33" s="364"/>
      <c r="F33" s="332"/>
      <c r="G33" s="332"/>
      <c r="H33" s="332"/>
      <c r="I33" s="332"/>
      <c r="J33" s="332"/>
      <c r="K33" s="332"/>
      <c r="L33" s="332"/>
      <c r="M33" s="332"/>
      <c r="N33" s="332"/>
      <c r="O33" s="332"/>
      <c r="P33" s="332"/>
      <c r="Q33" s="332"/>
      <c r="R33" s="332"/>
      <c r="S33" s="332"/>
      <c r="T33" s="332"/>
      <c r="U33" s="332"/>
      <c r="V33" s="364"/>
    </row>
    <row r="34" spans="1:22" ht="19.95" customHeight="1">
      <c r="A34" s="332"/>
      <c r="B34" s="332"/>
      <c r="C34" s="332"/>
      <c r="D34" s="332"/>
      <c r="E34" s="364"/>
      <c r="F34" s="332"/>
      <c r="G34" s="332"/>
      <c r="H34" s="332"/>
      <c r="I34" s="332"/>
      <c r="J34" s="332"/>
      <c r="K34" s="332"/>
      <c r="L34" s="332"/>
      <c r="M34" s="332"/>
      <c r="N34" s="332"/>
      <c r="O34" s="332"/>
      <c r="P34" s="332"/>
      <c r="Q34" s="332"/>
      <c r="R34" s="332"/>
      <c r="S34" s="332"/>
      <c r="T34" s="332"/>
      <c r="U34" s="332"/>
      <c r="V34" s="364"/>
    </row>
    <row r="35" spans="1:22" ht="19.95" customHeight="1">
      <c r="A35" s="332"/>
      <c r="B35" s="332"/>
      <c r="C35" s="332"/>
      <c r="D35" s="332"/>
      <c r="E35" s="364"/>
      <c r="F35" s="332"/>
      <c r="G35" s="332"/>
      <c r="H35" s="332"/>
      <c r="I35" s="332"/>
      <c r="J35" s="332"/>
      <c r="K35" s="332"/>
      <c r="L35" s="332"/>
      <c r="M35" s="332"/>
      <c r="N35" s="332"/>
      <c r="O35" s="332"/>
      <c r="P35" s="332"/>
      <c r="Q35" s="332"/>
      <c r="R35" s="332"/>
      <c r="S35" s="332"/>
      <c r="T35" s="332"/>
      <c r="U35" s="332"/>
      <c r="V35" s="364"/>
    </row>
    <row r="36" spans="1:22" ht="19.95" customHeight="1">
      <c r="A36" s="332"/>
      <c r="B36" s="332"/>
      <c r="C36" s="332"/>
      <c r="D36" s="332"/>
      <c r="E36" s="364"/>
      <c r="F36" s="332"/>
      <c r="G36" s="332"/>
      <c r="H36" s="332"/>
      <c r="I36" s="332"/>
      <c r="J36" s="332"/>
      <c r="K36" s="332"/>
      <c r="L36" s="332"/>
      <c r="M36" s="332"/>
      <c r="N36" s="332"/>
      <c r="O36" s="332"/>
      <c r="P36" s="332"/>
      <c r="Q36" s="332"/>
      <c r="R36" s="332"/>
      <c r="S36" s="332"/>
      <c r="T36" s="332"/>
      <c r="U36" s="332"/>
      <c r="V36" s="364"/>
    </row>
    <row r="37" spans="1:22" ht="19.95" customHeight="1">
      <c r="A37" s="332"/>
      <c r="B37" s="332"/>
      <c r="C37" s="332"/>
      <c r="D37" s="332"/>
      <c r="E37" s="364"/>
      <c r="F37" s="332"/>
      <c r="G37" s="332"/>
      <c r="H37" s="332"/>
      <c r="I37" s="332"/>
      <c r="J37" s="332"/>
      <c r="K37" s="332"/>
      <c r="L37" s="332"/>
      <c r="M37" s="332"/>
      <c r="N37" s="332"/>
      <c r="O37" s="332"/>
      <c r="P37" s="332"/>
      <c r="Q37" s="332"/>
      <c r="R37" s="332"/>
      <c r="S37" s="332"/>
      <c r="T37" s="332"/>
      <c r="U37" s="332"/>
      <c r="V37" s="364"/>
    </row>
    <row r="38" spans="1:22" ht="19.95" customHeight="1">
      <c r="A38" s="332"/>
      <c r="B38" s="332"/>
      <c r="C38" s="332"/>
      <c r="D38" s="332"/>
      <c r="E38" s="364"/>
      <c r="F38" s="332"/>
      <c r="G38" s="332"/>
      <c r="H38" s="332"/>
      <c r="I38" s="332"/>
      <c r="J38" s="332"/>
      <c r="K38" s="332"/>
      <c r="L38" s="332"/>
      <c r="M38" s="332"/>
      <c r="N38" s="332"/>
      <c r="O38" s="332"/>
      <c r="P38" s="332"/>
      <c r="Q38" s="332"/>
      <c r="R38" s="332"/>
      <c r="S38" s="332"/>
      <c r="T38" s="332"/>
      <c r="U38" s="332"/>
      <c r="V38" s="364"/>
    </row>
    <row r="39" spans="1:22" ht="19.95" customHeight="1">
      <c r="A39" s="332"/>
      <c r="B39" s="332"/>
      <c r="C39" s="332"/>
      <c r="D39" s="332"/>
      <c r="E39" s="364"/>
      <c r="F39" s="332"/>
      <c r="G39" s="332"/>
      <c r="H39" s="332"/>
      <c r="I39" s="332"/>
      <c r="J39" s="332"/>
      <c r="K39" s="332"/>
      <c r="L39" s="332"/>
      <c r="M39" s="332"/>
      <c r="N39" s="332"/>
      <c r="O39" s="332"/>
      <c r="P39" s="332"/>
      <c r="Q39" s="332"/>
      <c r="R39" s="332"/>
      <c r="S39" s="332"/>
      <c r="T39" s="332"/>
      <c r="U39" s="332"/>
      <c r="V39" s="364"/>
    </row>
    <row r="40" spans="1:22" ht="19.95" customHeight="1">
      <c r="A40" s="332"/>
      <c r="B40" s="332"/>
      <c r="C40" s="332"/>
      <c r="D40" s="332"/>
      <c r="E40" s="364"/>
      <c r="F40" s="332"/>
      <c r="G40" s="332"/>
      <c r="H40" s="332"/>
      <c r="I40" s="332"/>
      <c r="J40" s="332"/>
      <c r="K40" s="332"/>
      <c r="L40" s="332"/>
      <c r="M40" s="332"/>
      <c r="N40" s="332"/>
      <c r="O40" s="332"/>
      <c r="P40" s="332"/>
      <c r="Q40" s="332"/>
      <c r="R40" s="332"/>
      <c r="S40" s="332"/>
      <c r="T40" s="332"/>
      <c r="U40" s="332"/>
      <c r="V40" s="364"/>
    </row>
    <row r="41" spans="1:22" ht="19.95" customHeight="1">
      <c r="A41" s="332"/>
      <c r="B41" s="332"/>
      <c r="C41" s="332"/>
      <c r="D41" s="332"/>
      <c r="E41" s="364"/>
      <c r="F41" s="332"/>
      <c r="G41" s="332"/>
      <c r="H41" s="332"/>
      <c r="I41" s="332"/>
      <c r="J41" s="332"/>
      <c r="K41" s="332"/>
      <c r="L41" s="332"/>
      <c r="M41" s="332"/>
      <c r="N41" s="332"/>
      <c r="O41" s="332"/>
      <c r="P41" s="332"/>
      <c r="Q41" s="332"/>
      <c r="R41" s="332"/>
      <c r="S41" s="332"/>
      <c r="T41" s="332"/>
      <c r="U41" s="332"/>
      <c r="V41" s="364"/>
    </row>
    <row r="42" spans="1:22" ht="19.95" customHeight="1">
      <c r="A42" s="332"/>
      <c r="B42" s="332"/>
      <c r="C42" s="332"/>
      <c r="D42" s="332"/>
      <c r="E42" s="364"/>
      <c r="F42" s="332"/>
      <c r="G42" s="332"/>
      <c r="H42" s="332"/>
      <c r="I42" s="332"/>
      <c r="J42" s="332"/>
      <c r="K42" s="332"/>
      <c r="L42" s="332"/>
      <c r="M42" s="332"/>
      <c r="N42" s="332"/>
      <c r="O42" s="332"/>
      <c r="P42" s="332"/>
      <c r="Q42" s="332"/>
      <c r="R42" s="332"/>
      <c r="S42" s="332"/>
      <c r="T42" s="332"/>
      <c r="U42" s="332"/>
      <c r="V42" s="364"/>
    </row>
    <row r="43" spans="1:22" ht="19.95" customHeight="1">
      <c r="A43" s="332"/>
      <c r="B43" s="332"/>
      <c r="C43" s="332"/>
      <c r="D43" s="332"/>
      <c r="E43" s="364"/>
      <c r="F43" s="332"/>
      <c r="G43" s="332"/>
      <c r="H43" s="332"/>
      <c r="I43" s="332"/>
      <c r="J43" s="332"/>
      <c r="K43" s="332"/>
      <c r="L43" s="332"/>
      <c r="M43" s="332"/>
      <c r="N43" s="332"/>
      <c r="O43" s="332"/>
      <c r="P43" s="332"/>
      <c r="Q43" s="332"/>
      <c r="R43" s="332"/>
      <c r="S43" s="332"/>
      <c r="T43" s="332"/>
      <c r="U43" s="332"/>
      <c r="V43" s="364"/>
    </row>
    <row r="44" spans="1:22" ht="19.95" customHeight="1">
      <c r="A44" s="332"/>
      <c r="B44" s="332"/>
      <c r="C44" s="332"/>
      <c r="D44" s="332"/>
      <c r="E44" s="364"/>
      <c r="F44" s="332"/>
      <c r="G44" s="332"/>
      <c r="H44" s="332"/>
      <c r="I44" s="332"/>
      <c r="J44" s="332"/>
      <c r="K44" s="332"/>
      <c r="L44" s="332"/>
      <c r="M44" s="332"/>
      <c r="N44" s="332"/>
      <c r="O44" s="332"/>
      <c r="P44" s="332"/>
      <c r="Q44" s="332"/>
      <c r="R44" s="332"/>
      <c r="S44" s="332"/>
      <c r="T44" s="332"/>
      <c r="U44" s="332"/>
      <c r="V44" s="364"/>
    </row>
    <row r="45" spans="1:22" ht="19.95" customHeight="1">
      <c r="A45" s="332"/>
      <c r="B45" s="332"/>
      <c r="C45" s="332"/>
      <c r="D45" s="332"/>
      <c r="E45" s="364"/>
      <c r="F45" s="332"/>
      <c r="G45" s="332"/>
      <c r="H45" s="332"/>
      <c r="I45" s="332"/>
      <c r="J45" s="332"/>
      <c r="K45" s="332"/>
      <c r="L45" s="332"/>
      <c r="M45" s="332"/>
      <c r="N45" s="332"/>
      <c r="O45" s="332"/>
      <c r="P45" s="332"/>
      <c r="Q45" s="332"/>
      <c r="R45" s="332"/>
      <c r="S45" s="332"/>
      <c r="T45" s="332"/>
      <c r="U45" s="332"/>
      <c r="V45" s="364"/>
    </row>
    <row r="46" spans="1:22" ht="19.95" customHeight="1">
      <c r="A46" s="332"/>
      <c r="B46" s="332"/>
      <c r="C46" s="332"/>
      <c r="D46" s="332"/>
      <c r="E46" s="364"/>
      <c r="F46" s="332"/>
      <c r="G46" s="332"/>
      <c r="H46" s="332"/>
      <c r="I46" s="332"/>
      <c r="J46" s="332"/>
      <c r="K46" s="332"/>
      <c r="L46" s="332"/>
      <c r="M46" s="332"/>
      <c r="N46" s="332"/>
      <c r="O46" s="332"/>
      <c r="P46" s="332"/>
      <c r="Q46" s="332"/>
      <c r="R46" s="332"/>
      <c r="S46" s="332"/>
      <c r="T46" s="332"/>
      <c r="U46" s="332"/>
      <c r="V46" s="364"/>
    </row>
    <row r="47" spans="1:22" ht="19.95" customHeight="1">
      <c r="A47" s="332"/>
      <c r="B47" s="332"/>
      <c r="C47" s="332"/>
      <c r="D47" s="332"/>
      <c r="E47" s="364"/>
      <c r="F47" s="332"/>
      <c r="G47" s="332"/>
      <c r="H47" s="332"/>
      <c r="I47" s="332"/>
      <c r="J47" s="332"/>
      <c r="K47" s="332"/>
      <c r="L47" s="332"/>
      <c r="M47" s="332"/>
      <c r="N47" s="332"/>
      <c r="O47" s="332"/>
      <c r="P47" s="332"/>
      <c r="Q47" s="332"/>
      <c r="R47" s="332"/>
      <c r="S47" s="332"/>
      <c r="T47" s="332"/>
      <c r="U47" s="332"/>
      <c r="V47" s="364"/>
    </row>
    <row r="48" spans="1:22" ht="19.95" customHeight="1">
      <c r="A48" s="332"/>
      <c r="B48" s="332"/>
      <c r="C48" s="332"/>
      <c r="D48" s="332"/>
      <c r="E48" s="364"/>
      <c r="F48" s="332"/>
      <c r="G48" s="332"/>
      <c r="H48" s="332"/>
      <c r="I48" s="332"/>
      <c r="J48" s="332"/>
      <c r="K48" s="332"/>
      <c r="L48" s="332"/>
      <c r="M48" s="332"/>
      <c r="N48" s="332"/>
      <c r="O48" s="332"/>
      <c r="P48" s="332"/>
      <c r="Q48" s="332"/>
      <c r="R48" s="332"/>
      <c r="S48" s="332"/>
      <c r="T48" s="332"/>
      <c r="U48" s="332"/>
      <c r="V48" s="364"/>
    </row>
    <row r="49" spans="1:22" ht="19.95" customHeight="1">
      <c r="A49" s="332"/>
      <c r="B49" s="332"/>
      <c r="C49" s="332"/>
      <c r="D49" s="332"/>
      <c r="E49" s="364"/>
      <c r="F49" s="332"/>
      <c r="G49" s="332"/>
      <c r="H49" s="332"/>
      <c r="I49" s="332"/>
      <c r="J49" s="332"/>
      <c r="K49" s="332"/>
      <c r="L49" s="332"/>
      <c r="M49" s="332"/>
      <c r="N49" s="332"/>
      <c r="O49" s="332"/>
      <c r="P49" s="332"/>
      <c r="Q49" s="332"/>
      <c r="R49" s="332"/>
      <c r="S49" s="332"/>
      <c r="T49" s="332"/>
      <c r="U49" s="332"/>
      <c r="V49" s="364"/>
    </row>
    <row r="50" spans="1:22" ht="19.95" customHeight="1">
      <c r="A50" s="332"/>
      <c r="B50" s="332"/>
      <c r="C50" s="332"/>
      <c r="D50" s="332"/>
      <c r="E50" s="364"/>
      <c r="F50" s="332"/>
      <c r="G50" s="332"/>
      <c r="H50" s="332"/>
      <c r="I50" s="332"/>
      <c r="J50" s="332"/>
      <c r="K50" s="332"/>
      <c r="L50" s="332"/>
      <c r="M50" s="332"/>
      <c r="N50" s="332"/>
      <c r="O50" s="332"/>
      <c r="P50" s="332"/>
      <c r="Q50" s="332"/>
      <c r="R50" s="332"/>
      <c r="S50" s="332"/>
      <c r="T50" s="332"/>
      <c r="U50" s="332"/>
      <c r="V50" s="364"/>
    </row>
    <row r="51" spans="1:22" ht="19.95" customHeight="1">
      <c r="A51" s="332"/>
      <c r="B51" s="332"/>
      <c r="C51" s="332"/>
      <c r="D51" s="332"/>
      <c r="E51" s="364"/>
      <c r="F51" s="332"/>
      <c r="G51" s="332"/>
      <c r="H51" s="332"/>
      <c r="I51" s="332"/>
      <c r="J51" s="332"/>
      <c r="K51" s="332"/>
      <c r="L51" s="332"/>
      <c r="M51" s="332"/>
      <c r="N51" s="332"/>
      <c r="O51" s="332"/>
      <c r="P51" s="332"/>
      <c r="Q51" s="332"/>
      <c r="R51" s="332"/>
      <c r="S51" s="332"/>
      <c r="T51" s="332"/>
      <c r="U51" s="332"/>
      <c r="V51" s="364"/>
    </row>
    <row r="52" spans="1:22" ht="19.95" customHeight="1">
      <c r="A52" s="332"/>
      <c r="B52" s="332"/>
      <c r="C52" s="332"/>
      <c r="D52" s="332"/>
      <c r="E52" s="364"/>
      <c r="F52" s="332"/>
      <c r="G52" s="332"/>
      <c r="H52" s="332"/>
      <c r="I52" s="332"/>
      <c r="J52" s="332"/>
      <c r="K52" s="332"/>
      <c r="L52" s="332"/>
      <c r="M52" s="332"/>
      <c r="N52" s="332"/>
      <c r="O52" s="332"/>
      <c r="P52" s="332"/>
      <c r="Q52" s="332"/>
      <c r="R52" s="332"/>
      <c r="S52" s="332"/>
      <c r="T52" s="332"/>
      <c r="U52" s="332"/>
      <c r="V52" s="364"/>
    </row>
    <row r="53" spans="1:22" ht="19.95" customHeight="1">
      <c r="A53" s="332"/>
      <c r="B53" s="332"/>
      <c r="C53" s="332"/>
      <c r="D53" s="332"/>
      <c r="E53" s="364"/>
      <c r="F53" s="332"/>
      <c r="G53" s="332"/>
      <c r="H53" s="332"/>
      <c r="I53" s="332"/>
      <c r="J53" s="332"/>
      <c r="K53" s="332"/>
      <c r="L53" s="332"/>
      <c r="M53" s="332"/>
      <c r="N53" s="332"/>
      <c r="O53" s="332"/>
      <c r="P53" s="332"/>
      <c r="Q53" s="332"/>
      <c r="R53" s="332"/>
      <c r="S53" s="332"/>
      <c r="T53" s="332"/>
      <c r="U53" s="332"/>
      <c r="V53" s="364"/>
    </row>
    <row r="54" spans="1:22" ht="19.95" customHeight="1">
      <c r="A54" s="332"/>
      <c r="B54" s="332"/>
      <c r="C54" s="332"/>
      <c r="D54" s="332"/>
      <c r="E54" s="364"/>
      <c r="F54" s="332"/>
      <c r="G54" s="332"/>
      <c r="H54" s="332"/>
      <c r="I54" s="332"/>
      <c r="J54" s="332"/>
      <c r="K54" s="332"/>
      <c r="L54" s="332"/>
      <c r="M54" s="332"/>
      <c r="N54" s="332"/>
      <c r="O54" s="332"/>
      <c r="P54" s="332"/>
      <c r="Q54" s="332"/>
      <c r="R54" s="332"/>
      <c r="S54" s="332"/>
      <c r="T54" s="332"/>
      <c r="U54" s="332"/>
      <c r="V54" s="364"/>
    </row>
    <row r="55" spans="1:22" ht="19.95" customHeight="1">
      <c r="A55" s="332"/>
      <c r="B55" s="332"/>
      <c r="C55" s="332"/>
      <c r="D55" s="332"/>
      <c r="E55" s="364"/>
      <c r="F55" s="332"/>
      <c r="G55" s="332"/>
      <c r="H55" s="332"/>
      <c r="I55" s="332"/>
      <c r="J55" s="332"/>
      <c r="K55" s="332"/>
      <c r="L55" s="332"/>
      <c r="M55" s="332"/>
      <c r="N55" s="332"/>
      <c r="O55" s="332"/>
      <c r="P55" s="332"/>
      <c r="Q55" s="332"/>
      <c r="R55" s="332"/>
      <c r="S55" s="332"/>
      <c r="T55" s="332"/>
      <c r="U55" s="332"/>
      <c r="V55" s="364"/>
    </row>
    <row r="56" spans="1:22" ht="19.95" customHeight="1">
      <c r="A56" s="332"/>
      <c r="B56" s="332"/>
      <c r="C56" s="332"/>
      <c r="D56" s="332"/>
      <c r="E56" s="364"/>
      <c r="F56" s="332"/>
      <c r="G56" s="332"/>
      <c r="H56" s="332"/>
      <c r="I56" s="332"/>
      <c r="J56" s="332"/>
      <c r="K56" s="332"/>
      <c r="L56" s="332"/>
      <c r="M56" s="332"/>
      <c r="N56" s="332"/>
      <c r="O56" s="332"/>
      <c r="P56" s="332"/>
      <c r="Q56" s="332"/>
      <c r="R56" s="332"/>
      <c r="S56" s="332"/>
      <c r="T56" s="332"/>
      <c r="U56" s="332"/>
      <c r="V56" s="364"/>
    </row>
    <row r="57" spans="1:22" ht="19.95" customHeight="1">
      <c r="A57" s="332"/>
      <c r="B57" s="332"/>
      <c r="C57" s="332"/>
      <c r="D57" s="332"/>
      <c r="E57" s="364"/>
      <c r="F57" s="332"/>
      <c r="G57" s="332"/>
      <c r="H57" s="332"/>
      <c r="I57" s="332"/>
      <c r="J57" s="332"/>
      <c r="K57" s="332"/>
      <c r="L57" s="332"/>
      <c r="M57" s="332"/>
      <c r="N57" s="332"/>
      <c r="O57" s="332"/>
      <c r="P57" s="332"/>
      <c r="Q57" s="332"/>
      <c r="R57" s="332"/>
      <c r="S57" s="332"/>
      <c r="T57" s="332"/>
      <c r="U57" s="332"/>
      <c r="V57" s="364"/>
    </row>
    <row r="58" spans="1:22" ht="19.95" customHeight="1">
      <c r="A58" s="332"/>
      <c r="B58" s="332"/>
      <c r="C58" s="332"/>
      <c r="D58" s="332"/>
      <c r="E58" s="364"/>
      <c r="F58" s="332"/>
      <c r="G58" s="332"/>
      <c r="H58" s="332"/>
      <c r="I58" s="332"/>
      <c r="J58" s="332"/>
      <c r="K58" s="332"/>
      <c r="L58" s="332"/>
      <c r="M58" s="332"/>
      <c r="N58" s="332"/>
      <c r="O58" s="332"/>
      <c r="P58" s="332"/>
      <c r="Q58" s="332"/>
      <c r="R58" s="332"/>
      <c r="S58" s="332"/>
      <c r="T58" s="332"/>
      <c r="U58" s="332"/>
      <c r="V58" s="364"/>
    </row>
    <row r="59" spans="1:22" ht="19.95" customHeight="1">
      <c r="A59" s="332"/>
      <c r="B59" s="332"/>
      <c r="C59" s="332"/>
      <c r="D59" s="332"/>
      <c r="E59" s="364"/>
      <c r="F59" s="332"/>
      <c r="G59" s="332"/>
      <c r="H59" s="332"/>
      <c r="I59" s="332"/>
      <c r="J59" s="332"/>
      <c r="K59" s="332"/>
      <c r="L59" s="332"/>
      <c r="M59" s="332"/>
      <c r="N59" s="332"/>
      <c r="O59" s="332"/>
      <c r="P59" s="332"/>
      <c r="Q59" s="332"/>
      <c r="R59" s="332"/>
      <c r="S59" s="332"/>
      <c r="T59" s="332"/>
      <c r="U59" s="332"/>
      <c r="V59" s="364"/>
    </row>
    <row r="60" spans="1:22" ht="19.95" customHeight="1">
      <c r="A60" s="332"/>
      <c r="B60" s="332"/>
      <c r="C60" s="332"/>
      <c r="D60" s="332"/>
      <c r="E60" s="364"/>
      <c r="F60" s="332"/>
      <c r="G60" s="332"/>
      <c r="H60" s="332"/>
      <c r="I60" s="332"/>
      <c r="J60" s="332"/>
      <c r="K60" s="332"/>
      <c r="L60" s="332"/>
      <c r="M60" s="332"/>
      <c r="N60" s="332"/>
      <c r="O60" s="332"/>
      <c r="P60" s="332"/>
      <c r="Q60" s="332"/>
      <c r="R60" s="332"/>
      <c r="S60" s="332"/>
      <c r="T60" s="332"/>
      <c r="U60" s="332"/>
      <c r="V60" s="364"/>
    </row>
    <row r="61" spans="1:22" ht="19.95" customHeight="1">
      <c r="A61" s="332"/>
      <c r="B61" s="332"/>
      <c r="C61" s="332"/>
      <c r="D61" s="332"/>
      <c r="E61" s="364"/>
      <c r="F61" s="332"/>
      <c r="G61" s="332"/>
      <c r="H61" s="332"/>
      <c r="I61" s="332"/>
      <c r="J61" s="332"/>
      <c r="K61" s="332"/>
      <c r="L61" s="332"/>
      <c r="M61" s="332"/>
      <c r="N61" s="332"/>
      <c r="O61" s="332"/>
      <c r="P61" s="332"/>
      <c r="Q61" s="332"/>
      <c r="R61" s="332"/>
      <c r="S61" s="332"/>
      <c r="T61" s="332"/>
      <c r="U61" s="332"/>
      <c r="V61" s="364"/>
    </row>
    <row r="62" spans="1:22" ht="19.95" customHeight="1">
      <c r="A62" s="332"/>
      <c r="B62" s="332"/>
      <c r="C62" s="332"/>
      <c r="D62" s="332"/>
      <c r="E62" s="364"/>
      <c r="F62" s="332"/>
      <c r="G62" s="332"/>
      <c r="H62" s="332"/>
      <c r="I62" s="332"/>
      <c r="J62" s="332"/>
      <c r="K62" s="332"/>
      <c r="L62" s="332"/>
      <c r="M62" s="332"/>
      <c r="N62" s="332"/>
      <c r="O62" s="332"/>
      <c r="P62" s="332"/>
      <c r="Q62" s="332"/>
      <c r="R62" s="332"/>
      <c r="S62" s="332"/>
      <c r="T62" s="332"/>
      <c r="U62" s="332"/>
      <c r="V62" s="364"/>
    </row>
    <row r="63" spans="1:22" ht="19.95" customHeight="1">
      <c r="A63" s="332"/>
      <c r="B63" s="332"/>
      <c r="C63" s="332"/>
      <c r="D63" s="332"/>
      <c r="E63" s="364"/>
      <c r="F63" s="332"/>
      <c r="G63" s="332"/>
      <c r="H63" s="332"/>
      <c r="I63" s="332"/>
      <c r="J63" s="332"/>
      <c r="K63" s="332"/>
      <c r="L63" s="332"/>
      <c r="M63" s="332"/>
      <c r="N63" s="332"/>
      <c r="O63" s="332"/>
      <c r="P63" s="332"/>
      <c r="Q63" s="332"/>
      <c r="R63" s="332"/>
      <c r="S63" s="332"/>
      <c r="T63" s="332"/>
      <c r="U63" s="332"/>
      <c r="V63" s="364"/>
    </row>
    <row r="64" spans="1:22" ht="19.95" customHeight="1">
      <c r="A64" s="332"/>
      <c r="B64" s="332"/>
      <c r="C64" s="332"/>
      <c r="D64" s="332"/>
      <c r="E64" s="364"/>
      <c r="F64" s="332"/>
      <c r="G64" s="332"/>
      <c r="H64" s="332"/>
      <c r="I64" s="332"/>
      <c r="J64" s="332"/>
      <c r="K64" s="332"/>
      <c r="L64" s="332"/>
      <c r="M64" s="332"/>
      <c r="N64" s="332"/>
      <c r="O64" s="332"/>
      <c r="P64" s="332"/>
      <c r="Q64" s="332"/>
      <c r="R64" s="332"/>
      <c r="S64" s="332"/>
      <c r="T64" s="332"/>
      <c r="U64" s="332"/>
      <c r="V64" s="364"/>
    </row>
    <row r="65" spans="1:22" ht="19.95" customHeight="1">
      <c r="A65" s="332"/>
      <c r="B65" s="332"/>
      <c r="C65" s="332"/>
      <c r="D65" s="332"/>
      <c r="E65" s="364"/>
      <c r="F65" s="332"/>
      <c r="G65" s="332"/>
      <c r="H65" s="332"/>
      <c r="I65" s="332"/>
      <c r="J65" s="332"/>
      <c r="K65" s="332"/>
      <c r="L65" s="332"/>
      <c r="M65" s="332"/>
      <c r="N65" s="332"/>
      <c r="O65" s="332"/>
      <c r="P65" s="332"/>
      <c r="Q65" s="332"/>
      <c r="R65" s="332"/>
      <c r="S65" s="332"/>
      <c r="T65" s="332"/>
      <c r="U65" s="332"/>
      <c r="V65" s="364"/>
    </row>
    <row r="66" spans="1:22" ht="19.95" customHeight="1">
      <c r="A66" s="332"/>
      <c r="B66" s="332"/>
      <c r="C66" s="332"/>
      <c r="D66" s="332"/>
      <c r="E66" s="364"/>
      <c r="F66" s="332"/>
      <c r="G66" s="332"/>
      <c r="H66" s="332"/>
      <c r="I66" s="332"/>
      <c r="J66" s="332"/>
      <c r="K66" s="332"/>
      <c r="L66" s="332"/>
      <c r="M66" s="332"/>
      <c r="N66" s="332"/>
      <c r="O66" s="332"/>
      <c r="P66" s="332"/>
      <c r="Q66" s="332"/>
      <c r="R66" s="332"/>
      <c r="S66" s="332"/>
      <c r="T66" s="332"/>
      <c r="U66" s="332"/>
      <c r="V66" s="364"/>
    </row>
    <row r="67" spans="1:22" ht="19.95" customHeight="1">
      <c r="A67" s="332"/>
      <c r="B67" s="332"/>
      <c r="C67" s="332"/>
      <c r="D67" s="332"/>
      <c r="E67" s="364"/>
      <c r="F67" s="332"/>
      <c r="G67" s="332"/>
      <c r="H67" s="332"/>
      <c r="I67" s="332"/>
      <c r="J67" s="332"/>
      <c r="K67" s="332"/>
      <c r="L67" s="332"/>
      <c r="M67" s="332"/>
      <c r="N67" s="332"/>
      <c r="O67" s="332"/>
      <c r="P67" s="332"/>
      <c r="Q67" s="332"/>
      <c r="R67" s="332"/>
      <c r="S67" s="332"/>
      <c r="T67" s="332"/>
      <c r="U67" s="332"/>
      <c r="V67" s="364"/>
    </row>
    <row r="68" spans="1:22" ht="19.95" customHeight="1">
      <c r="A68" s="332"/>
      <c r="B68" s="332"/>
      <c r="C68" s="332"/>
      <c r="D68" s="332"/>
      <c r="E68" s="364"/>
      <c r="F68" s="332"/>
      <c r="G68" s="332"/>
      <c r="H68" s="332"/>
      <c r="I68" s="332"/>
      <c r="J68" s="332"/>
      <c r="K68" s="332"/>
      <c r="L68" s="332"/>
      <c r="M68" s="332"/>
      <c r="N68" s="332"/>
      <c r="O68" s="332"/>
      <c r="P68" s="332"/>
      <c r="Q68" s="332"/>
      <c r="R68" s="332"/>
      <c r="S68" s="332"/>
      <c r="T68" s="332"/>
      <c r="U68" s="332"/>
      <c r="V68" s="364"/>
    </row>
    <row r="69" spans="1:22" ht="19.95" customHeight="1">
      <c r="A69" s="332"/>
      <c r="B69" s="332"/>
      <c r="C69" s="332"/>
      <c r="D69" s="332"/>
      <c r="E69" s="364"/>
      <c r="F69" s="332"/>
      <c r="G69" s="332"/>
      <c r="H69" s="332"/>
      <c r="I69" s="332"/>
      <c r="J69" s="332"/>
      <c r="K69" s="332"/>
      <c r="L69" s="332"/>
      <c r="M69" s="332"/>
      <c r="N69" s="332"/>
      <c r="O69" s="332"/>
      <c r="P69" s="332"/>
      <c r="Q69" s="332"/>
      <c r="R69" s="332"/>
      <c r="S69" s="332"/>
      <c r="T69" s="332"/>
      <c r="U69" s="332"/>
      <c r="V69" s="364"/>
    </row>
    <row r="70" spans="1:22" ht="19.95" customHeight="1">
      <c r="A70" s="332"/>
      <c r="B70" s="332"/>
      <c r="C70" s="332"/>
      <c r="D70" s="332"/>
      <c r="E70" s="364"/>
      <c r="F70" s="332"/>
      <c r="G70" s="332"/>
      <c r="H70" s="332"/>
      <c r="I70" s="332"/>
      <c r="J70" s="332"/>
      <c r="K70" s="332"/>
      <c r="L70" s="332"/>
      <c r="M70" s="332"/>
      <c r="N70" s="332"/>
      <c r="O70" s="332"/>
      <c r="P70" s="332"/>
      <c r="Q70" s="332"/>
      <c r="R70" s="332"/>
      <c r="S70" s="332"/>
      <c r="T70" s="332"/>
      <c r="U70" s="332"/>
      <c r="V70" s="364"/>
    </row>
    <row r="71" spans="1:22" ht="19.95" customHeight="1">
      <c r="A71" s="332"/>
      <c r="B71" s="332"/>
      <c r="C71" s="332"/>
      <c r="D71" s="332"/>
      <c r="E71" s="364"/>
      <c r="F71" s="332"/>
      <c r="G71" s="332"/>
      <c r="H71" s="332"/>
      <c r="I71" s="332"/>
      <c r="J71" s="332"/>
      <c r="K71" s="332"/>
      <c r="L71" s="332"/>
      <c r="M71" s="332"/>
      <c r="N71" s="332"/>
      <c r="O71" s="332"/>
      <c r="P71" s="332"/>
      <c r="Q71" s="332"/>
      <c r="R71" s="332"/>
      <c r="S71" s="332"/>
      <c r="T71" s="332"/>
      <c r="U71" s="332"/>
      <c r="V71" s="364"/>
    </row>
    <row r="72" spans="1:22" ht="19.95" customHeight="1">
      <c r="A72" s="332"/>
      <c r="B72" s="332"/>
      <c r="C72" s="332"/>
      <c r="D72" s="332"/>
      <c r="E72" s="364"/>
      <c r="F72" s="332"/>
      <c r="G72" s="332"/>
      <c r="H72" s="332"/>
      <c r="I72" s="332"/>
      <c r="J72" s="332"/>
      <c r="K72" s="332"/>
      <c r="L72" s="332"/>
      <c r="M72" s="332"/>
      <c r="N72" s="332"/>
      <c r="O72" s="332"/>
      <c r="P72" s="332"/>
      <c r="Q72" s="332"/>
      <c r="R72" s="332"/>
      <c r="S72" s="332"/>
      <c r="T72" s="332"/>
      <c r="U72" s="332"/>
      <c r="V72" s="364"/>
    </row>
    <row r="73" spans="1:22" ht="19.95" customHeight="1">
      <c r="A73" s="332"/>
      <c r="B73" s="332"/>
      <c r="C73" s="332"/>
      <c r="D73" s="332"/>
      <c r="E73" s="364"/>
      <c r="F73" s="332"/>
      <c r="G73" s="332"/>
      <c r="H73" s="332"/>
      <c r="I73" s="332"/>
      <c r="J73" s="332"/>
      <c r="K73" s="332"/>
      <c r="L73" s="332"/>
      <c r="M73" s="332"/>
      <c r="N73" s="332"/>
      <c r="O73" s="332"/>
      <c r="P73" s="332"/>
      <c r="Q73" s="332"/>
      <c r="R73" s="332"/>
      <c r="S73" s="332"/>
      <c r="T73" s="332"/>
      <c r="U73" s="332"/>
      <c r="V73" s="364"/>
    </row>
    <row r="74" spans="1:22" ht="19.95" customHeight="1">
      <c r="A74" s="332"/>
      <c r="B74" s="332"/>
      <c r="C74" s="332"/>
      <c r="D74" s="332"/>
      <c r="E74" s="364"/>
      <c r="F74" s="332"/>
      <c r="G74" s="332"/>
      <c r="H74" s="332"/>
      <c r="I74" s="332"/>
      <c r="J74" s="332"/>
      <c r="K74" s="332"/>
      <c r="L74" s="332"/>
      <c r="M74" s="332"/>
      <c r="N74" s="332"/>
      <c r="O74" s="332"/>
      <c r="P74" s="332"/>
      <c r="Q74" s="332"/>
      <c r="R74" s="332"/>
      <c r="S74" s="332"/>
      <c r="T74" s="332"/>
      <c r="U74" s="332"/>
      <c r="V74" s="364"/>
    </row>
    <row r="75" spans="1:22" ht="19.95" customHeight="1">
      <c r="A75" s="332"/>
      <c r="B75" s="332"/>
      <c r="C75" s="332"/>
      <c r="D75" s="332"/>
      <c r="E75" s="364"/>
      <c r="F75" s="332"/>
      <c r="G75" s="332"/>
      <c r="H75" s="332"/>
      <c r="I75" s="332"/>
      <c r="J75" s="332"/>
      <c r="K75" s="332"/>
      <c r="L75" s="332"/>
      <c r="M75" s="332"/>
      <c r="N75" s="332"/>
      <c r="O75" s="332"/>
      <c r="P75" s="332"/>
      <c r="Q75" s="332"/>
      <c r="R75" s="332"/>
      <c r="S75" s="332"/>
      <c r="T75" s="332"/>
      <c r="U75" s="332"/>
      <c r="V75" s="364"/>
    </row>
    <row r="76" spans="1:22" ht="19.95" customHeight="1">
      <c r="A76" s="332"/>
      <c r="B76" s="332"/>
      <c r="C76" s="332"/>
      <c r="D76" s="332"/>
      <c r="E76" s="364"/>
      <c r="F76" s="332"/>
      <c r="G76" s="332"/>
      <c r="H76" s="332"/>
      <c r="I76" s="332"/>
      <c r="J76" s="332"/>
      <c r="K76" s="332"/>
      <c r="L76" s="332"/>
      <c r="M76" s="332"/>
      <c r="N76" s="332"/>
      <c r="O76" s="332"/>
      <c r="P76" s="332"/>
      <c r="Q76" s="332"/>
      <c r="R76" s="332"/>
      <c r="S76" s="332"/>
      <c r="T76" s="332"/>
      <c r="U76" s="332"/>
      <c r="V76" s="364"/>
    </row>
    <row r="77" spans="1:22" ht="19.95" customHeight="1">
      <c r="A77" s="332"/>
      <c r="B77" s="332"/>
      <c r="C77" s="332"/>
      <c r="D77" s="332"/>
      <c r="E77" s="364"/>
      <c r="F77" s="332"/>
      <c r="G77" s="332"/>
      <c r="H77" s="332"/>
      <c r="I77" s="332"/>
      <c r="J77" s="332"/>
      <c r="K77" s="332"/>
      <c r="L77" s="332"/>
      <c r="M77" s="332"/>
      <c r="N77" s="332"/>
      <c r="O77" s="332"/>
      <c r="P77" s="332"/>
      <c r="Q77" s="332"/>
      <c r="R77" s="332"/>
      <c r="S77" s="332"/>
      <c r="T77" s="332"/>
      <c r="U77" s="332"/>
      <c r="V77" s="364"/>
    </row>
    <row r="78" spans="1:22" ht="19.95" customHeight="1">
      <c r="A78" s="332"/>
      <c r="B78" s="332"/>
      <c r="C78" s="332"/>
      <c r="D78" s="332"/>
      <c r="E78" s="364"/>
      <c r="F78" s="332"/>
      <c r="G78" s="332"/>
      <c r="H78" s="332"/>
      <c r="I78" s="332"/>
      <c r="J78" s="332"/>
      <c r="K78" s="332"/>
      <c r="L78" s="332"/>
      <c r="M78" s="332"/>
      <c r="N78" s="332"/>
      <c r="O78" s="332"/>
      <c r="P78" s="332"/>
      <c r="Q78" s="332"/>
      <c r="R78" s="332"/>
      <c r="S78" s="332"/>
      <c r="T78" s="332"/>
      <c r="U78" s="332"/>
      <c r="V78" s="364"/>
    </row>
    <row r="79" spans="1:22" ht="19.95" customHeight="1">
      <c r="A79" s="332"/>
      <c r="B79" s="332"/>
      <c r="C79" s="332"/>
      <c r="D79" s="332"/>
      <c r="E79" s="364"/>
      <c r="F79" s="332"/>
      <c r="G79" s="332"/>
      <c r="H79" s="332"/>
      <c r="I79" s="332"/>
      <c r="J79" s="332"/>
      <c r="K79" s="332"/>
      <c r="L79" s="332"/>
      <c r="M79" s="332"/>
      <c r="N79" s="332"/>
      <c r="O79" s="332"/>
      <c r="P79" s="332"/>
      <c r="Q79" s="332"/>
      <c r="R79" s="332"/>
      <c r="S79" s="332"/>
      <c r="T79" s="332"/>
      <c r="U79" s="332"/>
      <c r="V79" s="364"/>
    </row>
    <row r="80" spans="1:22" ht="19.95" customHeight="1">
      <c r="A80" s="332"/>
      <c r="B80" s="332"/>
      <c r="C80" s="332"/>
      <c r="D80" s="332"/>
      <c r="E80" s="364"/>
      <c r="F80" s="332"/>
      <c r="G80" s="332"/>
      <c r="H80" s="332"/>
      <c r="I80" s="332"/>
      <c r="J80" s="332"/>
      <c r="K80" s="332"/>
      <c r="L80" s="332"/>
      <c r="M80" s="332"/>
      <c r="N80" s="332"/>
      <c r="O80" s="332"/>
      <c r="P80" s="332"/>
      <c r="Q80" s="332"/>
      <c r="R80" s="332"/>
      <c r="S80" s="332"/>
      <c r="T80" s="332"/>
      <c r="U80" s="332"/>
      <c r="V80" s="364"/>
    </row>
    <row r="81" spans="1:22" ht="19.95" customHeight="1">
      <c r="A81" s="332"/>
      <c r="B81" s="332"/>
      <c r="C81" s="332"/>
      <c r="D81" s="332"/>
      <c r="E81" s="364"/>
      <c r="F81" s="332"/>
      <c r="G81" s="332"/>
      <c r="H81" s="332"/>
      <c r="I81" s="332"/>
      <c r="J81" s="332"/>
      <c r="K81" s="332"/>
      <c r="L81" s="332"/>
      <c r="M81" s="332"/>
      <c r="N81" s="332"/>
      <c r="O81" s="332"/>
      <c r="P81" s="332"/>
      <c r="Q81" s="332"/>
      <c r="R81" s="332"/>
      <c r="S81" s="332"/>
      <c r="T81" s="332"/>
      <c r="U81" s="332"/>
      <c r="V81" s="364"/>
    </row>
    <row r="82" spans="1:22" ht="19.95" customHeight="1">
      <c r="A82" s="332"/>
      <c r="B82" s="332"/>
      <c r="C82" s="332"/>
      <c r="D82" s="332"/>
      <c r="E82" s="364"/>
      <c r="F82" s="332"/>
      <c r="G82" s="332"/>
      <c r="H82" s="332"/>
      <c r="I82" s="332"/>
      <c r="J82" s="332"/>
      <c r="K82" s="332"/>
      <c r="L82" s="332"/>
      <c r="M82" s="332"/>
      <c r="N82" s="332"/>
      <c r="O82" s="332"/>
      <c r="P82" s="332"/>
      <c r="Q82" s="332"/>
      <c r="R82" s="332"/>
      <c r="S82" s="332"/>
      <c r="T82" s="332"/>
      <c r="U82" s="332"/>
      <c r="V82" s="364"/>
    </row>
    <row r="83" spans="1:22" ht="19.95" customHeight="1">
      <c r="A83" s="332"/>
      <c r="B83" s="332"/>
      <c r="C83" s="332"/>
      <c r="D83" s="332"/>
      <c r="E83" s="364"/>
      <c r="F83" s="332"/>
      <c r="G83" s="332"/>
      <c r="H83" s="332"/>
      <c r="I83" s="332"/>
      <c r="J83" s="332"/>
      <c r="K83" s="332"/>
      <c r="L83" s="332"/>
      <c r="M83" s="332"/>
      <c r="N83" s="332"/>
      <c r="O83" s="332"/>
      <c r="P83" s="332"/>
      <c r="Q83" s="332"/>
      <c r="R83" s="332"/>
      <c r="S83" s="332"/>
      <c r="T83" s="332"/>
      <c r="U83" s="332"/>
      <c r="V83" s="364"/>
    </row>
    <row r="84" spans="1:22" ht="19.95" customHeight="1">
      <c r="A84" s="332"/>
      <c r="B84" s="332"/>
      <c r="C84" s="332"/>
      <c r="D84" s="332"/>
      <c r="E84" s="364"/>
      <c r="F84" s="332"/>
      <c r="G84" s="332"/>
      <c r="H84" s="332"/>
      <c r="I84" s="332"/>
      <c r="J84" s="332"/>
      <c r="K84" s="332"/>
      <c r="L84" s="332"/>
      <c r="M84" s="332"/>
      <c r="N84" s="332"/>
      <c r="O84" s="332"/>
      <c r="P84" s="332"/>
      <c r="Q84" s="332"/>
      <c r="R84" s="332"/>
      <c r="S84" s="332"/>
      <c r="T84" s="332"/>
      <c r="U84" s="332"/>
      <c r="V84" s="364"/>
    </row>
    <row r="85" spans="1:22" ht="19.95" customHeight="1">
      <c r="A85" s="332"/>
      <c r="B85" s="332"/>
      <c r="C85" s="332"/>
      <c r="D85" s="332"/>
      <c r="E85" s="364"/>
      <c r="F85" s="332"/>
      <c r="G85" s="332"/>
      <c r="H85" s="332"/>
      <c r="I85" s="332"/>
      <c r="J85" s="332"/>
      <c r="K85" s="332"/>
      <c r="L85" s="332"/>
      <c r="M85" s="332"/>
      <c r="N85" s="332"/>
      <c r="O85" s="332"/>
      <c r="P85" s="332"/>
      <c r="Q85" s="332"/>
      <c r="R85" s="332"/>
      <c r="S85" s="332"/>
      <c r="T85" s="332"/>
      <c r="U85" s="332"/>
      <c r="V85" s="364"/>
    </row>
    <row r="86" spans="1:22" ht="19.95" customHeight="1">
      <c r="A86" s="332"/>
      <c r="B86" s="332"/>
      <c r="C86" s="332"/>
      <c r="D86" s="332"/>
      <c r="E86" s="364"/>
      <c r="F86" s="332"/>
      <c r="G86" s="332"/>
      <c r="H86" s="332"/>
      <c r="I86" s="332"/>
      <c r="J86" s="332"/>
      <c r="K86" s="332"/>
      <c r="L86" s="332"/>
      <c r="M86" s="332"/>
      <c r="N86" s="332"/>
      <c r="O86" s="332"/>
      <c r="P86" s="332"/>
      <c r="Q86" s="332"/>
      <c r="R86" s="332"/>
      <c r="S86" s="332"/>
      <c r="T86" s="332"/>
      <c r="U86" s="332"/>
      <c r="V86" s="364"/>
    </row>
    <row r="87" spans="1:22" ht="19.95" customHeight="1">
      <c r="A87" s="332"/>
      <c r="B87" s="332"/>
      <c r="C87" s="332"/>
      <c r="D87" s="332"/>
      <c r="E87" s="364"/>
      <c r="F87" s="332"/>
      <c r="G87" s="332"/>
      <c r="H87" s="332"/>
      <c r="I87" s="332"/>
      <c r="J87" s="332"/>
      <c r="K87" s="332"/>
      <c r="L87" s="332"/>
      <c r="M87" s="332"/>
      <c r="N87" s="332"/>
      <c r="O87" s="332"/>
      <c r="P87" s="332"/>
      <c r="Q87" s="332"/>
      <c r="R87" s="332"/>
      <c r="S87" s="332"/>
      <c r="T87" s="332"/>
      <c r="U87" s="332"/>
      <c r="V87" s="364"/>
    </row>
    <row r="88" spans="1:22" ht="19.95" customHeight="1">
      <c r="A88" s="332"/>
      <c r="B88" s="332"/>
      <c r="C88" s="332"/>
      <c r="D88" s="332"/>
      <c r="E88" s="364"/>
      <c r="F88" s="332"/>
      <c r="G88" s="332"/>
      <c r="H88" s="332"/>
      <c r="I88" s="332"/>
      <c r="J88" s="332"/>
      <c r="K88" s="332"/>
      <c r="L88" s="332"/>
      <c r="M88" s="332"/>
      <c r="N88" s="332"/>
      <c r="O88" s="332"/>
      <c r="P88" s="332"/>
      <c r="Q88" s="332"/>
      <c r="R88" s="332"/>
      <c r="S88" s="332"/>
      <c r="T88" s="332"/>
      <c r="U88" s="332"/>
      <c r="V88" s="364"/>
    </row>
    <row r="89" spans="1:22" ht="19.95" customHeight="1">
      <c r="A89" s="332"/>
      <c r="B89" s="332"/>
      <c r="C89" s="332"/>
      <c r="D89" s="332"/>
      <c r="E89" s="364"/>
      <c r="F89" s="332"/>
      <c r="G89" s="332"/>
      <c r="H89" s="332"/>
      <c r="I89" s="332"/>
      <c r="J89" s="332"/>
      <c r="K89" s="332"/>
      <c r="L89" s="332"/>
      <c r="M89" s="332"/>
      <c r="N89" s="332"/>
      <c r="O89" s="332"/>
      <c r="P89" s="332"/>
      <c r="Q89" s="332"/>
      <c r="R89" s="332"/>
      <c r="S89" s="332"/>
      <c r="T89" s="332"/>
      <c r="U89" s="332"/>
      <c r="V89" s="364"/>
    </row>
    <row r="90" spans="1:22" ht="19.95" customHeight="1">
      <c r="A90" s="332"/>
      <c r="B90" s="332"/>
      <c r="C90" s="332"/>
      <c r="D90" s="332"/>
      <c r="E90" s="364"/>
      <c r="F90" s="332"/>
      <c r="G90" s="332"/>
      <c r="H90" s="332"/>
      <c r="I90" s="332"/>
      <c r="J90" s="332"/>
      <c r="K90" s="332"/>
      <c r="L90" s="332"/>
      <c r="M90" s="332"/>
      <c r="N90" s="332"/>
      <c r="O90" s="332"/>
      <c r="P90" s="332"/>
      <c r="Q90" s="332"/>
      <c r="R90" s="332"/>
      <c r="S90" s="332"/>
      <c r="T90" s="332"/>
      <c r="U90" s="332"/>
      <c r="V90" s="364"/>
    </row>
    <row r="91" spans="1:22" ht="19.95" customHeight="1">
      <c r="A91" s="332"/>
      <c r="B91" s="332"/>
      <c r="C91" s="332"/>
      <c r="D91" s="332"/>
      <c r="E91" s="364"/>
      <c r="F91" s="332"/>
      <c r="G91" s="332"/>
      <c r="H91" s="332"/>
      <c r="I91" s="332"/>
      <c r="J91" s="332"/>
      <c r="K91" s="332"/>
      <c r="L91" s="332"/>
      <c r="M91" s="332"/>
      <c r="N91" s="332"/>
      <c r="O91" s="332"/>
      <c r="P91" s="332"/>
      <c r="Q91" s="332"/>
      <c r="R91" s="332"/>
      <c r="S91" s="332"/>
      <c r="T91" s="332"/>
      <c r="U91" s="332"/>
      <c r="V91" s="364"/>
    </row>
    <row r="92" spans="1:22" ht="19.95" customHeight="1">
      <c r="A92" s="332"/>
      <c r="B92" s="332"/>
      <c r="C92" s="332"/>
      <c r="D92" s="332"/>
      <c r="E92" s="364"/>
      <c r="F92" s="332"/>
      <c r="G92" s="332"/>
      <c r="H92" s="332"/>
      <c r="I92" s="332"/>
      <c r="J92" s="332"/>
      <c r="K92" s="332"/>
      <c r="L92" s="332"/>
      <c r="M92" s="332"/>
      <c r="N92" s="332"/>
      <c r="O92" s="332"/>
      <c r="P92" s="332"/>
      <c r="Q92" s="332"/>
      <c r="R92" s="332"/>
      <c r="S92" s="332"/>
      <c r="T92" s="332"/>
      <c r="U92" s="332"/>
      <c r="V92" s="364"/>
    </row>
    <row r="93" spans="1:22" ht="19.95" customHeight="1">
      <c r="A93" s="332"/>
      <c r="B93" s="332"/>
      <c r="C93" s="332"/>
      <c r="D93" s="332"/>
      <c r="E93" s="364"/>
      <c r="F93" s="332"/>
      <c r="G93" s="332"/>
      <c r="H93" s="332"/>
      <c r="I93" s="332"/>
      <c r="J93" s="332"/>
      <c r="K93" s="332"/>
      <c r="L93" s="332"/>
      <c r="M93" s="332"/>
      <c r="N93" s="332"/>
      <c r="O93" s="332"/>
      <c r="P93" s="332"/>
      <c r="Q93" s="332"/>
      <c r="R93" s="332"/>
      <c r="S93" s="332"/>
      <c r="T93" s="332"/>
      <c r="U93" s="332"/>
      <c r="V93" s="364"/>
    </row>
  </sheetData>
  <mergeCells count="14">
    <mergeCell ref="A1:V1"/>
    <mergeCell ref="A2:V2"/>
    <mergeCell ref="A7:A8"/>
    <mergeCell ref="B7:B8"/>
    <mergeCell ref="C7:C8"/>
    <mergeCell ref="D7:D8"/>
    <mergeCell ref="E7:E8"/>
    <mergeCell ref="F7:F8"/>
    <mergeCell ref="G7:G8"/>
    <mergeCell ref="I7:I8"/>
    <mergeCell ref="J7:Q7"/>
    <mergeCell ref="H7:H8"/>
    <mergeCell ref="R7:U7"/>
    <mergeCell ref="V7:V8"/>
  </mergeCells>
  <phoneticPr fontId="10" type="noConversion"/>
  <hyperlinks>
    <hyperlink ref="V3" location="底稿目录!A1" display="H1-12"/>
  </hyperlinks>
  <printOptions horizontalCentered="1"/>
  <pageMargins left="0.51181102362204722" right="0.31496062992125984" top="0.55118110236220474" bottom="0.35433070866141736" header="0.51181102362204722" footer="0.19685039370078741"/>
  <pageSetup paperSize="9" scale="53" fitToHeight="50" orientation="landscape" blackAndWhite="1" r:id="rId1"/>
  <headerFooter alignWithMargins="0">
    <oddFooter>&amp;C&amp;P/&amp;N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V125"/>
  <sheetViews>
    <sheetView view="pageBreakPreview" zoomScaleSheetLayoutView="100" workbookViewId="0">
      <selection activeCell="L3" sqref="L3"/>
    </sheetView>
  </sheetViews>
  <sheetFormatPr defaultColWidth="9" defaultRowHeight="19.95" customHeight="1"/>
  <cols>
    <col min="1" max="1" width="13.8984375" style="2" customWidth="1"/>
    <col min="2" max="2" width="11.59765625" style="2" customWidth="1"/>
    <col min="3" max="3" width="15.59765625" style="2" customWidth="1"/>
    <col min="4" max="5" width="11.59765625" style="2" customWidth="1"/>
    <col min="6" max="6" width="12.3984375" style="2" customWidth="1"/>
    <col min="7" max="7" width="13.796875" style="22" customWidth="1"/>
    <col min="8" max="8" width="13.296875" style="22" customWidth="1"/>
    <col min="9" max="9" width="19.59765625" style="22" customWidth="1"/>
    <col min="10" max="10" width="20.69921875" style="22" customWidth="1"/>
    <col min="11" max="11" width="22.19921875" style="22" customWidth="1"/>
    <col min="12" max="12" width="18.19921875" style="22" customWidth="1"/>
    <col min="13" max="15" width="8" style="2" customWidth="1"/>
    <col min="16" max="16" width="10" style="2" customWidth="1"/>
    <col min="17" max="17" width="10.3984375" style="2" customWidth="1"/>
    <col min="18" max="18" width="9" style="2"/>
    <col min="19" max="19" width="9.09765625" style="2" customWidth="1"/>
    <col min="20" max="16384" width="9" style="2"/>
  </cols>
  <sheetData>
    <row r="1" spans="1:22" s="27" customFormat="1" ht="19.95" customHeight="1">
      <c r="A1" s="756" t="s">
        <v>1039</v>
      </c>
      <c r="B1" s="829"/>
      <c r="C1" s="829"/>
      <c r="D1" s="829"/>
      <c r="E1" s="829"/>
      <c r="F1" s="829"/>
      <c r="G1" s="829"/>
      <c r="H1" s="829"/>
      <c r="I1" s="829"/>
      <c r="J1" s="829"/>
      <c r="K1" s="829"/>
      <c r="L1" s="829"/>
    </row>
    <row r="2" spans="1:22" s="463" customFormat="1" ht="19.95" customHeight="1">
      <c r="A2" s="757" t="s">
        <v>1062</v>
      </c>
      <c r="B2" s="757"/>
      <c r="C2" s="757"/>
      <c r="D2" s="757"/>
      <c r="E2" s="757"/>
      <c r="F2" s="757"/>
      <c r="G2" s="757"/>
      <c r="H2" s="757"/>
      <c r="I2" s="757"/>
      <c r="J2" s="757"/>
      <c r="K2" s="757"/>
      <c r="L2" s="757"/>
    </row>
    <row r="3" spans="1:22" ht="19.95" customHeight="1">
      <c r="A3" s="2" t="str">
        <f>底稿目录!A2</f>
        <v>被审计单位：</v>
      </c>
      <c r="E3" s="22" t="str">
        <f>底稿目录!A4</f>
        <v>编制人：</v>
      </c>
      <c r="G3" s="2"/>
      <c r="I3" s="2"/>
      <c r="J3" s="22" t="str">
        <f>底稿目录!A5</f>
        <v>编制日期：</v>
      </c>
      <c r="K3" s="181" t="s">
        <v>785</v>
      </c>
      <c r="L3" s="452" t="s">
        <v>315</v>
      </c>
    </row>
    <row r="4" spans="1:22" ht="19.95" customHeight="1">
      <c r="A4" s="2" t="str">
        <f>底稿目录!A3</f>
        <v>截止日：202X年12月31日</v>
      </c>
      <c r="E4" s="103" t="str">
        <f>底稿目录!A6</f>
        <v>复核人：</v>
      </c>
      <c r="G4" s="2"/>
      <c r="I4" s="2"/>
      <c r="J4" s="103" t="str">
        <f>底稿目录!A7</f>
        <v>复核日期：</v>
      </c>
      <c r="K4" s="475" t="s">
        <v>1064</v>
      </c>
      <c r="L4" s="2"/>
    </row>
    <row r="5" spans="1:22" s="230" customFormat="1" ht="19.95" customHeight="1">
      <c r="A5" s="229" t="s">
        <v>916</v>
      </c>
      <c r="B5" s="229"/>
      <c r="C5" s="229"/>
      <c r="D5" s="229"/>
      <c r="E5" s="367"/>
      <c r="F5" s="229"/>
      <c r="G5" s="229"/>
      <c r="H5" s="229"/>
      <c r="I5" s="229"/>
      <c r="J5" s="229"/>
      <c r="K5" s="229"/>
      <c r="L5" s="229"/>
      <c r="M5" s="229"/>
      <c r="N5" s="229"/>
      <c r="O5" s="229"/>
      <c r="P5" s="229"/>
      <c r="Q5" s="229"/>
      <c r="R5" s="229"/>
      <c r="S5" s="229"/>
      <c r="T5" s="229"/>
      <c r="U5" s="229"/>
      <c r="V5" s="367"/>
    </row>
    <row r="6" spans="1:22" s="25" customFormat="1" ht="19.95" customHeight="1">
      <c r="A6" s="57" t="s">
        <v>835</v>
      </c>
      <c r="B6" s="280"/>
      <c r="C6" s="280"/>
      <c r="D6" s="280"/>
      <c r="E6" s="280"/>
      <c r="F6" s="280"/>
      <c r="G6" s="55"/>
      <c r="H6" s="279"/>
      <c r="I6" s="279"/>
      <c r="J6" s="279"/>
      <c r="K6" s="279"/>
      <c r="L6" s="279"/>
      <c r="M6" s="280"/>
      <c r="N6" s="280"/>
      <c r="O6" s="280"/>
      <c r="P6" s="280"/>
      <c r="Q6" s="280"/>
    </row>
    <row r="7" spans="1:22" ht="19.95" customHeight="1">
      <c r="A7" s="840" t="s">
        <v>175</v>
      </c>
      <c r="B7" s="842" t="s">
        <v>917</v>
      </c>
      <c r="C7" s="842" t="s">
        <v>918</v>
      </c>
      <c r="D7" s="839" t="s">
        <v>894</v>
      </c>
      <c r="E7" s="839" t="s">
        <v>895</v>
      </c>
      <c r="F7" s="839" t="s">
        <v>919</v>
      </c>
      <c r="G7" s="838" t="s">
        <v>920</v>
      </c>
      <c r="H7" s="838"/>
      <c r="I7" s="838"/>
      <c r="J7" s="838"/>
      <c r="K7" s="838"/>
      <c r="L7" s="838"/>
      <c r="M7" s="280"/>
      <c r="N7" s="280"/>
      <c r="O7" s="280"/>
      <c r="P7" s="280"/>
      <c r="Q7" s="280"/>
      <c r="R7" s="280"/>
      <c r="S7" s="280"/>
      <c r="T7" s="280"/>
    </row>
    <row r="8" spans="1:22" ht="60" customHeight="1">
      <c r="A8" s="841"/>
      <c r="B8" s="843"/>
      <c r="C8" s="843"/>
      <c r="D8" s="839"/>
      <c r="E8" s="839"/>
      <c r="F8" s="839"/>
      <c r="G8" s="260" t="s">
        <v>921</v>
      </c>
      <c r="H8" s="260" t="s">
        <v>922</v>
      </c>
      <c r="I8" s="260" t="s">
        <v>923</v>
      </c>
      <c r="J8" s="369" t="s">
        <v>924</v>
      </c>
      <c r="K8" s="260" t="s">
        <v>925</v>
      </c>
      <c r="L8" s="260" t="s">
        <v>926</v>
      </c>
      <c r="M8" s="280"/>
      <c r="N8" s="280"/>
      <c r="O8" s="280"/>
      <c r="P8" s="280"/>
      <c r="Q8" s="280"/>
      <c r="R8" s="280"/>
      <c r="S8" s="280"/>
      <c r="T8" s="280"/>
    </row>
    <row r="9" spans="1:22" ht="19.95" customHeight="1">
      <c r="A9" s="445">
        <v>1</v>
      </c>
      <c r="B9" s="446"/>
      <c r="C9" s="370"/>
      <c r="D9" s="370"/>
      <c r="E9" s="447"/>
      <c r="F9" s="445"/>
      <c r="G9" s="431"/>
      <c r="H9" s="448"/>
      <c r="I9" s="431"/>
      <c r="J9" s="448"/>
      <c r="K9" s="448"/>
      <c r="L9" s="431"/>
      <c r="M9" s="280"/>
      <c r="N9" s="280"/>
      <c r="O9" s="280"/>
      <c r="P9" s="280"/>
      <c r="Q9" s="280"/>
      <c r="R9" s="280"/>
      <c r="S9" s="280"/>
      <c r="T9" s="280"/>
    </row>
    <row r="10" spans="1:22" ht="19.95" customHeight="1">
      <c r="A10" s="445">
        <v>2</v>
      </c>
      <c r="B10" s="446"/>
      <c r="C10" s="370"/>
      <c r="D10" s="370"/>
      <c r="E10" s="447"/>
      <c r="F10" s="445"/>
      <c r="G10" s="431"/>
      <c r="H10" s="448"/>
      <c r="I10" s="431"/>
      <c r="J10" s="448"/>
      <c r="K10" s="448"/>
      <c r="L10" s="431"/>
      <c r="M10" s="280"/>
      <c r="N10" s="280"/>
      <c r="O10" s="280"/>
      <c r="P10" s="280"/>
      <c r="Q10" s="280"/>
      <c r="R10" s="280"/>
      <c r="S10" s="280"/>
      <c r="T10" s="280"/>
    </row>
    <row r="11" spans="1:22" ht="19.95" customHeight="1">
      <c r="A11" s="445">
        <v>3</v>
      </c>
      <c r="B11" s="446"/>
      <c r="C11" s="370"/>
      <c r="D11" s="370"/>
      <c r="E11" s="447"/>
      <c r="F11" s="445"/>
      <c r="G11" s="431"/>
      <c r="H11" s="448"/>
      <c r="I11" s="431"/>
      <c r="J11" s="448"/>
      <c r="K11" s="448"/>
      <c r="L11" s="431"/>
      <c r="M11" s="280"/>
      <c r="N11" s="280"/>
      <c r="O11" s="280"/>
      <c r="P11" s="280"/>
      <c r="Q11" s="280"/>
      <c r="R11" s="280"/>
      <c r="S11" s="280"/>
      <c r="T11" s="280"/>
    </row>
    <row r="12" spans="1:22" ht="19.95" customHeight="1">
      <c r="A12" s="445">
        <v>4</v>
      </c>
      <c r="B12" s="446"/>
      <c r="C12" s="370"/>
      <c r="D12" s="370"/>
      <c r="E12" s="447"/>
      <c r="F12" s="445"/>
      <c r="G12" s="431"/>
      <c r="H12" s="448"/>
      <c r="I12" s="431"/>
      <c r="J12" s="448"/>
      <c r="K12" s="448"/>
      <c r="L12" s="431"/>
      <c r="M12" s="280"/>
      <c r="N12" s="280"/>
      <c r="O12" s="280"/>
      <c r="P12" s="280"/>
      <c r="Q12" s="280"/>
      <c r="R12" s="280"/>
      <c r="S12" s="280"/>
      <c r="T12" s="280"/>
    </row>
    <row r="13" spans="1:22" ht="19.95" customHeight="1">
      <c r="A13" s="445">
        <v>5</v>
      </c>
      <c r="B13" s="446"/>
      <c r="C13" s="370"/>
      <c r="D13" s="370"/>
      <c r="E13" s="447"/>
      <c r="F13" s="445"/>
      <c r="G13" s="431"/>
      <c r="H13" s="448"/>
      <c r="I13" s="431"/>
      <c r="J13" s="448"/>
      <c r="K13" s="448"/>
      <c r="L13" s="431"/>
      <c r="M13" s="280"/>
      <c r="N13" s="280"/>
      <c r="O13" s="280"/>
      <c r="P13" s="280"/>
      <c r="Q13" s="280"/>
      <c r="R13" s="280"/>
      <c r="S13" s="280"/>
      <c r="T13" s="280"/>
    </row>
    <row r="14" spans="1:22" ht="19.95" customHeight="1">
      <c r="A14" s="445">
        <v>6</v>
      </c>
      <c r="B14" s="446"/>
      <c r="C14" s="370"/>
      <c r="D14" s="370"/>
      <c r="E14" s="447"/>
      <c r="F14" s="445"/>
      <c r="G14" s="431"/>
      <c r="H14" s="448"/>
      <c r="I14" s="431"/>
      <c r="J14" s="448"/>
      <c r="K14" s="448"/>
      <c r="L14" s="431"/>
      <c r="M14" s="280"/>
      <c r="N14" s="280"/>
      <c r="O14" s="280"/>
      <c r="P14" s="280"/>
      <c r="Q14" s="280"/>
      <c r="R14" s="280"/>
      <c r="S14" s="280"/>
      <c r="T14" s="280"/>
    </row>
    <row r="15" spans="1:22" ht="19.95" customHeight="1">
      <c r="A15" s="445">
        <v>7</v>
      </c>
      <c r="B15" s="446"/>
      <c r="C15" s="370"/>
      <c r="D15" s="370"/>
      <c r="E15" s="447"/>
      <c r="F15" s="445"/>
      <c r="G15" s="431"/>
      <c r="H15" s="448"/>
      <c r="I15" s="431"/>
      <c r="J15" s="448"/>
      <c r="K15" s="448"/>
      <c r="L15" s="431"/>
      <c r="M15" s="280"/>
      <c r="N15" s="280"/>
      <c r="O15" s="280"/>
      <c r="P15" s="280"/>
      <c r="Q15" s="280"/>
      <c r="R15" s="280"/>
      <c r="S15" s="280"/>
      <c r="T15" s="280"/>
    </row>
    <row r="16" spans="1:22" ht="19.95" customHeight="1">
      <c r="A16" s="445">
        <v>8</v>
      </c>
      <c r="B16" s="446"/>
      <c r="C16" s="370"/>
      <c r="D16" s="370"/>
      <c r="E16" s="447"/>
      <c r="F16" s="445"/>
      <c r="G16" s="431"/>
      <c r="H16" s="448"/>
      <c r="I16" s="431"/>
      <c r="J16" s="448"/>
      <c r="K16" s="448"/>
      <c r="L16" s="431"/>
      <c r="M16" s="280"/>
      <c r="N16" s="280"/>
      <c r="O16" s="280"/>
      <c r="P16" s="280"/>
      <c r="Q16" s="280"/>
      <c r="R16" s="280"/>
      <c r="S16" s="280"/>
      <c r="T16" s="280"/>
    </row>
    <row r="17" spans="1:20" s="308" customFormat="1" ht="19.95" customHeight="1">
      <c r="A17" s="678" t="s">
        <v>1216</v>
      </c>
      <c r="B17" s="679"/>
      <c r="C17" s="680"/>
      <c r="D17" s="680"/>
      <c r="E17" s="680"/>
      <c r="F17" s="680"/>
      <c r="G17" s="681"/>
      <c r="H17" s="681"/>
      <c r="I17" s="681"/>
      <c r="J17" s="681"/>
      <c r="K17" s="681"/>
      <c r="L17" s="681"/>
      <c r="M17" s="665"/>
      <c r="N17" s="665"/>
      <c r="O17" s="665"/>
      <c r="P17" s="665"/>
      <c r="Q17" s="665"/>
      <c r="R17" s="665"/>
      <c r="S17" s="665"/>
      <c r="T17" s="665"/>
    </row>
    <row r="18" spans="1:20" ht="19.95" customHeight="1">
      <c r="A18" s="838" t="s">
        <v>927</v>
      </c>
      <c r="B18" s="839" t="s">
        <v>928</v>
      </c>
      <c r="C18" s="839"/>
      <c r="D18" s="839"/>
      <c r="E18" s="839"/>
      <c r="F18" s="839"/>
      <c r="G18" s="839"/>
      <c r="H18" s="839"/>
      <c r="I18" s="839" t="s">
        <v>929</v>
      </c>
      <c r="J18" s="280"/>
      <c r="K18" s="280"/>
      <c r="L18" s="280"/>
      <c r="M18" s="280"/>
      <c r="N18" s="280"/>
      <c r="O18" s="280"/>
      <c r="P18" s="280"/>
      <c r="Q18" s="280"/>
      <c r="R18" s="280"/>
      <c r="S18" s="280"/>
      <c r="T18" s="280"/>
    </row>
    <row r="19" spans="1:20" ht="19.95" customHeight="1">
      <c r="A19" s="838"/>
      <c r="B19" s="369" t="s">
        <v>930</v>
      </c>
      <c r="C19" s="369" t="s">
        <v>931</v>
      </c>
      <c r="D19" s="369" t="s">
        <v>932</v>
      </c>
      <c r="E19" s="369" t="s">
        <v>933</v>
      </c>
      <c r="F19" s="369" t="s">
        <v>934</v>
      </c>
      <c r="G19" s="369" t="s">
        <v>935</v>
      </c>
      <c r="H19" s="260" t="s">
        <v>101</v>
      </c>
      <c r="I19" s="839"/>
      <c r="J19" s="280"/>
      <c r="K19" s="280"/>
      <c r="L19" s="280"/>
      <c r="M19" s="280"/>
      <c r="N19" s="280"/>
      <c r="O19" s="280"/>
      <c r="P19" s="280"/>
      <c r="Q19" s="280"/>
    </row>
    <row r="20" spans="1:20" ht="19.95" customHeight="1">
      <c r="A20" s="123" t="s">
        <v>936</v>
      </c>
      <c r="B20" s="147"/>
      <c r="C20" s="147"/>
      <c r="D20" s="147"/>
      <c r="E20" s="147"/>
      <c r="F20" s="147"/>
      <c r="G20" s="147"/>
      <c r="H20" s="147"/>
      <c r="I20" s="326"/>
      <c r="J20" s="280"/>
      <c r="K20" s="280"/>
      <c r="L20" s="280"/>
      <c r="M20" s="280"/>
      <c r="N20" s="280"/>
      <c r="O20" s="280"/>
      <c r="P20" s="280"/>
      <c r="Q20" s="280"/>
    </row>
    <row r="21" spans="1:20" ht="19.95" customHeight="1">
      <c r="A21" s="123" t="s">
        <v>937</v>
      </c>
      <c r="B21" s="449"/>
      <c r="C21" s="449"/>
      <c r="D21" s="449"/>
      <c r="E21" s="449"/>
      <c r="F21" s="449"/>
      <c r="G21" s="449"/>
      <c r="H21" s="449"/>
      <c r="I21" s="326"/>
      <c r="J21" s="280"/>
      <c r="K21" s="280"/>
      <c r="L21" s="280"/>
      <c r="M21" s="280"/>
      <c r="N21" s="280"/>
      <c r="O21" s="280"/>
      <c r="P21" s="280"/>
      <c r="Q21" s="280"/>
    </row>
    <row r="22" spans="1:20" ht="19.95" customHeight="1">
      <c r="A22" s="123" t="s">
        <v>938</v>
      </c>
      <c r="B22" s="128">
        <f>B20*B21</f>
        <v>0</v>
      </c>
      <c r="C22" s="128">
        <f t="shared" ref="C22:I22" si="0">C20*C21</f>
        <v>0</v>
      </c>
      <c r="D22" s="128">
        <f t="shared" si="0"/>
        <v>0</v>
      </c>
      <c r="E22" s="128">
        <f t="shared" si="0"/>
        <v>0</v>
      </c>
      <c r="F22" s="128">
        <f t="shared" si="0"/>
        <v>0</v>
      </c>
      <c r="G22" s="128">
        <f t="shared" si="0"/>
        <v>0</v>
      </c>
      <c r="H22" s="128">
        <f t="shared" si="0"/>
        <v>0</v>
      </c>
      <c r="I22" s="128">
        <f t="shared" si="0"/>
        <v>0</v>
      </c>
      <c r="J22" s="280"/>
      <c r="K22" s="280"/>
      <c r="L22" s="280"/>
      <c r="M22" s="280"/>
      <c r="N22" s="280"/>
      <c r="O22" s="280"/>
      <c r="P22" s="280"/>
      <c r="Q22" s="280"/>
    </row>
    <row r="23" spans="1:20" ht="19.95" customHeight="1">
      <c r="A23" s="124" t="s">
        <v>939</v>
      </c>
      <c r="B23" s="128">
        <f>SUM(B22:I22)</f>
        <v>0</v>
      </c>
      <c r="C23" s="371"/>
      <c r="D23" s="371"/>
      <c r="E23" s="371"/>
      <c r="F23" s="371"/>
      <c r="G23" s="326"/>
      <c r="H23" s="326"/>
      <c r="I23" s="326"/>
      <c r="J23" s="280"/>
      <c r="K23" s="280"/>
      <c r="L23" s="280"/>
      <c r="M23" s="280"/>
      <c r="N23" s="280"/>
      <c r="O23" s="280"/>
      <c r="P23" s="280"/>
      <c r="Q23" s="280"/>
    </row>
    <row r="24" spans="1:20" ht="19.95" customHeight="1">
      <c r="A24" s="123" t="s">
        <v>940</v>
      </c>
      <c r="B24" s="449"/>
      <c r="C24" s="449"/>
      <c r="D24" s="449"/>
      <c r="E24" s="449"/>
      <c r="F24" s="449"/>
      <c r="G24" s="449"/>
      <c r="H24" s="449"/>
      <c r="I24" s="326"/>
      <c r="J24" s="280"/>
      <c r="K24" s="280"/>
      <c r="L24" s="280"/>
      <c r="M24" s="280"/>
      <c r="N24" s="280"/>
      <c r="O24" s="280"/>
      <c r="P24" s="280"/>
      <c r="Q24" s="280"/>
    </row>
    <row r="25" spans="1:20" ht="19.95" customHeight="1">
      <c r="A25" s="123" t="s">
        <v>941</v>
      </c>
      <c r="B25" s="128">
        <f>B20*B24</f>
        <v>0</v>
      </c>
      <c r="C25" s="128">
        <f t="shared" ref="C25:I25" si="1">C20*C24</f>
        <v>0</v>
      </c>
      <c r="D25" s="128">
        <f t="shared" si="1"/>
        <v>0</v>
      </c>
      <c r="E25" s="128">
        <f t="shared" si="1"/>
        <v>0</v>
      </c>
      <c r="F25" s="128">
        <f t="shared" si="1"/>
        <v>0</v>
      </c>
      <c r="G25" s="128">
        <f t="shared" si="1"/>
        <v>0</v>
      </c>
      <c r="H25" s="128">
        <f t="shared" si="1"/>
        <v>0</v>
      </c>
      <c r="I25" s="128">
        <f t="shared" si="1"/>
        <v>0</v>
      </c>
      <c r="J25" s="280"/>
      <c r="K25" s="280"/>
      <c r="L25" s="280"/>
      <c r="M25" s="280"/>
      <c r="N25" s="280"/>
      <c r="O25" s="280"/>
      <c r="P25" s="280"/>
      <c r="Q25" s="280"/>
    </row>
    <row r="26" spans="1:20" ht="19.95" customHeight="1">
      <c r="A26" s="124" t="s">
        <v>942</v>
      </c>
      <c r="B26" s="128">
        <f>SUM(B25:I25)</f>
        <v>0</v>
      </c>
      <c r="C26" s="371"/>
      <c r="D26" s="371"/>
      <c r="E26" s="371"/>
      <c r="F26" s="371"/>
      <c r="G26" s="326"/>
      <c r="H26" s="326"/>
      <c r="I26" s="326"/>
      <c r="J26" s="280"/>
      <c r="K26" s="280"/>
      <c r="L26" s="280"/>
      <c r="M26" s="280"/>
      <c r="N26" s="280"/>
      <c r="O26" s="280"/>
      <c r="P26" s="280"/>
      <c r="Q26" s="280"/>
    </row>
    <row r="27" spans="1:20" ht="19.95" customHeight="1">
      <c r="A27" s="124" t="s">
        <v>943</v>
      </c>
      <c r="B27" s="101"/>
      <c r="C27" s="101"/>
      <c r="D27" s="101"/>
      <c r="E27" s="101"/>
      <c r="F27" s="101"/>
      <c r="G27" s="101"/>
      <c r="H27" s="101"/>
      <c r="I27" s="326"/>
      <c r="J27" s="280"/>
      <c r="K27" s="280"/>
      <c r="L27" s="280"/>
      <c r="M27" s="280"/>
      <c r="N27" s="280"/>
      <c r="O27" s="280"/>
      <c r="P27" s="280"/>
      <c r="Q27" s="280"/>
    </row>
    <row r="28" spans="1:20" ht="19.95" customHeight="1">
      <c r="A28" s="124" t="s">
        <v>944</v>
      </c>
      <c r="B28" s="101"/>
      <c r="C28" s="371"/>
      <c r="D28" s="371"/>
      <c r="E28" s="373"/>
      <c r="F28" s="371"/>
      <c r="G28" s="326"/>
      <c r="H28" s="326"/>
      <c r="I28" s="326"/>
      <c r="J28" s="280"/>
      <c r="K28" s="280"/>
      <c r="L28" s="280"/>
      <c r="M28" s="280"/>
      <c r="N28" s="280"/>
      <c r="O28" s="280"/>
      <c r="P28" s="280"/>
      <c r="Q28" s="280"/>
    </row>
    <row r="29" spans="1:20" ht="19.95" customHeight="1">
      <c r="A29" s="124" t="s">
        <v>945</v>
      </c>
      <c r="B29" s="128">
        <f>B27+B28</f>
        <v>0</v>
      </c>
      <c r="C29" s="371"/>
      <c r="D29" s="371"/>
      <c r="E29" s="373"/>
      <c r="F29" s="371"/>
      <c r="G29" s="326"/>
      <c r="H29" s="326"/>
      <c r="I29" s="326"/>
      <c r="J29" s="280"/>
      <c r="K29" s="280"/>
      <c r="L29" s="280"/>
      <c r="M29" s="280"/>
      <c r="N29" s="280"/>
      <c r="O29" s="280"/>
      <c r="P29" s="280"/>
      <c r="Q29" s="280"/>
    </row>
    <row r="30" spans="1:20" ht="19.95" customHeight="1">
      <c r="A30" s="124" t="s">
        <v>946</v>
      </c>
      <c r="B30" s="101"/>
      <c r="C30" s="371"/>
      <c r="D30" s="371"/>
      <c r="E30" s="371"/>
      <c r="F30" s="371"/>
      <c r="G30" s="326"/>
      <c r="H30" s="326"/>
      <c r="I30" s="326"/>
      <c r="J30" s="280"/>
      <c r="K30" s="280"/>
      <c r="L30" s="280"/>
      <c r="M30" s="280"/>
      <c r="N30" s="280"/>
      <c r="O30" s="280"/>
      <c r="P30" s="280"/>
      <c r="Q30" s="280"/>
    </row>
    <row r="31" spans="1:20" s="308" customFormat="1" ht="19.95" customHeight="1">
      <c r="A31" s="678" t="s">
        <v>1217</v>
      </c>
      <c r="B31" s="679"/>
      <c r="C31" s="680"/>
      <c r="D31" s="680"/>
      <c r="E31" s="680"/>
      <c r="F31" s="680"/>
      <c r="G31" s="681"/>
      <c r="H31" s="681"/>
      <c r="I31" s="681"/>
      <c r="J31" s="681"/>
      <c r="K31" s="681"/>
      <c r="L31" s="681"/>
      <c r="M31" s="665"/>
      <c r="N31" s="665"/>
      <c r="O31" s="665"/>
      <c r="P31" s="665"/>
      <c r="Q31" s="665"/>
      <c r="R31" s="665"/>
      <c r="S31" s="665"/>
      <c r="T31" s="665"/>
    </row>
    <row r="32" spans="1:20" ht="19.95" customHeight="1">
      <c r="A32" s="374" t="s">
        <v>175</v>
      </c>
      <c r="B32" s="369" t="s">
        <v>947</v>
      </c>
      <c r="C32" s="331"/>
      <c r="D32" s="331"/>
      <c r="E32" s="331"/>
      <c r="F32" s="331"/>
      <c r="G32" s="372"/>
      <c r="H32" s="372"/>
      <c r="I32" s="372"/>
      <c r="J32" s="372"/>
      <c r="K32" s="372"/>
      <c r="L32" s="372"/>
      <c r="M32" s="280"/>
      <c r="N32" s="280"/>
      <c r="O32" s="280"/>
      <c r="P32" s="280"/>
      <c r="Q32" s="280"/>
      <c r="R32" s="280"/>
      <c r="S32" s="280"/>
      <c r="T32" s="280"/>
    </row>
    <row r="33" spans="1:20" ht="19.95" customHeight="1">
      <c r="A33" s="123" t="s">
        <v>948</v>
      </c>
      <c r="B33" s="128">
        <f>SUM(B20:I20)</f>
        <v>0</v>
      </c>
      <c r="C33" s="331"/>
      <c r="D33" s="331"/>
      <c r="E33" s="331"/>
      <c r="F33" s="331"/>
      <c r="G33" s="372"/>
      <c r="H33" s="372"/>
      <c r="I33" s="372"/>
      <c r="J33" s="372"/>
      <c r="K33" s="372"/>
      <c r="L33" s="372"/>
      <c r="M33" s="280"/>
      <c r="N33" s="280"/>
      <c r="O33" s="280"/>
      <c r="P33" s="280"/>
      <c r="Q33" s="280"/>
      <c r="R33" s="280"/>
      <c r="S33" s="280"/>
      <c r="T33" s="280"/>
    </row>
    <row r="34" spans="1:20" ht="19.95" customHeight="1">
      <c r="A34" s="124" t="s">
        <v>949</v>
      </c>
      <c r="B34" s="128">
        <f>B28</f>
        <v>0</v>
      </c>
      <c r="C34" s="331"/>
      <c r="D34" s="331"/>
      <c r="E34" s="331"/>
      <c r="F34" s="331"/>
      <c r="G34" s="372"/>
      <c r="H34" s="372"/>
      <c r="I34" s="372"/>
      <c r="J34" s="372"/>
      <c r="K34" s="372"/>
      <c r="L34" s="372"/>
      <c r="M34" s="280"/>
      <c r="N34" s="280"/>
      <c r="O34" s="280"/>
      <c r="P34" s="280"/>
      <c r="Q34" s="280"/>
      <c r="R34" s="280"/>
      <c r="S34" s="280"/>
      <c r="T34" s="280"/>
    </row>
    <row r="35" spans="1:20" ht="19.95" customHeight="1">
      <c r="A35" s="123" t="s">
        <v>950</v>
      </c>
      <c r="B35" s="128">
        <f>B33+B34</f>
        <v>0</v>
      </c>
      <c r="C35" s="331"/>
      <c r="D35" s="331"/>
      <c r="E35" s="331"/>
      <c r="F35" s="331"/>
      <c r="G35" s="372"/>
      <c r="H35" s="372"/>
      <c r="I35" s="372"/>
      <c r="J35" s="372"/>
      <c r="K35" s="372"/>
      <c r="L35" s="372"/>
      <c r="M35" s="280"/>
      <c r="N35" s="280"/>
      <c r="O35" s="280"/>
      <c r="P35" s="280"/>
      <c r="Q35" s="280"/>
      <c r="R35" s="280"/>
      <c r="S35" s="280"/>
      <c r="T35" s="280"/>
    </row>
    <row r="36" spans="1:20" ht="19.95" customHeight="1">
      <c r="A36" s="123" t="s">
        <v>951</v>
      </c>
      <c r="B36" s="128">
        <f>B35-B29</f>
        <v>0</v>
      </c>
      <c r="C36" s="331"/>
      <c r="D36" s="331"/>
      <c r="E36" s="331"/>
      <c r="F36" s="331"/>
      <c r="G36" s="372"/>
      <c r="H36" s="372"/>
      <c r="I36" s="372"/>
      <c r="J36" s="372"/>
      <c r="K36" s="372"/>
      <c r="L36" s="372"/>
      <c r="M36" s="280"/>
      <c r="N36" s="280"/>
      <c r="O36" s="280"/>
      <c r="P36" s="280"/>
      <c r="Q36" s="280"/>
      <c r="R36" s="280"/>
      <c r="S36" s="280"/>
      <c r="T36" s="280"/>
    </row>
    <row r="37" spans="1:20" s="308" customFormat="1" ht="19.95" customHeight="1">
      <c r="A37" s="678" t="s">
        <v>1255</v>
      </c>
      <c r="B37" s="682"/>
      <c r="C37" s="680"/>
      <c r="D37" s="680"/>
      <c r="E37" s="680"/>
      <c r="F37" s="680"/>
      <c r="G37" s="681"/>
      <c r="H37" s="681"/>
      <c r="I37" s="681"/>
      <c r="J37" s="681"/>
      <c r="K37" s="681"/>
      <c r="L37" s="681"/>
      <c r="M37" s="665"/>
      <c r="N37" s="665"/>
      <c r="O37" s="665"/>
      <c r="P37" s="665"/>
      <c r="Q37" s="665"/>
      <c r="R37" s="665"/>
      <c r="S37" s="665"/>
      <c r="T37" s="665"/>
    </row>
    <row r="38" spans="1:20" s="20" customFormat="1" ht="24">
      <c r="A38" s="375" t="s">
        <v>952</v>
      </c>
      <c r="B38" s="369" t="s">
        <v>953</v>
      </c>
      <c r="C38" s="369" t="s">
        <v>954</v>
      </c>
      <c r="D38" s="369" t="s">
        <v>955</v>
      </c>
      <c r="E38" s="369" t="s">
        <v>956</v>
      </c>
      <c r="F38" s="362"/>
      <c r="G38" s="362"/>
      <c r="H38" s="362"/>
      <c r="I38" s="362"/>
      <c r="J38" s="360"/>
      <c r="K38" s="360"/>
      <c r="L38" s="360"/>
      <c r="M38" s="360"/>
      <c r="N38" s="360"/>
      <c r="O38" s="360"/>
      <c r="P38" s="360"/>
      <c r="Q38" s="360"/>
    </row>
    <row r="39" spans="1:20" ht="27.6">
      <c r="A39" s="376" t="s">
        <v>957</v>
      </c>
      <c r="B39" s="369" t="s">
        <v>800</v>
      </c>
      <c r="C39" s="369" t="s">
        <v>958</v>
      </c>
      <c r="D39" s="369" t="s">
        <v>959</v>
      </c>
      <c r="E39" s="369" t="s">
        <v>960</v>
      </c>
      <c r="F39" s="362"/>
      <c r="G39" s="362"/>
      <c r="H39" s="362"/>
      <c r="I39" s="362"/>
      <c r="J39" s="280"/>
      <c r="K39" s="280"/>
      <c r="L39" s="280"/>
      <c r="M39" s="280"/>
      <c r="N39" s="280"/>
      <c r="O39" s="280"/>
      <c r="P39" s="280"/>
      <c r="Q39" s="280"/>
    </row>
    <row r="40" spans="1:20" ht="19.95" customHeight="1">
      <c r="A40" s="123" t="s">
        <v>961</v>
      </c>
      <c r="B40" s="292"/>
      <c r="C40" s="292"/>
      <c r="D40" s="292"/>
      <c r="E40" s="128">
        <f>B27</f>
        <v>0</v>
      </c>
      <c r="F40" s="362"/>
      <c r="G40" s="362"/>
      <c r="H40" s="362"/>
      <c r="I40" s="362"/>
      <c r="J40" s="280"/>
      <c r="K40" s="280"/>
      <c r="L40" s="280"/>
      <c r="M40" s="280"/>
      <c r="N40" s="280"/>
      <c r="O40" s="280"/>
      <c r="P40" s="280"/>
      <c r="Q40" s="280"/>
    </row>
    <row r="41" spans="1:20" ht="19.95" customHeight="1">
      <c r="A41" s="123" t="s">
        <v>962</v>
      </c>
      <c r="B41" s="128">
        <f>C20</f>
        <v>0</v>
      </c>
      <c r="C41" s="128">
        <f>E40*$C$31</f>
        <v>0</v>
      </c>
      <c r="D41" s="128">
        <f>B41-C41</f>
        <v>0</v>
      </c>
      <c r="E41" s="128">
        <f t="shared" ref="E41:E46" si="2">E40-D41</f>
        <v>0</v>
      </c>
      <c r="F41" s="362"/>
      <c r="G41" s="362"/>
      <c r="H41" s="362"/>
      <c r="I41" s="362"/>
      <c r="J41" s="280"/>
      <c r="K41" s="280"/>
      <c r="L41" s="280"/>
      <c r="M41" s="280"/>
      <c r="N41" s="280"/>
      <c r="O41" s="280"/>
      <c r="P41" s="280"/>
      <c r="Q41" s="280"/>
    </row>
    <row r="42" spans="1:20" ht="19.95" customHeight="1">
      <c r="A42" s="123" t="s">
        <v>963</v>
      </c>
      <c r="B42" s="128">
        <f>D20</f>
        <v>0</v>
      </c>
      <c r="C42" s="128">
        <f>E41*$C$31</f>
        <v>0</v>
      </c>
      <c r="D42" s="128">
        <f>B42-C42</f>
        <v>0</v>
      </c>
      <c r="E42" s="128">
        <f t="shared" si="2"/>
        <v>0</v>
      </c>
      <c r="F42" s="362"/>
      <c r="G42" s="362"/>
      <c r="H42" s="362"/>
      <c r="I42" s="362"/>
      <c r="J42" s="280"/>
      <c r="K42" s="280"/>
      <c r="L42" s="280"/>
      <c r="M42" s="280"/>
      <c r="N42" s="280"/>
      <c r="O42" s="280"/>
      <c r="P42" s="280"/>
      <c r="Q42" s="280"/>
    </row>
    <row r="43" spans="1:20" ht="19.95" customHeight="1">
      <c r="A43" s="123" t="s">
        <v>964</v>
      </c>
      <c r="B43" s="128">
        <f>E20</f>
        <v>0</v>
      </c>
      <c r="C43" s="128">
        <f>E42*$C$31</f>
        <v>0</v>
      </c>
      <c r="D43" s="128">
        <f>B43-C43</f>
        <v>0</v>
      </c>
      <c r="E43" s="128">
        <f t="shared" si="2"/>
        <v>0</v>
      </c>
      <c r="F43" s="362"/>
      <c r="G43" s="362"/>
      <c r="H43" s="362"/>
      <c r="I43" s="362"/>
      <c r="J43" s="280"/>
      <c r="K43" s="280"/>
      <c r="L43" s="280"/>
      <c r="M43" s="280"/>
      <c r="N43" s="280"/>
      <c r="O43" s="280"/>
      <c r="P43" s="280"/>
      <c r="Q43" s="280"/>
    </row>
    <row r="44" spans="1:20" ht="19.95" customHeight="1">
      <c r="A44" s="123" t="s">
        <v>965</v>
      </c>
      <c r="B44" s="128">
        <f>F20</f>
        <v>0</v>
      </c>
      <c r="C44" s="128">
        <f>E43*$C$31</f>
        <v>0</v>
      </c>
      <c r="D44" s="128">
        <f>B44-C44</f>
        <v>0</v>
      </c>
      <c r="E44" s="128">
        <f t="shared" si="2"/>
        <v>0</v>
      </c>
      <c r="F44" s="362"/>
      <c r="G44" s="362"/>
      <c r="H44" s="362"/>
      <c r="I44" s="362"/>
      <c r="J44" s="280"/>
      <c r="K44" s="280"/>
      <c r="L44" s="280"/>
      <c r="M44" s="280"/>
      <c r="N44" s="280"/>
      <c r="O44" s="280"/>
      <c r="P44" s="280"/>
      <c r="Q44" s="280"/>
    </row>
    <row r="45" spans="1:20" ht="19.95" customHeight="1">
      <c r="A45" s="123" t="s">
        <v>966</v>
      </c>
      <c r="B45" s="128">
        <f>G20</f>
        <v>0</v>
      </c>
      <c r="C45" s="128">
        <f>E44*$C$31</f>
        <v>0</v>
      </c>
      <c r="D45" s="128">
        <f>B45-C45</f>
        <v>0</v>
      </c>
      <c r="E45" s="128">
        <f t="shared" si="2"/>
        <v>0</v>
      </c>
      <c r="F45" s="362"/>
      <c r="G45" s="362"/>
      <c r="H45" s="362"/>
      <c r="I45" s="362"/>
      <c r="J45" s="280"/>
      <c r="K45" s="280"/>
      <c r="L45" s="280"/>
      <c r="M45" s="280"/>
      <c r="N45" s="280"/>
      <c r="O45" s="280"/>
      <c r="P45" s="280"/>
      <c r="Q45" s="280"/>
    </row>
    <row r="46" spans="1:20" ht="19.95" customHeight="1">
      <c r="A46" s="124" t="s">
        <v>101</v>
      </c>
      <c r="B46" s="292"/>
      <c r="C46" s="128">
        <f>B46-D46</f>
        <v>0</v>
      </c>
      <c r="D46" s="128">
        <f>E45</f>
        <v>0</v>
      </c>
      <c r="E46" s="128">
        <f t="shared" si="2"/>
        <v>0</v>
      </c>
      <c r="F46" s="362"/>
      <c r="G46" s="362"/>
      <c r="H46" s="362"/>
      <c r="I46" s="362"/>
      <c r="J46" s="280"/>
      <c r="K46" s="280"/>
      <c r="L46" s="280"/>
      <c r="M46" s="280"/>
      <c r="N46" s="280"/>
      <c r="O46" s="280"/>
      <c r="P46" s="280"/>
      <c r="Q46" s="280"/>
    </row>
    <row r="47" spans="1:20" ht="19.95" customHeight="1">
      <c r="A47" s="124" t="s">
        <v>427</v>
      </c>
      <c r="B47" s="128">
        <f>SUM(B41:B46)</f>
        <v>0</v>
      </c>
      <c r="C47" s="292"/>
      <c r="D47" s="292"/>
      <c r="E47" s="292"/>
      <c r="F47" s="362"/>
      <c r="G47" s="362"/>
      <c r="H47" s="362"/>
      <c r="I47" s="362"/>
      <c r="J47" s="280"/>
      <c r="K47" s="280"/>
      <c r="L47" s="280"/>
      <c r="M47" s="280"/>
      <c r="N47" s="280"/>
      <c r="O47" s="280"/>
      <c r="P47" s="280"/>
      <c r="Q47" s="280"/>
    </row>
    <row r="48" spans="1:20" ht="19.95" customHeight="1">
      <c r="A48" s="57" t="s">
        <v>839</v>
      </c>
      <c r="B48" s="57"/>
      <c r="C48" s="57"/>
      <c r="D48" s="57"/>
      <c r="E48" s="57"/>
      <c r="F48" s="57"/>
      <c r="G48" s="361"/>
      <c r="H48" s="361"/>
      <c r="I48" s="362"/>
      <c r="J48" s="362"/>
      <c r="K48" s="362"/>
      <c r="L48" s="362"/>
      <c r="M48" s="280"/>
      <c r="N48" s="280"/>
      <c r="O48" s="280"/>
      <c r="P48" s="280"/>
      <c r="Q48" s="280"/>
      <c r="R48" s="280"/>
      <c r="S48" s="280"/>
      <c r="T48" s="280"/>
    </row>
    <row r="49" spans="1:17" ht="19.95" customHeight="1">
      <c r="A49" s="60">
        <v>1</v>
      </c>
      <c r="B49" s="329" t="s">
        <v>967</v>
      </c>
      <c r="C49" s="60"/>
      <c r="D49" s="60"/>
      <c r="E49" s="60"/>
      <c r="F49" s="60"/>
      <c r="G49" s="2"/>
      <c r="H49" s="361"/>
      <c r="I49" s="361"/>
      <c r="J49" s="361"/>
      <c r="K49" s="361"/>
      <c r="L49" s="361"/>
      <c r="M49" s="328"/>
      <c r="N49" s="328"/>
      <c r="O49" s="328"/>
      <c r="P49" s="328"/>
      <c r="Q49" s="328"/>
    </row>
    <row r="50" spans="1:17" ht="19.95" customHeight="1">
      <c r="A50" s="60">
        <v>2</v>
      </c>
      <c r="B50" s="329" t="s">
        <v>968</v>
      </c>
      <c r="G50" s="2"/>
      <c r="H50" s="362"/>
      <c r="I50" s="362"/>
      <c r="J50" s="362"/>
      <c r="K50" s="362"/>
      <c r="L50" s="362"/>
      <c r="M50" s="330"/>
      <c r="N50" s="330"/>
      <c r="O50" s="330"/>
      <c r="P50" s="330"/>
      <c r="Q50" s="330"/>
    </row>
    <row r="51" spans="1:17" ht="19.95" customHeight="1">
      <c r="A51" s="60">
        <v>3</v>
      </c>
      <c r="B51" s="329" t="s">
        <v>969</v>
      </c>
      <c r="C51" s="328"/>
      <c r="D51" s="328"/>
      <c r="E51" s="328"/>
      <c r="F51" s="328"/>
      <c r="G51" s="2"/>
      <c r="H51" s="361"/>
      <c r="I51" s="361"/>
      <c r="J51" s="361"/>
      <c r="K51" s="361"/>
      <c r="L51" s="361"/>
      <c r="M51" s="328"/>
      <c r="N51" s="328"/>
      <c r="O51" s="328"/>
      <c r="P51" s="328"/>
      <c r="Q51" s="328"/>
    </row>
    <row r="52" spans="1:17" ht="19.95" customHeight="1">
      <c r="A52" s="60">
        <v>4</v>
      </c>
      <c r="B52" s="329" t="s">
        <v>970</v>
      </c>
      <c r="C52" s="60"/>
      <c r="D52" s="60"/>
      <c r="E52" s="60"/>
      <c r="F52" s="60"/>
      <c r="G52" s="2"/>
      <c r="H52" s="362"/>
      <c r="I52" s="362"/>
      <c r="J52" s="362"/>
      <c r="K52" s="362"/>
      <c r="L52" s="362"/>
      <c r="M52" s="330"/>
      <c r="N52" s="330"/>
      <c r="O52" s="330"/>
      <c r="P52" s="330"/>
      <c r="Q52" s="330"/>
    </row>
    <row r="53" spans="1:17" ht="19.95" customHeight="1">
      <c r="A53" s="57" t="s">
        <v>841</v>
      </c>
      <c r="B53" s="57"/>
      <c r="C53" s="57"/>
      <c r="D53" s="57"/>
      <c r="E53" s="57"/>
      <c r="F53" s="57"/>
      <c r="G53" s="363"/>
      <c r="H53" s="362"/>
      <c r="I53" s="362"/>
      <c r="J53" s="362"/>
      <c r="K53" s="362"/>
      <c r="L53" s="362"/>
      <c r="M53" s="330"/>
      <c r="N53" s="330"/>
      <c r="O53" s="330"/>
      <c r="P53" s="330"/>
      <c r="Q53" s="330"/>
    </row>
    <row r="54" spans="1:17" ht="19.95" customHeight="1">
      <c r="A54" s="60"/>
      <c r="B54" s="60"/>
      <c r="C54" s="60"/>
      <c r="D54" s="60"/>
      <c r="E54" s="60"/>
      <c r="F54" s="60"/>
      <c r="G54" s="363"/>
      <c r="H54" s="362"/>
      <c r="I54" s="362"/>
      <c r="J54" s="362"/>
      <c r="K54" s="362"/>
      <c r="L54" s="362"/>
      <c r="M54" s="330"/>
      <c r="N54" s="330"/>
      <c r="O54" s="330"/>
      <c r="P54" s="330"/>
      <c r="Q54" s="330"/>
    </row>
    <row r="55" spans="1:17" ht="19.95" customHeight="1">
      <c r="A55" s="60"/>
      <c r="B55" s="60"/>
      <c r="C55" s="60"/>
      <c r="D55" s="60"/>
      <c r="E55" s="60"/>
      <c r="F55" s="60"/>
      <c r="G55" s="363"/>
      <c r="H55" s="362"/>
      <c r="I55" s="362"/>
      <c r="J55" s="362"/>
      <c r="K55" s="362"/>
      <c r="L55" s="362"/>
      <c r="M55" s="330"/>
      <c r="N55" s="330"/>
      <c r="O55" s="330"/>
      <c r="P55" s="330"/>
      <c r="Q55" s="330"/>
    </row>
    <row r="56" spans="1:17" ht="19.95" customHeight="1">
      <c r="A56" s="57"/>
      <c r="B56" s="57"/>
      <c r="C56" s="57"/>
      <c r="D56" s="57"/>
      <c r="E56" s="57"/>
      <c r="F56" s="57"/>
      <c r="G56" s="364"/>
      <c r="H56" s="364"/>
      <c r="I56" s="364"/>
      <c r="J56" s="364"/>
      <c r="K56" s="364"/>
      <c r="L56" s="364"/>
      <c r="M56" s="332"/>
      <c r="N56" s="332"/>
      <c r="O56" s="332"/>
      <c r="P56" s="332"/>
      <c r="Q56" s="332"/>
    </row>
    <row r="57" spans="1:17" ht="19.95" customHeight="1">
      <c r="A57" s="332"/>
      <c r="B57" s="332"/>
      <c r="C57" s="332"/>
      <c r="D57" s="332"/>
      <c r="E57" s="332"/>
      <c r="F57" s="332"/>
      <c r="G57" s="364"/>
      <c r="H57" s="364"/>
      <c r="I57" s="364"/>
      <c r="J57" s="364"/>
      <c r="K57" s="364"/>
      <c r="L57" s="364"/>
      <c r="M57" s="332"/>
      <c r="N57" s="332"/>
      <c r="O57" s="332"/>
      <c r="P57" s="332"/>
      <c r="Q57" s="332"/>
    </row>
    <row r="58" spans="1:17" ht="19.95" customHeight="1">
      <c r="A58" s="332"/>
      <c r="B58" s="332"/>
      <c r="C58" s="332"/>
      <c r="D58" s="332"/>
      <c r="E58" s="332"/>
      <c r="F58" s="332"/>
      <c r="G58" s="364"/>
      <c r="H58" s="364"/>
      <c r="I58" s="364"/>
      <c r="J58" s="364"/>
      <c r="K58" s="364"/>
      <c r="L58" s="364"/>
      <c r="M58" s="332"/>
      <c r="N58" s="332"/>
      <c r="O58" s="332"/>
      <c r="P58" s="332"/>
      <c r="Q58" s="332"/>
    </row>
    <row r="59" spans="1:17" ht="19.95" customHeight="1">
      <c r="A59" s="332"/>
      <c r="B59" s="332"/>
      <c r="C59" s="332"/>
      <c r="D59" s="332"/>
      <c r="E59" s="332"/>
      <c r="F59" s="332"/>
      <c r="G59" s="364"/>
      <c r="H59" s="364"/>
      <c r="I59" s="364"/>
      <c r="J59" s="364"/>
      <c r="K59" s="364"/>
      <c r="L59" s="364"/>
      <c r="M59" s="332"/>
      <c r="N59" s="332"/>
      <c r="O59" s="332"/>
      <c r="P59" s="332"/>
      <c r="Q59" s="332"/>
    </row>
    <row r="60" spans="1:17" ht="19.95" customHeight="1">
      <c r="A60" s="365"/>
      <c r="B60" s="332"/>
      <c r="C60" s="332"/>
      <c r="D60" s="332"/>
      <c r="E60" s="332"/>
      <c r="F60" s="332"/>
      <c r="G60" s="364"/>
      <c r="H60" s="364"/>
      <c r="I60" s="364"/>
      <c r="J60" s="364"/>
      <c r="K60" s="364"/>
      <c r="L60" s="364"/>
      <c r="M60" s="332"/>
      <c r="N60" s="332"/>
      <c r="O60" s="332"/>
      <c r="P60" s="332"/>
      <c r="Q60" s="332"/>
    </row>
    <row r="61" spans="1:17" ht="19.95" customHeight="1">
      <c r="A61" s="335"/>
      <c r="B61" s="368"/>
      <c r="C61" s="332"/>
      <c r="D61" s="332"/>
      <c r="E61" s="332"/>
      <c r="F61" s="332"/>
      <c r="G61" s="364"/>
      <c r="H61" s="364"/>
      <c r="I61" s="364"/>
      <c r="J61" s="364"/>
      <c r="K61" s="364"/>
      <c r="L61" s="364"/>
      <c r="M61" s="332"/>
      <c r="N61" s="332"/>
      <c r="O61" s="332"/>
      <c r="P61" s="332"/>
      <c r="Q61" s="332"/>
    </row>
    <row r="62" spans="1:17" ht="19.95" customHeight="1">
      <c r="A62" s="335"/>
      <c r="C62" s="332"/>
      <c r="D62" s="332"/>
      <c r="E62" s="332"/>
      <c r="F62" s="332"/>
      <c r="G62" s="364"/>
      <c r="H62" s="364"/>
      <c r="I62" s="364"/>
      <c r="J62" s="364"/>
      <c r="K62" s="364"/>
      <c r="L62" s="364"/>
      <c r="M62" s="332"/>
      <c r="N62" s="332"/>
      <c r="O62" s="332"/>
      <c r="P62" s="332"/>
      <c r="Q62" s="332"/>
    </row>
    <row r="63" spans="1:17" ht="19.95" customHeight="1">
      <c r="A63" s="335"/>
      <c r="B63" s="368"/>
      <c r="C63" s="332"/>
      <c r="D63" s="332"/>
      <c r="E63" s="332"/>
      <c r="F63" s="332"/>
      <c r="G63" s="364"/>
      <c r="H63" s="364"/>
      <c r="I63" s="364"/>
      <c r="J63" s="364"/>
      <c r="K63" s="364"/>
      <c r="L63" s="364"/>
      <c r="M63" s="332"/>
      <c r="N63" s="332"/>
      <c r="O63" s="332"/>
      <c r="P63" s="332"/>
      <c r="Q63" s="332"/>
    </row>
    <row r="64" spans="1:17" ht="19.95" customHeight="1">
      <c r="A64" s="335"/>
      <c r="B64" s="332"/>
      <c r="C64" s="332"/>
      <c r="D64" s="332"/>
      <c r="E64" s="332"/>
      <c r="F64" s="332"/>
      <c r="G64" s="364"/>
      <c r="H64" s="364"/>
      <c r="I64" s="364"/>
      <c r="J64" s="364"/>
      <c r="K64" s="364"/>
      <c r="L64" s="364"/>
      <c r="M64" s="332"/>
      <c r="N64" s="332"/>
      <c r="O64" s="332"/>
      <c r="P64" s="332"/>
      <c r="Q64" s="332"/>
    </row>
    <row r="65" spans="1:17" ht="19.95" customHeight="1">
      <c r="A65" s="335"/>
      <c r="B65" s="332"/>
      <c r="C65" s="332"/>
      <c r="D65" s="332"/>
      <c r="E65" s="332"/>
      <c r="F65" s="332"/>
      <c r="G65" s="364"/>
      <c r="H65" s="364"/>
      <c r="I65" s="364"/>
      <c r="J65" s="364"/>
      <c r="K65" s="364"/>
      <c r="L65" s="364"/>
      <c r="M65" s="332"/>
      <c r="N65" s="332"/>
      <c r="O65" s="332"/>
      <c r="P65" s="332"/>
      <c r="Q65" s="332"/>
    </row>
    <row r="66" spans="1:17" ht="19.95" customHeight="1">
      <c r="A66" s="335"/>
      <c r="B66" s="332"/>
      <c r="C66" s="332"/>
      <c r="D66" s="332"/>
      <c r="E66" s="332"/>
      <c r="F66" s="332"/>
      <c r="G66" s="364"/>
      <c r="H66" s="364"/>
      <c r="I66" s="364"/>
      <c r="J66" s="364"/>
      <c r="K66" s="364"/>
      <c r="L66" s="364"/>
      <c r="M66" s="332"/>
      <c r="N66" s="332"/>
      <c r="O66" s="332"/>
      <c r="P66" s="332"/>
      <c r="Q66" s="332"/>
    </row>
    <row r="67" spans="1:17" ht="19.95" customHeight="1">
      <c r="B67" s="332"/>
      <c r="C67" s="332"/>
      <c r="D67" s="332"/>
      <c r="E67" s="332"/>
      <c r="F67" s="332"/>
      <c r="G67" s="364"/>
      <c r="H67" s="364"/>
      <c r="I67" s="364"/>
      <c r="J67" s="364"/>
      <c r="K67" s="364"/>
      <c r="L67" s="364"/>
      <c r="M67" s="332"/>
      <c r="N67" s="332"/>
      <c r="O67" s="332"/>
      <c r="P67" s="332"/>
      <c r="Q67" s="332"/>
    </row>
    <row r="68" spans="1:17" ht="19.95" customHeight="1">
      <c r="A68" s="332"/>
      <c r="B68" s="332"/>
      <c r="C68" s="332"/>
      <c r="D68" s="332"/>
      <c r="E68" s="332"/>
      <c r="F68" s="332"/>
      <c r="G68" s="364"/>
      <c r="H68" s="364"/>
      <c r="I68" s="364"/>
      <c r="J68" s="364"/>
      <c r="K68" s="364"/>
      <c r="L68" s="364"/>
      <c r="M68" s="332"/>
      <c r="N68" s="332"/>
      <c r="O68" s="332"/>
      <c r="P68" s="332"/>
      <c r="Q68" s="332"/>
    </row>
    <row r="69" spans="1:17" ht="19.95" customHeight="1">
      <c r="A69" s="332"/>
      <c r="B69" s="332"/>
      <c r="C69" s="332"/>
      <c r="D69" s="332"/>
      <c r="E69" s="332"/>
      <c r="F69" s="332"/>
      <c r="G69" s="364"/>
      <c r="H69" s="364"/>
      <c r="I69" s="364"/>
      <c r="J69" s="364"/>
      <c r="K69" s="364"/>
      <c r="L69" s="364"/>
      <c r="M69" s="332"/>
      <c r="N69" s="332"/>
      <c r="O69" s="332"/>
      <c r="P69" s="332"/>
      <c r="Q69" s="332"/>
    </row>
    <row r="70" spans="1:17" ht="19.95" customHeight="1">
      <c r="A70" s="332"/>
      <c r="B70" s="332"/>
      <c r="C70" s="332"/>
      <c r="D70" s="332"/>
      <c r="E70" s="332"/>
      <c r="F70" s="332"/>
      <c r="G70" s="364"/>
      <c r="H70" s="364"/>
      <c r="I70" s="364"/>
      <c r="J70" s="364"/>
      <c r="K70" s="364"/>
      <c r="L70" s="364"/>
      <c r="M70" s="332"/>
      <c r="N70" s="332"/>
      <c r="O70" s="332"/>
      <c r="P70" s="332"/>
      <c r="Q70" s="332"/>
    </row>
    <row r="71" spans="1:17" ht="19.95" customHeight="1">
      <c r="A71" s="332"/>
      <c r="B71" s="332"/>
      <c r="C71" s="332"/>
      <c r="D71" s="332"/>
      <c r="E71" s="332"/>
      <c r="F71" s="332"/>
      <c r="G71" s="364"/>
      <c r="H71" s="364"/>
      <c r="I71" s="364"/>
      <c r="J71" s="364"/>
      <c r="K71" s="364"/>
      <c r="L71" s="364"/>
      <c r="M71" s="332"/>
      <c r="N71" s="332"/>
      <c r="O71" s="332"/>
      <c r="P71" s="332"/>
      <c r="Q71" s="332"/>
    </row>
    <row r="72" spans="1:17" ht="19.95" customHeight="1">
      <c r="A72" s="332"/>
      <c r="B72" s="332"/>
      <c r="C72" s="332"/>
      <c r="D72" s="332"/>
      <c r="E72" s="332"/>
      <c r="F72" s="332"/>
      <c r="G72" s="364"/>
      <c r="H72" s="364"/>
      <c r="I72" s="364"/>
      <c r="J72" s="364"/>
      <c r="K72" s="364"/>
      <c r="L72" s="364"/>
      <c r="M72" s="332"/>
      <c r="N72" s="332"/>
      <c r="O72" s="332"/>
      <c r="P72" s="332"/>
      <c r="Q72" s="332"/>
    </row>
    <row r="73" spans="1:17" ht="19.95" customHeight="1">
      <c r="A73" s="332"/>
      <c r="B73" s="332"/>
      <c r="C73" s="332"/>
      <c r="D73" s="332"/>
      <c r="E73" s="332"/>
      <c r="F73" s="332"/>
      <c r="G73" s="364"/>
      <c r="H73" s="364"/>
      <c r="I73" s="364"/>
      <c r="J73" s="364"/>
      <c r="K73" s="364"/>
      <c r="L73" s="364"/>
      <c r="M73" s="332"/>
      <c r="N73" s="332"/>
      <c r="O73" s="332"/>
      <c r="P73" s="332"/>
      <c r="Q73" s="332"/>
    </row>
    <row r="74" spans="1:17" ht="19.95" customHeight="1">
      <c r="A74" s="332"/>
      <c r="B74" s="332"/>
      <c r="C74" s="332"/>
      <c r="D74" s="332"/>
      <c r="E74" s="332"/>
      <c r="F74" s="332"/>
      <c r="G74" s="364"/>
      <c r="H74" s="364"/>
      <c r="I74" s="364"/>
      <c r="J74" s="364"/>
      <c r="K74" s="364"/>
      <c r="L74" s="364"/>
      <c r="M74" s="332"/>
      <c r="N74" s="332"/>
      <c r="O74" s="332"/>
      <c r="P74" s="332"/>
      <c r="Q74" s="332"/>
    </row>
    <row r="75" spans="1:17" ht="19.95" customHeight="1">
      <c r="A75" s="332"/>
      <c r="B75" s="332"/>
      <c r="C75" s="332"/>
      <c r="D75" s="332"/>
      <c r="E75" s="332"/>
      <c r="F75" s="332"/>
      <c r="G75" s="364"/>
      <c r="H75" s="364"/>
      <c r="I75" s="364"/>
      <c r="J75" s="364"/>
      <c r="K75" s="364"/>
      <c r="L75" s="364"/>
      <c r="M75" s="332"/>
      <c r="N75" s="332"/>
      <c r="O75" s="332"/>
      <c r="P75" s="332"/>
      <c r="Q75" s="332"/>
    </row>
    <row r="76" spans="1:17" ht="19.95" customHeight="1">
      <c r="A76" s="332"/>
      <c r="B76" s="332"/>
      <c r="C76" s="332"/>
      <c r="D76" s="332"/>
      <c r="E76" s="332"/>
      <c r="F76" s="332"/>
      <c r="G76" s="364"/>
      <c r="H76" s="364"/>
      <c r="I76" s="364"/>
      <c r="J76" s="364"/>
      <c r="K76" s="364"/>
      <c r="L76" s="364"/>
      <c r="M76" s="332"/>
      <c r="N76" s="332"/>
      <c r="O76" s="332"/>
      <c r="P76" s="332"/>
      <c r="Q76" s="332"/>
    </row>
    <row r="77" spans="1:17" ht="19.95" customHeight="1">
      <c r="A77" s="332"/>
      <c r="B77" s="332"/>
      <c r="C77" s="332"/>
      <c r="D77" s="332"/>
      <c r="E77" s="332"/>
      <c r="F77" s="332"/>
      <c r="G77" s="364"/>
      <c r="H77" s="364"/>
      <c r="I77" s="364"/>
      <c r="J77" s="364"/>
      <c r="K77" s="364"/>
      <c r="L77" s="364"/>
      <c r="M77" s="332"/>
      <c r="N77" s="332"/>
      <c r="O77" s="332"/>
      <c r="P77" s="332"/>
      <c r="Q77" s="332"/>
    </row>
    <row r="78" spans="1:17" ht="19.95" customHeight="1">
      <c r="A78" s="332"/>
      <c r="B78" s="332"/>
      <c r="C78" s="332"/>
      <c r="D78" s="332"/>
      <c r="E78" s="332"/>
      <c r="F78" s="332"/>
      <c r="G78" s="364"/>
      <c r="H78" s="364"/>
      <c r="I78" s="364"/>
      <c r="J78" s="364"/>
      <c r="K78" s="364"/>
      <c r="L78" s="364"/>
      <c r="M78" s="332"/>
      <c r="N78" s="332"/>
      <c r="O78" s="332"/>
      <c r="P78" s="332"/>
      <c r="Q78" s="332"/>
    </row>
    <row r="79" spans="1:17" ht="19.95" customHeight="1">
      <c r="A79" s="332"/>
      <c r="B79" s="332"/>
      <c r="C79" s="332"/>
      <c r="D79" s="332"/>
      <c r="E79" s="332"/>
      <c r="F79" s="332"/>
      <c r="G79" s="364"/>
      <c r="H79" s="364"/>
      <c r="I79" s="364"/>
      <c r="J79" s="364"/>
      <c r="K79" s="364"/>
      <c r="L79" s="364"/>
      <c r="M79" s="332"/>
      <c r="N79" s="332"/>
      <c r="O79" s="332"/>
      <c r="P79" s="332"/>
      <c r="Q79" s="332"/>
    </row>
    <row r="80" spans="1:17" ht="19.95" customHeight="1">
      <c r="A80" s="332"/>
      <c r="B80" s="332"/>
      <c r="C80" s="332"/>
      <c r="D80" s="332"/>
      <c r="E80" s="332"/>
      <c r="F80" s="332"/>
      <c r="G80" s="364"/>
      <c r="H80" s="364"/>
      <c r="I80" s="364"/>
      <c r="J80" s="364"/>
      <c r="K80" s="364"/>
      <c r="L80" s="364"/>
      <c r="M80" s="332"/>
      <c r="N80" s="332"/>
      <c r="O80" s="332"/>
      <c r="P80" s="332"/>
      <c r="Q80" s="332"/>
    </row>
    <row r="81" spans="1:17" ht="19.95" customHeight="1">
      <c r="A81" s="332"/>
      <c r="B81" s="332"/>
      <c r="C81" s="332"/>
      <c r="D81" s="332"/>
      <c r="E81" s="332"/>
      <c r="F81" s="332"/>
      <c r="G81" s="364"/>
      <c r="H81" s="364"/>
      <c r="I81" s="364"/>
      <c r="J81" s="364"/>
      <c r="K81" s="364"/>
      <c r="L81" s="364"/>
      <c r="M81" s="332"/>
      <c r="N81" s="332"/>
      <c r="O81" s="332"/>
      <c r="P81" s="332"/>
      <c r="Q81" s="332"/>
    </row>
    <row r="82" spans="1:17" ht="19.95" customHeight="1">
      <c r="A82" s="332"/>
      <c r="B82" s="332"/>
      <c r="C82" s="332"/>
      <c r="D82" s="332"/>
      <c r="E82" s="332"/>
      <c r="F82" s="332"/>
      <c r="G82" s="364"/>
      <c r="H82" s="364"/>
      <c r="I82" s="364"/>
      <c r="J82" s="364"/>
      <c r="K82" s="364"/>
      <c r="L82" s="364"/>
      <c r="M82" s="332"/>
      <c r="N82" s="332"/>
      <c r="O82" s="332"/>
      <c r="P82" s="332"/>
      <c r="Q82" s="332"/>
    </row>
    <row r="83" spans="1:17" ht="19.95" customHeight="1">
      <c r="A83" s="332"/>
      <c r="B83" s="332"/>
      <c r="C83" s="332"/>
      <c r="D83" s="332"/>
      <c r="E83" s="332"/>
      <c r="F83" s="332"/>
      <c r="G83" s="364"/>
      <c r="H83" s="364"/>
      <c r="I83" s="364"/>
      <c r="J83" s="364"/>
      <c r="K83" s="364"/>
      <c r="L83" s="364"/>
      <c r="M83" s="332"/>
      <c r="N83" s="332"/>
      <c r="O83" s="332"/>
      <c r="P83" s="332"/>
      <c r="Q83" s="332"/>
    </row>
    <row r="84" spans="1:17" ht="19.95" customHeight="1">
      <c r="A84" s="332"/>
      <c r="B84" s="332"/>
      <c r="C84" s="332"/>
      <c r="D84" s="332"/>
      <c r="E84" s="332"/>
      <c r="F84" s="332"/>
      <c r="G84" s="364"/>
      <c r="H84" s="364"/>
      <c r="I84" s="364"/>
      <c r="J84" s="364"/>
      <c r="K84" s="364"/>
      <c r="L84" s="364"/>
      <c r="M84" s="332"/>
      <c r="N84" s="332"/>
      <c r="O84" s="332"/>
      <c r="P84" s="332"/>
      <c r="Q84" s="332"/>
    </row>
    <row r="85" spans="1:17" ht="19.95" customHeight="1">
      <c r="A85" s="332"/>
      <c r="B85" s="332"/>
      <c r="C85" s="332"/>
      <c r="D85" s="332"/>
      <c r="E85" s="332"/>
      <c r="F85" s="332"/>
      <c r="G85" s="364"/>
      <c r="H85" s="364"/>
      <c r="I85" s="364"/>
      <c r="J85" s="364"/>
      <c r="K85" s="364"/>
      <c r="L85" s="364"/>
      <c r="M85" s="332"/>
      <c r="N85" s="332"/>
      <c r="O85" s="332"/>
      <c r="P85" s="332"/>
      <c r="Q85" s="332"/>
    </row>
    <row r="86" spans="1:17" ht="19.95" customHeight="1">
      <c r="A86" s="332"/>
      <c r="B86" s="332"/>
      <c r="C86" s="332"/>
      <c r="D86" s="332"/>
      <c r="E86" s="332"/>
      <c r="F86" s="332"/>
      <c r="G86" s="364"/>
      <c r="H86" s="364"/>
      <c r="I86" s="364"/>
      <c r="J86" s="364"/>
      <c r="K86" s="364"/>
      <c r="L86" s="364"/>
      <c r="M86" s="332"/>
      <c r="N86" s="332"/>
      <c r="O86" s="332"/>
      <c r="P86" s="332"/>
      <c r="Q86" s="332"/>
    </row>
    <row r="87" spans="1:17" ht="19.95" customHeight="1">
      <c r="A87" s="332"/>
      <c r="B87" s="332"/>
      <c r="C87" s="332"/>
      <c r="D87" s="332"/>
      <c r="E87" s="332"/>
      <c r="F87" s="332"/>
      <c r="G87" s="364"/>
      <c r="H87" s="364"/>
      <c r="I87" s="364"/>
      <c r="J87" s="364"/>
      <c r="K87" s="364"/>
      <c r="L87" s="364"/>
      <c r="M87" s="332"/>
      <c r="N87" s="332"/>
      <c r="O87" s="332"/>
      <c r="P87" s="332"/>
      <c r="Q87" s="332"/>
    </row>
    <row r="88" spans="1:17" ht="19.95" customHeight="1">
      <c r="A88" s="332"/>
      <c r="B88" s="332"/>
      <c r="C88" s="332"/>
      <c r="D88" s="332"/>
      <c r="E88" s="332"/>
      <c r="F88" s="332"/>
      <c r="G88" s="364"/>
      <c r="H88" s="364"/>
      <c r="I88" s="364"/>
      <c r="J88" s="364"/>
      <c r="K88" s="364"/>
      <c r="L88" s="364"/>
      <c r="M88" s="332"/>
      <c r="N88" s="332"/>
      <c r="O88" s="332"/>
      <c r="P88" s="332"/>
      <c r="Q88" s="332"/>
    </row>
    <row r="89" spans="1:17" ht="19.95" customHeight="1">
      <c r="A89" s="332"/>
      <c r="B89" s="332"/>
      <c r="C89" s="332"/>
      <c r="D89" s="332"/>
      <c r="E89" s="332"/>
      <c r="F89" s="332"/>
      <c r="G89" s="364"/>
      <c r="H89" s="364"/>
      <c r="I89" s="364"/>
      <c r="J89" s="364"/>
      <c r="K89" s="364"/>
      <c r="L89" s="364"/>
      <c r="M89" s="332"/>
      <c r="N89" s="332"/>
      <c r="O89" s="332"/>
      <c r="P89" s="332"/>
      <c r="Q89" s="332"/>
    </row>
    <row r="90" spans="1:17" ht="19.95" customHeight="1">
      <c r="A90" s="332"/>
      <c r="B90" s="332"/>
      <c r="C90" s="332"/>
      <c r="D90" s="332"/>
      <c r="E90" s="332"/>
      <c r="F90" s="332"/>
      <c r="G90" s="364"/>
      <c r="H90" s="364"/>
      <c r="I90" s="364"/>
      <c r="J90" s="364"/>
      <c r="K90" s="364"/>
      <c r="L90" s="364"/>
      <c r="M90" s="332"/>
      <c r="N90" s="332"/>
      <c r="O90" s="332"/>
      <c r="P90" s="332"/>
      <c r="Q90" s="332"/>
    </row>
    <row r="91" spans="1:17" ht="19.95" customHeight="1">
      <c r="A91" s="332"/>
      <c r="B91" s="332"/>
      <c r="C91" s="332"/>
      <c r="D91" s="332"/>
      <c r="E91" s="332"/>
      <c r="F91" s="332"/>
      <c r="G91" s="364"/>
      <c r="H91" s="364"/>
      <c r="I91" s="364"/>
      <c r="J91" s="364"/>
      <c r="K91" s="364"/>
      <c r="L91" s="364"/>
      <c r="M91" s="332"/>
      <c r="N91" s="332"/>
      <c r="O91" s="332"/>
      <c r="P91" s="332"/>
      <c r="Q91" s="332"/>
    </row>
    <row r="92" spans="1:17" ht="19.95" customHeight="1">
      <c r="A92" s="332"/>
      <c r="B92" s="332"/>
      <c r="C92" s="332"/>
      <c r="D92" s="332"/>
      <c r="E92" s="332"/>
      <c r="F92" s="332"/>
      <c r="G92" s="364"/>
      <c r="H92" s="364"/>
      <c r="I92" s="364"/>
      <c r="J92" s="364"/>
      <c r="K92" s="364"/>
      <c r="L92" s="364"/>
      <c r="M92" s="332"/>
      <c r="N92" s="332"/>
      <c r="O92" s="332"/>
      <c r="P92" s="332"/>
      <c r="Q92" s="332"/>
    </row>
    <row r="93" spans="1:17" ht="19.95" customHeight="1">
      <c r="A93" s="332"/>
      <c r="B93" s="332"/>
      <c r="C93" s="332"/>
      <c r="D93" s="332"/>
      <c r="E93" s="332"/>
      <c r="F93" s="332"/>
      <c r="G93" s="364"/>
      <c r="H93" s="364"/>
      <c r="I93" s="364"/>
      <c r="J93" s="364"/>
      <c r="K93" s="364"/>
      <c r="L93" s="364"/>
      <c r="M93" s="332"/>
      <c r="N93" s="332"/>
      <c r="O93" s="332"/>
      <c r="P93" s="332"/>
      <c r="Q93" s="332"/>
    </row>
    <row r="94" spans="1:17" ht="19.95" customHeight="1">
      <c r="A94" s="332"/>
      <c r="B94" s="332"/>
      <c r="C94" s="332"/>
      <c r="D94" s="332"/>
      <c r="E94" s="332"/>
      <c r="F94" s="332"/>
      <c r="G94" s="364"/>
      <c r="H94" s="364"/>
      <c r="I94" s="364"/>
      <c r="J94" s="364"/>
      <c r="K94" s="364"/>
      <c r="L94" s="364"/>
      <c r="M94" s="332"/>
      <c r="N94" s="332"/>
      <c r="O94" s="332"/>
      <c r="P94" s="332"/>
      <c r="Q94" s="332"/>
    </row>
    <row r="95" spans="1:17" ht="19.95" customHeight="1">
      <c r="A95" s="332"/>
      <c r="B95" s="332"/>
      <c r="C95" s="332"/>
      <c r="D95" s="332"/>
      <c r="E95" s="332"/>
      <c r="F95" s="332"/>
      <c r="G95" s="364"/>
      <c r="H95" s="364"/>
      <c r="I95" s="364"/>
      <c r="J95" s="364"/>
      <c r="K95" s="364"/>
      <c r="L95" s="364"/>
      <c r="M95" s="332"/>
      <c r="N95" s="332"/>
      <c r="O95" s="332"/>
      <c r="P95" s="332"/>
      <c r="Q95" s="332"/>
    </row>
    <row r="96" spans="1:17" ht="19.95" customHeight="1">
      <c r="A96" s="332"/>
      <c r="B96" s="332"/>
      <c r="C96" s="332"/>
      <c r="D96" s="332"/>
      <c r="E96" s="332"/>
      <c r="F96" s="332"/>
      <c r="G96" s="364"/>
      <c r="H96" s="364"/>
      <c r="I96" s="364"/>
      <c r="J96" s="364"/>
      <c r="K96" s="364"/>
      <c r="L96" s="364"/>
      <c r="M96" s="332"/>
      <c r="N96" s="332"/>
      <c r="O96" s="332"/>
      <c r="P96" s="332"/>
      <c r="Q96" s="332"/>
    </row>
    <row r="97" spans="1:17" ht="19.95" customHeight="1">
      <c r="A97" s="332"/>
      <c r="B97" s="332"/>
      <c r="C97" s="332"/>
      <c r="D97" s="332"/>
      <c r="E97" s="332"/>
      <c r="F97" s="332"/>
      <c r="G97" s="364"/>
      <c r="H97" s="364"/>
      <c r="I97" s="364"/>
      <c r="J97" s="364"/>
      <c r="K97" s="364"/>
      <c r="L97" s="364"/>
      <c r="M97" s="332"/>
      <c r="N97" s="332"/>
      <c r="O97" s="332"/>
      <c r="P97" s="332"/>
      <c r="Q97" s="332"/>
    </row>
    <row r="98" spans="1:17" ht="19.95" customHeight="1">
      <c r="A98" s="332"/>
      <c r="B98" s="332"/>
      <c r="C98" s="332"/>
      <c r="D98" s="332"/>
      <c r="E98" s="332"/>
      <c r="F98" s="332"/>
      <c r="G98" s="364"/>
      <c r="H98" s="364"/>
      <c r="I98" s="364"/>
      <c r="J98" s="364"/>
      <c r="K98" s="364"/>
      <c r="L98" s="364"/>
      <c r="M98" s="332"/>
      <c r="N98" s="332"/>
      <c r="O98" s="332"/>
      <c r="P98" s="332"/>
      <c r="Q98" s="332"/>
    </row>
    <row r="99" spans="1:17" ht="19.95" customHeight="1">
      <c r="A99" s="332"/>
      <c r="B99" s="332"/>
      <c r="C99" s="332"/>
      <c r="D99" s="332"/>
      <c r="E99" s="332"/>
      <c r="F99" s="332"/>
      <c r="G99" s="364"/>
      <c r="H99" s="364"/>
      <c r="I99" s="364"/>
      <c r="J99" s="364"/>
      <c r="K99" s="364"/>
      <c r="L99" s="364"/>
      <c r="M99" s="332"/>
      <c r="N99" s="332"/>
      <c r="O99" s="332"/>
      <c r="P99" s="332"/>
      <c r="Q99" s="332"/>
    </row>
    <row r="100" spans="1:17" ht="19.95" customHeight="1">
      <c r="A100" s="332"/>
      <c r="B100" s="332"/>
      <c r="C100" s="332"/>
      <c r="D100" s="332"/>
      <c r="E100" s="332"/>
      <c r="F100" s="332"/>
      <c r="G100" s="364"/>
      <c r="H100" s="364"/>
      <c r="I100" s="364"/>
      <c r="J100" s="364"/>
      <c r="K100" s="364"/>
      <c r="L100" s="364"/>
      <c r="M100" s="332"/>
      <c r="N100" s="332"/>
      <c r="O100" s="332"/>
      <c r="P100" s="332"/>
      <c r="Q100" s="332"/>
    </row>
    <row r="101" spans="1:17" ht="19.95" customHeight="1">
      <c r="A101" s="332"/>
      <c r="B101" s="332"/>
      <c r="C101" s="332"/>
      <c r="D101" s="332"/>
      <c r="E101" s="332"/>
      <c r="F101" s="332"/>
      <c r="G101" s="364"/>
      <c r="H101" s="364"/>
      <c r="I101" s="364"/>
      <c r="J101" s="364"/>
      <c r="K101" s="364"/>
      <c r="L101" s="364"/>
      <c r="M101" s="332"/>
      <c r="N101" s="332"/>
      <c r="O101" s="332"/>
      <c r="P101" s="332"/>
      <c r="Q101" s="332"/>
    </row>
    <row r="102" spans="1:17" ht="19.95" customHeight="1">
      <c r="A102" s="332"/>
      <c r="B102" s="332"/>
      <c r="C102" s="332"/>
      <c r="D102" s="332"/>
      <c r="E102" s="332"/>
      <c r="F102" s="332"/>
      <c r="G102" s="364"/>
      <c r="H102" s="364"/>
      <c r="I102" s="364"/>
      <c r="J102" s="364"/>
      <c r="K102" s="364"/>
      <c r="L102" s="364"/>
      <c r="M102" s="332"/>
      <c r="N102" s="332"/>
      <c r="O102" s="332"/>
      <c r="P102" s="332"/>
      <c r="Q102" s="332"/>
    </row>
    <row r="103" spans="1:17" ht="19.95" customHeight="1">
      <c r="A103" s="332"/>
      <c r="B103" s="332"/>
      <c r="C103" s="332"/>
      <c r="D103" s="332"/>
      <c r="E103" s="332"/>
      <c r="F103" s="332"/>
      <c r="G103" s="364"/>
      <c r="H103" s="364"/>
      <c r="I103" s="364"/>
      <c r="J103" s="364"/>
      <c r="K103" s="364"/>
      <c r="L103" s="364"/>
      <c r="M103" s="332"/>
      <c r="N103" s="332"/>
      <c r="O103" s="332"/>
      <c r="P103" s="332"/>
      <c r="Q103" s="332"/>
    </row>
    <row r="104" spans="1:17" ht="19.95" customHeight="1">
      <c r="A104" s="332"/>
      <c r="B104" s="332"/>
      <c r="C104" s="332"/>
      <c r="D104" s="332"/>
      <c r="E104" s="332"/>
      <c r="F104" s="332"/>
      <c r="G104" s="364"/>
      <c r="H104" s="364"/>
      <c r="I104" s="364"/>
      <c r="J104" s="364"/>
      <c r="K104" s="364"/>
      <c r="L104" s="364"/>
      <c r="M104" s="332"/>
      <c r="N104" s="332"/>
      <c r="O104" s="332"/>
      <c r="P104" s="332"/>
      <c r="Q104" s="332"/>
    </row>
    <row r="105" spans="1:17" ht="19.95" customHeight="1">
      <c r="A105" s="332"/>
      <c r="B105" s="332"/>
      <c r="C105" s="332"/>
      <c r="D105" s="332"/>
      <c r="E105" s="332"/>
      <c r="F105" s="332"/>
      <c r="G105" s="364"/>
      <c r="H105" s="364"/>
      <c r="I105" s="364"/>
      <c r="J105" s="364"/>
      <c r="K105" s="364"/>
      <c r="L105" s="364"/>
      <c r="M105" s="332"/>
      <c r="N105" s="332"/>
      <c r="O105" s="332"/>
      <c r="P105" s="332"/>
      <c r="Q105" s="332"/>
    </row>
    <row r="106" spans="1:17" ht="19.95" customHeight="1">
      <c r="A106" s="332"/>
      <c r="B106" s="332"/>
      <c r="C106" s="332"/>
      <c r="D106" s="332"/>
      <c r="E106" s="332"/>
      <c r="F106" s="332"/>
      <c r="G106" s="364"/>
      <c r="H106" s="364"/>
      <c r="I106" s="364"/>
      <c r="J106" s="364"/>
      <c r="K106" s="364"/>
      <c r="L106" s="364"/>
      <c r="M106" s="332"/>
      <c r="N106" s="332"/>
      <c r="O106" s="332"/>
      <c r="P106" s="332"/>
      <c r="Q106" s="332"/>
    </row>
    <row r="107" spans="1:17" ht="19.95" customHeight="1">
      <c r="A107" s="332"/>
      <c r="B107" s="332"/>
      <c r="C107" s="332"/>
      <c r="D107" s="332"/>
      <c r="E107" s="332"/>
      <c r="F107" s="332"/>
      <c r="G107" s="364"/>
      <c r="H107" s="364"/>
      <c r="I107" s="364"/>
      <c r="J107" s="364"/>
      <c r="K107" s="364"/>
      <c r="L107" s="364"/>
      <c r="M107" s="332"/>
      <c r="N107" s="332"/>
      <c r="O107" s="332"/>
      <c r="P107" s="332"/>
      <c r="Q107" s="332"/>
    </row>
    <row r="108" spans="1:17" ht="19.95" customHeight="1">
      <c r="A108" s="332"/>
      <c r="B108" s="332"/>
      <c r="C108" s="332"/>
      <c r="D108" s="332"/>
      <c r="E108" s="332"/>
      <c r="F108" s="332"/>
      <c r="G108" s="364"/>
      <c r="H108" s="364"/>
      <c r="I108" s="364"/>
      <c r="J108" s="364"/>
      <c r="K108" s="364"/>
      <c r="L108" s="364"/>
      <c r="M108" s="332"/>
      <c r="N108" s="332"/>
      <c r="O108" s="332"/>
      <c r="P108" s="332"/>
      <c r="Q108" s="332"/>
    </row>
    <row r="109" spans="1:17" ht="19.95" customHeight="1">
      <c r="A109" s="332"/>
      <c r="B109" s="332"/>
      <c r="C109" s="332"/>
      <c r="D109" s="332"/>
      <c r="E109" s="332"/>
      <c r="F109" s="332"/>
      <c r="G109" s="364"/>
      <c r="H109" s="364"/>
      <c r="I109" s="364"/>
      <c r="J109" s="364"/>
      <c r="K109" s="364"/>
      <c r="L109" s="364"/>
      <c r="M109" s="332"/>
      <c r="N109" s="332"/>
      <c r="O109" s="332"/>
      <c r="P109" s="332"/>
      <c r="Q109" s="332"/>
    </row>
    <row r="110" spans="1:17" ht="19.95" customHeight="1">
      <c r="A110" s="332"/>
      <c r="B110" s="332"/>
      <c r="C110" s="332"/>
      <c r="D110" s="332"/>
      <c r="E110" s="332"/>
      <c r="F110" s="332"/>
      <c r="G110" s="364"/>
      <c r="H110" s="364"/>
      <c r="I110" s="364"/>
      <c r="J110" s="364"/>
      <c r="K110" s="364"/>
      <c r="L110" s="364"/>
      <c r="M110" s="332"/>
      <c r="N110" s="332"/>
      <c r="O110" s="332"/>
      <c r="P110" s="332"/>
      <c r="Q110" s="332"/>
    </row>
    <row r="111" spans="1:17" ht="19.95" customHeight="1">
      <c r="A111" s="332"/>
      <c r="B111" s="332"/>
      <c r="C111" s="332"/>
      <c r="D111" s="332"/>
      <c r="E111" s="332"/>
      <c r="F111" s="332"/>
      <c r="G111" s="364"/>
      <c r="H111" s="364"/>
      <c r="I111" s="364"/>
      <c r="J111" s="364"/>
      <c r="K111" s="364"/>
      <c r="L111" s="364"/>
      <c r="M111" s="332"/>
      <c r="N111" s="332"/>
      <c r="O111" s="332"/>
      <c r="P111" s="332"/>
      <c r="Q111" s="332"/>
    </row>
    <row r="112" spans="1:17" ht="19.95" customHeight="1">
      <c r="A112" s="332"/>
      <c r="B112" s="332"/>
      <c r="C112" s="332"/>
      <c r="D112" s="332"/>
      <c r="E112" s="332"/>
      <c r="F112" s="332"/>
      <c r="G112" s="364"/>
      <c r="H112" s="364"/>
      <c r="I112" s="364"/>
      <c r="J112" s="364"/>
      <c r="K112" s="364"/>
      <c r="L112" s="364"/>
      <c r="M112" s="332"/>
      <c r="N112" s="332"/>
      <c r="O112" s="332"/>
      <c r="P112" s="332"/>
      <c r="Q112" s="332"/>
    </row>
    <row r="113" spans="1:17" ht="19.95" customHeight="1">
      <c r="A113" s="332"/>
      <c r="B113" s="332"/>
      <c r="C113" s="332"/>
      <c r="D113" s="332"/>
      <c r="E113" s="332"/>
      <c r="F113" s="332"/>
      <c r="G113" s="364"/>
      <c r="H113" s="364"/>
      <c r="I113" s="364"/>
      <c r="J113" s="364"/>
      <c r="K113" s="364"/>
      <c r="L113" s="364"/>
      <c r="M113" s="332"/>
      <c r="N113" s="332"/>
      <c r="O113" s="332"/>
      <c r="P113" s="332"/>
      <c r="Q113" s="332"/>
    </row>
    <row r="114" spans="1:17" ht="19.95" customHeight="1">
      <c r="A114" s="332"/>
      <c r="B114" s="332"/>
      <c r="C114" s="332"/>
      <c r="D114" s="332"/>
      <c r="E114" s="332"/>
      <c r="F114" s="332"/>
      <c r="G114" s="364"/>
      <c r="H114" s="364"/>
      <c r="I114" s="364"/>
      <c r="J114" s="364"/>
      <c r="K114" s="364"/>
      <c r="L114" s="364"/>
      <c r="M114" s="332"/>
      <c r="N114" s="332"/>
      <c r="O114" s="332"/>
      <c r="P114" s="332"/>
      <c r="Q114" s="332"/>
    </row>
    <row r="115" spans="1:17" ht="19.95" customHeight="1">
      <c r="A115" s="332"/>
      <c r="B115" s="332"/>
      <c r="C115" s="332"/>
      <c r="D115" s="332"/>
      <c r="E115" s="332"/>
      <c r="F115" s="332"/>
      <c r="G115" s="364"/>
      <c r="H115" s="364"/>
      <c r="I115" s="364"/>
      <c r="J115" s="364"/>
      <c r="K115" s="364"/>
      <c r="L115" s="364"/>
      <c r="M115" s="332"/>
      <c r="N115" s="332"/>
      <c r="O115" s="332"/>
      <c r="P115" s="332"/>
      <c r="Q115" s="332"/>
    </row>
    <row r="116" spans="1:17" ht="19.95" customHeight="1">
      <c r="A116" s="332"/>
      <c r="B116" s="332"/>
      <c r="C116" s="332"/>
      <c r="D116" s="332"/>
      <c r="E116" s="332"/>
      <c r="F116" s="332"/>
      <c r="G116" s="364"/>
      <c r="H116" s="364"/>
      <c r="I116" s="364"/>
      <c r="J116" s="364"/>
      <c r="K116" s="364"/>
      <c r="L116" s="364"/>
      <c r="M116" s="332"/>
      <c r="N116" s="332"/>
      <c r="O116" s="332"/>
      <c r="P116" s="332"/>
      <c r="Q116" s="332"/>
    </row>
    <row r="117" spans="1:17" ht="19.95" customHeight="1">
      <c r="A117" s="332"/>
      <c r="B117" s="332"/>
      <c r="C117" s="332"/>
      <c r="D117" s="332"/>
      <c r="E117" s="332"/>
      <c r="F117" s="332"/>
      <c r="G117" s="364"/>
      <c r="H117" s="364"/>
      <c r="I117" s="364"/>
      <c r="J117" s="364"/>
      <c r="K117" s="364"/>
      <c r="L117" s="364"/>
      <c r="M117" s="332"/>
      <c r="N117" s="332"/>
      <c r="O117" s="332"/>
      <c r="P117" s="332"/>
      <c r="Q117" s="332"/>
    </row>
    <row r="118" spans="1:17" ht="19.95" customHeight="1">
      <c r="A118" s="332"/>
      <c r="B118" s="332"/>
      <c r="C118" s="332"/>
      <c r="D118" s="332"/>
      <c r="E118" s="332"/>
      <c r="F118" s="332"/>
      <c r="G118" s="364"/>
      <c r="H118" s="364"/>
      <c r="I118" s="364"/>
      <c r="J118" s="364"/>
      <c r="K118" s="364"/>
      <c r="L118" s="364"/>
      <c r="M118" s="332"/>
      <c r="N118" s="332"/>
      <c r="O118" s="332"/>
      <c r="P118" s="332"/>
      <c r="Q118" s="332"/>
    </row>
    <row r="119" spans="1:17" ht="19.95" customHeight="1">
      <c r="A119" s="332"/>
      <c r="B119" s="332"/>
      <c r="C119" s="332"/>
      <c r="D119" s="332"/>
      <c r="E119" s="332"/>
      <c r="F119" s="332"/>
      <c r="G119" s="364"/>
      <c r="H119" s="364"/>
      <c r="I119" s="364"/>
      <c r="J119" s="364"/>
      <c r="K119" s="364"/>
      <c r="L119" s="364"/>
      <c r="M119" s="332"/>
      <c r="N119" s="332"/>
      <c r="O119" s="332"/>
      <c r="P119" s="332"/>
      <c r="Q119" s="332"/>
    </row>
    <row r="120" spans="1:17" ht="19.95" customHeight="1">
      <c r="A120" s="332"/>
      <c r="B120" s="332"/>
      <c r="C120" s="332"/>
      <c r="D120" s="332"/>
      <c r="E120" s="332"/>
      <c r="F120" s="332"/>
      <c r="G120" s="364"/>
      <c r="H120" s="364"/>
      <c r="I120" s="364"/>
      <c r="J120" s="364"/>
      <c r="K120" s="364"/>
      <c r="L120" s="364"/>
      <c r="M120" s="332"/>
      <c r="N120" s="332"/>
      <c r="O120" s="332"/>
      <c r="P120" s="332"/>
      <c r="Q120" s="332"/>
    </row>
    <row r="121" spans="1:17" ht="19.95" customHeight="1">
      <c r="A121" s="332"/>
      <c r="B121" s="332"/>
      <c r="C121" s="332"/>
      <c r="D121" s="332"/>
      <c r="E121" s="332"/>
      <c r="F121" s="332"/>
      <c r="G121" s="364"/>
      <c r="H121" s="364"/>
      <c r="I121" s="364"/>
      <c r="J121" s="364"/>
      <c r="K121" s="364"/>
      <c r="L121" s="364"/>
      <c r="M121" s="332"/>
      <c r="N121" s="332"/>
      <c r="O121" s="332"/>
      <c r="P121" s="332"/>
      <c r="Q121" s="332"/>
    </row>
    <row r="122" spans="1:17" ht="19.95" customHeight="1">
      <c r="A122" s="332"/>
      <c r="B122" s="332"/>
      <c r="C122" s="332"/>
      <c r="D122" s="332"/>
      <c r="E122" s="332"/>
      <c r="F122" s="332"/>
      <c r="G122" s="364"/>
      <c r="H122" s="364"/>
      <c r="I122" s="364"/>
      <c r="J122" s="364"/>
      <c r="K122" s="364"/>
      <c r="L122" s="364"/>
      <c r="M122" s="332"/>
      <c r="N122" s="332"/>
      <c r="O122" s="332"/>
      <c r="P122" s="332"/>
      <c r="Q122" s="332"/>
    </row>
    <row r="123" spans="1:17" ht="19.95" customHeight="1">
      <c r="A123" s="332"/>
      <c r="B123" s="332"/>
      <c r="C123" s="332"/>
      <c r="D123" s="332"/>
      <c r="E123" s="332"/>
      <c r="F123" s="332"/>
      <c r="G123" s="364"/>
      <c r="H123" s="364"/>
      <c r="I123" s="364"/>
      <c r="J123" s="364"/>
      <c r="K123" s="364"/>
      <c r="L123" s="364"/>
      <c r="M123" s="332"/>
      <c r="N123" s="332"/>
      <c r="O123" s="332"/>
      <c r="P123" s="332"/>
      <c r="Q123" s="332"/>
    </row>
    <row r="124" spans="1:17" ht="19.95" customHeight="1">
      <c r="A124" s="332"/>
      <c r="B124" s="332"/>
      <c r="C124" s="332"/>
      <c r="D124" s="332"/>
      <c r="E124" s="332"/>
      <c r="F124" s="332"/>
      <c r="G124" s="364"/>
      <c r="H124" s="364"/>
      <c r="I124" s="364"/>
      <c r="J124" s="364"/>
      <c r="K124" s="364"/>
      <c r="L124" s="364"/>
      <c r="M124" s="332"/>
      <c r="N124" s="332"/>
      <c r="O124" s="332"/>
      <c r="P124" s="332"/>
      <c r="Q124" s="332"/>
    </row>
    <row r="125" spans="1:17" ht="19.95" customHeight="1">
      <c r="A125" s="332"/>
      <c r="B125" s="332"/>
      <c r="C125" s="332"/>
      <c r="D125" s="332"/>
      <c r="E125" s="332"/>
      <c r="F125" s="332"/>
      <c r="G125" s="364"/>
      <c r="H125" s="364"/>
      <c r="I125" s="364"/>
      <c r="J125" s="364"/>
      <c r="K125" s="364"/>
      <c r="L125" s="364"/>
      <c r="M125" s="332"/>
      <c r="N125" s="332"/>
      <c r="O125" s="332"/>
      <c r="P125" s="332"/>
      <c r="Q125" s="332"/>
    </row>
  </sheetData>
  <mergeCells count="12">
    <mergeCell ref="A18:A19"/>
    <mergeCell ref="B18:H18"/>
    <mergeCell ref="I18:I19"/>
    <mergeCell ref="A1:L1"/>
    <mergeCell ref="A2:L2"/>
    <mergeCell ref="A7:A8"/>
    <mergeCell ref="B7:B8"/>
    <mergeCell ref="C7:C8"/>
    <mergeCell ref="D7:D8"/>
    <mergeCell ref="E7:E8"/>
    <mergeCell ref="F7:F8"/>
    <mergeCell ref="G7:L7"/>
  </mergeCells>
  <phoneticPr fontId="10" type="noConversion"/>
  <dataValidations count="1">
    <dataValidation type="list" allowBlank="1" showInputMessage="1" showErrorMessage="1" sqref="Q31:Q37 Q9:Q18 N38:N47 N19:N30 G9:L17">
      <formula1>"√,X"</formula1>
    </dataValidation>
  </dataValidations>
  <hyperlinks>
    <hyperlink ref="L3" location="底稿目录!A1" display="H1-12"/>
  </hyperlinks>
  <printOptions horizontalCentered="1"/>
  <pageMargins left="0.51181102362204722" right="0.31496062992125984" top="0.55118110236220474" bottom="0.35433070866141736" header="0.51181102362204722" footer="0.19685039370078741"/>
  <pageSetup paperSize="9" scale="66" fitToHeight="50" orientation="landscape" blackAndWhite="1" r:id="rId1"/>
  <headerFooter alignWithMargins="0">
    <oddFooter>&amp;C&amp;P/&amp;N</oddFooter>
  </headerFooter>
  <rowBreaks count="1" manualBreakCount="1">
    <brk id="30"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26</vt:i4>
      </vt:variant>
      <vt:variant>
        <vt:lpstr>命名范围</vt:lpstr>
      </vt:variant>
      <vt:variant>
        <vt:i4>32</vt:i4>
      </vt:variant>
    </vt:vector>
  </HeadingPairs>
  <TitlesOfParts>
    <vt:vector size="58" baseType="lpstr">
      <vt:lpstr>底稿目录</vt:lpstr>
      <vt:lpstr>固定资产审计程序表H1A</vt:lpstr>
      <vt:lpstr>审定表H1-1</vt:lpstr>
      <vt:lpstr>附注披露信息（上市公司）</vt:lpstr>
      <vt:lpstr>附注披露信息（国有企业）</vt:lpstr>
      <vt:lpstr>明细表H1-2</vt:lpstr>
      <vt:lpstr>调整分录汇总H1-3</vt:lpstr>
      <vt:lpstr>闲置检查表H1-4</vt:lpstr>
      <vt:lpstr>会计政策估计检查表H1-5</vt:lpstr>
      <vt:lpstr>分析表H1-6</vt:lpstr>
      <vt:lpstr>增加检查表H1-7</vt:lpstr>
      <vt:lpstr>减少检查表H1-8</vt:lpstr>
      <vt:lpstr>监盘计划H1-9</vt:lpstr>
      <vt:lpstr>盘点检查表H1-10</vt:lpstr>
      <vt:lpstr>监盘小结H1-11</vt:lpstr>
      <vt:lpstr>折旧测算表（不含减值）-直线法H1-12</vt:lpstr>
      <vt:lpstr>折旧测算表（含减值）H1-12</vt:lpstr>
      <vt:lpstr>折旧测算表（多次减值）H1-12</vt:lpstr>
      <vt:lpstr>折旧分配分析表H1-13</vt:lpstr>
      <vt:lpstr>减值测算表H1-14</vt:lpstr>
      <vt:lpstr>可收回金额测试表H1-15</vt:lpstr>
      <vt:lpstr>房屋建筑物权属检查表H1-16</vt:lpstr>
      <vt:lpstr>运输设备权属检查表H1-17</vt:lpstr>
      <vt:lpstr>关联交易检查表H1-18</vt:lpstr>
      <vt:lpstr>经营租出固定资产检查表H1-19</vt:lpstr>
      <vt:lpstr>融资租出固定资产检查表H1-20</vt:lpstr>
      <vt:lpstr>固定资产审计程序表H1A!_FilterDatabase</vt:lpstr>
      <vt:lpstr>'调整分录汇总H1-3'!Print_Area</vt:lpstr>
      <vt:lpstr>'房屋建筑物权属检查表H1-16'!Print_Area</vt:lpstr>
      <vt:lpstr>'分析表H1-6'!Print_Area</vt:lpstr>
      <vt:lpstr>'附注披露信息（国有企业）'!Print_Area</vt:lpstr>
      <vt:lpstr>'附注披露信息（上市公司）'!Print_Area</vt:lpstr>
      <vt:lpstr>固定资产审计程序表H1A!Print_Area</vt:lpstr>
      <vt:lpstr>'关联交易检查表H1-18'!Print_Area</vt:lpstr>
      <vt:lpstr>'会计政策估计检查表H1-5'!Print_Area</vt:lpstr>
      <vt:lpstr>'监盘计划H1-9'!Print_Area</vt:lpstr>
      <vt:lpstr>'监盘小结H1-11'!Print_Area</vt:lpstr>
      <vt:lpstr>'减少检查表H1-8'!Print_Area</vt:lpstr>
      <vt:lpstr>'减值测算表H1-14'!Print_Area</vt:lpstr>
      <vt:lpstr>'经营租出固定资产检查表H1-19'!Print_Area</vt:lpstr>
      <vt:lpstr>'可收回金额测试表H1-15'!Print_Area</vt:lpstr>
      <vt:lpstr>'明细表H1-2'!Print_Area</vt:lpstr>
      <vt:lpstr>'盘点检查表H1-10'!Print_Area</vt:lpstr>
      <vt:lpstr>'融资租出固定资产检查表H1-20'!Print_Area</vt:lpstr>
      <vt:lpstr>'审定表H1-1'!Print_Area</vt:lpstr>
      <vt:lpstr>'闲置检查表H1-4'!Print_Area</vt:lpstr>
      <vt:lpstr>'运输设备权属检查表H1-17'!Print_Area</vt:lpstr>
      <vt:lpstr>'增加检查表H1-7'!Print_Area</vt:lpstr>
      <vt:lpstr>'折旧测算表（不含减值）-直线法H1-12'!Print_Area</vt:lpstr>
      <vt:lpstr>'折旧测算表（多次减值）H1-12'!Print_Area</vt:lpstr>
      <vt:lpstr>'折旧测算表（含减值）H1-12'!Print_Area</vt:lpstr>
      <vt:lpstr>'折旧分配分析表H1-13'!Print_Area</vt:lpstr>
      <vt:lpstr>固定资产审计程序表H1A!Print_Titles</vt:lpstr>
      <vt:lpstr>'明细表H1-2'!Print_Titles</vt:lpstr>
      <vt:lpstr>'闲置检查表H1-4'!Print_Titles</vt:lpstr>
      <vt:lpstr>'折旧测算表（不含减值）-直线法H1-12'!Print_Titles</vt:lpstr>
      <vt:lpstr>'折旧测算表（多次减值）H1-12'!Print_Titles</vt:lpstr>
      <vt:lpstr>'折旧测算表（含减值）H1-12'!Print_Titles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何先琴</cp:lastModifiedBy>
  <cp:lastPrinted>2025-10-20T09:04:13Z</cp:lastPrinted>
  <dcterms:created xsi:type="dcterms:W3CDTF">2013-12-07T08:37:47Z</dcterms:created>
  <dcterms:modified xsi:type="dcterms:W3CDTF">2025-11-04T09:13:24Z</dcterms:modified>
</cp:coreProperties>
</file>