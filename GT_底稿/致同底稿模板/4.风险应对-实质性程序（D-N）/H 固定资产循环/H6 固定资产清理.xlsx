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H 固定资产循环\"/>
    </mc:Choice>
  </mc:AlternateContent>
  <bookViews>
    <workbookView xWindow="-120" yWindow="-120" windowWidth="20736" windowHeight="11160" tabRatio="829"/>
  </bookViews>
  <sheets>
    <sheet name="底稿目录" sheetId="4" r:id="rId1"/>
    <sheet name="固定资产清理实质性程序表H6A" sheetId="9" r:id="rId2"/>
    <sheet name="审定表H6-1" sheetId="1" r:id="rId3"/>
    <sheet name="附注披露信息（上市公司）" sheetId="5" r:id="rId4"/>
    <sheet name="附注披露信息（国有企业）" sheetId="6" r:id="rId5"/>
    <sheet name="明细表H6-2" sheetId="2" r:id="rId6"/>
    <sheet name="调整分录汇总H6-3" sheetId="8" r:id="rId7"/>
    <sheet name="检查表H6-4" sheetId="3" r:id="rId8"/>
  </sheets>
  <definedNames>
    <definedName name="_xlnm._FilterDatabase" localSheetId="1" hidden="1">固定资产清理实质性程序表H6A!$A$16:$L$16</definedName>
    <definedName name="_xlnm.Print_Area" localSheetId="6">'调整分录汇总H6-3'!$A$1:$J$20</definedName>
    <definedName name="_xlnm.Print_Area" localSheetId="4">'附注披露信息（国有企业）'!$A$1:$D$19</definedName>
    <definedName name="_xlnm.Print_Area" localSheetId="3">'附注披露信息（上市公司）'!$A$1:$D$19</definedName>
    <definedName name="_xlnm.Print_Area" localSheetId="1">固定资产清理实质性程序表H6A!$A$1:$I$23</definedName>
    <definedName name="_xlnm.Print_Area" localSheetId="7">'检查表H6-4'!$A$1:$Q$31</definedName>
    <definedName name="_xlnm.Print_Area" localSheetId="5">'明细表H6-2'!$A$1:$P$24</definedName>
    <definedName name="_xlnm.Print_Area" localSheetId="2">'审定表H6-1'!$A$1:$I$29</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4" i="3" l="1"/>
  <c r="L23" i="3"/>
  <c r="M23" i="3"/>
  <c r="F23" i="3"/>
  <c r="G23" i="3"/>
  <c r="I23" i="3"/>
  <c r="J23" i="3"/>
  <c r="E23" i="3"/>
  <c r="H14" i="3"/>
  <c r="H15" i="3"/>
  <c r="H16" i="3"/>
  <c r="H17" i="3"/>
  <c r="H18" i="3"/>
  <c r="H19" i="3"/>
  <c r="H20" i="3"/>
  <c r="H21" i="3"/>
  <c r="H22" i="3"/>
  <c r="D10" i="4" l="1"/>
  <c r="D9" i="4"/>
  <c r="D8" i="4"/>
  <c r="D7" i="4"/>
  <c r="D6" i="4"/>
  <c r="E4" i="9" l="1"/>
  <c r="C4" i="9"/>
  <c r="A4" i="9"/>
  <c r="E3" i="9"/>
  <c r="C3" i="9"/>
  <c r="A3" i="9"/>
  <c r="H12" i="3" l="1"/>
  <c r="K12" i="3" s="1"/>
  <c r="K11" i="2"/>
  <c r="J11" i="2"/>
  <c r="I11" i="2"/>
  <c r="E11" i="2"/>
  <c r="B16" i="2"/>
  <c r="L4" i="3"/>
  <c r="F4" i="3"/>
  <c r="G4" i="8"/>
  <c r="G3" i="8"/>
  <c r="D4" i="8"/>
  <c r="D3" i="8"/>
  <c r="A4" i="8"/>
  <c r="A3" i="8"/>
  <c r="I4" i="2"/>
  <c r="E4" i="2"/>
  <c r="C4" i="6"/>
  <c r="B4" i="6"/>
  <c r="C4" i="5"/>
  <c r="B4" i="5"/>
  <c r="A4" i="5"/>
  <c r="F4" i="1"/>
  <c r="D4" i="1"/>
  <c r="L11" i="2" l="1"/>
  <c r="C3" i="5"/>
  <c r="A4" i="1" l="1"/>
  <c r="I12" i="2" l="1"/>
  <c r="J12" i="2"/>
  <c r="K12" i="2"/>
  <c r="I13" i="2"/>
  <c r="J13" i="2"/>
  <c r="K13" i="2"/>
  <c r="I14" i="2"/>
  <c r="J14" i="2"/>
  <c r="K14" i="2"/>
  <c r="I15" i="2"/>
  <c r="J15" i="2"/>
  <c r="K15" i="2"/>
  <c r="L3" i="3" l="1"/>
  <c r="F3" i="3"/>
  <c r="A4" i="3"/>
  <c r="A3" i="3"/>
  <c r="I3" i="2"/>
  <c r="E3" i="2"/>
  <c r="A4" i="2"/>
  <c r="A3" i="2"/>
  <c r="C3" i="6"/>
  <c r="B3" i="6"/>
  <c r="A4" i="6"/>
  <c r="A3" i="6"/>
  <c r="B3" i="5"/>
  <c r="A3" i="5"/>
  <c r="F3" i="1"/>
  <c r="D3" i="1"/>
  <c r="A3" i="1"/>
  <c r="H13" i="3"/>
  <c r="K20" i="3"/>
  <c r="K21" i="3"/>
  <c r="K22" i="3"/>
  <c r="F8" i="1"/>
  <c r="F9" i="1"/>
  <c r="F10" i="1"/>
  <c r="F11" i="1"/>
  <c r="F7" i="1"/>
  <c r="B8" i="1"/>
  <c r="C8" i="1"/>
  <c r="B9" i="1"/>
  <c r="C9" i="1"/>
  <c r="B10" i="1"/>
  <c r="C10" i="1"/>
  <c r="B11" i="1"/>
  <c r="C11" i="1"/>
  <c r="C7" i="1"/>
  <c r="B7" i="1"/>
  <c r="A8" i="1"/>
  <c r="A9" i="1"/>
  <c r="A10" i="1"/>
  <c r="A11" i="1"/>
  <c r="A7" i="1"/>
  <c r="G16" i="2"/>
  <c r="H16" i="2"/>
  <c r="F16" i="2"/>
  <c r="E14" i="2"/>
  <c r="E15" i="2"/>
  <c r="E11" i="1" s="1"/>
  <c r="C16" i="2"/>
  <c r="D16" i="2"/>
  <c r="E13" i="2"/>
  <c r="E9" i="1" s="1"/>
  <c r="E12" i="2"/>
  <c r="E8" i="1" s="1"/>
  <c r="E7" i="1"/>
  <c r="K13" i="3" l="1"/>
  <c r="K23" i="3" s="1"/>
  <c r="H23" i="3"/>
  <c r="H25" i="3" s="1"/>
  <c r="B12" i="1"/>
  <c r="G7" i="1"/>
  <c r="G9" i="1"/>
  <c r="G11" i="1"/>
  <c r="D11" i="1"/>
  <c r="C12" i="1"/>
  <c r="D7" i="1"/>
  <c r="D9" i="1"/>
  <c r="G8" i="1"/>
  <c r="D8" i="1"/>
  <c r="D10" i="1"/>
  <c r="L13" i="2"/>
  <c r="L14" i="2"/>
  <c r="E16" i="2"/>
  <c r="J16" i="2"/>
  <c r="K16" i="2"/>
  <c r="L12" i="2"/>
  <c r="F12" i="1"/>
  <c r="L15" i="2"/>
  <c r="I16" i="2"/>
  <c r="E10" i="1"/>
  <c r="G10" i="1" s="1"/>
  <c r="H9" i="1" l="1"/>
  <c r="I9" i="1" s="1"/>
  <c r="H7" i="1"/>
  <c r="I7" i="1" s="1"/>
  <c r="H11" i="1"/>
  <c r="I11" i="1" s="1"/>
  <c r="H8" i="1"/>
  <c r="I8" i="1" s="1"/>
  <c r="D12" i="1"/>
  <c r="C22" i="1" s="1"/>
  <c r="C23" i="1" s="1"/>
  <c r="C25" i="1" s="1"/>
  <c r="E12" i="1"/>
  <c r="L16" i="2"/>
  <c r="H10" i="1" l="1"/>
  <c r="I10" i="1" s="1"/>
  <c r="G12" i="1"/>
  <c r="H12" i="1" l="1"/>
  <c r="I12" i="1" s="1"/>
  <c r="B22" i="1"/>
  <c r="B23" i="1" s="1"/>
  <c r="B25" i="1" s="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<sst xmlns="http://schemas.openxmlformats.org/spreadsheetml/2006/main" count="279" uniqueCount="219">
  <si>
    <t>致同会计师事务所</t>
  </si>
  <si>
    <t>期末账面价值</t>
  </si>
  <si>
    <r>
      <rPr>
        <b/>
        <sz val="10"/>
        <rFont val="宋体"/>
        <family val="3"/>
        <charset val="134"/>
      </rPr>
      <t>账项调整</t>
    </r>
    <phoneticPr fontId="5" type="noConversion"/>
  </si>
  <si>
    <t xml:space="preserve">
</t>
    <phoneticPr fontId="5" type="noConversion"/>
  </si>
  <si>
    <r>
      <rPr>
        <b/>
        <sz val="10"/>
        <rFont val="宋体"/>
        <family val="3"/>
        <charset val="134"/>
      </rPr>
      <t>日期</t>
    </r>
  </si>
  <si>
    <r>
      <rPr>
        <b/>
        <sz val="10"/>
        <rFont val="宋体"/>
        <family val="3"/>
        <charset val="134"/>
      </rPr>
      <t>凭证编号</t>
    </r>
  </si>
  <si>
    <r>
      <rPr>
        <b/>
        <sz val="10"/>
        <rFont val="宋体"/>
        <family val="3"/>
        <charset val="134"/>
      </rPr>
      <t>清理费用</t>
    </r>
  </si>
  <si>
    <r>
      <rPr>
        <b/>
        <sz val="10"/>
        <rFont val="宋体"/>
        <family val="3"/>
        <charset val="134"/>
      </rPr>
      <t>清理收入</t>
    </r>
  </si>
  <si>
    <r>
      <rPr>
        <b/>
        <sz val="10"/>
        <rFont val="宋体"/>
        <family val="3"/>
        <charset val="134"/>
      </rPr>
      <t>期末余额</t>
    </r>
  </si>
  <si>
    <r>
      <rPr>
        <b/>
        <sz val="10"/>
        <rFont val="宋体"/>
        <family val="3"/>
        <charset val="134"/>
      </rPr>
      <t>清理原因</t>
    </r>
  </si>
  <si>
    <r>
      <rPr>
        <b/>
        <sz val="10"/>
        <rFont val="宋体"/>
        <family val="3"/>
        <charset val="134"/>
      </rPr>
      <t>批准人</t>
    </r>
  </si>
  <si>
    <r>
      <rPr>
        <sz val="10"/>
        <rFont val="宋体"/>
        <family val="3"/>
        <charset val="134"/>
      </rPr>
      <t>（</t>
    </r>
    <r>
      <rPr>
        <sz val="10"/>
        <rFont val="Arial Narrow"/>
        <family val="2"/>
      </rPr>
      <t>3</t>
    </r>
    <r>
      <rPr>
        <sz val="10"/>
        <rFont val="宋体"/>
        <family val="3"/>
        <charset val="134"/>
      </rPr>
      <t>）与经审计的财务报表核对</t>
    </r>
    <phoneticPr fontId="5" type="noConversion"/>
  </si>
  <si>
    <r>
      <rPr>
        <b/>
        <sz val="10"/>
        <rFont val="宋体"/>
        <family val="3"/>
        <charset val="134"/>
      </rPr>
      <t>财务报表的认定　</t>
    </r>
  </si>
  <si>
    <r>
      <rPr>
        <sz val="10"/>
        <rFont val="宋体"/>
        <family val="3"/>
        <charset val="134"/>
      </rPr>
      <t>存在</t>
    </r>
    <phoneticPr fontId="5" type="noConversion"/>
  </si>
  <si>
    <r>
      <rPr>
        <sz val="10"/>
        <rFont val="宋体"/>
        <family val="3"/>
        <charset val="134"/>
      </rPr>
      <t>权利和义务</t>
    </r>
    <phoneticPr fontId="5" type="noConversion"/>
  </si>
  <si>
    <r>
      <rPr>
        <sz val="10"/>
        <rFont val="宋体"/>
        <family val="3"/>
        <charset val="134"/>
      </rPr>
      <t>√</t>
    </r>
    <phoneticPr fontId="5" type="noConversion"/>
  </si>
  <si>
    <r>
      <rPr>
        <sz val="10"/>
        <color theme="1"/>
        <rFont val="宋体"/>
        <family val="3"/>
        <charset val="134"/>
      </rPr>
      <t>常规★</t>
    </r>
    <phoneticPr fontId="3" type="noConversion"/>
  </si>
  <si>
    <t>2</t>
  </si>
  <si>
    <r>
      <rPr>
        <b/>
        <sz val="10"/>
        <rFont val="宋体"/>
        <family val="3"/>
        <charset val="134"/>
      </rPr>
      <t>转入固定资产清理起始时间已超过</t>
    </r>
    <r>
      <rPr>
        <b/>
        <sz val="10"/>
        <rFont val="Arial Narrow"/>
        <family val="2"/>
      </rPr>
      <t>1</t>
    </r>
    <r>
      <rPr>
        <b/>
        <sz val="10"/>
        <rFont val="宋体"/>
        <family val="3"/>
        <charset val="134"/>
      </rPr>
      <t>年的固定资产清理进展情况</t>
    </r>
  </si>
  <si>
    <t>……</t>
    <phoneticPr fontId="5" type="noConversion"/>
  </si>
  <si>
    <t>固定资产清理调整分录汇总表</t>
    <phoneticPr fontId="5" type="noConversion"/>
  </si>
  <si>
    <t>附注披露表（上市公司）</t>
    <phoneticPr fontId="5" type="noConversion"/>
  </si>
  <si>
    <t>附注披露表（国有企业）</t>
    <phoneticPr fontId="5" type="noConversion"/>
  </si>
  <si>
    <t>H6-2</t>
  </si>
  <si>
    <t>H6-3</t>
  </si>
  <si>
    <t>H6A</t>
  </si>
  <si>
    <r>
      <t>22</t>
    </r>
    <r>
      <rPr>
        <sz val="12"/>
        <color theme="1"/>
        <rFont val="宋体"/>
        <family val="3"/>
        <charset val="134"/>
      </rPr>
      <t>、</t>
    </r>
    <r>
      <rPr>
        <sz val="12"/>
        <color theme="1"/>
        <rFont val="仿宋_GB2312"/>
        <family val="3"/>
        <charset val="134"/>
      </rPr>
      <t>固定资产</t>
    </r>
    <phoneticPr fontId="3" type="noConversion"/>
  </si>
  <si>
    <r>
      <t>项</t>
    </r>
    <r>
      <rPr>
        <b/>
        <sz val="10.5"/>
        <color theme="1"/>
        <rFont val="Arial Narrow"/>
        <family val="2"/>
      </rPr>
      <t xml:space="preserve">  </t>
    </r>
    <r>
      <rPr>
        <b/>
        <sz val="10.5"/>
        <color theme="1"/>
        <rFont val="仿宋_GB2312"/>
        <family val="3"/>
        <charset val="134"/>
      </rPr>
      <t>目</t>
    </r>
  </si>
  <si>
    <t>期末余额</t>
  </si>
  <si>
    <t>上年年末余额</t>
  </si>
  <si>
    <t>固定资产</t>
  </si>
  <si>
    <t>固定资产清理</t>
  </si>
  <si>
    <r>
      <t>合</t>
    </r>
    <r>
      <rPr>
        <b/>
        <sz val="10.5"/>
        <color theme="1"/>
        <rFont val="Arial Narrow"/>
        <family val="2"/>
      </rPr>
      <t xml:space="preserve">  </t>
    </r>
    <r>
      <rPr>
        <b/>
        <sz val="10.5"/>
        <color theme="1"/>
        <rFont val="仿宋_GB2312"/>
        <family val="3"/>
        <charset val="134"/>
      </rPr>
      <t>计</t>
    </r>
  </si>
  <si>
    <t>X.XX</t>
  </si>
  <si>
    <r>
      <rPr>
        <sz val="12"/>
        <color theme="1"/>
        <rFont val="宋体"/>
        <family val="3"/>
        <charset val="134"/>
      </rPr>
      <t>（</t>
    </r>
    <r>
      <rPr>
        <sz val="12"/>
        <color theme="1"/>
        <rFont val="Arial Narrow"/>
        <family val="2"/>
      </rPr>
      <t>2</t>
    </r>
    <r>
      <rPr>
        <sz val="12"/>
        <color theme="1"/>
        <rFont val="宋体"/>
        <family val="3"/>
        <charset val="134"/>
      </rPr>
      <t>）</t>
    </r>
    <r>
      <rPr>
        <sz val="12"/>
        <color theme="1"/>
        <rFont val="仿宋_GB2312"/>
        <family val="3"/>
        <charset val="134"/>
      </rPr>
      <t>固定资产清理</t>
    </r>
    <phoneticPr fontId="3" type="noConversion"/>
  </si>
  <si>
    <t>转入清理的原因</t>
  </si>
  <si>
    <r>
      <t>（说明转入固定资产清理起始时间已超过</t>
    </r>
    <r>
      <rPr>
        <sz val="12"/>
        <color rgb="FF0000FF"/>
        <rFont val="Arial Narrow"/>
        <family val="2"/>
      </rPr>
      <t>1</t>
    </r>
    <r>
      <rPr>
        <sz val="12"/>
        <color rgb="FF0000FF"/>
        <rFont val="仿宋_GB2312"/>
        <family val="3"/>
        <charset val="134"/>
      </rPr>
      <t>年的固定资产清理进展情况）</t>
    </r>
  </si>
  <si>
    <r>
      <t>期初</t>
    </r>
    <r>
      <rPr>
        <b/>
        <sz val="10.5"/>
        <color theme="1"/>
        <rFont val="仿宋_GB2312"/>
        <family val="3"/>
        <charset val="134"/>
      </rPr>
      <t>账面价值</t>
    </r>
  </si>
  <si>
    <r>
      <t>22</t>
    </r>
    <r>
      <rPr>
        <sz val="12"/>
        <color theme="1"/>
        <rFont val="宋体"/>
        <family val="3"/>
        <charset val="134"/>
      </rPr>
      <t>、</t>
    </r>
    <r>
      <rPr>
        <sz val="12"/>
        <color theme="1"/>
        <rFont val="仿宋_GB2312"/>
        <family val="3"/>
        <charset val="134"/>
      </rPr>
      <t>固定资产</t>
    </r>
    <phoneticPr fontId="3" type="noConversion"/>
  </si>
  <si>
    <t>【固定资产与固定资产清理的合计数披露详见H1-1】</t>
    <phoneticPr fontId="5" type="noConversion"/>
  </si>
  <si>
    <t>【固定资产与固定资产清理的合计数披露详见H1-1】</t>
    <phoneticPr fontId="5" type="noConversion"/>
  </si>
  <si>
    <t>期初账面价值</t>
  </si>
  <si>
    <t>--</t>
  </si>
  <si>
    <r>
      <t>注：说明转入固定资产清理起始时间已超过</t>
    </r>
    <r>
      <rPr>
        <sz val="12"/>
        <color rgb="FF0000FF"/>
        <rFont val="Arial Narrow"/>
        <family val="2"/>
      </rPr>
      <t>1</t>
    </r>
    <r>
      <rPr>
        <sz val="12"/>
        <color rgb="FF0000FF"/>
        <rFont val="仿宋_GB2312"/>
        <family val="3"/>
        <charset val="134"/>
      </rPr>
      <t>年的固定资产清理进展情况。</t>
    </r>
  </si>
  <si>
    <r>
      <rPr>
        <b/>
        <sz val="10"/>
        <rFont val="宋体"/>
        <family val="3"/>
        <charset val="134"/>
      </rPr>
      <t>底稿索引号</t>
    </r>
    <phoneticPr fontId="5" type="noConversion"/>
  </si>
  <si>
    <r>
      <rPr>
        <b/>
        <sz val="10"/>
        <rFont val="宋体"/>
        <family val="3"/>
        <charset val="134"/>
      </rPr>
      <t>权利和
义务</t>
    </r>
    <phoneticPr fontId="5" type="noConversion"/>
  </si>
  <si>
    <r>
      <rPr>
        <b/>
        <sz val="10"/>
        <rFont val="宋体"/>
        <family val="3"/>
        <charset val="134"/>
      </rPr>
      <t>准确性、计价和分摊</t>
    </r>
    <phoneticPr fontId="5" type="noConversion"/>
  </si>
  <si>
    <r>
      <rPr>
        <b/>
        <sz val="10"/>
        <rFont val="宋体"/>
        <family val="3"/>
        <charset val="134"/>
      </rPr>
      <t>列报</t>
    </r>
    <phoneticPr fontId="5" type="noConversion"/>
  </si>
  <si>
    <t>索引号：</t>
    <phoneticPr fontId="5" type="noConversion"/>
  </si>
  <si>
    <r>
      <rPr>
        <sz val="10"/>
        <rFont val="宋体"/>
        <family val="3"/>
        <charset val="134"/>
      </rPr>
      <t>编制人：</t>
    </r>
    <phoneticPr fontId="5" type="noConversion"/>
  </si>
  <si>
    <r>
      <rPr>
        <sz val="10"/>
        <rFont val="宋体"/>
        <family val="3"/>
        <charset val="134"/>
      </rPr>
      <t>复核人：</t>
    </r>
    <phoneticPr fontId="5" type="noConversion"/>
  </si>
  <si>
    <r>
      <rPr>
        <b/>
        <sz val="10"/>
        <rFont val="宋体"/>
        <family val="3"/>
        <charset val="134"/>
      </rPr>
      <t>底稿开列时，可先在以下单元格填写有关内容，以便其他底稿引用有关数据：</t>
    </r>
    <phoneticPr fontId="5" type="noConversion"/>
  </si>
  <si>
    <r>
      <rPr>
        <sz val="10"/>
        <rFont val="宋体"/>
        <family val="3"/>
        <charset val="134"/>
      </rPr>
      <t>被审计单位：</t>
    </r>
    <phoneticPr fontId="5" type="noConversion"/>
  </si>
  <si>
    <r>
      <rPr>
        <sz val="10"/>
        <rFont val="宋体"/>
        <family val="3"/>
        <charset val="134"/>
      </rPr>
      <t>编制日期：</t>
    </r>
    <phoneticPr fontId="5" type="noConversion"/>
  </si>
  <si>
    <r>
      <rPr>
        <sz val="10"/>
        <rFont val="宋体"/>
        <family val="3"/>
        <charset val="134"/>
      </rPr>
      <t>复核日期：</t>
    </r>
    <phoneticPr fontId="5" type="noConversion"/>
  </si>
  <si>
    <t>H6A</t>
    <phoneticPr fontId="3" type="noConversion"/>
  </si>
  <si>
    <t>H6-1</t>
    <phoneticPr fontId="3" type="noConversion"/>
  </si>
  <si>
    <t>返回目录</t>
    <phoneticPr fontId="3" type="noConversion"/>
  </si>
  <si>
    <t>H6-2</t>
    <phoneticPr fontId="3" type="noConversion"/>
  </si>
  <si>
    <t>H6-3</t>
    <phoneticPr fontId="3" type="noConversion"/>
  </si>
  <si>
    <t>H6-4</t>
  </si>
  <si>
    <t>H6-4</t>
    <phoneticPr fontId="3" type="noConversion"/>
  </si>
  <si>
    <r>
      <rPr>
        <sz val="10"/>
        <color indexed="12"/>
        <rFont val="宋体"/>
        <family val="3"/>
        <charset val="134"/>
      </rPr>
      <t>附注披露信息（上市公司）</t>
    </r>
  </si>
  <si>
    <r>
      <rPr>
        <sz val="10"/>
        <color indexed="12"/>
        <rFont val="宋体"/>
        <family val="3"/>
        <charset val="134"/>
      </rPr>
      <t>附注披露信息（国有企业）</t>
    </r>
  </si>
  <si>
    <t>H6-1</t>
    <phoneticPr fontId="3" type="noConversion"/>
  </si>
  <si>
    <t>无需打印</t>
    <phoneticPr fontId="3" type="noConversion"/>
  </si>
  <si>
    <t>H6-4</t>
    <phoneticPr fontId="3" type="noConversion"/>
  </si>
  <si>
    <r>
      <rPr>
        <sz val="10"/>
        <rFont val="宋体"/>
        <family val="3"/>
        <charset val="134"/>
      </rPr>
      <t>固定资产清理</t>
    </r>
    <phoneticPr fontId="3" type="noConversion"/>
  </si>
  <si>
    <r>
      <rPr>
        <sz val="10"/>
        <rFont val="宋体"/>
        <family val="3"/>
        <charset val="134"/>
      </rPr>
      <t>√</t>
    </r>
    <phoneticPr fontId="5" type="noConversion"/>
  </si>
  <si>
    <r>
      <rPr>
        <sz val="10"/>
        <rFont val="宋体"/>
        <family val="3"/>
        <charset val="134"/>
      </rPr>
      <t>备选</t>
    </r>
    <phoneticPr fontId="5" type="noConversion"/>
  </si>
  <si>
    <r>
      <rPr>
        <sz val="10"/>
        <color theme="1"/>
        <rFont val="宋体"/>
        <family val="3"/>
        <charset val="134"/>
      </rPr>
      <t>常规★</t>
    </r>
    <phoneticPr fontId="3" type="noConversion"/>
  </si>
  <si>
    <r>
      <rPr>
        <sz val="10"/>
        <rFont val="宋体"/>
        <family val="3"/>
        <charset val="134"/>
      </rPr>
      <t>√</t>
    </r>
    <phoneticPr fontId="5" type="noConversion"/>
  </si>
  <si>
    <r>
      <t xml:space="preserve">A. </t>
    </r>
    <r>
      <rPr>
        <sz val="10"/>
        <rFont val="宋体"/>
        <family val="3"/>
        <charset val="134"/>
      </rPr>
      <t>资产负债表中记录的固定资产清理是存在的，且已记录于恰当的账户</t>
    </r>
    <phoneticPr fontId="5" type="noConversion"/>
  </si>
  <si>
    <r>
      <t xml:space="preserve">B. </t>
    </r>
    <r>
      <rPr>
        <sz val="10"/>
        <rFont val="宋体"/>
        <family val="3"/>
        <charset val="134"/>
      </rPr>
      <t>所有应记录的固定资产清理均已记录，所有应当包括在财务报表中的相关披露均已包括</t>
    </r>
    <phoneticPr fontId="5" type="noConversion"/>
  </si>
  <si>
    <r>
      <rPr>
        <b/>
        <sz val="10"/>
        <rFont val="宋体"/>
        <family val="3"/>
        <charset val="134"/>
      </rPr>
      <t>序号</t>
    </r>
    <phoneticPr fontId="5" type="noConversion"/>
  </si>
  <si>
    <r>
      <rPr>
        <b/>
        <sz val="10"/>
        <rFont val="宋体"/>
        <family val="3"/>
        <charset val="134"/>
      </rPr>
      <t>财务报表的认定</t>
    </r>
    <phoneticPr fontId="5" type="noConversion"/>
  </si>
  <si>
    <r>
      <rPr>
        <b/>
        <sz val="10"/>
        <rFont val="宋体"/>
        <family val="3"/>
        <charset val="134"/>
      </rPr>
      <t>一、本账户涉及的科目</t>
    </r>
    <phoneticPr fontId="5" type="noConversion"/>
  </si>
  <si>
    <r>
      <t xml:space="preserve">D. </t>
    </r>
    <r>
      <rPr>
        <sz val="10"/>
        <rFont val="宋体"/>
        <family val="3"/>
        <charset val="134"/>
      </rPr>
      <t>固定资产清理以恰当的金额包括在财务报表中，与之相关的计价或分摊调整已恰当记录，相关披露已得到恰当计量和描述</t>
    </r>
    <r>
      <rPr>
        <sz val="10"/>
        <rFont val="Arial Narrow"/>
        <family val="2"/>
      </rPr>
      <t xml:space="preserve"> </t>
    </r>
    <phoneticPr fontId="5" type="noConversion"/>
  </si>
  <si>
    <r>
      <rPr>
        <b/>
        <sz val="10"/>
        <rFont val="宋体"/>
        <family val="3"/>
        <charset val="134"/>
      </rPr>
      <t>程序分类</t>
    </r>
    <phoneticPr fontId="5" type="noConversion"/>
  </si>
  <si>
    <r>
      <rPr>
        <b/>
        <sz val="10"/>
        <rFont val="宋体"/>
        <family val="3"/>
        <charset val="134"/>
      </rPr>
      <t>存在</t>
    </r>
    <phoneticPr fontId="5" type="noConversion"/>
  </si>
  <si>
    <r>
      <rPr>
        <b/>
        <sz val="10"/>
        <rFont val="宋体"/>
        <family val="3"/>
        <charset val="134"/>
      </rPr>
      <t>完整性</t>
    </r>
    <phoneticPr fontId="5" type="noConversion"/>
  </si>
  <si>
    <r>
      <t>A 1-1/</t>
    </r>
    <r>
      <rPr>
        <sz val="10"/>
        <color rgb="FFFF0000"/>
        <rFont val="Arial Narrow"/>
        <family val="2"/>
      </rPr>
      <t>A1-15 /A1-16</t>
    </r>
    <phoneticPr fontId="5" type="noConversion"/>
  </si>
  <si>
    <r>
      <rPr>
        <b/>
        <sz val="10"/>
        <color indexed="8"/>
        <rFont val="宋体"/>
        <family val="3"/>
        <charset val="134"/>
      </rPr>
      <t>项目</t>
    </r>
  </si>
  <si>
    <r>
      <rPr>
        <b/>
        <sz val="10"/>
        <rFont val="宋体"/>
        <family val="3"/>
        <charset val="134"/>
      </rPr>
      <t>期初数</t>
    </r>
    <phoneticPr fontId="5" type="noConversion"/>
  </si>
  <si>
    <r>
      <rPr>
        <b/>
        <sz val="10"/>
        <rFont val="宋体"/>
        <family val="3"/>
        <charset val="134"/>
      </rPr>
      <t>期末数</t>
    </r>
    <phoneticPr fontId="5" type="noConversion"/>
  </si>
  <si>
    <r>
      <rPr>
        <b/>
        <sz val="10"/>
        <color indexed="8"/>
        <rFont val="宋体"/>
        <family val="3"/>
        <charset val="134"/>
      </rPr>
      <t>本期审定数与上期
审定数的比较</t>
    </r>
    <phoneticPr fontId="5" type="noConversion"/>
  </si>
  <si>
    <r>
      <rPr>
        <b/>
        <sz val="10"/>
        <rFont val="宋体"/>
        <family val="3"/>
        <charset val="134"/>
      </rPr>
      <t>未审数</t>
    </r>
    <phoneticPr fontId="5" type="noConversion"/>
  </si>
  <si>
    <r>
      <rPr>
        <b/>
        <sz val="10"/>
        <rFont val="宋体"/>
        <family val="3"/>
        <charset val="134"/>
      </rPr>
      <t>账项调整</t>
    </r>
    <phoneticPr fontId="5" type="noConversion"/>
  </si>
  <si>
    <r>
      <rPr>
        <b/>
        <sz val="10"/>
        <rFont val="宋体"/>
        <family val="3"/>
        <charset val="134"/>
      </rPr>
      <t>审定数</t>
    </r>
    <phoneticPr fontId="5" type="noConversion"/>
  </si>
  <si>
    <r>
      <rPr>
        <b/>
        <sz val="10"/>
        <rFont val="宋体"/>
        <family val="3"/>
        <charset val="134"/>
      </rPr>
      <t>变动额</t>
    </r>
    <phoneticPr fontId="5" type="noConversion"/>
  </si>
  <si>
    <r>
      <rPr>
        <b/>
        <sz val="10"/>
        <color indexed="8"/>
        <rFont val="宋体"/>
        <family val="3"/>
        <charset val="134"/>
      </rPr>
      <t>变动率</t>
    </r>
    <phoneticPr fontId="5" type="noConversion"/>
  </si>
  <si>
    <r>
      <rPr>
        <b/>
        <sz val="10"/>
        <color indexed="8"/>
        <rFont val="宋体"/>
        <family val="3"/>
        <charset val="134"/>
      </rPr>
      <t>合计</t>
    </r>
    <phoneticPr fontId="5" type="noConversion"/>
  </si>
  <si>
    <r>
      <t>1</t>
    </r>
    <r>
      <rPr>
        <b/>
        <sz val="10"/>
        <rFont val="宋体"/>
        <family val="3"/>
        <charset val="134"/>
      </rPr>
      <t>、审计说明</t>
    </r>
    <r>
      <rPr>
        <sz val="10"/>
        <color indexed="12"/>
        <rFont val="宋体"/>
        <family val="3"/>
        <charset val="134"/>
      </rPr>
      <t/>
    </r>
    <phoneticPr fontId="5" type="noConversion"/>
  </si>
  <si>
    <r>
      <rPr>
        <sz val="10"/>
        <rFont val="宋体"/>
        <family val="3"/>
        <charset val="134"/>
      </rPr>
      <t>（</t>
    </r>
    <r>
      <rPr>
        <sz val="10"/>
        <rFont val="Arial Narrow"/>
        <family val="2"/>
      </rPr>
      <t>1</t>
    </r>
    <r>
      <rPr>
        <sz val="10"/>
        <rFont val="宋体"/>
        <family val="3"/>
        <charset val="134"/>
      </rPr>
      <t>）固定资产清理期末余额较期初余额增加（负数为减少）：</t>
    </r>
    <phoneticPr fontId="5"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</si>
  <si>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5" type="noConversion"/>
  </si>
  <si>
    <r>
      <rPr>
        <sz val="10"/>
        <rFont val="宋体"/>
        <family val="3"/>
        <charset val="134"/>
      </rPr>
      <t>（</t>
    </r>
    <r>
      <rPr>
        <sz val="10"/>
        <rFont val="Arial Narrow"/>
        <family val="2"/>
      </rPr>
      <t>2</t>
    </r>
    <r>
      <rPr>
        <sz val="10"/>
        <rFont val="宋体"/>
        <family val="3"/>
        <charset val="134"/>
      </rPr>
      <t>）情况说明：</t>
    </r>
    <phoneticPr fontId="5" type="noConversion"/>
  </si>
  <si>
    <r>
      <rPr>
        <sz val="10"/>
        <rFont val="宋体"/>
        <family val="3"/>
        <charset val="134"/>
      </rPr>
      <t>期末数</t>
    </r>
    <phoneticPr fontId="8" type="noConversion"/>
  </si>
  <si>
    <r>
      <rPr>
        <sz val="10"/>
        <rFont val="宋体"/>
        <family val="3"/>
        <charset val="134"/>
      </rPr>
      <t>期初数</t>
    </r>
    <phoneticPr fontId="8" type="noConversion"/>
  </si>
  <si>
    <r>
      <rPr>
        <sz val="10"/>
        <rFont val="宋体"/>
        <family val="3"/>
        <charset val="134"/>
      </rPr>
      <t>固定资产净值审定数</t>
    </r>
    <phoneticPr fontId="8" type="noConversion"/>
  </si>
  <si>
    <r>
      <rPr>
        <sz val="10"/>
        <rFont val="宋体"/>
        <family val="3"/>
        <charset val="134"/>
      </rPr>
      <t>固定资产清理审定数</t>
    </r>
    <phoneticPr fontId="8" type="noConversion"/>
  </si>
  <si>
    <r>
      <rPr>
        <sz val="10"/>
        <rFont val="宋体"/>
        <family val="3"/>
        <charset val="134"/>
      </rPr>
      <t>固定资产与固定资产清理合计数</t>
    </r>
    <phoneticPr fontId="8" type="noConversion"/>
  </si>
  <si>
    <r>
      <rPr>
        <sz val="10"/>
        <rFont val="宋体"/>
        <family val="3"/>
        <charset val="134"/>
      </rPr>
      <t>报表数</t>
    </r>
    <phoneticPr fontId="8" type="noConversion"/>
  </si>
  <si>
    <r>
      <rPr>
        <sz val="10"/>
        <rFont val="宋体"/>
        <family val="3"/>
        <charset val="134"/>
      </rPr>
      <t>差异</t>
    </r>
    <phoneticPr fontId="8" type="noConversion"/>
  </si>
  <si>
    <r>
      <t>2</t>
    </r>
    <r>
      <rPr>
        <b/>
        <sz val="10"/>
        <rFont val="宋体"/>
        <family val="3"/>
        <charset val="134"/>
      </rPr>
      <t>、审计结论</t>
    </r>
    <phoneticPr fontId="5" type="noConversion"/>
  </si>
  <si>
    <r>
      <rPr>
        <b/>
        <sz val="10"/>
        <rFont val="宋体"/>
        <family val="3"/>
        <charset val="134"/>
      </rPr>
      <t>一、审计目标：</t>
    </r>
    <phoneticPr fontId="32" type="noConversion"/>
  </si>
  <si>
    <r>
      <t xml:space="preserve">3. </t>
    </r>
    <r>
      <rPr>
        <sz val="10"/>
        <rFont val="宋体"/>
        <family val="3"/>
        <charset val="134"/>
      </rPr>
      <t>固定资产清理以恰当的金额包括在财务报表中，与之相关的计价或分摊调整已恰当记录，相关披露已得到恰当计量和描述。</t>
    </r>
    <phoneticPr fontId="3" type="noConversion"/>
  </si>
  <si>
    <r>
      <rPr>
        <b/>
        <sz val="10"/>
        <rFont val="宋体"/>
        <family val="3"/>
        <charset val="134"/>
      </rPr>
      <t>二、审计过程：</t>
    </r>
    <phoneticPr fontId="5" type="noConversion"/>
  </si>
  <si>
    <r>
      <rPr>
        <b/>
        <sz val="10"/>
        <color theme="1"/>
        <rFont val="宋体"/>
        <family val="3"/>
        <charset val="134"/>
      </rPr>
      <t>项目</t>
    </r>
    <phoneticPr fontId="5" type="noConversion"/>
  </si>
  <si>
    <r>
      <rPr>
        <b/>
        <sz val="10"/>
        <color indexed="8"/>
        <rFont val="宋体"/>
        <family val="3"/>
        <charset val="134"/>
      </rPr>
      <t>账项调整</t>
    </r>
    <phoneticPr fontId="33" type="noConversion"/>
  </si>
  <si>
    <r>
      <rPr>
        <b/>
        <sz val="10"/>
        <rFont val="宋体"/>
        <family val="3"/>
        <charset val="134"/>
      </rPr>
      <t>审定数</t>
    </r>
    <phoneticPr fontId="5" type="noConversion"/>
  </si>
  <si>
    <r>
      <rPr>
        <b/>
        <sz val="10"/>
        <rFont val="宋体"/>
        <family val="3"/>
        <charset val="134"/>
      </rPr>
      <t>转入清理的原因</t>
    </r>
    <phoneticPr fontId="3" type="noConversion"/>
  </si>
  <si>
    <r>
      <rPr>
        <b/>
        <sz val="10"/>
        <rFont val="宋体"/>
        <family val="3"/>
        <charset val="134"/>
      </rPr>
      <t>转入清理的时间</t>
    </r>
    <phoneticPr fontId="3" type="noConversion"/>
  </si>
  <si>
    <r>
      <rPr>
        <b/>
        <sz val="10"/>
        <rFont val="宋体"/>
        <family val="3"/>
        <charset val="134"/>
      </rPr>
      <t>备注</t>
    </r>
    <phoneticPr fontId="5" type="noConversion"/>
  </si>
  <si>
    <r>
      <rPr>
        <b/>
        <sz val="10"/>
        <rFont val="宋体"/>
        <family val="3"/>
        <charset val="134"/>
      </rPr>
      <t>本期增加</t>
    </r>
    <phoneticPr fontId="5" type="noConversion"/>
  </si>
  <si>
    <r>
      <rPr>
        <b/>
        <sz val="10"/>
        <rFont val="宋体"/>
        <family val="3"/>
        <charset val="134"/>
      </rPr>
      <t>期初数</t>
    </r>
    <phoneticPr fontId="5" type="noConversion"/>
  </si>
  <si>
    <r>
      <rPr>
        <b/>
        <sz val="10"/>
        <rFont val="宋体"/>
        <family val="3"/>
        <charset val="134"/>
      </rPr>
      <t>本期减少</t>
    </r>
    <phoneticPr fontId="5" type="noConversion"/>
  </si>
  <si>
    <r>
      <rPr>
        <b/>
        <sz val="10"/>
        <color indexed="8"/>
        <rFont val="宋体"/>
        <family val="3"/>
        <charset val="134"/>
      </rPr>
      <t>　合计</t>
    </r>
  </si>
  <si>
    <r>
      <rPr>
        <b/>
        <sz val="10"/>
        <color theme="1"/>
        <rFont val="宋体"/>
        <family val="3"/>
        <charset val="134"/>
      </rPr>
      <t>未审数</t>
    </r>
    <phoneticPr fontId="5" type="noConversion"/>
  </si>
  <si>
    <r>
      <rPr>
        <b/>
        <sz val="10"/>
        <color indexed="8"/>
        <rFont val="宋体"/>
        <family val="3"/>
        <charset val="134"/>
      </rPr>
      <t>期初调整</t>
    </r>
    <phoneticPr fontId="33" type="noConversion"/>
  </si>
  <si>
    <r>
      <rPr>
        <b/>
        <sz val="10"/>
        <color indexed="8"/>
        <rFont val="宋体"/>
        <family val="3"/>
        <charset val="134"/>
      </rPr>
      <t>本期增加</t>
    </r>
    <phoneticPr fontId="5" type="noConversion"/>
  </si>
  <si>
    <r>
      <t xml:space="preserve">1. </t>
    </r>
    <r>
      <rPr>
        <sz val="10"/>
        <rFont val="宋体"/>
        <family val="3"/>
        <charset val="134"/>
      </rPr>
      <t>资产负债表中记录的固定资产清理是存在的，且已记录于恰当的账户；</t>
    </r>
    <r>
      <rPr>
        <sz val="10"/>
        <rFont val="Arial Narrow"/>
        <family val="2"/>
      </rPr>
      <t xml:space="preserve">2. </t>
    </r>
    <r>
      <rPr>
        <sz val="10"/>
        <rFont val="宋体"/>
        <family val="3"/>
        <charset val="134"/>
      </rPr>
      <t>所有应记录的固定资产清理均已记录，所有应当包括在财务报表中的相关披露均已包括；</t>
    </r>
    <phoneticPr fontId="3" type="noConversion"/>
  </si>
  <si>
    <r>
      <rPr>
        <sz val="10"/>
        <color indexed="12"/>
        <rFont val="宋体"/>
        <family val="3"/>
        <charset val="134"/>
      </rPr>
      <t>属于自然灾害等非正常原因造成的损失，借记</t>
    </r>
    <r>
      <rPr>
        <sz val="10"/>
        <color indexed="12"/>
        <rFont val="Arial Narrow"/>
        <family val="2"/>
      </rPr>
      <t>“</t>
    </r>
    <r>
      <rPr>
        <sz val="10"/>
        <color indexed="12"/>
        <rFont val="宋体"/>
        <family val="3"/>
        <charset val="134"/>
      </rPr>
      <t>营业外支出</t>
    </r>
    <r>
      <rPr>
        <sz val="10"/>
        <color indexed="12"/>
        <rFont val="Arial Narrow"/>
        <family val="2"/>
      </rPr>
      <t>——</t>
    </r>
    <r>
      <rPr>
        <sz val="10"/>
        <color indexed="12"/>
        <rFont val="宋体"/>
        <family val="3"/>
        <charset val="134"/>
      </rPr>
      <t>非常损失</t>
    </r>
    <r>
      <rPr>
        <sz val="10"/>
        <color indexed="12"/>
        <rFont val="Arial Narrow"/>
        <family val="2"/>
      </rPr>
      <t>”</t>
    </r>
    <r>
      <rPr>
        <sz val="10"/>
        <color indexed="12"/>
        <rFont val="宋体"/>
        <family val="3"/>
        <charset val="134"/>
      </rPr>
      <t>科目，贷记本科目。如为贷方余额，借记本科目，贷记</t>
    </r>
    <r>
      <rPr>
        <sz val="10"/>
        <color indexed="12"/>
        <rFont val="Arial Narrow"/>
        <family val="2"/>
      </rPr>
      <t>“</t>
    </r>
    <r>
      <rPr>
        <sz val="10"/>
        <color indexed="12"/>
        <rFont val="宋体"/>
        <family val="3"/>
        <charset val="134"/>
      </rPr>
      <t>营业外收入</t>
    </r>
    <r>
      <rPr>
        <sz val="10"/>
        <color indexed="12"/>
        <rFont val="Arial Narrow"/>
        <family val="2"/>
      </rPr>
      <t>”</t>
    </r>
    <r>
      <rPr>
        <sz val="10"/>
        <color indexed="12"/>
        <rFont val="宋体"/>
        <family val="3"/>
        <charset val="134"/>
      </rPr>
      <t>科目。</t>
    </r>
  </si>
  <si>
    <r>
      <rPr>
        <b/>
        <sz val="10"/>
        <color indexed="8"/>
        <rFont val="宋体"/>
        <family val="3"/>
        <charset val="134"/>
      </rPr>
      <t>本期减少</t>
    </r>
    <phoneticPr fontId="5" type="noConversion"/>
  </si>
  <si>
    <r>
      <rPr>
        <b/>
        <sz val="10"/>
        <rFont val="宋体"/>
        <family val="3"/>
        <charset val="134"/>
      </rPr>
      <t>三、审计说明：</t>
    </r>
    <phoneticPr fontId="5" type="noConversion"/>
  </si>
  <si>
    <r>
      <rPr>
        <b/>
        <sz val="10"/>
        <rFont val="宋体"/>
        <family val="3"/>
        <charset val="134"/>
      </rPr>
      <t>四、审计结论：</t>
    </r>
    <phoneticPr fontId="3" type="noConversion"/>
  </si>
  <si>
    <r>
      <t>1</t>
    </r>
    <r>
      <rPr>
        <sz val="10"/>
        <color indexed="12"/>
        <rFont val="宋体"/>
        <family val="3"/>
        <charset val="134"/>
      </rPr>
      <t>、本科目核算企业因出售、报废、毁损、对外投资、非货币性资产交换、债务重组等原因转出的固定资产价值以及在清理过程中发生的费用等。</t>
    </r>
    <phoneticPr fontId="5" type="noConversion"/>
  </si>
  <si>
    <r>
      <t>2</t>
    </r>
    <r>
      <rPr>
        <sz val="10"/>
        <color indexed="12"/>
        <rFont val="宋体"/>
        <family val="3"/>
        <charset val="134"/>
      </rPr>
      <t>、固定资产清理完成后，属于生产经营期间正常的处理损失，借记</t>
    </r>
    <r>
      <rPr>
        <sz val="10"/>
        <color indexed="12"/>
        <rFont val="Arial Narrow"/>
        <family val="2"/>
      </rPr>
      <t>“</t>
    </r>
    <r>
      <rPr>
        <sz val="10"/>
        <color indexed="12"/>
        <rFont val="宋体"/>
        <family val="3"/>
        <charset val="134"/>
      </rPr>
      <t>营业外支出</t>
    </r>
    <r>
      <rPr>
        <sz val="10"/>
        <color indexed="12"/>
        <rFont val="Arial Narrow"/>
        <family val="2"/>
      </rPr>
      <t>——</t>
    </r>
    <r>
      <rPr>
        <sz val="10"/>
        <color indexed="12"/>
        <rFont val="宋体"/>
        <family val="3"/>
        <charset val="134"/>
      </rPr>
      <t>处置非流动资产损失</t>
    </r>
    <r>
      <rPr>
        <sz val="10"/>
        <color indexed="12"/>
        <rFont val="Arial Narrow"/>
        <family val="2"/>
      </rPr>
      <t>”</t>
    </r>
    <r>
      <rPr>
        <sz val="10"/>
        <color indexed="12"/>
        <rFont val="宋体"/>
        <family val="3"/>
        <charset val="134"/>
      </rPr>
      <t>科目，贷记本科目；</t>
    </r>
    <phoneticPr fontId="5" type="noConversion"/>
  </si>
  <si>
    <r>
      <rPr>
        <b/>
        <sz val="10"/>
        <color indexed="8"/>
        <rFont val="宋体"/>
        <family val="3"/>
        <charset val="134"/>
      </rPr>
      <t>调整事项说明</t>
    </r>
    <phoneticPr fontId="5" type="noConversion"/>
  </si>
  <si>
    <r>
      <rPr>
        <b/>
        <sz val="10"/>
        <color indexed="8"/>
        <rFont val="宋体"/>
        <family val="3"/>
        <charset val="134"/>
      </rPr>
      <t>报表项目</t>
    </r>
    <phoneticPr fontId="3" type="noConversion"/>
  </si>
  <si>
    <r>
      <rPr>
        <b/>
        <sz val="10"/>
        <rFont val="宋体"/>
        <family val="3"/>
        <charset val="134"/>
      </rPr>
      <t>贷方调整金额</t>
    </r>
    <phoneticPr fontId="5" type="noConversion"/>
  </si>
  <si>
    <r>
      <rPr>
        <b/>
        <sz val="10"/>
        <color indexed="8"/>
        <rFont val="宋体"/>
        <family val="3"/>
        <charset val="134"/>
      </rPr>
      <t>类别（报表调整</t>
    </r>
    <r>
      <rPr>
        <b/>
        <sz val="10"/>
        <color indexed="8"/>
        <rFont val="Arial Narrow"/>
        <family val="2"/>
      </rPr>
      <t>/</t>
    </r>
    <r>
      <rPr>
        <b/>
        <sz val="10"/>
        <color indexed="8"/>
        <rFont val="宋体"/>
        <family val="3"/>
        <charset val="134"/>
      </rPr>
      <t>账项调整</t>
    </r>
    <r>
      <rPr>
        <b/>
        <sz val="10"/>
        <color indexed="8"/>
        <rFont val="Arial Narrow"/>
        <family val="2"/>
      </rPr>
      <t>/</t>
    </r>
    <r>
      <rPr>
        <b/>
        <sz val="10"/>
        <color indexed="8"/>
        <rFont val="宋体"/>
        <family val="3"/>
        <charset val="134"/>
      </rPr>
      <t>其他）</t>
    </r>
    <phoneticPr fontId="5" type="noConversion"/>
  </si>
  <si>
    <r>
      <rPr>
        <b/>
        <sz val="10"/>
        <rFont val="宋体"/>
        <family val="3"/>
        <charset val="134"/>
      </rPr>
      <t>科目名称</t>
    </r>
    <phoneticPr fontId="5" type="noConversion"/>
  </si>
  <si>
    <r>
      <rPr>
        <b/>
        <sz val="10"/>
        <rFont val="宋体"/>
        <family val="3"/>
        <charset val="134"/>
      </rPr>
      <t>附注项目</t>
    </r>
    <phoneticPr fontId="5" type="noConversion"/>
  </si>
  <si>
    <r>
      <rPr>
        <b/>
        <sz val="10"/>
        <rFont val="宋体"/>
        <family val="3"/>
        <charset val="134"/>
      </rPr>
      <t>借方调整金额</t>
    </r>
    <phoneticPr fontId="5" type="noConversion"/>
  </si>
  <si>
    <r>
      <rPr>
        <b/>
        <sz val="10"/>
        <rFont val="宋体"/>
        <family val="3"/>
        <charset val="134"/>
      </rPr>
      <t>索引</t>
    </r>
    <phoneticPr fontId="5" type="noConversion"/>
  </si>
  <si>
    <t>固定资产清理检查表</t>
    <phoneticPr fontId="5" type="noConversion"/>
  </si>
  <si>
    <r>
      <rPr>
        <b/>
        <sz val="10"/>
        <rFont val="宋体"/>
        <family val="3"/>
        <charset val="134"/>
      </rPr>
      <t>一、审计目标：</t>
    </r>
    <phoneticPr fontId="32" type="noConversion"/>
  </si>
  <si>
    <r>
      <t xml:space="preserve">1. </t>
    </r>
    <r>
      <rPr>
        <sz val="10"/>
        <rFont val="宋体"/>
        <family val="3"/>
        <charset val="134"/>
      </rPr>
      <t>资产负债表中记录的固定资产清理是存在的，且已记录于恰当的账户；</t>
    </r>
    <r>
      <rPr>
        <sz val="10"/>
        <rFont val="Arial Narrow"/>
        <family val="2"/>
      </rPr>
      <t xml:space="preserve">2. </t>
    </r>
    <r>
      <rPr>
        <sz val="10"/>
        <rFont val="宋体"/>
        <family val="3"/>
        <charset val="134"/>
      </rPr>
      <t>所有应记录的固定资产清理均已记录，所有应当包括在财务报表中的相关披露均已包括；</t>
    </r>
    <phoneticPr fontId="3" type="noConversion"/>
  </si>
  <si>
    <r>
      <t xml:space="preserve">3. </t>
    </r>
    <r>
      <rPr>
        <sz val="10"/>
        <rFont val="宋体"/>
        <family val="3"/>
        <charset val="134"/>
      </rPr>
      <t>记录的固定资产清理由被审计单位拥有或控制；</t>
    </r>
    <r>
      <rPr>
        <sz val="10"/>
        <rFont val="Arial Narrow"/>
        <family val="2"/>
      </rPr>
      <t xml:space="preserve">4. </t>
    </r>
    <r>
      <rPr>
        <sz val="10"/>
        <rFont val="宋体"/>
        <family val="3"/>
        <charset val="134"/>
      </rPr>
      <t>固定资产清理以恰当的金额包括在财务报表中，与之相关的计价或分摊调整已恰当记录，相关披露已得到恰当计量和描述。</t>
    </r>
    <phoneticPr fontId="3" type="noConversion"/>
  </si>
  <si>
    <r>
      <rPr>
        <b/>
        <sz val="10"/>
        <rFont val="宋体"/>
        <family val="3"/>
        <charset val="134"/>
      </rPr>
      <t>固定资产类别</t>
    </r>
    <phoneticPr fontId="5" type="noConversion"/>
  </si>
  <si>
    <r>
      <rPr>
        <b/>
        <sz val="10"/>
        <rFont val="宋体"/>
        <family val="3"/>
        <charset val="134"/>
      </rPr>
      <t>固定资产名称</t>
    </r>
    <phoneticPr fontId="5" type="noConversion"/>
  </si>
  <si>
    <r>
      <rPr>
        <b/>
        <sz val="10"/>
        <rFont val="宋体"/>
        <family val="3"/>
        <charset val="134"/>
      </rPr>
      <t>被清理固定资产情况</t>
    </r>
    <phoneticPr fontId="5" type="noConversion"/>
  </si>
  <si>
    <r>
      <rPr>
        <b/>
        <sz val="10"/>
        <color indexed="8"/>
        <rFont val="宋体"/>
        <family val="3"/>
        <charset val="134"/>
      </rPr>
      <t>清理净损益</t>
    </r>
    <phoneticPr fontId="3" type="noConversion"/>
  </si>
  <si>
    <r>
      <rPr>
        <b/>
        <sz val="10"/>
        <rFont val="宋体"/>
        <family val="3"/>
        <charset val="134"/>
      </rPr>
      <t>转营业外收入（支出）</t>
    </r>
    <phoneticPr fontId="3" type="noConversion"/>
  </si>
  <si>
    <r>
      <rPr>
        <b/>
        <sz val="10"/>
        <rFont val="宋体"/>
        <family val="3"/>
        <charset val="134"/>
      </rPr>
      <t>转资产处置收益</t>
    </r>
    <phoneticPr fontId="3" type="noConversion"/>
  </si>
  <si>
    <r>
      <rPr>
        <b/>
        <sz val="10"/>
        <rFont val="宋体"/>
        <family val="3"/>
        <charset val="134"/>
      </rPr>
      <t>相关文件和附件索引</t>
    </r>
    <phoneticPr fontId="3" type="noConversion"/>
  </si>
  <si>
    <r>
      <rPr>
        <b/>
        <sz val="10"/>
        <rFont val="宋体"/>
        <family val="3"/>
        <charset val="134"/>
      </rPr>
      <t>原值</t>
    </r>
    <phoneticPr fontId="3" type="noConversion"/>
  </si>
  <si>
    <r>
      <rPr>
        <b/>
        <sz val="10"/>
        <rFont val="宋体"/>
        <family val="3"/>
        <charset val="134"/>
      </rPr>
      <t>累计折旧</t>
    </r>
    <phoneticPr fontId="3" type="noConversion"/>
  </si>
  <si>
    <r>
      <rPr>
        <b/>
        <sz val="10"/>
        <rFont val="宋体"/>
        <family val="3"/>
        <charset val="134"/>
      </rPr>
      <t>减值准备</t>
    </r>
    <phoneticPr fontId="3" type="noConversion"/>
  </si>
  <si>
    <r>
      <rPr>
        <b/>
        <sz val="10"/>
        <rFont val="宋体"/>
        <family val="3"/>
        <charset val="134"/>
      </rPr>
      <t>净值</t>
    </r>
    <phoneticPr fontId="3" type="noConversion"/>
  </si>
  <si>
    <t>固定资产清理审定表</t>
    <phoneticPr fontId="5" type="noConversion"/>
  </si>
  <si>
    <t>致同会计师事务所</t>
    <phoneticPr fontId="3" type="noConversion"/>
  </si>
  <si>
    <t>固定资产清理实质性程序表</t>
    <phoneticPr fontId="3" type="noConversion"/>
  </si>
  <si>
    <t>固定资产清理明细表</t>
    <phoneticPr fontId="5" type="noConversion"/>
  </si>
  <si>
    <r>
      <rPr>
        <b/>
        <sz val="10"/>
        <rFont val="宋体"/>
        <family val="3"/>
        <charset val="134"/>
      </rPr>
      <t>内容</t>
    </r>
  </si>
  <si>
    <r>
      <rPr>
        <b/>
        <sz val="10"/>
        <rFont val="宋体"/>
        <family val="3"/>
        <charset val="134"/>
      </rPr>
      <t>序号</t>
    </r>
    <phoneticPr fontId="5" type="noConversion"/>
  </si>
  <si>
    <r>
      <rPr>
        <b/>
        <sz val="10"/>
        <rFont val="宋体"/>
        <family val="3"/>
        <charset val="134"/>
      </rPr>
      <t>索引号</t>
    </r>
    <phoneticPr fontId="5" type="noConversion"/>
  </si>
  <si>
    <r>
      <rPr>
        <b/>
        <sz val="10"/>
        <rFont val="宋体"/>
        <family val="3"/>
        <charset val="134"/>
      </rPr>
      <t>备注</t>
    </r>
    <phoneticPr fontId="5" type="noConversion"/>
  </si>
  <si>
    <t>索引号：</t>
    <phoneticPr fontId="5" type="noConversion"/>
  </si>
  <si>
    <t>页  次：</t>
    <phoneticPr fontId="5" type="noConversion"/>
  </si>
  <si>
    <t>页  次：</t>
    <phoneticPr fontId="5" type="noConversion"/>
  </si>
  <si>
    <t>3.审计说明可以概述:(1)程序的测试情况、结果;(2)拟调整事项及其调整分录、未调整事项及其影响，审计范围受到限制情况及其影响。</t>
    <phoneticPr fontId="5" type="noConversion"/>
  </si>
  <si>
    <t>4.审计结论可参考：A、未见异常。 B、除上述重大不符事项应当作为调整事项予以调整外，其余未见异常。
C、由于存在以下重大未调整事项(或审计范围受到限制无法获取充分、适当证据)，不可确认。</t>
    <phoneticPr fontId="5" type="noConversion"/>
  </si>
  <si>
    <t>1</t>
    <phoneticPr fontId="3" type="noConversion"/>
  </si>
  <si>
    <t>3</t>
  </si>
  <si>
    <t>4</t>
  </si>
  <si>
    <t>5</t>
  </si>
  <si>
    <t>6</t>
  </si>
  <si>
    <t>7</t>
  </si>
  <si>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5" type="noConversion"/>
  </si>
  <si>
    <t>提示：本底稿适用于调整分录较多、较复杂的项目，且仅列示与本报表项目相关的审计调整。项目组可根据项目实际情况选择是否使用该底稿。</t>
    <phoneticPr fontId="5" type="noConversion"/>
  </si>
  <si>
    <t>提示：</t>
    <phoneticPr fontId="5" type="noConversion"/>
  </si>
  <si>
    <r>
      <rPr>
        <sz val="10"/>
        <rFont val="宋体"/>
        <family val="3"/>
        <charset val="134"/>
      </rPr>
      <t>准确性、计价和分摊</t>
    </r>
    <phoneticPr fontId="5" type="noConversion"/>
  </si>
  <si>
    <r>
      <rPr>
        <sz val="10"/>
        <color theme="1"/>
        <rFont val="宋体"/>
        <family val="3"/>
        <charset val="134"/>
      </rPr>
      <t>√</t>
    </r>
    <phoneticPr fontId="5" type="noConversion"/>
  </si>
  <si>
    <r>
      <rPr>
        <b/>
        <sz val="10"/>
        <color theme="1"/>
        <rFont val="宋体"/>
        <family val="3"/>
        <charset val="134"/>
      </rPr>
      <t>√</t>
    </r>
    <phoneticPr fontId="5" type="noConversion"/>
  </si>
  <si>
    <r>
      <rPr>
        <b/>
        <sz val="10"/>
        <rFont val="宋体"/>
        <family val="3"/>
        <charset val="134"/>
      </rPr>
      <t>√</t>
    </r>
    <phoneticPr fontId="5" type="noConversion"/>
  </si>
  <si>
    <r>
      <rPr>
        <sz val="10"/>
        <rFont val="宋体"/>
        <family val="3"/>
        <charset val="134"/>
      </rPr>
      <t>√</t>
    </r>
    <phoneticPr fontId="5"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</si>
  <si>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phoneticPr fontId="3" type="noConversion"/>
  </si>
  <si>
    <r>
      <t>对期初余额的审计，取得上期固定资产清理明细表复核加计是否正确，与总账、明细账合计数是否相符；检查期初固定资产清理在本期处置情况；对单项金额重大资产检查支持性文件，其他必要追加的审计程序。</t>
    </r>
    <r>
      <rPr>
        <sz val="10"/>
        <color rgb="FFFF0000"/>
        <rFont val="宋体"/>
        <family val="3"/>
        <charset val="134"/>
      </rPr>
      <t>（适用于首次承接）</t>
    </r>
    <phoneticPr fontId="5" type="noConversion"/>
  </si>
  <si>
    <r>
      <rPr>
        <b/>
        <sz val="10"/>
        <rFont val="宋体"/>
        <family val="3"/>
        <charset val="134"/>
      </rPr>
      <t>√</t>
    </r>
    <phoneticPr fontId="5" type="noConversion"/>
  </si>
  <si>
    <r>
      <rPr>
        <sz val="10"/>
        <rFont val="宋体"/>
        <family val="3"/>
        <charset val="134"/>
      </rPr>
      <t>√</t>
    </r>
    <phoneticPr fontId="5" type="noConversion"/>
  </si>
  <si>
    <t>获取或编制固定资产清理的明细表，完成以下工作，并编制审定表：
（1）复核加计是否正确，并与总账数和明细账合计数核对是否相符，期初余额与上期审定期末余额是否相符；
（2）分析固定资产清理与上期变动情况；
（3）关注固定资产清理是否长期挂账。</t>
    <phoneticPr fontId="5" type="noConversion"/>
  </si>
  <si>
    <r>
      <rPr>
        <sz val="10"/>
        <rFont val="宋体"/>
        <family val="3"/>
        <charset val="134"/>
      </rPr>
      <t>检查本期固定资产清理：
（</t>
    </r>
    <r>
      <rPr>
        <sz val="10"/>
        <rFont val="Arial Narrow"/>
        <family val="2"/>
      </rPr>
      <t>1</t>
    </r>
    <r>
      <rPr>
        <sz val="10"/>
        <rFont val="宋体"/>
        <family val="3"/>
        <charset val="134"/>
      </rPr>
      <t>）检查固定资产清理发生的原因（出售、报废、毁损、对外投资、非货币性资产交换、债务重组等），是否经有关授权批准；
（</t>
    </r>
    <r>
      <rPr>
        <sz val="10"/>
        <rFont val="Arial Narrow"/>
        <family val="2"/>
      </rPr>
      <t>2</t>
    </r>
    <r>
      <rPr>
        <sz val="10"/>
        <rFont val="宋体"/>
        <family val="3"/>
        <charset val="134"/>
      </rPr>
      <t>）结合固定资产等科目的审计，检查原值、累计折旧和减值准备等账面转入额是否正确，清理收人和清理费用的发生是否真实，清理净损益的计算是否正确，会计处理是否正确。</t>
    </r>
    <phoneticPr fontId="3" type="noConversion"/>
  </si>
  <si>
    <t>检查关联交易情况，检查关联交易的真实性、合理性及合规性；检查关联交易会计处理是否正确，考虑是否存在未识别的关联方，检查关联交易和余额披露是否正确。</t>
    <phoneticPr fontId="3" type="noConversion"/>
  </si>
  <si>
    <t>根据评估的舞弊风险等因素增加的审计程序。</t>
    <phoneticPr fontId="5" type="noConversion"/>
  </si>
  <si>
    <t>IPO/上市/新三板/重组/舞弊应对</t>
    <phoneticPr fontId="3" type="noConversion"/>
  </si>
  <si>
    <t>检查固定资产清理是否已按企业会计准则或其他适用的规定在财务报表中做出恰当列报和披露</t>
    <phoneticPr fontId="3" type="noConversion"/>
  </si>
  <si>
    <r>
      <rPr>
        <sz val="9"/>
        <color rgb="FF0000FF"/>
        <rFont val="宋体"/>
        <family val="3"/>
        <charset val="134"/>
      </rPr>
      <t>可参见《审计手册》</t>
    </r>
    <r>
      <rPr>
        <sz val="9"/>
        <color rgb="FF0000FF"/>
        <rFont val="Arial Narrow"/>
        <family val="2"/>
      </rPr>
      <t>4.2.6</t>
    </r>
    <r>
      <rPr>
        <sz val="9"/>
        <color rgb="FF0000FF"/>
        <rFont val="宋体"/>
        <family val="3"/>
        <charset val="134"/>
      </rPr>
      <t xml:space="preserve">，由被审计单位生成的信息可能是由系统生成的、或手工编制的、或二者兼而有之的方式生成的。例如，由被审计单位生成的信息可能包括：
</t>
    </r>
    <r>
      <rPr>
        <sz val="9"/>
        <color rgb="FF0000FF"/>
        <rFont val="Arial Narrow"/>
        <family val="2"/>
      </rPr>
      <t xml:space="preserve">• </t>
    </r>
    <r>
      <rPr>
        <sz val="9"/>
        <color rgb="FF0000FF"/>
        <rFont val="宋体"/>
        <family val="3"/>
        <charset val="134"/>
      </rPr>
      <t xml:space="preserve">不涉及自定义的、由系统生成的报告（如，固定格式报告）；
</t>
    </r>
    <r>
      <rPr>
        <sz val="9"/>
        <color rgb="FF0000FF"/>
        <rFont val="Arial Narrow"/>
        <family val="2"/>
      </rPr>
      <t xml:space="preserve">• </t>
    </r>
    <r>
      <rPr>
        <sz val="9"/>
        <color rgb="FF0000FF"/>
        <rFont val="宋体"/>
        <family val="3"/>
        <charset val="134"/>
      </rPr>
      <t xml:space="preserve">可能通过人工自定义的、由系统生成的报告，例如，（计算机）查询信息或特别定制的报告；
</t>
    </r>
    <r>
      <rPr>
        <sz val="9"/>
        <color rgb="FF0000FF"/>
        <rFont val="Arial Narrow"/>
        <family val="2"/>
      </rPr>
      <t xml:space="preserve">• </t>
    </r>
    <r>
      <rPr>
        <sz val="9"/>
        <color rgb="FF0000FF"/>
        <rFont val="宋体"/>
        <family val="3"/>
        <charset val="134"/>
      </rPr>
      <t xml:space="preserve">手工编制的信息，例如，汇总信息的电子表格或用以支持分配、计算以及调节的电子表格；
</t>
    </r>
    <r>
      <rPr>
        <sz val="9"/>
        <color rgb="FF0000FF"/>
        <rFont val="Arial Narrow"/>
        <family val="2"/>
      </rPr>
      <t xml:space="preserve">• </t>
    </r>
    <r>
      <rPr>
        <sz val="9"/>
        <color rgb="FF0000FF"/>
        <rFont val="宋体"/>
        <family val="3"/>
        <charset val="134"/>
      </rPr>
      <t xml:space="preserve">其他系统生成或手工编制的信息，例如，由被审计单位编制的客户发票；
</t>
    </r>
    <r>
      <rPr>
        <sz val="9"/>
        <color rgb="FF0000FF"/>
        <rFont val="Arial Narrow"/>
        <family val="2"/>
      </rPr>
      <t xml:space="preserve">• </t>
    </r>
    <r>
      <rPr>
        <sz val="9"/>
        <color rgb="FF0000FF"/>
        <rFont val="宋体"/>
        <family val="3"/>
        <charset val="134"/>
      </rPr>
      <t>通过影印、拍摄、扫描或其他方式转换成电子形式的文件记录。</t>
    </r>
    <phoneticPr fontId="3" type="noConversion"/>
  </si>
  <si>
    <r>
      <rPr>
        <sz val="9"/>
        <color rgb="FF0000FF"/>
        <rFont val="宋体"/>
        <family val="3"/>
        <charset val="134"/>
      </rPr>
      <t xml:space="preserve">由被审计单位生成的信息不包括：
</t>
    </r>
    <r>
      <rPr>
        <sz val="9"/>
        <color rgb="FF0000FF"/>
        <rFont val="Arial Narrow"/>
        <family val="2"/>
      </rPr>
      <t xml:space="preserve">• </t>
    </r>
    <r>
      <rPr>
        <sz val="9"/>
        <color rgb="FF0000FF"/>
        <rFont val="宋体"/>
        <family val="3"/>
        <charset val="134"/>
      </rPr>
      <t xml:space="preserve">总分类账或明细分类账、试算平衡表、或经审计的财务报表；
</t>
    </r>
    <r>
      <rPr>
        <sz val="9"/>
        <color rgb="FF0000FF"/>
        <rFont val="Arial Narrow"/>
        <family val="2"/>
      </rPr>
      <t xml:space="preserve">• </t>
    </r>
    <r>
      <rPr>
        <sz val="9"/>
        <color rgb="FF0000FF"/>
        <rFont val="宋体"/>
        <family val="3"/>
        <charset val="134"/>
      </rPr>
      <t xml:space="preserve">第三方（除了服务机构）的报表或报告，例如，原始银行对账单，或函证的回函；
</t>
    </r>
    <r>
      <rPr>
        <sz val="9"/>
        <color rgb="FF0000FF"/>
        <rFont val="Arial Narrow"/>
        <family val="2"/>
      </rPr>
      <t xml:space="preserve">• </t>
    </r>
    <r>
      <rPr>
        <sz val="9"/>
        <color rgb="FF0000FF"/>
        <rFont val="宋体"/>
        <family val="3"/>
        <charset val="134"/>
      </rPr>
      <t>外部数据（例如，第三方发布的数据，如，定价来源）。</t>
    </r>
    <phoneticPr fontId="3" type="noConversion"/>
  </si>
  <si>
    <t>测试原因：大额（）关联方（）大额交易频繁（）异常（）其他（）</t>
    <phoneticPr fontId="5" type="noConversion"/>
  </si>
  <si>
    <t>二、测试过程：</t>
    <phoneticPr fontId="32" type="noConversion"/>
  </si>
  <si>
    <t>三、审计说明：</t>
    <phoneticPr fontId="32" type="noConversion"/>
  </si>
  <si>
    <t>四、审计结论：</t>
    <phoneticPr fontId="3" type="noConversion"/>
  </si>
  <si>
    <t>固定资产清理实质性程序表</t>
    <phoneticPr fontId="3" type="noConversion"/>
  </si>
  <si>
    <t>审定表</t>
    <phoneticPr fontId="3" type="noConversion"/>
  </si>
  <si>
    <t>明细表</t>
    <phoneticPr fontId="3" type="noConversion"/>
  </si>
  <si>
    <t>调整分录汇总</t>
    <phoneticPr fontId="3" type="noConversion"/>
  </si>
  <si>
    <t>检查表</t>
    <phoneticPr fontId="3" type="noConversion"/>
  </si>
  <si>
    <t>二、审计目标与认定的对应关系</t>
    <phoneticPr fontId="5" type="noConversion"/>
  </si>
  <si>
    <t>三、计划实施的实质性程序</t>
    <phoneticPr fontId="5" type="noConversion"/>
  </si>
  <si>
    <r>
      <rPr>
        <sz val="10"/>
        <rFont val="宋体"/>
        <family val="3"/>
        <charset val="134"/>
      </rPr>
      <t>完整性</t>
    </r>
    <phoneticPr fontId="5" type="noConversion"/>
  </si>
  <si>
    <r>
      <rPr>
        <sz val="10"/>
        <rFont val="宋体"/>
        <family val="3"/>
        <charset val="134"/>
      </rPr>
      <t>列报</t>
    </r>
    <phoneticPr fontId="5" type="noConversion"/>
  </si>
  <si>
    <t>审计目标</t>
    <phoneticPr fontId="5" type="noConversion"/>
  </si>
  <si>
    <r>
      <t xml:space="preserve">C. </t>
    </r>
    <r>
      <rPr>
        <sz val="10"/>
        <rFont val="宋体"/>
        <family val="3"/>
        <charset val="134"/>
      </rPr>
      <t>记录的固定资产清理由被审计单位拥有或控制；</t>
    </r>
    <phoneticPr fontId="5" type="noConversion"/>
  </si>
  <si>
    <r>
      <t xml:space="preserve">E. </t>
    </r>
    <r>
      <rPr>
        <sz val="10"/>
        <rFont val="宋体"/>
        <family val="3"/>
        <charset val="134"/>
      </rPr>
      <t>固定资产清理已被恰当地汇总或分解且表述清楚，相关披露在按照企业会计准则的编制基础下是相关的、可理解的</t>
    </r>
    <phoneticPr fontId="5" type="noConversion"/>
  </si>
  <si>
    <t>截止日：202X年12月31日</t>
    <phoneticPr fontId="5" type="noConversion"/>
  </si>
  <si>
    <t>关于工作底稿与审计程序索引号对应的说明</t>
    <phoneticPr fontId="5" type="noConversion"/>
  </si>
  <si>
    <r>
      <t>1.</t>
    </r>
    <r>
      <rPr>
        <b/>
        <sz val="12"/>
        <rFont val="宋体"/>
        <family val="3"/>
        <charset val="134"/>
      </rPr>
      <t>编制的审计工作底稿应与审计程序对应。</t>
    </r>
    <r>
      <rPr>
        <sz val="11"/>
        <color theme="1"/>
        <rFont val="宋体"/>
        <family val="2"/>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5" type="noConversion"/>
  </si>
  <si>
    <r>
      <t>2.</t>
    </r>
    <r>
      <rPr>
        <b/>
        <sz val="12"/>
        <rFont val="宋体"/>
        <family val="3"/>
        <charset val="134"/>
      </rPr>
      <t>获取的支持性证据应与审计底稿或程序对应。</t>
    </r>
    <r>
      <rPr>
        <sz val="11"/>
        <color theme="1"/>
        <rFont val="宋体"/>
        <family val="2"/>
        <charset val="134"/>
        <scheme val="minor"/>
      </rPr>
      <t>审计项目组在完成底稿时获取的支持性证据应根据底稿索引号编制下一级按自然顺序排序的索引号（如</t>
    </r>
    <r>
      <rPr>
        <sz val="12"/>
        <rFont val="Arial Narrow"/>
        <family val="2"/>
      </rPr>
      <t>D1-2-1</t>
    </r>
    <r>
      <rPr>
        <sz val="11"/>
        <color theme="1"/>
        <rFont val="宋体"/>
        <family val="2"/>
        <charset val="134"/>
        <scheme val="minor"/>
      </rPr>
      <t>、</t>
    </r>
    <r>
      <rPr>
        <sz val="12"/>
        <rFont val="Arial Narrow"/>
        <family val="2"/>
      </rPr>
      <t>D1-2-2</t>
    </r>
    <r>
      <rPr>
        <sz val="11"/>
        <color theme="1"/>
        <rFont val="宋体"/>
        <family val="2"/>
        <charset val="134"/>
        <scheme val="minor"/>
      </rPr>
      <t>、</t>
    </r>
    <r>
      <rPr>
        <sz val="12"/>
        <rFont val="Arial Narrow"/>
        <family val="2"/>
      </rPr>
      <t>……</t>
    </r>
    <r>
      <rPr>
        <sz val="11"/>
        <color theme="1"/>
        <rFont val="宋体"/>
        <family val="2"/>
        <charset val="134"/>
        <scheme val="minor"/>
      </rPr>
      <t>），并在底稿中说明引用的支持性证据、关联索引号。</t>
    </r>
    <phoneticPr fontId="5" type="noConversion"/>
  </si>
  <si>
    <r>
      <rPr>
        <b/>
        <sz val="12"/>
        <rFont val="Arial Narrow"/>
        <family val="2"/>
      </rPr>
      <t>3.</t>
    </r>
    <r>
      <rPr>
        <b/>
        <sz val="12"/>
        <rFont val="宋体"/>
        <family val="3"/>
        <charset val="134"/>
      </rPr>
      <t>工作底稿索引号的编码规则：</t>
    </r>
    <r>
      <rPr>
        <sz val="11"/>
        <color theme="1"/>
        <rFont val="宋体"/>
        <family val="2"/>
        <charset val="134"/>
        <scheme val="minor"/>
      </rPr>
      <t>实质性程序索引号按循环从</t>
    </r>
    <r>
      <rPr>
        <sz val="12"/>
        <rFont val="Arial Narrow"/>
        <family val="2"/>
      </rPr>
      <t>“D”</t>
    </r>
    <r>
      <rPr>
        <sz val="11"/>
        <color theme="1"/>
        <rFont val="宋体"/>
        <family val="2"/>
        <charset val="134"/>
        <scheme val="minor"/>
      </rPr>
      <t>到</t>
    </r>
    <r>
      <rPr>
        <sz val="12"/>
        <rFont val="Arial Narrow"/>
        <family val="2"/>
      </rPr>
      <t>“N”,</t>
    </r>
    <r>
      <rPr>
        <sz val="11"/>
        <color theme="1"/>
        <rFont val="宋体"/>
        <family val="2"/>
        <charset val="134"/>
        <scheme val="minor"/>
      </rPr>
      <t>循环内账户以顺序号排列，模板中底稿索引号按账户顺序</t>
    </r>
    <r>
      <rPr>
        <sz val="12"/>
        <rFont val="Arial Narrow"/>
        <family val="2"/>
      </rPr>
      <t>+</t>
    </r>
    <r>
      <rPr>
        <sz val="11"/>
        <color theme="1"/>
        <rFont val="宋体"/>
        <family val="2"/>
        <charset val="134"/>
        <scheme val="minor"/>
      </rPr>
      <t>自然数顺序（即模板中索引号按二级自然顺序排列，如</t>
    </r>
    <r>
      <rPr>
        <sz val="12"/>
        <rFont val="Arial Narrow"/>
        <family val="2"/>
      </rPr>
      <t>D1-1</t>
    </r>
    <r>
      <rPr>
        <sz val="11"/>
        <color theme="1"/>
        <rFont val="宋体"/>
        <family val="2"/>
        <charset val="134"/>
        <scheme val="minor"/>
      </rPr>
      <t>、</t>
    </r>
    <r>
      <rPr>
        <sz val="12"/>
        <rFont val="Arial Narrow"/>
        <family val="2"/>
      </rPr>
      <t>D1-2</t>
    </r>
    <r>
      <rPr>
        <sz val="11"/>
        <color theme="1"/>
        <rFont val="宋体"/>
        <family val="2"/>
        <charset val="134"/>
        <scheme val="minor"/>
      </rPr>
      <t>、</t>
    </r>
    <r>
      <rPr>
        <sz val="12"/>
        <rFont val="Arial Narrow"/>
        <family val="2"/>
      </rPr>
      <t>D1-3</t>
    </r>
    <r>
      <rPr>
        <sz val="11"/>
        <color theme="1"/>
        <rFont val="宋体"/>
        <family val="2"/>
        <charset val="134"/>
        <scheme val="minor"/>
      </rPr>
      <t>、</t>
    </r>
    <r>
      <rPr>
        <sz val="12"/>
        <rFont val="Arial Narrow"/>
        <family val="2"/>
      </rPr>
      <t>……D1-N</t>
    </r>
    <r>
      <rPr>
        <sz val="11"/>
        <color theme="1"/>
        <rFont val="宋体"/>
        <family val="2"/>
        <charset val="134"/>
        <scheme val="minor"/>
      </rPr>
      <t>）。</t>
    </r>
    <phoneticPr fontId="5" type="noConversion"/>
  </si>
  <si>
    <t>根据被审计单位实际情况和风险评估情况裁剪、修改或增加审计程序</t>
    <phoneticPr fontId="5" type="noConversion"/>
  </si>
  <si>
    <t>审计程序</t>
    <phoneticPr fontId="3" type="noConversion"/>
  </si>
  <si>
    <t>H6-1
/H6-2</t>
    <phoneticPr fontId="3" type="noConversion"/>
  </si>
  <si>
    <t>T1
/</t>
    <phoneticPr fontId="5" type="noConversion"/>
  </si>
  <si>
    <r>
      <rPr>
        <b/>
        <sz val="10"/>
        <rFont val="宋体"/>
        <family val="3"/>
        <charset val="134"/>
      </rPr>
      <t>合计</t>
    </r>
    <phoneticPr fontId="5" type="noConversion"/>
  </si>
  <si>
    <t>本期固定资产清理减少合计</t>
    <phoneticPr fontId="5" type="noConversion"/>
  </si>
  <si>
    <t>检查比例</t>
    <phoneticPr fontId="5" type="noConversion"/>
  </si>
  <si>
    <r>
      <t>1.</t>
    </r>
    <r>
      <rPr>
        <sz val="10"/>
        <color rgb="FFFF0000"/>
        <rFont val="宋体"/>
        <family val="3"/>
        <charset val="134"/>
      </rPr>
      <t>如果检查比例较低应扩大检查样本量或说明原因</t>
    </r>
    <phoneticPr fontId="5" type="noConversion"/>
  </si>
  <si>
    <t>2.……</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</si>
</sst>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3">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quot;$&quot;#,##0_);\(&quot;$&quot;#,##0\)"/>
    <numFmt numFmtId="186" formatCode="_-* #,##0_-;\-* #,##0_-;_-* &quot;-&quot;_-;_-@_-"/>
    <numFmt numFmtId="187" formatCode="_-* #,##0.00_-;\-* #,##0.00_-;_-* &quot;-&quot;??_-;_-@_-"/>
    <numFmt numFmtId="188" formatCode="_-&quot;$&quot;* #,##0_-;\-&quot;$&quot;* #,##0_-;_-&quot;$&quot;* &quot;-&quot;_-;_-@_-"/>
    <numFmt numFmtId="189" formatCode="_-&quot;$&quot;* #,##0.00_-;\-&quot;$&quot;* #,##0.00_-;_-&quot;$&quot;* &quot;-&quot;??_-;_-@_-"/>
    <numFmt numFmtId="190" formatCode="_([$€-2]* #,##0.00_);_([$€-2]* \(#,##0.00\);_([$€-2]* &quot;-&quot;??_)"/>
    <numFmt numFmtId="191" formatCode="&quot;\&quot;#,##0;[Red]&quot;\&quot;&quot;\&quot;\-#,##0"/>
    <numFmt numFmtId="192" formatCode="&quot;\&quot;#,##0.00;[Red]&quot;\&quot;&quot;\&quot;\-#,##0.00"/>
    <numFmt numFmtId="193" formatCode="&quot;\&quot;#,##0;&quot;\&quot;&quot;\&quot;\-#,##0"/>
    <numFmt numFmtId="194" formatCode="_(* #,##0_);_(* \(#,##0\);_(* &quot;-&quot;_);_(@_)"/>
    <numFmt numFmtId="195" formatCode="_(* #,##0.00_);_(* \(#,##0.00\);_(* &quot;-&quot;??_);_(@_)"/>
    <numFmt numFmtId="196" formatCode="#,##0.00_);[Red]\(#,##0.00\)"/>
  </numFmts>
  <fonts count="81">
    <font>
      <sz val="11"/>
      <color theme="1"/>
      <name val="宋体"/>
      <family val="2"/>
      <charset val="134"/>
      <scheme val="minor"/>
    </font>
    <font>
      <sz val="12"/>
      <name val="宋体"/>
      <family val="3"/>
      <charset val="134"/>
    </font>
    <font>
      <b/>
      <sz val="10"/>
      <name val="宋体"/>
      <family val="3"/>
      <charset val="134"/>
    </font>
    <font>
      <sz val="9"/>
      <name val="宋体"/>
      <family val="2"/>
      <charset val="134"/>
      <scheme val="minor"/>
    </font>
    <font>
      <b/>
      <sz val="10"/>
      <name val="Arial Narrow"/>
      <family val="2"/>
    </font>
    <font>
      <sz val="9"/>
      <name val="宋体"/>
      <family val="3"/>
      <charset val="134"/>
    </font>
    <font>
      <sz val="10"/>
      <name val="Arial Narrow"/>
      <family val="2"/>
    </font>
    <font>
      <sz val="10"/>
      <name val="宋体"/>
      <family val="3"/>
      <charset val="134"/>
    </font>
    <font>
      <sz val="10"/>
      <name val="Times New Roman"/>
      <family val="1"/>
    </font>
    <font>
      <sz val="10"/>
      <color indexed="12"/>
      <name val="宋体"/>
      <family val="3"/>
      <charset val="134"/>
    </font>
    <font>
      <u/>
      <sz val="12"/>
      <color indexed="12"/>
      <name val="宋体"/>
      <family val="3"/>
      <charset val="134"/>
    </font>
    <font>
      <sz val="12"/>
      <name val="Times New Roman"/>
      <family val="1"/>
    </font>
    <font>
      <u/>
      <sz val="10"/>
      <name val="Arial Narrow"/>
      <family val="2"/>
    </font>
    <font>
      <sz val="10"/>
      <color indexed="10"/>
      <name val="宋体"/>
      <family val="3"/>
      <charset val="134"/>
    </font>
    <font>
      <i/>
      <sz val="10"/>
      <color indexed="12"/>
      <name val="宋体"/>
      <family val="3"/>
      <charset val="134"/>
    </font>
    <font>
      <sz val="10"/>
      <color indexed="12"/>
      <name val="Arial Narrow"/>
      <family val="2"/>
    </font>
    <font>
      <u val="singleAccounting"/>
      <vertAlign val="subscript"/>
      <sz val="10"/>
      <name val="Times New Roman"/>
      <family val="1"/>
    </font>
    <font>
      <i/>
      <sz val="9"/>
      <name val="Times New Roman"/>
      <family val="1"/>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0"/>
      <name val="Courier"/>
      <family val="3"/>
    </font>
    <font>
      <sz val="12"/>
      <name val="Garamond"/>
      <family val="1"/>
    </font>
    <font>
      <sz val="7"/>
      <color indexed="10"/>
      <name val="Helv"/>
      <family val="2"/>
    </font>
    <font>
      <sz val="12"/>
      <name val="楷体"/>
      <family val="3"/>
      <charset val="134"/>
    </font>
    <font>
      <sz val="12"/>
      <name val="楷体_GB2312"/>
      <family val="3"/>
      <charset val="134"/>
    </font>
    <font>
      <b/>
      <sz val="10"/>
      <color indexed="8"/>
      <name val="宋体"/>
      <family val="3"/>
      <charset val="134"/>
    </font>
    <font>
      <sz val="10"/>
      <color indexed="8"/>
      <name val="Arial Narrow"/>
      <family val="2"/>
    </font>
    <font>
      <b/>
      <sz val="10"/>
      <color indexed="8"/>
      <name val="Arial Narrow"/>
      <family val="2"/>
    </font>
    <font>
      <sz val="18"/>
      <color indexed="48"/>
      <name val="魏碑"/>
      <family val="3"/>
      <charset val="134"/>
    </font>
    <font>
      <sz val="9"/>
      <name val="宋体"/>
      <family val="3"/>
      <charset val="134"/>
      <scheme val="minor"/>
    </font>
    <font>
      <sz val="10"/>
      <color rgb="FFFF0000"/>
      <name val="宋体"/>
      <family val="3"/>
      <charset val="134"/>
    </font>
    <font>
      <b/>
      <sz val="10"/>
      <color theme="1"/>
      <name val="Arial Narrow"/>
      <family val="2"/>
    </font>
    <font>
      <b/>
      <sz val="10"/>
      <color theme="1"/>
      <name val="宋体"/>
      <family val="3"/>
      <charset val="134"/>
    </font>
    <font>
      <sz val="11"/>
      <color theme="1"/>
      <name val="宋体"/>
      <family val="3"/>
      <charset val="134"/>
      <scheme val="minor"/>
    </font>
    <font>
      <b/>
      <sz val="10"/>
      <color indexed="10"/>
      <name val="Arial Narrow"/>
      <family val="2"/>
    </font>
    <font>
      <i/>
      <u/>
      <sz val="10"/>
      <color indexed="12"/>
      <name val="Arial Narrow"/>
      <family val="2"/>
    </font>
    <font>
      <sz val="10"/>
      <color indexed="10"/>
      <name val="Arial Narrow"/>
      <family val="2"/>
    </font>
    <font>
      <b/>
      <sz val="10"/>
      <color indexed="12"/>
      <name val="Arial Narrow"/>
      <family val="2"/>
    </font>
    <font>
      <sz val="10"/>
      <color theme="1"/>
      <name val="宋体"/>
      <family val="3"/>
      <charset val="134"/>
    </font>
    <font>
      <b/>
      <sz val="10"/>
      <color rgb="FFFF0000"/>
      <name val="宋体"/>
      <family val="3"/>
      <charset val="134"/>
    </font>
    <font>
      <b/>
      <sz val="10"/>
      <color rgb="FFE92841"/>
      <name val="Arial Narrow"/>
      <family val="2"/>
    </font>
    <font>
      <sz val="10"/>
      <color indexed="8"/>
      <name val="宋体"/>
      <family val="3"/>
      <charset val="134"/>
      <scheme val="minor"/>
    </font>
    <font>
      <b/>
      <sz val="10"/>
      <color rgb="FF0000FF"/>
      <name val="宋体"/>
      <family val="3"/>
      <charset val="134"/>
      <scheme val="minor"/>
    </font>
    <font>
      <sz val="12"/>
      <color theme="1"/>
      <name val="Arial Narrow"/>
      <family val="2"/>
    </font>
    <font>
      <sz val="12"/>
      <color theme="1"/>
      <name val="仿宋_GB2312"/>
      <family val="3"/>
      <charset val="134"/>
    </font>
    <font>
      <sz val="12"/>
      <color theme="1"/>
      <name val="宋体"/>
      <family val="3"/>
      <charset val="134"/>
    </font>
    <font>
      <b/>
      <sz val="10.5"/>
      <color theme="1"/>
      <name val="仿宋_GB2312"/>
      <family val="3"/>
      <charset val="134"/>
    </font>
    <font>
      <b/>
      <sz val="10.5"/>
      <color theme="1"/>
      <name val="Arial Narrow"/>
      <family val="2"/>
    </font>
    <font>
      <sz val="10.5"/>
      <color theme="1"/>
      <name val="仿宋_GB2312"/>
      <family val="3"/>
      <charset val="134"/>
    </font>
    <font>
      <sz val="10.5"/>
      <color theme="1"/>
      <name val="Arial Narrow"/>
      <family val="2"/>
    </font>
    <font>
      <sz val="12"/>
      <color rgb="FF0000FF"/>
      <name val="仿宋_GB2312"/>
      <family val="3"/>
      <charset val="134"/>
    </font>
    <font>
      <sz val="12"/>
      <color rgb="FF0000FF"/>
      <name val="Arial Narrow"/>
      <family val="2"/>
    </font>
    <font>
      <b/>
      <sz val="10.5"/>
      <color rgb="FF000000"/>
      <name val="仿宋_GB2312"/>
      <family val="3"/>
      <charset val="134"/>
    </font>
    <font>
      <sz val="11"/>
      <color theme="1"/>
      <name val="宋体"/>
      <family val="2"/>
      <charset val="134"/>
      <scheme val="minor"/>
    </font>
    <font>
      <sz val="10"/>
      <color theme="1"/>
      <name val="Arial Narrow"/>
      <family val="2"/>
    </font>
    <font>
      <sz val="10"/>
      <color rgb="FFFF0000"/>
      <name val="Arial Narrow"/>
      <family val="2"/>
    </font>
    <font>
      <u/>
      <sz val="10"/>
      <color indexed="12"/>
      <name val="Arial Narrow"/>
      <family val="2"/>
    </font>
    <font>
      <u/>
      <sz val="10"/>
      <color theme="10"/>
      <name val="Arial Narrow"/>
      <family val="2"/>
    </font>
    <font>
      <sz val="12"/>
      <color indexed="12"/>
      <name val="宋体"/>
      <family val="3"/>
      <charset val="134"/>
    </font>
    <font>
      <b/>
      <sz val="12"/>
      <name val="宋体"/>
      <family val="3"/>
      <charset val="134"/>
      <scheme val="minor"/>
    </font>
    <font>
      <sz val="10"/>
      <color rgb="FF0000FF"/>
      <name val="Arial Narrow"/>
      <family val="2"/>
    </font>
    <font>
      <sz val="12"/>
      <name val="宋体"/>
      <family val="3"/>
      <charset val="134"/>
      <scheme val="minor"/>
    </font>
    <font>
      <b/>
      <sz val="12"/>
      <color indexed="8"/>
      <name val="宋体"/>
      <family val="3"/>
      <charset val="134"/>
      <scheme val="minor"/>
    </font>
    <font>
      <b/>
      <sz val="14"/>
      <name val="宋体"/>
      <family val="3"/>
      <charset val="134"/>
      <scheme val="minor"/>
    </font>
    <font>
      <sz val="14"/>
      <name val="宋体"/>
      <family val="3"/>
      <charset val="134"/>
      <scheme val="minor"/>
    </font>
    <font>
      <b/>
      <sz val="14"/>
      <color indexed="8"/>
      <name val="宋体"/>
      <family val="3"/>
      <charset val="134"/>
      <scheme val="minor"/>
    </font>
    <font>
      <b/>
      <sz val="12"/>
      <color rgb="FF0000FF"/>
      <name val="宋体"/>
      <family val="3"/>
      <charset val="134"/>
    </font>
    <font>
      <sz val="10"/>
      <name val="宋体"/>
      <family val="3"/>
      <charset val="134"/>
      <scheme val="minor"/>
    </font>
    <font>
      <sz val="9"/>
      <color rgb="FF0000FF"/>
      <name val="Arial Narrow"/>
      <family val="2"/>
    </font>
    <font>
      <sz val="9"/>
      <color rgb="FF0000FF"/>
      <name val="宋体"/>
      <family val="3"/>
      <charset val="134"/>
    </font>
    <font>
      <b/>
      <sz val="14"/>
      <name val="宋体"/>
      <family val="3"/>
      <charset val="134"/>
    </font>
    <font>
      <b/>
      <sz val="12"/>
      <name val="Arial Narrow"/>
      <family val="2"/>
    </font>
    <font>
      <b/>
      <sz val="12"/>
      <name val="宋体"/>
      <family val="3"/>
      <charset val="134"/>
    </font>
    <font>
      <sz val="12"/>
      <name val="Arial Narrow"/>
      <family val="2"/>
    </font>
    <font>
      <sz val="10"/>
      <color rgb="FF0000FF"/>
      <name val="宋体"/>
      <family val="3"/>
      <charset val="134"/>
    </font>
    <font>
      <b/>
      <sz val="9"/>
      <color indexed="81"/>
      <name val="宋体"/>
      <family val="3"/>
      <charset val="134"/>
    </font>
    <font>
      <sz val="9"/>
      <color indexed="81"/>
      <name val="宋体"/>
      <family val="3"/>
      <charset val="134"/>
    </font>
  </fonts>
  <fills count="1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14"/>
        <bgColor indexed="64"/>
      </patternFill>
    </fill>
    <fill>
      <patternFill patternType="solid">
        <fgColor theme="7" tint="0.79998168889431442"/>
        <bgColor indexed="64"/>
      </patternFill>
    </fill>
    <fill>
      <patternFill patternType="solid">
        <fgColor rgb="FFE4DFEC"/>
        <bgColor indexed="64"/>
      </patternFill>
    </fill>
    <fill>
      <patternFill patternType="solid">
        <fgColor theme="0" tint="-0.14999847407452621"/>
        <bgColor indexed="64"/>
      </patternFill>
    </fill>
    <fill>
      <patternFill patternType="solid">
        <fgColor theme="0"/>
        <bgColor indexed="64"/>
      </patternFill>
    </fill>
  </fills>
  <borders count="14">
    <border>
      <left/>
      <right/>
      <top/>
      <bottom/>
      <diagonal/>
    </border>
    <border>
      <left/>
      <right/>
      <top style="hair">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bottom style="medium">
        <color indexed="64"/>
      </bottom>
      <diagonal/>
    </border>
    <border>
      <left/>
      <right/>
      <top style="medium">
        <color indexed="64"/>
      </top>
      <bottom style="medium">
        <color indexed="64"/>
      </bottom>
      <diagonal/>
    </border>
    <border>
      <left style="hair">
        <color indexed="64"/>
      </left>
      <right/>
      <top/>
      <bottom/>
      <diagonal/>
    </border>
    <border>
      <left/>
      <right/>
      <top/>
      <bottom style="hair">
        <color indexed="64"/>
      </bottom>
      <diagonal/>
    </border>
  </borders>
  <cellStyleXfs count="59">
    <xf numFmtId="0" fontId="0" fillId="0" borderId="0">
      <alignment vertical="center"/>
    </xf>
    <xf numFmtId="43" fontId="1" fillId="0" borderId="0" applyFont="0" applyFill="0" applyBorder="0" applyAlignment="0" applyProtection="0"/>
    <xf numFmtId="9" fontId="1" fillId="0" borderId="0" applyFont="0" applyFill="0" applyBorder="0" applyAlignment="0" applyProtection="0"/>
    <xf numFmtId="0" fontId="1" fillId="0" borderId="0" applyFill="0" applyBorder="0"/>
    <xf numFmtId="0" fontId="10" fillId="0" borderId="0" applyNumberFormat="0" applyFill="0" applyBorder="0" applyAlignment="0" applyProtection="0">
      <alignment vertical="top"/>
      <protection locked="0"/>
    </xf>
    <xf numFmtId="0" fontId="11" fillId="0" borderId="0"/>
    <xf numFmtId="49" fontId="8" fillId="0" borderId="0" applyProtection="0">
      <alignment horizontal="left"/>
    </xf>
    <xf numFmtId="176" fontId="8" fillId="0" borderId="0" applyFill="0" applyBorder="0" applyProtection="0">
      <alignment horizontal="right"/>
    </xf>
    <xf numFmtId="177" fontId="8" fillId="0" borderId="0" applyFill="0" applyBorder="0" applyProtection="0">
      <alignment horizontal="right"/>
    </xf>
    <xf numFmtId="178" fontId="16" fillId="0" borderId="0" applyFill="0" applyBorder="0" applyProtection="0">
      <alignment horizontal="center"/>
    </xf>
    <xf numFmtId="179" fontId="16" fillId="0" borderId="0" applyFill="0" applyBorder="0" applyProtection="0">
      <alignment horizontal="center"/>
    </xf>
    <xf numFmtId="180" fontId="17" fillId="0" borderId="0" applyFill="0" applyBorder="0" applyProtection="0">
      <alignment horizontal="right"/>
    </xf>
    <xf numFmtId="181" fontId="8" fillId="0" borderId="0" applyFill="0" applyBorder="0" applyProtection="0">
      <alignment horizontal="right"/>
    </xf>
    <xf numFmtId="182" fontId="8" fillId="0" borderId="0" applyFill="0" applyBorder="0" applyProtection="0">
      <alignment horizontal="right"/>
    </xf>
    <xf numFmtId="183" fontId="8" fillId="0" borderId="0" applyFill="0" applyBorder="0" applyProtection="0">
      <alignment horizontal="right"/>
    </xf>
    <xf numFmtId="184" fontId="8" fillId="0" borderId="0" applyFill="0" applyBorder="0" applyProtection="0">
      <alignment horizontal="right"/>
    </xf>
    <xf numFmtId="3" fontId="18" fillId="0" borderId="0"/>
    <xf numFmtId="185" fontId="19" fillId="0" borderId="2" applyAlignment="0" applyProtection="0"/>
    <xf numFmtId="186" fontId="20" fillId="0" borderId="0" applyFont="0" applyFill="0" applyBorder="0" applyAlignment="0" applyProtection="0"/>
    <xf numFmtId="187" fontId="20" fillId="0" borderId="0" applyFont="0" applyFill="0" applyBorder="0" applyAlignment="0" applyProtection="0"/>
    <xf numFmtId="188" fontId="20" fillId="0" borderId="0" applyFont="0" applyFill="0" applyBorder="0" applyAlignment="0" applyProtection="0"/>
    <xf numFmtId="189" fontId="20" fillId="0" borderId="0" applyFont="0" applyFill="0" applyBorder="0" applyAlignment="0" applyProtection="0"/>
    <xf numFmtId="41" fontId="20" fillId="0" borderId="0" applyFont="0" applyFill="0" applyBorder="0" applyAlignment="0" applyProtection="0"/>
    <xf numFmtId="43" fontId="20" fillId="0" borderId="0" applyFont="0" applyFill="0" applyBorder="0" applyAlignment="0" applyProtection="0"/>
    <xf numFmtId="190" fontId="8" fillId="0" borderId="0" applyFont="0" applyFill="0" applyBorder="0" applyAlignment="0" applyProtection="0"/>
    <xf numFmtId="0" fontId="21" fillId="0" borderId="0" applyNumberFormat="0" applyFill="0" applyBorder="0" applyAlignment="0" applyProtection="0">
      <alignment vertical="top"/>
      <protection locked="0"/>
    </xf>
    <xf numFmtId="38" fontId="22" fillId="2" borderId="0" applyNumberFormat="0" applyBorder="0" applyAlignment="0" applyProtection="0"/>
    <xf numFmtId="0" fontId="23" fillId="0" borderId="0" applyNumberFormat="0" applyFill="0" applyBorder="0" applyAlignment="0" applyProtection="0">
      <alignment vertical="top"/>
      <protection locked="0"/>
    </xf>
    <xf numFmtId="10" fontId="22" fillId="3" borderId="3" applyNumberFormat="0" applyBorder="0" applyAlignment="0" applyProtection="0"/>
    <xf numFmtId="191" fontId="1" fillId="0" borderId="0" applyFont="0" applyFill="0" applyBorder="0" applyAlignment="0" applyProtection="0"/>
    <xf numFmtId="192" fontId="1" fillId="0" borderId="0" applyFont="0" applyFill="0" applyBorder="0" applyAlignment="0" applyProtection="0"/>
    <xf numFmtId="0" fontId="24" fillId="0" borderId="0"/>
    <xf numFmtId="193" fontId="1" fillId="0" borderId="0"/>
    <xf numFmtId="0" fontId="25" fillId="0" borderId="0"/>
    <xf numFmtId="10" fontId="20" fillId="0" borderId="0" applyFont="0" applyFill="0" applyBorder="0" applyAlignment="0" applyProtection="0"/>
    <xf numFmtId="3" fontId="26" fillId="0" borderId="0"/>
    <xf numFmtId="0" fontId="27" fillId="0" borderId="0"/>
    <xf numFmtId="194" fontId="1" fillId="0" borderId="0" applyFont="0" applyFill="0" applyBorder="0" applyAlignment="0" applyProtection="0"/>
    <xf numFmtId="195" fontId="1" fillId="0" borderId="0" applyFont="0" applyFill="0" applyBorder="0" applyAlignment="0" applyProtection="0"/>
    <xf numFmtId="41" fontId="28" fillId="0" borderId="0" applyFont="0" applyFill="0" applyBorder="0" applyAlignment="0" applyProtection="0"/>
    <xf numFmtId="43" fontId="28" fillId="0" borderId="0" applyFont="0" applyFill="0" applyBorder="0" applyAlignment="0" applyProtection="0"/>
    <xf numFmtId="0" fontId="1" fillId="0" borderId="0">
      <alignment vertical="center"/>
    </xf>
    <xf numFmtId="0" fontId="1" fillId="0" borderId="0">
      <protection locked="0"/>
    </xf>
    <xf numFmtId="0" fontId="1" fillId="0" borderId="0">
      <alignment vertical="center"/>
    </xf>
    <xf numFmtId="0" fontId="1" fillId="0" borderId="0"/>
    <xf numFmtId="0" fontId="10" fillId="0" borderId="0" applyNumberFormat="0" applyFill="0" applyBorder="0" applyAlignment="0" applyProtection="0">
      <alignment vertical="top"/>
      <protection locked="0"/>
    </xf>
    <xf numFmtId="190" fontId="1" fillId="0" borderId="0">
      <protection locked="0"/>
    </xf>
    <xf numFmtId="190" fontId="37" fillId="0" borderId="0">
      <alignment vertical="center"/>
    </xf>
    <xf numFmtId="190" fontId="1" fillId="0" borderId="0">
      <alignment vertical="center"/>
    </xf>
    <xf numFmtId="190" fontId="1" fillId="0" borderId="0">
      <alignment vertical="center"/>
      <protection locked="0"/>
    </xf>
    <xf numFmtId="190" fontId="1" fillId="0" borderId="0">
      <alignment vertical="center"/>
    </xf>
    <xf numFmtId="0" fontId="1" fillId="0" borderId="0" applyFill="0" applyBorder="0"/>
    <xf numFmtId="0" fontId="1" fillId="0" borderId="0">
      <protection locked="0"/>
    </xf>
    <xf numFmtId="190" fontId="1" fillId="0" borderId="0"/>
    <xf numFmtId="0" fontId="57" fillId="0" borderId="0">
      <alignment vertical="center"/>
    </xf>
    <xf numFmtId="0" fontId="1" fillId="0" borderId="0">
      <protection locked="0"/>
    </xf>
    <xf numFmtId="190" fontId="1" fillId="0" borderId="0">
      <protection locked="0"/>
    </xf>
    <xf numFmtId="0" fontId="1" fillId="0" borderId="0">
      <protection locked="0"/>
    </xf>
    <xf numFmtId="190" fontId="57" fillId="0" borderId="0">
      <alignment vertical="center"/>
    </xf>
  </cellStyleXfs>
  <cellXfs count="270">
    <xf numFmtId="0" fontId="0" fillId="0" borderId="0" xfId="0">
      <alignment vertical="center"/>
    </xf>
    <xf numFmtId="43" fontId="6" fillId="0" borderId="0" xfId="3" applyNumberFormat="1" applyFont="1" applyBorder="1" applyAlignment="1">
      <alignment vertical="center"/>
    </xf>
    <xf numFmtId="43" fontId="6" fillId="0" borderId="0" xfId="3" applyNumberFormat="1" applyFont="1" applyBorder="1" applyAlignment="1">
      <alignment horizontal="left" vertical="center"/>
    </xf>
    <xf numFmtId="49" fontId="6" fillId="0" borderId="0" xfId="3" applyNumberFormat="1" applyFont="1" applyBorder="1" applyAlignment="1">
      <alignment vertical="center"/>
    </xf>
    <xf numFmtId="43" fontId="4" fillId="0" borderId="0" xfId="3" applyNumberFormat="1" applyFont="1" applyBorder="1" applyAlignment="1">
      <alignment vertical="center"/>
    </xf>
    <xf numFmtId="0" fontId="6" fillId="0" borderId="0" xfId="5" applyFont="1" applyAlignment="1">
      <alignment vertical="center"/>
    </xf>
    <xf numFmtId="0" fontId="6" fillId="0" borderId="0" xfId="5" applyFont="1" applyAlignment="1">
      <alignment horizontal="left" vertical="center"/>
    </xf>
    <xf numFmtId="43" fontId="15" fillId="0" borderId="0" xfId="3" applyNumberFormat="1" applyFont="1" applyBorder="1" applyAlignment="1">
      <alignment vertical="center"/>
    </xf>
    <xf numFmtId="0" fontId="6" fillId="0" borderId="0" xfId="42" applyFont="1" applyAlignment="1">
      <alignment vertical="center"/>
      <protection locked="0"/>
    </xf>
    <xf numFmtId="0" fontId="6" fillId="0" borderId="0" xfId="43" applyFont="1">
      <alignment vertical="center"/>
    </xf>
    <xf numFmtId="0" fontId="4" fillId="0" borderId="0" xfId="42" applyFont="1" applyAlignment="1">
      <alignment vertical="center"/>
      <protection locked="0"/>
    </xf>
    <xf numFmtId="0" fontId="6" fillId="0" borderId="1" xfId="42" applyFont="1" applyBorder="1" applyAlignment="1">
      <alignment vertical="center"/>
      <protection locked="0"/>
    </xf>
    <xf numFmtId="0" fontId="15" fillId="0" borderId="0" xfId="42" applyFont="1" applyAlignment="1">
      <alignment vertical="center"/>
      <protection locked="0"/>
    </xf>
    <xf numFmtId="0" fontId="6" fillId="0" borderId="0" xfId="42" applyFont="1" applyAlignment="1">
      <alignment horizontal="left" vertical="center"/>
      <protection locked="0"/>
    </xf>
    <xf numFmtId="0" fontId="4" fillId="0" borderId="0" xfId="44" applyFont="1" applyAlignment="1">
      <alignment horizontal="left" vertical="center"/>
    </xf>
    <xf numFmtId="0" fontId="6" fillId="0" borderId="0" xfId="44" applyFont="1" applyAlignment="1" applyProtection="1">
      <alignment vertical="center"/>
      <protection locked="0"/>
    </xf>
    <xf numFmtId="0" fontId="15" fillId="0" borderId="0" xfId="44" applyFont="1" applyAlignment="1" applyProtection="1">
      <alignment horizontal="center" vertical="center"/>
      <protection hidden="1"/>
    </xf>
    <xf numFmtId="0" fontId="6" fillId="0" borderId="0" xfId="44" applyFont="1" applyAlignment="1" applyProtection="1">
      <alignment horizontal="left" vertical="center"/>
      <protection hidden="1"/>
    </xf>
    <xf numFmtId="0" fontId="15" fillId="0" borderId="0" xfId="44" applyFont="1" applyAlignment="1" applyProtection="1">
      <alignment horizontal="left" vertical="center"/>
      <protection locked="0"/>
    </xf>
    <xf numFmtId="0" fontId="6" fillId="0" borderId="4" xfId="42" applyFont="1" applyBorder="1" applyAlignment="1">
      <alignment vertical="center" wrapText="1"/>
      <protection locked="0"/>
    </xf>
    <xf numFmtId="43" fontId="6" fillId="0" borderId="4" xfId="42" applyNumberFormat="1" applyFont="1" applyBorder="1" applyAlignment="1">
      <alignment horizontal="left" vertical="center"/>
      <protection locked="0"/>
    </xf>
    <xf numFmtId="43" fontId="6" fillId="0" borderId="4" xfId="42" applyNumberFormat="1" applyFont="1" applyBorder="1" applyAlignment="1">
      <alignment horizontal="center" vertical="center"/>
      <protection locked="0"/>
    </xf>
    <xf numFmtId="0" fontId="6" fillId="0" borderId="4" xfId="42" applyFont="1" applyBorder="1" applyAlignment="1">
      <alignment horizontal="center" vertical="center"/>
      <protection locked="0"/>
    </xf>
    <xf numFmtId="0" fontId="6" fillId="0" borderId="1" xfId="42" applyFont="1" applyBorder="1" applyAlignment="1">
      <alignment horizontal="center" vertical="center"/>
      <protection locked="0"/>
    </xf>
    <xf numFmtId="0" fontId="6" fillId="0" borderId="0" xfId="42" applyFont="1" applyAlignment="1">
      <alignment horizontal="center" vertical="center"/>
      <protection locked="0"/>
    </xf>
    <xf numFmtId="49" fontId="4" fillId="0" borderId="0" xfId="44" applyNumberFormat="1" applyFont="1" applyAlignment="1">
      <alignment horizontal="left" vertical="center"/>
    </xf>
    <xf numFmtId="49" fontId="6" fillId="0" borderId="0" xfId="44" applyNumberFormat="1" applyFont="1" applyAlignment="1" applyProtection="1">
      <alignment vertical="center"/>
      <protection locked="0"/>
    </xf>
    <xf numFmtId="0" fontId="6" fillId="0" borderId="0" xfId="0" applyFont="1" applyProtection="1">
      <alignment vertical="center"/>
      <protection locked="0"/>
    </xf>
    <xf numFmtId="0" fontId="4" fillId="0" borderId="0" xfId="42" applyFont="1" applyAlignment="1" applyProtection="1">
      <alignment horizontal="left" vertical="center"/>
    </xf>
    <xf numFmtId="190" fontId="4" fillId="6" borderId="4" xfId="47" applyFont="1" applyFill="1" applyBorder="1" applyAlignment="1" applyProtection="1">
      <alignment horizontal="center" vertical="center"/>
      <protection locked="0"/>
    </xf>
    <xf numFmtId="43" fontId="30" fillId="4" borderId="4" xfId="1" applyFont="1" applyFill="1" applyBorder="1" applyAlignment="1">
      <alignment vertical="center"/>
    </xf>
    <xf numFmtId="43" fontId="4" fillId="0" borderId="1" xfId="3" applyNumberFormat="1" applyFont="1" applyBorder="1" applyAlignment="1">
      <alignment horizontal="left" vertical="center"/>
    </xf>
    <xf numFmtId="43" fontId="6" fillId="0" borderId="1" xfId="3" applyNumberFormat="1" applyFont="1" applyBorder="1" applyAlignment="1">
      <alignment horizontal="left" vertical="center"/>
    </xf>
    <xf numFmtId="43" fontId="6" fillId="0" borderId="1" xfId="3" applyNumberFormat="1" applyFont="1" applyBorder="1" applyAlignment="1">
      <alignment vertical="center"/>
    </xf>
    <xf numFmtId="0" fontId="6" fillId="0" borderId="1" xfId="42" applyFont="1" applyBorder="1" applyAlignment="1">
      <alignment horizontal="left" vertical="center"/>
      <protection locked="0"/>
    </xf>
    <xf numFmtId="0" fontId="31" fillId="0" borderId="3" xfId="0" applyFont="1" applyBorder="1" applyAlignment="1">
      <alignment horizontal="center" vertical="center"/>
    </xf>
    <xf numFmtId="0" fontId="30" fillId="0" borderId="3" xfId="0" applyFont="1" applyBorder="1" applyAlignment="1">
      <alignment horizontal="center" vertical="center"/>
    </xf>
    <xf numFmtId="0" fontId="30" fillId="0" borderId="3" xfId="0" applyFont="1" applyBorder="1">
      <alignment vertical="center"/>
    </xf>
    <xf numFmtId="0" fontId="31" fillId="0" borderId="3" xfId="0" applyFont="1" applyBorder="1">
      <alignment vertical="center"/>
    </xf>
    <xf numFmtId="14" fontId="6" fillId="0" borderId="0" xfId="3" applyNumberFormat="1" applyFont="1" applyBorder="1" applyAlignment="1">
      <alignment vertical="center"/>
    </xf>
    <xf numFmtId="14" fontId="6" fillId="0" borderId="0" xfId="42" applyNumberFormat="1" applyFont="1" applyAlignment="1">
      <alignment vertical="center"/>
      <protection locked="0"/>
    </xf>
    <xf numFmtId="14" fontId="6" fillId="0" borderId="4" xfId="42" applyNumberFormat="1" applyFont="1" applyBorder="1" applyAlignment="1">
      <alignment horizontal="left" vertical="center"/>
      <protection locked="0"/>
    </xf>
    <xf numFmtId="14" fontId="6" fillId="0" borderId="0" xfId="42" applyNumberFormat="1" applyFont="1" applyAlignment="1">
      <alignment horizontal="left" vertical="center"/>
      <protection locked="0"/>
    </xf>
    <xf numFmtId="0" fontId="30" fillId="0" borderId="0" xfId="0" applyFont="1">
      <alignment vertical="center"/>
    </xf>
    <xf numFmtId="0" fontId="31" fillId="0" borderId="4" xfId="0" applyFont="1" applyBorder="1" applyAlignment="1">
      <alignment horizontal="center" vertical="center"/>
    </xf>
    <xf numFmtId="190" fontId="4" fillId="6" borderId="4" xfId="47" applyFont="1" applyFill="1" applyBorder="1" applyAlignment="1" applyProtection="1">
      <alignment horizontal="center" vertical="center" wrapText="1"/>
      <protection locked="0"/>
    </xf>
    <xf numFmtId="190" fontId="4" fillId="6" borderId="4" xfId="46" applyFont="1" applyFill="1" applyBorder="1" applyAlignment="1">
      <alignment horizontal="center" vertical="center"/>
      <protection locked="0"/>
    </xf>
    <xf numFmtId="43" fontId="39" fillId="0" borderId="1" xfId="4" applyNumberFormat="1" applyFont="1" applyBorder="1" applyAlignment="1" applyProtection="1">
      <alignment horizontal="center" vertical="center"/>
    </xf>
    <xf numFmtId="0" fontId="4" fillId="0" borderId="0" xfId="5" applyFont="1" applyAlignment="1">
      <alignment vertical="center"/>
    </xf>
    <xf numFmtId="43" fontId="39" fillId="0" borderId="0" xfId="4" applyNumberFormat="1" applyFont="1" applyBorder="1" applyAlignment="1" applyProtection="1">
      <alignment horizontal="center" vertical="center"/>
    </xf>
    <xf numFmtId="0" fontId="15" fillId="0" borderId="0" xfId="5" applyFont="1" applyAlignment="1">
      <alignment vertical="center"/>
    </xf>
    <xf numFmtId="43" fontId="41" fillId="0" borderId="0" xfId="3" applyNumberFormat="1" applyFont="1" applyBorder="1" applyAlignment="1">
      <alignment vertical="center"/>
    </xf>
    <xf numFmtId="43" fontId="15" fillId="0" borderId="0" xfId="3" applyNumberFormat="1" applyFont="1" applyBorder="1" applyAlignment="1">
      <alignment horizontal="right" vertical="center"/>
    </xf>
    <xf numFmtId="0" fontId="4" fillId="6" borderId="4" xfId="42" applyFont="1" applyFill="1" applyBorder="1" applyAlignment="1">
      <alignment horizontal="centerContinuous" vertical="center"/>
      <protection locked="0"/>
    </xf>
    <xf numFmtId="0" fontId="4" fillId="6" borderId="4" xfId="42" applyFont="1" applyFill="1" applyBorder="1" applyAlignment="1">
      <alignment horizontal="centerContinuous" vertical="center" wrapText="1"/>
      <protection locked="0"/>
    </xf>
    <xf numFmtId="0" fontId="38" fillId="0" borderId="0" xfId="42" applyFont="1" applyAlignment="1">
      <alignment vertical="center"/>
      <protection locked="0"/>
    </xf>
    <xf numFmtId="43" fontId="6" fillId="0" borderId="0" xfId="51" applyNumberFormat="1" applyFont="1" applyBorder="1" applyAlignment="1">
      <alignment vertical="center"/>
    </xf>
    <xf numFmtId="43" fontId="6" fillId="0" borderId="0" xfId="51" applyNumberFormat="1" applyFont="1" applyBorder="1" applyAlignment="1">
      <alignment horizontal="left" vertical="center"/>
    </xf>
    <xf numFmtId="190" fontId="44" fillId="6" borderId="4" xfId="53" applyFont="1" applyFill="1" applyBorder="1" applyAlignment="1" applyProtection="1">
      <alignment horizontal="center" vertical="center" wrapText="1"/>
      <protection locked="0"/>
    </xf>
    <xf numFmtId="49" fontId="30" fillId="4" borderId="4" xfId="1" applyNumberFormat="1" applyFont="1" applyFill="1" applyBorder="1" applyAlignment="1">
      <alignment vertical="center"/>
    </xf>
    <xf numFmtId="0" fontId="45" fillId="0" borderId="0" xfId="0" applyFont="1">
      <alignment vertical="center"/>
    </xf>
    <xf numFmtId="0" fontId="46" fillId="0" borderId="0" xfId="0" applyFont="1" applyProtection="1">
      <alignment vertical="center"/>
      <protection locked="0"/>
    </xf>
    <xf numFmtId="0" fontId="47" fillId="0" borderId="0" xfId="0" applyFont="1">
      <alignment vertical="center"/>
    </xf>
    <xf numFmtId="0" fontId="47" fillId="0" borderId="0" xfId="0" applyFont="1" applyAlignment="1">
      <alignment horizontal="justify" vertical="center"/>
    </xf>
    <xf numFmtId="0" fontId="50" fillId="0" borderId="11" xfId="0" applyFont="1" applyBorder="1" applyAlignment="1">
      <alignment horizontal="justify" vertical="center" wrapText="1"/>
    </xf>
    <xf numFmtId="0" fontId="50" fillId="0" borderId="11" xfId="0" applyFont="1" applyBorder="1" applyAlignment="1">
      <alignment horizontal="right" vertical="center" wrapText="1"/>
    </xf>
    <xf numFmtId="0" fontId="52" fillId="0" borderId="0" xfId="0" applyFont="1" applyAlignment="1">
      <alignment horizontal="justify" vertical="center" wrapText="1"/>
    </xf>
    <xf numFmtId="0" fontId="53" fillId="0" borderId="0" xfId="0" applyFont="1" applyAlignment="1">
      <alignment horizontal="right" vertical="center" wrapText="1"/>
    </xf>
    <xf numFmtId="0" fontId="52" fillId="0" borderId="10" xfId="0" applyFont="1" applyBorder="1" applyAlignment="1">
      <alignment horizontal="justify" vertical="center" wrapText="1"/>
    </xf>
    <xf numFmtId="0" fontId="53" fillId="0" borderId="10" xfId="0" applyFont="1" applyBorder="1" applyAlignment="1">
      <alignment horizontal="right" vertical="center" wrapText="1"/>
    </xf>
    <xf numFmtId="0" fontId="50" fillId="0" borderId="10" xfId="0" applyFont="1" applyBorder="1" applyAlignment="1">
      <alignment horizontal="justify" vertical="center" wrapText="1"/>
    </xf>
    <xf numFmtId="0" fontId="51" fillId="0" borderId="10" xfId="0" applyFont="1" applyBorder="1" applyAlignment="1">
      <alignment horizontal="right" vertical="center" wrapText="1"/>
    </xf>
    <xf numFmtId="0" fontId="53" fillId="0" borderId="0" xfId="0" applyFont="1" applyAlignment="1">
      <alignment horizontal="justify" vertical="center" wrapText="1"/>
    </xf>
    <xf numFmtId="0" fontId="53" fillId="0" borderId="10" xfId="0" applyFont="1" applyBorder="1" applyAlignment="1">
      <alignment horizontal="justify" vertical="center" wrapText="1"/>
    </xf>
    <xf numFmtId="0" fontId="54" fillId="0" borderId="0" xfId="0" applyFont="1" applyAlignment="1">
      <alignment horizontal="left" vertical="center"/>
    </xf>
    <xf numFmtId="0" fontId="56" fillId="0" borderId="11" xfId="0" applyFont="1" applyBorder="1" applyAlignment="1">
      <alignment horizontal="right" vertical="center" wrapText="1"/>
    </xf>
    <xf numFmtId="43" fontId="6" fillId="6" borderId="4" xfId="1" applyFont="1" applyFill="1" applyBorder="1" applyAlignment="1">
      <alignment horizontal="right" vertical="center" wrapText="1"/>
    </xf>
    <xf numFmtId="43" fontId="30" fillId="6" borderId="4" xfId="1" applyFont="1" applyFill="1" applyBorder="1" applyAlignment="1">
      <alignment horizontal="right" vertical="center"/>
    </xf>
    <xf numFmtId="10" fontId="6" fillId="6" borderId="4" xfId="2" applyNumberFormat="1" applyFont="1" applyFill="1" applyBorder="1" applyAlignment="1">
      <alignment horizontal="right" vertical="center" wrapText="1"/>
    </xf>
    <xf numFmtId="0" fontId="30" fillId="6" borderId="4" xfId="0" applyFont="1" applyFill="1" applyBorder="1" applyAlignment="1">
      <alignment horizontal="left" vertical="center"/>
    </xf>
    <xf numFmtId="190" fontId="31" fillId="6" borderId="4" xfId="46" applyFont="1" applyFill="1" applyBorder="1" applyAlignment="1">
      <alignment horizontal="center" vertical="center" wrapText="1"/>
      <protection locked="0"/>
    </xf>
    <xf numFmtId="0" fontId="4" fillId="6" borderId="4" xfId="42" applyFont="1" applyFill="1" applyBorder="1" applyAlignment="1">
      <alignment horizontal="center" vertical="center" wrapText="1"/>
      <protection locked="0"/>
    </xf>
    <xf numFmtId="0" fontId="4" fillId="6" borderId="4" xfId="42" applyFont="1" applyFill="1" applyBorder="1" applyAlignment="1">
      <alignment horizontal="center" vertical="center"/>
      <protection locked="0"/>
    </xf>
    <xf numFmtId="0" fontId="4" fillId="0" borderId="0" xfId="0" applyFont="1" applyProtection="1">
      <alignment vertical="center"/>
      <protection locked="0"/>
    </xf>
    <xf numFmtId="0" fontId="58" fillId="0" borderId="0" xfId="0" applyFont="1" applyProtection="1">
      <alignment vertical="center"/>
      <protection locked="0"/>
    </xf>
    <xf numFmtId="0" fontId="6" fillId="5" borderId="0" xfId="0" applyFont="1" applyFill="1" applyAlignment="1" applyProtection="1">
      <alignment horizontal="justify" vertical="center" wrapText="1"/>
      <protection locked="0"/>
    </xf>
    <xf numFmtId="0" fontId="6" fillId="0" borderId="0" xfId="0" applyFont="1" applyAlignment="1" applyProtection="1">
      <alignment horizontal="justify" wrapText="1"/>
      <protection locked="0"/>
    </xf>
    <xf numFmtId="0" fontId="6" fillId="0" borderId="0" xfId="0" applyFont="1" applyAlignment="1" applyProtection="1">
      <protection locked="0"/>
    </xf>
    <xf numFmtId="0" fontId="58" fillId="0" borderId="0" xfId="0" applyFont="1" applyAlignment="1" applyProtection="1">
      <protection locked="0"/>
    </xf>
    <xf numFmtId="0" fontId="6" fillId="0" borderId="0" xfId="0" applyFont="1" applyAlignment="1" applyProtection="1">
      <alignment horizontal="justify" vertical="top" wrapText="1"/>
      <protection locked="0"/>
    </xf>
    <xf numFmtId="0" fontId="6" fillId="0" borderId="0" xfId="0" applyFont="1" applyAlignment="1" applyProtection="1">
      <alignment horizontal="center"/>
      <protection locked="0"/>
    </xf>
    <xf numFmtId="0" fontId="61" fillId="0" borderId="0" xfId="4" quotePrefix="1" applyFont="1" applyBorder="1" applyAlignment="1">
      <protection locked="0"/>
    </xf>
    <xf numFmtId="0" fontId="60" fillId="0" borderId="0" xfId="45" quotePrefix="1" applyFont="1" applyAlignment="1">
      <protection locked="0"/>
    </xf>
    <xf numFmtId="0" fontId="6" fillId="0" borderId="0" xfId="0" applyFont="1" applyAlignment="1" applyProtection="1">
      <alignment horizontal="right" vertical="center"/>
      <protection locked="0"/>
    </xf>
    <xf numFmtId="190" fontId="62" fillId="0" borderId="0" xfId="4" applyNumberFormat="1" applyFont="1" applyAlignment="1">
      <alignment vertical="center"/>
      <protection locked="0"/>
    </xf>
    <xf numFmtId="0" fontId="15" fillId="0" borderId="3" xfId="4" applyFont="1" applyBorder="1" applyAlignment="1" applyProtection="1">
      <alignment vertical="center"/>
    </xf>
    <xf numFmtId="190" fontId="6" fillId="0" borderId="0" xfId="49" applyFont="1" applyAlignment="1">
      <alignment vertical="center"/>
      <protection locked="0"/>
    </xf>
    <xf numFmtId="190" fontId="6" fillId="0" borderId="0" xfId="49" applyFont="1">
      <alignment vertical="center"/>
      <protection locked="0"/>
    </xf>
    <xf numFmtId="190" fontId="15" fillId="0" borderId="0" xfId="4" applyNumberFormat="1" applyFont="1" applyAlignment="1">
      <alignment vertical="center"/>
      <protection locked="0"/>
    </xf>
    <xf numFmtId="190" fontId="6" fillId="0" borderId="0" xfId="49" applyFont="1" applyAlignment="1">
      <alignment horizontal="left" vertical="center"/>
      <protection locked="0"/>
    </xf>
    <xf numFmtId="190" fontId="6" fillId="0" borderId="0" xfId="50" applyFont="1">
      <alignment vertical="center"/>
    </xf>
    <xf numFmtId="190" fontId="6" fillId="0" borderId="0" xfId="49" applyFont="1" applyBorder="1" applyAlignment="1">
      <alignment vertical="center"/>
      <protection locked="0"/>
    </xf>
    <xf numFmtId="190" fontId="6" fillId="0" borderId="0" xfId="49" applyFont="1" applyBorder="1" applyAlignment="1">
      <alignment vertical="center" wrapText="1"/>
      <protection locked="0"/>
    </xf>
    <xf numFmtId="190" fontId="4" fillId="0" borderId="0" xfId="49" applyFont="1" applyAlignment="1">
      <alignment horizontal="left" vertical="center"/>
      <protection locked="0"/>
    </xf>
    <xf numFmtId="190" fontId="4" fillId="0" borderId="0" xfId="49" applyFont="1" applyAlignment="1">
      <alignment horizontal="justify" vertical="center"/>
      <protection locked="0"/>
    </xf>
    <xf numFmtId="49" fontId="6" fillId="0" borderId="0" xfId="50" applyNumberFormat="1" applyFont="1" applyAlignment="1">
      <alignment horizontal="left" vertical="center"/>
    </xf>
    <xf numFmtId="43" fontId="65" fillId="0" borderId="0" xfId="3" applyNumberFormat="1" applyFont="1" applyBorder="1" applyAlignment="1">
      <alignment vertical="center"/>
    </xf>
    <xf numFmtId="0" fontId="6" fillId="0" borderId="0" xfId="42" applyFont="1" applyAlignment="1">
      <alignment horizontal="right" vertical="center"/>
      <protection locked="0"/>
    </xf>
    <xf numFmtId="43" fontId="6" fillId="6" borderId="4" xfId="47" applyNumberFormat="1" applyFont="1" applyFill="1" applyBorder="1" applyAlignment="1">
      <alignment horizontal="right" vertical="center" shrinkToFit="1"/>
    </xf>
    <xf numFmtId="0" fontId="31" fillId="6" borderId="5" xfId="42" applyFont="1" applyFill="1" applyBorder="1" applyAlignment="1">
      <alignment vertical="center"/>
      <protection locked="0"/>
    </xf>
    <xf numFmtId="0" fontId="4" fillId="0" borderId="1" xfId="42" applyFont="1" applyBorder="1" applyAlignment="1">
      <alignment vertical="center"/>
      <protection locked="0"/>
    </xf>
    <xf numFmtId="0" fontId="64" fillId="0" borderId="0" xfId="42" applyFont="1" applyAlignment="1">
      <alignment vertical="center"/>
      <protection locked="0"/>
    </xf>
    <xf numFmtId="0" fontId="65" fillId="0" borderId="0" xfId="52" applyFont="1">
      <protection locked="0"/>
    </xf>
    <xf numFmtId="0" fontId="6" fillId="0" borderId="0" xfId="52" applyFont="1">
      <protection locked="0"/>
    </xf>
    <xf numFmtId="0" fontId="31" fillId="6" borderId="4" xfId="52" applyFont="1" applyFill="1" applyBorder="1" applyAlignment="1" applyProtection="1">
      <alignment horizontal="center" vertical="center" wrapText="1"/>
    </xf>
    <xf numFmtId="190" fontId="4" fillId="6" borderId="4" xfId="53" applyFont="1" applyFill="1" applyBorder="1" applyAlignment="1" applyProtection="1">
      <alignment horizontal="center" vertical="center" wrapText="1"/>
      <protection locked="0"/>
    </xf>
    <xf numFmtId="0" fontId="6" fillId="0" borderId="0" xfId="52" applyFont="1" applyAlignment="1">
      <alignment horizontal="center" wrapText="1"/>
      <protection locked="0"/>
    </xf>
    <xf numFmtId="0" fontId="30" fillId="0" borderId="4" xfId="52" applyFont="1" applyBorder="1" applyAlignment="1" applyProtection="1">
      <alignment vertical="center"/>
    </xf>
    <xf numFmtId="0" fontId="63" fillId="0" borderId="0" xfId="42" applyFont="1" applyAlignment="1">
      <alignment vertical="center"/>
      <protection locked="0"/>
    </xf>
    <xf numFmtId="0" fontId="66" fillId="0" borderId="0" xfId="0" applyFont="1">
      <alignment vertical="center"/>
    </xf>
    <xf numFmtId="0" fontId="65" fillId="0" borderId="0" xfId="41" applyFont="1">
      <alignment vertical="center"/>
    </xf>
    <xf numFmtId="190" fontId="65" fillId="0" borderId="0" xfId="48" applyFont="1">
      <alignment vertical="center"/>
    </xf>
    <xf numFmtId="0" fontId="67" fillId="0" borderId="0" xfId="42" applyFont="1" applyAlignment="1">
      <alignment vertical="center"/>
      <protection locked="0"/>
    </xf>
    <xf numFmtId="0" fontId="68" fillId="0" borderId="0" xfId="52" applyFont="1">
      <protection locked="0"/>
    </xf>
    <xf numFmtId="0" fontId="68" fillId="0" borderId="0" xfId="41" applyFont="1">
      <alignment vertical="center"/>
    </xf>
    <xf numFmtId="43" fontId="68" fillId="0" borderId="0" xfId="3" applyNumberFormat="1" applyFont="1" applyBorder="1" applyAlignment="1">
      <alignment vertical="center"/>
    </xf>
    <xf numFmtId="0" fontId="69" fillId="0" borderId="0" xfId="0" applyFont="1">
      <alignment vertical="center"/>
    </xf>
    <xf numFmtId="190" fontId="68" fillId="0" borderId="0" xfId="48" applyFont="1">
      <alignment vertical="center"/>
    </xf>
    <xf numFmtId="0" fontId="6" fillId="0" borderId="4" xfId="0" applyFont="1" applyBorder="1">
      <alignment vertical="center"/>
    </xf>
    <xf numFmtId="43" fontId="4" fillId="6" borderId="4" xfId="1" applyFont="1" applyFill="1" applyBorder="1" applyAlignment="1">
      <alignment horizontal="right" vertical="center" wrapText="1"/>
    </xf>
    <xf numFmtId="14" fontId="30" fillId="4" borderId="4" xfId="1" applyNumberFormat="1" applyFont="1" applyFill="1" applyBorder="1" applyAlignment="1">
      <alignment vertical="center"/>
    </xf>
    <xf numFmtId="43" fontId="30" fillId="0" borderId="4" xfId="1" applyFont="1" applyBorder="1" applyAlignment="1" applyProtection="1">
      <alignment vertical="center"/>
    </xf>
    <xf numFmtId="49" fontId="30" fillId="0" borderId="4" xfId="52" applyNumberFormat="1" applyFont="1" applyBorder="1" applyAlignment="1" applyProtection="1">
      <alignment horizontal="center" vertical="center"/>
    </xf>
    <xf numFmtId="49" fontId="6" fillId="0" borderId="4" xfId="42" applyNumberFormat="1" applyFont="1" applyBorder="1" applyAlignment="1">
      <alignment horizontal="left" vertical="center"/>
      <protection locked="0"/>
    </xf>
    <xf numFmtId="49" fontId="6" fillId="0" borderId="4" xfId="42" applyNumberFormat="1" applyFont="1" applyBorder="1" applyAlignment="1">
      <alignment horizontal="center" vertical="center" wrapText="1"/>
      <protection locked="0"/>
    </xf>
    <xf numFmtId="190" fontId="70" fillId="0" borderId="0" xfId="46" applyFont="1" applyAlignment="1">
      <alignment horizontal="left"/>
      <protection locked="0"/>
    </xf>
    <xf numFmtId="0" fontId="4" fillId="9" borderId="3" xfId="57" applyFont="1" applyFill="1" applyBorder="1" applyAlignment="1">
      <alignment horizontal="center" vertical="center"/>
      <protection locked="0"/>
    </xf>
    <xf numFmtId="0" fontId="4" fillId="7" borderId="4" xfId="55" applyFont="1" applyFill="1" applyBorder="1" applyAlignment="1" applyProtection="1">
      <alignment horizontal="center" vertical="center"/>
      <protection locked="0"/>
    </xf>
    <xf numFmtId="0" fontId="4" fillId="7" borderId="4" xfId="55" applyFont="1" applyFill="1" applyBorder="1" applyAlignment="1" applyProtection="1">
      <alignment horizontal="center" vertical="center" wrapText="1"/>
      <protection locked="0"/>
    </xf>
    <xf numFmtId="0" fontId="71" fillId="0" borderId="0" xfId="0" applyNumberFormat="1" applyFont="1" applyAlignment="1" applyProtection="1">
      <alignment horizontal="right" vertical="center"/>
      <protection locked="0"/>
    </xf>
    <xf numFmtId="0" fontId="71" fillId="0" borderId="0" xfId="0" applyNumberFormat="1" applyFont="1" applyAlignment="1" applyProtection="1">
      <alignment horizontal="left" vertical="center"/>
      <protection locked="0"/>
    </xf>
    <xf numFmtId="0" fontId="15" fillId="0" borderId="0" xfId="0" applyFont="1" applyAlignment="1" applyProtection="1">
      <alignment vertical="center"/>
      <protection locked="0"/>
    </xf>
    <xf numFmtId="0" fontId="59" fillId="0" borderId="0" xfId="0" applyFont="1" applyFill="1" applyBorder="1" applyAlignment="1" applyProtection="1">
      <alignment horizontal="left" vertical="center"/>
      <protection locked="0"/>
    </xf>
    <xf numFmtId="196" fontId="9" fillId="0" borderId="0" xfId="56" applyNumberFormat="1" applyFont="1" applyAlignment="1">
      <alignment horizontal="left" vertical="center"/>
      <protection locked="0"/>
    </xf>
    <xf numFmtId="43" fontId="14" fillId="0" borderId="0" xfId="3" applyNumberFormat="1" applyFont="1" applyBorder="1" applyAlignment="1">
      <alignment vertical="center"/>
    </xf>
    <xf numFmtId="0" fontId="14" fillId="0" borderId="0" xfId="42" applyFont="1" applyAlignment="1">
      <alignment vertical="center"/>
      <protection locked="0"/>
    </xf>
    <xf numFmtId="0" fontId="7" fillId="0" borderId="4" xfId="54" applyFont="1" applyFill="1" applyBorder="1" applyAlignment="1" applyProtection="1">
      <alignment horizontal="left" vertical="center" wrapText="1"/>
      <protection locked="0"/>
    </xf>
    <xf numFmtId="190" fontId="58" fillId="0" borderId="4" xfId="56" applyFont="1" applyFill="1" applyBorder="1" applyAlignment="1" applyProtection="1">
      <alignment horizontal="center" vertical="center" wrapText="1"/>
    </xf>
    <xf numFmtId="190" fontId="35" fillId="0" borderId="4" xfId="56" applyFont="1" applyFill="1" applyBorder="1" applyAlignment="1" applyProtection="1">
      <alignment horizontal="center" vertical="center" wrapText="1"/>
    </xf>
    <xf numFmtId="0" fontId="6" fillId="0" borderId="4" xfId="55" applyFont="1" applyFill="1" applyBorder="1" applyAlignment="1" applyProtection="1">
      <alignment horizontal="center" vertical="center"/>
      <protection locked="0"/>
    </xf>
    <xf numFmtId="190" fontId="4" fillId="0" borderId="4" xfId="56" applyFont="1" applyFill="1" applyBorder="1" applyAlignment="1" applyProtection="1">
      <alignment horizontal="center" vertical="center"/>
      <protection locked="0"/>
    </xf>
    <xf numFmtId="190" fontId="6" fillId="0" borderId="4" xfId="56" applyFont="1" applyFill="1" applyBorder="1" applyAlignment="1" applyProtection="1">
      <alignment horizontal="center" vertical="center"/>
      <protection locked="0"/>
    </xf>
    <xf numFmtId="190" fontId="7" fillId="0" borderId="4" xfId="49" applyFont="1" applyFill="1" applyBorder="1" applyAlignment="1">
      <alignment horizontal="left" vertical="center" wrapText="1"/>
      <protection locked="0"/>
    </xf>
    <xf numFmtId="190" fontId="4" fillId="0" borderId="4" xfId="49" applyFont="1" applyFill="1" applyBorder="1" applyAlignment="1" applyProtection="1">
      <alignment horizontal="center" vertical="center" wrapText="1"/>
      <protection locked="0"/>
    </xf>
    <xf numFmtId="190" fontId="6" fillId="0" borderId="4" xfId="49" applyFont="1" applyFill="1" applyBorder="1" applyAlignment="1" applyProtection="1">
      <alignment horizontal="center" vertical="center" wrapText="1"/>
      <protection locked="0"/>
    </xf>
    <xf numFmtId="0" fontId="4" fillId="0" borderId="4" xfId="55" applyFont="1" applyFill="1" applyBorder="1" applyAlignment="1" applyProtection="1">
      <alignment horizontal="center" vertical="center"/>
      <protection locked="0"/>
    </xf>
    <xf numFmtId="0" fontId="7" fillId="0" borderId="5" xfId="54" applyFont="1" applyFill="1" applyBorder="1" applyAlignment="1" applyProtection="1">
      <alignment horizontal="left" vertical="center" wrapText="1"/>
      <protection locked="0"/>
    </xf>
    <xf numFmtId="190" fontId="42" fillId="0" borderId="4" xfId="56" applyFont="1" applyFill="1" applyBorder="1" applyAlignment="1" applyProtection="1">
      <alignment horizontal="center" vertical="center" wrapText="1"/>
    </xf>
    <xf numFmtId="49" fontId="6" fillId="0" borderId="4" xfId="54" applyNumberFormat="1" applyFont="1" applyFill="1" applyBorder="1" applyAlignment="1" applyProtection="1">
      <alignment horizontal="center" vertical="center"/>
      <protection locked="0"/>
    </xf>
    <xf numFmtId="190" fontId="58" fillId="0" borderId="4" xfId="49" applyFont="1" applyFill="1" applyBorder="1" applyAlignment="1" applyProtection="1">
      <alignment horizontal="center" vertical="center" wrapText="1"/>
    </xf>
    <xf numFmtId="0" fontId="6" fillId="0" borderId="4" xfId="55" applyNumberFormat="1" applyFont="1" applyFill="1" applyBorder="1" applyAlignment="1" applyProtection="1">
      <alignment horizontal="center" vertical="center" wrapText="1"/>
      <protection locked="0"/>
    </xf>
    <xf numFmtId="0" fontId="6" fillId="0" borderId="4" xfId="55" applyFont="1" applyFill="1" applyBorder="1" applyAlignment="1" applyProtection="1">
      <alignment horizontal="center" vertical="center" wrapText="1"/>
      <protection locked="0"/>
    </xf>
    <xf numFmtId="49" fontId="7" fillId="0" borderId="4" xfId="54" applyNumberFormat="1" applyFont="1" applyFill="1" applyBorder="1" applyAlignment="1" applyProtection="1">
      <alignment horizontal="left" vertical="center" wrapText="1"/>
      <protection locked="0"/>
    </xf>
    <xf numFmtId="190" fontId="6" fillId="0" borderId="4" xfId="49" applyFont="1" applyFill="1" applyBorder="1" applyAlignment="1">
      <alignment horizontal="center" vertical="center" wrapText="1"/>
      <protection locked="0"/>
    </xf>
    <xf numFmtId="190" fontId="6" fillId="0" borderId="4" xfId="49" applyFont="1" applyFill="1" applyBorder="1" applyAlignment="1">
      <alignment horizontal="left" vertical="center" wrapText="1"/>
      <protection locked="0"/>
    </xf>
    <xf numFmtId="190" fontId="6" fillId="0" borderId="4" xfId="49" applyFont="1" applyFill="1" applyBorder="1" applyAlignment="1">
      <alignment vertical="center" wrapText="1"/>
      <protection locked="0"/>
    </xf>
    <xf numFmtId="49" fontId="6" fillId="0" borderId="4" xfId="1" applyNumberFormat="1" applyFont="1" applyFill="1" applyBorder="1" applyAlignment="1" applyProtection="1">
      <alignment horizontal="center" vertical="center" wrapText="1"/>
      <protection locked="0"/>
    </xf>
    <xf numFmtId="0" fontId="6" fillId="0" borderId="4" xfId="5" applyFont="1" applyBorder="1" applyAlignment="1">
      <alignment vertical="center"/>
    </xf>
    <xf numFmtId="0" fontId="6" fillId="0" borderId="4" xfId="5" applyFont="1" applyBorder="1" applyAlignment="1">
      <alignment horizontal="center" vertical="center"/>
    </xf>
    <xf numFmtId="43" fontId="6" fillId="0" borderId="4" xfId="5" applyNumberFormat="1" applyFont="1" applyBorder="1" applyAlignment="1">
      <alignment vertical="center"/>
    </xf>
    <xf numFmtId="43" fontId="6" fillId="6" borderId="4" xfId="5" applyNumberFormat="1" applyFont="1" applyFill="1" applyBorder="1" applyAlignment="1">
      <alignment vertical="center"/>
    </xf>
    <xf numFmtId="0" fontId="7" fillId="0" borderId="0" xfId="44" applyFont="1" applyBorder="1" applyAlignment="1">
      <alignment vertical="center"/>
    </xf>
    <xf numFmtId="0" fontId="2" fillId="0" borderId="0" xfId="44" applyFont="1" applyAlignment="1">
      <alignment vertical="center"/>
    </xf>
    <xf numFmtId="0" fontId="2" fillId="0" borderId="1" xfId="44" applyFont="1" applyBorder="1" applyAlignment="1">
      <alignment vertical="center"/>
    </xf>
    <xf numFmtId="0" fontId="2" fillId="0" borderId="0" xfId="42" applyFont="1" applyAlignment="1">
      <alignment vertical="center"/>
      <protection locked="0"/>
    </xf>
    <xf numFmtId="0" fontId="9" fillId="0" borderId="3" xfId="4" applyFont="1" applyBorder="1" applyAlignment="1" applyProtection="1">
      <alignment vertical="center"/>
    </xf>
    <xf numFmtId="0" fontId="58" fillId="0" borderId="0" xfId="0" applyFont="1" applyAlignment="1" applyProtection="1">
      <alignment horizontal="center" vertical="center"/>
      <protection locked="0"/>
    </xf>
    <xf numFmtId="49" fontId="2" fillId="0" borderId="0" xfId="56" applyNumberFormat="1" applyFont="1" applyFill="1" applyAlignment="1" applyProtection="1">
      <alignment horizontal="left" vertical="center"/>
      <protection locked="0"/>
    </xf>
    <xf numFmtId="190" fontId="31" fillId="6" borderId="4" xfId="47" applyFont="1" applyFill="1" applyBorder="1" applyAlignment="1" applyProtection="1">
      <alignment horizontal="center" vertical="center"/>
      <protection locked="0"/>
    </xf>
    <xf numFmtId="0" fontId="6" fillId="0" borderId="0" xfId="44" applyFont="1" applyFill="1" applyAlignment="1">
      <alignment horizontal="left" vertical="center"/>
    </xf>
    <xf numFmtId="49" fontId="6" fillId="0" borderId="0" xfId="44" applyNumberFormat="1" applyFont="1" applyFill="1" applyAlignment="1">
      <alignment horizontal="left" vertical="center"/>
    </xf>
    <xf numFmtId="49" fontId="6" fillId="0" borderId="0" xfId="44" applyNumberFormat="1" applyFont="1" applyFill="1" applyAlignment="1" applyProtection="1">
      <alignment vertical="center"/>
      <protection locked="0"/>
    </xf>
    <xf numFmtId="0" fontId="6" fillId="0" borderId="0" xfId="44" applyFont="1" applyFill="1" applyAlignment="1" applyProtection="1">
      <alignment vertical="center"/>
      <protection locked="0"/>
    </xf>
    <xf numFmtId="0" fontId="6" fillId="0" borderId="0" xfId="44" applyFont="1" applyFill="1" applyAlignment="1">
      <alignment vertical="center"/>
    </xf>
    <xf numFmtId="0" fontId="6" fillId="0" borderId="0" xfId="0" applyFont="1" applyFill="1" applyProtection="1">
      <alignment vertical="center"/>
      <protection locked="0"/>
    </xf>
    <xf numFmtId="0" fontId="6" fillId="0" borderId="0" xfId="43" applyFont="1" applyFill="1">
      <alignment vertical="center"/>
    </xf>
    <xf numFmtId="0" fontId="6" fillId="0" borderId="0" xfId="0" applyFont="1" applyFill="1" applyAlignment="1" applyProtection="1">
      <alignment horizontal="right" vertical="center"/>
      <protection locked="0"/>
    </xf>
    <xf numFmtId="0" fontId="4" fillId="6" borderId="0" xfId="42" applyFont="1" applyFill="1" applyAlignment="1">
      <alignment horizontal="center" vertical="center"/>
      <protection locked="0"/>
    </xf>
    <xf numFmtId="0" fontId="6" fillId="0" borderId="4" xfId="0" applyFont="1" applyFill="1" applyBorder="1">
      <alignment vertical="center"/>
    </xf>
    <xf numFmtId="43" fontId="30" fillId="0" borderId="4" xfId="1" applyFont="1" applyFill="1" applyBorder="1" applyAlignment="1">
      <alignment vertical="center"/>
    </xf>
    <xf numFmtId="49" fontId="30" fillId="0" borderId="4" xfId="1" applyNumberFormat="1" applyFont="1" applyFill="1" applyBorder="1" applyAlignment="1">
      <alignment vertical="center"/>
    </xf>
    <xf numFmtId="14" fontId="30" fillId="0" borderId="4" xfId="1" applyNumberFormat="1" applyFont="1" applyFill="1" applyBorder="1" applyAlignment="1">
      <alignment vertical="center"/>
    </xf>
    <xf numFmtId="10" fontId="12" fillId="0" borderId="0" xfId="2" applyNumberFormat="1" applyFont="1" applyFill="1" applyBorder="1" applyAlignment="1">
      <alignment vertical="center"/>
    </xf>
    <xf numFmtId="0" fontId="4" fillId="0" borderId="0" xfId="44" applyFont="1" applyFill="1" applyAlignment="1">
      <alignment horizontal="left" vertical="center"/>
    </xf>
    <xf numFmtId="0" fontId="7" fillId="5" borderId="0" xfId="0" applyFont="1" applyFill="1" applyAlignment="1" applyProtection="1">
      <alignment horizontal="justify" vertical="center" wrapText="1"/>
      <protection locked="0"/>
    </xf>
    <xf numFmtId="0" fontId="74" fillId="0" borderId="0" xfId="0" applyFont="1" applyAlignment="1" applyProtection="1">
      <alignment horizontal="center" vertical="center"/>
      <protection locked="0"/>
    </xf>
    <xf numFmtId="190" fontId="78" fillId="0" borderId="0" xfId="58" applyFont="1" applyFill="1" applyAlignment="1">
      <alignment horizontal="left" vertical="center"/>
    </xf>
    <xf numFmtId="190" fontId="59" fillId="0" borderId="4" xfId="49" applyFont="1" applyFill="1" applyBorder="1" applyAlignment="1">
      <alignment horizontal="center" vertical="center" wrapText="1"/>
      <protection locked="0"/>
    </xf>
    <xf numFmtId="49" fontId="4" fillId="7" borderId="4" xfId="0" applyNumberFormat="1" applyFont="1" applyFill="1" applyBorder="1" applyAlignment="1" applyProtection="1">
      <alignment vertical="center"/>
      <protection locked="0"/>
    </xf>
    <xf numFmtId="43" fontId="4" fillId="7" borderId="4" xfId="0" applyNumberFormat="1" applyFont="1" applyFill="1" applyBorder="1" applyAlignment="1" applyProtection="1">
      <alignment vertical="center"/>
      <protection locked="0"/>
    </xf>
    <xf numFmtId="43" fontId="6" fillId="7" borderId="4" xfId="42" applyNumberFormat="1" applyFont="1" applyFill="1" applyBorder="1" applyAlignment="1">
      <alignment horizontal="center" vertical="center"/>
      <protection locked="0"/>
    </xf>
    <xf numFmtId="0" fontId="6" fillId="7" borderId="4" xfId="42" applyFont="1" applyFill="1" applyBorder="1" applyAlignment="1">
      <alignment horizontal="center" vertical="center"/>
      <protection locked="0"/>
    </xf>
    <xf numFmtId="49" fontId="6" fillId="7" borderId="4" xfId="42" applyNumberFormat="1" applyFont="1" applyFill="1" applyBorder="1" applyAlignment="1">
      <alignment horizontal="center" vertical="center" wrapText="1"/>
      <protection locked="0"/>
    </xf>
    <xf numFmtId="0" fontId="6" fillId="7" borderId="0" xfId="42" applyFont="1" applyFill="1" applyAlignment="1">
      <alignment vertical="center"/>
      <protection locked="0"/>
    </xf>
    <xf numFmtId="43" fontId="4" fillId="7" borderId="4" xfId="42" applyNumberFormat="1" applyFont="1" applyFill="1" applyBorder="1" applyAlignment="1">
      <alignment horizontal="left" vertical="center"/>
      <protection locked="0"/>
    </xf>
    <xf numFmtId="43" fontId="4" fillId="7" borderId="4" xfId="47" applyNumberFormat="1" applyFont="1" applyFill="1" applyBorder="1" applyAlignment="1">
      <alignment horizontal="right" vertical="center" shrinkToFit="1"/>
    </xf>
    <xf numFmtId="43" fontId="4" fillId="7" borderId="4" xfId="42" applyNumberFormat="1" applyFont="1" applyFill="1" applyBorder="1" applyAlignment="1">
      <alignment horizontal="center" vertical="center"/>
      <protection locked="0"/>
    </xf>
    <xf numFmtId="0" fontId="4" fillId="7" borderId="4" xfId="42" applyFont="1" applyFill="1" applyBorder="1" applyAlignment="1">
      <alignment horizontal="center" vertical="center"/>
      <protection locked="0"/>
    </xf>
    <xf numFmtId="49" fontId="4" fillId="7" borderId="4" xfId="42" applyNumberFormat="1" applyFont="1" applyFill="1" applyBorder="1" applyAlignment="1">
      <alignment horizontal="center" vertical="center" wrapText="1"/>
      <protection locked="0"/>
    </xf>
    <xf numFmtId="0" fontId="4" fillId="7" borderId="0" xfId="42" applyFont="1" applyFill="1" applyAlignment="1">
      <alignment vertical="center"/>
      <protection locked="0"/>
    </xf>
    <xf numFmtId="0" fontId="6" fillId="0" borderId="0" xfId="42" applyFont="1" applyBorder="1" applyAlignment="1">
      <alignment vertical="center"/>
      <protection locked="0"/>
    </xf>
    <xf numFmtId="0" fontId="6" fillId="0" borderId="0" xfId="42" applyFont="1" applyBorder="1" applyAlignment="1">
      <alignment horizontal="center" vertical="center"/>
      <protection locked="0"/>
    </xf>
    <xf numFmtId="0" fontId="6" fillId="0" borderId="0" xfId="42" applyFont="1" applyBorder="1" applyAlignment="1">
      <alignment horizontal="left" vertical="center"/>
      <protection locked="0"/>
    </xf>
    <xf numFmtId="0" fontId="59" fillId="0" borderId="0" xfId="42" applyFont="1" applyBorder="1" applyAlignment="1">
      <alignment vertical="center"/>
      <protection locked="0"/>
    </xf>
    <xf numFmtId="0" fontId="75" fillId="0" borderId="0" xfId="0" applyFont="1" applyAlignment="1" applyProtection="1">
      <alignment horizontal="left" vertical="center" wrapText="1"/>
      <protection locked="0"/>
    </xf>
    <xf numFmtId="0" fontId="77" fillId="0" borderId="0" xfId="0" applyFont="1" applyAlignment="1" applyProtection="1">
      <alignment horizontal="left" vertical="center" wrapText="1"/>
      <protection locked="0"/>
    </xf>
    <xf numFmtId="0" fontId="6" fillId="0" borderId="4" xfId="54" applyFont="1" applyBorder="1" applyAlignment="1" applyProtection="1">
      <alignment horizontal="left" vertical="center" wrapText="1"/>
      <protection locked="0"/>
    </xf>
    <xf numFmtId="190" fontId="72" fillId="8" borderId="12" xfId="56" applyFont="1" applyFill="1" applyBorder="1" applyAlignment="1" applyProtection="1">
      <alignment horizontal="left" vertical="center" wrapText="1"/>
      <protection locked="0"/>
    </xf>
    <xf numFmtId="190" fontId="72" fillId="8" borderId="0" xfId="56" applyFont="1" applyFill="1" applyAlignment="1" applyProtection="1">
      <alignment horizontal="left" vertical="center" wrapText="1"/>
      <protection locked="0"/>
    </xf>
    <xf numFmtId="0" fontId="4" fillId="6" borderId="4" xfId="54" applyFont="1" applyFill="1" applyBorder="1" applyAlignment="1" applyProtection="1">
      <alignment horizontal="center" vertical="center" wrapText="1"/>
      <protection locked="0"/>
    </xf>
    <xf numFmtId="0" fontId="6" fillId="0" borderId="4" xfId="54" applyFont="1" applyBorder="1" applyAlignment="1" applyProtection="1">
      <alignment horizontal="center" vertical="center" wrapText="1"/>
      <protection locked="0"/>
    </xf>
    <xf numFmtId="49" fontId="4" fillId="7" borderId="4" xfId="54" applyNumberFormat="1" applyFont="1" applyFill="1" applyBorder="1" applyAlignment="1" applyProtection="1">
      <alignment horizontal="center" vertical="center"/>
      <protection locked="0"/>
    </xf>
    <xf numFmtId="0" fontId="2" fillId="6" borderId="4" xfId="52" applyFont="1" applyFill="1" applyBorder="1" applyAlignment="1" applyProtection="1">
      <alignment horizontal="center" vertical="center" wrapText="1"/>
      <protection locked="0"/>
    </xf>
    <xf numFmtId="0" fontId="4" fillId="7" borderId="4" xfId="55" applyFont="1" applyFill="1" applyBorder="1" applyAlignment="1" applyProtection="1">
      <alignment horizontal="center" vertical="center" wrapText="1"/>
      <protection locked="0"/>
    </xf>
    <xf numFmtId="0" fontId="2" fillId="0" borderId="13" xfId="52" applyFont="1" applyFill="1" applyBorder="1" applyAlignment="1" applyProtection="1">
      <alignment horizontal="left" vertical="center" wrapText="1"/>
      <protection locked="0"/>
    </xf>
    <xf numFmtId="0" fontId="4" fillId="7" borderId="4" xfId="55" applyFont="1" applyFill="1" applyBorder="1" applyAlignment="1" applyProtection="1">
      <alignment horizontal="center" vertical="center"/>
      <protection locked="0"/>
    </xf>
    <xf numFmtId="190" fontId="63" fillId="0" borderId="0" xfId="48" applyFont="1" applyAlignment="1">
      <alignment horizontal="center" vertical="center"/>
    </xf>
    <xf numFmtId="190" fontId="67" fillId="0" borderId="0" xfId="48" applyFont="1" applyAlignment="1">
      <alignment horizontal="center" vertical="center"/>
    </xf>
    <xf numFmtId="190" fontId="4" fillId="0" borderId="0" xfId="49" applyFont="1" applyAlignment="1">
      <alignment horizontal="left" vertical="center"/>
      <protection locked="0"/>
    </xf>
    <xf numFmtId="0" fontId="2" fillId="6" borderId="4" xfId="54" applyFont="1" applyFill="1" applyBorder="1" applyAlignment="1" applyProtection="1">
      <alignment horizontal="center" vertical="center" wrapText="1"/>
      <protection locked="0"/>
    </xf>
    <xf numFmtId="190" fontId="31" fillId="6" borderId="4" xfId="46" applyFont="1" applyFill="1" applyBorder="1" applyAlignment="1">
      <alignment horizontal="center" vertical="center" wrapText="1"/>
      <protection locked="0"/>
    </xf>
    <xf numFmtId="190" fontId="4" fillId="6" borderId="4" xfId="46" applyFont="1" applyFill="1" applyBorder="1" applyAlignment="1">
      <alignment horizontal="center" vertical="center" wrapText="1"/>
      <protection locked="0"/>
    </xf>
    <xf numFmtId="43" fontId="63" fillId="0" borderId="0" xfId="3" applyNumberFormat="1" applyFont="1" applyBorder="1" applyAlignment="1">
      <alignment horizontal="center" vertical="center"/>
    </xf>
    <xf numFmtId="43" fontId="67" fillId="0" borderId="0" xfId="3" applyNumberFormat="1" applyFont="1" applyBorder="1" applyAlignment="1">
      <alignment horizontal="center" vertical="center"/>
    </xf>
    <xf numFmtId="0" fontId="31" fillId="6" borderId="4" xfId="0" applyFont="1" applyFill="1" applyBorder="1" applyAlignment="1">
      <alignment horizontal="center" vertical="center"/>
    </xf>
    <xf numFmtId="0" fontId="31" fillId="6" borderId="4" xfId="0" applyFont="1" applyFill="1" applyBorder="1">
      <alignment vertical="center"/>
    </xf>
    <xf numFmtId="190" fontId="4" fillId="6" borderId="5" xfId="47" applyFont="1" applyFill="1" applyBorder="1" applyAlignment="1" applyProtection="1">
      <alignment horizontal="center" vertical="center" wrapText="1"/>
      <protection locked="0"/>
    </xf>
    <xf numFmtId="190" fontId="4" fillId="6" borderId="6" xfId="47" applyFont="1" applyFill="1" applyBorder="1" applyAlignment="1" applyProtection="1">
      <alignment horizontal="center" vertical="center" wrapText="1"/>
      <protection locked="0"/>
    </xf>
    <xf numFmtId="190" fontId="4" fillId="6" borderId="7" xfId="47" applyFont="1" applyFill="1" applyBorder="1" applyAlignment="1" applyProtection="1">
      <alignment horizontal="center" vertical="center" wrapText="1"/>
      <protection locked="0"/>
    </xf>
    <xf numFmtId="0" fontId="66" fillId="0" borderId="0" xfId="0" applyFont="1" applyAlignment="1">
      <alignment horizontal="center" vertical="center"/>
    </xf>
    <xf numFmtId="0" fontId="69" fillId="0" borderId="0" xfId="0" applyFont="1" applyAlignment="1">
      <alignment horizontal="center" vertical="center"/>
    </xf>
    <xf numFmtId="190" fontId="4" fillId="6" borderId="5" xfId="47" applyFont="1" applyFill="1" applyBorder="1" applyAlignment="1" applyProtection="1">
      <alignment horizontal="center" vertical="center"/>
      <protection locked="0"/>
    </xf>
    <xf numFmtId="190" fontId="4" fillId="6" borderId="6" xfId="47" applyFont="1" applyFill="1" applyBorder="1" applyAlignment="1" applyProtection="1">
      <alignment horizontal="center" vertical="center"/>
      <protection locked="0"/>
    </xf>
    <xf numFmtId="190" fontId="4" fillId="6" borderId="7" xfId="47" applyFont="1" applyFill="1" applyBorder="1" applyAlignment="1" applyProtection="1">
      <alignment horizontal="center" vertical="center"/>
      <protection locked="0"/>
    </xf>
    <xf numFmtId="190" fontId="4" fillId="6" borderId="8" xfId="47" applyFont="1" applyFill="1" applyBorder="1" applyAlignment="1" applyProtection="1">
      <alignment horizontal="center" vertical="center"/>
      <protection locked="0"/>
    </xf>
    <xf numFmtId="190" fontId="4" fillId="6" borderId="9" xfId="47" applyFont="1" applyFill="1" applyBorder="1" applyAlignment="1" applyProtection="1">
      <alignment horizontal="center" vertical="center"/>
      <protection locked="0"/>
    </xf>
    <xf numFmtId="0" fontId="63" fillId="0" borderId="0" xfId="41" applyFont="1" applyAlignment="1">
      <alignment horizontal="center" vertical="center"/>
    </xf>
    <xf numFmtId="0" fontId="67" fillId="0" borderId="0" xfId="41" applyFont="1" applyAlignment="1">
      <alignment horizontal="center" vertical="center"/>
    </xf>
    <xf numFmtId="190" fontId="4" fillId="6" borderId="8" xfId="47" applyFont="1" applyFill="1" applyBorder="1" applyAlignment="1" applyProtection="1">
      <alignment horizontal="center" vertical="center" wrapText="1"/>
      <protection locked="0"/>
    </xf>
    <xf numFmtId="190" fontId="4" fillId="6" borderId="9" xfId="47" applyFont="1" applyFill="1" applyBorder="1" applyAlignment="1" applyProtection="1">
      <alignment horizontal="center" vertical="center" wrapText="1"/>
      <protection locked="0"/>
    </xf>
    <xf numFmtId="0" fontId="35" fillId="6" borderId="8" xfId="0" applyFont="1" applyFill="1" applyBorder="1" applyAlignment="1">
      <alignment horizontal="center" vertical="center" wrapText="1"/>
    </xf>
    <xf numFmtId="0" fontId="35" fillId="6" borderId="9" xfId="0" applyFont="1" applyFill="1" applyBorder="1" applyAlignment="1">
      <alignment horizontal="center" vertical="center" wrapText="1"/>
    </xf>
    <xf numFmtId="0" fontId="35" fillId="6" borderId="5" xfId="0" applyFont="1" applyFill="1" applyBorder="1" applyAlignment="1">
      <alignment horizontal="center" vertical="center"/>
    </xf>
    <xf numFmtId="0" fontId="35" fillId="6" borderId="6" xfId="0" applyFont="1" applyFill="1" applyBorder="1" applyAlignment="1">
      <alignment horizontal="center" vertical="center"/>
    </xf>
    <xf numFmtId="0" fontId="35" fillId="6" borderId="7" xfId="0" applyFont="1" applyFill="1" applyBorder="1" applyAlignment="1">
      <alignment horizontal="center" vertical="center"/>
    </xf>
    <xf numFmtId="190" fontId="31" fillId="6" borderId="4" xfId="47" applyFont="1" applyFill="1" applyBorder="1" applyAlignment="1" applyProtection="1">
      <alignment horizontal="center" vertical="center"/>
      <protection locked="0"/>
    </xf>
    <xf numFmtId="190" fontId="31" fillId="6" borderId="8" xfId="47" applyFont="1" applyFill="1" applyBorder="1" applyAlignment="1" applyProtection="1">
      <alignment horizontal="center" vertical="center"/>
      <protection locked="0"/>
    </xf>
    <xf numFmtId="190" fontId="31" fillId="6" borderId="9" xfId="47" applyFont="1" applyFill="1" applyBorder="1" applyAlignment="1" applyProtection="1">
      <alignment horizontal="center" vertical="center"/>
      <protection locked="0"/>
    </xf>
    <xf numFmtId="43" fontId="63" fillId="0" borderId="0" xfId="51" applyNumberFormat="1" applyFont="1" applyBorder="1" applyAlignment="1">
      <alignment horizontal="center" vertical="center"/>
    </xf>
    <xf numFmtId="43" fontId="67" fillId="0" borderId="0" xfId="51" applyNumberFormat="1" applyFont="1" applyBorder="1" applyAlignment="1">
      <alignment horizontal="center" vertical="center"/>
    </xf>
    <xf numFmtId="0" fontId="4" fillId="6" borderId="8" xfId="42" applyFont="1" applyFill="1" applyBorder="1" applyAlignment="1">
      <alignment horizontal="center" vertical="center" wrapText="1"/>
      <protection locked="0"/>
    </xf>
    <xf numFmtId="0" fontId="4" fillId="6" borderId="9" xfId="42" applyFont="1" applyFill="1" applyBorder="1" applyAlignment="1">
      <alignment horizontal="center" vertical="center" wrapText="1"/>
      <protection locked="0"/>
    </xf>
    <xf numFmtId="0" fontId="4" fillId="6" borderId="4" xfId="42" applyFont="1" applyFill="1" applyBorder="1" applyAlignment="1">
      <alignment horizontal="center" vertical="center" wrapText="1"/>
      <protection locked="0"/>
    </xf>
    <xf numFmtId="0" fontId="63" fillId="0" borderId="0" xfId="42" applyFont="1" applyAlignment="1">
      <alignment horizontal="center" vertical="center"/>
      <protection locked="0"/>
    </xf>
    <xf numFmtId="0" fontId="67" fillId="0" borderId="0" xfId="42" applyFont="1" applyAlignment="1">
      <alignment horizontal="center" vertical="center"/>
      <protection locked="0"/>
    </xf>
    <xf numFmtId="0" fontId="4" fillId="6" borderId="4" xfId="42" applyFont="1" applyFill="1" applyBorder="1" applyAlignment="1">
      <alignment horizontal="center" vertical="center"/>
      <protection locked="0"/>
    </xf>
    <xf numFmtId="49" fontId="4" fillId="7" borderId="4" xfId="0" applyNumberFormat="1" applyFont="1" applyFill="1" applyBorder="1" applyAlignment="1" applyProtection="1">
      <alignment horizontal="center" vertical="center"/>
      <protection locked="0"/>
    </xf>
    <xf numFmtId="49" fontId="2" fillId="7" borderId="4" xfId="0" applyNumberFormat="1" applyFont="1" applyFill="1" applyBorder="1" applyAlignment="1" applyProtection="1">
      <alignment horizontal="center" vertical="center"/>
      <protection locked="0"/>
    </xf>
    <xf numFmtId="0" fontId="31" fillId="6" borderId="8" xfId="42" applyFont="1" applyFill="1" applyBorder="1" applyAlignment="1">
      <alignment horizontal="center" vertical="center" wrapText="1"/>
      <protection locked="0"/>
    </xf>
    <xf numFmtId="0" fontId="31" fillId="6" borderId="9" xfId="42" applyFont="1" applyFill="1" applyBorder="1" applyAlignment="1">
      <alignment horizontal="center" vertical="center" wrapText="1"/>
      <protection locked="0"/>
    </xf>
  </cellXfs>
  <cellStyles count="59">
    <cellStyle name="@_text" xfId="6"/>
    <cellStyle name="{Comma [0]}" xfId="7"/>
    <cellStyle name="{Comma}" xfId="8"/>
    <cellStyle name="{Date}" xfId="9"/>
    <cellStyle name="{Month}" xfId="10"/>
    <cellStyle name="{Percent}" xfId="11"/>
    <cellStyle name="{Thousand [0]}" xfId="12"/>
    <cellStyle name="{Thousand}" xfId="13"/>
    <cellStyle name="{Z'0000(1 dec)}" xfId="14"/>
    <cellStyle name="{Z'0000(4 dec)}" xfId="15"/>
    <cellStyle name="Black" xfId="16"/>
    <cellStyle name="Border" xfId="17"/>
    <cellStyle name="Comma [0]_1995" xfId="18"/>
    <cellStyle name="Comma_1995" xfId="19"/>
    <cellStyle name="Currency [0]_1995" xfId="20"/>
    <cellStyle name="Currency_1995" xfId="21"/>
    <cellStyle name="Dezimal [0]_laroux" xfId="22"/>
    <cellStyle name="Dezimal_laroux" xfId="23"/>
    <cellStyle name="Euro" xfId="24"/>
    <cellStyle name="Followed Hyperlink_AheadBehind.xls Chart 23" xfId="25"/>
    <cellStyle name="Grey" xfId="26"/>
    <cellStyle name="Hyperlink_AheadBehind.xls Chart 23" xfId="27"/>
    <cellStyle name="Input [yellow]" xfId="28"/>
    <cellStyle name="Milliers [0]_laroux" xfId="29"/>
    <cellStyle name="Milliers_laroux" xfId="30"/>
    <cellStyle name="Non défini" xfId="31"/>
    <cellStyle name="Normal - Style1" xfId="32"/>
    <cellStyle name="Normal_22-Jun EUS Forecasts" xfId="33"/>
    <cellStyle name="Percent [2]" xfId="34"/>
    <cellStyle name="Red" xfId="35"/>
    <cellStyle name="百分比" xfId="2" builtinId="5"/>
    <cellStyle name="常规" xfId="0" builtinId="0"/>
    <cellStyle name="常规 11 5" xfId="58"/>
    <cellStyle name="常规 2" xfId="42"/>
    <cellStyle name="常规 3" xfId="46"/>
    <cellStyle name="常规 4" xfId="47"/>
    <cellStyle name="常规 4 2" xfId="53"/>
    <cellStyle name="常规 5" xfId="49"/>
    <cellStyle name="常规 6" xfId="54"/>
    <cellStyle name="常规 7" xfId="52"/>
    <cellStyle name="常规 7 2" xfId="55"/>
    <cellStyle name="常规 7 3" xfId="56"/>
    <cellStyle name="常规_Book1" xfId="41"/>
    <cellStyle name="常规_Book1 2" xfId="48"/>
    <cellStyle name="常规_c-资产类" xfId="5"/>
    <cellStyle name="常规_进一步审计程序--销售与收款循环" xfId="44"/>
    <cellStyle name="常规_通用表" xfId="57"/>
    <cellStyle name="常规_新审定表" xfId="3"/>
    <cellStyle name="常规_新审定表 2" xfId="51"/>
    <cellStyle name="常规_制造费用" xfId="43"/>
    <cellStyle name="常规_制造费用 2" xfId="50"/>
    <cellStyle name="超链接" xfId="4" builtinId="8"/>
    <cellStyle name="超链接 2 2" xfId="45"/>
    <cellStyle name="普通_ 外G9(3)" xfId="36"/>
    <cellStyle name="千分位[0]_宁波" xfId="37"/>
    <cellStyle name="千分位_宁波" xfId="38"/>
    <cellStyle name="千位[0]_laroux" xfId="39"/>
    <cellStyle name="千位_laroux" xfId="40"/>
    <cellStyle name="千位分隔" xfId="1" builtinId="3"/>
  </cellStyles>
  <dxfs count="1">
    <dxf>
      <fill>
        <patternFill>
          <bgColor rgb="FFFFC7CE"/>
        </patternFill>
      </fill>
    </dxf>
  </dxfs>
  <tableStyles count="0" defaultTableStyle="TableStyleMedium2" defaultPivotStyle="PivotStyleLight16"/>
  <colors>
    <mruColors>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9"/>
  <sheetViews>
    <sheetView tabSelected="1" workbookViewId="0"/>
  </sheetViews>
  <sheetFormatPr defaultColWidth="9" defaultRowHeight="19.95" customHeight="1"/>
  <cols>
    <col min="1" max="1" width="77.6640625" style="87" customWidth="1"/>
    <col min="2" max="2" width="2" style="87" customWidth="1"/>
    <col min="3" max="3" width="2.109375" style="87" customWidth="1"/>
    <col min="4" max="4" width="6.109375" style="87" customWidth="1"/>
    <col min="5" max="5" width="28.6640625" style="87" bestFit="1" customWidth="1"/>
    <col min="6" max="6" width="8.88671875" style="90" customWidth="1"/>
    <col min="7" max="16384" width="9" style="88"/>
  </cols>
  <sheetData>
    <row r="1" spans="1:8" s="84" customFormat="1" ht="19.95" customHeight="1">
      <c r="A1" s="83" t="s">
        <v>51</v>
      </c>
      <c r="B1" s="27"/>
      <c r="C1" s="27"/>
      <c r="F1" s="176"/>
    </row>
    <row r="2" spans="1:8" ht="19.95" customHeight="1">
      <c r="A2" s="85" t="s">
        <v>52</v>
      </c>
      <c r="B2" s="86"/>
      <c r="C2" s="86"/>
      <c r="G2" s="86"/>
      <c r="H2" s="86"/>
    </row>
    <row r="3" spans="1:8" ht="19.95" customHeight="1">
      <c r="A3" s="194" t="s">
        <v>205</v>
      </c>
      <c r="B3" s="86"/>
      <c r="C3" s="86"/>
      <c r="D3" s="136" t="s">
        <v>155</v>
      </c>
      <c r="E3" s="136" t="s">
        <v>154</v>
      </c>
      <c r="F3" s="136" t="s">
        <v>156</v>
      </c>
      <c r="G3" s="136" t="s">
        <v>157</v>
      </c>
      <c r="H3" s="89"/>
    </row>
    <row r="4" spans="1:8" ht="19.95" customHeight="1">
      <c r="A4" s="85" t="s">
        <v>49</v>
      </c>
      <c r="D4" s="35"/>
      <c r="E4" s="175" t="s">
        <v>193</v>
      </c>
      <c r="F4" s="36" t="s">
        <v>25</v>
      </c>
      <c r="G4" s="35"/>
      <c r="H4" s="86"/>
    </row>
    <row r="5" spans="1:8" ht="19.95" customHeight="1">
      <c r="A5" s="85" t="s">
        <v>50</v>
      </c>
      <c r="D5" s="36">
        <v>1</v>
      </c>
      <c r="E5" s="175" t="s">
        <v>194</v>
      </c>
      <c r="F5" s="36" t="s">
        <v>64</v>
      </c>
      <c r="G5" s="38"/>
    </row>
    <row r="6" spans="1:8" ht="19.95" customHeight="1">
      <c r="A6" s="85" t="s">
        <v>53</v>
      </c>
      <c r="D6" s="36">
        <f>D5+1</f>
        <v>2</v>
      </c>
      <c r="E6" s="95" t="s">
        <v>62</v>
      </c>
      <c r="F6" s="36"/>
      <c r="G6" s="37" t="s">
        <v>65</v>
      </c>
    </row>
    <row r="7" spans="1:8" ht="19.95" customHeight="1">
      <c r="A7" s="85" t="s">
        <v>54</v>
      </c>
      <c r="D7" s="36">
        <f>D6+1</f>
        <v>3</v>
      </c>
      <c r="E7" s="95" t="s">
        <v>63</v>
      </c>
      <c r="F7" s="36"/>
      <c r="G7" s="37" t="s">
        <v>65</v>
      </c>
    </row>
    <row r="8" spans="1:8" ht="19.95" customHeight="1">
      <c r="D8" s="36">
        <f>D7+1</f>
        <v>4</v>
      </c>
      <c r="E8" s="175" t="s">
        <v>195</v>
      </c>
      <c r="F8" s="36" t="s">
        <v>23</v>
      </c>
      <c r="G8" s="37"/>
    </row>
    <row r="9" spans="1:8" ht="19.95" customHeight="1">
      <c r="A9" s="195" t="s">
        <v>206</v>
      </c>
      <c r="D9" s="36">
        <f>D8+1</f>
        <v>5</v>
      </c>
      <c r="E9" s="175" t="s">
        <v>196</v>
      </c>
      <c r="F9" s="36" t="s">
        <v>24</v>
      </c>
      <c r="G9" s="37"/>
    </row>
    <row r="10" spans="1:8" ht="19.95" customHeight="1">
      <c r="A10" s="214" t="s">
        <v>207</v>
      </c>
      <c r="D10" s="36">
        <f>D9+1</f>
        <v>6</v>
      </c>
      <c r="E10" s="175" t="s">
        <v>197</v>
      </c>
      <c r="F10" s="36" t="s">
        <v>60</v>
      </c>
      <c r="G10" s="37"/>
    </row>
    <row r="11" spans="1:8" ht="19.95" customHeight="1">
      <c r="A11" s="214"/>
      <c r="D11" s="90"/>
      <c r="E11" s="91"/>
    </row>
    <row r="12" spans="1:8" ht="19.95" customHeight="1">
      <c r="A12" s="214"/>
      <c r="D12" s="90"/>
      <c r="E12" s="91"/>
    </row>
    <row r="13" spans="1:8" ht="19.95" customHeight="1">
      <c r="A13" s="214"/>
      <c r="D13" s="90"/>
      <c r="E13" s="91"/>
    </row>
    <row r="14" spans="1:8" ht="19.95" customHeight="1">
      <c r="A14" s="214" t="s">
        <v>208</v>
      </c>
      <c r="D14" s="90"/>
      <c r="E14" s="91"/>
    </row>
    <row r="15" spans="1:8" ht="19.95" customHeight="1">
      <c r="A15" s="214"/>
      <c r="D15" s="90"/>
      <c r="E15" s="91"/>
    </row>
    <row r="16" spans="1:8" ht="19.95" customHeight="1">
      <c r="A16" s="214"/>
      <c r="D16" s="90"/>
      <c r="E16" s="92"/>
    </row>
    <row r="17" spans="1:5" ht="19.95" customHeight="1">
      <c r="A17" s="215" t="s">
        <v>209</v>
      </c>
      <c r="D17" s="90"/>
      <c r="E17" s="92"/>
    </row>
    <row r="18" spans="1:5" ht="19.95" customHeight="1">
      <c r="A18" s="215"/>
    </row>
    <row r="19" spans="1:5" ht="19.95" customHeight="1">
      <c r="A19" s="215"/>
    </row>
  </sheetData>
  <mergeCells count="3">
    <mergeCell ref="A10:A13"/>
    <mergeCell ref="A14:A16"/>
    <mergeCell ref="A17:A19"/>
  </mergeCells>
  <phoneticPr fontId="3" type="noConversion"/>
  <hyperlinks>
    <hyperlink ref="E4" location="'固定资产清理实质性程序表H6A'!A1" display="固定资产清理实质性程序表H6A"/>
    <hyperlink ref="E5" location="'审定表H6-1'!A1" display="审定表H6-1"/>
    <hyperlink ref="E6" location="'附注披露信息（上市公司）'!A1" display="附注披露信息（上市公司）"/>
    <hyperlink ref="E7" location="'附注披露信息（国有企业）'!A1" display="附注披露信息（国有企业）"/>
    <hyperlink ref="E8" location="'明细表H6-2'!A1" display="明细表H6-2"/>
    <hyperlink ref="E9" location="'调整分录汇总H6-3'!A1" display="调整分录汇总H6-3"/>
    <hyperlink ref="E10" location="'检查表H6-4'!A1" display="检查表H6-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23"/>
  <sheetViews>
    <sheetView view="pageBreakPreview" zoomScaleNormal="80" zoomScaleSheetLayoutView="100" workbookViewId="0">
      <selection sqref="A1:I1"/>
    </sheetView>
  </sheetViews>
  <sheetFormatPr defaultColWidth="9" defaultRowHeight="19.95" customHeight="1"/>
  <cols>
    <col min="1" max="1" width="4.88671875" style="105" customWidth="1"/>
    <col min="2" max="2" width="70.88671875" style="100" customWidth="1"/>
    <col min="3" max="3" width="10.77734375" style="100" customWidth="1"/>
    <col min="4" max="4" width="5.44140625" style="100" customWidth="1"/>
    <col min="5" max="5" width="7.109375" style="100" customWidth="1"/>
    <col min="6" max="6" width="7.5546875" style="100" customWidth="1"/>
    <col min="7" max="7" width="8" style="100" customWidth="1"/>
    <col min="8" max="8" width="5.44140625" style="100" customWidth="1"/>
    <col min="9" max="9" width="7.109375" style="100" customWidth="1"/>
    <col min="10" max="10" width="51.33203125" style="100" customWidth="1"/>
    <col min="11" max="16384" width="9" style="100"/>
  </cols>
  <sheetData>
    <row r="1" spans="1:10" s="121" customFormat="1" ht="19.95" customHeight="1">
      <c r="A1" s="226" t="s">
        <v>151</v>
      </c>
      <c r="B1" s="226"/>
      <c r="C1" s="226"/>
      <c r="D1" s="226"/>
      <c r="E1" s="226"/>
      <c r="F1" s="226"/>
      <c r="G1" s="226"/>
      <c r="H1" s="226"/>
      <c r="I1" s="226"/>
    </row>
    <row r="2" spans="1:10" s="127" customFormat="1" ht="19.95" customHeight="1">
      <c r="A2" s="227" t="s">
        <v>152</v>
      </c>
      <c r="B2" s="227"/>
      <c r="C2" s="227"/>
      <c r="D2" s="227"/>
      <c r="E2" s="227"/>
      <c r="F2" s="227"/>
      <c r="G2" s="227"/>
      <c r="H2" s="227"/>
      <c r="I2" s="227"/>
    </row>
    <row r="3" spans="1:10" s="97" customFormat="1" ht="19.95" customHeight="1">
      <c r="A3" s="96" t="str">
        <f>底稿目录!A2</f>
        <v>被审计单位：</v>
      </c>
      <c r="B3" s="96"/>
      <c r="C3" s="97" t="str">
        <f>底稿目录!A4</f>
        <v>编制人：</v>
      </c>
      <c r="E3" s="97" t="str">
        <f>底稿目录!A6</f>
        <v>编制日期：</v>
      </c>
      <c r="H3" s="139" t="s">
        <v>158</v>
      </c>
      <c r="I3" s="98" t="s">
        <v>55</v>
      </c>
    </row>
    <row r="4" spans="1:10" s="97" customFormat="1" ht="19.95" customHeight="1">
      <c r="A4" s="96" t="str">
        <f>底稿目录!A3</f>
        <v>截止日：202X年12月31日</v>
      </c>
      <c r="B4" s="96"/>
      <c r="C4" s="97" t="str">
        <f>底稿目录!A5</f>
        <v>复核人：</v>
      </c>
      <c r="E4" s="97" t="str">
        <f>底稿目录!A7</f>
        <v>复核日期：</v>
      </c>
      <c r="H4" s="139" t="s">
        <v>159</v>
      </c>
      <c r="I4" s="99"/>
    </row>
    <row r="5" spans="1:10" ht="19.95" customHeight="1">
      <c r="A5" s="228" t="s">
        <v>76</v>
      </c>
      <c r="B5" s="228"/>
    </row>
    <row r="6" spans="1:10" ht="19.95" customHeight="1">
      <c r="A6" s="101" t="s">
        <v>67</v>
      </c>
      <c r="B6" s="101"/>
      <c r="C6" s="102"/>
      <c r="D6" s="102"/>
      <c r="E6" s="102"/>
      <c r="F6" s="102"/>
      <c r="G6" s="102"/>
      <c r="H6" s="102"/>
      <c r="I6" s="102"/>
    </row>
    <row r="7" spans="1:10" s="97" customFormat="1" ht="19.95" customHeight="1">
      <c r="A7" s="177" t="s">
        <v>198</v>
      </c>
      <c r="B7" s="103"/>
      <c r="C7" s="104"/>
    </row>
    <row r="8" spans="1:10" s="97" customFormat="1" ht="19.95" customHeight="1">
      <c r="A8" s="229" t="s">
        <v>202</v>
      </c>
      <c r="B8" s="219"/>
      <c r="C8" s="219"/>
      <c r="D8" s="219"/>
      <c r="E8" s="219"/>
      <c r="F8" s="219"/>
      <c r="G8" s="219" t="s">
        <v>12</v>
      </c>
      <c r="H8" s="219"/>
      <c r="I8" s="219"/>
    </row>
    <row r="9" spans="1:10" s="97" customFormat="1" ht="19.95" customHeight="1">
      <c r="A9" s="216" t="s">
        <v>72</v>
      </c>
      <c r="B9" s="216"/>
      <c r="C9" s="216"/>
      <c r="D9" s="216"/>
      <c r="E9" s="216"/>
      <c r="F9" s="216"/>
      <c r="G9" s="220" t="s">
        <v>13</v>
      </c>
      <c r="H9" s="220"/>
      <c r="I9" s="220"/>
    </row>
    <row r="10" spans="1:10" s="97" customFormat="1" ht="19.95" customHeight="1">
      <c r="A10" s="216" t="s">
        <v>73</v>
      </c>
      <c r="B10" s="216"/>
      <c r="C10" s="216"/>
      <c r="D10" s="216"/>
      <c r="E10" s="216"/>
      <c r="F10" s="216"/>
      <c r="G10" s="220" t="s">
        <v>200</v>
      </c>
      <c r="H10" s="220"/>
      <c r="I10" s="220"/>
    </row>
    <row r="11" spans="1:10" s="97" customFormat="1" ht="19.95" customHeight="1">
      <c r="A11" s="216" t="s">
        <v>203</v>
      </c>
      <c r="B11" s="216"/>
      <c r="C11" s="216"/>
      <c r="D11" s="216"/>
      <c r="E11" s="216"/>
      <c r="F11" s="216"/>
      <c r="G11" s="220" t="s">
        <v>14</v>
      </c>
      <c r="H11" s="220"/>
      <c r="I11" s="220"/>
    </row>
    <row r="12" spans="1:10" s="97" customFormat="1" ht="19.95" customHeight="1">
      <c r="A12" s="216" t="s">
        <v>77</v>
      </c>
      <c r="B12" s="216"/>
      <c r="C12" s="216"/>
      <c r="D12" s="216"/>
      <c r="E12" s="216"/>
      <c r="F12" s="216"/>
      <c r="G12" s="220" t="s">
        <v>172</v>
      </c>
      <c r="H12" s="220"/>
      <c r="I12" s="220"/>
    </row>
    <row r="13" spans="1:10" s="97" customFormat="1" ht="19.95" customHeight="1">
      <c r="A13" s="216" t="s">
        <v>204</v>
      </c>
      <c r="B13" s="216"/>
      <c r="C13" s="216"/>
      <c r="D13" s="216"/>
      <c r="E13" s="216"/>
      <c r="F13" s="216"/>
      <c r="G13" s="220" t="s">
        <v>201</v>
      </c>
      <c r="H13" s="220"/>
      <c r="I13" s="220"/>
    </row>
    <row r="14" spans="1:10" s="97" customFormat="1" ht="19.95" customHeight="1">
      <c r="A14" s="224" t="s">
        <v>199</v>
      </c>
      <c r="B14" s="224"/>
      <c r="C14" s="104"/>
    </row>
    <row r="15" spans="1:10" s="97" customFormat="1" ht="19.95" customHeight="1">
      <c r="A15" s="221" t="s">
        <v>74</v>
      </c>
      <c r="B15" s="222" t="s">
        <v>211</v>
      </c>
      <c r="C15" s="223" t="s">
        <v>78</v>
      </c>
      <c r="D15" s="225" t="s">
        <v>75</v>
      </c>
      <c r="E15" s="225"/>
      <c r="F15" s="225"/>
      <c r="G15" s="225"/>
      <c r="H15" s="225"/>
      <c r="I15" s="223" t="s">
        <v>44</v>
      </c>
    </row>
    <row r="16" spans="1:10" s="97" customFormat="1" ht="33" customHeight="1">
      <c r="A16" s="221"/>
      <c r="B16" s="222"/>
      <c r="C16" s="223"/>
      <c r="D16" s="137" t="s">
        <v>79</v>
      </c>
      <c r="E16" s="137" t="s">
        <v>80</v>
      </c>
      <c r="F16" s="138" t="s">
        <v>45</v>
      </c>
      <c r="G16" s="138" t="s">
        <v>46</v>
      </c>
      <c r="H16" s="138" t="s">
        <v>47</v>
      </c>
      <c r="I16" s="223"/>
      <c r="J16" s="196" t="s">
        <v>210</v>
      </c>
    </row>
    <row r="17" spans="1:12" s="97" customFormat="1" ht="64.2" customHeight="1">
      <c r="A17" s="158" t="s">
        <v>163</v>
      </c>
      <c r="B17" s="146" t="s">
        <v>181</v>
      </c>
      <c r="C17" s="159" t="s">
        <v>16</v>
      </c>
      <c r="D17" s="147" t="s">
        <v>173</v>
      </c>
      <c r="E17" s="147" t="s">
        <v>173</v>
      </c>
      <c r="F17" s="147"/>
      <c r="G17" s="148" t="s">
        <v>174</v>
      </c>
      <c r="H17" s="160"/>
      <c r="I17" s="161" t="s">
        <v>212</v>
      </c>
    </row>
    <row r="18" spans="1:12" s="97" customFormat="1" ht="45" customHeight="1">
      <c r="A18" s="158" t="s">
        <v>17</v>
      </c>
      <c r="B18" s="162" t="s">
        <v>177</v>
      </c>
      <c r="C18" s="159" t="s">
        <v>16</v>
      </c>
      <c r="D18" s="149"/>
      <c r="E18" s="150" t="s">
        <v>175</v>
      </c>
      <c r="F18" s="149"/>
      <c r="G18" s="151" t="s">
        <v>176</v>
      </c>
      <c r="H18" s="161"/>
      <c r="I18" s="197" t="s">
        <v>213</v>
      </c>
      <c r="J18" s="217" t="s">
        <v>187</v>
      </c>
      <c r="K18" s="218"/>
      <c r="L18" s="218"/>
    </row>
    <row r="19" spans="1:12" s="97" customFormat="1" ht="49.2" customHeight="1">
      <c r="A19" s="158" t="s">
        <v>164</v>
      </c>
      <c r="B19" s="152" t="s">
        <v>178</v>
      </c>
      <c r="C19" s="163" t="s">
        <v>69</v>
      </c>
      <c r="D19" s="153" t="s">
        <v>179</v>
      </c>
      <c r="E19" s="154" t="s">
        <v>180</v>
      </c>
      <c r="F19" s="154" t="s">
        <v>176</v>
      </c>
      <c r="G19" s="154" t="s">
        <v>180</v>
      </c>
      <c r="H19" s="161"/>
      <c r="I19" s="163"/>
      <c r="J19" s="217" t="s">
        <v>188</v>
      </c>
      <c r="K19" s="218"/>
      <c r="L19" s="218"/>
    </row>
    <row r="20" spans="1:12" s="97" customFormat="1" ht="78.599999999999994" customHeight="1">
      <c r="A20" s="158" t="s">
        <v>165</v>
      </c>
      <c r="B20" s="164" t="s">
        <v>182</v>
      </c>
      <c r="C20" s="159" t="s">
        <v>70</v>
      </c>
      <c r="D20" s="149" t="s">
        <v>71</v>
      </c>
      <c r="E20" s="149" t="s">
        <v>71</v>
      </c>
      <c r="F20" s="149" t="s">
        <v>15</v>
      </c>
      <c r="G20" s="149" t="s">
        <v>71</v>
      </c>
      <c r="H20" s="161"/>
      <c r="I20" s="163" t="s">
        <v>61</v>
      </c>
    </row>
    <row r="21" spans="1:12" s="97" customFormat="1" ht="35.4" customHeight="1">
      <c r="A21" s="158" t="s">
        <v>166</v>
      </c>
      <c r="B21" s="152" t="s">
        <v>183</v>
      </c>
      <c r="C21" s="159" t="s">
        <v>70</v>
      </c>
      <c r="D21" s="155" t="s">
        <v>179</v>
      </c>
      <c r="E21" s="149" t="s">
        <v>180</v>
      </c>
      <c r="F21" s="149" t="s">
        <v>180</v>
      </c>
      <c r="G21" s="155" t="s">
        <v>179</v>
      </c>
      <c r="H21" s="149" t="s">
        <v>180</v>
      </c>
      <c r="I21" s="163"/>
    </row>
    <row r="22" spans="1:12" ht="43.2" customHeight="1">
      <c r="A22" s="158" t="s">
        <v>167</v>
      </c>
      <c r="B22" s="156" t="s">
        <v>184</v>
      </c>
      <c r="C22" s="157" t="s">
        <v>185</v>
      </c>
      <c r="D22" s="149" t="s">
        <v>71</v>
      </c>
      <c r="E22" s="149" t="s">
        <v>71</v>
      </c>
      <c r="F22" s="149" t="s">
        <v>71</v>
      </c>
      <c r="G22" s="149" t="s">
        <v>71</v>
      </c>
      <c r="H22" s="165"/>
      <c r="I22" s="163"/>
    </row>
    <row r="23" spans="1:12" ht="41.4">
      <c r="A23" s="158" t="s">
        <v>168</v>
      </c>
      <c r="B23" s="156" t="s">
        <v>186</v>
      </c>
      <c r="C23" s="159" t="s">
        <v>70</v>
      </c>
      <c r="D23" s="165"/>
      <c r="E23" s="165"/>
      <c r="F23" s="165"/>
      <c r="G23" s="165"/>
      <c r="H23" s="149" t="s">
        <v>68</v>
      </c>
      <c r="I23" s="166" t="s">
        <v>81</v>
      </c>
    </row>
  </sheetData>
  <mergeCells count="23">
    <mergeCell ref="A10:F10"/>
    <mergeCell ref="A11:F11"/>
    <mergeCell ref="A1:I1"/>
    <mergeCell ref="A2:I2"/>
    <mergeCell ref="A5:B5"/>
    <mergeCell ref="A8:F8"/>
    <mergeCell ref="A9:F9"/>
    <mergeCell ref="A12:F12"/>
    <mergeCell ref="A13:F13"/>
    <mergeCell ref="J19:L19"/>
    <mergeCell ref="J18:L18"/>
    <mergeCell ref="G8:I8"/>
    <mergeCell ref="G9:I9"/>
    <mergeCell ref="G10:I10"/>
    <mergeCell ref="A15:A16"/>
    <mergeCell ref="B15:B16"/>
    <mergeCell ref="C15:C16"/>
    <mergeCell ref="I15:I16"/>
    <mergeCell ref="A14:B14"/>
    <mergeCell ref="D15:H15"/>
    <mergeCell ref="G11:I11"/>
    <mergeCell ref="G12:I12"/>
    <mergeCell ref="G13:I13"/>
  </mergeCells>
  <phoneticPr fontId="3" type="noConversion"/>
  <hyperlinks>
    <hyperlink ref="I3" location="底稿目录!A1" display="H6A"/>
  </hyperlinks>
  <printOptions horizontalCentered="1"/>
  <pageMargins left="0.7" right="0.7" top="0.75" bottom="0.75" header="0.3" footer="0.3"/>
  <pageSetup paperSize="9" scale="70" orientation="portrait" blackAndWhite="1"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I51"/>
  <sheetViews>
    <sheetView view="pageBreakPreview" zoomScaleNormal="130" zoomScaleSheetLayoutView="100" workbookViewId="0">
      <selection sqref="A1:I1"/>
    </sheetView>
  </sheetViews>
  <sheetFormatPr defaultColWidth="9" defaultRowHeight="19.95" customHeight="1"/>
  <cols>
    <col min="1" max="1" width="25.88671875" style="1" customWidth="1"/>
    <col min="2" max="7" width="10.109375" style="1" customWidth="1"/>
    <col min="8" max="16384" width="9" style="1"/>
  </cols>
  <sheetData>
    <row r="1" spans="1:9" s="106" customFormat="1" ht="19.95" customHeight="1">
      <c r="A1" s="232" t="s">
        <v>0</v>
      </c>
      <c r="B1" s="232"/>
      <c r="C1" s="232"/>
      <c r="D1" s="232"/>
      <c r="E1" s="232"/>
      <c r="F1" s="232"/>
      <c r="G1" s="232"/>
      <c r="H1" s="232"/>
      <c r="I1" s="232"/>
    </row>
    <row r="2" spans="1:9" s="125" customFormat="1" ht="19.95" customHeight="1">
      <c r="A2" s="233" t="s">
        <v>150</v>
      </c>
      <c r="B2" s="233"/>
      <c r="C2" s="233"/>
      <c r="D2" s="233"/>
      <c r="E2" s="233"/>
      <c r="F2" s="233"/>
      <c r="G2" s="233"/>
      <c r="H2" s="233"/>
      <c r="I2" s="233"/>
    </row>
    <row r="3" spans="1:9" ht="19.95" customHeight="1">
      <c r="A3" s="1" t="str">
        <f>底稿目录!A2</f>
        <v>被审计单位：</v>
      </c>
      <c r="D3" s="2" t="str">
        <f>底稿目录!A4</f>
        <v>编制人：</v>
      </c>
      <c r="F3" s="39" t="str">
        <f>底稿目录!A6</f>
        <v>编制日期：</v>
      </c>
      <c r="H3" s="139" t="s">
        <v>48</v>
      </c>
      <c r="I3" s="98" t="s">
        <v>56</v>
      </c>
    </row>
    <row r="4" spans="1:9" ht="19.95" customHeight="1">
      <c r="A4" s="1" t="str">
        <f>底稿目录!A3</f>
        <v>截止日：202X年12月31日</v>
      </c>
      <c r="B4" s="3"/>
      <c r="D4" s="2" t="str">
        <f>底稿目录!A5</f>
        <v>复核人：</v>
      </c>
      <c r="F4" s="39" t="str">
        <f>底稿目录!A7</f>
        <v>复核日期：</v>
      </c>
      <c r="H4" s="139" t="s">
        <v>160</v>
      </c>
      <c r="I4" s="99"/>
    </row>
    <row r="5" spans="1:9" ht="28.2" customHeight="1">
      <c r="A5" s="234" t="s">
        <v>82</v>
      </c>
      <c r="B5" s="236" t="s">
        <v>83</v>
      </c>
      <c r="C5" s="237"/>
      <c r="D5" s="238"/>
      <c r="E5" s="236" t="s">
        <v>84</v>
      </c>
      <c r="F5" s="237"/>
      <c r="G5" s="238"/>
      <c r="H5" s="230" t="s">
        <v>85</v>
      </c>
      <c r="I5" s="231"/>
    </row>
    <row r="6" spans="1:9" ht="19.95" customHeight="1">
      <c r="A6" s="235"/>
      <c r="B6" s="45" t="s">
        <v>86</v>
      </c>
      <c r="C6" s="45" t="s">
        <v>87</v>
      </c>
      <c r="D6" s="45" t="s">
        <v>88</v>
      </c>
      <c r="E6" s="45" t="s">
        <v>86</v>
      </c>
      <c r="F6" s="45" t="s">
        <v>2</v>
      </c>
      <c r="G6" s="45" t="s">
        <v>88</v>
      </c>
      <c r="H6" s="46" t="s">
        <v>89</v>
      </c>
      <c r="I6" s="80" t="s">
        <v>90</v>
      </c>
    </row>
    <row r="7" spans="1:9" ht="19.95" customHeight="1">
      <c r="A7" s="79">
        <f>'明细表H6-2'!A11</f>
        <v>0</v>
      </c>
      <c r="B7" s="76">
        <f>'明细表H6-2'!B11</f>
        <v>0</v>
      </c>
      <c r="C7" s="76">
        <f>'明细表H6-2'!F11</f>
        <v>0</v>
      </c>
      <c r="D7" s="76">
        <f>B7+C7</f>
        <v>0</v>
      </c>
      <c r="E7" s="76">
        <f>'明细表H6-2'!E11</f>
        <v>0</v>
      </c>
      <c r="F7" s="76">
        <f>'明细表H6-2'!F11+'明细表H6-2'!G11-'明细表H6-2'!H11</f>
        <v>0</v>
      </c>
      <c r="G7" s="76">
        <f>E7+F7</f>
        <v>0</v>
      </c>
      <c r="H7" s="76">
        <f t="shared" ref="H7:H12" si="0">G7-D7</f>
        <v>0</v>
      </c>
      <c r="I7" s="78">
        <f t="shared" ref="I7:I12" si="1">IF(AND(D7=0,H7=0),0,IF(AND(D7=0,H7&gt;0),1,H7/D7))</f>
        <v>0</v>
      </c>
    </row>
    <row r="8" spans="1:9" ht="19.95" customHeight="1">
      <c r="A8" s="79">
        <f>'明细表H6-2'!A12</f>
        <v>0</v>
      </c>
      <c r="B8" s="76">
        <f>'明细表H6-2'!B12</f>
        <v>0</v>
      </c>
      <c r="C8" s="76">
        <f>'明细表H6-2'!F12</f>
        <v>0</v>
      </c>
      <c r="D8" s="76">
        <f>B8+C8</f>
        <v>0</v>
      </c>
      <c r="E8" s="76">
        <f>'明细表H6-2'!E12</f>
        <v>0</v>
      </c>
      <c r="F8" s="76">
        <f>'明细表H6-2'!F12+'明细表H6-2'!G12-'明细表H6-2'!H12</f>
        <v>0</v>
      </c>
      <c r="G8" s="76">
        <f t="shared" ref="G8:G11" si="2">E8+F8</f>
        <v>0</v>
      </c>
      <c r="H8" s="76">
        <f t="shared" si="0"/>
        <v>0</v>
      </c>
      <c r="I8" s="78">
        <f t="shared" si="1"/>
        <v>0</v>
      </c>
    </row>
    <row r="9" spans="1:9" s="4" customFormat="1" ht="19.95" customHeight="1">
      <c r="A9" s="79">
        <f>'明细表H6-2'!A13</f>
        <v>0</v>
      </c>
      <c r="B9" s="76">
        <f>'明细表H6-2'!B13</f>
        <v>0</v>
      </c>
      <c r="C9" s="76">
        <f>'明细表H6-2'!F13</f>
        <v>0</v>
      </c>
      <c r="D9" s="76">
        <f>B9+C9</f>
        <v>0</v>
      </c>
      <c r="E9" s="76">
        <f>'明细表H6-2'!E13</f>
        <v>0</v>
      </c>
      <c r="F9" s="76">
        <f>'明细表H6-2'!F13+'明细表H6-2'!G13-'明细表H6-2'!H13</f>
        <v>0</v>
      </c>
      <c r="G9" s="76">
        <f t="shared" si="2"/>
        <v>0</v>
      </c>
      <c r="H9" s="76">
        <f t="shared" si="0"/>
        <v>0</v>
      </c>
      <c r="I9" s="78">
        <f t="shared" si="1"/>
        <v>0</v>
      </c>
    </row>
    <row r="10" spans="1:9" ht="19.95" customHeight="1">
      <c r="A10" s="79">
        <f>'明细表H6-2'!A14</f>
        <v>0</v>
      </c>
      <c r="B10" s="76">
        <f>'明细表H6-2'!B14</f>
        <v>0</v>
      </c>
      <c r="C10" s="76">
        <f>'明细表H6-2'!F14</f>
        <v>0</v>
      </c>
      <c r="D10" s="76">
        <f>B10+C10</f>
        <v>0</v>
      </c>
      <c r="E10" s="76">
        <f>'明细表H6-2'!E14</f>
        <v>0</v>
      </c>
      <c r="F10" s="76">
        <f>'明细表H6-2'!F14+'明细表H6-2'!G14-'明细表H6-2'!H14</f>
        <v>0</v>
      </c>
      <c r="G10" s="76">
        <f t="shared" si="2"/>
        <v>0</v>
      </c>
      <c r="H10" s="76">
        <f t="shared" si="0"/>
        <v>0</v>
      </c>
      <c r="I10" s="78">
        <f t="shared" si="1"/>
        <v>0</v>
      </c>
    </row>
    <row r="11" spans="1:9" ht="19.95" customHeight="1">
      <c r="A11" s="79">
        <f>'明细表H6-2'!A15</f>
        <v>0</v>
      </c>
      <c r="B11" s="76">
        <f>'明细表H6-2'!B15</f>
        <v>0</v>
      </c>
      <c r="C11" s="76">
        <f>'明细表H6-2'!F15</f>
        <v>0</v>
      </c>
      <c r="D11" s="76">
        <f>B11+C11</f>
        <v>0</v>
      </c>
      <c r="E11" s="76">
        <f>'明细表H6-2'!E15</f>
        <v>0</v>
      </c>
      <c r="F11" s="76">
        <f>'明细表H6-2'!F15+'明细表H6-2'!G15-'明细表H6-2'!H15</f>
        <v>0</v>
      </c>
      <c r="G11" s="76">
        <f t="shared" si="2"/>
        <v>0</v>
      </c>
      <c r="H11" s="76">
        <f t="shared" si="0"/>
        <v>0</v>
      </c>
      <c r="I11" s="78">
        <f t="shared" si="1"/>
        <v>0</v>
      </c>
    </row>
    <row r="12" spans="1:9" ht="19.95" customHeight="1">
      <c r="A12" s="44" t="s">
        <v>91</v>
      </c>
      <c r="B12" s="76">
        <f>SUM(B7:B11)</f>
        <v>0</v>
      </c>
      <c r="C12" s="76">
        <f>SUM(C7:C11)</f>
        <v>0</v>
      </c>
      <c r="D12" s="76">
        <f t="shared" ref="D12:G12" si="3">SUM(D7:D11)</f>
        <v>0</v>
      </c>
      <c r="E12" s="76">
        <f t="shared" si="3"/>
        <v>0</v>
      </c>
      <c r="F12" s="76">
        <f t="shared" si="3"/>
        <v>0</v>
      </c>
      <c r="G12" s="76">
        <f t="shared" si="3"/>
        <v>0</v>
      </c>
      <c r="H12" s="76">
        <f t="shared" si="0"/>
        <v>0</v>
      </c>
      <c r="I12" s="78">
        <f t="shared" si="1"/>
        <v>0</v>
      </c>
    </row>
    <row r="13" spans="1:9" ht="19.95" customHeight="1">
      <c r="A13" s="31" t="s">
        <v>92</v>
      </c>
      <c r="B13" s="32"/>
      <c r="C13" s="32"/>
      <c r="D13" s="32"/>
      <c r="E13" s="47"/>
      <c r="F13" s="32"/>
      <c r="G13" s="33"/>
      <c r="H13" s="33"/>
      <c r="I13" s="33"/>
    </row>
    <row r="14" spans="1:9" ht="19.95" customHeight="1">
      <c r="A14" s="5" t="s">
        <v>93</v>
      </c>
      <c r="B14" s="5"/>
      <c r="C14" s="5"/>
      <c r="D14" s="192"/>
      <c r="E14" s="5"/>
      <c r="F14" s="5"/>
    </row>
    <row r="15" spans="1:9" ht="19.95" customHeight="1">
      <c r="A15" s="5" t="s">
        <v>94</v>
      </c>
      <c r="B15" s="5"/>
      <c r="C15" s="5"/>
      <c r="D15" s="5"/>
      <c r="E15" s="5"/>
      <c r="F15" s="5"/>
    </row>
    <row r="16" spans="1:9" ht="19.95" customHeight="1">
      <c r="A16" s="5"/>
      <c r="B16" s="5"/>
      <c r="C16" s="5"/>
      <c r="D16" s="5"/>
      <c r="E16" s="5"/>
      <c r="F16" s="5"/>
    </row>
    <row r="17" spans="1:6" ht="19.95" customHeight="1">
      <c r="A17" s="6" t="s">
        <v>95</v>
      </c>
      <c r="B17" s="6"/>
      <c r="C17" s="6"/>
      <c r="D17" s="6"/>
      <c r="E17" s="6"/>
      <c r="F17" s="6"/>
    </row>
    <row r="18" spans="1:6" ht="19.95" customHeight="1">
      <c r="A18" s="5"/>
      <c r="B18" s="5"/>
      <c r="C18" s="5"/>
      <c r="D18" s="5"/>
      <c r="E18" s="5"/>
      <c r="F18" s="5"/>
    </row>
    <row r="19" spans="1:6" ht="19.95" customHeight="1">
      <c r="A19" s="6" t="s">
        <v>11</v>
      </c>
      <c r="B19" s="5"/>
      <c r="C19" s="5"/>
      <c r="D19" s="5"/>
      <c r="E19" s="5"/>
      <c r="F19" s="5"/>
    </row>
    <row r="20" spans="1:6" ht="19.95" customHeight="1">
      <c r="A20" s="167"/>
      <c r="B20" s="168" t="s">
        <v>96</v>
      </c>
      <c r="C20" s="168" t="s">
        <v>97</v>
      </c>
      <c r="D20" s="5"/>
      <c r="E20" s="5"/>
      <c r="F20" s="5"/>
    </row>
    <row r="21" spans="1:6" ht="19.95" customHeight="1">
      <c r="A21" s="167" t="s">
        <v>98</v>
      </c>
      <c r="B21" s="169"/>
      <c r="C21" s="169"/>
      <c r="D21" s="5"/>
      <c r="E21" s="5"/>
      <c r="F21" s="5"/>
    </row>
    <row r="22" spans="1:6" ht="19.95" customHeight="1">
      <c r="A22" s="167" t="s">
        <v>99</v>
      </c>
      <c r="B22" s="170">
        <f>G12</f>
        <v>0</v>
      </c>
      <c r="C22" s="170">
        <f>D12</f>
        <v>0</v>
      </c>
      <c r="D22" s="5"/>
      <c r="E22" s="5"/>
      <c r="F22" s="5"/>
    </row>
    <row r="23" spans="1:6" ht="19.95" customHeight="1">
      <c r="A23" s="167" t="s">
        <v>100</v>
      </c>
      <c r="B23" s="170">
        <f>B21+B22</f>
        <v>0</v>
      </c>
      <c r="C23" s="170">
        <f>C21+C22</f>
        <v>0</v>
      </c>
      <c r="D23" s="5"/>
      <c r="E23" s="5"/>
      <c r="F23" s="5"/>
    </row>
    <row r="24" spans="1:6" ht="19.95" customHeight="1">
      <c r="A24" s="167" t="s">
        <v>101</v>
      </c>
      <c r="B24" s="169"/>
      <c r="C24" s="169"/>
      <c r="D24" s="5"/>
      <c r="E24" s="5"/>
      <c r="F24" s="5"/>
    </row>
    <row r="25" spans="1:6" ht="19.95" customHeight="1">
      <c r="A25" s="167" t="s">
        <v>102</v>
      </c>
      <c r="B25" s="170">
        <f>B23-B24</f>
        <v>0</v>
      </c>
      <c r="C25" s="170">
        <f>C23-C24</f>
        <v>0</v>
      </c>
      <c r="D25" s="5"/>
      <c r="E25" s="5"/>
      <c r="F25" s="5"/>
    </row>
    <row r="26" spans="1:6" ht="19.95" customHeight="1">
      <c r="A26" s="5"/>
      <c r="B26" s="5"/>
      <c r="C26" s="5"/>
      <c r="D26" s="5"/>
      <c r="E26" s="5"/>
      <c r="F26" s="5"/>
    </row>
    <row r="27" spans="1:6" ht="19.95" customHeight="1">
      <c r="A27" s="48" t="s">
        <v>103</v>
      </c>
      <c r="B27" s="5"/>
      <c r="C27" s="5"/>
      <c r="D27" s="5"/>
      <c r="E27" s="49"/>
      <c r="F27" s="5"/>
    </row>
    <row r="28" spans="1:6" ht="19.95" customHeight="1">
      <c r="A28" s="48"/>
      <c r="B28" s="5"/>
      <c r="C28" s="5"/>
      <c r="D28" s="5"/>
      <c r="E28" s="5"/>
      <c r="F28" s="5"/>
    </row>
    <row r="29" spans="1:6" ht="19.95" customHeight="1">
      <c r="A29" s="50" t="s">
        <v>3</v>
      </c>
      <c r="B29" s="5"/>
      <c r="C29" s="5"/>
      <c r="D29" s="5"/>
      <c r="E29" s="5"/>
      <c r="F29" s="5"/>
    </row>
    <row r="31" spans="1:6" s="7" customFormat="1" ht="19.95" customHeight="1">
      <c r="A31" s="144"/>
    </row>
    <row r="32" spans="1:6" s="7" customFormat="1" ht="19.95" customHeight="1"/>
    <row r="33" spans="1:1" s="7" customFormat="1" ht="19.95" customHeight="1"/>
    <row r="34" spans="1:1" s="7" customFormat="1" ht="19.95" customHeight="1"/>
    <row r="35" spans="1:1" s="7" customFormat="1" ht="19.95" customHeight="1"/>
    <row r="36" spans="1:1" s="7" customFormat="1" ht="19.95" customHeight="1"/>
    <row r="37" spans="1:1" s="7" customFormat="1" ht="19.95" customHeight="1"/>
    <row r="38" spans="1:1" s="7" customFormat="1" ht="19.95" customHeight="1">
      <c r="A38" s="51"/>
    </row>
    <row r="39" spans="1:1" s="7" customFormat="1" ht="19.95" customHeight="1"/>
    <row r="40" spans="1:1" s="7" customFormat="1" ht="19.95" customHeight="1"/>
    <row r="41" spans="1:1" ht="19.95" customHeight="1">
      <c r="A41" s="7"/>
    </row>
    <row r="42" spans="1:1" ht="19.95" customHeight="1">
      <c r="A42" s="7"/>
    </row>
    <row r="43" spans="1:1" ht="19.95" customHeight="1">
      <c r="A43" s="7"/>
    </row>
    <row r="44" spans="1:1" ht="19.95" customHeight="1">
      <c r="A44" s="7"/>
    </row>
    <row r="45" spans="1:1" ht="19.95" customHeight="1">
      <c r="A45" s="7"/>
    </row>
    <row r="47" spans="1:1" ht="19.95" customHeight="1">
      <c r="A47" s="7"/>
    </row>
    <row r="48" spans="1:1" ht="19.95" customHeight="1">
      <c r="A48" s="51"/>
    </row>
    <row r="49" spans="1:2" ht="19.95" customHeight="1">
      <c r="A49" s="52"/>
      <c r="B49" s="7"/>
    </row>
    <row r="50" spans="1:2" ht="19.95" customHeight="1">
      <c r="A50" s="52"/>
      <c r="B50" s="7"/>
    </row>
    <row r="51" spans="1:2" ht="19.95" customHeight="1">
      <c r="A51" s="52"/>
      <c r="B51" s="7"/>
    </row>
  </sheetData>
  <mergeCells count="6">
    <mergeCell ref="H5:I5"/>
    <mergeCell ref="A1:I1"/>
    <mergeCell ref="A2:I2"/>
    <mergeCell ref="A5:A6"/>
    <mergeCell ref="B5:D5"/>
    <mergeCell ref="E5:G5"/>
  </mergeCells>
  <phoneticPr fontId="3" type="noConversion"/>
  <conditionalFormatting sqref="B25">
    <cfRule type="cellIs" dxfId="0" priority="1" operator="greaterThan">
      <formula>0</formula>
    </cfRule>
  </conditionalFormatting>
  <hyperlinks>
    <hyperlink ref="I3" location="底稿目录!A1" display="H6A"/>
  </hyperlinks>
  <printOptions horizontalCentered="1"/>
  <pageMargins left="0.7" right="0.7" top="0.75" bottom="0.75" header="0.3" footer="0.3"/>
  <pageSetup paperSize="9" scale="85" orientation="portrait" blackAndWhite="1" r:id="rId1"/>
  <headerFooter alignWithMargins="0">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E18"/>
  <sheetViews>
    <sheetView view="pageBreakPreview" zoomScaleSheetLayoutView="100" workbookViewId="0">
      <selection sqref="A1:D1"/>
    </sheetView>
  </sheetViews>
  <sheetFormatPr defaultColWidth="9" defaultRowHeight="18" customHeight="1"/>
  <cols>
    <col min="1" max="1" width="30.6640625" style="43" customWidth="1"/>
    <col min="2" max="3" width="14.6640625" style="43" customWidth="1"/>
    <col min="4" max="4" width="21" style="43" customWidth="1"/>
    <col min="5" max="16384" width="9" style="43"/>
  </cols>
  <sheetData>
    <row r="1" spans="1:5" s="119" customFormat="1" ht="20.100000000000001" customHeight="1">
      <c r="A1" s="239" t="s">
        <v>0</v>
      </c>
      <c r="B1" s="239"/>
      <c r="C1" s="239"/>
      <c r="D1" s="239"/>
    </row>
    <row r="2" spans="1:5" s="126" customFormat="1" ht="24.9" customHeight="1">
      <c r="A2" s="240" t="s">
        <v>21</v>
      </c>
      <c r="B2" s="240"/>
      <c r="C2" s="240"/>
      <c r="D2" s="240"/>
    </row>
    <row r="3" spans="1:5" ht="20.100000000000001" customHeight="1">
      <c r="A3" s="43" t="str">
        <f>底稿目录!A2</f>
        <v>被审计单位：</v>
      </c>
      <c r="B3" s="43" t="str">
        <f>底稿目录!A4</f>
        <v>编制人：</v>
      </c>
      <c r="C3" s="43" t="str">
        <f>底稿目录!A6</f>
        <v>编制日期：</v>
      </c>
      <c r="D3" s="140" t="s">
        <v>48</v>
      </c>
    </row>
    <row r="4" spans="1:5" ht="20.100000000000001" customHeight="1">
      <c r="A4" s="43" t="str">
        <f>底稿目录!A3</f>
        <v>截止日：202X年12月31日</v>
      </c>
      <c r="B4" s="43" t="str">
        <f>底稿目录!A5</f>
        <v>复核人：</v>
      </c>
      <c r="C4" s="43" t="str">
        <f>底稿目录!A7</f>
        <v>复核日期：</v>
      </c>
      <c r="D4" s="140" t="s">
        <v>160</v>
      </c>
      <c r="E4" s="94" t="s">
        <v>57</v>
      </c>
    </row>
    <row r="5" spans="1:5" ht="20.100000000000001" customHeight="1">
      <c r="A5" s="61" t="s">
        <v>39</v>
      </c>
      <c r="B5" s="60"/>
      <c r="C5" s="60"/>
      <c r="D5" s="60"/>
    </row>
    <row r="6" spans="1:5" ht="20.100000000000001" customHeight="1" thickBot="1">
      <c r="A6" s="63" t="s">
        <v>26</v>
      </c>
      <c r="B6" s="60"/>
      <c r="C6" s="60"/>
      <c r="D6" s="60"/>
    </row>
    <row r="7" spans="1:5" ht="20.100000000000001" customHeight="1" thickBot="1">
      <c r="A7" s="64" t="s">
        <v>27</v>
      </c>
      <c r="B7" s="65" t="s">
        <v>28</v>
      </c>
      <c r="C7" s="65" t="s">
        <v>29</v>
      </c>
      <c r="D7" s="60"/>
    </row>
    <row r="8" spans="1:5" ht="20.100000000000001" customHeight="1">
      <c r="A8" s="66" t="s">
        <v>30</v>
      </c>
      <c r="B8" s="67"/>
      <c r="C8" s="67"/>
      <c r="D8" s="60"/>
    </row>
    <row r="9" spans="1:5" ht="20.100000000000001" customHeight="1" thickBot="1">
      <c r="A9" s="68" t="s">
        <v>31</v>
      </c>
      <c r="B9" s="69"/>
      <c r="C9" s="69"/>
      <c r="D9" s="60"/>
    </row>
    <row r="10" spans="1:5" ht="20.100000000000001" customHeight="1" thickBot="1">
      <c r="A10" s="70" t="s">
        <v>32</v>
      </c>
      <c r="B10" s="71" t="s">
        <v>33</v>
      </c>
      <c r="C10" s="71" t="s">
        <v>33</v>
      </c>
      <c r="D10" s="60"/>
    </row>
    <row r="11" spans="1:5" ht="20.100000000000001" customHeight="1" thickBot="1">
      <c r="A11" s="70"/>
      <c r="B11" s="71"/>
      <c r="C11" s="71"/>
      <c r="D11" s="60"/>
    </row>
    <row r="12" spans="1:5" ht="18" customHeight="1" thickBot="1">
      <c r="A12" s="63" t="s">
        <v>34</v>
      </c>
    </row>
    <row r="13" spans="1:5" ht="18" customHeight="1" thickBot="1">
      <c r="A13" s="64" t="s">
        <v>27</v>
      </c>
      <c r="B13" s="65" t="s">
        <v>28</v>
      </c>
      <c r="C13" s="65" t="s">
        <v>29</v>
      </c>
      <c r="D13" s="65" t="s">
        <v>35</v>
      </c>
    </row>
    <row r="14" spans="1:5" ht="18" customHeight="1">
      <c r="A14" s="72"/>
      <c r="B14" s="67"/>
      <c r="C14" s="67"/>
      <c r="D14" s="67"/>
    </row>
    <row r="15" spans="1:5" ht="18" customHeight="1">
      <c r="A15" s="72"/>
      <c r="B15" s="67"/>
      <c r="C15" s="67"/>
      <c r="D15" s="67"/>
    </row>
    <row r="16" spans="1:5" ht="18" customHeight="1" thickBot="1">
      <c r="A16" s="73"/>
      <c r="B16" s="69"/>
      <c r="C16" s="69"/>
      <c r="D16" s="69"/>
    </row>
    <row r="17" spans="1:4" ht="18" customHeight="1" thickBot="1">
      <c r="A17" s="70" t="s">
        <v>32</v>
      </c>
      <c r="B17" s="71" t="s">
        <v>33</v>
      </c>
      <c r="C17" s="71" t="s">
        <v>33</v>
      </c>
      <c r="D17" s="71"/>
    </row>
    <row r="18" spans="1:4" ht="18" customHeight="1">
      <c r="A18" s="74" t="s">
        <v>36</v>
      </c>
    </row>
  </sheetData>
  <mergeCells count="2">
    <mergeCell ref="A1:D1"/>
    <mergeCell ref="A2:D2"/>
  </mergeCells>
  <phoneticPr fontId="3" type="noConversion"/>
  <hyperlinks>
    <hyperlink ref="E4" location="底稿目录!A1" display="H6A"/>
  </hyperlinks>
  <pageMargins left="0.70866141732283472" right="0.70866141732283472" top="0.74803149606299213" bottom="0.74803149606299213" header="0.31496062992125984" footer="0.31496062992125984"/>
  <pageSetup paperSize="9" orientation="portrait" blackAndWhite="1"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E18"/>
  <sheetViews>
    <sheetView view="pageBreakPreview" zoomScaleSheetLayoutView="100" workbookViewId="0">
      <selection sqref="A1:D1"/>
    </sheetView>
  </sheetViews>
  <sheetFormatPr defaultColWidth="9" defaultRowHeight="18" customHeight="1"/>
  <cols>
    <col min="1" max="1" width="30.6640625" style="43" customWidth="1"/>
    <col min="2" max="2" width="18" style="43" customWidth="1"/>
    <col min="3" max="3" width="17.33203125" style="43" customWidth="1"/>
    <col min="4" max="4" width="18.44140625" style="43" customWidth="1"/>
    <col min="5" max="16384" width="9" style="43"/>
  </cols>
  <sheetData>
    <row r="1" spans="1:5" s="119" customFormat="1" ht="20.100000000000001" customHeight="1">
      <c r="A1" s="239" t="s">
        <v>0</v>
      </c>
      <c r="B1" s="239"/>
      <c r="C1" s="239"/>
      <c r="D1" s="239"/>
    </row>
    <row r="2" spans="1:5" s="126" customFormat="1" ht="24.9" customHeight="1">
      <c r="A2" s="240" t="s">
        <v>22</v>
      </c>
      <c r="B2" s="240"/>
      <c r="C2" s="240"/>
      <c r="D2" s="240"/>
    </row>
    <row r="3" spans="1:5" ht="20.100000000000001" customHeight="1">
      <c r="A3" s="43" t="str">
        <f>底稿目录!A2</f>
        <v>被审计单位：</v>
      </c>
      <c r="B3" s="43" t="str">
        <f>底稿目录!A4</f>
        <v>编制人：</v>
      </c>
      <c r="C3" s="43" t="str">
        <f>底稿目录!A6</f>
        <v>编制日期：</v>
      </c>
      <c r="D3" s="140" t="s">
        <v>48</v>
      </c>
    </row>
    <row r="4" spans="1:5" ht="20.100000000000001" customHeight="1">
      <c r="A4" s="43" t="str">
        <f>底稿目录!A3</f>
        <v>截止日：202X年12月31日</v>
      </c>
      <c r="B4" s="43" t="str">
        <f>底稿目录!A5</f>
        <v>复核人：</v>
      </c>
      <c r="C4" s="43" t="str">
        <f>底稿目录!A7</f>
        <v>复核日期：</v>
      </c>
      <c r="D4" s="140" t="s">
        <v>160</v>
      </c>
      <c r="E4" s="94" t="s">
        <v>57</v>
      </c>
    </row>
    <row r="5" spans="1:5" ht="20.100000000000001" customHeight="1">
      <c r="A5" s="61" t="s">
        <v>40</v>
      </c>
      <c r="B5" s="60"/>
      <c r="C5" s="60"/>
      <c r="D5" s="60"/>
    </row>
    <row r="6" spans="1:5" ht="20.100000000000001" customHeight="1" thickBot="1">
      <c r="A6" s="62" t="s">
        <v>38</v>
      </c>
      <c r="B6" s="60"/>
      <c r="C6" s="60"/>
      <c r="D6" s="60"/>
    </row>
    <row r="7" spans="1:5" ht="18" customHeight="1" thickBot="1">
      <c r="A7" s="64" t="s">
        <v>27</v>
      </c>
      <c r="B7" s="65" t="s">
        <v>1</v>
      </c>
      <c r="C7" s="75" t="s">
        <v>37</v>
      </c>
    </row>
    <row r="8" spans="1:5" ht="18" customHeight="1">
      <c r="A8" s="66" t="s">
        <v>30</v>
      </c>
      <c r="B8" s="67"/>
      <c r="C8" s="67"/>
    </row>
    <row r="9" spans="1:5" ht="18" customHeight="1" thickBot="1">
      <c r="A9" s="68" t="s">
        <v>31</v>
      </c>
      <c r="B9" s="69"/>
      <c r="C9" s="69"/>
    </row>
    <row r="10" spans="1:5" ht="18" customHeight="1" thickBot="1">
      <c r="A10" s="70" t="s">
        <v>32</v>
      </c>
      <c r="B10" s="71" t="s">
        <v>33</v>
      </c>
      <c r="C10" s="71" t="s">
        <v>33</v>
      </c>
    </row>
    <row r="12" spans="1:5" ht="18" customHeight="1" thickBot="1">
      <c r="A12" s="63" t="s">
        <v>34</v>
      </c>
      <c r="B12"/>
      <c r="C12"/>
      <c r="D12"/>
    </row>
    <row r="13" spans="1:5" ht="18" customHeight="1" thickBot="1">
      <c r="A13" s="64" t="s">
        <v>27</v>
      </c>
      <c r="B13" s="75" t="s">
        <v>1</v>
      </c>
      <c r="C13" s="75" t="s">
        <v>41</v>
      </c>
      <c r="D13" s="65" t="s">
        <v>35</v>
      </c>
    </row>
    <row r="14" spans="1:5" ht="18" customHeight="1">
      <c r="A14" s="72"/>
      <c r="B14" s="67"/>
      <c r="C14" s="67"/>
      <c r="D14" s="67"/>
    </row>
    <row r="15" spans="1:5" ht="18" customHeight="1">
      <c r="A15" s="72"/>
      <c r="B15" s="67"/>
      <c r="C15" s="67"/>
      <c r="D15" s="67"/>
    </row>
    <row r="16" spans="1:5" ht="18" customHeight="1" thickBot="1">
      <c r="A16" s="73"/>
      <c r="B16" s="69"/>
      <c r="C16" s="69"/>
      <c r="D16" s="69"/>
    </row>
    <row r="17" spans="1:4" ht="18" customHeight="1" thickBot="1">
      <c r="A17" s="70" t="s">
        <v>32</v>
      </c>
      <c r="B17" s="71"/>
      <c r="C17" s="71"/>
      <c r="D17" s="71" t="s">
        <v>42</v>
      </c>
    </row>
    <row r="18" spans="1:4" ht="18" customHeight="1">
      <c r="A18" s="74" t="s">
        <v>43</v>
      </c>
    </row>
  </sheetData>
  <mergeCells count="2">
    <mergeCell ref="A1:D1"/>
    <mergeCell ref="A2:D2"/>
  </mergeCells>
  <phoneticPr fontId="3" type="noConversion"/>
  <hyperlinks>
    <hyperlink ref="E4" location="底稿目录!A1" display="H6A"/>
  </hyperlinks>
  <pageMargins left="0.70866141732283472" right="0.70866141732283472" top="0.74803149606299213" bottom="0.74803149606299213" header="0.31496062992125984" footer="0.31496062992125984"/>
  <pageSetup paperSize="9" scale="97" orientation="portrait" blackAndWhite="1"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Y36"/>
  <sheetViews>
    <sheetView view="pageBreakPreview" zoomScaleNormal="130" zoomScaleSheetLayoutView="100" workbookViewId="0">
      <selection sqref="A1:P1"/>
    </sheetView>
  </sheetViews>
  <sheetFormatPr defaultColWidth="9" defaultRowHeight="19.95" customHeight="1"/>
  <cols>
    <col min="1" max="1" width="21.109375" style="8" customWidth="1"/>
    <col min="2" max="4" width="9.6640625" style="8" customWidth="1"/>
    <col min="5" max="5" width="9.109375" style="8" customWidth="1"/>
    <col min="6" max="8" width="10.88671875" style="8" customWidth="1"/>
    <col min="9" max="12" width="9" style="8"/>
    <col min="13" max="13" width="16.88671875" style="8" customWidth="1"/>
    <col min="14" max="14" width="9.6640625" style="8" customWidth="1"/>
    <col min="15" max="15" width="24.6640625" style="8" customWidth="1"/>
    <col min="16" max="16384" width="9" style="8"/>
  </cols>
  <sheetData>
    <row r="1" spans="1:25" s="120" customFormat="1" ht="19.95" customHeight="1">
      <c r="A1" s="246" t="s">
        <v>0</v>
      </c>
      <c r="B1" s="246"/>
      <c r="C1" s="246"/>
      <c r="D1" s="246"/>
      <c r="E1" s="246"/>
      <c r="F1" s="246"/>
      <c r="G1" s="246"/>
      <c r="H1" s="246"/>
      <c r="I1" s="246"/>
      <c r="J1" s="246"/>
      <c r="K1" s="246"/>
      <c r="L1" s="246"/>
      <c r="M1" s="246"/>
      <c r="N1" s="246"/>
      <c r="O1" s="246"/>
      <c r="P1" s="246"/>
    </row>
    <row r="2" spans="1:25" s="124" customFormat="1" ht="19.95" customHeight="1">
      <c r="A2" s="247" t="s">
        <v>153</v>
      </c>
      <c r="B2" s="247"/>
      <c r="C2" s="247"/>
      <c r="D2" s="247"/>
      <c r="E2" s="247"/>
      <c r="F2" s="247"/>
      <c r="G2" s="247"/>
      <c r="H2" s="247"/>
      <c r="I2" s="247"/>
      <c r="J2" s="247"/>
      <c r="K2" s="247"/>
      <c r="L2" s="247"/>
      <c r="M2" s="247"/>
      <c r="N2" s="247"/>
      <c r="O2" s="247"/>
      <c r="P2" s="247"/>
    </row>
    <row r="3" spans="1:25" ht="19.95" customHeight="1">
      <c r="A3" s="8" t="str">
        <f>底稿目录!A2</f>
        <v>被审计单位：</v>
      </c>
      <c r="E3" s="8" t="str">
        <f>底稿目录!A4</f>
        <v>编制人：</v>
      </c>
      <c r="F3" s="9"/>
      <c r="I3" s="40" t="str">
        <f>底稿目录!A6</f>
        <v>编制日期：</v>
      </c>
      <c r="J3" s="40"/>
      <c r="M3" s="107"/>
      <c r="N3" s="107"/>
      <c r="O3" s="139" t="s">
        <v>158</v>
      </c>
      <c r="P3" s="98" t="s">
        <v>58</v>
      </c>
    </row>
    <row r="4" spans="1:25" ht="19.95" customHeight="1">
      <c r="A4" s="8" t="str">
        <f>底稿目录!A3</f>
        <v>截止日：202X年12月31日</v>
      </c>
      <c r="E4" s="8" t="str">
        <f>底稿目录!A5</f>
        <v>复核人：</v>
      </c>
      <c r="F4" s="9"/>
      <c r="I4" s="40" t="str">
        <f>底稿目录!A7</f>
        <v>复核日期：</v>
      </c>
      <c r="J4" s="40"/>
      <c r="M4" s="107"/>
      <c r="N4" s="107"/>
      <c r="O4" s="139" t="s">
        <v>159</v>
      </c>
      <c r="P4" s="99"/>
    </row>
    <row r="5" spans="1:25" s="15" customFormat="1" ht="19.95" customHeight="1">
      <c r="A5" s="14" t="s">
        <v>104</v>
      </c>
      <c r="B5" s="14"/>
      <c r="C5" s="14"/>
      <c r="D5" s="14"/>
      <c r="E5" s="14"/>
      <c r="F5" s="14"/>
      <c r="G5" s="14"/>
      <c r="H5" s="14"/>
      <c r="I5" s="14"/>
      <c r="J5" s="14"/>
      <c r="K5" s="14"/>
      <c r="L5" s="25"/>
      <c r="M5" s="25"/>
      <c r="N5" s="25"/>
      <c r="O5" s="25"/>
      <c r="P5" s="25"/>
      <c r="Q5" s="25"/>
      <c r="R5" s="25"/>
      <c r="S5" s="26"/>
      <c r="T5" s="26"/>
    </row>
    <row r="6" spans="1:25" s="182" customFormat="1" ht="19.95" customHeight="1">
      <c r="A6" s="179" t="s">
        <v>120</v>
      </c>
      <c r="B6" s="179"/>
      <c r="C6" s="179"/>
      <c r="D6" s="179"/>
      <c r="E6" s="179"/>
      <c r="F6" s="179"/>
      <c r="G6" s="179"/>
      <c r="H6" s="179"/>
      <c r="I6" s="179"/>
      <c r="J6" s="179"/>
      <c r="K6" s="179"/>
      <c r="L6" s="180"/>
      <c r="M6" s="180"/>
      <c r="N6" s="180"/>
      <c r="O6" s="180"/>
      <c r="P6" s="180"/>
      <c r="Q6" s="180"/>
      <c r="R6" s="180"/>
      <c r="S6" s="181"/>
      <c r="T6" s="181"/>
    </row>
    <row r="7" spans="1:25" s="184" customFormat="1" ht="19.95" customHeight="1">
      <c r="A7" s="179" t="s">
        <v>105</v>
      </c>
      <c r="B7" s="183"/>
      <c r="D7" s="185"/>
      <c r="S7" s="186"/>
      <c r="T7" s="186"/>
      <c r="U7" s="186"/>
      <c r="V7" s="186"/>
      <c r="W7" s="186"/>
      <c r="X7" s="186"/>
      <c r="Y7" s="186"/>
    </row>
    <row r="8" spans="1:25" s="27" customFormat="1" ht="19.95" customHeight="1">
      <c r="A8" s="28" t="s">
        <v>106</v>
      </c>
      <c r="B8" s="8"/>
      <c r="D8" s="9"/>
      <c r="S8" s="93"/>
      <c r="T8" s="93"/>
      <c r="U8" s="93"/>
      <c r="V8" s="93"/>
      <c r="W8" s="93"/>
      <c r="X8" s="93"/>
      <c r="Y8" s="93"/>
    </row>
    <row r="9" spans="1:25" s="187" customFormat="1" ht="19.95" customHeight="1">
      <c r="A9" s="250" t="s">
        <v>107</v>
      </c>
      <c r="B9" s="252" t="s">
        <v>117</v>
      </c>
      <c r="C9" s="253"/>
      <c r="D9" s="253"/>
      <c r="E9" s="254"/>
      <c r="F9" s="256" t="s">
        <v>118</v>
      </c>
      <c r="G9" s="255" t="s">
        <v>108</v>
      </c>
      <c r="H9" s="255"/>
      <c r="I9" s="241" t="s">
        <v>109</v>
      </c>
      <c r="J9" s="242"/>
      <c r="K9" s="242"/>
      <c r="L9" s="243"/>
      <c r="M9" s="248" t="s">
        <v>110</v>
      </c>
      <c r="N9" s="248" t="s">
        <v>111</v>
      </c>
      <c r="O9" s="248" t="s">
        <v>18</v>
      </c>
      <c r="P9" s="244" t="s">
        <v>112</v>
      </c>
    </row>
    <row r="10" spans="1:25" s="187" customFormat="1" ht="19.95" customHeight="1">
      <c r="A10" s="251"/>
      <c r="B10" s="29" t="s">
        <v>114</v>
      </c>
      <c r="C10" s="29" t="s">
        <v>113</v>
      </c>
      <c r="D10" s="29" t="s">
        <v>115</v>
      </c>
      <c r="E10" s="29" t="s">
        <v>84</v>
      </c>
      <c r="F10" s="257"/>
      <c r="G10" s="178" t="s">
        <v>119</v>
      </c>
      <c r="H10" s="178" t="s">
        <v>122</v>
      </c>
      <c r="I10" s="29" t="s">
        <v>114</v>
      </c>
      <c r="J10" s="29" t="s">
        <v>113</v>
      </c>
      <c r="K10" s="29" t="s">
        <v>115</v>
      </c>
      <c r="L10" s="29" t="s">
        <v>84</v>
      </c>
      <c r="M10" s="249"/>
      <c r="N10" s="249"/>
      <c r="O10" s="249"/>
      <c r="P10" s="245"/>
    </row>
    <row r="11" spans="1:25" ht="19.95" customHeight="1">
      <c r="A11" s="188"/>
      <c r="B11" s="189"/>
      <c r="C11" s="189"/>
      <c r="D11" s="189"/>
      <c r="E11" s="108">
        <f>SUM(B11:C11)-D11</f>
        <v>0</v>
      </c>
      <c r="F11" s="30"/>
      <c r="G11" s="30"/>
      <c r="H11" s="30"/>
      <c r="I11" s="77">
        <f>B11+F11</f>
        <v>0</v>
      </c>
      <c r="J11" s="77">
        <f>C11+G11</f>
        <v>0</v>
      </c>
      <c r="K11" s="77">
        <f>D11+H11</f>
        <v>0</v>
      </c>
      <c r="L11" s="77">
        <f>I11+J11-K11</f>
        <v>0</v>
      </c>
      <c r="M11" s="190"/>
      <c r="N11" s="191"/>
      <c r="O11" s="189"/>
      <c r="P11" s="189"/>
    </row>
    <row r="12" spans="1:25" ht="19.95" customHeight="1">
      <c r="A12" s="188"/>
      <c r="B12" s="189"/>
      <c r="C12" s="189"/>
      <c r="D12" s="189"/>
      <c r="E12" s="108">
        <f t="shared" ref="E12:E15" si="0">SUM(B12:C12)-D12</f>
        <v>0</v>
      </c>
      <c r="F12" s="30"/>
      <c r="G12" s="30"/>
      <c r="H12" s="30"/>
      <c r="I12" s="77">
        <f t="shared" ref="I12:K15" si="1">B12+F12</f>
        <v>0</v>
      </c>
      <c r="J12" s="77">
        <f t="shared" si="1"/>
        <v>0</v>
      </c>
      <c r="K12" s="77">
        <f t="shared" si="1"/>
        <v>0</v>
      </c>
      <c r="L12" s="77">
        <f t="shared" ref="L12:L15" si="2">I12+J12-K12</f>
        <v>0</v>
      </c>
      <c r="M12" s="190"/>
      <c r="N12" s="191"/>
      <c r="O12" s="189"/>
      <c r="P12" s="189"/>
    </row>
    <row r="13" spans="1:25" ht="19.95" customHeight="1">
      <c r="A13" s="188"/>
      <c r="B13" s="189"/>
      <c r="C13" s="189"/>
      <c r="D13" s="189"/>
      <c r="E13" s="108">
        <f t="shared" si="0"/>
        <v>0</v>
      </c>
      <c r="F13" s="30"/>
      <c r="G13" s="30"/>
      <c r="H13" s="30"/>
      <c r="I13" s="77">
        <f t="shared" si="1"/>
        <v>0</v>
      </c>
      <c r="J13" s="77">
        <f t="shared" si="1"/>
        <v>0</v>
      </c>
      <c r="K13" s="77">
        <f t="shared" si="1"/>
        <v>0</v>
      </c>
      <c r="L13" s="77">
        <f t="shared" si="2"/>
        <v>0</v>
      </c>
      <c r="M13" s="190"/>
      <c r="N13" s="191"/>
      <c r="O13" s="189"/>
      <c r="P13" s="189"/>
    </row>
    <row r="14" spans="1:25" ht="19.95" customHeight="1">
      <c r="A14" s="188"/>
      <c r="B14" s="189"/>
      <c r="C14" s="189"/>
      <c r="D14" s="189"/>
      <c r="E14" s="108">
        <f t="shared" si="0"/>
        <v>0</v>
      </c>
      <c r="F14" s="30"/>
      <c r="G14" s="30"/>
      <c r="H14" s="30"/>
      <c r="I14" s="77">
        <f t="shared" si="1"/>
        <v>0</v>
      </c>
      <c r="J14" s="77">
        <f t="shared" si="1"/>
        <v>0</v>
      </c>
      <c r="K14" s="77">
        <f t="shared" si="1"/>
        <v>0</v>
      </c>
      <c r="L14" s="77">
        <f t="shared" si="2"/>
        <v>0</v>
      </c>
      <c r="M14" s="190"/>
      <c r="N14" s="191"/>
      <c r="O14" s="189"/>
      <c r="P14" s="189"/>
    </row>
    <row r="15" spans="1:25" ht="19.95" customHeight="1">
      <c r="A15" s="128"/>
      <c r="B15" s="30"/>
      <c r="C15" s="30"/>
      <c r="D15" s="30"/>
      <c r="E15" s="108">
        <f t="shared" si="0"/>
        <v>0</v>
      </c>
      <c r="F15" s="30"/>
      <c r="G15" s="30"/>
      <c r="H15" s="30"/>
      <c r="I15" s="77">
        <f t="shared" si="1"/>
        <v>0</v>
      </c>
      <c r="J15" s="77">
        <f t="shared" si="1"/>
        <v>0</v>
      </c>
      <c r="K15" s="77">
        <f t="shared" si="1"/>
        <v>0</v>
      </c>
      <c r="L15" s="77">
        <f t="shared" si="2"/>
        <v>0</v>
      </c>
      <c r="M15" s="59"/>
      <c r="N15" s="130"/>
      <c r="O15" s="30"/>
      <c r="P15" s="30"/>
    </row>
    <row r="16" spans="1:25" s="10" customFormat="1" ht="19.95" customHeight="1">
      <c r="A16" s="109" t="s">
        <v>116</v>
      </c>
      <c r="B16" s="129">
        <f>SUM(B11:B15)</f>
        <v>0</v>
      </c>
      <c r="C16" s="129">
        <f t="shared" ref="C16:L16" si="3">SUM(C11:C15)</f>
        <v>0</v>
      </c>
      <c r="D16" s="129">
        <f t="shared" si="3"/>
        <v>0</v>
      </c>
      <c r="E16" s="129">
        <f t="shared" si="3"/>
        <v>0</v>
      </c>
      <c r="F16" s="129">
        <f t="shared" si="3"/>
        <v>0</v>
      </c>
      <c r="G16" s="129">
        <f t="shared" si="3"/>
        <v>0</v>
      </c>
      <c r="H16" s="129">
        <f t="shared" si="3"/>
        <v>0</v>
      </c>
      <c r="I16" s="129">
        <f t="shared" si="3"/>
        <v>0</v>
      </c>
      <c r="J16" s="129">
        <f t="shared" si="3"/>
        <v>0</v>
      </c>
      <c r="K16" s="129">
        <f t="shared" si="3"/>
        <v>0</v>
      </c>
      <c r="L16" s="129">
        <f t="shared" si="3"/>
        <v>0</v>
      </c>
      <c r="M16" s="129"/>
      <c r="N16" s="129"/>
      <c r="O16" s="129"/>
      <c r="P16" s="129"/>
    </row>
    <row r="17" spans="1:10" ht="19.95" customHeight="1">
      <c r="A17" s="110" t="s">
        <v>123</v>
      </c>
      <c r="B17" s="110"/>
      <c r="C17" s="11"/>
      <c r="D17" s="11"/>
      <c r="E17" s="11"/>
      <c r="F17" s="11"/>
      <c r="G17" s="11"/>
      <c r="H17" s="11"/>
      <c r="I17" s="11"/>
      <c r="J17" s="11"/>
    </row>
    <row r="21" spans="1:10" ht="19.95" customHeight="1">
      <c r="A21" s="10" t="s">
        <v>124</v>
      </c>
    </row>
    <row r="27" spans="1:10" ht="19.95" customHeight="1">
      <c r="A27" s="145" t="s">
        <v>171</v>
      </c>
    </row>
    <row r="28" spans="1:10" ht="19.95" customHeight="1">
      <c r="A28" s="12" t="s">
        <v>125</v>
      </c>
    </row>
    <row r="29" spans="1:10" ht="19.95" customHeight="1">
      <c r="A29" s="12" t="s">
        <v>126</v>
      </c>
    </row>
    <row r="30" spans="1:10" ht="19.95" customHeight="1">
      <c r="A30" s="12" t="s">
        <v>121</v>
      </c>
    </row>
    <row r="31" spans="1:10" ht="19.95" customHeight="1">
      <c r="A31" s="141" t="s">
        <v>161</v>
      </c>
    </row>
    <row r="32" spans="1:10" ht="19.95" customHeight="1">
      <c r="A32" s="141" t="s">
        <v>162</v>
      </c>
    </row>
    <row r="34" spans="1:1" ht="19.95" customHeight="1">
      <c r="A34" s="111"/>
    </row>
    <row r="35" spans="1:1" ht="19.95" customHeight="1">
      <c r="A35" s="111"/>
    </row>
    <row r="36" spans="1:1" ht="19.95" customHeight="1">
      <c r="A36" s="111"/>
    </row>
  </sheetData>
  <mergeCells count="11">
    <mergeCell ref="I9:L9"/>
    <mergeCell ref="P9:P10"/>
    <mergeCell ref="A1:P1"/>
    <mergeCell ref="A2:P2"/>
    <mergeCell ref="M9:M10"/>
    <mergeCell ref="N9:N10"/>
    <mergeCell ref="O9:O10"/>
    <mergeCell ref="A9:A10"/>
    <mergeCell ref="B9:E9"/>
    <mergeCell ref="G9:H9"/>
    <mergeCell ref="F9:F10"/>
  </mergeCells>
  <phoneticPr fontId="3" type="noConversion"/>
  <hyperlinks>
    <hyperlink ref="P3" location="底稿目录!A1" display="H6A"/>
  </hyperlinks>
  <printOptions horizontalCentered="1"/>
  <pageMargins left="0.74803149606299213" right="0.74803149606299213" top="0.59055118110236227" bottom="0.59055118110236227" header="0.31496062992125984" footer="0.31496062992125984"/>
  <pageSetup paperSize="9" scale="70" orientation="landscape" blackAndWhite="1" r:id="rId1"/>
  <headerFooter alignWithMargins="0">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J21"/>
  <sheetViews>
    <sheetView view="pageBreakPreview" zoomScaleNormal="100" zoomScaleSheetLayoutView="100" workbookViewId="0">
      <selection sqref="A1:J1"/>
    </sheetView>
  </sheetViews>
  <sheetFormatPr defaultColWidth="9" defaultRowHeight="19.95" customHeight="1"/>
  <cols>
    <col min="1" max="1" width="20.77734375" style="113" customWidth="1"/>
    <col min="2" max="2" width="19.44140625" style="113" customWidth="1"/>
    <col min="3" max="3" width="13.77734375" style="113" customWidth="1"/>
    <col min="4" max="4" width="15.5546875" style="113" customWidth="1"/>
    <col min="5" max="5" width="14.33203125" style="113" customWidth="1"/>
    <col min="6" max="6" width="13.109375" style="113" customWidth="1"/>
    <col min="7" max="7" width="10.21875" style="113" customWidth="1"/>
    <col min="8" max="8" width="10.33203125" style="113" customWidth="1"/>
    <col min="9" max="9" width="9" style="113"/>
    <col min="10" max="10" width="13.33203125" style="113" customWidth="1"/>
    <col min="11" max="16384" width="9" style="113"/>
  </cols>
  <sheetData>
    <row r="1" spans="1:10" s="112" customFormat="1" ht="19.95" customHeight="1">
      <c r="A1" s="258" t="s">
        <v>0</v>
      </c>
      <c r="B1" s="258"/>
      <c r="C1" s="258"/>
      <c r="D1" s="258"/>
      <c r="E1" s="258"/>
      <c r="F1" s="258"/>
      <c r="G1" s="258"/>
      <c r="H1" s="258"/>
      <c r="I1" s="258"/>
      <c r="J1" s="258"/>
    </row>
    <row r="2" spans="1:10" s="123" customFormat="1" ht="19.95" customHeight="1">
      <c r="A2" s="259" t="s">
        <v>20</v>
      </c>
      <c r="B2" s="259"/>
      <c r="C2" s="259"/>
      <c r="D2" s="259"/>
      <c r="E2" s="259"/>
      <c r="F2" s="259"/>
      <c r="G2" s="259"/>
      <c r="H2" s="259"/>
      <c r="I2" s="259"/>
      <c r="J2" s="259"/>
    </row>
    <row r="3" spans="1:10" ht="19.95" customHeight="1">
      <c r="A3" s="56" t="str">
        <f>底稿目录!A2</f>
        <v>被审计单位：</v>
      </c>
      <c r="B3" s="56"/>
      <c r="C3" s="56"/>
      <c r="D3" s="56" t="str">
        <f>底稿目录!A4</f>
        <v>编制人：</v>
      </c>
      <c r="E3" s="56"/>
      <c r="F3" s="57"/>
      <c r="G3" s="56" t="str">
        <f>底稿目录!A6</f>
        <v>编制日期：</v>
      </c>
      <c r="H3" s="56"/>
      <c r="I3" s="139" t="s">
        <v>158</v>
      </c>
      <c r="J3" s="98" t="s">
        <v>59</v>
      </c>
    </row>
    <row r="4" spans="1:10" ht="19.95" customHeight="1">
      <c r="A4" s="56" t="str">
        <f>底稿目录!A3</f>
        <v>截止日：202X年12月31日</v>
      </c>
      <c r="B4" s="56"/>
      <c r="C4" s="56"/>
      <c r="D4" s="56" t="str">
        <f>底稿目录!A5</f>
        <v>复核人：</v>
      </c>
      <c r="E4" s="56"/>
      <c r="F4" s="57"/>
      <c r="G4" s="56" t="str">
        <f>底稿目录!A7</f>
        <v>复核日期：</v>
      </c>
      <c r="H4" s="56"/>
      <c r="I4" s="139" t="s">
        <v>159</v>
      </c>
      <c r="J4" s="99"/>
    </row>
    <row r="5" spans="1:10" s="116" customFormat="1" ht="27.6">
      <c r="A5" s="114" t="s">
        <v>127</v>
      </c>
      <c r="B5" s="114" t="s">
        <v>130</v>
      </c>
      <c r="C5" s="114" t="s">
        <v>128</v>
      </c>
      <c r="D5" s="115" t="s">
        <v>131</v>
      </c>
      <c r="E5" s="115" t="s">
        <v>132</v>
      </c>
      <c r="F5" s="58" t="s">
        <v>19</v>
      </c>
      <c r="G5" s="115" t="s">
        <v>133</v>
      </c>
      <c r="H5" s="115" t="s">
        <v>129</v>
      </c>
      <c r="I5" s="115" t="s">
        <v>134</v>
      </c>
      <c r="J5" s="115" t="s">
        <v>112</v>
      </c>
    </row>
    <row r="6" spans="1:10" ht="19.95" customHeight="1">
      <c r="A6" s="117"/>
      <c r="B6" s="117"/>
      <c r="C6" s="117"/>
      <c r="D6" s="117"/>
      <c r="E6" s="117"/>
      <c r="F6" s="117"/>
      <c r="G6" s="131"/>
      <c r="H6" s="131"/>
      <c r="I6" s="132"/>
      <c r="J6" s="117"/>
    </row>
    <row r="7" spans="1:10" ht="19.95" customHeight="1">
      <c r="A7" s="117"/>
      <c r="B7" s="117"/>
      <c r="C7" s="117"/>
      <c r="D7" s="117"/>
      <c r="E7" s="117"/>
      <c r="F7" s="117"/>
      <c r="G7" s="131"/>
      <c r="H7" s="131"/>
      <c r="I7" s="132"/>
      <c r="J7" s="117"/>
    </row>
    <row r="8" spans="1:10" ht="19.95" customHeight="1">
      <c r="A8" s="117"/>
      <c r="B8" s="117"/>
      <c r="C8" s="117"/>
      <c r="D8" s="117"/>
      <c r="E8" s="117"/>
      <c r="F8" s="117"/>
      <c r="G8" s="131"/>
      <c r="H8" s="131"/>
      <c r="I8" s="132"/>
      <c r="J8" s="117"/>
    </row>
    <row r="9" spans="1:10" ht="19.95" customHeight="1">
      <c r="A9" s="117"/>
      <c r="B9" s="117"/>
      <c r="C9" s="117"/>
      <c r="D9" s="117"/>
      <c r="E9" s="117"/>
      <c r="F9" s="117"/>
      <c r="G9" s="131"/>
      <c r="H9" s="131"/>
      <c r="I9" s="132"/>
      <c r="J9" s="117"/>
    </row>
    <row r="10" spans="1:10" ht="19.95" customHeight="1">
      <c r="A10" s="117"/>
      <c r="B10" s="117"/>
      <c r="C10" s="117"/>
      <c r="D10" s="117"/>
      <c r="E10" s="117"/>
      <c r="F10" s="117"/>
      <c r="G10" s="131"/>
      <c r="H10" s="131"/>
      <c r="I10" s="132"/>
      <c r="J10" s="117"/>
    </row>
    <row r="11" spans="1:10" ht="19.95" customHeight="1">
      <c r="A11" s="117"/>
      <c r="B11" s="117"/>
      <c r="C11" s="117"/>
      <c r="D11" s="117"/>
      <c r="E11" s="117"/>
      <c r="F11" s="117"/>
      <c r="G11" s="131"/>
      <c r="H11" s="131"/>
      <c r="I11" s="132"/>
      <c r="J11" s="117"/>
    </row>
    <row r="12" spans="1:10" ht="19.95" customHeight="1">
      <c r="A12" s="117"/>
      <c r="B12" s="117"/>
      <c r="C12" s="117"/>
      <c r="D12" s="117"/>
      <c r="E12" s="117"/>
      <c r="F12" s="117"/>
      <c r="G12" s="131"/>
      <c r="H12" s="131"/>
      <c r="I12" s="132"/>
      <c r="J12" s="117"/>
    </row>
    <row r="13" spans="1:10" ht="19.95" customHeight="1">
      <c r="A13" s="117"/>
      <c r="B13" s="117"/>
      <c r="C13" s="117"/>
      <c r="D13" s="117"/>
      <c r="E13" s="117"/>
      <c r="F13" s="117"/>
      <c r="G13" s="131"/>
      <c r="H13" s="131"/>
      <c r="I13" s="132"/>
      <c r="J13" s="117"/>
    </row>
    <row r="14" spans="1:10" ht="19.95" customHeight="1">
      <c r="A14" s="117"/>
      <c r="B14" s="117"/>
      <c r="C14" s="117"/>
      <c r="D14" s="117"/>
      <c r="E14" s="117"/>
      <c r="F14" s="117"/>
      <c r="G14" s="131"/>
      <c r="H14" s="131"/>
      <c r="I14" s="132"/>
      <c r="J14" s="117"/>
    </row>
    <row r="15" spans="1:10" ht="19.95" customHeight="1">
      <c r="A15" s="117"/>
      <c r="B15" s="117"/>
      <c r="C15" s="117"/>
      <c r="D15" s="117"/>
      <c r="E15" s="117"/>
      <c r="F15" s="117"/>
      <c r="G15" s="131"/>
      <c r="H15" s="131"/>
      <c r="I15" s="132"/>
      <c r="J15" s="117"/>
    </row>
    <row r="16" spans="1:10" ht="19.95" customHeight="1">
      <c r="A16" s="117"/>
      <c r="B16" s="117"/>
      <c r="C16" s="117"/>
      <c r="D16" s="117"/>
      <c r="E16" s="117"/>
      <c r="F16" s="117"/>
      <c r="G16" s="131"/>
      <c r="H16" s="131"/>
      <c r="I16" s="132"/>
      <c r="J16" s="117"/>
    </row>
    <row r="17" spans="1:10" ht="19.95" customHeight="1">
      <c r="A17" s="117"/>
      <c r="B17" s="117"/>
      <c r="C17" s="117"/>
      <c r="D17" s="117"/>
      <c r="E17" s="117"/>
      <c r="F17" s="117"/>
      <c r="G17" s="131"/>
      <c r="H17" s="131"/>
      <c r="I17" s="132"/>
      <c r="J17" s="117"/>
    </row>
    <row r="18" spans="1:10" ht="19.95" customHeight="1">
      <c r="A18" s="117"/>
      <c r="B18" s="117"/>
      <c r="C18" s="117"/>
      <c r="D18" s="117"/>
      <c r="E18" s="117"/>
      <c r="F18" s="117"/>
      <c r="G18" s="131"/>
      <c r="H18" s="131"/>
      <c r="I18" s="132"/>
      <c r="J18" s="117"/>
    </row>
    <row r="19" spans="1:10" ht="19.95" customHeight="1">
      <c r="A19" s="117"/>
      <c r="B19" s="117"/>
      <c r="C19" s="117"/>
      <c r="D19" s="117"/>
      <c r="E19" s="117"/>
      <c r="F19" s="117"/>
      <c r="G19" s="131"/>
      <c r="H19" s="131"/>
      <c r="I19" s="132"/>
      <c r="J19" s="117"/>
    </row>
    <row r="20" spans="1:10" ht="19.95" customHeight="1">
      <c r="A20" s="117"/>
      <c r="B20" s="117"/>
      <c r="C20" s="117"/>
      <c r="D20" s="117"/>
      <c r="E20" s="117"/>
      <c r="F20" s="117"/>
      <c r="G20" s="131"/>
      <c r="H20" s="131"/>
      <c r="I20" s="132"/>
      <c r="J20" s="117"/>
    </row>
    <row r="21" spans="1:10" ht="19.95" customHeight="1">
      <c r="A21" s="143" t="s">
        <v>170</v>
      </c>
    </row>
  </sheetData>
  <mergeCells count="2">
    <mergeCell ref="A1:J1"/>
    <mergeCell ref="A2:J2"/>
  </mergeCells>
  <phoneticPr fontId="3" type="noConversion"/>
  <dataValidations count="1">
    <dataValidation type="list" allowBlank="1" showInputMessage="1" showErrorMessage="1" sqref="B6:B20">
      <formula1>"账项调整,报表调整,其他"</formula1>
    </dataValidation>
  </dataValidations>
  <hyperlinks>
    <hyperlink ref="J3" location="底稿目录!A1" display="H6A"/>
  </hyperlinks>
  <pageMargins left="0.70866141732283472" right="0.70866141732283472" top="0.74803149606299213" bottom="0.74803149606299213" header="0.31496062992125984" footer="0.31496062992125984"/>
  <pageSetup paperSize="9" scale="95"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R34"/>
  <sheetViews>
    <sheetView view="pageBreakPreview" zoomScaleNormal="115" zoomScaleSheetLayoutView="100" workbookViewId="0">
      <selection sqref="A1:Q1"/>
    </sheetView>
  </sheetViews>
  <sheetFormatPr defaultColWidth="9" defaultRowHeight="19.95" customHeight="1"/>
  <cols>
    <col min="1" max="1" width="9.44140625" style="8" customWidth="1"/>
    <col min="2" max="2" width="8" style="8" customWidth="1"/>
    <col min="3" max="3" width="13.44140625" style="8" customWidth="1"/>
    <col min="4" max="4" width="13.21875" style="8" customWidth="1"/>
    <col min="5" max="8" width="9.109375" style="8" customWidth="1"/>
    <col min="9" max="9" width="8.88671875" style="8" customWidth="1"/>
    <col min="10" max="11" width="8.44140625" style="8" customWidth="1"/>
    <col min="12" max="12" width="11.5546875" style="8" customWidth="1"/>
    <col min="13" max="14" width="9.33203125" style="8" customWidth="1"/>
    <col min="15" max="15" width="8.88671875" style="8" customWidth="1"/>
    <col min="16" max="16" width="7.44140625" style="8" customWidth="1"/>
    <col min="17" max="17" width="11.21875" style="8" customWidth="1"/>
    <col min="18" max="16384" width="9" style="8"/>
  </cols>
  <sheetData>
    <row r="1" spans="1:18" s="118" customFormat="1" ht="19.95" customHeight="1">
      <c r="A1" s="263" t="s">
        <v>0</v>
      </c>
      <c r="B1" s="263"/>
      <c r="C1" s="263"/>
      <c r="D1" s="263"/>
      <c r="E1" s="263"/>
      <c r="F1" s="263"/>
      <c r="G1" s="263"/>
      <c r="H1" s="263"/>
      <c r="I1" s="263"/>
      <c r="J1" s="263"/>
      <c r="K1" s="263"/>
      <c r="L1" s="263"/>
      <c r="M1" s="263"/>
      <c r="N1" s="263"/>
      <c r="O1" s="263"/>
      <c r="P1" s="263"/>
      <c r="Q1" s="263"/>
    </row>
    <row r="2" spans="1:18" s="122" customFormat="1" ht="19.95" customHeight="1">
      <c r="A2" s="264" t="s">
        <v>135</v>
      </c>
      <c r="B2" s="264"/>
      <c r="C2" s="264"/>
      <c r="D2" s="264"/>
      <c r="E2" s="264"/>
      <c r="F2" s="264"/>
      <c r="G2" s="264"/>
      <c r="H2" s="264"/>
      <c r="I2" s="264"/>
      <c r="J2" s="264"/>
      <c r="K2" s="264"/>
      <c r="L2" s="264"/>
      <c r="M2" s="264"/>
      <c r="N2" s="264"/>
      <c r="O2" s="264"/>
      <c r="P2" s="264"/>
      <c r="Q2" s="264"/>
    </row>
    <row r="3" spans="1:18" ht="19.95" customHeight="1">
      <c r="A3" s="8" t="str">
        <f>底稿目录!A2</f>
        <v>被审计单位：</v>
      </c>
      <c r="B3" s="13"/>
      <c r="C3" s="13"/>
      <c r="D3" s="13"/>
      <c r="F3" s="13" t="str">
        <f>底稿目录!A4</f>
        <v>编制人：</v>
      </c>
      <c r="G3" s="13"/>
      <c r="L3" s="42" t="str">
        <f>底稿目录!A6</f>
        <v>编制日期：</v>
      </c>
      <c r="M3" s="42"/>
      <c r="N3" s="40"/>
      <c r="P3" s="139" t="s">
        <v>158</v>
      </c>
      <c r="Q3" s="98" t="s">
        <v>66</v>
      </c>
    </row>
    <row r="4" spans="1:18" ht="19.95" customHeight="1">
      <c r="A4" s="8" t="str">
        <f>底稿目录!A3</f>
        <v>截止日：202X年12月31日</v>
      </c>
      <c r="B4" s="13"/>
      <c r="C4" s="13"/>
      <c r="D4" s="13"/>
      <c r="F4" s="13" t="str">
        <f>底稿目录!A5</f>
        <v>复核人：</v>
      </c>
      <c r="G4" s="13"/>
      <c r="L4" s="42" t="str">
        <f>底稿目录!A7</f>
        <v>复核日期：</v>
      </c>
      <c r="M4" s="42"/>
      <c r="N4" s="40"/>
      <c r="P4" s="139" t="s">
        <v>159</v>
      </c>
      <c r="Q4" s="99"/>
    </row>
    <row r="5" spans="1:18" s="182" customFormat="1" ht="19.95" customHeight="1">
      <c r="A5" s="193" t="s">
        <v>136</v>
      </c>
      <c r="B5" s="193"/>
      <c r="C5" s="193"/>
      <c r="D5" s="193"/>
      <c r="E5" s="193"/>
      <c r="F5" s="193"/>
      <c r="G5" s="193"/>
      <c r="H5" s="193"/>
      <c r="I5" s="193"/>
      <c r="J5" s="193"/>
      <c r="K5" s="193"/>
      <c r="L5" s="193"/>
      <c r="M5" s="193"/>
      <c r="N5" s="193"/>
    </row>
    <row r="6" spans="1:18" s="182" customFormat="1" ht="19.95" customHeight="1">
      <c r="A6" s="183" t="s">
        <v>137</v>
      </c>
      <c r="B6" s="183"/>
      <c r="C6" s="183"/>
      <c r="D6" s="183"/>
      <c r="E6" s="183"/>
      <c r="F6" s="183"/>
      <c r="G6" s="183"/>
      <c r="H6" s="183"/>
      <c r="I6" s="183"/>
      <c r="J6" s="183"/>
      <c r="K6" s="183"/>
      <c r="L6" s="183"/>
      <c r="M6" s="183"/>
      <c r="N6" s="183"/>
    </row>
    <row r="7" spans="1:18" s="182" customFormat="1" ht="19.95" customHeight="1">
      <c r="A7" s="183" t="s">
        <v>138</v>
      </c>
      <c r="B7" s="183"/>
      <c r="C7" s="183"/>
      <c r="D7" s="183"/>
      <c r="E7" s="183"/>
      <c r="F7" s="183"/>
      <c r="G7" s="183"/>
      <c r="H7" s="183"/>
      <c r="I7" s="183"/>
      <c r="J7" s="183"/>
      <c r="K7" s="183"/>
      <c r="L7" s="183"/>
      <c r="M7" s="183"/>
      <c r="N7" s="183"/>
    </row>
    <row r="8" spans="1:18" s="15" customFormat="1" ht="19.95" customHeight="1">
      <c r="A8" s="172" t="s">
        <v>190</v>
      </c>
      <c r="B8" s="16"/>
      <c r="C8" s="171" t="s">
        <v>189</v>
      </c>
      <c r="D8" s="16"/>
      <c r="E8" s="17"/>
      <c r="F8" s="18"/>
      <c r="G8" s="18"/>
    </row>
    <row r="9" spans="1:18" s="15" customFormat="1" ht="19.95" customHeight="1">
      <c r="A9" s="142" t="s">
        <v>169</v>
      </c>
      <c r="B9" s="16"/>
      <c r="C9" s="16"/>
      <c r="D9" s="16"/>
      <c r="E9" s="17"/>
      <c r="F9" s="18"/>
      <c r="G9" s="18"/>
    </row>
    <row r="10" spans="1:18" ht="19.95" customHeight="1">
      <c r="A10" s="265" t="s">
        <v>4</v>
      </c>
      <c r="B10" s="265" t="s">
        <v>5</v>
      </c>
      <c r="C10" s="262" t="s">
        <v>139</v>
      </c>
      <c r="D10" s="262" t="s">
        <v>140</v>
      </c>
      <c r="E10" s="53" t="s">
        <v>141</v>
      </c>
      <c r="F10" s="53"/>
      <c r="G10" s="53"/>
      <c r="H10" s="54"/>
      <c r="I10" s="260" t="s">
        <v>6</v>
      </c>
      <c r="J10" s="260" t="s">
        <v>7</v>
      </c>
      <c r="K10" s="268" t="s">
        <v>142</v>
      </c>
      <c r="L10" s="260" t="s">
        <v>143</v>
      </c>
      <c r="M10" s="260" t="s">
        <v>144</v>
      </c>
      <c r="N10" s="260" t="s">
        <v>8</v>
      </c>
      <c r="O10" s="260" t="s">
        <v>9</v>
      </c>
      <c r="P10" s="260" t="s">
        <v>10</v>
      </c>
      <c r="Q10" s="262" t="s">
        <v>145</v>
      </c>
    </row>
    <row r="11" spans="1:18" ht="19.95" customHeight="1">
      <c r="A11" s="265"/>
      <c r="B11" s="265"/>
      <c r="C11" s="262"/>
      <c r="D11" s="262"/>
      <c r="E11" s="82" t="s">
        <v>146</v>
      </c>
      <c r="F11" s="82" t="s">
        <v>147</v>
      </c>
      <c r="G11" s="82" t="s">
        <v>148</v>
      </c>
      <c r="H11" s="81" t="s">
        <v>149</v>
      </c>
      <c r="I11" s="261"/>
      <c r="J11" s="261"/>
      <c r="K11" s="269"/>
      <c r="L11" s="261"/>
      <c r="M11" s="261"/>
      <c r="N11" s="261"/>
      <c r="O11" s="261"/>
      <c r="P11" s="261"/>
      <c r="Q11" s="262"/>
      <c r="R11" s="135"/>
    </row>
    <row r="12" spans="1:18" ht="19.95" customHeight="1">
      <c r="A12" s="41"/>
      <c r="B12" s="133"/>
      <c r="C12" s="19"/>
      <c r="D12" s="19"/>
      <c r="E12" s="20"/>
      <c r="F12" s="20"/>
      <c r="G12" s="20"/>
      <c r="H12" s="108">
        <f>E12-F12-G12</f>
        <v>0</v>
      </c>
      <c r="I12" s="21"/>
      <c r="J12" s="21"/>
      <c r="K12" s="108">
        <f>J12-I12-H12</f>
        <v>0</v>
      </c>
      <c r="L12" s="21"/>
      <c r="M12" s="21"/>
      <c r="N12" s="21"/>
      <c r="O12" s="22"/>
      <c r="P12" s="22"/>
      <c r="Q12" s="134"/>
    </row>
    <row r="13" spans="1:18" ht="19.95" customHeight="1">
      <c r="A13" s="41"/>
      <c r="B13" s="133"/>
      <c r="C13" s="19"/>
      <c r="D13" s="19"/>
      <c r="E13" s="20"/>
      <c r="F13" s="20"/>
      <c r="G13" s="20"/>
      <c r="H13" s="108">
        <f t="shared" ref="H13:H21" si="0">E13-F13-G13</f>
        <v>0</v>
      </c>
      <c r="I13" s="21"/>
      <c r="J13" s="21"/>
      <c r="K13" s="108">
        <f t="shared" ref="K13:K22" si="1">J13-I13-H13</f>
        <v>0</v>
      </c>
      <c r="L13" s="21"/>
      <c r="M13" s="21"/>
      <c r="N13" s="21"/>
      <c r="O13" s="22"/>
      <c r="P13" s="22"/>
      <c r="Q13" s="134"/>
    </row>
    <row r="14" spans="1:18" ht="19.95" customHeight="1">
      <c r="A14" s="41"/>
      <c r="B14" s="133"/>
      <c r="C14" s="19"/>
      <c r="D14" s="19"/>
      <c r="E14" s="20"/>
      <c r="F14" s="20"/>
      <c r="G14" s="20"/>
      <c r="H14" s="108">
        <f t="shared" si="0"/>
        <v>0</v>
      </c>
      <c r="I14" s="21"/>
      <c r="J14" s="21"/>
      <c r="K14" s="108"/>
      <c r="L14" s="21"/>
      <c r="M14" s="21"/>
      <c r="N14" s="21"/>
      <c r="O14" s="22"/>
      <c r="P14" s="22"/>
      <c r="Q14" s="134"/>
    </row>
    <row r="15" spans="1:18" ht="19.95" customHeight="1">
      <c r="A15" s="41"/>
      <c r="B15" s="133"/>
      <c r="C15" s="19"/>
      <c r="D15" s="19"/>
      <c r="E15" s="20"/>
      <c r="F15" s="20"/>
      <c r="G15" s="20"/>
      <c r="H15" s="108">
        <f t="shared" si="0"/>
        <v>0</v>
      </c>
      <c r="I15" s="21"/>
      <c r="J15" s="21"/>
      <c r="K15" s="108"/>
      <c r="L15" s="21"/>
      <c r="M15" s="21"/>
      <c r="N15" s="21"/>
      <c r="O15" s="22"/>
      <c r="P15" s="22"/>
      <c r="Q15" s="134"/>
    </row>
    <row r="16" spans="1:18" ht="19.95" customHeight="1">
      <c r="A16" s="41"/>
      <c r="B16" s="133"/>
      <c r="C16" s="19"/>
      <c r="D16" s="19"/>
      <c r="E16" s="20"/>
      <c r="F16" s="20"/>
      <c r="G16" s="20"/>
      <c r="H16" s="108">
        <f t="shared" si="0"/>
        <v>0</v>
      </c>
      <c r="I16" s="21"/>
      <c r="J16" s="21"/>
      <c r="K16" s="108"/>
      <c r="L16" s="21"/>
      <c r="M16" s="21"/>
      <c r="N16" s="21"/>
      <c r="O16" s="22"/>
      <c r="P16" s="22"/>
      <c r="Q16" s="134"/>
    </row>
    <row r="17" spans="1:17" ht="19.95" customHeight="1">
      <c r="A17" s="41"/>
      <c r="B17" s="133"/>
      <c r="C17" s="19"/>
      <c r="D17" s="19"/>
      <c r="E17" s="20"/>
      <c r="F17" s="20"/>
      <c r="G17" s="20"/>
      <c r="H17" s="108">
        <f t="shared" si="0"/>
        <v>0</v>
      </c>
      <c r="I17" s="21"/>
      <c r="J17" s="21"/>
      <c r="K17" s="108"/>
      <c r="L17" s="21"/>
      <c r="M17" s="21"/>
      <c r="N17" s="21"/>
      <c r="O17" s="22"/>
      <c r="P17" s="22"/>
      <c r="Q17" s="134"/>
    </row>
    <row r="18" spans="1:17" ht="19.95" customHeight="1">
      <c r="A18" s="41"/>
      <c r="B18" s="133"/>
      <c r="C18" s="19"/>
      <c r="D18" s="19"/>
      <c r="E18" s="20"/>
      <c r="F18" s="20"/>
      <c r="G18" s="20"/>
      <c r="H18" s="108">
        <f t="shared" si="0"/>
        <v>0</v>
      </c>
      <c r="I18" s="21"/>
      <c r="J18" s="21"/>
      <c r="K18" s="108"/>
      <c r="L18" s="21"/>
      <c r="M18" s="21"/>
      <c r="N18" s="21"/>
      <c r="O18" s="22"/>
      <c r="P18" s="22"/>
      <c r="Q18" s="134"/>
    </row>
    <row r="19" spans="1:17" ht="19.95" customHeight="1">
      <c r="A19" s="41"/>
      <c r="B19" s="133"/>
      <c r="C19" s="19"/>
      <c r="D19" s="19"/>
      <c r="E19" s="20"/>
      <c r="F19" s="20"/>
      <c r="G19" s="20"/>
      <c r="H19" s="108">
        <f t="shared" si="0"/>
        <v>0</v>
      </c>
      <c r="I19" s="21"/>
      <c r="J19" s="21"/>
      <c r="K19" s="108"/>
      <c r="L19" s="21"/>
      <c r="M19" s="21"/>
      <c r="N19" s="21"/>
      <c r="O19" s="22"/>
      <c r="P19" s="22"/>
      <c r="Q19" s="134"/>
    </row>
    <row r="20" spans="1:17" ht="19.95" customHeight="1">
      <c r="A20" s="41"/>
      <c r="B20" s="133"/>
      <c r="C20" s="19"/>
      <c r="D20" s="19"/>
      <c r="E20" s="20"/>
      <c r="F20" s="20"/>
      <c r="G20" s="20"/>
      <c r="H20" s="108">
        <f t="shared" si="0"/>
        <v>0</v>
      </c>
      <c r="I20" s="21"/>
      <c r="J20" s="21"/>
      <c r="K20" s="108">
        <f t="shared" si="1"/>
        <v>0</v>
      </c>
      <c r="L20" s="21"/>
      <c r="M20" s="21"/>
      <c r="N20" s="21"/>
      <c r="O20" s="22"/>
      <c r="P20" s="22"/>
      <c r="Q20" s="134"/>
    </row>
    <row r="21" spans="1:17" ht="19.95" customHeight="1">
      <c r="A21" s="41"/>
      <c r="B21" s="133"/>
      <c r="C21" s="19"/>
      <c r="D21" s="19"/>
      <c r="E21" s="20"/>
      <c r="F21" s="20"/>
      <c r="G21" s="20"/>
      <c r="H21" s="108">
        <f t="shared" si="0"/>
        <v>0</v>
      </c>
      <c r="I21" s="21"/>
      <c r="J21" s="21"/>
      <c r="K21" s="108">
        <f t="shared" si="1"/>
        <v>0</v>
      </c>
      <c r="L21" s="21"/>
      <c r="M21" s="21"/>
      <c r="N21" s="21"/>
      <c r="O21" s="22"/>
      <c r="P21" s="22"/>
      <c r="Q21" s="134"/>
    </row>
    <row r="22" spans="1:17" ht="19.95" customHeight="1">
      <c r="A22" s="41"/>
      <c r="B22" s="133"/>
      <c r="C22" s="19"/>
      <c r="D22" s="19"/>
      <c r="E22" s="20"/>
      <c r="F22" s="20"/>
      <c r="G22" s="20"/>
      <c r="H22" s="108">
        <f>E22-F22-G22</f>
        <v>0</v>
      </c>
      <c r="I22" s="21"/>
      <c r="J22" s="21"/>
      <c r="K22" s="108">
        <f t="shared" si="1"/>
        <v>0</v>
      </c>
      <c r="L22" s="21"/>
      <c r="M22" s="21"/>
      <c r="N22" s="21"/>
      <c r="O22" s="22"/>
      <c r="P22" s="22"/>
      <c r="Q22" s="134"/>
    </row>
    <row r="23" spans="1:17" s="203" customFormat="1" ht="19.95" customHeight="1">
      <c r="A23" s="266" t="s">
        <v>214</v>
      </c>
      <c r="B23" s="266"/>
      <c r="C23" s="266"/>
      <c r="D23" s="266"/>
      <c r="E23" s="199">
        <f>SUM(E12:E22)</f>
        <v>0</v>
      </c>
      <c r="F23" s="199">
        <f t="shared" ref="F23:K23" si="2">SUM(F12:F22)</f>
        <v>0</v>
      </c>
      <c r="G23" s="199">
        <f t="shared" si="2"/>
        <v>0</v>
      </c>
      <c r="H23" s="199">
        <f t="shared" si="2"/>
        <v>0</v>
      </c>
      <c r="I23" s="199">
        <f t="shared" si="2"/>
        <v>0</v>
      </c>
      <c r="J23" s="199">
        <f t="shared" si="2"/>
        <v>0</v>
      </c>
      <c r="K23" s="199">
        <f t="shared" si="2"/>
        <v>0</v>
      </c>
      <c r="L23" s="199">
        <f t="shared" ref="L23" si="3">SUM(L12:L22)</f>
        <v>0</v>
      </c>
      <c r="M23" s="199">
        <f t="shared" ref="M23" si="4">SUM(M12:M22)</f>
        <v>0</v>
      </c>
      <c r="N23" s="200"/>
      <c r="O23" s="201"/>
      <c r="P23" s="201"/>
      <c r="Q23" s="202"/>
    </row>
    <row r="24" spans="1:17" s="209" customFormat="1" ht="19.95" customHeight="1">
      <c r="A24" s="267" t="s">
        <v>215</v>
      </c>
      <c r="B24" s="266"/>
      <c r="C24" s="266"/>
      <c r="D24" s="266"/>
      <c r="E24" s="198"/>
      <c r="F24" s="198"/>
      <c r="G24" s="204"/>
      <c r="H24" s="205">
        <f>'明细表H6-2'!K16</f>
        <v>0</v>
      </c>
      <c r="I24" s="206"/>
      <c r="J24" s="206"/>
      <c r="K24" s="205"/>
      <c r="L24" s="206"/>
      <c r="M24" s="206"/>
      <c r="N24" s="206"/>
      <c r="O24" s="207"/>
      <c r="P24" s="207"/>
      <c r="Q24" s="208"/>
    </row>
    <row r="25" spans="1:17" s="209" customFormat="1" ht="19.95" customHeight="1">
      <c r="A25" s="267" t="s">
        <v>216</v>
      </c>
      <c r="B25" s="266"/>
      <c r="C25" s="266"/>
      <c r="D25" s="266"/>
      <c r="E25" s="198"/>
      <c r="F25" s="198"/>
      <c r="G25" s="204"/>
      <c r="H25" s="205" t="e">
        <f>H23/H24</f>
        <v>#DIV/0!</v>
      </c>
      <c r="I25" s="206"/>
      <c r="J25" s="206"/>
      <c r="K25" s="205"/>
      <c r="L25" s="206"/>
      <c r="M25" s="206"/>
      <c r="N25" s="206"/>
      <c r="O25" s="207"/>
      <c r="P25" s="207"/>
      <c r="Q25" s="208"/>
    </row>
    <row r="26" spans="1:17" ht="19.95" customHeight="1">
      <c r="A26" s="173" t="s">
        <v>191</v>
      </c>
      <c r="B26" s="11"/>
      <c r="C26" s="11"/>
      <c r="D26" s="11"/>
      <c r="E26" s="11"/>
      <c r="F26" s="11"/>
      <c r="G26" s="11"/>
      <c r="H26" s="11"/>
      <c r="I26" s="11"/>
      <c r="J26" s="23"/>
      <c r="K26" s="23"/>
      <c r="L26" s="23"/>
      <c r="M26" s="23"/>
      <c r="N26" s="23"/>
      <c r="O26" s="23"/>
      <c r="P26" s="23"/>
      <c r="Q26" s="34"/>
    </row>
    <row r="27" spans="1:17" ht="19.95" customHeight="1">
      <c r="A27" s="213" t="s">
        <v>217</v>
      </c>
      <c r="B27" s="210"/>
      <c r="C27" s="210"/>
      <c r="D27" s="210"/>
      <c r="E27" s="210"/>
      <c r="F27" s="210"/>
      <c r="G27" s="210"/>
      <c r="H27" s="210"/>
      <c r="I27" s="210"/>
      <c r="J27" s="211"/>
      <c r="K27" s="211"/>
      <c r="L27" s="211"/>
      <c r="M27" s="211"/>
      <c r="N27" s="211"/>
      <c r="O27" s="211"/>
      <c r="P27" s="211"/>
      <c r="Q27" s="212"/>
    </row>
    <row r="28" spans="1:17" ht="19.95" customHeight="1">
      <c r="A28" s="213" t="s">
        <v>218</v>
      </c>
      <c r="I28" s="13"/>
      <c r="J28" s="24"/>
      <c r="K28" s="24"/>
      <c r="L28" s="24"/>
      <c r="M28" s="24"/>
      <c r="N28" s="24"/>
      <c r="O28" s="24"/>
      <c r="P28" s="24"/>
      <c r="Q28" s="13"/>
    </row>
    <row r="29" spans="1:17" ht="19.95" customHeight="1">
      <c r="A29" s="174" t="s">
        <v>192</v>
      </c>
      <c r="I29" s="13"/>
      <c r="J29" s="13"/>
      <c r="K29" s="13"/>
      <c r="L29" s="13"/>
      <c r="M29" s="13"/>
      <c r="N29" s="13"/>
      <c r="O29" s="13"/>
      <c r="P29" s="13"/>
      <c r="Q29" s="13"/>
    </row>
    <row r="30" spans="1:17" ht="19.95" customHeight="1">
      <c r="I30" s="13"/>
      <c r="J30" s="13"/>
      <c r="K30" s="13"/>
      <c r="L30" s="13"/>
      <c r="M30" s="13"/>
      <c r="N30" s="13"/>
      <c r="O30" s="13"/>
      <c r="P30" s="13"/>
      <c r="Q30" s="13"/>
    </row>
    <row r="31" spans="1:17" ht="19.95" customHeight="1">
      <c r="I31" s="13"/>
      <c r="J31" s="13"/>
      <c r="K31" s="13"/>
      <c r="L31" s="13"/>
      <c r="M31" s="13"/>
      <c r="N31" s="13"/>
      <c r="O31" s="13"/>
      <c r="P31" s="13"/>
      <c r="Q31" s="13"/>
    </row>
    <row r="32" spans="1:17" ht="19.95" customHeight="1">
      <c r="A32" s="24"/>
      <c r="C32" s="13"/>
      <c r="D32" s="13"/>
      <c r="E32" s="13"/>
      <c r="F32" s="13"/>
      <c r="G32" s="13"/>
      <c r="H32" s="13"/>
      <c r="I32" s="13"/>
      <c r="J32" s="13"/>
      <c r="K32" s="13"/>
      <c r="L32" s="13"/>
      <c r="M32" s="13"/>
      <c r="N32" s="13"/>
      <c r="O32" s="13"/>
      <c r="P32" s="13"/>
      <c r="Q32" s="13"/>
    </row>
    <row r="33" spans="1:13" ht="19.95" customHeight="1">
      <c r="A33" s="24"/>
      <c r="C33" s="13"/>
      <c r="D33" s="13"/>
      <c r="E33" s="13"/>
      <c r="F33" s="13"/>
      <c r="G33" s="13"/>
      <c r="H33" s="13"/>
      <c r="I33" s="13"/>
      <c r="J33" s="13"/>
      <c r="K33" s="13"/>
      <c r="L33" s="13"/>
      <c r="M33" s="13"/>
    </row>
    <row r="34" spans="1:13" ht="19.95" customHeight="1">
      <c r="A34" s="55"/>
    </row>
  </sheetData>
  <mergeCells count="18">
    <mergeCell ref="A23:D23"/>
    <mergeCell ref="A24:D24"/>
    <mergeCell ref="A25:D25"/>
    <mergeCell ref="D10:D11"/>
    <mergeCell ref="K10:K11"/>
    <mergeCell ref="P10:P11"/>
    <mergeCell ref="Q10:Q11"/>
    <mergeCell ref="A1:Q1"/>
    <mergeCell ref="A2:Q2"/>
    <mergeCell ref="A10:A11"/>
    <mergeCell ref="B10:B11"/>
    <mergeCell ref="C10:C11"/>
    <mergeCell ref="I10:I11"/>
    <mergeCell ref="J10:J11"/>
    <mergeCell ref="L10:L11"/>
    <mergeCell ref="N10:N11"/>
    <mergeCell ref="O10:O11"/>
    <mergeCell ref="M10:M11"/>
  </mergeCells>
  <phoneticPr fontId="3" type="noConversion"/>
  <hyperlinks>
    <hyperlink ref="Q3" location="底稿目录!A1" display="H6A"/>
  </hyperlinks>
  <printOptions horizontalCentered="1"/>
  <pageMargins left="0.39370078740157483" right="0.39370078740157483" top="0.35433070866141736" bottom="0.27559055118110237" header="0.31496062992125984" footer="0.19685039370078741"/>
  <pageSetup paperSize="9" scale="86" orientation="landscape" blackAndWhite="1" r:id="rId1"/>
  <headerFooter alignWithMargins="0">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命名范围</vt:lpstr>
      </vt:variant>
      <vt:variant>
        <vt:i4>7</vt:i4>
      </vt:variant>
    </vt:vector>
  </HeadingPairs>
  <TitlesOfParts>
    <vt:vector size="15" baseType="lpstr">
      <vt:lpstr>底稿目录</vt:lpstr>
      <vt:lpstr>固定资产清理实质性程序表H6A</vt:lpstr>
      <vt:lpstr>审定表H6-1</vt:lpstr>
      <vt:lpstr>附注披露信息（上市公司）</vt:lpstr>
      <vt:lpstr>附注披露信息（国有企业）</vt:lpstr>
      <vt:lpstr>明细表H6-2</vt:lpstr>
      <vt:lpstr>调整分录汇总H6-3</vt:lpstr>
      <vt:lpstr>检查表H6-4</vt:lpstr>
      <vt:lpstr>'调整分录汇总H6-3'!Print_Area</vt:lpstr>
      <vt:lpstr>'附注披露信息（国有企业）'!Print_Area</vt:lpstr>
      <vt:lpstr>'附注披露信息（上市公司）'!Print_Area</vt:lpstr>
      <vt:lpstr>固定资产清理实质性程序表H6A!Print_Area</vt:lpstr>
      <vt:lpstr>'检查表H6-4'!Print_Area</vt:lpstr>
      <vt:lpstr>'明细表H6-2'!Print_Area</vt:lpstr>
      <vt:lpstr>'审定表H6-1'!Print_Area</vt:lpstr>
    </vt:vector>
  </TitlesOfParts>
  <Company>Grant Thornton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Birdie Bai 白璐</dc:creator>
  <cp:lastModifiedBy>何先琴</cp:lastModifiedBy>
  <cp:lastPrinted>2025-10-13T08:39:52Z</cp:lastPrinted>
  <dcterms:created xsi:type="dcterms:W3CDTF">2013-12-07T09:44:09Z</dcterms:created>
  <dcterms:modified xsi:type="dcterms:W3CDTF">2025-11-05T06:26:44Z</dcterms:modified>
</cp:coreProperties>
</file>